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R_NAPESHM\Inputs\"/>
    </mc:Choice>
  </mc:AlternateContent>
  <xr:revisionPtr revIDLastSave="0" documentId="13_ncr:1_{108CD6D3-DC27-4411-86AB-C0DD6B3F2BB2}" xr6:coauthVersionLast="47" xr6:coauthVersionMax="47" xr10:uidLastSave="{00000000-0000-0000-0000-000000000000}"/>
  <bookViews>
    <workbookView xWindow="-120" yWindow="-120" windowWidth="29040" windowHeight="15720" tabRatio="836" activeTab="2" xr2:uid="{DDAFFBF6-EAD5-488B-844A-6854A073B0F1}"/>
  </bookViews>
  <sheets>
    <sheet name="User_Info" sheetId="1" r:id="rId1"/>
    <sheet name="Mgt_Unit" sheetId="2" r:id="rId2"/>
    <sheet name="Crop_Diversity" sheetId="3" r:id="rId3"/>
    <sheet name="Soil_Disturbance" sheetId="4" r:id="rId4"/>
    <sheet name="Soil_Amendments" sheetId="5" r:id="rId5"/>
    <sheet name="Animal_Diversity" sheetId="6" r:id="rId6"/>
    <sheet name="Soil_Test" sheetId="11" r:id="rId7"/>
    <sheet name="Dropdowns_Manual" sheetId="7" r:id="rId8"/>
    <sheet name="Dropdowns_Formulas" sheetId="12" r:id="rId9"/>
  </sheets>
  <definedNames>
    <definedName name="_xlnm._FilterDatabase" localSheetId="5" hidden="1">Animal_Diversity!$B$4:$L$1003</definedName>
    <definedName name="_xlnm._FilterDatabase" localSheetId="2" hidden="1">Crop_Diversity!$A$4:$S$1718</definedName>
    <definedName name="_xlnm._FilterDatabase" localSheetId="1" hidden="1">Mgt_Unit!$B$4:$O$4</definedName>
    <definedName name="_xlnm._FilterDatabase" localSheetId="4" hidden="1">Soil_Amendments!$B$4:$P$4</definedName>
    <definedName name="_xlnm._FilterDatabase" localSheetId="3" hidden="1">Soil_Disturbance!$B$4:$M$3297</definedName>
    <definedName name="_xlnm._FilterDatabase" localSheetId="6" hidden="1">Soil_Test!$B$4:$L$4</definedName>
    <definedName name="_xlnm._FilterDatabase" localSheetId="0" hidden="1">User_Info!$B$4:$H$4</definedName>
    <definedName name="All_amend">Dropdowns_Manual!$AP$2:$AP$82</definedName>
    <definedName name="All_crops">Dropdowns_Manual!$S$2:$S$162</definedName>
    <definedName name="All_equip">Dropdowns_Manual!$AK$2:$AK$200</definedName>
    <definedName name="AmendType">Dropdowns_Manual!$AL$2:$AL$19</definedName>
    <definedName name="AnimalDiv_GrazIntensity">Dropdowns_Manual!$AR$2:$AR$16</definedName>
    <definedName name="AnimalType">Dropdowns_Manual!$AQ$2:$AQ$65</definedName>
    <definedName name="Brassica">Dropdowns_Manual!$J$2:$J$51</definedName>
    <definedName name="Broadleaf_cool">Dropdowns_Manual!$L$2:$L$51</definedName>
    <definedName name="Broadleaf_warm">Dropdowns_Manual!$K$2:$K$51</definedName>
    <definedName name="crop_mix">Dropdowns_Manual!$F$2:$F$8</definedName>
    <definedName name="CropCategory">Dropdowns_Manual!$H$3:$H$19</definedName>
    <definedName name="CropDiv_YieldUnits">Dropdowns_Manual!$U$2:$U$26</definedName>
    <definedName name="CropIrrUnits">Dropdowns_Manual!$Y$2:$Y$15</definedName>
    <definedName name="CropResMgt">Dropdowns_Manual!$W$2:$W$37</definedName>
    <definedName name="CropType">Dropdowns_Manual!$G$2:$G$21</definedName>
    <definedName name="CropUnit">Dropdowns_Formulas!$C$2:$C$114</definedName>
    <definedName name="Cultivator">Dropdowns_Manual!$AB$2:$AB$200</definedName>
    <definedName name="Disk">Dropdowns_Manual!$AC$2:$AC$200</definedName>
    <definedName name="Fallow">Dropdowns_Manual!$I$2</definedName>
    <definedName name="Fertilizer">Dropdowns_Manual!$AM$2:$AM$79</definedName>
    <definedName name="Grass_cool">Dropdowns_Manual!$N$2:$N$52</definedName>
    <definedName name="Grass_warm">Dropdowns_Manual!$M$2:$M$51</definedName>
    <definedName name="Harrow">Dropdowns_Manual!$AD$2:$AD$200</definedName>
    <definedName name="Horticulture">Dropdowns_Manual!$Q$2:$Q$53</definedName>
    <definedName name="Implement">Dropdowns_Manual!$AK$2:$AK$99</definedName>
    <definedName name="IrrType">Dropdowns_Manual!$X$2:$X$32</definedName>
    <definedName name="Legume_cool">Dropdowns_Manual!$P$2:$P$51</definedName>
    <definedName name="Legume_warm">Dropdowns_Manual!$O$2:$O$51</definedName>
    <definedName name="Lime">Dropdowns_Manual!$AN$2:$AN$24</definedName>
    <definedName name="Mgt_tile_years">Dropdowns_Manual!$E$2:$E$7</definedName>
    <definedName name="Mgt_TileDrain">Dropdowns_Manual!$D$2:$D$12</definedName>
    <definedName name="MgtUnit">Dropdowns_Formulas!$B$2:$B$200</definedName>
    <definedName name="MgtUnit_Study">Dropdowns_Manual!$C$2:$C$200</definedName>
    <definedName name="Miscellaneous">Dropdowns_Manual!$AJ$2:$AJ$200</definedName>
    <definedName name="OpsMgt">Dropdowns_Manual!$Z$2:$Z$25</definedName>
    <definedName name="Organic">Dropdowns_Manual!$AO$2:$AO$76</definedName>
    <definedName name="Other">Dropdowns_Manual!$T$2:$T$64</definedName>
    <definedName name="Pasture_Mixed">Dropdowns_Manual!$T$3:$T$200</definedName>
    <definedName name="Plow">Dropdowns_Manual!$AE$2:$AE$200</definedName>
    <definedName name="Roller_or_Packer">Dropdowns_Manual!$AF$2:$AF$100</definedName>
    <definedName name="Rotary_Equipment">Dropdowns_Manual!$AG$2:$AG$100</definedName>
    <definedName name="Saline">Dropdowns_Manual!$R$2:$R$50</definedName>
    <definedName name="Seedbed_Prep">Dropdowns_Manual!$AH$2:$AH$100</definedName>
    <definedName name="Soil_Conditioner">Dropdowns_Manual!$AI$2:$AI$100</definedName>
    <definedName name="SoilDist_OpsEquipCat">Dropdowns_Manual!$AA$2:$AA$11</definedName>
    <definedName name="States">Dropdowns_Manual!$B$2:$B$51</definedName>
    <definedName name="TermMethod">Dropdowns_Manual!$V$2:$V$54</definedName>
    <definedName name="User_Perm">Dropdowns_Manual!$A$2:$A$3</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49" i="3" l="1"/>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A43" i="12"/>
  <c r="C42" i="12"/>
  <c r="A42" i="12"/>
  <c r="C41" i="12"/>
  <c r="A41" i="12"/>
  <c r="C40" i="12"/>
  <c r="A40" i="12"/>
  <c r="C39" i="12"/>
  <c r="A39" i="12"/>
  <c r="C38" i="12"/>
  <c r="A38" i="12"/>
  <c r="C37" i="12"/>
  <c r="A37" i="12"/>
  <c r="C36" i="12"/>
  <c r="A36" i="12"/>
  <c r="C35" i="12"/>
  <c r="A35" i="12"/>
  <c r="C34" i="12"/>
  <c r="A34" i="12"/>
  <c r="C33" i="12"/>
  <c r="A33" i="12"/>
  <c r="C32" i="12"/>
  <c r="A32" i="12"/>
  <c r="C31" i="12"/>
  <c r="A31" i="12"/>
  <c r="C30" i="12"/>
  <c r="A30" i="12"/>
  <c r="C29" i="12"/>
  <c r="A29" i="12"/>
  <c r="C28" i="12"/>
  <c r="A28" i="12"/>
  <c r="C27" i="12"/>
  <c r="A27" i="12"/>
  <c r="C26" i="12"/>
  <c r="A26" i="12"/>
  <c r="C25" i="12"/>
  <c r="A25" i="12"/>
  <c r="C24" i="12"/>
  <c r="A24" i="12"/>
  <c r="C23" i="12"/>
  <c r="A23" i="12"/>
  <c r="C22" i="12"/>
  <c r="A22" i="12"/>
  <c r="C21" i="12"/>
  <c r="A21" i="12"/>
  <c r="C20" i="12"/>
  <c r="A20" i="12"/>
  <c r="C19" i="12"/>
  <c r="A19" i="12"/>
  <c r="C18" i="12"/>
  <c r="A18" i="12"/>
  <c r="C17" i="12"/>
  <c r="A17" i="12"/>
  <c r="C16" i="12"/>
  <c r="A16" i="12"/>
  <c r="C15" i="12"/>
  <c r="A15" i="12"/>
  <c r="C14" i="12"/>
  <c r="A14" i="12"/>
  <c r="C13" i="12"/>
  <c r="A13" i="12"/>
  <c r="C12" i="12"/>
  <c r="A12" i="12"/>
  <c r="C11" i="12"/>
  <c r="A11" i="12"/>
  <c r="C10" i="12"/>
  <c r="A10" i="12"/>
  <c r="C9" i="12"/>
  <c r="A9" i="12"/>
  <c r="C8" i="12"/>
  <c r="A8" i="12"/>
  <c r="C7" i="12"/>
  <c r="A7" i="12"/>
  <c r="C6" i="12"/>
  <c r="A6" i="12"/>
  <c r="C5" i="12"/>
  <c r="A5" i="12"/>
  <c r="C4" i="12"/>
  <c r="A4" i="12"/>
  <c r="C3" i="12"/>
  <c r="A3" i="12"/>
  <c r="C2" i="12"/>
  <c r="A2" i="1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B1706" i="3" s="1"/>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B43" i="12" s="1"/>
  <c r="C45" i="2"/>
  <c r="B42" i="12" s="1"/>
  <c r="C44" i="2"/>
  <c r="B41" i="12" s="1"/>
  <c r="C43" i="2"/>
  <c r="B40" i="12" s="1"/>
  <c r="C42" i="2"/>
  <c r="B39" i="12" s="1"/>
  <c r="C41" i="2"/>
  <c r="B38" i="12" s="1"/>
  <c r="C40" i="2"/>
  <c r="B37" i="12" s="1"/>
  <c r="C39" i="2"/>
  <c r="B36" i="12" s="1"/>
  <c r="C38" i="2"/>
  <c r="B35" i="12" s="1"/>
  <c r="C37" i="2"/>
  <c r="B34" i="12" s="1"/>
  <c r="C36" i="2"/>
  <c r="B33" i="12" s="1"/>
  <c r="C35" i="2"/>
  <c r="B32" i="12" s="1"/>
  <c r="C34" i="2"/>
  <c r="B31" i="12" s="1"/>
  <c r="C33" i="2"/>
  <c r="B30" i="12" s="1"/>
  <c r="C32" i="2"/>
  <c r="B29" i="12" s="1"/>
  <c r="C31" i="2"/>
  <c r="B28" i="12" s="1"/>
  <c r="C30" i="2"/>
  <c r="B27" i="12" s="1"/>
  <c r="C29" i="2"/>
  <c r="B26" i="12" s="1"/>
  <c r="C28" i="2"/>
  <c r="B25" i="12" s="1"/>
  <c r="C27" i="2"/>
  <c r="B24" i="12" s="1"/>
  <c r="C26" i="2"/>
  <c r="B23" i="12" s="1"/>
  <c r="C25" i="2"/>
  <c r="B22" i="12" s="1"/>
  <c r="C24" i="2"/>
  <c r="B21" i="12" s="1"/>
  <c r="C23" i="2"/>
  <c r="B20" i="12" s="1"/>
  <c r="C22" i="2"/>
  <c r="B19" i="12" s="1"/>
  <c r="C21" i="2"/>
  <c r="B18" i="12" s="1"/>
  <c r="C20" i="2"/>
  <c r="B17" i="12" s="1"/>
  <c r="C19" i="2"/>
  <c r="B16" i="12" s="1"/>
  <c r="C18" i="2"/>
  <c r="B15" i="12" s="1"/>
  <c r="C17" i="2"/>
  <c r="B14" i="12" s="1"/>
  <c r="C16" i="2"/>
  <c r="B13" i="12" s="1"/>
  <c r="C15" i="2"/>
  <c r="B12" i="12" s="1"/>
  <c r="C14" i="2"/>
  <c r="B11" i="12" s="1"/>
  <c r="C13" i="2"/>
  <c r="B10" i="12" s="1"/>
  <c r="C12" i="2"/>
  <c r="B9" i="12" s="1"/>
  <c r="C11" i="2"/>
  <c r="B8" i="12" s="1"/>
  <c r="C10" i="2"/>
  <c r="B7" i="12" s="1"/>
  <c r="C9" i="2"/>
  <c r="B6" i="12" s="1"/>
  <c r="C8" i="2"/>
  <c r="B5" i="12" s="1"/>
  <c r="C7" i="2"/>
  <c r="B4" i="12" s="1"/>
  <c r="C6" i="2"/>
  <c r="B3" i="12" s="1"/>
  <c r="C5" i="2"/>
  <c r="B414" i="6" s="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B1697" i="3"/>
  <c r="B1690" i="3"/>
  <c r="B1681" i="3"/>
  <c r="B1674" i="3"/>
  <c r="B1665" i="3"/>
  <c r="B1658" i="3"/>
  <c r="B1649" i="3"/>
  <c r="B1642" i="3"/>
  <c r="B1633" i="3"/>
  <c r="B1626" i="3"/>
  <c r="B1617" i="3"/>
  <c r="B1610" i="3"/>
  <c r="B1601" i="3"/>
  <c r="B1594" i="3"/>
  <c r="B1585" i="3"/>
  <c r="B1578" i="3"/>
  <c r="B1569" i="3"/>
  <c r="B1562" i="3"/>
  <c r="B1553" i="3"/>
  <c r="B1546" i="3"/>
  <c r="B1537" i="3"/>
  <c r="B1530" i="3"/>
  <c r="B1521" i="3"/>
  <c r="B1514" i="3"/>
  <c r="B1505" i="3"/>
  <c r="B1498" i="3"/>
  <c r="B1489" i="3"/>
  <c r="B1482" i="3"/>
  <c r="B1473" i="3"/>
  <c r="B1466" i="3"/>
  <c r="B1457" i="3"/>
  <c r="B1450" i="3"/>
  <c r="B1441" i="3"/>
  <c r="B1434" i="3"/>
  <c r="B1425" i="3"/>
  <c r="B1418" i="3"/>
  <c r="B1409" i="3"/>
  <c r="B1402" i="3"/>
  <c r="B1393" i="3"/>
  <c r="B1386" i="3"/>
  <c r="B1377" i="3"/>
  <c r="B1370" i="3"/>
  <c r="B1361" i="3"/>
  <c r="B1354" i="3"/>
  <c r="B1345" i="3"/>
  <c r="B1338" i="3"/>
  <c r="B1329" i="3"/>
  <c r="B1322" i="3"/>
  <c r="B1313" i="3"/>
  <c r="B1306" i="3"/>
  <c r="B1297" i="3"/>
  <c r="B1290" i="3"/>
  <c r="B1281" i="3"/>
  <c r="B1274" i="3"/>
  <c r="B1265" i="3"/>
  <c r="B1258" i="3"/>
  <c r="B1248" i="3"/>
  <c r="B1241" i="3"/>
  <c r="B1232" i="3"/>
  <c r="B1225" i="3"/>
  <c r="B1216" i="3"/>
  <c r="B1209" i="3"/>
  <c r="B1200" i="3"/>
  <c r="B1193" i="3"/>
  <c r="B1184" i="3"/>
  <c r="B1177" i="3"/>
  <c r="B1168" i="3"/>
  <c r="B1161" i="3"/>
  <c r="B1152" i="3"/>
  <c r="B1145" i="3"/>
  <c r="B1136" i="3"/>
  <c r="B1129" i="3"/>
  <c r="B1120" i="3"/>
  <c r="B1113" i="3"/>
  <c r="B1104" i="3"/>
  <c r="B1097" i="3"/>
  <c r="B1088" i="3"/>
  <c r="B1081" i="3"/>
  <c r="B1072" i="3"/>
  <c r="B1065" i="3"/>
  <c r="B1056" i="3"/>
  <c r="B1049" i="3"/>
  <c r="B1040" i="3"/>
  <c r="B1033" i="3"/>
  <c r="B1024" i="3"/>
  <c r="B1017" i="3"/>
  <c r="B1008" i="3"/>
  <c r="B1001" i="3"/>
  <c r="B992" i="3"/>
  <c r="B985" i="3"/>
  <c r="B976" i="3"/>
  <c r="B969" i="3"/>
  <c r="B960" i="3"/>
  <c r="B953" i="3"/>
  <c r="B944" i="3"/>
  <c r="B937" i="3"/>
  <c r="B928" i="3"/>
  <c r="B921" i="3"/>
  <c r="B912" i="3"/>
  <c r="B905" i="3"/>
  <c r="B896" i="3"/>
  <c r="B889" i="3"/>
  <c r="B880" i="3"/>
  <c r="B873" i="3"/>
  <c r="B864" i="3"/>
  <c r="B857" i="3"/>
  <c r="B848" i="3"/>
  <c r="B841" i="3"/>
  <c r="B832" i="3"/>
  <c r="B825" i="3"/>
  <c r="B816" i="3"/>
  <c r="B809" i="3"/>
  <c r="B800" i="3"/>
  <c r="B793" i="3"/>
  <c r="B784" i="3"/>
  <c r="B777" i="3"/>
  <c r="B768" i="3"/>
  <c r="B761" i="3"/>
  <c r="B752" i="3"/>
  <c r="B745" i="3"/>
  <c r="B736" i="3"/>
  <c r="B729" i="3"/>
  <c r="B720" i="3"/>
  <c r="B713" i="3"/>
  <c r="B704" i="3"/>
  <c r="B697" i="3"/>
  <c r="B688" i="3"/>
  <c r="B681" i="3"/>
  <c r="B672" i="3"/>
  <c r="B665" i="3"/>
  <c r="B656" i="3"/>
  <c r="B649" i="3"/>
  <c r="B640" i="3"/>
  <c r="B633" i="3"/>
  <c r="B624" i="3"/>
  <c r="B617" i="3"/>
  <c r="B608" i="3"/>
  <c r="B601" i="3"/>
  <c r="B592" i="3"/>
  <c r="B585" i="3"/>
  <c r="B576" i="3"/>
  <c r="B569" i="3"/>
  <c r="B560" i="3"/>
  <c r="B553" i="3"/>
  <c r="B544" i="3"/>
  <c r="B537" i="3"/>
  <c r="B528" i="3"/>
  <c r="B521" i="3"/>
  <c r="B512" i="3"/>
  <c r="B505" i="3"/>
  <c r="B496" i="3"/>
  <c r="B489" i="3"/>
  <c r="B480" i="3"/>
  <c r="B473" i="3"/>
  <c r="B464" i="3"/>
  <c r="B457" i="3"/>
  <c r="B448" i="3"/>
  <c r="B441" i="3"/>
  <c r="B432" i="3"/>
  <c r="B425" i="3"/>
  <c r="B416" i="3"/>
  <c r="B409" i="3"/>
  <c r="B400" i="3"/>
  <c r="B393" i="3"/>
  <c r="B384" i="3"/>
  <c r="B377" i="3"/>
  <c r="B368" i="3"/>
  <c r="B361" i="3"/>
  <c r="B352" i="3"/>
  <c r="B345" i="3"/>
  <c r="B336" i="3"/>
  <c r="B329" i="3"/>
  <c r="B320" i="3"/>
  <c r="B313" i="3"/>
  <c r="B304" i="3"/>
  <c r="B297" i="3"/>
  <c r="B288" i="3"/>
  <c r="B281" i="3"/>
  <c r="B272" i="3"/>
  <c r="B265" i="3"/>
  <c r="B256" i="3"/>
  <c r="B249" i="3"/>
  <c r="B240" i="3"/>
  <c r="B233" i="3"/>
  <c r="B224" i="3"/>
  <c r="B217" i="3"/>
  <c r="B208" i="3"/>
  <c r="B201" i="3"/>
  <c r="B192" i="3"/>
  <c r="B185" i="3"/>
  <c r="B176" i="3"/>
  <c r="B169" i="3"/>
  <c r="B160" i="3"/>
  <c r="B153" i="3"/>
  <c r="B144" i="3"/>
  <c r="B137" i="3"/>
  <c r="B128" i="3"/>
  <c r="B121" i="3"/>
  <c r="B112" i="3"/>
  <c r="B105" i="3"/>
  <c r="B96" i="3"/>
  <c r="B89" i="3"/>
  <c r="B80" i="3"/>
  <c r="B73" i="3"/>
  <c r="B64" i="3"/>
  <c r="B53" i="3"/>
  <c r="B44" i="3"/>
  <c r="B37" i="3"/>
  <c r="B57" i="3"/>
  <c r="B55" i="3"/>
  <c r="B29" i="3"/>
  <c r="B28" i="3"/>
  <c r="B27" i="3"/>
  <c r="B26" i="3"/>
  <c r="B25" i="3"/>
  <c r="B24" i="3"/>
  <c r="B23" i="3"/>
  <c r="B22" i="3"/>
  <c r="B21" i="3"/>
  <c r="B20" i="3"/>
  <c r="B19" i="3"/>
  <c r="B18" i="3"/>
  <c r="B17" i="3"/>
  <c r="B16" i="3"/>
  <c r="B15" i="3"/>
  <c r="B14" i="3"/>
  <c r="B13" i="3"/>
  <c r="B12" i="3"/>
  <c r="B11" i="3"/>
  <c r="B10" i="3"/>
  <c r="B9" i="3"/>
  <c r="B8" i="3"/>
  <c r="B7" i="3"/>
  <c r="B6" i="3"/>
  <c r="B5" i="3"/>
  <c r="B58" i="3" l="1"/>
  <c r="B209" i="3"/>
  <c r="B34" i="3"/>
  <c r="B50" i="3"/>
  <c r="B70" i="3"/>
  <c r="B86" i="3"/>
  <c r="B102" i="3"/>
  <c r="B118" i="3"/>
  <c r="B134" i="3"/>
  <c r="B150" i="3"/>
  <c r="B166" i="3"/>
  <c r="B182" i="3"/>
  <c r="B198" i="3"/>
  <c r="B214" i="3"/>
  <c r="B230" i="3"/>
  <c r="B246" i="3"/>
  <c r="B262" i="3"/>
  <c r="B278" i="3"/>
  <c r="B294" i="3"/>
  <c r="B310" i="3"/>
  <c r="B326" i="3"/>
  <c r="B342" i="3"/>
  <c r="B358" i="3"/>
  <c r="B374" i="3"/>
  <c r="B390" i="3"/>
  <c r="B406" i="3"/>
  <c r="B422" i="3"/>
  <c r="B438" i="3"/>
  <c r="B454" i="3"/>
  <c r="B470" i="3"/>
  <c r="B486" i="3"/>
  <c r="B502" i="3"/>
  <c r="B518" i="3"/>
  <c r="B534" i="3"/>
  <c r="B550" i="3"/>
  <c r="B566" i="3"/>
  <c r="B582" i="3"/>
  <c r="B598" i="3"/>
  <c r="B614" i="3"/>
  <c r="B630" i="3"/>
  <c r="B646" i="3"/>
  <c r="B662" i="3"/>
  <c r="B678" i="3"/>
  <c r="B694" i="3"/>
  <c r="B710" i="3"/>
  <c r="B726" i="3"/>
  <c r="B742" i="3"/>
  <c r="B758" i="3"/>
  <c r="B774" i="3"/>
  <c r="B790" i="3"/>
  <c r="B806" i="3"/>
  <c r="B822" i="3"/>
  <c r="B838" i="3"/>
  <c r="B854" i="3"/>
  <c r="B870" i="3"/>
  <c r="B886" i="3"/>
  <c r="B902" i="3"/>
  <c r="B918" i="3"/>
  <c r="B934" i="3"/>
  <c r="B950" i="3"/>
  <c r="B966" i="3"/>
  <c r="B982" i="3"/>
  <c r="B998" i="3"/>
  <c r="B1014" i="3"/>
  <c r="B1030" i="3"/>
  <c r="B1046" i="3"/>
  <c r="B1062" i="3"/>
  <c r="B1078" i="3"/>
  <c r="B1094" i="3"/>
  <c r="B1110" i="3"/>
  <c r="B1126" i="3"/>
  <c r="B1142" i="3"/>
  <c r="B1158" i="3"/>
  <c r="B1174" i="3"/>
  <c r="B1190" i="3"/>
  <c r="B1206" i="3"/>
  <c r="B1222" i="3"/>
  <c r="B1238" i="3"/>
  <c r="B1255" i="3"/>
  <c r="B1271" i="3"/>
  <c r="B1287" i="3"/>
  <c r="B1303" i="3"/>
  <c r="B1319" i="3"/>
  <c r="B1335" i="3"/>
  <c r="B1351" i="3"/>
  <c r="B1367" i="3"/>
  <c r="B1383" i="3"/>
  <c r="B1399" i="3"/>
  <c r="B1415" i="3"/>
  <c r="B1431" i="3"/>
  <c r="B1447" i="3"/>
  <c r="B1463" i="3"/>
  <c r="B1479" i="3"/>
  <c r="B1495" i="3"/>
  <c r="B1511" i="3"/>
  <c r="B1527" i="3"/>
  <c r="B1543" i="3"/>
  <c r="B1559" i="3"/>
  <c r="B1575" i="3"/>
  <c r="B1591" i="3"/>
  <c r="B1607" i="3"/>
  <c r="B1623" i="3"/>
  <c r="B1639" i="3"/>
  <c r="B1655" i="3"/>
  <c r="B1671" i="3"/>
  <c r="B1687" i="3"/>
  <c r="B1703" i="3"/>
  <c r="B14" i="4"/>
  <c r="B30" i="4"/>
  <c r="B46" i="4"/>
  <c r="B62" i="4"/>
  <c r="B78" i="4"/>
  <c r="B94" i="4"/>
  <c r="B110" i="4"/>
  <c r="B126" i="4"/>
  <c r="B142" i="4"/>
  <c r="B158" i="4"/>
  <c r="B174" i="4"/>
  <c r="B190" i="4"/>
  <c r="B206" i="4"/>
  <c r="B222" i="4"/>
  <c r="B238" i="4"/>
  <c r="B254" i="4"/>
  <c r="B270" i="4"/>
  <c r="B286" i="4"/>
  <c r="B302" i="4"/>
  <c r="B318" i="4"/>
  <c r="B334" i="4"/>
  <c r="B350" i="4"/>
  <c r="B366" i="4"/>
  <c r="B387" i="4"/>
  <c r="B414" i="4"/>
  <c r="B437" i="4"/>
  <c r="B472" i="4"/>
  <c r="B525" i="4"/>
  <c r="B590" i="4"/>
  <c r="B684" i="4"/>
  <c r="B765" i="4"/>
  <c r="B846" i="4"/>
  <c r="B940" i="4"/>
  <c r="B1021" i="4"/>
  <c r="B1102" i="4"/>
  <c r="B1196" i="4"/>
  <c r="B1277" i="4"/>
  <c r="B1358" i="4"/>
  <c r="B1452" i="4"/>
  <c r="B1533" i="4"/>
  <c r="B1614" i="4"/>
  <c r="B1708" i="4"/>
  <c r="B1789" i="4"/>
  <c r="B1870" i="4"/>
  <c r="B1964" i="4"/>
  <c r="B2045" i="4"/>
  <c r="B2126" i="4"/>
  <c r="B2220" i="4"/>
  <c r="B2301" i="4"/>
  <c r="B2382" i="4"/>
  <c r="B2476" i="4"/>
  <c r="B2557" i="4"/>
  <c r="B2638" i="4"/>
  <c r="B2732" i="4"/>
  <c r="B2820" i="4"/>
  <c r="B2918" i="4"/>
  <c r="B3083" i="4"/>
  <c r="B823" i="5"/>
  <c r="B1713" i="3"/>
  <c r="B45" i="3"/>
  <c r="B193" i="3"/>
  <c r="B35" i="3"/>
  <c r="B51" i="3"/>
  <c r="B71" i="3"/>
  <c r="B87" i="3"/>
  <c r="B103" i="3"/>
  <c r="B119" i="3"/>
  <c r="B135" i="3"/>
  <c r="B151" i="3"/>
  <c r="B167" i="3"/>
  <c r="B183" i="3"/>
  <c r="B199" i="3"/>
  <c r="B215" i="3"/>
  <c r="B231" i="3"/>
  <c r="B247" i="3"/>
  <c r="B263" i="3"/>
  <c r="B279" i="3"/>
  <c r="B295" i="3"/>
  <c r="B311" i="3"/>
  <c r="B327" i="3"/>
  <c r="B343" i="3"/>
  <c r="B359" i="3"/>
  <c r="B375" i="3"/>
  <c r="B391" i="3"/>
  <c r="B407" i="3"/>
  <c r="B423" i="3"/>
  <c r="B439" i="3"/>
  <c r="B455" i="3"/>
  <c r="B471" i="3"/>
  <c r="B487" i="3"/>
  <c r="B503" i="3"/>
  <c r="B519" i="3"/>
  <c r="B535" i="3"/>
  <c r="B551" i="3"/>
  <c r="B567" i="3"/>
  <c r="B583" i="3"/>
  <c r="B599" i="3"/>
  <c r="B615" i="3"/>
  <c r="B631" i="3"/>
  <c r="B647" i="3"/>
  <c r="B663" i="3"/>
  <c r="B679" i="3"/>
  <c r="B695" i="3"/>
  <c r="B711" i="3"/>
  <c r="B727" i="3"/>
  <c r="B743" i="3"/>
  <c r="B759" i="3"/>
  <c r="B775" i="3"/>
  <c r="B791" i="3"/>
  <c r="B807" i="3"/>
  <c r="B823" i="3"/>
  <c r="B839" i="3"/>
  <c r="B855" i="3"/>
  <c r="B871" i="3"/>
  <c r="B887" i="3"/>
  <c r="B903" i="3"/>
  <c r="B919" i="3"/>
  <c r="B935" i="3"/>
  <c r="B951" i="3"/>
  <c r="B967" i="3"/>
  <c r="B983" i="3"/>
  <c r="B999" i="3"/>
  <c r="B1015" i="3"/>
  <c r="B1031" i="3"/>
  <c r="B1047" i="3"/>
  <c r="B1063" i="3"/>
  <c r="B1079" i="3"/>
  <c r="B1095" i="3"/>
  <c r="B1111" i="3"/>
  <c r="B1127" i="3"/>
  <c r="B1143" i="3"/>
  <c r="B1159" i="3"/>
  <c r="B1175" i="3"/>
  <c r="B1191" i="3"/>
  <c r="B1207" i="3"/>
  <c r="B1223" i="3"/>
  <c r="B1239" i="3"/>
  <c r="B1256" i="3"/>
  <c r="B1272" i="3"/>
  <c r="B1288" i="3"/>
  <c r="B1304" i="3"/>
  <c r="B1320" i="3"/>
  <c r="B1336" i="3"/>
  <c r="B1352" i="3"/>
  <c r="B1368" i="3"/>
  <c r="B1384" i="3"/>
  <c r="B1400" i="3"/>
  <c r="B1416" i="3"/>
  <c r="B1432" i="3"/>
  <c r="B1448" i="3"/>
  <c r="B1464" i="3"/>
  <c r="B1480" i="3"/>
  <c r="B1496" i="3"/>
  <c r="B1512" i="3"/>
  <c r="B1528" i="3"/>
  <c r="B1544" i="3"/>
  <c r="B1560" i="3"/>
  <c r="B1576" i="3"/>
  <c r="B1592" i="3"/>
  <c r="B1608" i="3"/>
  <c r="B1624" i="3"/>
  <c r="B1640" i="3"/>
  <c r="B1656" i="3"/>
  <c r="B1672" i="3"/>
  <c r="B1688" i="3"/>
  <c r="B1704" i="3"/>
  <c r="B15" i="4"/>
  <c r="B31" i="4"/>
  <c r="B47" i="4"/>
  <c r="B63" i="4"/>
  <c r="B79" i="4"/>
  <c r="B95" i="4"/>
  <c r="B111" i="4"/>
  <c r="B127" i="4"/>
  <c r="B143" i="4"/>
  <c r="B159" i="4"/>
  <c r="B175" i="4"/>
  <c r="B191" i="4"/>
  <c r="B207" i="4"/>
  <c r="B223" i="4"/>
  <c r="B239" i="4"/>
  <c r="B255" i="4"/>
  <c r="B271" i="4"/>
  <c r="B287" i="4"/>
  <c r="B303" i="4"/>
  <c r="B319" i="4"/>
  <c r="B335" i="4"/>
  <c r="B351" i="4"/>
  <c r="B367" i="4"/>
  <c r="B388" i="4"/>
  <c r="B416" i="4"/>
  <c r="B440" i="4"/>
  <c r="B476" i="4"/>
  <c r="B526" i="4"/>
  <c r="B604" i="4"/>
  <c r="B685" i="4"/>
  <c r="B766" i="4"/>
  <c r="B860" i="4"/>
  <c r="B941" i="4"/>
  <c r="B1022" i="4"/>
  <c r="B1116" i="4"/>
  <c r="B1197" i="4"/>
  <c r="B1278" i="4"/>
  <c r="B1372" i="4"/>
  <c r="B1453" i="4"/>
  <c r="B1534" i="4"/>
  <c r="B1628" i="4"/>
  <c r="B1709" i="4"/>
  <c r="B1790" i="4"/>
  <c r="B1884" i="4"/>
  <c r="B1965" i="4"/>
  <c r="B2046" i="4"/>
  <c r="B2140" i="4"/>
  <c r="B2221" i="4"/>
  <c r="B2302" i="4"/>
  <c r="B2396" i="4"/>
  <c r="B2477" i="4"/>
  <c r="B2558" i="4"/>
  <c r="B2652" i="4"/>
  <c r="B2733" i="4"/>
  <c r="B2821" i="4"/>
  <c r="B2936" i="4"/>
  <c r="B3089" i="4"/>
  <c r="B839" i="5"/>
  <c r="B145" i="3"/>
  <c r="B36" i="3"/>
  <c r="B52" i="3"/>
  <c r="B72" i="3"/>
  <c r="B88" i="3"/>
  <c r="B104" i="3"/>
  <c r="B120" i="3"/>
  <c r="B136" i="3"/>
  <c r="B152" i="3"/>
  <c r="B168" i="3"/>
  <c r="B184" i="3"/>
  <c r="B200" i="3"/>
  <c r="B216" i="3"/>
  <c r="B232" i="3"/>
  <c r="B248" i="3"/>
  <c r="B264" i="3"/>
  <c r="B280" i="3"/>
  <c r="B296" i="3"/>
  <c r="B312" i="3"/>
  <c r="B328" i="3"/>
  <c r="B344" i="3"/>
  <c r="B360" i="3"/>
  <c r="B376" i="3"/>
  <c r="B392" i="3"/>
  <c r="B408" i="3"/>
  <c r="B424" i="3"/>
  <c r="B440" i="3"/>
  <c r="B456" i="3"/>
  <c r="B472" i="3"/>
  <c r="B488" i="3"/>
  <c r="B504" i="3"/>
  <c r="B520" i="3"/>
  <c r="B536" i="3"/>
  <c r="B552" i="3"/>
  <c r="B568" i="3"/>
  <c r="B584" i="3"/>
  <c r="B600" i="3"/>
  <c r="B616" i="3"/>
  <c r="B632" i="3"/>
  <c r="B648" i="3"/>
  <c r="B664" i="3"/>
  <c r="B680" i="3"/>
  <c r="B696" i="3"/>
  <c r="B712" i="3"/>
  <c r="B728" i="3"/>
  <c r="B744" i="3"/>
  <c r="B760" i="3"/>
  <c r="B776" i="3"/>
  <c r="B792" i="3"/>
  <c r="B808" i="3"/>
  <c r="B824" i="3"/>
  <c r="B840" i="3"/>
  <c r="B856" i="3"/>
  <c r="B872" i="3"/>
  <c r="B888" i="3"/>
  <c r="B904" i="3"/>
  <c r="B920" i="3"/>
  <c r="B936" i="3"/>
  <c r="B952" i="3"/>
  <c r="B968" i="3"/>
  <c r="B984" i="3"/>
  <c r="B1000" i="3"/>
  <c r="B1016" i="3"/>
  <c r="B1032" i="3"/>
  <c r="B1048" i="3"/>
  <c r="B1064" i="3"/>
  <c r="B1080" i="3"/>
  <c r="B1096" i="3"/>
  <c r="B1112" i="3"/>
  <c r="B1128" i="3"/>
  <c r="B1144" i="3"/>
  <c r="B1160" i="3"/>
  <c r="B1176" i="3"/>
  <c r="B1192" i="3"/>
  <c r="B1208" i="3"/>
  <c r="B1224" i="3"/>
  <c r="B1240" i="3"/>
  <c r="B1257" i="3"/>
  <c r="B1273" i="3"/>
  <c r="B1289" i="3"/>
  <c r="B1305" i="3"/>
  <c r="B1321" i="3"/>
  <c r="B1337" i="3"/>
  <c r="B1353" i="3"/>
  <c r="B1369" i="3"/>
  <c r="B1385" i="3"/>
  <c r="B1401" i="3"/>
  <c r="B1417" i="3"/>
  <c r="B1433" i="3"/>
  <c r="B1449" i="3"/>
  <c r="B1465" i="3"/>
  <c r="B1481" i="3"/>
  <c r="B1497" i="3"/>
  <c r="B1513" i="3"/>
  <c r="B1529" i="3"/>
  <c r="B1545" i="3"/>
  <c r="B1561" i="3"/>
  <c r="B1577" i="3"/>
  <c r="B1593" i="3"/>
  <c r="B1609" i="3"/>
  <c r="B1625" i="3"/>
  <c r="B1641" i="3"/>
  <c r="B1657" i="3"/>
  <c r="B1673" i="3"/>
  <c r="B1689" i="3"/>
  <c r="B1705" i="3"/>
  <c r="B16" i="4"/>
  <c r="B32" i="4"/>
  <c r="B48" i="4"/>
  <c r="B64" i="4"/>
  <c r="B80" i="4"/>
  <c r="B96" i="4"/>
  <c r="B112" i="4"/>
  <c r="B128" i="4"/>
  <c r="B144" i="4"/>
  <c r="B160" i="4"/>
  <c r="B176" i="4"/>
  <c r="B192" i="4"/>
  <c r="B208" i="4"/>
  <c r="B224" i="4"/>
  <c r="B240" i="4"/>
  <c r="B256" i="4"/>
  <c r="B272" i="4"/>
  <c r="B288" i="4"/>
  <c r="B304" i="4"/>
  <c r="B320" i="4"/>
  <c r="B336" i="4"/>
  <c r="B352" i="4"/>
  <c r="B368" i="4"/>
  <c r="B389" i="4"/>
  <c r="B417" i="4"/>
  <c r="B444" i="4"/>
  <c r="B477" i="4"/>
  <c r="B536" i="4"/>
  <c r="B605" i="4"/>
  <c r="B686" i="4"/>
  <c r="B780" i="4"/>
  <c r="B861" i="4"/>
  <c r="B942" i="4"/>
  <c r="B1036" i="4"/>
  <c r="B1117" i="4"/>
  <c r="B1198" i="4"/>
  <c r="B1292" i="4"/>
  <c r="B1373" i="4"/>
  <c r="B1454" i="4"/>
  <c r="B1548" i="4"/>
  <c r="B1629" i="4"/>
  <c r="B1710" i="4"/>
  <c r="B1804" i="4"/>
  <c r="B1885" i="4"/>
  <c r="B1966" i="4"/>
  <c r="B2060" i="4"/>
  <c r="B2141" i="4"/>
  <c r="B2222" i="4"/>
  <c r="B2316" i="4"/>
  <c r="B2397" i="4"/>
  <c r="B2478" i="4"/>
  <c r="B2572" i="4"/>
  <c r="B2653" i="4"/>
  <c r="B2734" i="4"/>
  <c r="B2837" i="4"/>
  <c r="B2937" i="4"/>
  <c r="B3092" i="4"/>
  <c r="B263" i="6"/>
  <c r="B17" i="4"/>
  <c r="B33" i="4"/>
  <c r="B49" i="4"/>
  <c r="B65" i="4"/>
  <c r="B81" i="4"/>
  <c r="B97" i="4"/>
  <c r="B113" i="4"/>
  <c r="B129" i="4"/>
  <c r="B145" i="4"/>
  <c r="B161" i="4"/>
  <c r="B177" i="4"/>
  <c r="B193" i="4"/>
  <c r="B209" i="4"/>
  <c r="B225" i="4"/>
  <c r="B241" i="4"/>
  <c r="B257" i="4"/>
  <c r="B273" i="4"/>
  <c r="B289" i="4"/>
  <c r="B305" i="4"/>
  <c r="B321" i="4"/>
  <c r="B337" i="4"/>
  <c r="B353" i="4"/>
  <c r="B369" i="4"/>
  <c r="B392" i="4"/>
  <c r="B418" i="4"/>
  <c r="B445" i="4"/>
  <c r="B478" i="4"/>
  <c r="B540" i="4"/>
  <c r="B606" i="4"/>
  <c r="B700" i="4"/>
  <c r="B781" i="4"/>
  <c r="B862" i="4"/>
  <c r="B956" i="4"/>
  <c r="B1037" i="4"/>
  <c r="B1118" i="4"/>
  <c r="B1212" i="4"/>
  <c r="B1293" i="4"/>
  <c r="B1374" i="4"/>
  <c r="B1468" i="4"/>
  <c r="B1549" i="4"/>
  <c r="B1630" i="4"/>
  <c r="B1724" i="4"/>
  <c r="B1805" i="4"/>
  <c r="B1886" i="4"/>
  <c r="B1980" i="4"/>
  <c r="B2061" i="4"/>
  <c r="B2142" i="4"/>
  <c r="B2236" i="4"/>
  <c r="B2317" i="4"/>
  <c r="B2398" i="4"/>
  <c r="B2492" i="4"/>
  <c r="B2573" i="4"/>
  <c r="B2654" i="4"/>
  <c r="B2749" i="4"/>
  <c r="B2838" i="4"/>
  <c r="B2939" i="4"/>
  <c r="B3147" i="4"/>
  <c r="B38" i="3"/>
  <c r="B54" i="3"/>
  <c r="B74" i="3"/>
  <c r="B90" i="3"/>
  <c r="B106" i="3"/>
  <c r="B122" i="3"/>
  <c r="B138" i="3"/>
  <c r="B154" i="3"/>
  <c r="B170" i="3"/>
  <c r="B186" i="3"/>
  <c r="B202" i="3"/>
  <c r="B218" i="3"/>
  <c r="B234" i="3"/>
  <c r="B250" i="3"/>
  <c r="B266" i="3"/>
  <c r="B282" i="3"/>
  <c r="B298" i="3"/>
  <c r="B314" i="3"/>
  <c r="B330" i="3"/>
  <c r="B346" i="3"/>
  <c r="B362" i="3"/>
  <c r="B378" i="3"/>
  <c r="B394" i="3"/>
  <c r="B410" i="3"/>
  <c r="B426" i="3"/>
  <c r="B442" i="3"/>
  <c r="B458" i="3"/>
  <c r="B474" i="3"/>
  <c r="B490" i="3"/>
  <c r="B506" i="3"/>
  <c r="B522" i="3"/>
  <c r="B538" i="3"/>
  <c r="B554" i="3"/>
  <c r="B570" i="3"/>
  <c r="B586" i="3"/>
  <c r="B602" i="3"/>
  <c r="B618" i="3"/>
  <c r="B634" i="3"/>
  <c r="B650" i="3"/>
  <c r="B666" i="3"/>
  <c r="B682" i="3"/>
  <c r="B698" i="3"/>
  <c r="B714" i="3"/>
  <c r="B730" i="3"/>
  <c r="B746" i="3"/>
  <c r="B762" i="3"/>
  <c r="B778" i="3"/>
  <c r="B794" i="3"/>
  <c r="B810" i="3"/>
  <c r="B826" i="3"/>
  <c r="B842" i="3"/>
  <c r="B858" i="3"/>
  <c r="B874" i="3"/>
  <c r="B890" i="3"/>
  <c r="B906" i="3"/>
  <c r="B922" i="3"/>
  <c r="B938" i="3"/>
  <c r="B954" i="3"/>
  <c r="B970" i="3"/>
  <c r="B986" i="3"/>
  <c r="B1002" i="3"/>
  <c r="B1018" i="3"/>
  <c r="B1034" i="3"/>
  <c r="B1050" i="3"/>
  <c r="B1066" i="3"/>
  <c r="B1082" i="3"/>
  <c r="B1098" i="3"/>
  <c r="B1114" i="3"/>
  <c r="B1130" i="3"/>
  <c r="B1146" i="3"/>
  <c r="B1162" i="3"/>
  <c r="B1178" i="3"/>
  <c r="B1194" i="3"/>
  <c r="B1210" i="3"/>
  <c r="B1226" i="3"/>
  <c r="B1242" i="3"/>
  <c r="B1259" i="3"/>
  <c r="B1275" i="3"/>
  <c r="B1291" i="3"/>
  <c r="B1307" i="3"/>
  <c r="B1323" i="3"/>
  <c r="B1339" i="3"/>
  <c r="B1355" i="3"/>
  <c r="B1371" i="3"/>
  <c r="B1387" i="3"/>
  <c r="B1403" i="3"/>
  <c r="B1419" i="3"/>
  <c r="B1435" i="3"/>
  <c r="B1451" i="3"/>
  <c r="B1467" i="3"/>
  <c r="B1483" i="3"/>
  <c r="B1499" i="3"/>
  <c r="B1515" i="3"/>
  <c r="B1531" i="3"/>
  <c r="B1547" i="3"/>
  <c r="B1563" i="3"/>
  <c r="B1579" i="3"/>
  <c r="B1595" i="3"/>
  <c r="B1611" i="3"/>
  <c r="B1627" i="3"/>
  <c r="B1643" i="3"/>
  <c r="B1659" i="3"/>
  <c r="B1675" i="3"/>
  <c r="B1691" i="3"/>
  <c r="B1707" i="3"/>
  <c r="B1441" i="11"/>
  <c r="B1425" i="11"/>
  <c r="B1409" i="11"/>
  <c r="B1393" i="11"/>
  <c r="B1377" i="11"/>
  <c r="B1361" i="11"/>
  <c r="B1345" i="11"/>
  <c r="B1329" i="11"/>
  <c r="B1313" i="11"/>
  <c r="B1297" i="11"/>
  <c r="B1281" i="11"/>
  <c r="B1265" i="11"/>
  <c r="B1249" i="11"/>
  <c r="B1233" i="11"/>
  <c r="B1217" i="11"/>
  <c r="B1201" i="11"/>
  <c r="B1185" i="11"/>
  <c r="B1169" i="11"/>
  <c r="B1153" i="11"/>
  <c r="B1137" i="11"/>
  <c r="B1121" i="11"/>
  <c r="B1105" i="11"/>
  <c r="B1089" i="11"/>
  <c r="B1073" i="11"/>
  <c r="B1057" i="11"/>
  <c r="B1041" i="11"/>
  <c r="B1025" i="11"/>
  <c r="B1009" i="11"/>
  <c r="B993" i="11"/>
  <c r="B977" i="11"/>
  <c r="B961" i="11"/>
  <c r="B945" i="11"/>
  <c r="B929" i="11"/>
  <c r="B913" i="11"/>
  <c r="B897" i="11"/>
  <c r="B881" i="11"/>
  <c r="B865" i="11"/>
  <c r="B849" i="11"/>
  <c r="B833" i="11"/>
  <c r="B817" i="11"/>
  <c r="B801" i="11"/>
  <c r="B785" i="11"/>
  <c r="B769" i="11"/>
  <c r="B753" i="11"/>
  <c r="B737" i="11"/>
  <c r="B721" i="11"/>
  <c r="B705" i="11"/>
  <c r="B689" i="11"/>
  <c r="B673" i="11"/>
  <c r="B657" i="11"/>
  <c r="B641" i="11"/>
  <c r="B625" i="11"/>
  <c r="B609" i="11"/>
  <c r="B593" i="11"/>
  <c r="B577" i="11"/>
  <c r="B561" i="11"/>
  <c r="B545" i="11"/>
  <c r="B529" i="11"/>
  <c r="B513" i="11"/>
  <c r="B497" i="11"/>
  <c r="B481" i="11"/>
  <c r="B465" i="11"/>
  <c r="B449" i="11"/>
  <c r="B433" i="11"/>
  <c r="B417" i="11"/>
  <c r="B401" i="11"/>
  <c r="B385" i="11"/>
  <c r="B369" i="11"/>
  <c r="B353" i="11"/>
  <c r="B337" i="11"/>
  <c r="B321" i="11"/>
  <c r="B305" i="11"/>
  <c r="B289" i="11"/>
  <c r="B273" i="11"/>
  <c r="B257" i="11"/>
  <c r="B241" i="11"/>
  <c r="B225" i="11"/>
  <c r="B209" i="11"/>
  <c r="B193" i="11"/>
  <c r="B177" i="11"/>
  <c r="B161" i="11"/>
  <c r="B145" i="11"/>
  <c r="B1440" i="11"/>
  <c r="B1424" i="11"/>
  <c r="B1408" i="11"/>
  <c r="B1392" i="11"/>
  <c r="B1376" i="11"/>
  <c r="B1360" i="11"/>
  <c r="B1344" i="11"/>
  <c r="B1328" i="11"/>
  <c r="B1312" i="11"/>
  <c r="B1296" i="11"/>
  <c r="B1280" i="11"/>
  <c r="B1264" i="11"/>
  <c r="B1248" i="11"/>
  <c r="B1232" i="11"/>
  <c r="B1216" i="11"/>
  <c r="B1200" i="11"/>
  <c r="B1184" i="11"/>
  <c r="B1168" i="11"/>
  <c r="B1152" i="11"/>
  <c r="B1136" i="11"/>
  <c r="B1120" i="11"/>
  <c r="B1104" i="11"/>
  <c r="B1088" i="11"/>
  <c r="B1072" i="11"/>
  <c r="B1056" i="11"/>
  <c r="B1040" i="11"/>
  <c r="B1024" i="11"/>
  <c r="B1008" i="11"/>
  <c r="B992" i="11"/>
  <c r="B976" i="11"/>
  <c r="B960" i="11"/>
  <c r="B944" i="11"/>
  <c r="B928" i="11"/>
  <c r="B912" i="11"/>
  <c r="B896" i="11"/>
  <c r="B880" i="11"/>
  <c r="B864" i="11"/>
  <c r="B848" i="11"/>
  <c r="B832" i="11"/>
  <c r="B816" i="11"/>
  <c r="B800" i="11"/>
  <c r="B784" i="11"/>
  <c r="B768" i="11"/>
  <c r="B752" i="11"/>
  <c r="B736" i="11"/>
  <c r="B720" i="11"/>
  <c r="B704" i="11"/>
  <c r="B688" i="11"/>
  <c r="B672" i="11"/>
  <c r="B656" i="11"/>
  <c r="B640" i="11"/>
  <c r="B624" i="11"/>
  <c r="B608" i="11"/>
  <c r="B592" i="11"/>
  <c r="B576" i="11"/>
  <c r="B560" i="11"/>
  <c r="B544" i="11"/>
  <c r="B528" i="11"/>
  <c r="B512" i="11"/>
  <c r="B496" i="11"/>
  <c r="B480" i="11"/>
  <c r="B464" i="11"/>
  <c r="B448" i="11"/>
  <c r="B432" i="11"/>
  <c r="B416" i="11"/>
  <c r="B400" i="11"/>
  <c r="B384" i="11"/>
  <c r="B368" i="11"/>
  <c r="B352" i="11"/>
  <c r="B336" i="11"/>
  <c r="B320" i="11"/>
  <c r="B304" i="11"/>
  <c r="B288" i="11"/>
  <c r="B272" i="11"/>
  <c r="B256" i="11"/>
  <c r="B240" i="11"/>
  <c r="B224" i="11"/>
  <c r="B208" i="11"/>
  <c r="B192" i="11"/>
  <c r="B176" i="11"/>
  <c r="B160" i="11"/>
  <c r="B144" i="11"/>
  <c r="B1439" i="11"/>
  <c r="B1423" i="11"/>
  <c r="B1407" i="11"/>
  <c r="B1391" i="11"/>
  <c r="B1375" i="11"/>
  <c r="B1359" i="11"/>
  <c r="B1343" i="11"/>
  <c r="B1327" i="11"/>
  <c r="B1311" i="11"/>
  <c r="B1295" i="11"/>
  <c r="B1279" i="11"/>
  <c r="B1263" i="11"/>
  <c r="B1247" i="11"/>
  <c r="B1231" i="11"/>
  <c r="B1215" i="11"/>
  <c r="B1199" i="11"/>
  <c r="B1183" i="11"/>
  <c r="B1167" i="11"/>
  <c r="B1151" i="11"/>
  <c r="B1135" i="11"/>
  <c r="B1119" i="11"/>
  <c r="B1103" i="11"/>
  <c r="B1087" i="11"/>
  <c r="B1071" i="11"/>
  <c r="B1055" i="11"/>
  <c r="B1039" i="11"/>
  <c r="B1023" i="11"/>
  <c r="B1007" i="11"/>
  <c r="B991" i="11"/>
  <c r="B975" i="11"/>
  <c r="B959" i="11"/>
  <c r="B943" i="11"/>
  <c r="B927" i="11"/>
  <c r="B911" i="11"/>
  <c r="B895" i="11"/>
  <c r="B879" i="11"/>
  <c r="B863" i="11"/>
  <c r="B847" i="11"/>
  <c r="B831" i="11"/>
  <c r="B815" i="11"/>
  <c r="B799" i="11"/>
  <c r="B783" i="11"/>
  <c r="B767" i="11"/>
  <c r="B751" i="11"/>
  <c r="B735" i="11"/>
  <c r="B719" i="11"/>
  <c r="B703" i="11"/>
  <c r="B687" i="11"/>
  <c r="B671" i="11"/>
  <c r="B655" i="11"/>
  <c r="B639" i="11"/>
  <c r="B623" i="11"/>
  <c r="B607" i="11"/>
  <c r="B591" i="11"/>
  <c r="B575" i="11"/>
  <c r="B559" i="11"/>
  <c r="B543" i="11"/>
  <c r="B527" i="11"/>
  <c r="B511" i="11"/>
  <c r="B495" i="11"/>
  <c r="B479" i="11"/>
  <c r="B463" i="11"/>
  <c r="B447" i="11"/>
  <c r="B431" i="11"/>
  <c r="B415" i="11"/>
  <c r="B399" i="11"/>
  <c r="B383" i="11"/>
  <c r="B367" i="11"/>
  <c r="B351" i="11"/>
  <c r="B335" i="11"/>
  <c r="B319" i="11"/>
  <c r="B303" i="11"/>
  <c r="B287" i="11"/>
  <c r="B271" i="11"/>
  <c r="B255" i="11"/>
  <c r="B239" i="11"/>
  <c r="B223" i="11"/>
  <c r="B207" i="11"/>
  <c r="B191" i="11"/>
  <c r="B175" i="11"/>
  <c r="B159" i="11"/>
  <c r="B143" i="11"/>
  <c r="B127" i="11"/>
  <c r="B2" i="12"/>
  <c r="B1438" i="11"/>
  <c r="B1422" i="11"/>
  <c r="B1406" i="11"/>
  <c r="B1390" i="11"/>
  <c r="B1374" i="11"/>
  <c r="B1358" i="11"/>
  <c r="B1342" i="11"/>
  <c r="B1326" i="11"/>
  <c r="B1310" i="11"/>
  <c r="B1294" i="11"/>
  <c r="B1278" i="11"/>
  <c r="B1262" i="11"/>
  <c r="B1246" i="11"/>
  <c r="B1230" i="11"/>
  <c r="B1214" i="11"/>
  <c r="B1198" i="11"/>
  <c r="B1182" i="11"/>
  <c r="B1166" i="11"/>
  <c r="B1150" i="11"/>
  <c r="B1134" i="11"/>
  <c r="B1118" i="11"/>
  <c r="B1102" i="11"/>
  <c r="B1086" i="11"/>
  <c r="B1070" i="11"/>
  <c r="B1054" i="11"/>
  <c r="B1038" i="11"/>
  <c r="B1022" i="11"/>
  <c r="B1006" i="11"/>
  <c r="B990" i="11"/>
  <c r="B974" i="11"/>
  <c r="B958" i="11"/>
  <c r="B942" i="11"/>
  <c r="B926" i="11"/>
  <c r="B910" i="11"/>
  <c r="B894" i="11"/>
  <c r="B878" i="11"/>
  <c r="B862" i="11"/>
  <c r="B846" i="11"/>
  <c r="B830" i="11"/>
  <c r="B814" i="11"/>
  <c r="B798" i="11"/>
  <c r="B782" i="11"/>
  <c r="B766" i="11"/>
  <c r="B750" i="11"/>
  <c r="B734" i="11"/>
  <c r="B718" i="11"/>
  <c r="B702" i="11"/>
  <c r="B686" i="11"/>
  <c r="B670" i="11"/>
  <c r="B1452" i="11"/>
  <c r="B1436" i="11"/>
  <c r="B1420" i="11"/>
  <c r="B1404" i="11"/>
  <c r="B1388" i="11"/>
  <c r="B1372" i="11"/>
  <c r="B1356" i="11"/>
  <c r="B1340" i="11"/>
  <c r="B1324" i="11"/>
  <c r="B1308" i="11"/>
  <c r="B1292" i="11"/>
  <c r="B1276" i="11"/>
  <c r="B1260" i="11"/>
  <c r="B1244" i="11"/>
  <c r="B1228" i="11"/>
  <c r="B1212" i="11"/>
  <c r="B1196" i="11"/>
  <c r="B1180" i="11"/>
  <c r="B1164" i="11"/>
  <c r="B1148" i="11"/>
  <c r="B1132" i="11"/>
  <c r="B1116" i="11"/>
  <c r="B1100" i="11"/>
  <c r="B1084" i="11"/>
  <c r="B1068" i="11"/>
  <c r="B1052" i="11"/>
  <c r="B1036" i="11"/>
  <c r="B1020" i="11"/>
  <c r="B1004" i="11"/>
  <c r="B988" i="11"/>
  <c r="B972" i="11"/>
  <c r="B956" i="11"/>
  <c r="B940" i="11"/>
  <c r="B924" i="11"/>
  <c r="B908" i="11"/>
  <c r="B892" i="11"/>
  <c r="B876" i="11"/>
  <c r="B860" i="11"/>
  <c r="B844" i="11"/>
  <c r="B828" i="11"/>
  <c r="B812" i="11"/>
  <c r="B796" i="11"/>
  <c r="B780" i="11"/>
  <c r="B764" i="11"/>
  <c r="B748" i="11"/>
  <c r="B732" i="11"/>
  <c r="B716" i="11"/>
  <c r="B700" i="11"/>
  <c r="B684" i="11"/>
  <c r="B668" i="11"/>
  <c r="B652" i="11"/>
  <c r="B636" i="11"/>
  <c r="B620" i="11"/>
  <c r="B604" i="11"/>
  <c r="B588" i="11"/>
  <c r="B572" i="11"/>
  <c r="B556" i="11"/>
  <c r="B540" i="11"/>
  <c r="B524" i="11"/>
  <c r="B508" i="11"/>
  <c r="B492" i="11"/>
  <c r="B476" i="11"/>
  <c r="B460" i="11"/>
  <c r="B444" i="11"/>
  <c r="B428" i="11"/>
  <c r="B412" i="11"/>
  <c r="B396" i="11"/>
  <c r="B380" i="11"/>
  <c r="B364" i="11"/>
  <c r="B348" i="11"/>
  <c r="B332" i="11"/>
  <c r="B316" i="11"/>
  <c r="B300" i="11"/>
  <c r="B284" i="11"/>
  <c r="B268" i="11"/>
  <c r="B252" i="11"/>
  <c r="B236" i="11"/>
  <c r="B220" i="11"/>
  <c r="B204" i="11"/>
  <c r="B188" i="11"/>
  <c r="B172" i="11"/>
  <c r="B156" i="11"/>
  <c r="B140" i="11"/>
  <c r="B1451" i="11"/>
  <c r="B1435" i="11"/>
  <c r="B1419" i="11"/>
  <c r="B1403" i="11"/>
  <c r="B1387" i="11"/>
  <c r="B1371" i="11"/>
  <c r="B1355" i="11"/>
  <c r="B1339" i="11"/>
  <c r="B1323" i="11"/>
  <c r="B1307" i="11"/>
  <c r="B1291" i="11"/>
  <c r="B1275" i="11"/>
  <c r="B1259" i="11"/>
  <c r="B1243" i="11"/>
  <c r="B1227" i="11"/>
  <c r="B1211" i="11"/>
  <c r="B1195" i="11"/>
  <c r="B1179" i="11"/>
  <c r="B1163" i="11"/>
  <c r="B1147" i="11"/>
  <c r="B1131" i="11"/>
  <c r="B1115" i="11"/>
  <c r="B1099" i="11"/>
  <c r="B1083" i="11"/>
  <c r="B1067" i="11"/>
  <c r="B1051" i="11"/>
  <c r="B1035" i="11"/>
  <c r="B1019" i="11"/>
  <c r="B1003" i="11"/>
  <c r="B987" i="11"/>
  <c r="B971" i="11"/>
  <c r="B955" i="11"/>
  <c r="B939" i="11"/>
  <c r="B923" i="11"/>
  <c r="B907" i="11"/>
  <c r="B891" i="11"/>
  <c r="B875" i="11"/>
  <c r="B859" i="11"/>
  <c r="B843" i="11"/>
  <c r="B827" i="11"/>
  <c r="B811" i="11"/>
  <c r="B795" i="11"/>
  <c r="B779" i="11"/>
  <c r="B763" i="11"/>
  <c r="B747" i="11"/>
  <c r="B731" i="11"/>
  <c r="B715" i="11"/>
  <c r="B699" i="11"/>
  <c r="B683" i="11"/>
  <c r="B667" i="11"/>
  <c r="B651" i="11"/>
  <c r="B635" i="11"/>
  <c r="B619" i="11"/>
  <c r="B603" i="11"/>
  <c r="B587" i="11"/>
  <c r="B571" i="11"/>
  <c r="B555" i="11"/>
  <c r="B539" i="11"/>
  <c r="B523" i="11"/>
  <c r="B507" i="11"/>
  <c r="B491" i="11"/>
  <c r="B475" i="11"/>
  <c r="B459" i="11"/>
  <c r="B443" i="11"/>
  <c r="B427" i="11"/>
  <c r="B411" i="11"/>
  <c r="B395" i="11"/>
  <c r="B379" i="11"/>
  <c r="B363" i="11"/>
  <c r="B347" i="11"/>
  <c r="B331" i="11"/>
  <c r="B315" i="11"/>
  <c r="B299" i="11"/>
  <c r="B283" i="11"/>
  <c r="B267" i="11"/>
  <c r="B251" i="11"/>
  <c r="B235" i="11"/>
  <c r="B219" i="11"/>
  <c r="B203" i="11"/>
  <c r="B187" i="11"/>
  <c r="B171" i="11"/>
  <c r="B155" i="11"/>
  <c r="B139" i="11"/>
  <c r="B1450" i="11"/>
  <c r="B1434" i="11"/>
  <c r="B1418" i="11"/>
  <c r="B1402" i="11"/>
  <c r="B1386" i="11"/>
  <c r="B1370" i="11"/>
  <c r="B1354" i="11"/>
  <c r="B1338" i="11"/>
  <c r="B1322" i="11"/>
  <c r="B1306" i="11"/>
  <c r="B1290" i="11"/>
  <c r="B1274" i="11"/>
  <c r="B1258" i="11"/>
  <c r="B1242" i="11"/>
  <c r="B1226" i="11"/>
  <c r="B1210" i="11"/>
  <c r="B1194" i="11"/>
  <c r="B1178" i="11"/>
  <c r="B1162" i="11"/>
  <c r="B1146" i="11"/>
  <c r="B1130" i="11"/>
  <c r="B1114" i="11"/>
  <c r="B1098" i="11"/>
  <c r="B1082" i="11"/>
  <c r="B1066" i="11"/>
  <c r="B1050" i="11"/>
  <c r="B1034" i="11"/>
  <c r="B1018" i="11"/>
  <c r="B1002" i="11"/>
  <c r="B986" i="11"/>
  <c r="B970" i="11"/>
  <c r="B954" i="11"/>
  <c r="B938" i="11"/>
  <c r="B922" i="11"/>
  <c r="B906" i="11"/>
  <c r="B890" i="11"/>
  <c r="B874" i="11"/>
  <c r="B858" i="11"/>
  <c r="B842" i="11"/>
  <c r="B826" i="11"/>
  <c r="B810" i="11"/>
  <c r="B794" i="11"/>
  <c r="B778" i="11"/>
  <c r="B762" i="11"/>
  <c r="B746" i="11"/>
  <c r="B730" i="11"/>
  <c r="B714" i="11"/>
  <c r="B698" i="11"/>
  <c r="B682" i="11"/>
  <c r="B666" i="11"/>
  <c r="B650" i="11"/>
  <c r="B634" i="11"/>
  <c r="B618" i="11"/>
  <c r="B602" i="11"/>
  <c r="B586" i="11"/>
  <c r="B570" i="11"/>
  <c r="B554" i="11"/>
  <c r="B538" i="11"/>
  <c r="B522" i="11"/>
  <c r="B506" i="11"/>
  <c r="B490" i="11"/>
  <c r="B474" i="11"/>
  <c r="B458" i="11"/>
  <c r="B442" i="11"/>
  <c r="B426" i="11"/>
  <c r="B410" i="11"/>
  <c r="B394" i="11"/>
  <c r="B378" i="11"/>
  <c r="B362" i="11"/>
  <c r="B346" i="11"/>
  <c r="B330" i="11"/>
  <c r="B314" i="11"/>
  <c r="B298" i="11"/>
  <c r="B282" i="11"/>
  <c r="B266" i="11"/>
  <c r="B250" i="11"/>
  <c r="B234" i="11"/>
  <c r="B218" i="11"/>
  <c r="B202" i="11"/>
  <c r="B186" i="11"/>
  <c r="B170" i="11"/>
  <c r="B154" i="11"/>
  <c r="B1449" i="11"/>
  <c r="B1433" i="11"/>
  <c r="B1417" i="11"/>
  <c r="B1401" i="11"/>
  <c r="B1385" i="11"/>
  <c r="B1369" i="11"/>
  <c r="B1353" i="11"/>
  <c r="B1337" i="11"/>
  <c r="B1321" i="11"/>
  <c r="B1305" i="11"/>
  <c r="B1289" i="11"/>
  <c r="B1273" i="11"/>
  <c r="B1257" i="11"/>
  <c r="B1241" i="11"/>
  <c r="B1225" i="11"/>
  <c r="B1209" i="11"/>
  <c r="B1193" i="11"/>
  <c r="B1177" i="11"/>
  <c r="B1161" i="11"/>
  <c r="B1145" i="11"/>
  <c r="B1129" i="11"/>
  <c r="B1113" i="11"/>
  <c r="B1097" i="11"/>
  <c r="B1081" i="11"/>
  <c r="B1065" i="11"/>
  <c r="B1049" i="11"/>
  <c r="B1033" i="11"/>
  <c r="B1017" i="11"/>
  <c r="B1001" i="11"/>
  <c r="B985" i="11"/>
  <c r="B969" i="11"/>
  <c r="B953" i="11"/>
  <c r="B937" i="11"/>
  <c r="B921" i="11"/>
  <c r="B905" i="11"/>
  <c r="B889" i="11"/>
  <c r="B873" i="11"/>
  <c r="B857" i="11"/>
  <c r="B841" i="11"/>
  <c r="B825" i="11"/>
  <c r="B809" i="11"/>
  <c r="B793" i="11"/>
  <c r="B777" i="11"/>
  <c r="B761" i="11"/>
  <c r="B745" i="11"/>
  <c r="B729" i="11"/>
  <c r="B713" i="11"/>
  <c r="B697" i="11"/>
  <c r="B681" i="11"/>
  <c r="B665" i="11"/>
  <c r="B649" i="11"/>
  <c r="B633" i="11"/>
  <c r="B617" i="11"/>
  <c r="B601" i="11"/>
  <c r="B585" i="11"/>
  <c r="B569" i="11"/>
  <c r="B553" i="11"/>
  <c r="B537" i="11"/>
  <c r="B521" i="11"/>
  <c r="B505" i="11"/>
  <c r="B489" i="11"/>
  <c r="B473" i="11"/>
  <c r="B457" i="11"/>
  <c r="B441" i="11"/>
  <c r="B425" i="11"/>
  <c r="B409" i="11"/>
  <c r="B393" i="11"/>
  <c r="B377" i="11"/>
  <c r="B361" i="11"/>
  <c r="B345" i="11"/>
  <c r="B329" i="11"/>
  <c r="B313" i="11"/>
  <c r="B297" i="11"/>
  <c r="B281" i="11"/>
  <c r="B265" i="11"/>
  <c r="B249" i="11"/>
  <c r="B233" i="11"/>
  <c r="B217" i="11"/>
  <c r="B201" i="11"/>
  <c r="B185" i="11"/>
  <c r="B169" i="11"/>
  <c r="B153" i="11"/>
  <c r="B1448" i="11"/>
  <c r="B1432" i="11"/>
  <c r="B1416" i="11"/>
  <c r="B1400" i="11"/>
  <c r="B1384" i="11"/>
  <c r="B1368" i="11"/>
  <c r="B1352" i="11"/>
  <c r="B1336" i="11"/>
  <c r="B1320" i="11"/>
  <c r="B1304" i="11"/>
  <c r="B1288" i="11"/>
  <c r="B1272" i="11"/>
  <c r="B1256" i="11"/>
  <c r="B1240" i="11"/>
  <c r="B1224" i="11"/>
  <c r="B1208" i="11"/>
  <c r="B1192" i="11"/>
  <c r="B1176" i="11"/>
  <c r="B1160" i="11"/>
  <c r="B1144" i="11"/>
  <c r="B1128" i="11"/>
  <c r="B1112" i="11"/>
  <c r="B1096" i="11"/>
  <c r="B1080" i="11"/>
  <c r="B1064" i="11"/>
  <c r="B1048" i="11"/>
  <c r="B1032" i="11"/>
  <c r="B1016" i="11"/>
  <c r="B1000" i="11"/>
  <c r="B984" i="11"/>
  <c r="B968" i="11"/>
  <c r="B952" i="11"/>
  <c r="B936" i="11"/>
  <c r="B920" i="11"/>
  <c r="B904" i="11"/>
  <c r="B888" i="11"/>
  <c r="B872" i="11"/>
  <c r="B856" i="11"/>
  <c r="B840" i="11"/>
  <c r="B824" i="11"/>
  <c r="B808" i="11"/>
  <c r="B792" i="11"/>
  <c r="B776" i="11"/>
  <c r="B760" i="11"/>
  <c r="B744" i="11"/>
  <c r="B728" i="11"/>
  <c r="B712" i="11"/>
  <c r="B696" i="11"/>
  <c r="B680" i="11"/>
  <c r="B664" i="11"/>
  <c r="B648" i="11"/>
  <c r="B632" i="11"/>
  <c r="B616" i="11"/>
  <c r="B600" i="11"/>
  <c r="B584" i="11"/>
  <c r="B568" i="11"/>
  <c r="B552" i="11"/>
  <c r="B536" i="11"/>
  <c r="B520" i="11"/>
  <c r="B504" i="11"/>
  <c r="B488" i="11"/>
  <c r="B472" i="11"/>
  <c r="B456" i="11"/>
  <c r="B440" i="11"/>
  <c r="B424" i="11"/>
  <c r="B408" i="11"/>
  <c r="B392" i="11"/>
  <c r="B376" i="11"/>
  <c r="B360" i="11"/>
  <c r="B344" i="11"/>
  <c r="B328" i="11"/>
  <c r="B312" i="11"/>
  <c r="B296" i="11"/>
  <c r="B280" i="11"/>
  <c r="B264" i="11"/>
  <c r="B248" i="11"/>
  <c r="B232" i="11"/>
  <c r="B216" i="11"/>
  <c r="B200" i="11"/>
  <c r="B184" i="11"/>
  <c r="B168" i="11"/>
  <c r="B152" i="11"/>
  <c r="B136" i="11"/>
  <c r="B1447" i="11"/>
  <c r="B1431" i="11"/>
  <c r="B1415" i="11"/>
  <c r="B1399" i="11"/>
  <c r="B1383" i="11"/>
  <c r="B1367" i="11"/>
  <c r="B1351" i="11"/>
  <c r="B1335" i="11"/>
  <c r="B1319" i="11"/>
  <c r="B1303" i="11"/>
  <c r="B1287" i="11"/>
  <c r="B1271" i="11"/>
  <c r="B1255" i="11"/>
  <c r="B1239" i="11"/>
  <c r="B1223" i="11"/>
  <c r="B1207" i="11"/>
  <c r="B1191" i="11"/>
  <c r="B1175" i="11"/>
  <c r="B1159" i="11"/>
  <c r="B1143" i="11"/>
  <c r="B1127" i="11"/>
  <c r="B1111" i="11"/>
  <c r="B1095" i="11"/>
  <c r="B1079" i="11"/>
  <c r="B1063" i="11"/>
  <c r="B1047" i="11"/>
  <c r="B1031" i="11"/>
  <c r="B1015" i="11"/>
  <c r="B999" i="11"/>
  <c r="B983" i="11"/>
  <c r="B967" i="11"/>
  <c r="B951" i="11"/>
  <c r="B935" i="11"/>
  <c r="B919" i="11"/>
  <c r="B903" i="11"/>
  <c r="B887" i="11"/>
  <c r="B871" i="11"/>
  <c r="B855" i="11"/>
  <c r="B839" i="11"/>
  <c r="B823" i="11"/>
  <c r="B807" i="11"/>
  <c r="B791" i="11"/>
  <c r="B775" i="11"/>
  <c r="B759" i="11"/>
  <c r="B743" i="11"/>
  <c r="B727" i="11"/>
  <c r="B711" i="11"/>
  <c r="B695" i="11"/>
  <c r="B679" i="11"/>
  <c r="B663" i="11"/>
  <c r="B647" i="11"/>
  <c r="B631" i="11"/>
  <c r="B615" i="11"/>
  <c r="B599" i="11"/>
  <c r="B583" i="11"/>
  <c r="B567" i="11"/>
  <c r="B551" i="11"/>
  <c r="B535" i="11"/>
  <c r="B519" i="11"/>
  <c r="B503" i="11"/>
  <c r="B487" i="11"/>
  <c r="B471" i="11"/>
  <c r="B455" i="11"/>
  <c r="B439" i="11"/>
  <c r="B423" i="11"/>
  <c r="B407" i="11"/>
  <c r="B391" i="11"/>
  <c r="B375" i="11"/>
  <c r="B359" i="11"/>
  <c r="B343" i="11"/>
  <c r="B327" i="11"/>
  <c r="B311" i="11"/>
  <c r="B295" i="11"/>
  <c r="B279" i="11"/>
  <c r="B263" i="11"/>
  <c r="B247" i="11"/>
  <c r="B231" i="11"/>
  <c r="B215" i="11"/>
  <c r="B199" i="11"/>
  <c r="B183" i="11"/>
  <c r="B167" i="11"/>
  <c r="B151" i="11"/>
  <c r="B1446" i="11"/>
  <c r="B1430" i="11"/>
  <c r="B1414" i="11"/>
  <c r="B1398" i="11"/>
  <c r="B1382" i="11"/>
  <c r="B1366" i="11"/>
  <c r="B1350" i="11"/>
  <c r="B1334" i="11"/>
  <c r="B1318" i="11"/>
  <c r="B1302" i="11"/>
  <c r="B1286" i="11"/>
  <c r="B1270" i="11"/>
  <c r="B1254" i="11"/>
  <c r="B1238" i="11"/>
  <c r="B1222" i="11"/>
  <c r="B1206" i="11"/>
  <c r="B1190" i="11"/>
  <c r="B1174" i="11"/>
  <c r="B1158" i="11"/>
  <c r="B1142" i="11"/>
  <c r="B1126" i="11"/>
  <c r="B1110" i="11"/>
  <c r="B1094" i="11"/>
  <c r="B1078" i="11"/>
  <c r="B1062" i="11"/>
  <c r="B1046" i="11"/>
  <c r="B1030" i="11"/>
  <c r="B1014" i="11"/>
  <c r="B998" i="11"/>
  <c r="B982" i="11"/>
  <c r="B966" i="11"/>
  <c r="B950" i="11"/>
  <c r="B934" i="11"/>
  <c r="B918" i="11"/>
  <c r="B902" i="11"/>
  <c r="B886" i="11"/>
  <c r="B870" i="11"/>
  <c r="B854" i="11"/>
  <c r="B838" i="11"/>
  <c r="B822" i="11"/>
  <c r="B806" i="11"/>
  <c r="B790" i="11"/>
  <c r="B774" i="11"/>
  <c r="B758" i="11"/>
  <c r="B742" i="11"/>
  <c r="B726" i="11"/>
  <c r="B710" i="11"/>
  <c r="B694" i="11"/>
  <c r="B678" i="11"/>
  <c r="B662" i="11"/>
  <c r="B646" i="11"/>
  <c r="B630" i="11"/>
  <c r="B614" i="11"/>
  <c r="B598" i="11"/>
  <c r="B582" i="11"/>
  <c r="B566" i="11"/>
  <c r="B550" i="11"/>
  <c r="B534" i="11"/>
  <c r="B518" i="11"/>
  <c r="B502" i="11"/>
  <c r="B486" i="11"/>
  <c r="B470" i="11"/>
  <c r="B454" i="11"/>
  <c r="B438" i="11"/>
  <c r="B422" i="11"/>
  <c r="B406" i="11"/>
  <c r="B390" i="11"/>
  <c r="B374" i="11"/>
  <c r="B358" i="11"/>
  <c r="B342" i="11"/>
  <c r="B326" i="11"/>
  <c r="B310" i="11"/>
  <c r="B294" i="11"/>
  <c r="B278" i="11"/>
  <c r="B262" i="11"/>
  <c r="B246" i="11"/>
  <c r="B230" i="11"/>
  <c r="B214" i="11"/>
  <c r="B198" i="11"/>
  <c r="B182" i="11"/>
  <c r="B166" i="11"/>
  <c r="B150" i="11"/>
  <c r="B1445" i="11"/>
  <c r="B1429" i="11"/>
  <c r="B1413" i="11"/>
  <c r="B1397" i="11"/>
  <c r="B1381" i="11"/>
  <c r="B1365" i="11"/>
  <c r="B1349" i="11"/>
  <c r="B1333" i="11"/>
  <c r="B1317" i="11"/>
  <c r="B1301" i="11"/>
  <c r="B1285" i="11"/>
  <c r="B1269" i="11"/>
  <c r="B1253" i="11"/>
  <c r="B1237" i="11"/>
  <c r="B1221" i="11"/>
  <c r="B1205" i="11"/>
  <c r="B1189" i="11"/>
  <c r="B1173" i="11"/>
  <c r="B1157" i="11"/>
  <c r="B1141" i="11"/>
  <c r="B1125" i="11"/>
  <c r="B1109" i="11"/>
  <c r="B1093" i="11"/>
  <c r="B1077" i="11"/>
  <c r="B1061" i="11"/>
  <c r="B1045" i="11"/>
  <c r="B1029" i="11"/>
  <c r="B1013" i="11"/>
  <c r="B997" i="11"/>
  <c r="B981" i="11"/>
  <c r="B965" i="11"/>
  <c r="B949" i="11"/>
  <c r="B933" i="11"/>
  <c r="B917" i="11"/>
  <c r="B901" i="11"/>
  <c r="B885" i="11"/>
  <c r="B869" i="11"/>
  <c r="B853" i="11"/>
  <c r="B837" i="11"/>
  <c r="B821" i="11"/>
  <c r="B805" i="11"/>
  <c r="B789" i="11"/>
  <c r="B773" i="11"/>
  <c r="B757" i="11"/>
  <c r="B741" i="11"/>
  <c r="B725" i="11"/>
  <c r="B709" i="11"/>
  <c r="B693" i="11"/>
  <c r="B677" i="11"/>
  <c r="B661" i="11"/>
  <c r="B645" i="11"/>
  <c r="B629" i="11"/>
  <c r="B613" i="11"/>
  <c r="B597" i="11"/>
  <c r="B581" i="11"/>
  <c r="B565" i="11"/>
  <c r="B549" i="11"/>
  <c r="B533" i="11"/>
  <c r="B517" i="11"/>
  <c r="B501" i="11"/>
  <c r="B485" i="11"/>
  <c r="B469" i="11"/>
  <c r="B453" i="11"/>
  <c r="B437" i="11"/>
  <c r="B421" i="11"/>
  <c r="B405" i="11"/>
  <c r="B389" i="11"/>
  <c r="B373" i="11"/>
  <c r="B357" i="11"/>
  <c r="B341" i="11"/>
  <c r="B325" i="11"/>
  <c r="B309" i="11"/>
  <c r="B293" i="11"/>
  <c r="B277" i="11"/>
  <c r="B261" i="11"/>
  <c r="B245" i="11"/>
  <c r="B229" i="11"/>
  <c r="B213" i="11"/>
  <c r="B197" i="11"/>
  <c r="B181" i="11"/>
  <c r="B165" i="11"/>
  <c r="B149" i="11"/>
  <c r="B133" i="11"/>
  <c r="B1444" i="11"/>
  <c r="B1428" i="11"/>
  <c r="B1412" i="11"/>
  <c r="B1396" i="11"/>
  <c r="B1380" i="11"/>
  <c r="B1364" i="11"/>
  <c r="B1348" i="11"/>
  <c r="B1332" i="11"/>
  <c r="B1316" i="11"/>
  <c r="B1300" i="11"/>
  <c r="B1284" i="11"/>
  <c r="B1268" i="11"/>
  <c r="B1252" i="11"/>
  <c r="B1236" i="11"/>
  <c r="B1220" i="11"/>
  <c r="B1204" i="11"/>
  <c r="B1188" i="11"/>
  <c r="B1172" i="11"/>
  <c r="B1156" i="11"/>
  <c r="B1140" i="11"/>
  <c r="B1124" i="11"/>
  <c r="B1108" i="11"/>
  <c r="B1092" i="11"/>
  <c r="B1076" i="11"/>
  <c r="B1060" i="11"/>
  <c r="B1044" i="11"/>
  <c r="B1028" i="11"/>
  <c r="B1012" i="11"/>
  <c r="B996" i="11"/>
  <c r="B980" i="11"/>
  <c r="B964" i="11"/>
  <c r="B948" i="11"/>
  <c r="B932" i="11"/>
  <c r="B916" i="11"/>
  <c r="B900" i="11"/>
  <c r="B884" i="11"/>
  <c r="B868" i="11"/>
  <c r="B852" i="11"/>
  <c r="B836" i="11"/>
  <c r="B820" i="11"/>
  <c r="B804" i="11"/>
  <c r="B788" i="11"/>
  <c r="B772" i="11"/>
  <c r="B756" i="11"/>
  <c r="B740" i="11"/>
  <c r="B724" i="11"/>
  <c r="B708" i="11"/>
  <c r="B692" i="11"/>
  <c r="B676" i="11"/>
  <c r="B660" i="11"/>
  <c r="B644" i="11"/>
  <c r="B628" i="11"/>
  <c r="B612" i="11"/>
  <c r="B596" i="11"/>
  <c r="B580" i="11"/>
  <c r="B564" i="11"/>
  <c r="B548" i="11"/>
  <c r="B532" i="11"/>
  <c r="B516" i="11"/>
  <c r="B500" i="11"/>
  <c r="B484" i="11"/>
  <c r="B468" i="11"/>
  <c r="B452" i="11"/>
  <c r="B436" i="11"/>
  <c r="B420" i="11"/>
  <c r="B404" i="11"/>
  <c r="B388" i="11"/>
  <c r="B372" i="11"/>
  <c r="B356" i="11"/>
  <c r="B340" i="11"/>
  <c r="B324" i="11"/>
  <c r="B308" i="11"/>
  <c r="B292" i="11"/>
  <c r="B276" i="11"/>
  <c r="B260" i="11"/>
  <c r="B244" i="11"/>
  <c r="B228" i="11"/>
  <c r="B212" i="11"/>
  <c r="B196" i="11"/>
  <c r="B180" i="11"/>
  <c r="B164" i="11"/>
  <c r="B148" i="11"/>
  <c r="B1443" i="11"/>
  <c r="B1427" i="11"/>
  <c r="B1411" i="11"/>
  <c r="B1395" i="11"/>
  <c r="B1379" i="11"/>
  <c r="B1363" i="11"/>
  <c r="B1347" i="11"/>
  <c r="B1331" i="11"/>
  <c r="B1315" i="11"/>
  <c r="B1299" i="11"/>
  <c r="B1283" i="11"/>
  <c r="B1267" i="11"/>
  <c r="B1251" i="11"/>
  <c r="B1235" i="11"/>
  <c r="B1219" i="11"/>
  <c r="B1203" i="11"/>
  <c r="B1187" i="11"/>
  <c r="B1171" i="11"/>
  <c r="B1155" i="11"/>
  <c r="B1139" i="11"/>
  <c r="B1123" i="11"/>
  <c r="B1107" i="11"/>
  <c r="B1091" i="11"/>
  <c r="B1075" i="11"/>
  <c r="B1059" i="11"/>
  <c r="B1043" i="11"/>
  <c r="B1027" i="11"/>
  <c r="B1011" i="11"/>
  <c r="B995" i="11"/>
  <c r="B979" i="11"/>
  <c r="B963" i="11"/>
  <c r="B947" i="11"/>
  <c r="B931" i="11"/>
  <c r="B915" i="11"/>
  <c r="B899" i="11"/>
  <c r="B883" i="11"/>
  <c r="B867" i="11"/>
  <c r="B851" i="11"/>
  <c r="B835" i="11"/>
  <c r="B819" i="11"/>
  <c r="B803" i="11"/>
  <c r="B787" i="11"/>
  <c r="B771" i="11"/>
  <c r="B755" i="11"/>
  <c r="B739" i="11"/>
  <c r="B723" i="11"/>
  <c r="B707" i="11"/>
  <c r="B691" i="11"/>
  <c r="B675" i="11"/>
  <c r="B659" i="11"/>
  <c r="B643" i="11"/>
  <c r="B627" i="11"/>
  <c r="B611" i="11"/>
  <c r="B595" i="11"/>
  <c r="B579" i="11"/>
  <c r="B563" i="11"/>
  <c r="B547" i="11"/>
  <c r="B531" i="11"/>
  <c r="B515" i="11"/>
  <c r="B499" i="11"/>
  <c r="B483" i="11"/>
  <c r="B467" i="11"/>
  <c r="B451" i="11"/>
  <c r="B435" i="11"/>
  <c r="B419" i="11"/>
  <c r="B403" i="11"/>
  <c r="B387" i="11"/>
  <c r="B371" i="11"/>
  <c r="B355" i="11"/>
  <c r="B339" i="11"/>
  <c r="B323" i="11"/>
  <c r="B307" i="11"/>
  <c r="B291" i="11"/>
  <c r="B275" i="11"/>
  <c r="B259" i="11"/>
  <c r="B243" i="11"/>
  <c r="B227" i="11"/>
  <c r="B211" i="11"/>
  <c r="B195" i="11"/>
  <c r="B179" i="11"/>
  <c r="B163" i="11"/>
  <c r="B147" i="11"/>
  <c r="B1442" i="11"/>
  <c r="B1426" i="11"/>
  <c r="B1410" i="11"/>
  <c r="B1394" i="11"/>
  <c r="B1378" i="11"/>
  <c r="B1362" i="11"/>
  <c r="B1346" i="11"/>
  <c r="B1330" i="11"/>
  <c r="B1314" i="11"/>
  <c r="B1298" i="11"/>
  <c r="B1282" i="11"/>
  <c r="B1266" i="11"/>
  <c r="B1250" i="11"/>
  <c r="B1234" i="11"/>
  <c r="B1218" i="11"/>
  <c r="B1202" i="11"/>
  <c r="B1186" i="11"/>
  <c r="B1170" i="11"/>
  <c r="B1154" i="11"/>
  <c r="B1138" i="11"/>
  <c r="B1122" i="11"/>
  <c r="B1106" i="11"/>
  <c r="B1090" i="11"/>
  <c r="B1074" i="11"/>
  <c r="B1058" i="11"/>
  <c r="B1042" i="11"/>
  <c r="B1026" i="11"/>
  <c r="B1010" i="11"/>
  <c r="B994" i="11"/>
  <c r="B978" i="11"/>
  <c r="B962" i="11"/>
  <c r="B946" i="11"/>
  <c r="B930" i="11"/>
  <c r="B914" i="11"/>
  <c r="B898" i="11"/>
  <c r="B882" i="11"/>
  <c r="B866" i="11"/>
  <c r="B850" i="11"/>
  <c r="B834" i="11"/>
  <c r="B818" i="11"/>
  <c r="B802" i="11"/>
  <c r="B786" i="11"/>
  <c r="B770" i="11"/>
  <c r="B754" i="11"/>
  <c r="B738" i="11"/>
  <c r="B722" i="11"/>
  <c r="B706" i="11"/>
  <c r="B690" i="11"/>
  <c r="B674" i="11"/>
  <c r="B658" i="11"/>
  <c r="B642" i="11"/>
  <c r="B626" i="11"/>
  <c r="B610" i="11"/>
  <c r="B594" i="11"/>
  <c r="B578" i="11"/>
  <c r="B562" i="11"/>
  <c r="B546" i="11"/>
  <c r="B530" i="11"/>
  <c r="B514" i="11"/>
  <c r="B498" i="11"/>
  <c r="B482" i="11"/>
  <c r="B466" i="11"/>
  <c r="B450" i="11"/>
  <c r="B434" i="11"/>
  <c r="B418" i="11"/>
  <c r="B402" i="11"/>
  <c r="B386" i="11"/>
  <c r="B370" i="11"/>
  <c r="B354" i="11"/>
  <c r="B338" i="11"/>
  <c r="B322" i="11"/>
  <c r="B306" i="11"/>
  <c r="B290" i="11"/>
  <c r="B274" i="11"/>
  <c r="B258" i="11"/>
  <c r="B242" i="11"/>
  <c r="B226" i="11"/>
  <c r="B210" i="11"/>
  <c r="B194" i="11"/>
  <c r="B178" i="11"/>
  <c r="B162" i="11"/>
  <c r="B146" i="11"/>
  <c r="B130" i="11"/>
  <c r="B1389" i="11"/>
  <c r="B1133" i="11"/>
  <c r="B877" i="11"/>
  <c r="B638" i="11"/>
  <c r="B510" i="11"/>
  <c r="B382" i="11"/>
  <c r="B254" i="11"/>
  <c r="B138" i="11"/>
  <c r="B118" i="11"/>
  <c r="B102" i="11"/>
  <c r="B86" i="11"/>
  <c r="B70" i="11"/>
  <c r="B54" i="11"/>
  <c r="B38" i="11"/>
  <c r="B22" i="11"/>
  <c r="B6" i="11"/>
  <c r="B989" i="6"/>
  <c r="B973" i="6"/>
  <c r="B957" i="6"/>
  <c r="B941" i="6"/>
  <c r="B925" i="6"/>
  <c r="B909" i="6"/>
  <c r="B893" i="6"/>
  <c r="B877" i="6"/>
  <c r="B861" i="6"/>
  <c r="B845" i="6"/>
  <c r="B829" i="6"/>
  <c r="B813" i="6"/>
  <c r="B797" i="6"/>
  <c r="B781" i="6"/>
  <c r="B765" i="6"/>
  <c r="B749" i="6"/>
  <c r="B733" i="6"/>
  <c r="B717" i="6"/>
  <c r="B701" i="6"/>
  <c r="B685" i="6"/>
  <c r="B669" i="6"/>
  <c r="B653" i="6"/>
  <c r="B637" i="6"/>
  <c r="B621" i="6"/>
  <c r="B605" i="6"/>
  <c r="B589" i="6"/>
  <c r="B573" i="6"/>
  <c r="B557" i="6"/>
  <c r="B541" i="6"/>
  <c r="B525" i="6"/>
  <c r="B509" i="6"/>
  <c r="B493" i="6"/>
  <c r="B477" i="6"/>
  <c r="B461" i="6"/>
  <c r="B445" i="6"/>
  <c r="B429" i="6"/>
  <c r="B413" i="6"/>
  <c r="B397" i="6"/>
  <c r="B381" i="6"/>
  <c r="B365" i="6"/>
  <c r="B349" i="6"/>
  <c r="B333" i="6"/>
  <c r="B317" i="6"/>
  <c r="B301" i="6"/>
  <c r="B285" i="6"/>
  <c r="B269" i="6"/>
  <c r="B253" i="6"/>
  <c r="B237" i="6"/>
  <c r="B221" i="6"/>
  <c r="B205" i="6"/>
  <c r="B189" i="6"/>
  <c r="B173" i="6"/>
  <c r="B157" i="6"/>
  <c r="B141" i="6"/>
  <c r="B125" i="6"/>
  <c r="B109" i="6"/>
  <c r="B93" i="6"/>
  <c r="B77" i="6"/>
  <c r="B61" i="6"/>
  <c r="B45" i="6"/>
  <c r="B29" i="6"/>
  <c r="B13" i="6"/>
  <c r="B996" i="5"/>
  <c r="B980" i="5"/>
  <c r="B964" i="5"/>
  <c r="B948" i="5"/>
  <c r="B932" i="5"/>
  <c r="B916" i="5"/>
  <c r="B900" i="5"/>
  <c r="B884" i="5"/>
  <c r="B1373" i="11"/>
  <c r="B1117" i="11"/>
  <c r="B861" i="11"/>
  <c r="B637" i="11"/>
  <c r="B509" i="11"/>
  <c r="B381" i="11"/>
  <c r="B253" i="11"/>
  <c r="B137" i="11"/>
  <c r="B117" i="11"/>
  <c r="B101" i="11"/>
  <c r="B85" i="11"/>
  <c r="B69" i="11"/>
  <c r="B53" i="11"/>
  <c r="B37" i="11"/>
  <c r="B21" i="11"/>
  <c r="B5" i="11"/>
  <c r="B988" i="6"/>
  <c r="B972" i="6"/>
  <c r="B956" i="6"/>
  <c r="B940" i="6"/>
  <c r="B924" i="6"/>
  <c r="B908" i="6"/>
  <c r="B892" i="6"/>
  <c r="B876" i="6"/>
  <c r="B860" i="6"/>
  <c r="B844" i="6"/>
  <c r="B828" i="6"/>
  <c r="B812" i="6"/>
  <c r="B796" i="6"/>
  <c r="B780" i="6"/>
  <c r="B764" i="6"/>
  <c r="B748" i="6"/>
  <c r="B732" i="6"/>
  <c r="B716" i="6"/>
  <c r="B700" i="6"/>
  <c r="B684" i="6"/>
  <c r="B668" i="6"/>
  <c r="B652" i="6"/>
  <c r="B636" i="6"/>
  <c r="B620" i="6"/>
  <c r="B604" i="6"/>
  <c r="B588" i="6"/>
  <c r="B572" i="6"/>
  <c r="B556" i="6"/>
  <c r="B540" i="6"/>
  <c r="B524" i="6"/>
  <c r="B508" i="6"/>
  <c r="B492" i="6"/>
  <c r="B476" i="6"/>
  <c r="B460" i="6"/>
  <c r="B444" i="6"/>
  <c r="B428" i="6"/>
  <c r="B412" i="6"/>
  <c r="B396" i="6"/>
  <c r="B380" i="6"/>
  <c r="B364" i="6"/>
  <c r="B348" i="6"/>
  <c r="B332" i="6"/>
  <c r="B316" i="6"/>
  <c r="B300" i="6"/>
  <c r="B284" i="6"/>
  <c r="B268" i="6"/>
  <c r="B252" i="6"/>
  <c r="B236" i="6"/>
  <c r="B220" i="6"/>
  <c r="B204" i="6"/>
  <c r="B188" i="6"/>
  <c r="B172" i="6"/>
  <c r="B156" i="6"/>
  <c r="B140" i="6"/>
  <c r="B124" i="6"/>
  <c r="B108" i="6"/>
  <c r="B92" i="6"/>
  <c r="B76" i="6"/>
  <c r="B60" i="6"/>
  <c r="B44" i="6"/>
  <c r="B28" i="6"/>
  <c r="B12" i="6"/>
  <c r="B995" i="5"/>
  <c r="B979" i="5"/>
  <c r="B963" i="5"/>
  <c r="B947" i="5"/>
  <c r="B931" i="5"/>
  <c r="B915" i="5"/>
  <c r="B899" i="5"/>
  <c r="B883" i="5"/>
  <c r="B1357" i="11"/>
  <c r="B1101" i="11"/>
  <c r="B845" i="11"/>
  <c r="B622" i="11"/>
  <c r="B494" i="11"/>
  <c r="B366" i="11"/>
  <c r="B238" i="11"/>
  <c r="B135" i="11"/>
  <c r="B116" i="11"/>
  <c r="B100" i="11"/>
  <c r="B84" i="11"/>
  <c r="B68" i="11"/>
  <c r="B52" i="11"/>
  <c r="B36" i="11"/>
  <c r="B20" i="11"/>
  <c r="B1003" i="6"/>
  <c r="B987" i="6"/>
  <c r="B971" i="6"/>
  <c r="B955" i="6"/>
  <c r="B939" i="6"/>
  <c r="B923" i="6"/>
  <c r="B907" i="6"/>
  <c r="B891" i="6"/>
  <c r="B875" i="6"/>
  <c r="B859" i="6"/>
  <c r="B843" i="6"/>
  <c r="B827" i="6"/>
  <c r="B811" i="6"/>
  <c r="B795" i="6"/>
  <c r="B779" i="6"/>
  <c r="B763" i="6"/>
  <c r="B747" i="6"/>
  <c r="B731" i="6"/>
  <c r="B715" i="6"/>
  <c r="B699" i="6"/>
  <c r="B683" i="6"/>
  <c r="B667" i="6"/>
  <c r="B651" i="6"/>
  <c r="B635" i="6"/>
  <c r="B619" i="6"/>
  <c r="B603" i="6"/>
  <c r="B587" i="6"/>
  <c r="B571" i="6"/>
  <c r="B555" i="6"/>
  <c r="B539" i="6"/>
  <c r="B523" i="6"/>
  <c r="B507" i="6"/>
  <c r="B491" i="6"/>
  <c r="B475" i="6"/>
  <c r="B459" i="6"/>
  <c r="B443" i="6"/>
  <c r="B427" i="6"/>
  <c r="B411" i="6"/>
  <c r="B395" i="6"/>
  <c r="B379" i="6"/>
  <c r="B363" i="6"/>
  <c r="B347" i="6"/>
  <c r="B331" i="6"/>
  <c r="B315" i="6"/>
  <c r="B299" i="6"/>
  <c r="B283" i="6"/>
  <c r="B267" i="6"/>
  <c r="B251" i="6"/>
  <c r="B235" i="6"/>
  <c r="B219" i="6"/>
  <c r="B203" i="6"/>
  <c r="B187" i="6"/>
  <c r="B171" i="6"/>
  <c r="B155" i="6"/>
  <c r="B139" i="6"/>
  <c r="B123" i="6"/>
  <c r="B107" i="6"/>
  <c r="B91" i="6"/>
  <c r="B75" i="6"/>
  <c r="B59" i="6"/>
  <c r="B43" i="6"/>
  <c r="B27" i="6"/>
  <c r="B11" i="6"/>
  <c r="B994" i="5"/>
  <c r="B978" i="5"/>
  <c r="B1341" i="11"/>
  <c r="B1085" i="11"/>
  <c r="B829" i="11"/>
  <c r="B621" i="11"/>
  <c r="B493" i="11"/>
  <c r="B365" i="11"/>
  <c r="B237" i="11"/>
  <c r="B134" i="11"/>
  <c r="B115" i="11"/>
  <c r="B99" i="11"/>
  <c r="B83" i="11"/>
  <c r="B67" i="11"/>
  <c r="B51" i="11"/>
  <c r="B35" i="11"/>
  <c r="B19" i="11"/>
  <c r="B1002" i="6"/>
  <c r="B986" i="6"/>
  <c r="B970" i="6"/>
  <c r="B954" i="6"/>
  <c r="B938" i="6"/>
  <c r="B922" i="6"/>
  <c r="B906" i="6"/>
  <c r="B890" i="6"/>
  <c r="B874" i="6"/>
  <c r="B858" i="6"/>
  <c r="B842" i="6"/>
  <c r="B826" i="6"/>
  <c r="B810" i="6"/>
  <c r="B794" i="6"/>
  <c r="B778" i="6"/>
  <c r="B762" i="6"/>
  <c r="B746" i="6"/>
  <c r="B730" i="6"/>
  <c r="B714" i="6"/>
  <c r="B698" i="6"/>
  <c r="B682" i="6"/>
  <c r="B666" i="6"/>
  <c r="B650" i="6"/>
  <c r="B634" i="6"/>
  <c r="B618" i="6"/>
  <c r="B602" i="6"/>
  <c r="B586" i="6"/>
  <c r="B570" i="6"/>
  <c r="B554" i="6"/>
  <c r="B538" i="6"/>
  <c r="B522" i="6"/>
  <c r="B506" i="6"/>
  <c r="B490" i="6"/>
  <c r="B474" i="6"/>
  <c r="B458" i="6"/>
  <c r="B442" i="6"/>
  <c r="B426" i="6"/>
  <c r="B410" i="6"/>
  <c r="B394" i="6"/>
  <c r="B378" i="6"/>
  <c r="B362" i="6"/>
  <c r="B346" i="6"/>
  <c r="B330" i="6"/>
  <c r="B314" i="6"/>
  <c r="B298" i="6"/>
  <c r="B282" i="6"/>
  <c r="B266" i="6"/>
  <c r="B250" i="6"/>
  <c r="B234" i="6"/>
  <c r="B218" i="6"/>
  <c r="B202" i="6"/>
  <c r="B186" i="6"/>
  <c r="B170" i="6"/>
  <c r="B154" i="6"/>
  <c r="B138" i="6"/>
  <c r="B122" i="6"/>
  <c r="B106" i="6"/>
  <c r="B90" i="6"/>
  <c r="B74" i="6"/>
  <c r="B58" i="6"/>
  <c r="B42" i="6"/>
  <c r="B26" i="6"/>
  <c r="B10" i="6"/>
  <c r="B993" i="5"/>
  <c r="B977" i="5"/>
  <c r="B961" i="5"/>
  <c r="B945" i="5"/>
  <c r="B929" i="5"/>
  <c r="B913" i="5"/>
  <c r="B897" i="5"/>
  <c r="B1325" i="11"/>
  <c r="B1069" i="11"/>
  <c r="B813" i="11"/>
  <c r="B606" i="11"/>
  <c r="B478" i="11"/>
  <c r="B350" i="11"/>
  <c r="B222" i="11"/>
  <c r="B132" i="11"/>
  <c r="B114" i="11"/>
  <c r="B98" i="11"/>
  <c r="B82" i="11"/>
  <c r="B66" i="11"/>
  <c r="B50" i="11"/>
  <c r="B34" i="11"/>
  <c r="B18" i="11"/>
  <c r="B1001" i="6"/>
  <c r="B985" i="6"/>
  <c r="B969" i="6"/>
  <c r="B953" i="6"/>
  <c r="B937" i="6"/>
  <c r="B921" i="6"/>
  <c r="B905" i="6"/>
  <c r="B889" i="6"/>
  <c r="B873" i="6"/>
  <c r="B857" i="6"/>
  <c r="B841" i="6"/>
  <c r="B825" i="6"/>
  <c r="B809" i="6"/>
  <c r="B793" i="6"/>
  <c r="B777" i="6"/>
  <c r="B761" i="6"/>
  <c r="B745" i="6"/>
  <c r="B729" i="6"/>
  <c r="B713" i="6"/>
  <c r="B697" i="6"/>
  <c r="B681" i="6"/>
  <c r="B665" i="6"/>
  <c r="B649" i="6"/>
  <c r="B633" i="6"/>
  <c r="B617" i="6"/>
  <c r="B601" i="6"/>
  <c r="B585" i="6"/>
  <c r="B569" i="6"/>
  <c r="B553" i="6"/>
  <c r="B537" i="6"/>
  <c r="B521" i="6"/>
  <c r="B505" i="6"/>
  <c r="B489" i="6"/>
  <c r="B473" i="6"/>
  <c r="B457" i="6"/>
  <c r="B441" i="6"/>
  <c r="B425" i="6"/>
  <c r="B409" i="6"/>
  <c r="B393" i="6"/>
  <c r="B377" i="6"/>
  <c r="B361" i="6"/>
  <c r="B345" i="6"/>
  <c r="B329" i="6"/>
  <c r="B313" i="6"/>
  <c r="B297" i="6"/>
  <c r="B281" i="6"/>
  <c r="B265" i="6"/>
  <c r="B249" i="6"/>
  <c r="B233" i="6"/>
  <c r="B217" i="6"/>
  <c r="B201" i="6"/>
  <c r="B185" i="6"/>
  <c r="B169" i="6"/>
  <c r="B153" i="6"/>
  <c r="B137" i="6"/>
  <c r="B121" i="6"/>
  <c r="B1309" i="11"/>
  <c r="B1053" i="11"/>
  <c r="B797" i="11"/>
  <c r="B605" i="11"/>
  <c r="B477" i="11"/>
  <c r="B349" i="11"/>
  <c r="B221" i="11"/>
  <c r="B131" i="11"/>
  <c r="B113" i="11"/>
  <c r="B97" i="11"/>
  <c r="B81" i="11"/>
  <c r="B65" i="11"/>
  <c r="B49" i="11"/>
  <c r="B33" i="11"/>
  <c r="B17" i="11"/>
  <c r="B1000" i="6"/>
  <c r="B984" i="6"/>
  <c r="B968" i="6"/>
  <c r="B952" i="6"/>
  <c r="B936" i="6"/>
  <c r="B920" i="6"/>
  <c r="B904" i="6"/>
  <c r="B888" i="6"/>
  <c r="B872" i="6"/>
  <c r="B856" i="6"/>
  <c r="B840" i="6"/>
  <c r="B824" i="6"/>
  <c r="B808" i="6"/>
  <c r="B792" i="6"/>
  <c r="B776" i="6"/>
  <c r="B760" i="6"/>
  <c r="B744" i="6"/>
  <c r="B728" i="6"/>
  <c r="B712" i="6"/>
  <c r="B696" i="6"/>
  <c r="B680" i="6"/>
  <c r="B664" i="6"/>
  <c r="B648" i="6"/>
  <c r="B632" i="6"/>
  <c r="B616" i="6"/>
  <c r="B600" i="6"/>
  <c r="B584" i="6"/>
  <c r="B568" i="6"/>
  <c r="B552" i="6"/>
  <c r="B536" i="6"/>
  <c r="B520" i="6"/>
  <c r="B504" i="6"/>
  <c r="B488" i="6"/>
  <c r="B472" i="6"/>
  <c r="B456" i="6"/>
  <c r="B440" i="6"/>
  <c r="B424" i="6"/>
  <c r="B408" i="6"/>
  <c r="B392" i="6"/>
  <c r="B376" i="6"/>
  <c r="B360" i="6"/>
  <c r="B344" i="6"/>
  <c r="B328" i="6"/>
  <c r="B312" i="6"/>
  <c r="B296" i="6"/>
  <c r="B280" i="6"/>
  <c r="B264" i="6"/>
  <c r="B248" i="6"/>
  <c r="B232" i="6"/>
  <c r="B216" i="6"/>
  <c r="B200" i="6"/>
  <c r="B184" i="6"/>
  <c r="B168" i="6"/>
  <c r="B152" i="6"/>
  <c r="B1293" i="11"/>
  <c r="B1037" i="11"/>
  <c r="B781" i="11"/>
  <c r="B590" i="11"/>
  <c r="B462" i="11"/>
  <c r="B334" i="11"/>
  <c r="B206" i="11"/>
  <c r="B129" i="11"/>
  <c r="B112" i="11"/>
  <c r="B96" i="11"/>
  <c r="B80" i="11"/>
  <c r="B64" i="11"/>
  <c r="B48" i="11"/>
  <c r="B32" i="11"/>
  <c r="B16" i="11"/>
  <c r="B999" i="6"/>
  <c r="B983" i="6"/>
  <c r="B967" i="6"/>
  <c r="B951" i="6"/>
  <c r="B935" i="6"/>
  <c r="B919" i="6"/>
  <c r="B903" i="6"/>
  <c r="B887" i="6"/>
  <c r="B871" i="6"/>
  <c r="B855" i="6"/>
  <c r="B839" i="6"/>
  <c r="B823" i="6"/>
  <c r="B807" i="6"/>
  <c r="B791" i="6"/>
  <c r="B775" i="6"/>
  <c r="B759" i="6"/>
  <c r="B743" i="6"/>
  <c r="B727" i="6"/>
  <c r="B711" i="6"/>
  <c r="B695" i="6"/>
  <c r="B679" i="6"/>
  <c r="B663" i="6"/>
  <c r="B647" i="6"/>
  <c r="B631" i="6"/>
  <c r="B615" i="6"/>
  <c r="B599" i="6"/>
  <c r="B583" i="6"/>
  <c r="B567" i="6"/>
  <c r="B551" i="6"/>
  <c r="B535" i="6"/>
  <c r="B519" i="6"/>
  <c r="B503" i="6"/>
  <c r="B487" i="6"/>
  <c r="B471" i="6"/>
  <c r="B455" i="6"/>
  <c r="B439" i="6"/>
  <c r="B423" i="6"/>
  <c r="B407" i="6"/>
  <c r="B391" i="6"/>
  <c r="B375" i="6"/>
  <c r="B1277" i="11"/>
  <c r="B1021" i="11"/>
  <c r="B765" i="11"/>
  <c r="B589" i="11"/>
  <c r="B461" i="11"/>
  <c r="B333" i="11"/>
  <c r="B205" i="11"/>
  <c r="B128" i="11"/>
  <c r="B111" i="11"/>
  <c r="B95" i="11"/>
  <c r="B79" i="11"/>
  <c r="B63" i="11"/>
  <c r="B47" i="11"/>
  <c r="B31" i="11"/>
  <c r="B15" i="11"/>
  <c r="B998" i="6"/>
  <c r="B982" i="6"/>
  <c r="B966" i="6"/>
  <c r="B950" i="6"/>
  <c r="B934" i="6"/>
  <c r="B918" i="6"/>
  <c r="B902" i="6"/>
  <c r="B886" i="6"/>
  <c r="B870" i="6"/>
  <c r="B854" i="6"/>
  <c r="B838" i="6"/>
  <c r="B822" i="6"/>
  <c r="B806" i="6"/>
  <c r="B790" i="6"/>
  <c r="B774" i="6"/>
  <c r="B758" i="6"/>
  <c r="B742" i="6"/>
  <c r="B726" i="6"/>
  <c r="B710" i="6"/>
  <c r="B694" i="6"/>
  <c r="B678" i="6"/>
  <c r="B662" i="6"/>
  <c r="B646" i="6"/>
  <c r="B630" i="6"/>
  <c r="B614" i="6"/>
  <c r="B598" i="6"/>
  <c r="B582" i="6"/>
  <c r="B566" i="6"/>
  <c r="B550" i="6"/>
  <c r="B534" i="6"/>
  <c r="B518" i="6"/>
  <c r="B502" i="6"/>
  <c r="B486" i="6"/>
  <c r="B470" i="6"/>
  <c r="B454" i="6"/>
  <c r="B438" i="6"/>
  <c r="B422" i="6"/>
  <c r="B406" i="6"/>
  <c r="B390" i="6"/>
  <c r="B374" i="6"/>
  <c r="B358" i="6"/>
  <c r="B342" i="6"/>
  <c r="B326" i="6"/>
  <c r="B310" i="6"/>
  <c r="B294" i="6"/>
  <c r="B278" i="6"/>
  <c r="B262" i="6"/>
  <c r="B246" i="6"/>
  <c r="B230" i="6"/>
  <c r="B214" i="6"/>
  <c r="B198" i="6"/>
  <c r="B182" i="6"/>
  <c r="B166" i="6"/>
  <c r="B150" i="6"/>
  <c r="B134" i="6"/>
  <c r="B118" i="6"/>
  <c r="B1261" i="11"/>
  <c r="B1005" i="11"/>
  <c r="B749" i="11"/>
  <c r="B574" i="11"/>
  <c r="B446" i="11"/>
  <c r="B318" i="11"/>
  <c r="B190" i="11"/>
  <c r="B126" i="11"/>
  <c r="B110" i="11"/>
  <c r="B94" i="11"/>
  <c r="B78" i="11"/>
  <c r="B62" i="11"/>
  <c r="B46" i="11"/>
  <c r="B30" i="11"/>
  <c r="B14" i="11"/>
  <c r="B997" i="6"/>
  <c r="B981" i="6"/>
  <c r="B965" i="6"/>
  <c r="B949" i="6"/>
  <c r="B933" i="6"/>
  <c r="B917" i="6"/>
  <c r="B901" i="6"/>
  <c r="B885" i="6"/>
  <c r="B869" i="6"/>
  <c r="B853" i="6"/>
  <c r="B837" i="6"/>
  <c r="B821" i="6"/>
  <c r="B805" i="6"/>
  <c r="B789" i="6"/>
  <c r="B773" i="6"/>
  <c r="B757" i="6"/>
  <c r="B741" i="6"/>
  <c r="B725" i="6"/>
  <c r="B709" i="6"/>
  <c r="B693" i="6"/>
  <c r="B677" i="6"/>
  <c r="B661" i="6"/>
  <c r="B645" i="6"/>
  <c r="B629" i="6"/>
  <c r="B613" i="6"/>
  <c r="B597" i="6"/>
  <c r="B581" i="6"/>
  <c r="B565" i="6"/>
  <c r="B549" i="6"/>
  <c r="B533" i="6"/>
  <c r="B517" i="6"/>
  <c r="B501" i="6"/>
  <c r="B485" i="6"/>
  <c r="B469" i="6"/>
  <c r="B453" i="6"/>
  <c r="B437" i="6"/>
  <c r="B421" i="6"/>
  <c r="B405" i="6"/>
  <c r="B389" i="6"/>
  <c r="B373" i="6"/>
  <c r="B357" i="6"/>
  <c r="B341" i="6"/>
  <c r="B325" i="6"/>
  <c r="B309" i="6"/>
  <c r="B293" i="6"/>
  <c r="B277" i="6"/>
  <c r="B261" i="6"/>
  <c r="B245" i="6"/>
  <c r="B229" i="6"/>
  <c r="B213" i="6"/>
  <c r="B197" i="6"/>
  <c r="B181" i="6"/>
  <c r="B165" i="6"/>
  <c r="B149" i="6"/>
  <c r="B133" i="6"/>
  <c r="B117" i="6"/>
  <c r="B101" i="6"/>
  <c r="B85" i="6"/>
  <c r="B69" i="6"/>
  <c r="B53" i="6"/>
  <c r="B37" i="6"/>
  <c r="B21" i="6"/>
  <c r="B5" i="6"/>
  <c r="B988" i="5"/>
  <c r="B1245" i="11"/>
  <c r="B989" i="11"/>
  <c r="B733" i="11"/>
  <c r="B573" i="11"/>
  <c r="B445" i="11"/>
  <c r="B317" i="11"/>
  <c r="B189" i="11"/>
  <c r="B125" i="11"/>
  <c r="B109" i="11"/>
  <c r="B93" i="11"/>
  <c r="B77" i="11"/>
  <c r="B61" i="11"/>
  <c r="B45" i="11"/>
  <c r="B29" i="11"/>
  <c r="B13" i="11"/>
  <c r="B996" i="6"/>
  <c r="B980" i="6"/>
  <c r="B964" i="6"/>
  <c r="B948" i="6"/>
  <c r="B932" i="6"/>
  <c r="B916" i="6"/>
  <c r="B900" i="6"/>
  <c r="B884" i="6"/>
  <c r="B868" i="6"/>
  <c r="B852" i="6"/>
  <c r="B836" i="6"/>
  <c r="B820" i="6"/>
  <c r="B804" i="6"/>
  <c r="B788" i="6"/>
  <c r="B772" i="6"/>
  <c r="B756" i="6"/>
  <c r="B740" i="6"/>
  <c r="B724" i="6"/>
  <c r="B708" i="6"/>
  <c r="B692" i="6"/>
  <c r="B676" i="6"/>
  <c r="B660" i="6"/>
  <c r="B644" i="6"/>
  <c r="B628" i="6"/>
  <c r="B612" i="6"/>
  <c r="B596" i="6"/>
  <c r="B580" i="6"/>
  <c r="B564" i="6"/>
  <c r="B548" i="6"/>
  <c r="B532" i="6"/>
  <c r="B516" i="6"/>
  <c r="B500" i="6"/>
  <c r="B484" i="6"/>
  <c r="B468" i="6"/>
  <c r="B452" i="6"/>
  <c r="B436" i="6"/>
  <c r="B420" i="6"/>
  <c r="B404" i="6"/>
  <c r="B388" i="6"/>
  <c r="B372" i="6"/>
  <c r="B356" i="6"/>
  <c r="B340" i="6"/>
  <c r="B324" i="6"/>
  <c r="B308" i="6"/>
  <c r="B292" i="6"/>
  <c r="B276" i="6"/>
  <c r="B260" i="6"/>
  <c r="B244" i="6"/>
  <c r="B228" i="6"/>
  <c r="B212" i="6"/>
  <c r="B196" i="6"/>
  <c r="B180" i="6"/>
  <c r="B164" i="6"/>
  <c r="B148" i="6"/>
  <c r="B132" i="6"/>
  <c r="B116" i="6"/>
  <c r="B100" i="6"/>
  <c r="B84" i="6"/>
  <c r="B1229" i="11"/>
  <c r="B973" i="11"/>
  <c r="B717" i="11"/>
  <c r="B558" i="11"/>
  <c r="B430" i="11"/>
  <c r="B302" i="11"/>
  <c r="B174" i="11"/>
  <c r="B124" i="11"/>
  <c r="B108" i="11"/>
  <c r="B92" i="11"/>
  <c r="B76" i="11"/>
  <c r="B60" i="11"/>
  <c r="B44" i="11"/>
  <c r="B28" i="11"/>
  <c r="B12" i="11"/>
  <c r="B995" i="6"/>
  <c r="B979" i="6"/>
  <c r="B963" i="6"/>
  <c r="B947" i="6"/>
  <c r="B931" i="6"/>
  <c r="B915" i="6"/>
  <c r="B899" i="6"/>
  <c r="B883" i="6"/>
  <c r="B867" i="6"/>
  <c r="B851" i="6"/>
  <c r="B835" i="6"/>
  <c r="B819" i="6"/>
  <c r="B803" i="6"/>
  <c r="B787" i="6"/>
  <c r="B771" i="6"/>
  <c r="B755" i="6"/>
  <c r="B739" i="6"/>
  <c r="B723" i="6"/>
  <c r="B707" i="6"/>
  <c r="B691" i="6"/>
  <c r="B675" i="6"/>
  <c r="B659" i="6"/>
  <c r="B643" i="6"/>
  <c r="B627" i="6"/>
  <c r="B611" i="6"/>
  <c r="B595" i="6"/>
  <c r="B579" i="6"/>
  <c r="B563" i="6"/>
  <c r="B547" i="6"/>
  <c r="B531" i="6"/>
  <c r="B515" i="6"/>
  <c r="B499" i="6"/>
  <c r="B483" i="6"/>
  <c r="B467" i="6"/>
  <c r="B451" i="6"/>
  <c r="B435" i="6"/>
  <c r="B419" i="6"/>
  <c r="B403" i="6"/>
  <c r="B387" i="6"/>
  <c r="B371" i="6"/>
  <c r="B355" i="6"/>
  <c r="B339" i="6"/>
  <c r="B323" i="6"/>
  <c r="B307" i="6"/>
  <c r="B291" i="6"/>
  <c r="B275" i="6"/>
  <c r="B259" i="6"/>
  <c r="B243" i="6"/>
  <c r="B227" i="6"/>
  <c r="B211" i="6"/>
  <c r="B195" i="6"/>
  <c r="B179" i="6"/>
  <c r="B163" i="6"/>
  <c r="B147" i="6"/>
  <c r="B131" i="6"/>
  <c r="B115" i="6"/>
  <c r="B99" i="6"/>
  <c r="B83" i="6"/>
  <c r="B67" i="6"/>
  <c r="B1213" i="11"/>
  <c r="B957" i="11"/>
  <c r="B701" i="11"/>
  <c r="B557" i="11"/>
  <c r="B429" i="11"/>
  <c r="B301" i="11"/>
  <c r="B173" i="11"/>
  <c r="B123" i="11"/>
  <c r="B107" i="11"/>
  <c r="B91" i="11"/>
  <c r="B75" i="11"/>
  <c r="B59" i="11"/>
  <c r="B43" i="11"/>
  <c r="B27" i="11"/>
  <c r="B11" i="11"/>
  <c r="B994" i="6"/>
  <c r="B978" i="6"/>
  <c r="B962" i="6"/>
  <c r="B946" i="6"/>
  <c r="B930" i="6"/>
  <c r="B914" i="6"/>
  <c r="B898" i="6"/>
  <c r="B882" i="6"/>
  <c r="B866" i="6"/>
  <c r="B850" i="6"/>
  <c r="B834" i="6"/>
  <c r="B818" i="6"/>
  <c r="B802" i="6"/>
  <c r="B786" i="6"/>
  <c r="B770" i="6"/>
  <c r="B754" i="6"/>
  <c r="B738" i="6"/>
  <c r="B722" i="6"/>
  <c r="B706" i="6"/>
  <c r="B690" i="6"/>
  <c r="B674" i="6"/>
  <c r="B658" i="6"/>
  <c r="B642" i="6"/>
  <c r="B626" i="6"/>
  <c r="B610" i="6"/>
  <c r="B594" i="6"/>
  <c r="B578" i="6"/>
  <c r="B562" i="6"/>
  <c r="B546" i="6"/>
  <c r="B530" i="6"/>
  <c r="B514" i="6"/>
  <c r="B498" i="6"/>
  <c r="B482" i="6"/>
  <c r="B466" i="6"/>
  <c r="B450" i="6"/>
  <c r="B434" i="6"/>
  <c r="B418" i="6"/>
  <c r="B402" i="6"/>
  <c r="B386" i="6"/>
  <c r="B370" i="6"/>
  <c r="B354" i="6"/>
  <c r="B338" i="6"/>
  <c r="B322" i="6"/>
  <c r="B306" i="6"/>
  <c r="B290" i="6"/>
  <c r="B274" i="6"/>
  <c r="B258" i="6"/>
  <c r="B242" i="6"/>
  <c r="B226" i="6"/>
  <c r="B210" i="6"/>
  <c r="B194" i="6"/>
  <c r="B178" i="6"/>
  <c r="B162" i="6"/>
  <c r="B146" i="6"/>
  <c r="B130" i="6"/>
  <c r="B114" i="6"/>
  <c r="B98" i="6"/>
  <c r="B82" i="6"/>
  <c r="B66" i="6"/>
  <c r="B1197" i="11"/>
  <c r="B941" i="11"/>
  <c r="B685" i="11"/>
  <c r="B542" i="11"/>
  <c r="B414" i="11"/>
  <c r="B286" i="11"/>
  <c r="B158" i="11"/>
  <c r="B122" i="11"/>
  <c r="B106" i="11"/>
  <c r="B90" i="11"/>
  <c r="B74" i="11"/>
  <c r="B58" i="11"/>
  <c r="B42" i="11"/>
  <c r="B26" i="11"/>
  <c r="B10" i="11"/>
  <c r="B993" i="6"/>
  <c r="B977" i="6"/>
  <c r="B961" i="6"/>
  <c r="B945" i="6"/>
  <c r="B929" i="6"/>
  <c r="B913" i="6"/>
  <c r="B897" i="6"/>
  <c r="B881" i="6"/>
  <c r="B865" i="6"/>
  <c r="B849" i="6"/>
  <c r="B833" i="6"/>
  <c r="B817" i="6"/>
  <c r="B801" i="6"/>
  <c r="B785" i="6"/>
  <c r="B769" i="6"/>
  <c r="B753" i="6"/>
  <c r="B737" i="6"/>
  <c r="B721" i="6"/>
  <c r="B705" i="6"/>
  <c r="B689" i="6"/>
  <c r="B673" i="6"/>
  <c r="B657" i="6"/>
  <c r="B641" i="6"/>
  <c r="B625" i="6"/>
  <c r="B609" i="6"/>
  <c r="B593" i="6"/>
  <c r="B577" i="6"/>
  <c r="B561" i="6"/>
  <c r="B545" i="6"/>
  <c r="B529" i="6"/>
  <c r="B513" i="6"/>
  <c r="B497" i="6"/>
  <c r="B481" i="6"/>
  <c r="B465" i="6"/>
  <c r="B449" i="6"/>
  <c r="B433" i="6"/>
  <c r="B417" i="6"/>
  <c r="B401" i="6"/>
  <c r="B385" i="6"/>
  <c r="B369" i="6"/>
  <c r="B353" i="6"/>
  <c r="B337" i="6"/>
  <c r="B321" i="6"/>
  <c r="B305" i="6"/>
  <c r="B289" i="6"/>
  <c r="B273" i="6"/>
  <c r="B257" i="6"/>
  <c r="B241" i="6"/>
  <c r="B225" i="6"/>
  <c r="B209" i="6"/>
  <c r="B193" i="6"/>
  <c r="B177" i="6"/>
  <c r="B161" i="6"/>
  <c r="B145" i="6"/>
  <c r="B129" i="6"/>
  <c r="B113" i="6"/>
  <c r="B97" i="6"/>
  <c r="B81" i="6"/>
  <c r="B1437" i="11"/>
  <c r="B1181" i="11"/>
  <c r="B925" i="11"/>
  <c r="B669" i="11"/>
  <c r="B541" i="11"/>
  <c r="B413" i="11"/>
  <c r="B285" i="11"/>
  <c r="B157" i="11"/>
  <c r="B121" i="11"/>
  <c r="B105" i="11"/>
  <c r="B89" i="11"/>
  <c r="B73" i="11"/>
  <c r="B57" i="11"/>
  <c r="B41" i="11"/>
  <c r="B25" i="11"/>
  <c r="B9" i="11"/>
  <c r="B992" i="6"/>
  <c r="B976" i="6"/>
  <c r="B960" i="6"/>
  <c r="B944" i="6"/>
  <c r="B928" i="6"/>
  <c r="B912" i="6"/>
  <c r="B896" i="6"/>
  <c r="B880" i="6"/>
  <c r="B864" i="6"/>
  <c r="B848" i="6"/>
  <c r="B832" i="6"/>
  <c r="B816" i="6"/>
  <c r="B800" i="6"/>
  <c r="B784" i="6"/>
  <c r="B768" i="6"/>
  <c r="B752" i="6"/>
  <c r="B736" i="6"/>
  <c r="B720" i="6"/>
  <c r="B704" i="6"/>
  <c r="B688" i="6"/>
  <c r="B672" i="6"/>
  <c r="B656" i="6"/>
  <c r="B640" i="6"/>
  <c r="B624" i="6"/>
  <c r="B608" i="6"/>
  <c r="B592" i="6"/>
  <c r="B576" i="6"/>
  <c r="B560" i="6"/>
  <c r="B544" i="6"/>
  <c r="B528" i="6"/>
  <c r="B512" i="6"/>
  <c r="B496" i="6"/>
  <c r="B480" i="6"/>
  <c r="B464" i="6"/>
  <c r="B448" i="6"/>
  <c r="B432" i="6"/>
  <c r="B416" i="6"/>
  <c r="B400" i="6"/>
  <c r="B384" i="6"/>
  <c r="B368" i="6"/>
  <c r="B352" i="6"/>
  <c r="B336" i="6"/>
  <c r="B320" i="6"/>
  <c r="B304" i="6"/>
  <c r="B288" i="6"/>
  <c r="B272" i="6"/>
  <c r="B256" i="6"/>
  <c r="B240" i="6"/>
  <c r="B224" i="6"/>
  <c r="B208" i="6"/>
  <c r="B192" i="6"/>
  <c r="B176" i="6"/>
  <c r="B160" i="6"/>
  <c r="B144" i="6"/>
  <c r="B128" i="6"/>
  <c r="B112" i="6"/>
  <c r="B1421" i="11"/>
  <c r="B1165" i="11"/>
  <c r="B909" i="11"/>
  <c r="B654" i="11"/>
  <c r="B526" i="11"/>
  <c r="B398" i="11"/>
  <c r="B270" i="11"/>
  <c r="B142" i="11"/>
  <c r="B120" i="11"/>
  <c r="B104" i="11"/>
  <c r="B88" i="11"/>
  <c r="B72" i="11"/>
  <c r="B56" i="11"/>
  <c r="B40" i="11"/>
  <c r="B24" i="11"/>
  <c r="B8" i="11"/>
  <c r="B991" i="6"/>
  <c r="B975" i="6"/>
  <c r="B959" i="6"/>
  <c r="B943" i="6"/>
  <c r="B927" i="6"/>
  <c r="B911" i="6"/>
  <c r="B895" i="6"/>
  <c r="B879" i="6"/>
  <c r="B863" i="6"/>
  <c r="B847" i="6"/>
  <c r="B831" i="6"/>
  <c r="B815" i="6"/>
  <c r="B799" i="6"/>
  <c r="B783" i="6"/>
  <c r="B767" i="6"/>
  <c r="B751" i="6"/>
  <c r="B735" i="6"/>
  <c r="B719" i="6"/>
  <c r="B703" i="6"/>
  <c r="B687" i="6"/>
  <c r="B671" i="6"/>
  <c r="B655" i="6"/>
  <c r="B639" i="6"/>
  <c r="B623" i="6"/>
  <c r="B607" i="6"/>
  <c r="B591" i="6"/>
  <c r="B575" i="6"/>
  <c r="B559" i="6"/>
  <c r="B543" i="6"/>
  <c r="B527" i="6"/>
  <c r="B511" i="6"/>
  <c r="B495" i="6"/>
  <c r="B479" i="6"/>
  <c r="B463" i="6"/>
  <c r="B447" i="6"/>
  <c r="B431" i="6"/>
  <c r="B415" i="6"/>
  <c r="B399" i="6"/>
  <c r="B383" i="6"/>
  <c r="B367" i="6"/>
  <c r="B351" i="6"/>
  <c r="B335" i="6"/>
  <c r="B319" i="6"/>
  <c r="B303" i="6"/>
  <c r="B287" i="6"/>
  <c r="B271" i="6"/>
  <c r="B255" i="6"/>
  <c r="B239" i="6"/>
  <c r="B223" i="6"/>
  <c r="B207" i="6"/>
  <c r="B191" i="6"/>
  <c r="B175" i="6"/>
  <c r="B397" i="11"/>
  <c r="B910" i="6"/>
  <c r="B654" i="6"/>
  <c r="B398" i="6"/>
  <c r="B254" i="6"/>
  <c r="B142" i="6"/>
  <c r="B89" i="6"/>
  <c r="B57" i="6"/>
  <c r="B35" i="6"/>
  <c r="B14" i="6"/>
  <c r="B987" i="5"/>
  <c r="B967" i="5"/>
  <c r="B946" i="5"/>
  <c r="B926" i="5"/>
  <c r="B907" i="5"/>
  <c r="B888" i="5"/>
  <c r="B870" i="5"/>
  <c r="B854" i="5"/>
  <c r="B838" i="5"/>
  <c r="B822" i="5"/>
  <c r="B806" i="5"/>
  <c r="B790" i="5"/>
  <c r="B774" i="5"/>
  <c r="B758" i="5"/>
  <c r="B742" i="5"/>
  <c r="B726" i="5"/>
  <c r="B710" i="5"/>
  <c r="B694" i="5"/>
  <c r="B678" i="5"/>
  <c r="B662" i="5"/>
  <c r="B646" i="5"/>
  <c r="B630" i="5"/>
  <c r="B614" i="5"/>
  <c r="B598" i="5"/>
  <c r="B582" i="5"/>
  <c r="B566" i="5"/>
  <c r="B550" i="5"/>
  <c r="B534" i="5"/>
  <c r="B518" i="5"/>
  <c r="B502" i="5"/>
  <c r="B486" i="5"/>
  <c r="B470" i="5"/>
  <c r="B454" i="5"/>
  <c r="B438" i="5"/>
  <c r="B422" i="5"/>
  <c r="B406" i="5"/>
  <c r="B390" i="5"/>
  <c r="B374" i="5"/>
  <c r="B358" i="5"/>
  <c r="B342" i="5"/>
  <c r="B326" i="5"/>
  <c r="B310" i="5"/>
  <c r="B294" i="5"/>
  <c r="B278" i="5"/>
  <c r="B262" i="5"/>
  <c r="B246" i="5"/>
  <c r="B230" i="5"/>
  <c r="B214" i="5"/>
  <c r="B198" i="5"/>
  <c r="B182" i="5"/>
  <c r="B166" i="5"/>
  <c r="B150" i="5"/>
  <c r="B134" i="5"/>
  <c r="B118" i="5"/>
  <c r="B102" i="5"/>
  <c r="B86" i="5"/>
  <c r="B70" i="5"/>
  <c r="B54" i="5"/>
  <c r="B38" i="5"/>
  <c r="B22" i="5"/>
  <c r="B6" i="5"/>
  <c r="B3283" i="4"/>
  <c r="B3267" i="4"/>
  <c r="B3251" i="4"/>
  <c r="B3235" i="4"/>
  <c r="B3219" i="4"/>
  <c r="B3203" i="4"/>
  <c r="B3187" i="4"/>
  <c r="B3171" i="4"/>
  <c r="B3155" i="4"/>
  <c r="B3139" i="4"/>
  <c r="B3123" i="4"/>
  <c r="B3107" i="4"/>
  <c r="B3091" i="4"/>
  <c r="B3075" i="4"/>
  <c r="B269" i="11"/>
  <c r="B894" i="6"/>
  <c r="B638" i="6"/>
  <c r="B382" i="6"/>
  <c r="B247" i="6"/>
  <c r="B136" i="6"/>
  <c r="B88" i="6"/>
  <c r="B56" i="6"/>
  <c r="B34" i="6"/>
  <c r="B9" i="6"/>
  <c r="B986" i="5"/>
  <c r="B966" i="5"/>
  <c r="B944" i="5"/>
  <c r="B925" i="5"/>
  <c r="B906" i="5"/>
  <c r="B887" i="5"/>
  <c r="B869" i="5"/>
  <c r="B853" i="5"/>
  <c r="B837" i="5"/>
  <c r="B821" i="5"/>
  <c r="B805" i="5"/>
  <c r="B789" i="5"/>
  <c r="B773" i="5"/>
  <c r="B757" i="5"/>
  <c r="B741" i="5"/>
  <c r="B725" i="5"/>
  <c r="B709" i="5"/>
  <c r="B693" i="5"/>
  <c r="B677" i="5"/>
  <c r="B661" i="5"/>
  <c r="B645" i="5"/>
  <c r="B629" i="5"/>
  <c r="B613" i="5"/>
  <c r="B597" i="5"/>
  <c r="B581" i="5"/>
  <c r="B565" i="5"/>
  <c r="B549" i="5"/>
  <c r="B533" i="5"/>
  <c r="B517" i="5"/>
  <c r="B501" i="5"/>
  <c r="B485" i="5"/>
  <c r="B469" i="5"/>
  <c r="B453" i="5"/>
  <c r="B437" i="5"/>
  <c r="B421" i="5"/>
  <c r="B405" i="5"/>
  <c r="B389" i="5"/>
  <c r="B373" i="5"/>
  <c r="B357" i="5"/>
  <c r="B341" i="5"/>
  <c r="B325" i="5"/>
  <c r="B309" i="5"/>
  <c r="B293" i="5"/>
  <c r="B277" i="5"/>
  <c r="B261" i="5"/>
  <c r="B245" i="5"/>
  <c r="B229" i="5"/>
  <c r="B213" i="5"/>
  <c r="B197" i="5"/>
  <c r="B181" i="5"/>
  <c r="B165" i="5"/>
  <c r="B149" i="5"/>
  <c r="B133" i="5"/>
  <c r="B117" i="5"/>
  <c r="B101" i="5"/>
  <c r="B85" i="5"/>
  <c r="B69" i="5"/>
  <c r="B53" i="5"/>
  <c r="B37" i="5"/>
  <c r="B21" i="5"/>
  <c r="B5" i="5"/>
  <c r="B3282" i="4"/>
  <c r="B3266" i="4"/>
  <c r="B3250" i="4"/>
  <c r="B3234" i="4"/>
  <c r="B3218" i="4"/>
  <c r="B3202" i="4"/>
  <c r="B3186" i="4"/>
  <c r="B3170" i="4"/>
  <c r="B3154" i="4"/>
  <c r="B3138" i="4"/>
  <c r="B3122" i="4"/>
  <c r="B3106" i="4"/>
  <c r="B3090" i="4"/>
  <c r="B3074" i="4"/>
  <c r="B3058" i="4"/>
  <c r="B3042" i="4"/>
  <c r="B3026" i="4"/>
  <c r="B3010" i="4"/>
  <c r="B2994" i="4"/>
  <c r="B2978" i="4"/>
  <c r="B2962" i="4"/>
  <c r="B2946" i="4"/>
  <c r="B2930" i="4"/>
  <c r="B2914" i="4"/>
  <c r="B2898" i="4"/>
  <c r="B2882" i="4"/>
  <c r="B2866" i="4"/>
  <c r="B2850" i="4"/>
  <c r="B2834" i="4"/>
  <c r="B2818" i="4"/>
  <c r="B2802" i="4"/>
  <c r="B2786" i="4"/>
  <c r="B2770" i="4"/>
  <c r="B2754" i="4"/>
  <c r="B2738" i="4"/>
  <c r="B141" i="11"/>
  <c r="B878" i="6"/>
  <c r="B622" i="6"/>
  <c r="B366" i="6"/>
  <c r="B238" i="6"/>
  <c r="B135" i="6"/>
  <c r="B87" i="6"/>
  <c r="B55" i="6"/>
  <c r="B33" i="6"/>
  <c r="B8" i="6"/>
  <c r="B985" i="5"/>
  <c r="B965" i="5"/>
  <c r="B943" i="5"/>
  <c r="B924" i="5"/>
  <c r="B905" i="5"/>
  <c r="B886" i="5"/>
  <c r="B868" i="5"/>
  <c r="B852" i="5"/>
  <c r="B836" i="5"/>
  <c r="B820" i="5"/>
  <c r="B804" i="5"/>
  <c r="B788" i="5"/>
  <c r="B772" i="5"/>
  <c r="B756" i="5"/>
  <c r="B740" i="5"/>
  <c r="B724" i="5"/>
  <c r="B708" i="5"/>
  <c r="B692" i="5"/>
  <c r="B676" i="5"/>
  <c r="B660" i="5"/>
  <c r="B644" i="5"/>
  <c r="B628" i="5"/>
  <c r="B612" i="5"/>
  <c r="B596" i="5"/>
  <c r="B580" i="5"/>
  <c r="B564" i="5"/>
  <c r="B548" i="5"/>
  <c r="B532" i="5"/>
  <c r="B516" i="5"/>
  <c r="B500" i="5"/>
  <c r="B484" i="5"/>
  <c r="B468" i="5"/>
  <c r="B452" i="5"/>
  <c r="B436" i="5"/>
  <c r="B420" i="5"/>
  <c r="B404" i="5"/>
  <c r="B388" i="5"/>
  <c r="B372" i="5"/>
  <c r="B356" i="5"/>
  <c r="B340" i="5"/>
  <c r="B324" i="5"/>
  <c r="B308" i="5"/>
  <c r="B292" i="5"/>
  <c r="B276" i="5"/>
  <c r="B260" i="5"/>
  <c r="B244" i="5"/>
  <c r="B228" i="5"/>
  <c r="B212" i="5"/>
  <c r="B196" i="5"/>
  <c r="B180" i="5"/>
  <c r="B164" i="5"/>
  <c r="B148" i="5"/>
  <c r="B132" i="5"/>
  <c r="B116" i="5"/>
  <c r="B100" i="5"/>
  <c r="B84" i="5"/>
  <c r="B68" i="5"/>
  <c r="B52" i="5"/>
  <c r="B36" i="5"/>
  <c r="B20" i="5"/>
  <c r="B3297" i="4"/>
  <c r="B3281" i="4"/>
  <c r="B3265" i="4"/>
  <c r="B3249" i="4"/>
  <c r="B3233" i="4"/>
  <c r="B3217" i="4"/>
  <c r="B3201" i="4"/>
  <c r="B3185" i="4"/>
  <c r="B3169" i="4"/>
  <c r="B3153" i="4"/>
  <c r="B3137" i="4"/>
  <c r="B119" i="11"/>
  <c r="B862" i="6"/>
  <c r="B606" i="6"/>
  <c r="B359" i="6"/>
  <c r="B231" i="6"/>
  <c r="B127" i="6"/>
  <c r="B86" i="6"/>
  <c r="B54" i="6"/>
  <c r="B32" i="6"/>
  <c r="B7" i="6"/>
  <c r="B984" i="5"/>
  <c r="B962" i="5"/>
  <c r="B942" i="5"/>
  <c r="B923" i="5"/>
  <c r="B904" i="5"/>
  <c r="B885" i="5"/>
  <c r="B867" i="5"/>
  <c r="B851" i="5"/>
  <c r="B835" i="5"/>
  <c r="B819" i="5"/>
  <c r="B803" i="5"/>
  <c r="B787" i="5"/>
  <c r="B771" i="5"/>
  <c r="B755" i="5"/>
  <c r="B739" i="5"/>
  <c r="B723" i="5"/>
  <c r="B707" i="5"/>
  <c r="B691" i="5"/>
  <c r="B675" i="5"/>
  <c r="B659" i="5"/>
  <c r="B643" i="5"/>
  <c r="B627" i="5"/>
  <c r="B611" i="5"/>
  <c r="B595" i="5"/>
  <c r="B579" i="5"/>
  <c r="B563" i="5"/>
  <c r="B547" i="5"/>
  <c r="B531" i="5"/>
  <c r="B515" i="5"/>
  <c r="B499" i="5"/>
  <c r="B483" i="5"/>
  <c r="B467" i="5"/>
  <c r="B451" i="5"/>
  <c r="B435" i="5"/>
  <c r="B419" i="5"/>
  <c r="B403" i="5"/>
  <c r="B387" i="5"/>
  <c r="B371" i="5"/>
  <c r="B355" i="5"/>
  <c r="B339" i="5"/>
  <c r="B323" i="5"/>
  <c r="B307" i="5"/>
  <c r="B291" i="5"/>
  <c r="B275" i="5"/>
  <c r="B259" i="5"/>
  <c r="B243" i="5"/>
  <c r="B227" i="5"/>
  <c r="B211" i="5"/>
  <c r="B195" i="5"/>
  <c r="B179" i="5"/>
  <c r="B163" i="5"/>
  <c r="B147" i="5"/>
  <c r="B131" i="5"/>
  <c r="B115" i="5"/>
  <c r="B99" i="5"/>
  <c r="B83" i="5"/>
  <c r="B67" i="5"/>
  <c r="B51" i="5"/>
  <c r="B35" i="5"/>
  <c r="B19" i="5"/>
  <c r="B3296" i="4"/>
  <c r="B3280" i="4"/>
  <c r="B3264" i="4"/>
  <c r="B3248" i="4"/>
  <c r="B3232" i="4"/>
  <c r="B3216" i="4"/>
  <c r="B3200" i="4"/>
  <c r="B3184" i="4"/>
  <c r="B3168" i="4"/>
  <c r="B3152" i="4"/>
  <c r="B3136" i="4"/>
  <c r="B3120" i="4"/>
  <c r="B3104" i="4"/>
  <c r="B3088" i="4"/>
  <c r="B3072" i="4"/>
  <c r="B3056" i="4"/>
  <c r="B3040" i="4"/>
  <c r="B3024" i="4"/>
  <c r="B3008" i="4"/>
  <c r="B2992" i="4"/>
  <c r="B2976" i="4"/>
  <c r="B2960" i="4"/>
  <c r="B2944" i="4"/>
  <c r="B2928" i="4"/>
  <c r="B2912" i="4"/>
  <c r="B2896" i="4"/>
  <c r="B2880" i="4"/>
  <c r="B2864" i="4"/>
  <c r="B2848" i="4"/>
  <c r="B103" i="11"/>
  <c r="B846" i="6"/>
  <c r="B590" i="6"/>
  <c r="B350" i="6"/>
  <c r="B222" i="6"/>
  <c r="B126" i="6"/>
  <c r="B80" i="6"/>
  <c r="B52" i="6"/>
  <c r="B31" i="6"/>
  <c r="B6" i="6"/>
  <c r="B983" i="5"/>
  <c r="B960" i="5"/>
  <c r="B941" i="5"/>
  <c r="B922" i="5"/>
  <c r="B903" i="5"/>
  <c r="B882" i="5"/>
  <c r="B866" i="5"/>
  <c r="B850" i="5"/>
  <c r="B834" i="5"/>
  <c r="B818" i="5"/>
  <c r="B802" i="5"/>
  <c r="B786" i="5"/>
  <c r="B770" i="5"/>
  <c r="B754" i="5"/>
  <c r="B738" i="5"/>
  <c r="B722" i="5"/>
  <c r="B706" i="5"/>
  <c r="B690" i="5"/>
  <c r="B674" i="5"/>
  <c r="B658" i="5"/>
  <c r="B642" i="5"/>
  <c r="B626" i="5"/>
  <c r="B610" i="5"/>
  <c r="B594" i="5"/>
  <c r="B578" i="5"/>
  <c r="B562" i="5"/>
  <c r="B546" i="5"/>
  <c r="B530" i="5"/>
  <c r="B514" i="5"/>
  <c r="B498" i="5"/>
  <c r="B482" i="5"/>
  <c r="B466" i="5"/>
  <c r="B450" i="5"/>
  <c r="B434" i="5"/>
  <c r="B418" i="5"/>
  <c r="B402" i="5"/>
  <c r="B386" i="5"/>
  <c r="B370" i="5"/>
  <c r="B354" i="5"/>
  <c r="B338" i="5"/>
  <c r="B322" i="5"/>
  <c r="B306" i="5"/>
  <c r="B290" i="5"/>
  <c r="B274" i="5"/>
  <c r="B258" i="5"/>
  <c r="B242" i="5"/>
  <c r="B226" i="5"/>
  <c r="B210" i="5"/>
  <c r="B194" i="5"/>
  <c r="B178" i="5"/>
  <c r="B162" i="5"/>
  <c r="B146" i="5"/>
  <c r="B130" i="5"/>
  <c r="B114" i="5"/>
  <c r="B98" i="5"/>
  <c r="B82" i="5"/>
  <c r="B66" i="5"/>
  <c r="B50" i="5"/>
  <c r="B34" i="5"/>
  <c r="B18" i="5"/>
  <c r="B3295" i="4"/>
  <c r="B3279" i="4"/>
  <c r="B3263" i="4"/>
  <c r="B3247" i="4"/>
  <c r="B3231" i="4"/>
  <c r="B3215" i="4"/>
  <c r="B3199" i="4"/>
  <c r="B3183" i="4"/>
  <c r="B3167" i="4"/>
  <c r="B3151" i="4"/>
  <c r="B3135" i="4"/>
  <c r="B3119" i="4"/>
  <c r="B3103" i="4"/>
  <c r="B3087" i="4"/>
  <c r="B3071" i="4"/>
  <c r="B87" i="11"/>
  <c r="B830" i="6"/>
  <c r="B574" i="6"/>
  <c r="B343" i="6"/>
  <c r="B215" i="6"/>
  <c r="B120" i="6"/>
  <c r="B79" i="6"/>
  <c r="B51" i="6"/>
  <c r="B30" i="6"/>
  <c r="B1003" i="5"/>
  <c r="B982" i="5"/>
  <c r="B959" i="5"/>
  <c r="B940" i="5"/>
  <c r="B921" i="5"/>
  <c r="B902" i="5"/>
  <c r="B881" i="5"/>
  <c r="B865" i="5"/>
  <c r="B849" i="5"/>
  <c r="B833" i="5"/>
  <c r="B817" i="5"/>
  <c r="B801" i="5"/>
  <c r="B785" i="5"/>
  <c r="B769" i="5"/>
  <c r="B753" i="5"/>
  <c r="B737" i="5"/>
  <c r="B721" i="5"/>
  <c r="B705" i="5"/>
  <c r="B689" i="5"/>
  <c r="B673" i="5"/>
  <c r="B657" i="5"/>
  <c r="B641" i="5"/>
  <c r="B625" i="5"/>
  <c r="B609" i="5"/>
  <c r="B593" i="5"/>
  <c r="B577" i="5"/>
  <c r="B561" i="5"/>
  <c r="B545" i="5"/>
  <c r="B529" i="5"/>
  <c r="B513" i="5"/>
  <c r="B497" i="5"/>
  <c r="B481" i="5"/>
  <c r="B465" i="5"/>
  <c r="B449" i="5"/>
  <c r="B433" i="5"/>
  <c r="B417" i="5"/>
  <c r="B401" i="5"/>
  <c r="B385" i="5"/>
  <c r="B369" i="5"/>
  <c r="B353" i="5"/>
  <c r="B337" i="5"/>
  <c r="B321" i="5"/>
  <c r="B305" i="5"/>
  <c r="B289" i="5"/>
  <c r="B273" i="5"/>
  <c r="B257" i="5"/>
  <c r="B241" i="5"/>
  <c r="B225" i="5"/>
  <c r="B209" i="5"/>
  <c r="B193" i="5"/>
  <c r="B177" i="5"/>
  <c r="B161" i="5"/>
  <c r="B145" i="5"/>
  <c r="B129" i="5"/>
  <c r="B113" i="5"/>
  <c r="B97" i="5"/>
  <c r="B81" i="5"/>
  <c r="B65" i="5"/>
  <c r="B49" i="5"/>
  <c r="B33" i="5"/>
  <c r="B17" i="5"/>
  <c r="B3294" i="4"/>
  <c r="B3278" i="4"/>
  <c r="B3262" i="4"/>
  <c r="B3246" i="4"/>
  <c r="B3230" i="4"/>
  <c r="B3214" i="4"/>
  <c r="B3198" i="4"/>
  <c r="B3182" i="4"/>
  <c r="B3166" i="4"/>
  <c r="B3150" i="4"/>
  <c r="B3134" i="4"/>
  <c r="B3118" i="4"/>
  <c r="B3102" i="4"/>
  <c r="B3086" i="4"/>
  <c r="B3070" i="4"/>
  <c r="B3054" i="4"/>
  <c r="B3038" i="4"/>
  <c r="B3022" i="4"/>
  <c r="B3006" i="4"/>
  <c r="B2990" i="4"/>
  <c r="B2974" i="4"/>
  <c r="B2958" i="4"/>
  <c r="B2942" i="4"/>
  <c r="B2926" i="4"/>
  <c r="B2910" i="4"/>
  <c r="B2894" i="4"/>
  <c r="B2878" i="4"/>
  <c r="B2862" i="4"/>
  <c r="B2846" i="4"/>
  <c r="B2830" i="4"/>
  <c r="B2814" i="4"/>
  <c r="B71" i="11"/>
  <c r="B814" i="6"/>
  <c r="B558" i="6"/>
  <c r="B334" i="6"/>
  <c r="B206" i="6"/>
  <c r="B119" i="6"/>
  <c r="B78" i="6"/>
  <c r="B50" i="6"/>
  <c r="B25" i="6"/>
  <c r="B1002" i="5"/>
  <c r="B981" i="5"/>
  <c r="B958" i="5"/>
  <c r="B939" i="5"/>
  <c r="B920" i="5"/>
  <c r="B901" i="5"/>
  <c r="B880" i="5"/>
  <c r="B864" i="5"/>
  <c r="B848" i="5"/>
  <c r="B832" i="5"/>
  <c r="B816" i="5"/>
  <c r="B800" i="5"/>
  <c r="B784" i="5"/>
  <c r="B768" i="5"/>
  <c r="B752" i="5"/>
  <c r="B736" i="5"/>
  <c r="B720" i="5"/>
  <c r="B704" i="5"/>
  <c r="B688" i="5"/>
  <c r="B672" i="5"/>
  <c r="B656" i="5"/>
  <c r="B640" i="5"/>
  <c r="B624" i="5"/>
  <c r="B608" i="5"/>
  <c r="B592" i="5"/>
  <c r="B576" i="5"/>
  <c r="B560" i="5"/>
  <c r="B544" i="5"/>
  <c r="B528" i="5"/>
  <c r="B512" i="5"/>
  <c r="B496" i="5"/>
  <c r="B480" i="5"/>
  <c r="B464" i="5"/>
  <c r="B448" i="5"/>
  <c r="B432" i="5"/>
  <c r="B416" i="5"/>
  <c r="B400" i="5"/>
  <c r="B384" i="5"/>
  <c r="B368" i="5"/>
  <c r="B352" i="5"/>
  <c r="B336" i="5"/>
  <c r="B320" i="5"/>
  <c r="B304" i="5"/>
  <c r="B288" i="5"/>
  <c r="B272" i="5"/>
  <c r="B256" i="5"/>
  <c r="B240" i="5"/>
  <c r="B224" i="5"/>
  <c r="B208" i="5"/>
  <c r="B192" i="5"/>
  <c r="B176" i="5"/>
  <c r="B160" i="5"/>
  <c r="B144" i="5"/>
  <c r="B128" i="5"/>
  <c r="B112" i="5"/>
  <c r="B96" i="5"/>
  <c r="B80" i="5"/>
  <c r="B64" i="5"/>
  <c r="B48" i="5"/>
  <c r="B32" i="5"/>
  <c r="B16" i="5"/>
  <c r="B3293" i="4"/>
  <c r="B3277" i="4"/>
  <c r="B3261" i="4"/>
  <c r="B3245" i="4"/>
  <c r="B3229" i="4"/>
  <c r="B3213" i="4"/>
  <c r="B3197" i="4"/>
  <c r="B3181" i="4"/>
  <c r="B3165" i="4"/>
  <c r="B3149" i="4"/>
  <c r="B3133" i="4"/>
  <c r="B3117" i="4"/>
  <c r="B3101" i="4"/>
  <c r="B3085" i="4"/>
  <c r="B3069" i="4"/>
  <c r="B3053" i="4"/>
  <c r="B3037" i="4"/>
  <c r="B3021" i="4"/>
  <c r="B3005" i="4"/>
  <c r="B2989" i="4"/>
  <c r="B2973" i="4"/>
  <c r="B55" i="11"/>
  <c r="B798" i="6"/>
  <c r="B542" i="6"/>
  <c r="B327" i="6"/>
  <c r="B199" i="6"/>
  <c r="B111" i="6"/>
  <c r="B73" i="6"/>
  <c r="B49" i="6"/>
  <c r="B24" i="6"/>
  <c r="B1001" i="5"/>
  <c r="B976" i="5"/>
  <c r="B957" i="5"/>
  <c r="B938" i="5"/>
  <c r="B919" i="5"/>
  <c r="B898" i="5"/>
  <c r="B879" i="5"/>
  <c r="B863" i="5"/>
  <c r="B847" i="5"/>
  <c r="B831" i="5"/>
  <c r="B815" i="5"/>
  <c r="B799" i="5"/>
  <c r="B783" i="5"/>
  <c r="B767" i="5"/>
  <c r="B751" i="5"/>
  <c r="B735" i="5"/>
  <c r="B719" i="5"/>
  <c r="B703" i="5"/>
  <c r="B687" i="5"/>
  <c r="B671" i="5"/>
  <c r="B655" i="5"/>
  <c r="B639" i="5"/>
  <c r="B623" i="5"/>
  <c r="B607" i="5"/>
  <c r="B591" i="5"/>
  <c r="B575" i="5"/>
  <c r="B559" i="5"/>
  <c r="B543" i="5"/>
  <c r="B527" i="5"/>
  <c r="B511" i="5"/>
  <c r="B495" i="5"/>
  <c r="B479" i="5"/>
  <c r="B463" i="5"/>
  <c r="B447" i="5"/>
  <c r="B431" i="5"/>
  <c r="B415" i="5"/>
  <c r="B399" i="5"/>
  <c r="B383" i="5"/>
  <c r="B367" i="5"/>
  <c r="B351" i="5"/>
  <c r="B335" i="5"/>
  <c r="B319" i="5"/>
  <c r="B303" i="5"/>
  <c r="B287" i="5"/>
  <c r="B271" i="5"/>
  <c r="B255" i="5"/>
  <c r="B239" i="5"/>
  <c r="B223" i="5"/>
  <c r="B207" i="5"/>
  <c r="B191" i="5"/>
  <c r="B175" i="5"/>
  <c r="B159" i="5"/>
  <c r="B143" i="5"/>
  <c r="B127" i="5"/>
  <c r="B111" i="5"/>
  <c r="B95" i="5"/>
  <c r="B79" i="5"/>
  <c r="B63" i="5"/>
  <c r="B47" i="5"/>
  <c r="B31" i="5"/>
  <c r="B15" i="5"/>
  <c r="B3292" i="4"/>
  <c r="B3276" i="4"/>
  <c r="B3260" i="4"/>
  <c r="B3244" i="4"/>
  <c r="B3228" i="4"/>
  <c r="B3212" i="4"/>
  <c r="B3196" i="4"/>
  <c r="B3180" i="4"/>
  <c r="B3164" i="4"/>
  <c r="B3148" i="4"/>
  <c r="B3132" i="4"/>
  <c r="B3116" i="4"/>
  <c r="B3100" i="4"/>
  <c r="B3084" i="4"/>
  <c r="B3068" i="4"/>
  <c r="B39" i="11"/>
  <c r="B782" i="6"/>
  <c r="B526" i="6"/>
  <c r="B318" i="6"/>
  <c r="B190" i="6"/>
  <c r="B110" i="6"/>
  <c r="B72" i="6"/>
  <c r="B48" i="6"/>
  <c r="B23" i="6"/>
  <c r="B1000" i="5"/>
  <c r="B975" i="5"/>
  <c r="B956" i="5"/>
  <c r="B937" i="5"/>
  <c r="B918" i="5"/>
  <c r="B896" i="5"/>
  <c r="B878" i="5"/>
  <c r="B862" i="5"/>
  <c r="B846" i="5"/>
  <c r="B830" i="5"/>
  <c r="B814" i="5"/>
  <c r="B798" i="5"/>
  <c r="B782" i="5"/>
  <c r="B766" i="5"/>
  <c r="B750" i="5"/>
  <c r="B734" i="5"/>
  <c r="B718" i="5"/>
  <c r="B702" i="5"/>
  <c r="B686" i="5"/>
  <c r="B670" i="5"/>
  <c r="B654" i="5"/>
  <c r="B638" i="5"/>
  <c r="B622" i="5"/>
  <c r="B606" i="5"/>
  <c r="B590" i="5"/>
  <c r="B574" i="5"/>
  <c r="B558" i="5"/>
  <c r="B542" i="5"/>
  <c r="B526" i="5"/>
  <c r="B510" i="5"/>
  <c r="B494" i="5"/>
  <c r="B478" i="5"/>
  <c r="B462" i="5"/>
  <c r="B446" i="5"/>
  <c r="B430" i="5"/>
  <c r="B414" i="5"/>
  <c r="B398" i="5"/>
  <c r="B382" i="5"/>
  <c r="B366" i="5"/>
  <c r="B350" i="5"/>
  <c r="B334" i="5"/>
  <c r="B318" i="5"/>
  <c r="B302" i="5"/>
  <c r="B286" i="5"/>
  <c r="B270" i="5"/>
  <c r="B254" i="5"/>
  <c r="B238" i="5"/>
  <c r="B222" i="5"/>
  <c r="B206" i="5"/>
  <c r="B190" i="5"/>
  <c r="B174" i="5"/>
  <c r="B158" i="5"/>
  <c r="B142" i="5"/>
  <c r="B126" i="5"/>
  <c r="B110" i="5"/>
  <c r="B94" i="5"/>
  <c r="B78" i="5"/>
  <c r="B62" i="5"/>
  <c r="B46" i="5"/>
  <c r="B30" i="5"/>
  <c r="B14" i="5"/>
  <c r="B3291" i="4"/>
  <c r="B3275" i="4"/>
  <c r="B3259" i="4"/>
  <c r="B3243" i="4"/>
  <c r="B3227" i="4"/>
  <c r="B3211" i="4"/>
  <c r="B23" i="11"/>
  <c r="B766" i="6"/>
  <c r="B510" i="6"/>
  <c r="B311" i="6"/>
  <c r="B183" i="6"/>
  <c r="B105" i="6"/>
  <c r="B71" i="6"/>
  <c r="B47" i="6"/>
  <c r="B22" i="6"/>
  <c r="B999" i="5"/>
  <c r="B974" i="5"/>
  <c r="B955" i="5"/>
  <c r="B936" i="5"/>
  <c r="B917" i="5"/>
  <c r="B895" i="5"/>
  <c r="B877" i="5"/>
  <c r="B861" i="5"/>
  <c r="B845" i="5"/>
  <c r="B829" i="5"/>
  <c r="B813" i="5"/>
  <c r="B797" i="5"/>
  <c r="B781" i="5"/>
  <c r="B765" i="5"/>
  <c r="B749" i="5"/>
  <c r="B733" i="5"/>
  <c r="B717" i="5"/>
  <c r="B701" i="5"/>
  <c r="B685" i="5"/>
  <c r="B669" i="5"/>
  <c r="B653" i="5"/>
  <c r="B637" i="5"/>
  <c r="B621" i="5"/>
  <c r="B605" i="5"/>
  <c r="B589" i="5"/>
  <c r="B573" i="5"/>
  <c r="B557" i="5"/>
  <c r="B541" i="5"/>
  <c r="B525" i="5"/>
  <c r="B509" i="5"/>
  <c r="B493" i="5"/>
  <c r="B477" i="5"/>
  <c r="B461" i="5"/>
  <c r="B445" i="5"/>
  <c r="B429" i="5"/>
  <c r="B413" i="5"/>
  <c r="B397" i="5"/>
  <c r="B381" i="5"/>
  <c r="B365" i="5"/>
  <c r="B349" i="5"/>
  <c r="B333" i="5"/>
  <c r="B317" i="5"/>
  <c r="B301" i="5"/>
  <c r="B285" i="5"/>
  <c r="B269" i="5"/>
  <c r="B253" i="5"/>
  <c r="B237" i="5"/>
  <c r="B221" i="5"/>
  <c r="B205" i="5"/>
  <c r="B189" i="5"/>
  <c r="B173" i="5"/>
  <c r="B157" i="5"/>
  <c r="B141" i="5"/>
  <c r="B125" i="5"/>
  <c r="B109" i="5"/>
  <c r="B93" i="5"/>
  <c r="B77" i="5"/>
  <c r="B61" i="5"/>
  <c r="B45" i="5"/>
  <c r="B29" i="5"/>
  <c r="B13" i="5"/>
  <c r="B3290" i="4"/>
  <c r="B3274" i="4"/>
  <c r="B3258" i="4"/>
  <c r="B3242" i="4"/>
  <c r="B3226" i="4"/>
  <c r="B3210" i="4"/>
  <c r="B3194" i="4"/>
  <c r="B3178" i="4"/>
  <c r="B3162" i="4"/>
  <c r="B3146" i="4"/>
  <c r="B3130" i="4"/>
  <c r="B3114" i="4"/>
  <c r="B3098" i="4"/>
  <c r="B3082" i="4"/>
  <c r="B3066" i="4"/>
  <c r="B3050" i="4"/>
  <c r="B3034" i="4"/>
  <c r="B3018" i="4"/>
  <c r="B3002" i="4"/>
  <c r="B2986" i="4"/>
  <c r="B2970" i="4"/>
  <c r="B2954" i="4"/>
  <c r="B2938" i="4"/>
  <c r="B2922" i="4"/>
  <c r="B7" i="11"/>
  <c r="B750" i="6"/>
  <c r="B494" i="6"/>
  <c r="B302" i="6"/>
  <c r="B174" i="6"/>
  <c r="B104" i="6"/>
  <c r="B70" i="6"/>
  <c r="B46" i="6"/>
  <c r="B20" i="6"/>
  <c r="B998" i="5"/>
  <c r="B973" i="5"/>
  <c r="B954" i="5"/>
  <c r="B935" i="5"/>
  <c r="B914" i="5"/>
  <c r="B894" i="5"/>
  <c r="B876" i="5"/>
  <c r="B860" i="5"/>
  <c r="B844" i="5"/>
  <c r="B828" i="5"/>
  <c r="B812" i="5"/>
  <c r="B796" i="5"/>
  <c r="B780" i="5"/>
  <c r="B764" i="5"/>
  <c r="B748" i="5"/>
  <c r="B732" i="5"/>
  <c r="B716" i="5"/>
  <c r="B700" i="5"/>
  <c r="B684" i="5"/>
  <c r="B668" i="5"/>
  <c r="B652" i="5"/>
  <c r="B636" i="5"/>
  <c r="B620" i="5"/>
  <c r="B604" i="5"/>
  <c r="B588" i="5"/>
  <c r="B572" i="5"/>
  <c r="B556" i="5"/>
  <c r="B540" i="5"/>
  <c r="B524" i="5"/>
  <c r="B508" i="5"/>
  <c r="B492" i="5"/>
  <c r="B476" i="5"/>
  <c r="B460" i="5"/>
  <c r="B444" i="5"/>
  <c r="B428" i="5"/>
  <c r="B412" i="5"/>
  <c r="B396" i="5"/>
  <c r="B380" i="5"/>
  <c r="B364" i="5"/>
  <c r="B348" i="5"/>
  <c r="B332" i="5"/>
  <c r="B316" i="5"/>
  <c r="B300" i="5"/>
  <c r="B284" i="5"/>
  <c r="B268" i="5"/>
  <c r="B252" i="5"/>
  <c r="B236" i="5"/>
  <c r="B220" i="5"/>
  <c r="B204" i="5"/>
  <c r="B188" i="5"/>
  <c r="B172" i="5"/>
  <c r="B156" i="5"/>
  <c r="B140" i="5"/>
  <c r="B124" i="5"/>
  <c r="B108" i="5"/>
  <c r="B92" i="5"/>
  <c r="B76" i="5"/>
  <c r="B60" i="5"/>
  <c r="B44" i="5"/>
  <c r="B28" i="5"/>
  <c r="B12" i="5"/>
  <c r="B3289" i="4"/>
  <c r="B3273" i="4"/>
  <c r="B3257" i="4"/>
  <c r="B3241" i="4"/>
  <c r="B3225" i="4"/>
  <c r="B3209" i="4"/>
  <c r="B3193" i="4"/>
  <c r="B3177" i="4"/>
  <c r="B3161" i="4"/>
  <c r="B3145" i="4"/>
  <c r="B3129" i="4"/>
  <c r="B3113" i="4"/>
  <c r="B3097" i="4"/>
  <c r="B3081" i="4"/>
  <c r="B3065" i="4"/>
  <c r="B3049" i="4"/>
  <c r="B3033" i="4"/>
  <c r="B3017" i="4"/>
  <c r="B3001" i="4"/>
  <c r="B2985" i="4"/>
  <c r="B2969" i="4"/>
  <c r="B2953" i="4"/>
  <c r="B1405" i="11"/>
  <c r="B990" i="6"/>
  <c r="B734" i="6"/>
  <c r="B478" i="6"/>
  <c r="B295" i="6"/>
  <c r="B167" i="6"/>
  <c r="B103" i="6"/>
  <c r="B68" i="6"/>
  <c r="B41" i="6"/>
  <c r="B19" i="6"/>
  <c r="B997" i="5"/>
  <c r="B972" i="5"/>
  <c r="B953" i="5"/>
  <c r="B934" i="5"/>
  <c r="B912" i="5"/>
  <c r="B893" i="5"/>
  <c r="B875" i="5"/>
  <c r="B859" i="5"/>
  <c r="B843" i="5"/>
  <c r="B827" i="5"/>
  <c r="B811" i="5"/>
  <c r="B795" i="5"/>
  <c r="B779" i="5"/>
  <c r="B763" i="5"/>
  <c r="B747" i="5"/>
  <c r="B731" i="5"/>
  <c r="B715" i="5"/>
  <c r="B699" i="5"/>
  <c r="B683" i="5"/>
  <c r="B667" i="5"/>
  <c r="B651" i="5"/>
  <c r="B635" i="5"/>
  <c r="B619" i="5"/>
  <c r="B603" i="5"/>
  <c r="B587" i="5"/>
  <c r="B571" i="5"/>
  <c r="B555" i="5"/>
  <c r="B539" i="5"/>
  <c r="B523" i="5"/>
  <c r="B507" i="5"/>
  <c r="B491" i="5"/>
  <c r="B475" i="5"/>
  <c r="B459" i="5"/>
  <c r="B443" i="5"/>
  <c r="B427" i="5"/>
  <c r="B411" i="5"/>
  <c r="B395" i="5"/>
  <c r="B379" i="5"/>
  <c r="B363" i="5"/>
  <c r="B347" i="5"/>
  <c r="B331" i="5"/>
  <c r="B315" i="5"/>
  <c r="B299" i="5"/>
  <c r="B283" i="5"/>
  <c r="B267" i="5"/>
  <c r="B251" i="5"/>
  <c r="B235" i="5"/>
  <c r="B219" i="5"/>
  <c r="B203" i="5"/>
  <c r="B187" i="5"/>
  <c r="B171" i="5"/>
  <c r="B155" i="5"/>
  <c r="B139" i="5"/>
  <c r="B123" i="5"/>
  <c r="B107" i="5"/>
  <c r="B91" i="5"/>
  <c r="B75" i="5"/>
  <c r="B59" i="5"/>
  <c r="B43" i="5"/>
  <c r="B27" i="5"/>
  <c r="B11" i="5"/>
  <c r="B3288" i="4"/>
  <c r="B3272" i="4"/>
  <c r="B3256" i="4"/>
  <c r="B3240" i="4"/>
  <c r="B3224" i="4"/>
  <c r="B3208" i="4"/>
  <c r="B3192" i="4"/>
  <c r="B3176" i="4"/>
  <c r="B1149" i="11"/>
  <c r="B974" i="6"/>
  <c r="B718" i="6"/>
  <c r="B462" i="6"/>
  <c r="B286" i="6"/>
  <c r="B159" i="6"/>
  <c r="B102" i="6"/>
  <c r="B65" i="6"/>
  <c r="B40" i="6"/>
  <c r="B18" i="6"/>
  <c r="B992" i="5"/>
  <c r="B971" i="5"/>
  <c r="B952" i="5"/>
  <c r="B933" i="5"/>
  <c r="B911" i="5"/>
  <c r="B892" i="5"/>
  <c r="B874" i="5"/>
  <c r="B858" i="5"/>
  <c r="B842" i="5"/>
  <c r="B826" i="5"/>
  <c r="B810" i="5"/>
  <c r="B794" i="5"/>
  <c r="B778" i="5"/>
  <c r="B762" i="5"/>
  <c r="B746" i="5"/>
  <c r="B730" i="5"/>
  <c r="B714" i="5"/>
  <c r="B698" i="5"/>
  <c r="B682" i="5"/>
  <c r="B666" i="5"/>
  <c r="B650" i="5"/>
  <c r="B634" i="5"/>
  <c r="B618" i="5"/>
  <c r="B602" i="5"/>
  <c r="B586" i="5"/>
  <c r="B570" i="5"/>
  <c r="B554" i="5"/>
  <c r="B538" i="5"/>
  <c r="B522" i="5"/>
  <c r="B506" i="5"/>
  <c r="B490" i="5"/>
  <c r="B474" i="5"/>
  <c r="B458" i="5"/>
  <c r="B442" i="5"/>
  <c r="B426" i="5"/>
  <c r="B410" i="5"/>
  <c r="B394" i="5"/>
  <c r="B378" i="5"/>
  <c r="B362" i="5"/>
  <c r="B346" i="5"/>
  <c r="B330" i="5"/>
  <c r="B314" i="5"/>
  <c r="B298" i="5"/>
  <c r="B282" i="5"/>
  <c r="B266" i="5"/>
  <c r="B250" i="5"/>
  <c r="B234" i="5"/>
  <c r="B218" i="5"/>
  <c r="B202" i="5"/>
  <c r="B186" i="5"/>
  <c r="B170" i="5"/>
  <c r="B154" i="5"/>
  <c r="B138" i="5"/>
  <c r="B122" i="5"/>
  <c r="B106" i="5"/>
  <c r="B90" i="5"/>
  <c r="B74" i="5"/>
  <c r="B58" i="5"/>
  <c r="B42" i="5"/>
  <c r="B26" i="5"/>
  <c r="B10" i="5"/>
  <c r="B3287" i="4"/>
  <c r="B3271" i="4"/>
  <c r="B3255" i="4"/>
  <c r="B3239" i="4"/>
  <c r="B3223" i="4"/>
  <c r="B3207" i="4"/>
  <c r="B3191" i="4"/>
  <c r="B3175" i="4"/>
  <c r="B3159" i="4"/>
  <c r="B3143" i="4"/>
  <c r="B3127" i="4"/>
  <c r="B3111" i="4"/>
  <c r="B3095" i="4"/>
  <c r="B3079" i="4"/>
  <c r="B3063" i="4"/>
  <c r="B3047" i="4"/>
  <c r="B893" i="11"/>
  <c r="B958" i="6"/>
  <c r="B702" i="6"/>
  <c r="B446" i="6"/>
  <c r="B279" i="6"/>
  <c r="B158" i="6"/>
  <c r="B96" i="6"/>
  <c r="B64" i="6"/>
  <c r="B39" i="6"/>
  <c r="B17" i="6"/>
  <c r="B991" i="5"/>
  <c r="B970" i="5"/>
  <c r="B951" i="5"/>
  <c r="B930" i="5"/>
  <c r="B910" i="5"/>
  <c r="B891" i="5"/>
  <c r="B873" i="5"/>
  <c r="B857" i="5"/>
  <c r="B841" i="5"/>
  <c r="B825" i="5"/>
  <c r="B809" i="5"/>
  <c r="B793" i="5"/>
  <c r="B777" i="5"/>
  <c r="B761" i="5"/>
  <c r="B745" i="5"/>
  <c r="B729" i="5"/>
  <c r="B713" i="5"/>
  <c r="B697" i="5"/>
  <c r="B681" i="5"/>
  <c r="B665" i="5"/>
  <c r="B649" i="5"/>
  <c r="B633" i="5"/>
  <c r="B617" i="5"/>
  <c r="B601" i="5"/>
  <c r="B585" i="5"/>
  <c r="B569" i="5"/>
  <c r="B553" i="5"/>
  <c r="B537" i="5"/>
  <c r="B521" i="5"/>
  <c r="B505" i="5"/>
  <c r="B489" i="5"/>
  <c r="B473" i="5"/>
  <c r="B457" i="5"/>
  <c r="B441" i="5"/>
  <c r="B425" i="5"/>
  <c r="B409" i="5"/>
  <c r="B393" i="5"/>
  <c r="B377" i="5"/>
  <c r="B361" i="5"/>
  <c r="B345" i="5"/>
  <c r="B329" i="5"/>
  <c r="B313" i="5"/>
  <c r="B297" i="5"/>
  <c r="B281" i="5"/>
  <c r="B265" i="5"/>
  <c r="B249" i="5"/>
  <c r="B233" i="5"/>
  <c r="B217" i="5"/>
  <c r="B201" i="5"/>
  <c r="B185" i="5"/>
  <c r="B169" i="5"/>
  <c r="B153" i="5"/>
  <c r="B137" i="5"/>
  <c r="B121" i="5"/>
  <c r="B105" i="5"/>
  <c r="B89" i="5"/>
  <c r="B73" i="5"/>
  <c r="B57" i="5"/>
  <c r="B41" i="5"/>
  <c r="B25" i="5"/>
  <c r="B9" i="5"/>
  <c r="B3286" i="4"/>
  <c r="B3270" i="4"/>
  <c r="B3254" i="4"/>
  <c r="B3238" i="4"/>
  <c r="B3222" i="4"/>
  <c r="B3206" i="4"/>
  <c r="B3190" i="4"/>
  <c r="B3174" i="4"/>
  <c r="B3158" i="4"/>
  <c r="B3142" i="4"/>
  <c r="B3126" i="4"/>
  <c r="B3110" i="4"/>
  <c r="B3094" i="4"/>
  <c r="B3078" i="4"/>
  <c r="B3062" i="4"/>
  <c r="B3046" i="4"/>
  <c r="B3030" i="4"/>
  <c r="B3014" i="4"/>
  <c r="B2998" i="4"/>
  <c r="B2982" i="4"/>
  <c r="B2966" i="4"/>
  <c r="B653" i="11"/>
  <c r="B942" i="6"/>
  <c r="B686" i="6"/>
  <c r="B430" i="6"/>
  <c r="B270" i="6"/>
  <c r="B151" i="6"/>
  <c r="B95" i="6"/>
  <c r="B63" i="6"/>
  <c r="B38" i="6"/>
  <c r="B16" i="6"/>
  <c r="B990" i="5"/>
  <c r="B969" i="5"/>
  <c r="B950" i="5"/>
  <c r="B928" i="5"/>
  <c r="B909" i="5"/>
  <c r="B890" i="5"/>
  <c r="B872" i="5"/>
  <c r="B856" i="5"/>
  <c r="B840" i="5"/>
  <c r="B824" i="5"/>
  <c r="B808" i="5"/>
  <c r="B792" i="5"/>
  <c r="B776" i="5"/>
  <c r="B760" i="5"/>
  <c r="B744" i="5"/>
  <c r="B728" i="5"/>
  <c r="B712" i="5"/>
  <c r="B696" i="5"/>
  <c r="B680" i="5"/>
  <c r="B664" i="5"/>
  <c r="B648" i="5"/>
  <c r="B632" i="5"/>
  <c r="B616" i="5"/>
  <c r="B600" i="5"/>
  <c r="B584" i="5"/>
  <c r="B568" i="5"/>
  <c r="B552" i="5"/>
  <c r="B536" i="5"/>
  <c r="B520" i="5"/>
  <c r="B504" i="5"/>
  <c r="B488" i="5"/>
  <c r="B472" i="5"/>
  <c r="B456" i="5"/>
  <c r="B440" i="5"/>
  <c r="B424" i="5"/>
  <c r="B408" i="5"/>
  <c r="B392" i="5"/>
  <c r="B376" i="5"/>
  <c r="B360" i="5"/>
  <c r="B344" i="5"/>
  <c r="B328" i="5"/>
  <c r="B312" i="5"/>
  <c r="B296" i="5"/>
  <c r="B280" i="5"/>
  <c r="B264" i="5"/>
  <c r="B248" i="5"/>
  <c r="B232" i="5"/>
  <c r="B216" i="5"/>
  <c r="B200" i="5"/>
  <c r="B184" i="5"/>
  <c r="B168" i="5"/>
  <c r="B152" i="5"/>
  <c r="B136" i="5"/>
  <c r="B120" i="5"/>
  <c r="B104" i="5"/>
  <c r="B88" i="5"/>
  <c r="B72" i="5"/>
  <c r="B56" i="5"/>
  <c r="B40" i="5"/>
  <c r="B24" i="5"/>
  <c r="B8" i="5"/>
  <c r="B3285" i="4"/>
  <c r="B3269" i="4"/>
  <c r="B3253" i="4"/>
  <c r="B3237" i="4"/>
  <c r="B3221" i="4"/>
  <c r="B3205" i="4"/>
  <c r="B3189" i="4"/>
  <c r="B3173" i="4"/>
  <c r="B3157" i="4"/>
  <c r="B3141" i="4"/>
  <c r="B3125" i="4"/>
  <c r="B3109" i="4"/>
  <c r="B143" i="6"/>
  <c r="B791" i="5"/>
  <c r="B535" i="5"/>
  <c r="B279" i="5"/>
  <c r="B23" i="5"/>
  <c r="B3144" i="4"/>
  <c r="B3080" i="4"/>
  <c r="B3043" i="4"/>
  <c r="B3013" i="4"/>
  <c r="B2984" i="4"/>
  <c r="B2957" i="4"/>
  <c r="B2935" i="4"/>
  <c r="B2915" i="4"/>
  <c r="B2893" i="4"/>
  <c r="B2874" i="4"/>
  <c r="B2855" i="4"/>
  <c r="B2836" i="4"/>
  <c r="B2817" i="4"/>
  <c r="B2799" i="4"/>
  <c r="B2782" i="4"/>
  <c r="B2765" i="4"/>
  <c r="B2748" i="4"/>
  <c r="B2731" i="4"/>
  <c r="B2715" i="4"/>
  <c r="B2699" i="4"/>
  <c r="B2683" i="4"/>
  <c r="B2667" i="4"/>
  <c r="B2651" i="4"/>
  <c r="B2635" i="4"/>
  <c r="B2619" i="4"/>
  <c r="B2603" i="4"/>
  <c r="B2587" i="4"/>
  <c r="B2571" i="4"/>
  <c r="B2555" i="4"/>
  <c r="B2539" i="4"/>
  <c r="B2523" i="4"/>
  <c r="B2507" i="4"/>
  <c r="B2491" i="4"/>
  <c r="B2475" i="4"/>
  <c r="B2459" i="4"/>
  <c r="B2443" i="4"/>
  <c r="B2427" i="4"/>
  <c r="B2411" i="4"/>
  <c r="B2395" i="4"/>
  <c r="B2379" i="4"/>
  <c r="B2363" i="4"/>
  <c r="B2347" i="4"/>
  <c r="B2331" i="4"/>
  <c r="B2315" i="4"/>
  <c r="B2299" i="4"/>
  <c r="B2283" i="4"/>
  <c r="B2267" i="4"/>
  <c r="B2251" i="4"/>
  <c r="B2235" i="4"/>
  <c r="B2219" i="4"/>
  <c r="B2203" i="4"/>
  <c r="B2187" i="4"/>
  <c r="B2171" i="4"/>
  <c r="B2155" i="4"/>
  <c r="B2139" i="4"/>
  <c r="B2123" i="4"/>
  <c r="B2107" i="4"/>
  <c r="B2091" i="4"/>
  <c r="B2075" i="4"/>
  <c r="B2059" i="4"/>
  <c r="B2043" i="4"/>
  <c r="B2027" i="4"/>
  <c r="B2011" i="4"/>
  <c r="B1995" i="4"/>
  <c r="B1979" i="4"/>
  <c r="B1963" i="4"/>
  <c r="B1947" i="4"/>
  <c r="B1931" i="4"/>
  <c r="B1915" i="4"/>
  <c r="B1899" i="4"/>
  <c r="B1883" i="4"/>
  <c r="B1867" i="4"/>
  <c r="B1851" i="4"/>
  <c r="B1835" i="4"/>
  <c r="B1819" i="4"/>
  <c r="B1803" i="4"/>
  <c r="B1787" i="4"/>
  <c r="B1771" i="4"/>
  <c r="B1755" i="4"/>
  <c r="B1739" i="4"/>
  <c r="B1723" i="4"/>
  <c r="B1707" i="4"/>
  <c r="B1691" i="4"/>
  <c r="B1675" i="4"/>
  <c r="B1659" i="4"/>
  <c r="B1643" i="4"/>
  <c r="B1627" i="4"/>
  <c r="B1611" i="4"/>
  <c r="B1595" i="4"/>
  <c r="B1579" i="4"/>
  <c r="B1563" i="4"/>
  <c r="B1547" i="4"/>
  <c r="B1531" i="4"/>
  <c r="B1515" i="4"/>
  <c r="B1499" i="4"/>
  <c r="B1483" i="4"/>
  <c r="B1467" i="4"/>
  <c r="B1451" i="4"/>
  <c r="B1435" i="4"/>
  <c r="B1419" i="4"/>
  <c r="B1403" i="4"/>
  <c r="B1387" i="4"/>
  <c r="B1371" i="4"/>
  <c r="B1355" i="4"/>
  <c r="B1339" i="4"/>
  <c r="B1323" i="4"/>
  <c r="B1307" i="4"/>
  <c r="B1291" i="4"/>
  <c r="B1275" i="4"/>
  <c r="B1259" i="4"/>
  <c r="B1243" i="4"/>
  <c r="B1227" i="4"/>
  <c r="B1211" i="4"/>
  <c r="B1195" i="4"/>
  <c r="B1179" i="4"/>
  <c r="B1163" i="4"/>
  <c r="B1147" i="4"/>
  <c r="B1131" i="4"/>
  <c r="B1115" i="4"/>
  <c r="B1099" i="4"/>
  <c r="B1083" i="4"/>
  <c r="B1067" i="4"/>
  <c r="B1051" i="4"/>
  <c r="B1035" i="4"/>
  <c r="B1019" i="4"/>
  <c r="B1003" i="4"/>
  <c r="B987" i="4"/>
  <c r="B971" i="4"/>
  <c r="B955" i="4"/>
  <c r="B939" i="4"/>
  <c r="B923" i="4"/>
  <c r="B907" i="4"/>
  <c r="B891" i="4"/>
  <c r="B875" i="4"/>
  <c r="B859" i="4"/>
  <c r="B843" i="4"/>
  <c r="B827" i="4"/>
  <c r="B811" i="4"/>
  <c r="B795" i="4"/>
  <c r="B779" i="4"/>
  <c r="B763" i="4"/>
  <c r="B747" i="4"/>
  <c r="B731" i="4"/>
  <c r="B715" i="4"/>
  <c r="B699" i="4"/>
  <c r="B683" i="4"/>
  <c r="B667" i="4"/>
  <c r="B651" i="4"/>
  <c r="B635" i="4"/>
  <c r="B619" i="4"/>
  <c r="B603" i="4"/>
  <c r="B587" i="4"/>
  <c r="B571" i="4"/>
  <c r="B555" i="4"/>
  <c r="B539" i="4"/>
  <c r="B523" i="4"/>
  <c r="B507" i="4"/>
  <c r="B491" i="4"/>
  <c r="B475" i="4"/>
  <c r="B459" i="4"/>
  <c r="B443" i="4"/>
  <c r="B427" i="4"/>
  <c r="B411" i="4"/>
  <c r="B395" i="4"/>
  <c r="B379" i="4"/>
  <c r="B94" i="6"/>
  <c r="B775" i="5"/>
  <c r="B519" i="5"/>
  <c r="B263" i="5"/>
  <c r="B7" i="5"/>
  <c r="B3140" i="4"/>
  <c r="B3077" i="4"/>
  <c r="B3041" i="4"/>
  <c r="B3012" i="4"/>
  <c r="B2983" i="4"/>
  <c r="B2956" i="4"/>
  <c r="B2934" i="4"/>
  <c r="B2913" i="4"/>
  <c r="B2892" i="4"/>
  <c r="B2873" i="4"/>
  <c r="B2854" i="4"/>
  <c r="B2835" i="4"/>
  <c r="B2816" i="4"/>
  <c r="B2798" i="4"/>
  <c r="B2781" i="4"/>
  <c r="B2764" i="4"/>
  <c r="B2747" i="4"/>
  <c r="B2730" i="4"/>
  <c r="B2714" i="4"/>
  <c r="B2698" i="4"/>
  <c r="B2682" i="4"/>
  <c r="B2666" i="4"/>
  <c r="B2650" i="4"/>
  <c r="B2634" i="4"/>
  <c r="B2618" i="4"/>
  <c r="B2602" i="4"/>
  <c r="B2586" i="4"/>
  <c r="B2570" i="4"/>
  <c r="B2554" i="4"/>
  <c r="B2538" i="4"/>
  <c r="B2522" i="4"/>
  <c r="B2506" i="4"/>
  <c r="B2490" i="4"/>
  <c r="B2474" i="4"/>
  <c r="B2458" i="4"/>
  <c r="B2442" i="4"/>
  <c r="B2426" i="4"/>
  <c r="B2410" i="4"/>
  <c r="B2394" i="4"/>
  <c r="B2378" i="4"/>
  <c r="B2362" i="4"/>
  <c r="B2346" i="4"/>
  <c r="B2330" i="4"/>
  <c r="B2314" i="4"/>
  <c r="B2298" i="4"/>
  <c r="B2282" i="4"/>
  <c r="B2266" i="4"/>
  <c r="B2250" i="4"/>
  <c r="B2234" i="4"/>
  <c r="B2218" i="4"/>
  <c r="B2202" i="4"/>
  <c r="B2186" i="4"/>
  <c r="B2170" i="4"/>
  <c r="B2154" i="4"/>
  <c r="B2138" i="4"/>
  <c r="B2122" i="4"/>
  <c r="B2106" i="4"/>
  <c r="B2090" i="4"/>
  <c r="B2074" i="4"/>
  <c r="B2058" i="4"/>
  <c r="B2042" i="4"/>
  <c r="B2026" i="4"/>
  <c r="B2010" i="4"/>
  <c r="B1994" i="4"/>
  <c r="B1978" i="4"/>
  <c r="B1962" i="4"/>
  <c r="B1946" i="4"/>
  <c r="B1930" i="4"/>
  <c r="B1914" i="4"/>
  <c r="B1898" i="4"/>
  <c r="B1882" i="4"/>
  <c r="B1866" i="4"/>
  <c r="B1850" i="4"/>
  <c r="B1834" i="4"/>
  <c r="B1818" i="4"/>
  <c r="B1802" i="4"/>
  <c r="B1786" i="4"/>
  <c r="B1770" i="4"/>
  <c r="B1754" i="4"/>
  <c r="B1738" i="4"/>
  <c r="B1722" i="4"/>
  <c r="B1706" i="4"/>
  <c r="B1690" i="4"/>
  <c r="B1674" i="4"/>
  <c r="B1658" i="4"/>
  <c r="B1642" i="4"/>
  <c r="B1626" i="4"/>
  <c r="B1610" i="4"/>
  <c r="B1594" i="4"/>
  <c r="B1578" i="4"/>
  <c r="B1562" i="4"/>
  <c r="B1546" i="4"/>
  <c r="B1530" i="4"/>
  <c r="B1514" i="4"/>
  <c r="B1498" i="4"/>
  <c r="B1482" i="4"/>
  <c r="B1466" i="4"/>
  <c r="B1450" i="4"/>
  <c r="B1434" i="4"/>
  <c r="B1418" i="4"/>
  <c r="B1402" i="4"/>
  <c r="B1386" i="4"/>
  <c r="B1370" i="4"/>
  <c r="B1354" i="4"/>
  <c r="B1338" i="4"/>
  <c r="B1322" i="4"/>
  <c r="B1306" i="4"/>
  <c r="B1290" i="4"/>
  <c r="B1274" i="4"/>
  <c r="B1258" i="4"/>
  <c r="B1242" i="4"/>
  <c r="B1226" i="4"/>
  <c r="B1210" i="4"/>
  <c r="B1194" i="4"/>
  <c r="B1178" i="4"/>
  <c r="B1162" i="4"/>
  <c r="B1146" i="4"/>
  <c r="B1130" i="4"/>
  <c r="B1114" i="4"/>
  <c r="B1098" i="4"/>
  <c r="B1082" i="4"/>
  <c r="B1066" i="4"/>
  <c r="B1050" i="4"/>
  <c r="B1034" i="4"/>
  <c r="B1018" i="4"/>
  <c r="B1002" i="4"/>
  <c r="B986" i="4"/>
  <c r="B970" i="4"/>
  <c r="B954" i="4"/>
  <c r="B938" i="4"/>
  <c r="B922" i="4"/>
  <c r="B906" i="4"/>
  <c r="B890" i="4"/>
  <c r="B874" i="4"/>
  <c r="B858" i="4"/>
  <c r="B842" i="4"/>
  <c r="B826" i="4"/>
  <c r="B810" i="4"/>
  <c r="B794" i="4"/>
  <c r="B778" i="4"/>
  <c r="B762" i="4"/>
  <c r="B746" i="4"/>
  <c r="B730" i="4"/>
  <c r="B714" i="4"/>
  <c r="B698" i="4"/>
  <c r="B682" i="4"/>
  <c r="B666" i="4"/>
  <c r="B650" i="4"/>
  <c r="B634" i="4"/>
  <c r="B618" i="4"/>
  <c r="B602" i="4"/>
  <c r="B586" i="4"/>
  <c r="B570" i="4"/>
  <c r="B554" i="4"/>
  <c r="B538" i="4"/>
  <c r="B522" i="4"/>
  <c r="B506" i="4"/>
  <c r="B490" i="4"/>
  <c r="B474" i="4"/>
  <c r="B458" i="4"/>
  <c r="B442" i="4"/>
  <c r="B426" i="4"/>
  <c r="B410" i="4"/>
  <c r="B394" i="4"/>
  <c r="B378" i="4"/>
  <c r="B62" i="6"/>
  <c r="B759" i="5"/>
  <c r="B503" i="5"/>
  <c r="B247" i="5"/>
  <c r="B3284" i="4"/>
  <c r="B3131" i="4"/>
  <c r="B3076" i="4"/>
  <c r="B3039" i="4"/>
  <c r="B3011" i="4"/>
  <c r="B2981" i="4"/>
  <c r="B2955" i="4"/>
  <c r="B2933" i="4"/>
  <c r="B2911" i="4"/>
  <c r="B2891" i="4"/>
  <c r="B2872" i="4"/>
  <c r="B2853" i="4"/>
  <c r="B2833" i="4"/>
  <c r="B2815" i="4"/>
  <c r="B2797" i="4"/>
  <c r="B2780" i="4"/>
  <c r="B2763" i="4"/>
  <c r="B2746" i="4"/>
  <c r="B2729" i="4"/>
  <c r="B2713" i="4"/>
  <c r="B2697" i="4"/>
  <c r="B2681" i="4"/>
  <c r="B2665" i="4"/>
  <c r="B2649" i="4"/>
  <c r="B2633" i="4"/>
  <c r="B2617" i="4"/>
  <c r="B2601" i="4"/>
  <c r="B2585" i="4"/>
  <c r="B2569" i="4"/>
  <c r="B2553" i="4"/>
  <c r="B2537" i="4"/>
  <c r="B2521" i="4"/>
  <c r="B2505" i="4"/>
  <c r="B2489" i="4"/>
  <c r="B2473" i="4"/>
  <c r="B2457" i="4"/>
  <c r="B2441" i="4"/>
  <c r="B2425" i="4"/>
  <c r="B2409" i="4"/>
  <c r="B2393" i="4"/>
  <c r="B2377" i="4"/>
  <c r="B2361" i="4"/>
  <c r="B2345" i="4"/>
  <c r="B2329" i="4"/>
  <c r="B2313" i="4"/>
  <c r="B2297" i="4"/>
  <c r="B2281" i="4"/>
  <c r="B2265" i="4"/>
  <c r="B2249" i="4"/>
  <c r="B2233" i="4"/>
  <c r="B2217" i="4"/>
  <c r="B2201" i="4"/>
  <c r="B2185" i="4"/>
  <c r="B2169" i="4"/>
  <c r="B2153" i="4"/>
  <c r="B2137" i="4"/>
  <c r="B2121" i="4"/>
  <c r="B2105" i="4"/>
  <c r="B2089" i="4"/>
  <c r="B2073" i="4"/>
  <c r="B2057" i="4"/>
  <c r="B2041" i="4"/>
  <c r="B2025" i="4"/>
  <c r="B2009" i="4"/>
  <c r="B1993" i="4"/>
  <c r="B1977" i="4"/>
  <c r="B1961" i="4"/>
  <c r="B1945" i="4"/>
  <c r="B1929" i="4"/>
  <c r="B1913" i="4"/>
  <c r="B1897" i="4"/>
  <c r="B1881" i="4"/>
  <c r="B1865" i="4"/>
  <c r="B1849" i="4"/>
  <c r="B1833" i="4"/>
  <c r="B1817" i="4"/>
  <c r="B1801" i="4"/>
  <c r="B1785" i="4"/>
  <c r="B1769" i="4"/>
  <c r="B1753" i="4"/>
  <c r="B1737" i="4"/>
  <c r="B1721" i="4"/>
  <c r="B1705" i="4"/>
  <c r="B1689" i="4"/>
  <c r="B1673" i="4"/>
  <c r="B1657" i="4"/>
  <c r="B1641" i="4"/>
  <c r="B1625" i="4"/>
  <c r="B1609" i="4"/>
  <c r="B1593" i="4"/>
  <c r="B1577" i="4"/>
  <c r="B1561" i="4"/>
  <c r="B1545" i="4"/>
  <c r="B1529" i="4"/>
  <c r="B1513" i="4"/>
  <c r="B1497" i="4"/>
  <c r="B1481" i="4"/>
  <c r="B1465" i="4"/>
  <c r="B1449" i="4"/>
  <c r="B1433" i="4"/>
  <c r="B1417" i="4"/>
  <c r="B1401" i="4"/>
  <c r="B1385" i="4"/>
  <c r="B1369" i="4"/>
  <c r="B1353" i="4"/>
  <c r="B1337" i="4"/>
  <c r="B1321" i="4"/>
  <c r="B1305" i="4"/>
  <c r="B1289" i="4"/>
  <c r="B1273" i="4"/>
  <c r="B1257" i="4"/>
  <c r="B1241" i="4"/>
  <c r="B1225" i="4"/>
  <c r="B1209" i="4"/>
  <c r="B1193" i="4"/>
  <c r="B1177" i="4"/>
  <c r="B1161" i="4"/>
  <c r="B1145" i="4"/>
  <c r="B1129" i="4"/>
  <c r="B1113" i="4"/>
  <c r="B1097" i="4"/>
  <c r="B1081" i="4"/>
  <c r="B1065" i="4"/>
  <c r="B1049" i="4"/>
  <c r="B1033" i="4"/>
  <c r="B1017" i="4"/>
  <c r="B1001" i="4"/>
  <c r="B985" i="4"/>
  <c r="B969" i="4"/>
  <c r="B953" i="4"/>
  <c r="B937" i="4"/>
  <c r="B921" i="4"/>
  <c r="B905" i="4"/>
  <c r="B889" i="4"/>
  <c r="B873" i="4"/>
  <c r="B857" i="4"/>
  <c r="B841" i="4"/>
  <c r="B825" i="4"/>
  <c r="B809" i="4"/>
  <c r="B793" i="4"/>
  <c r="B777" i="4"/>
  <c r="B761" i="4"/>
  <c r="B745" i="4"/>
  <c r="B729" i="4"/>
  <c r="B713" i="4"/>
  <c r="B697" i="4"/>
  <c r="B681" i="4"/>
  <c r="B665" i="4"/>
  <c r="B649" i="4"/>
  <c r="B633" i="4"/>
  <c r="B617" i="4"/>
  <c r="B601" i="4"/>
  <c r="B585" i="4"/>
  <c r="B569" i="4"/>
  <c r="B553" i="4"/>
  <c r="B537" i="4"/>
  <c r="B521" i="4"/>
  <c r="B505" i="4"/>
  <c r="B489" i="4"/>
  <c r="B473" i="4"/>
  <c r="B457" i="4"/>
  <c r="B441" i="4"/>
  <c r="B425" i="4"/>
  <c r="B409" i="4"/>
  <c r="B393" i="4"/>
  <c r="B377" i="4"/>
  <c r="B36" i="6"/>
  <c r="B743" i="5"/>
  <c r="B487" i="5"/>
  <c r="B231" i="5"/>
  <c r="B3268" i="4"/>
  <c r="B3128" i="4"/>
  <c r="B3073" i="4"/>
  <c r="B3036" i="4"/>
  <c r="B3009" i="4"/>
  <c r="B2980" i="4"/>
  <c r="B2952" i="4"/>
  <c r="B2932" i="4"/>
  <c r="B2909" i="4"/>
  <c r="B2890" i="4"/>
  <c r="B2871" i="4"/>
  <c r="B2852" i="4"/>
  <c r="B2832" i="4"/>
  <c r="B2813" i="4"/>
  <c r="B2796" i="4"/>
  <c r="B2779" i="4"/>
  <c r="B2762" i="4"/>
  <c r="B2745" i="4"/>
  <c r="B2728" i="4"/>
  <c r="B2712" i="4"/>
  <c r="B2696" i="4"/>
  <c r="B2680" i="4"/>
  <c r="B2664" i="4"/>
  <c r="B2648" i="4"/>
  <c r="B2632" i="4"/>
  <c r="B2616" i="4"/>
  <c r="B2600" i="4"/>
  <c r="B2584" i="4"/>
  <c r="B2568" i="4"/>
  <c r="B2552" i="4"/>
  <c r="B2536" i="4"/>
  <c r="B2520" i="4"/>
  <c r="B2504" i="4"/>
  <c r="B2488" i="4"/>
  <c r="B2472" i="4"/>
  <c r="B2456" i="4"/>
  <c r="B2440" i="4"/>
  <c r="B2424" i="4"/>
  <c r="B2408" i="4"/>
  <c r="B2392" i="4"/>
  <c r="B2376" i="4"/>
  <c r="B2360" i="4"/>
  <c r="B2344" i="4"/>
  <c r="B2328" i="4"/>
  <c r="B2312" i="4"/>
  <c r="B2296" i="4"/>
  <c r="B2280" i="4"/>
  <c r="B2264" i="4"/>
  <c r="B2248" i="4"/>
  <c r="B2232" i="4"/>
  <c r="B2216" i="4"/>
  <c r="B2200" i="4"/>
  <c r="B2184" i="4"/>
  <c r="B2168" i="4"/>
  <c r="B2152" i="4"/>
  <c r="B2136" i="4"/>
  <c r="B2120" i="4"/>
  <c r="B2104" i="4"/>
  <c r="B2088" i="4"/>
  <c r="B2072" i="4"/>
  <c r="B2056" i="4"/>
  <c r="B2040" i="4"/>
  <c r="B2024" i="4"/>
  <c r="B2008" i="4"/>
  <c r="B1992" i="4"/>
  <c r="B1976" i="4"/>
  <c r="B1960" i="4"/>
  <c r="B1944" i="4"/>
  <c r="B1928" i="4"/>
  <c r="B1912" i="4"/>
  <c r="B1896" i="4"/>
  <c r="B1880" i="4"/>
  <c r="B1864" i="4"/>
  <c r="B1848" i="4"/>
  <c r="B1832" i="4"/>
  <c r="B1816" i="4"/>
  <c r="B1800" i="4"/>
  <c r="B1784" i="4"/>
  <c r="B1768" i="4"/>
  <c r="B1752" i="4"/>
  <c r="B1736" i="4"/>
  <c r="B1720" i="4"/>
  <c r="B1704" i="4"/>
  <c r="B1688" i="4"/>
  <c r="B1672" i="4"/>
  <c r="B1656" i="4"/>
  <c r="B1640" i="4"/>
  <c r="B1624" i="4"/>
  <c r="B1608" i="4"/>
  <c r="B1592" i="4"/>
  <c r="B1576" i="4"/>
  <c r="B1560" i="4"/>
  <c r="B1544" i="4"/>
  <c r="B1528" i="4"/>
  <c r="B1512" i="4"/>
  <c r="B1496" i="4"/>
  <c r="B1480" i="4"/>
  <c r="B1464" i="4"/>
  <c r="B1448" i="4"/>
  <c r="B1432" i="4"/>
  <c r="B1416" i="4"/>
  <c r="B1400" i="4"/>
  <c r="B1384" i="4"/>
  <c r="B1368" i="4"/>
  <c r="B1352" i="4"/>
  <c r="B1336" i="4"/>
  <c r="B1320" i="4"/>
  <c r="B1304" i="4"/>
  <c r="B1288" i="4"/>
  <c r="B1272" i="4"/>
  <c r="B1256" i="4"/>
  <c r="B1240" i="4"/>
  <c r="B1224" i="4"/>
  <c r="B1208" i="4"/>
  <c r="B1192" i="4"/>
  <c r="B1176" i="4"/>
  <c r="B1160" i="4"/>
  <c r="B1144" i="4"/>
  <c r="B1128" i="4"/>
  <c r="B1112" i="4"/>
  <c r="B1096" i="4"/>
  <c r="B1080" i="4"/>
  <c r="B1064" i="4"/>
  <c r="B1048" i="4"/>
  <c r="B1032" i="4"/>
  <c r="B1016" i="4"/>
  <c r="B1000" i="4"/>
  <c r="B984" i="4"/>
  <c r="B968" i="4"/>
  <c r="B952" i="4"/>
  <c r="B936" i="4"/>
  <c r="B920" i="4"/>
  <c r="B904" i="4"/>
  <c r="B888" i="4"/>
  <c r="B872" i="4"/>
  <c r="B856" i="4"/>
  <c r="B840" i="4"/>
  <c r="B824" i="4"/>
  <c r="B808" i="4"/>
  <c r="B792" i="4"/>
  <c r="B776" i="4"/>
  <c r="B760" i="4"/>
  <c r="B744" i="4"/>
  <c r="B728" i="4"/>
  <c r="B712" i="4"/>
  <c r="B696" i="4"/>
  <c r="B680" i="4"/>
  <c r="B664" i="4"/>
  <c r="B648" i="4"/>
  <c r="B632" i="4"/>
  <c r="B616" i="4"/>
  <c r="B600" i="4"/>
  <c r="B584" i="4"/>
  <c r="B15" i="6"/>
  <c r="B727" i="5"/>
  <c r="B471" i="5"/>
  <c r="B215" i="5"/>
  <c r="B3252" i="4"/>
  <c r="B3124" i="4"/>
  <c r="B3067" i="4"/>
  <c r="B3035" i="4"/>
  <c r="B3007" i="4"/>
  <c r="B2979" i="4"/>
  <c r="B2951" i="4"/>
  <c r="B2931" i="4"/>
  <c r="B2908" i="4"/>
  <c r="B2889" i="4"/>
  <c r="B2870" i="4"/>
  <c r="B2851" i="4"/>
  <c r="B2831" i="4"/>
  <c r="B2812" i="4"/>
  <c r="B2795" i="4"/>
  <c r="B2778" i="4"/>
  <c r="B2761" i="4"/>
  <c r="B2744" i="4"/>
  <c r="B2727" i="4"/>
  <c r="B2711" i="4"/>
  <c r="B2695" i="4"/>
  <c r="B2679" i="4"/>
  <c r="B2663" i="4"/>
  <c r="B2647" i="4"/>
  <c r="B2631" i="4"/>
  <c r="B2615" i="4"/>
  <c r="B2599" i="4"/>
  <c r="B2583" i="4"/>
  <c r="B2567" i="4"/>
  <c r="B2551" i="4"/>
  <c r="B2535" i="4"/>
  <c r="B2519" i="4"/>
  <c r="B2503" i="4"/>
  <c r="B2487" i="4"/>
  <c r="B2471" i="4"/>
  <c r="B2455" i="4"/>
  <c r="B2439" i="4"/>
  <c r="B2423" i="4"/>
  <c r="B2407" i="4"/>
  <c r="B2391" i="4"/>
  <c r="B2375" i="4"/>
  <c r="B2359" i="4"/>
  <c r="B2343" i="4"/>
  <c r="B2327" i="4"/>
  <c r="B2311" i="4"/>
  <c r="B2295" i="4"/>
  <c r="B2279" i="4"/>
  <c r="B2263" i="4"/>
  <c r="B2247" i="4"/>
  <c r="B2231" i="4"/>
  <c r="B2215" i="4"/>
  <c r="B2199" i="4"/>
  <c r="B2183" i="4"/>
  <c r="B2167" i="4"/>
  <c r="B2151" i="4"/>
  <c r="B2135" i="4"/>
  <c r="B2119" i="4"/>
  <c r="B2103" i="4"/>
  <c r="B2087" i="4"/>
  <c r="B2071" i="4"/>
  <c r="B2055" i="4"/>
  <c r="B2039" i="4"/>
  <c r="B2023" i="4"/>
  <c r="B2007" i="4"/>
  <c r="B1991" i="4"/>
  <c r="B1975" i="4"/>
  <c r="B1959" i="4"/>
  <c r="B1943" i="4"/>
  <c r="B1927" i="4"/>
  <c r="B1911" i="4"/>
  <c r="B1895" i="4"/>
  <c r="B1879" i="4"/>
  <c r="B1863" i="4"/>
  <c r="B1847" i="4"/>
  <c r="B1831" i="4"/>
  <c r="B1815" i="4"/>
  <c r="B1799" i="4"/>
  <c r="B1783" i="4"/>
  <c r="B1767" i="4"/>
  <c r="B1751" i="4"/>
  <c r="B1735" i="4"/>
  <c r="B1719" i="4"/>
  <c r="B1703" i="4"/>
  <c r="B1687" i="4"/>
  <c r="B1671" i="4"/>
  <c r="B1655" i="4"/>
  <c r="B1639" i="4"/>
  <c r="B1623" i="4"/>
  <c r="B1607" i="4"/>
  <c r="B1591" i="4"/>
  <c r="B1575" i="4"/>
  <c r="B1559" i="4"/>
  <c r="B1543" i="4"/>
  <c r="B1527" i="4"/>
  <c r="B1511" i="4"/>
  <c r="B1495" i="4"/>
  <c r="B1479" i="4"/>
  <c r="B1463" i="4"/>
  <c r="B1447" i="4"/>
  <c r="B1431" i="4"/>
  <c r="B1415" i="4"/>
  <c r="B1399" i="4"/>
  <c r="B1383" i="4"/>
  <c r="B1367" i="4"/>
  <c r="B1351" i="4"/>
  <c r="B1335" i="4"/>
  <c r="B1319" i="4"/>
  <c r="B1303" i="4"/>
  <c r="B1287" i="4"/>
  <c r="B1271" i="4"/>
  <c r="B1255" i="4"/>
  <c r="B1239" i="4"/>
  <c r="B1223" i="4"/>
  <c r="B1207" i="4"/>
  <c r="B1191" i="4"/>
  <c r="B1175" i="4"/>
  <c r="B1159" i="4"/>
  <c r="B1143" i="4"/>
  <c r="B1127" i="4"/>
  <c r="B1111" i="4"/>
  <c r="B1095" i="4"/>
  <c r="B1079" i="4"/>
  <c r="B1063" i="4"/>
  <c r="B1047" i="4"/>
  <c r="B1031" i="4"/>
  <c r="B1015" i="4"/>
  <c r="B999" i="4"/>
  <c r="B983" i="4"/>
  <c r="B967" i="4"/>
  <c r="B951" i="4"/>
  <c r="B935" i="4"/>
  <c r="B919" i="4"/>
  <c r="B903" i="4"/>
  <c r="B887" i="4"/>
  <c r="B871" i="4"/>
  <c r="B855" i="4"/>
  <c r="B839" i="4"/>
  <c r="B823" i="4"/>
  <c r="B807" i="4"/>
  <c r="B791" i="4"/>
  <c r="B775" i="4"/>
  <c r="B759" i="4"/>
  <c r="B743" i="4"/>
  <c r="B727" i="4"/>
  <c r="B711" i="4"/>
  <c r="B695" i="4"/>
  <c r="B679" i="4"/>
  <c r="B663" i="4"/>
  <c r="B647" i="4"/>
  <c r="B631" i="4"/>
  <c r="B615" i="4"/>
  <c r="B599" i="4"/>
  <c r="B583" i="4"/>
  <c r="B567" i="4"/>
  <c r="B551" i="4"/>
  <c r="B535" i="4"/>
  <c r="B519" i="4"/>
  <c r="B503" i="4"/>
  <c r="B487" i="4"/>
  <c r="B471" i="4"/>
  <c r="B455" i="4"/>
  <c r="B439" i="4"/>
  <c r="B423" i="4"/>
  <c r="B407" i="4"/>
  <c r="B391" i="4"/>
  <c r="B989" i="5"/>
  <c r="B711" i="5"/>
  <c r="B455" i="5"/>
  <c r="B199" i="5"/>
  <c r="B3236" i="4"/>
  <c r="B3121" i="4"/>
  <c r="B3064" i="4"/>
  <c r="B3032" i="4"/>
  <c r="B3004" i="4"/>
  <c r="B2977" i="4"/>
  <c r="B2950" i="4"/>
  <c r="B2929" i="4"/>
  <c r="B2907" i="4"/>
  <c r="B2888" i="4"/>
  <c r="B2869" i="4"/>
  <c r="B2849" i="4"/>
  <c r="B2829" i="4"/>
  <c r="B2811" i="4"/>
  <c r="B2794" i="4"/>
  <c r="B2777" i="4"/>
  <c r="B2760" i="4"/>
  <c r="B2743" i="4"/>
  <c r="B2726" i="4"/>
  <c r="B2710" i="4"/>
  <c r="B2694" i="4"/>
  <c r="B2678" i="4"/>
  <c r="B2662" i="4"/>
  <c r="B2646" i="4"/>
  <c r="B2630" i="4"/>
  <c r="B2614" i="4"/>
  <c r="B2598" i="4"/>
  <c r="B2582" i="4"/>
  <c r="B2566" i="4"/>
  <c r="B2550" i="4"/>
  <c r="B2534" i="4"/>
  <c r="B2518" i="4"/>
  <c r="B2502" i="4"/>
  <c r="B2486" i="4"/>
  <c r="B2470" i="4"/>
  <c r="B2454" i="4"/>
  <c r="B2438" i="4"/>
  <c r="B2422" i="4"/>
  <c r="B2406" i="4"/>
  <c r="B2390" i="4"/>
  <c r="B2374" i="4"/>
  <c r="B2358" i="4"/>
  <c r="B2342" i="4"/>
  <c r="B2326" i="4"/>
  <c r="B2310" i="4"/>
  <c r="B2294" i="4"/>
  <c r="B2278" i="4"/>
  <c r="B2262" i="4"/>
  <c r="B2246" i="4"/>
  <c r="B2230" i="4"/>
  <c r="B2214" i="4"/>
  <c r="B2198" i="4"/>
  <c r="B2182" i="4"/>
  <c r="B2166" i="4"/>
  <c r="B2150" i="4"/>
  <c r="B2134" i="4"/>
  <c r="B2118" i="4"/>
  <c r="B2102" i="4"/>
  <c r="B2086" i="4"/>
  <c r="B2070" i="4"/>
  <c r="B2054" i="4"/>
  <c r="B2038" i="4"/>
  <c r="B2022" i="4"/>
  <c r="B2006" i="4"/>
  <c r="B1990" i="4"/>
  <c r="B1974" i="4"/>
  <c r="B1958" i="4"/>
  <c r="B1942" i="4"/>
  <c r="B1926" i="4"/>
  <c r="B1910" i="4"/>
  <c r="B1894" i="4"/>
  <c r="B1878" i="4"/>
  <c r="B1862" i="4"/>
  <c r="B1846" i="4"/>
  <c r="B1830" i="4"/>
  <c r="B1814" i="4"/>
  <c r="B1798" i="4"/>
  <c r="B1782" i="4"/>
  <c r="B1766" i="4"/>
  <c r="B1750" i="4"/>
  <c r="B1734" i="4"/>
  <c r="B1718" i="4"/>
  <c r="B1702" i="4"/>
  <c r="B1686" i="4"/>
  <c r="B1670" i="4"/>
  <c r="B1654" i="4"/>
  <c r="B1638" i="4"/>
  <c r="B1622" i="4"/>
  <c r="B1606" i="4"/>
  <c r="B1590" i="4"/>
  <c r="B1574" i="4"/>
  <c r="B1558" i="4"/>
  <c r="B1542" i="4"/>
  <c r="B1526" i="4"/>
  <c r="B1510" i="4"/>
  <c r="B1494" i="4"/>
  <c r="B1478" i="4"/>
  <c r="B1462" i="4"/>
  <c r="B1446" i="4"/>
  <c r="B1430" i="4"/>
  <c r="B1414" i="4"/>
  <c r="B1398" i="4"/>
  <c r="B1382" i="4"/>
  <c r="B1366" i="4"/>
  <c r="B1350" i="4"/>
  <c r="B1334" i="4"/>
  <c r="B1318" i="4"/>
  <c r="B1302" i="4"/>
  <c r="B1286" i="4"/>
  <c r="B1270" i="4"/>
  <c r="B1254" i="4"/>
  <c r="B1238" i="4"/>
  <c r="B1222" i="4"/>
  <c r="B1206" i="4"/>
  <c r="B1190" i="4"/>
  <c r="B1174" i="4"/>
  <c r="B1158" i="4"/>
  <c r="B1142" i="4"/>
  <c r="B1126" i="4"/>
  <c r="B1110" i="4"/>
  <c r="B1094" i="4"/>
  <c r="B1078" i="4"/>
  <c r="B1062" i="4"/>
  <c r="B1046" i="4"/>
  <c r="B1030" i="4"/>
  <c r="B1014" i="4"/>
  <c r="B998" i="4"/>
  <c r="B982" i="4"/>
  <c r="B966" i="4"/>
  <c r="B950" i="4"/>
  <c r="B934" i="4"/>
  <c r="B918" i="4"/>
  <c r="B902" i="4"/>
  <c r="B886" i="4"/>
  <c r="B870" i="4"/>
  <c r="B854" i="4"/>
  <c r="B838" i="4"/>
  <c r="B822" i="4"/>
  <c r="B806" i="4"/>
  <c r="B790" i="4"/>
  <c r="B774" i="4"/>
  <c r="B758" i="4"/>
  <c r="B742" i="4"/>
  <c r="B726" i="4"/>
  <c r="B710" i="4"/>
  <c r="B694" i="4"/>
  <c r="B678" i="4"/>
  <c r="B662" i="4"/>
  <c r="B646" i="4"/>
  <c r="B630" i="4"/>
  <c r="B614" i="4"/>
  <c r="B598" i="4"/>
  <c r="B582" i="4"/>
  <c r="B566" i="4"/>
  <c r="B550" i="4"/>
  <c r="B534" i="4"/>
  <c r="B518" i="4"/>
  <c r="B502" i="4"/>
  <c r="B486" i="4"/>
  <c r="B470" i="4"/>
  <c r="B454" i="4"/>
  <c r="B438" i="4"/>
  <c r="B422" i="4"/>
  <c r="B406" i="4"/>
  <c r="B390" i="4"/>
  <c r="B374" i="4"/>
  <c r="B968" i="5"/>
  <c r="B695" i="5"/>
  <c r="B439" i="5"/>
  <c r="B183" i="5"/>
  <c r="B3220" i="4"/>
  <c r="B3115" i="4"/>
  <c r="B3061" i="4"/>
  <c r="B3031" i="4"/>
  <c r="B3003" i="4"/>
  <c r="B2975" i="4"/>
  <c r="B2949" i="4"/>
  <c r="B2927" i="4"/>
  <c r="B2906" i="4"/>
  <c r="B2887" i="4"/>
  <c r="B2868" i="4"/>
  <c r="B2847" i="4"/>
  <c r="B2828" i="4"/>
  <c r="B2810" i="4"/>
  <c r="B2793" i="4"/>
  <c r="B2776" i="4"/>
  <c r="B2759" i="4"/>
  <c r="B2742" i="4"/>
  <c r="B2725" i="4"/>
  <c r="B2709" i="4"/>
  <c r="B2693" i="4"/>
  <c r="B2677" i="4"/>
  <c r="B2661" i="4"/>
  <c r="B2645" i="4"/>
  <c r="B2629" i="4"/>
  <c r="B2613" i="4"/>
  <c r="B2597" i="4"/>
  <c r="B2581" i="4"/>
  <c r="B2565" i="4"/>
  <c r="B2549" i="4"/>
  <c r="B2533" i="4"/>
  <c r="B2517" i="4"/>
  <c r="B2501" i="4"/>
  <c r="B2485" i="4"/>
  <c r="B2469" i="4"/>
  <c r="B2453" i="4"/>
  <c r="B2437" i="4"/>
  <c r="B2421" i="4"/>
  <c r="B2405" i="4"/>
  <c r="B2389" i="4"/>
  <c r="B2373" i="4"/>
  <c r="B2357" i="4"/>
  <c r="B2341" i="4"/>
  <c r="B2325" i="4"/>
  <c r="B2309" i="4"/>
  <c r="B2293" i="4"/>
  <c r="B2277" i="4"/>
  <c r="B2261" i="4"/>
  <c r="B2245" i="4"/>
  <c r="B2229" i="4"/>
  <c r="B2213" i="4"/>
  <c r="B2197" i="4"/>
  <c r="B2181" i="4"/>
  <c r="B2165" i="4"/>
  <c r="B2149" i="4"/>
  <c r="B2133" i="4"/>
  <c r="B2117" i="4"/>
  <c r="B2101" i="4"/>
  <c r="B2085" i="4"/>
  <c r="B2069" i="4"/>
  <c r="B2053" i="4"/>
  <c r="B2037" i="4"/>
  <c r="B2021" i="4"/>
  <c r="B2005" i="4"/>
  <c r="B1989" i="4"/>
  <c r="B1973" i="4"/>
  <c r="B1957" i="4"/>
  <c r="B1941" i="4"/>
  <c r="B1925" i="4"/>
  <c r="B1909" i="4"/>
  <c r="B1893" i="4"/>
  <c r="B1877" i="4"/>
  <c r="B1861" i="4"/>
  <c r="B1845" i="4"/>
  <c r="B1829" i="4"/>
  <c r="B1813" i="4"/>
  <c r="B1797" i="4"/>
  <c r="B1781" i="4"/>
  <c r="B1765" i="4"/>
  <c r="B1749" i="4"/>
  <c r="B1733" i="4"/>
  <c r="B1717" i="4"/>
  <c r="B1701" i="4"/>
  <c r="B1685" i="4"/>
  <c r="B1669" i="4"/>
  <c r="B1653" i="4"/>
  <c r="B1637" i="4"/>
  <c r="B1621" i="4"/>
  <c r="B1605" i="4"/>
  <c r="B1589" i="4"/>
  <c r="B1573" i="4"/>
  <c r="B1557" i="4"/>
  <c r="B1541" i="4"/>
  <c r="B1525" i="4"/>
  <c r="B1509" i="4"/>
  <c r="B1493" i="4"/>
  <c r="B1477" i="4"/>
  <c r="B1461" i="4"/>
  <c r="B1445" i="4"/>
  <c r="B1429" i="4"/>
  <c r="B1413" i="4"/>
  <c r="B1397" i="4"/>
  <c r="B1381" i="4"/>
  <c r="B1365" i="4"/>
  <c r="B1349" i="4"/>
  <c r="B1333" i="4"/>
  <c r="B1317" i="4"/>
  <c r="B1301" i="4"/>
  <c r="B1285" i="4"/>
  <c r="B1269" i="4"/>
  <c r="B1253" i="4"/>
  <c r="B1237" i="4"/>
  <c r="B1221" i="4"/>
  <c r="B1205" i="4"/>
  <c r="B1189" i="4"/>
  <c r="B1173" i="4"/>
  <c r="B1157" i="4"/>
  <c r="B1141" i="4"/>
  <c r="B1125" i="4"/>
  <c r="B1109" i="4"/>
  <c r="B1093" i="4"/>
  <c r="B1077" i="4"/>
  <c r="B1061" i="4"/>
  <c r="B1045" i="4"/>
  <c r="B1029" i="4"/>
  <c r="B1013" i="4"/>
  <c r="B997" i="4"/>
  <c r="B981" i="4"/>
  <c r="B965" i="4"/>
  <c r="B949" i="4"/>
  <c r="B933" i="4"/>
  <c r="B917" i="4"/>
  <c r="B901" i="4"/>
  <c r="B885" i="4"/>
  <c r="B869" i="4"/>
  <c r="B853" i="4"/>
  <c r="B837" i="4"/>
  <c r="B821" i="4"/>
  <c r="B805" i="4"/>
  <c r="B789" i="4"/>
  <c r="B773" i="4"/>
  <c r="B757" i="4"/>
  <c r="B741" i="4"/>
  <c r="B725" i="4"/>
  <c r="B709" i="4"/>
  <c r="B693" i="4"/>
  <c r="B677" i="4"/>
  <c r="B661" i="4"/>
  <c r="B645" i="4"/>
  <c r="B629" i="4"/>
  <c r="B613" i="4"/>
  <c r="B597" i="4"/>
  <c r="B581" i="4"/>
  <c r="B565" i="4"/>
  <c r="B549" i="4"/>
  <c r="B533" i="4"/>
  <c r="B517" i="4"/>
  <c r="B501" i="4"/>
  <c r="B485" i="4"/>
  <c r="B949" i="5"/>
  <c r="B679" i="5"/>
  <c r="B423" i="5"/>
  <c r="B167" i="5"/>
  <c r="B3204" i="4"/>
  <c r="B3112" i="4"/>
  <c r="B3060" i="4"/>
  <c r="B3029" i="4"/>
  <c r="B3000" i="4"/>
  <c r="B2972" i="4"/>
  <c r="B2948" i="4"/>
  <c r="B2925" i="4"/>
  <c r="B2905" i="4"/>
  <c r="B2886" i="4"/>
  <c r="B2867" i="4"/>
  <c r="B2845" i="4"/>
  <c r="B2827" i="4"/>
  <c r="B2809" i="4"/>
  <c r="B2792" i="4"/>
  <c r="B2775" i="4"/>
  <c r="B2758" i="4"/>
  <c r="B2741" i="4"/>
  <c r="B2724" i="4"/>
  <c r="B2708" i="4"/>
  <c r="B2692" i="4"/>
  <c r="B2676" i="4"/>
  <c r="B2660" i="4"/>
  <c r="B2644" i="4"/>
  <c r="B2628" i="4"/>
  <c r="B2612" i="4"/>
  <c r="B2596" i="4"/>
  <c r="B2580" i="4"/>
  <c r="B2564" i="4"/>
  <c r="B2548" i="4"/>
  <c r="B2532" i="4"/>
  <c r="B2516" i="4"/>
  <c r="B2500" i="4"/>
  <c r="B2484" i="4"/>
  <c r="B2468" i="4"/>
  <c r="B2452" i="4"/>
  <c r="B2436" i="4"/>
  <c r="B2420" i="4"/>
  <c r="B2404" i="4"/>
  <c r="B2388" i="4"/>
  <c r="B2372" i="4"/>
  <c r="B2356" i="4"/>
  <c r="B2340" i="4"/>
  <c r="B2324" i="4"/>
  <c r="B2308" i="4"/>
  <c r="B2292" i="4"/>
  <c r="B2276" i="4"/>
  <c r="B2260" i="4"/>
  <c r="B2244" i="4"/>
  <c r="B2228" i="4"/>
  <c r="B2212" i="4"/>
  <c r="B2196" i="4"/>
  <c r="B2180" i="4"/>
  <c r="B2164" i="4"/>
  <c r="B2148" i="4"/>
  <c r="B2132" i="4"/>
  <c r="B2116" i="4"/>
  <c r="B2100" i="4"/>
  <c r="B2084" i="4"/>
  <c r="B2068" i="4"/>
  <c r="B2052" i="4"/>
  <c r="B2036" i="4"/>
  <c r="B2020" i="4"/>
  <c r="B2004" i="4"/>
  <c r="B1988" i="4"/>
  <c r="B1972" i="4"/>
  <c r="B1956" i="4"/>
  <c r="B1940" i="4"/>
  <c r="B1924" i="4"/>
  <c r="B1908" i="4"/>
  <c r="B1892" i="4"/>
  <c r="B1876" i="4"/>
  <c r="B1860" i="4"/>
  <c r="B1844" i="4"/>
  <c r="B1828" i="4"/>
  <c r="B1812" i="4"/>
  <c r="B1796" i="4"/>
  <c r="B1780" i="4"/>
  <c r="B1764" i="4"/>
  <c r="B1748" i="4"/>
  <c r="B1732" i="4"/>
  <c r="B1716" i="4"/>
  <c r="B1700" i="4"/>
  <c r="B1684" i="4"/>
  <c r="B1668" i="4"/>
  <c r="B1652" i="4"/>
  <c r="B1636" i="4"/>
  <c r="B1620" i="4"/>
  <c r="B1604" i="4"/>
  <c r="B1588" i="4"/>
  <c r="B1572" i="4"/>
  <c r="B1556" i="4"/>
  <c r="B1540" i="4"/>
  <c r="B1524" i="4"/>
  <c r="B1508" i="4"/>
  <c r="B1492" i="4"/>
  <c r="B1476" i="4"/>
  <c r="B1460" i="4"/>
  <c r="B1444" i="4"/>
  <c r="B1428" i="4"/>
  <c r="B1412" i="4"/>
  <c r="B1396" i="4"/>
  <c r="B1380" i="4"/>
  <c r="B1364" i="4"/>
  <c r="B1348" i="4"/>
  <c r="B1332" i="4"/>
  <c r="B1316" i="4"/>
  <c r="B1300" i="4"/>
  <c r="B1284" i="4"/>
  <c r="B1268" i="4"/>
  <c r="B1252" i="4"/>
  <c r="B1236" i="4"/>
  <c r="B1220" i="4"/>
  <c r="B1204" i="4"/>
  <c r="B1188" i="4"/>
  <c r="B1172" i="4"/>
  <c r="B1156" i="4"/>
  <c r="B1140" i="4"/>
  <c r="B1124" i="4"/>
  <c r="B1108" i="4"/>
  <c r="B1092" i="4"/>
  <c r="B1076" i="4"/>
  <c r="B1060" i="4"/>
  <c r="B1044" i="4"/>
  <c r="B1028" i="4"/>
  <c r="B1012" i="4"/>
  <c r="B996" i="4"/>
  <c r="B980" i="4"/>
  <c r="B964" i="4"/>
  <c r="B948" i="4"/>
  <c r="B932" i="4"/>
  <c r="B916" i="4"/>
  <c r="B900" i="4"/>
  <c r="B884" i="4"/>
  <c r="B868" i="4"/>
  <c r="B852" i="4"/>
  <c r="B836" i="4"/>
  <c r="B820" i="4"/>
  <c r="B804" i="4"/>
  <c r="B788" i="4"/>
  <c r="B772" i="4"/>
  <c r="B756" i="4"/>
  <c r="B740" i="4"/>
  <c r="B724" i="4"/>
  <c r="B708" i="4"/>
  <c r="B692" i="4"/>
  <c r="B676" i="4"/>
  <c r="B660" i="4"/>
  <c r="B644" i="4"/>
  <c r="B628" i="4"/>
  <c r="B612" i="4"/>
  <c r="B596" i="4"/>
  <c r="B580" i="4"/>
  <c r="B564" i="4"/>
  <c r="B548" i="4"/>
  <c r="B532" i="4"/>
  <c r="B516" i="4"/>
  <c r="B927" i="5"/>
  <c r="B663" i="5"/>
  <c r="B407" i="5"/>
  <c r="B151" i="5"/>
  <c r="B3195" i="4"/>
  <c r="B3108" i="4"/>
  <c r="B3059" i="4"/>
  <c r="B3028" i="4"/>
  <c r="B2999" i="4"/>
  <c r="B2971" i="4"/>
  <c r="B2947" i="4"/>
  <c r="B2924" i="4"/>
  <c r="B2904" i="4"/>
  <c r="B2885" i="4"/>
  <c r="B2865" i="4"/>
  <c r="B2844" i="4"/>
  <c r="B2826" i="4"/>
  <c r="B2808" i="4"/>
  <c r="B2791" i="4"/>
  <c r="B2774" i="4"/>
  <c r="B2757" i="4"/>
  <c r="B2740" i="4"/>
  <c r="B2723" i="4"/>
  <c r="B2707" i="4"/>
  <c r="B2691" i="4"/>
  <c r="B2675" i="4"/>
  <c r="B2659" i="4"/>
  <c r="B2643" i="4"/>
  <c r="B2627" i="4"/>
  <c r="B2611" i="4"/>
  <c r="B2595" i="4"/>
  <c r="B2579" i="4"/>
  <c r="B2563" i="4"/>
  <c r="B2547" i="4"/>
  <c r="B2531" i="4"/>
  <c r="B2515" i="4"/>
  <c r="B2499" i="4"/>
  <c r="B2483" i="4"/>
  <c r="B2467" i="4"/>
  <c r="B2451" i="4"/>
  <c r="B2435" i="4"/>
  <c r="B2419" i="4"/>
  <c r="B2403" i="4"/>
  <c r="B2387" i="4"/>
  <c r="B2371" i="4"/>
  <c r="B2355" i="4"/>
  <c r="B2339" i="4"/>
  <c r="B2323" i="4"/>
  <c r="B2307" i="4"/>
  <c r="B2291" i="4"/>
  <c r="B2275" i="4"/>
  <c r="B2259" i="4"/>
  <c r="B2243" i="4"/>
  <c r="B2227" i="4"/>
  <c r="B2211" i="4"/>
  <c r="B2195" i="4"/>
  <c r="B2179" i="4"/>
  <c r="B2163" i="4"/>
  <c r="B2147" i="4"/>
  <c r="B2131" i="4"/>
  <c r="B2115" i="4"/>
  <c r="B2099" i="4"/>
  <c r="B2083" i="4"/>
  <c r="B2067" i="4"/>
  <c r="B2051" i="4"/>
  <c r="B2035" i="4"/>
  <c r="B2019" i="4"/>
  <c r="B2003" i="4"/>
  <c r="B1987" i="4"/>
  <c r="B1971" i="4"/>
  <c r="B1955" i="4"/>
  <c r="B1939" i="4"/>
  <c r="B1923" i="4"/>
  <c r="B1907" i="4"/>
  <c r="B1891" i="4"/>
  <c r="B1875" i="4"/>
  <c r="B1859" i="4"/>
  <c r="B1843" i="4"/>
  <c r="B1827" i="4"/>
  <c r="B1811" i="4"/>
  <c r="B1795" i="4"/>
  <c r="B1779" i="4"/>
  <c r="B1763" i="4"/>
  <c r="B1747" i="4"/>
  <c r="B1731" i="4"/>
  <c r="B1715" i="4"/>
  <c r="B1699" i="4"/>
  <c r="B1683" i="4"/>
  <c r="B1667" i="4"/>
  <c r="B1651" i="4"/>
  <c r="B1635" i="4"/>
  <c r="B1619" i="4"/>
  <c r="B1603" i="4"/>
  <c r="B1587" i="4"/>
  <c r="B1571" i="4"/>
  <c r="B1555" i="4"/>
  <c r="B1539" i="4"/>
  <c r="B1523" i="4"/>
  <c r="B1507" i="4"/>
  <c r="B1491" i="4"/>
  <c r="B1475" i="4"/>
  <c r="B1459" i="4"/>
  <c r="B1443" i="4"/>
  <c r="B1427" i="4"/>
  <c r="B1411" i="4"/>
  <c r="B1395" i="4"/>
  <c r="B1379" i="4"/>
  <c r="B1363" i="4"/>
  <c r="B1347" i="4"/>
  <c r="B1331" i="4"/>
  <c r="B1315" i="4"/>
  <c r="B1299" i="4"/>
  <c r="B1283" i="4"/>
  <c r="B1267" i="4"/>
  <c r="B1251" i="4"/>
  <c r="B1235" i="4"/>
  <c r="B1219" i="4"/>
  <c r="B1203" i="4"/>
  <c r="B1187" i="4"/>
  <c r="B1171" i="4"/>
  <c r="B1155" i="4"/>
  <c r="B1139" i="4"/>
  <c r="B1123" i="4"/>
  <c r="B1107" i="4"/>
  <c r="B1091" i="4"/>
  <c r="B1075" i="4"/>
  <c r="B1059" i="4"/>
  <c r="B1043" i="4"/>
  <c r="B1027" i="4"/>
  <c r="B1011" i="4"/>
  <c r="B995" i="4"/>
  <c r="B979" i="4"/>
  <c r="B963" i="4"/>
  <c r="B947" i="4"/>
  <c r="B931" i="4"/>
  <c r="B915" i="4"/>
  <c r="B899" i="4"/>
  <c r="B883" i="4"/>
  <c r="B867" i="4"/>
  <c r="B851" i="4"/>
  <c r="B835" i="4"/>
  <c r="B819" i="4"/>
  <c r="B803" i="4"/>
  <c r="B787" i="4"/>
  <c r="B771" i="4"/>
  <c r="B755" i="4"/>
  <c r="B739" i="4"/>
  <c r="B723" i="4"/>
  <c r="B707" i="4"/>
  <c r="B691" i="4"/>
  <c r="B675" i="4"/>
  <c r="B659" i="4"/>
  <c r="B643" i="4"/>
  <c r="B627" i="4"/>
  <c r="B611" i="4"/>
  <c r="B595" i="4"/>
  <c r="B579" i="4"/>
  <c r="B563" i="4"/>
  <c r="B547" i="4"/>
  <c r="B531" i="4"/>
  <c r="B515" i="4"/>
  <c r="B499" i="4"/>
  <c r="B483" i="4"/>
  <c r="B467" i="4"/>
  <c r="B908" i="5"/>
  <c r="B647" i="5"/>
  <c r="B391" i="5"/>
  <c r="B135" i="5"/>
  <c r="B3188" i="4"/>
  <c r="B3105" i="4"/>
  <c r="B3057" i="4"/>
  <c r="B3027" i="4"/>
  <c r="B2997" i="4"/>
  <c r="B2968" i="4"/>
  <c r="B2945" i="4"/>
  <c r="B2923" i="4"/>
  <c r="B2903" i="4"/>
  <c r="B2884" i="4"/>
  <c r="B2863" i="4"/>
  <c r="B2843" i="4"/>
  <c r="B2825" i="4"/>
  <c r="B2807" i="4"/>
  <c r="B2790" i="4"/>
  <c r="B2773" i="4"/>
  <c r="B2756" i="4"/>
  <c r="B2739" i="4"/>
  <c r="B2722" i="4"/>
  <c r="B2706" i="4"/>
  <c r="B2690" i="4"/>
  <c r="B2674" i="4"/>
  <c r="B2658" i="4"/>
  <c r="B2642" i="4"/>
  <c r="B2626" i="4"/>
  <c r="B2610" i="4"/>
  <c r="B2594" i="4"/>
  <c r="B2578" i="4"/>
  <c r="B2562" i="4"/>
  <c r="B2546" i="4"/>
  <c r="B2530" i="4"/>
  <c r="B2514" i="4"/>
  <c r="B2498" i="4"/>
  <c r="B2482" i="4"/>
  <c r="B2466" i="4"/>
  <c r="B2450" i="4"/>
  <c r="B2434" i="4"/>
  <c r="B2418" i="4"/>
  <c r="B2402" i="4"/>
  <c r="B2386" i="4"/>
  <c r="B2370" i="4"/>
  <c r="B2354" i="4"/>
  <c r="B2338" i="4"/>
  <c r="B2322" i="4"/>
  <c r="B2306" i="4"/>
  <c r="B2290" i="4"/>
  <c r="B2274" i="4"/>
  <c r="B2258" i="4"/>
  <c r="B2242" i="4"/>
  <c r="B2226" i="4"/>
  <c r="B2210" i="4"/>
  <c r="B2194" i="4"/>
  <c r="B2178" i="4"/>
  <c r="B2162" i="4"/>
  <c r="B2146" i="4"/>
  <c r="B2130" i="4"/>
  <c r="B2114" i="4"/>
  <c r="B2098" i="4"/>
  <c r="B2082" i="4"/>
  <c r="B2066" i="4"/>
  <c r="B2050" i="4"/>
  <c r="B2034" i="4"/>
  <c r="B2018" i="4"/>
  <c r="B2002" i="4"/>
  <c r="B1986" i="4"/>
  <c r="B1970" i="4"/>
  <c r="B1954" i="4"/>
  <c r="B1938" i="4"/>
  <c r="B1922" i="4"/>
  <c r="B1906" i="4"/>
  <c r="B1890" i="4"/>
  <c r="B1874" i="4"/>
  <c r="B1858" i="4"/>
  <c r="B1842" i="4"/>
  <c r="B1826" i="4"/>
  <c r="B1810" i="4"/>
  <c r="B1794" i="4"/>
  <c r="B1778" i="4"/>
  <c r="B1762" i="4"/>
  <c r="B1746" i="4"/>
  <c r="B1730" i="4"/>
  <c r="B1714" i="4"/>
  <c r="B1698" i="4"/>
  <c r="B1682" i="4"/>
  <c r="B1666" i="4"/>
  <c r="B1650" i="4"/>
  <c r="B1634" i="4"/>
  <c r="B1618" i="4"/>
  <c r="B1602" i="4"/>
  <c r="B1586" i="4"/>
  <c r="B1570" i="4"/>
  <c r="B1554" i="4"/>
  <c r="B1538" i="4"/>
  <c r="B1522" i="4"/>
  <c r="B1506" i="4"/>
  <c r="B1490" i="4"/>
  <c r="B1474" i="4"/>
  <c r="B1458" i="4"/>
  <c r="B1442" i="4"/>
  <c r="B1426" i="4"/>
  <c r="B1410" i="4"/>
  <c r="B1394" i="4"/>
  <c r="B1378" i="4"/>
  <c r="B1362" i="4"/>
  <c r="B1346" i="4"/>
  <c r="B1330" i="4"/>
  <c r="B1314" i="4"/>
  <c r="B1298" i="4"/>
  <c r="B1282" i="4"/>
  <c r="B1266" i="4"/>
  <c r="B1250" i="4"/>
  <c r="B1234" i="4"/>
  <c r="B1218" i="4"/>
  <c r="B1202" i="4"/>
  <c r="B1186" i="4"/>
  <c r="B1170" i="4"/>
  <c r="B1154" i="4"/>
  <c r="B1138" i="4"/>
  <c r="B1122" i="4"/>
  <c r="B1106" i="4"/>
  <c r="B1090" i="4"/>
  <c r="B1074" i="4"/>
  <c r="B1058" i="4"/>
  <c r="B1042" i="4"/>
  <c r="B1026" i="4"/>
  <c r="B1010" i="4"/>
  <c r="B994" i="4"/>
  <c r="B978" i="4"/>
  <c r="B962" i="4"/>
  <c r="B946" i="4"/>
  <c r="B930" i="4"/>
  <c r="B914" i="4"/>
  <c r="B898" i="4"/>
  <c r="B882" i="4"/>
  <c r="B866" i="4"/>
  <c r="B850" i="4"/>
  <c r="B834" i="4"/>
  <c r="B818" i="4"/>
  <c r="B802" i="4"/>
  <c r="B786" i="4"/>
  <c r="B770" i="4"/>
  <c r="B754" i="4"/>
  <c r="B738" i="4"/>
  <c r="B722" i="4"/>
  <c r="B706" i="4"/>
  <c r="B690" i="4"/>
  <c r="B674" i="4"/>
  <c r="B658" i="4"/>
  <c r="B642" i="4"/>
  <c r="B626" i="4"/>
  <c r="B610" i="4"/>
  <c r="B594" i="4"/>
  <c r="B578" i="4"/>
  <c r="B562" i="4"/>
  <c r="B546" i="4"/>
  <c r="B530" i="4"/>
  <c r="B514" i="4"/>
  <c r="B498" i="4"/>
  <c r="B482" i="4"/>
  <c r="B466" i="4"/>
  <c r="B450" i="4"/>
  <c r="B889" i="5"/>
  <c r="B631" i="5"/>
  <c r="B375" i="5"/>
  <c r="B119" i="5"/>
  <c r="B3179" i="4"/>
  <c r="B3099" i="4"/>
  <c r="B3055" i="4"/>
  <c r="B3025" i="4"/>
  <c r="B2996" i="4"/>
  <c r="B2967" i="4"/>
  <c r="B2943" i="4"/>
  <c r="B2921" i="4"/>
  <c r="B2902" i="4"/>
  <c r="B2883" i="4"/>
  <c r="B2861" i="4"/>
  <c r="B2842" i="4"/>
  <c r="B2824" i="4"/>
  <c r="B2806" i="4"/>
  <c r="B2789" i="4"/>
  <c r="B2772" i="4"/>
  <c r="B2755" i="4"/>
  <c r="B2737" i="4"/>
  <c r="B2721" i="4"/>
  <c r="B2705" i="4"/>
  <c r="B2689" i="4"/>
  <c r="B2673" i="4"/>
  <c r="B2657" i="4"/>
  <c r="B2641" i="4"/>
  <c r="B2625" i="4"/>
  <c r="B2609" i="4"/>
  <c r="B2593" i="4"/>
  <c r="B2577" i="4"/>
  <c r="B2561" i="4"/>
  <c r="B2545" i="4"/>
  <c r="B2529" i="4"/>
  <c r="B2513" i="4"/>
  <c r="B2497" i="4"/>
  <c r="B2481" i="4"/>
  <c r="B2465" i="4"/>
  <c r="B2449" i="4"/>
  <c r="B2433" i="4"/>
  <c r="B2417" i="4"/>
  <c r="B2401" i="4"/>
  <c r="B2385" i="4"/>
  <c r="B2369" i="4"/>
  <c r="B2353" i="4"/>
  <c r="B2337" i="4"/>
  <c r="B2321" i="4"/>
  <c r="B2305" i="4"/>
  <c r="B2289" i="4"/>
  <c r="B2273" i="4"/>
  <c r="B2257" i="4"/>
  <c r="B2241" i="4"/>
  <c r="B2225" i="4"/>
  <c r="B2209" i="4"/>
  <c r="B2193" i="4"/>
  <c r="B2177" i="4"/>
  <c r="B2161" i="4"/>
  <c r="B2145" i="4"/>
  <c r="B2129" i="4"/>
  <c r="B2113" i="4"/>
  <c r="B2097" i="4"/>
  <c r="B2081" i="4"/>
  <c r="B2065" i="4"/>
  <c r="B2049" i="4"/>
  <c r="B2033" i="4"/>
  <c r="B2017" i="4"/>
  <c r="B2001" i="4"/>
  <c r="B1985" i="4"/>
  <c r="B1969" i="4"/>
  <c r="B1953" i="4"/>
  <c r="B1937" i="4"/>
  <c r="B1921" i="4"/>
  <c r="B1905" i="4"/>
  <c r="B1889" i="4"/>
  <c r="B1873" i="4"/>
  <c r="B1857" i="4"/>
  <c r="B1841" i="4"/>
  <c r="B1825" i="4"/>
  <c r="B1809" i="4"/>
  <c r="B1793" i="4"/>
  <c r="B1777" i="4"/>
  <c r="B1761" i="4"/>
  <c r="B1745" i="4"/>
  <c r="B1729" i="4"/>
  <c r="B1713" i="4"/>
  <c r="B1697" i="4"/>
  <c r="B1681" i="4"/>
  <c r="B1665" i="4"/>
  <c r="B1649" i="4"/>
  <c r="B1633" i="4"/>
  <c r="B1617" i="4"/>
  <c r="B1601" i="4"/>
  <c r="B1585" i="4"/>
  <c r="B1569" i="4"/>
  <c r="B1553" i="4"/>
  <c r="B1537" i="4"/>
  <c r="B1521" i="4"/>
  <c r="B1505" i="4"/>
  <c r="B1489" i="4"/>
  <c r="B1473" i="4"/>
  <c r="B1457" i="4"/>
  <c r="B1441" i="4"/>
  <c r="B1425" i="4"/>
  <c r="B1409" i="4"/>
  <c r="B1393" i="4"/>
  <c r="B1377" i="4"/>
  <c r="B1361" i="4"/>
  <c r="B1345" i="4"/>
  <c r="B1329" i="4"/>
  <c r="B1313" i="4"/>
  <c r="B1297" i="4"/>
  <c r="B1281" i="4"/>
  <c r="B1265" i="4"/>
  <c r="B1249" i="4"/>
  <c r="B1233" i="4"/>
  <c r="B1217" i="4"/>
  <c r="B1201" i="4"/>
  <c r="B1185" i="4"/>
  <c r="B1169" i="4"/>
  <c r="B1153" i="4"/>
  <c r="B1137" i="4"/>
  <c r="B1121" i="4"/>
  <c r="B1105" i="4"/>
  <c r="B1089" i="4"/>
  <c r="B1073" i="4"/>
  <c r="B1057" i="4"/>
  <c r="B1041" i="4"/>
  <c r="B1025" i="4"/>
  <c r="B1009" i="4"/>
  <c r="B993" i="4"/>
  <c r="B977" i="4"/>
  <c r="B961" i="4"/>
  <c r="B945" i="4"/>
  <c r="B929" i="4"/>
  <c r="B913" i="4"/>
  <c r="B897" i="4"/>
  <c r="B881" i="4"/>
  <c r="B865" i="4"/>
  <c r="B849" i="4"/>
  <c r="B833" i="4"/>
  <c r="B817" i="4"/>
  <c r="B801" i="4"/>
  <c r="B785" i="4"/>
  <c r="B769" i="4"/>
  <c r="B753" i="4"/>
  <c r="B737" i="4"/>
  <c r="B721" i="4"/>
  <c r="B705" i="4"/>
  <c r="B689" i="4"/>
  <c r="B673" i="4"/>
  <c r="B657" i="4"/>
  <c r="B641" i="4"/>
  <c r="B625" i="4"/>
  <c r="B609" i="4"/>
  <c r="B593" i="4"/>
  <c r="B577" i="4"/>
  <c r="B561" i="4"/>
  <c r="B545" i="4"/>
  <c r="B529" i="4"/>
  <c r="B513" i="4"/>
  <c r="B497" i="4"/>
  <c r="B481" i="4"/>
  <c r="B465" i="4"/>
  <c r="B525" i="11"/>
  <c r="B871" i="5"/>
  <c r="B615" i="5"/>
  <c r="B359" i="5"/>
  <c r="B103" i="5"/>
  <c r="B3172" i="4"/>
  <c r="B3096" i="4"/>
  <c r="B3052" i="4"/>
  <c r="B3023" i="4"/>
  <c r="B2995" i="4"/>
  <c r="B2965" i="4"/>
  <c r="B2941" i="4"/>
  <c r="B2920" i="4"/>
  <c r="B2901" i="4"/>
  <c r="B2881" i="4"/>
  <c r="B2860" i="4"/>
  <c r="B2841" i="4"/>
  <c r="B2823" i="4"/>
  <c r="B2805" i="4"/>
  <c r="B2788" i="4"/>
  <c r="B2771" i="4"/>
  <c r="B2753" i="4"/>
  <c r="B2736" i="4"/>
  <c r="B2720" i="4"/>
  <c r="B2704" i="4"/>
  <c r="B2688" i="4"/>
  <c r="B2672" i="4"/>
  <c r="B2656" i="4"/>
  <c r="B2640" i="4"/>
  <c r="B2624" i="4"/>
  <c r="B2608" i="4"/>
  <c r="B2592" i="4"/>
  <c r="B2576" i="4"/>
  <c r="B2560" i="4"/>
  <c r="B2544" i="4"/>
  <c r="B2528" i="4"/>
  <c r="B2512" i="4"/>
  <c r="B2496" i="4"/>
  <c r="B2480" i="4"/>
  <c r="B2464" i="4"/>
  <c r="B2448" i="4"/>
  <c r="B2432" i="4"/>
  <c r="B2416" i="4"/>
  <c r="B2400" i="4"/>
  <c r="B2384" i="4"/>
  <c r="B2368" i="4"/>
  <c r="B2352" i="4"/>
  <c r="B2336" i="4"/>
  <c r="B2320" i="4"/>
  <c r="B2304" i="4"/>
  <c r="B2288" i="4"/>
  <c r="B2272" i="4"/>
  <c r="B2256" i="4"/>
  <c r="B2240" i="4"/>
  <c r="B2224" i="4"/>
  <c r="B2208" i="4"/>
  <c r="B2192" i="4"/>
  <c r="B2176" i="4"/>
  <c r="B2160" i="4"/>
  <c r="B2144" i="4"/>
  <c r="B2128" i="4"/>
  <c r="B2112" i="4"/>
  <c r="B2096" i="4"/>
  <c r="B2080" i="4"/>
  <c r="B2064" i="4"/>
  <c r="B2048" i="4"/>
  <c r="B2032" i="4"/>
  <c r="B2016" i="4"/>
  <c r="B2000" i="4"/>
  <c r="B1984" i="4"/>
  <c r="B1968" i="4"/>
  <c r="B1952" i="4"/>
  <c r="B1936" i="4"/>
  <c r="B1920" i="4"/>
  <c r="B1904" i="4"/>
  <c r="B1888" i="4"/>
  <c r="B1872" i="4"/>
  <c r="B1856" i="4"/>
  <c r="B1840" i="4"/>
  <c r="B1824" i="4"/>
  <c r="B1808" i="4"/>
  <c r="B1792" i="4"/>
  <c r="B1776" i="4"/>
  <c r="B1760" i="4"/>
  <c r="B1744" i="4"/>
  <c r="B1728" i="4"/>
  <c r="B1712" i="4"/>
  <c r="B1696" i="4"/>
  <c r="B1680" i="4"/>
  <c r="B1664" i="4"/>
  <c r="B1648" i="4"/>
  <c r="B1632" i="4"/>
  <c r="B1616" i="4"/>
  <c r="B1600" i="4"/>
  <c r="B1584" i="4"/>
  <c r="B1568" i="4"/>
  <c r="B1552" i="4"/>
  <c r="B1536" i="4"/>
  <c r="B1520" i="4"/>
  <c r="B1504" i="4"/>
  <c r="B1488" i="4"/>
  <c r="B1472" i="4"/>
  <c r="B1456" i="4"/>
  <c r="B1440" i="4"/>
  <c r="B1424" i="4"/>
  <c r="B1408" i="4"/>
  <c r="B1392" i="4"/>
  <c r="B1376" i="4"/>
  <c r="B1360" i="4"/>
  <c r="B1344" i="4"/>
  <c r="B1328" i="4"/>
  <c r="B1312" i="4"/>
  <c r="B1296" i="4"/>
  <c r="B1280" i="4"/>
  <c r="B1264" i="4"/>
  <c r="B1248" i="4"/>
  <c r="B1232" i="4"/>
  <c r="B1216" i="4"/>
  <c r="B1200" i="4"/>
  <c r="B1184" i="4"/>
  <c r="B1168" i="4"/>
  <c r="B1152" i="4"/>
  <c r="B1136" i="4"/>
  <c r="B1120" i="4"/>
  <c r="B1104" i="4"/>
  <c r="B1088" i="4"/>
  <c r="B1072" i="4"/>
  <c r="B1056" i="4"/>
  <c r="B1040" i="4"/>
  <c r="B1024" i="4"/>
  <c r="B1008" i="4"/>
  <c r="B992" i="4"/>
  <c r="B976" i="4"/>
  <c r="B960" i="4"/>
  <c r="B944" i="4"/>
  <c r="B928" i="4"/>
  <c r="B912" i="4"/>
  <c r="B896" i="4"/>
  <c r="B880" i="4"/>
  <c r="B864" i="4"/>
  <c r="B848" i="4"/>
  <c r="B832" i="4"/>
  <c r="B816" i="4"/>
  <c r="B800" i="4"/>
  <c r="B784" i="4"/>
  <c r="B768" i="4"/>
  <c r="B752" i="4"/>
  <c r="B736" i="4"/>
  <c r="B720" i="4"/>
  <c r="B704" i="4"/>
  <c r="B688" i="4"/>
  <c r="B672" i="4"/>
  <c r="B656" i="4"/>
  <c r="B640" i="4"/>
  <c r="B624" i="4"/>
  <c r="B608" i="4"/>
  <c r="B592" i="4"/>
  <c r="B576" i="4"/>
  <c r="B560" i="4"/>
  <c r="B544" i="4"/>
  <c r="B528" i="4"/>
  <c r="B512" i="4"/>
  <c r="B496" i="4"/>
  <c r="B480" i="4"/>
  <c r="B464" i="4"/>
  <c r="B926" i="6"/>
  <c r="B855" i="5"/>
  <c r="B599" i="5"/>
  <c r="B343" i="5"/>
  <c r="B87" i="5"/>
  <c r="B3163" i="4"/>
  <c r="B3093" i="4"/>
  <c r="B3051" i="4"/>
  <c r="B3020" i="4"/>
  <c r="B2993" i="4"/>
  <c r="B2964" i="4"/>
  <c r="B2940" i="4"/>
  <c r="B2919" i="4"/>
  <c r="B2900" i="4"/>
  <c r="B2879" i="4"/>
  <c r="B2859" i="4"/>
  <c r="B2840" i="4"/>
  <c r="B2822" i="4"/>
  <c r="B2804" i="4"/>
  <c r="B2787" i="4"/>
  <c r="B2769" i="4"/>
  <c r="B2752" i="4"/>
  <c r="B2735" i="4"/>
  <c r="B2719" i="4"/>
  <c r="B2703" i="4"/>
  <c r="B2687" i="4"/>
  <c r="B2671" i="4"/>
  <c r="B2655" i="4"/>
  <c r="B2639" i="4"/>
  <c r="B2623" i="4"/>
  <c r="B2607" i="4"/>
  <c r="B2591" i="4"/>
  <c r="B2575" i="4"/>
  <c r="B2559" i="4"/>
  <c r="B2543" i="4"/>
  <c r="B2527" i="4"/>
  <c r="B2511" i="4"/>
  <c r="B2495" i="4"/>
  <c r="B2479" i="4"/>
  <c r="B2463" i="4"/>
  <c r="B2447" i="4"/>
  <c r="B2431" i="4"/>
  <c r="B2415" i="4"/>
  <c r="B2399" i="4"/>
  <c r="B2383" i="4"/>
  <c r="B2367" i="4"/>
  <c r="B2351" i="4"/>
  <c r="B2335" i="4"/>
  <c r="B2319" i="4"/>
  <c r="B2303" i="4"/>
  <c r="B2287" i="4"/>
  <c r="B2271" i="4"/>
  <c r="B2255" i="4"/>
  <c r="B2239" i="4"/>
  <c r="B2223" i="4"/>
  <c r="B2207" i="4"/>
  <c r="B2191" i="4"/>
  <c r="B2175" i="4"/>
  <c r="B2159" i="4"/>
  <c r="B2143" i="4"/>
  <c r="B2127" i="4"/>
  <c r="B2111" i="4"/>
  <c r="B2095" i="4"/>
  <c r="B2079" i="4"/>
  <c r="B2063" i="4"/>
  <c r="B2047" i="4"/>
  <c r="B2031" i="4"/>
  <c r="B2015" i="4"/>
  <c r="B1999" i="4"/>
  <c r="B1983" i="4"/>
  <c r="B1967" i="4"/>
  <c r="B1951" i="4"/>
  <c r="B1935" i="4"/>
  <c r="B1919" i="4"/>
  <c r="B1903" i="4"/>
  <c r="B1887" i="4"/>
  <c r="B1871" i="4"/>
  <c r="B1855" i="4"/>
  <c r="B1839" i="4"/>
  <c r="B1823" i="4"/>
  <c r="B1807" i="4"/>
  <c r="B1791" i="4"/>
  <c r="B1775" i="4"/>
  <c r="B1759" i="4"/>
  <c r="B1743" i="4"/>
  <c r="B1727" i="4"/>
  <c r="B1711" i="4"/>
  <c r="B1695" i="4"/>
  <c r="B1679" i="4"/>
  <c r="B1663" i="4"/>
  <c r="B1647" i="4"/>
  <c r="B1631" i="4"/>
  <c r="B1615" i="4"/>
  <c r="B1599" i="4"/>
  <c r="B1583" i="4"/>
  <c r="B1567" i="4"/>
  <c r="B1551" i="4"/>
  <c r="B1535" i="4"/>
  <c r="B1519" i="4"/>
  <c r="B1503" i="4"/>
  <c r="B1487" i="4"/>
  <c r="B1471" i="4"/>
  <c r="B1455" i="4"/>
  <c r="B1439" i="4"/>
  <c r="B1423" i="4"/>
  <c r="B1407" i="4"/>
  <c r="B1391" i="4"/>
  <c r="B1375" i="4"/>
  <c r="B1359" i="4"/>
  <c r="B1343" i="4"/>
  <c r="B1327" i="4"/>
  <c r="B1311" i="4"/>
  <c r="B1295" i="4"/>
  <c r="B1279" i="4"/>
  <c r="B1263" i="4"/>
  <c r="B1247" i="4"/>
  <c r="B1231" i="4"/>
  <c r="B1215" i="4"/>
  <c r="B1199" i="4"/>
  <c r="B1183" i="4"/>
  <c r="B1167" i="4"/>
  <c r="B1151" i="4"/>
  <c r="B1135" i="4"/>
  <c r="B1119" i="4"/>
  <c r="B1103" i="4"/>
  <c r="B1087" i="4"/>
  <c r="B1071" i="4"/>
  <c r="B1055" i="4"/>
  <c r="B1039" i="4"/>
  <c r="B1023" i="4"/>
  <c r="B1007" i="4"/>
  <c r="B991" i="4"/>
  <c r="B975" i="4"/>
  <c r="B959" i="4"/>
  <c r="B943" i="4"/>
  <c r="B927" i="4"/>
  <c r="B911" i="4"/>
  <c r="B895" i="4"/>
  <c r="B879" i="4"/>
  <c r="B863" i="4"/>
  <c r="B847" i="4"/>
  <c r="B831" i="4"/>
  <c r="B815" i="4"/>
  <c r="B799" i="4"/>
  <c r="B783" i="4"/>
  <c r="B767" i="4"/>
  <c r="B751" i="4"/>
  <c r="B735" i="4"/>
  <c r="B719" i="4"/>
  <c r="B703" i="4"/>
  <c r="B687" i="4"/>
  <c r="B671" i="4"/>
  <c r="B655" i="4"/>
  <c r="B639" i="4"/>
  <c r="B623" i="4"/>
  <c r="B607" i="4"/>
  <c r="B591" i="4"/>
  <c r="B575" i="4"/>
  <c r="B559" i="4"/>
  <c r="B543" i="4"/>
  <c r="B527" i="4"/>
  <c r="B511" i="4"/>
  <c r="B495" i="4"/>
  <c r="B479" i="4"/>
  <c r="B463" i="4"/>
  <c r="B447" i="4"/>
  <c r="B431" i="4"/>
  <c r="B415" i="4"/>
  <c r="B399" i="4"/>
  <c r="B383" i="4"/>
  <c r="B18" i="4"/>
  <c r="B34" i="4"/>
  <c r="B50" i="4"/>
  <c r="B66" i="4"/>
  <c r="B82" i="4"/>
  <c r="B98" i="4"/>
  <c r="B114" i="4"/>
  <c r="B130" i="4"/>
  <c r="B146" i="4"/>
  <c r="B162" i="4"/>
  <c r="B178" i="4"/>
  <c r="B194" i="4"/>
  <c r="B210" i="4"/>
  <c r="B226" i="4"/>
  <c r="B242" i="4"/>
  <c r="B258" i="4"/>
  <c r="B274" i="4"/>
  <c r="B290" i="4"/>
  <c r="B306" i="4"/>
  <c r="B322" i="4"/>
  <c r="B338" i="4"/>
  <c r="B354" i="4"/>
  <c r="B370" i="4"/>
  <c r="B396" i="4"/>
  <c r="B419" i="4"/>
  <c r="B446" i="4"/>
  <c r="B484" i="4"/>
  <c r="B541" i="4"/>
  <c r="B620" i="4"/>
  <c r="B701" i="4"/>
  <c r="B782" i="4"/>
  <c r="B876" i="4"/>
  <c r="B957" i="4"/>
  <c r="B1038" i="4"/>
  <c r="B1132" i="4"/>
  <c r="B1213" i="4"/>
  <c r="B1294" i="4"/>
  <c r="B1388" i="4"/>
  <c r="B1469" i="4"/>
  <c r="B1550" i="4"/>
  <c r="B1644" i="4"/>
  <c r="B1725" i="4"/>
  <c r="B1806" i="4"/>
  <c r="B1900" i="4"/>
  <c r="B1981" i="4"/>
  <c r="B2062" i="4"/>
  <c r="B2156" i="4"/>
  <c r="B2237" i="4"/>
  <c r="B2318" i="4"/>
  <c r="B2412" i="4"/>
  <c r="B2493" i="4"/>
  <c r="B2574" i="4"/>
  <c r="B2668" i="4"/>
  <c r="B2750" i="4"/>
  <c r="B2839" i="4"/>
  <c r="B2959" i="4"/>
  <c r="B3156" i="4"/>
  <c r="B670" i="6"/>
  <c r="B39" i="3"/>
  <c r="B59" i="3"/>
  <c r="B75" i="3"/>
  <c r="B91" i="3"/>
  <c r="B107" i="3"/>
  <c r="B123" i="3"/>
  <c r="B139" i="3"/>
  <c r="B155" i="3"/>
  <c r="B171" i="3"/>
  <c r="B187" i="3"/>
  <c r="B203" i="3"/>
  <c r="B219" i="3"/>
  <c r="B235" i="3"/>
  <c r="B251" i="3"/>
  <c r="B267" i="3"/>
  <c r="B283" i="3"/>
  <c r="B299" i="3"/>
  <c r="B315" i="3"/>
  <c r="B331" i="3"/>
  <c r="B347" i="3"/>
  <c r="B363" i="3"/>
  <c r="B379" i="3"/>
  <c r="B395" i="3"/>
  <c r="B411" i="3"/>
  <c r="B427" i="3"/>
  <c r="B443" i="3"/>
  <c r="B459" i="3"/>
  <c r="B475" i="3"/>
  <c r="B491" i="3"/>
  <c r="B507" i="3"/>
  <c r="B523" i="3"/>
  <c r="B539" i="3"/>
  <c r="B555" i="3"/>
  <c r="B571" i="3"/>
  <c r="B587" i="3"/>
  <c r="B603" i="3"/>
  <c r="B619" i="3"/>
  <c r="B635" i="3"/>
  <c r="B651" i="3"/>
  <c r="B667" i="3"/>
  <c r="B683" i="3"/>
  <c r="B699" i="3"/>
  <c r="B715" i="3"/>
  <c r="B731" i="3"/>
  <c r="B747" i="3"/>
  <c r="B763" i="3"/>
  <c r="B779" i="3"/>
  <c r="B795" i="3"/>
  <c r="B811" i="3"/>
  <c r="B827" i="3"/>
  <c r="B843" i="3"/>
  <c r="B859" i="3"/>
  <c r="B875" i="3"/>
  <c r="B891" i="3"/>
  <c r="B907" i="3"/>
  <c r="B923" i="3"/>
  <c r="B939" i="3"/>
  <c r="B955" i="3"/>
  <c r="B971" i="3"/>
  <c r="B987" i="3"/>
  <c r="B1003" i="3"/>
  <c r="B1019" i="3"/>
  <c r="B1035" i="3"/>
  <c r="B1051" i="3"/>
  <c r="B1067" i="3"/>
  <c r="B1083" i="3"/>
  <c r="B1099" i="3"/>
  <c r="B1115" i="3"/>
  <c r="B1131" i="3"/>
  <c r="B1147" i="3"/>
  <c r="B1163" i="3"/>
  <c r="B1179" i="3"/>
  <c r="B1195" i="3"/>
  <c r="B1211" i="3"/>
  <c r="B1227" i="3"/>
  <c r="B1243" i="3"/>
  <c r="B1260" i="3"/>
  <c r="B1276" i="3"/>
  <c r="B1292" i="3"/>
  <c r="B1308" i="3"/>
  <c r="B1324" i="3"/>
  <c r="B1340" i="3"/>
  <c r="B1356" i="3"/>
  <c r="B1372" i="3"/>
  <c r="B1388" i="3"/>
  <c r="B1404" i="3"/>
  <c r="B1420" i="3"/>
  <c r="B1436" i="3"/>
  <c r="B1452" i="3"/>
  <c r="B1468" i="3"/>
  <c r="B1484" i="3"/>
  <c r="B1500" i="3"/>
  <c r="B1516" i="3"/>
  <c r="B1532" i="3"/>
  <c r="B1548" i="3"/>
  <c r="B1564" i="3"/>
  <c r="B1580" i="3"/>
  <c r="B1596" i="3"/>
  <c r="B1612" i="3"/>
  <c r="B1628" i="3"/>
  <c r="B1644" i="3"/>
  <c r="B1660" i="3"/>
  <c r="B1676" i="3"/>
  <c r="B1692" i="3"/>
  <c r="B1708" i="3"/>
  <c r="B19" i="4"/>
  <c r="B35" i="4"/>
  <c r="B51" i="4"/>
  <c r="B67" i="4"/>
  <c r="B83" i="4"/>
  <c r="B99" i="4"/>
  <c r="B115" i="4"/>
  <c r="B131" i="4"/>
  <c r="B147" i="4"/>
  <c r="B163" i="4"/>
  <c r="B179" i="4"/>
  <c r="B195" i="4"/>
  <c r="B211" i="4"/>
  <c r="B227" i="4"/>
  <c r="B243" i="4"/>
  <c r="B259" i="4"/>
  <c r="B275" i="4"/>
  <c r="B291" i="4"/>
  <c r="B307" i="4"/>
  <c r="B323" i="4"/>
  <c r="B339" i="4"/>
  <c r="B355" i="4"/>
  <c r="B371" i="4"/>
  <c r="B397" i="4"/>
  <c r="B420" i="4"/>
  <c r="B448" i="4"/>
  <c r="B488" i="4"/>
  <c r="B542" i="4"/>
  <c r="B621" i="4"/>
  <c r="B702" i="4"/>
  <c r="B796" i="4"/>
  <c r="B877" i="4"/>
  <c r="B958" i="4"/>
  <c r="B1052" i="4"/>
  <c r="B1133" i="4"/>
  <c r="B1214" i="4"/>
  <c r="B1308" i="4"/>
  <c r="B1389" i="4"/>
  <c r="B1470" i="4"/>
  <c r="B1564" i="4"/>
  <c r="B1645" i="4"/>
  <c r="B1726" i="4"/>
  <c r="B1820" i="4"/>
  <c r="B1901" i="4"/>
  <c r="B1982" i="4"/>
  <c r="B2076" i="4"/>
  <c r="B2157" i="4"/>
  <c r="B2238" i="4"/>
  <c r="B2332" i="4"/>
  <c r="B2413" i="4"/>
  <c r="B2494" i="4"/>
  <c r="B2588" i="4"/>
  <c r="B2669" i="4"/>
  <c r="B2751" i="4"/>
  <c r="B2856" i="4"/>
  <c r="B2961" i="4"/>
  <c r="B3160" i="4"/>
  <c r="B40" i="3"/>
  <c r="B60" i="3"/>
  <c r="B76" i="3"/>
  <c r="B92" i="3"/>
  <c r="B108" i="3"/>
  <c r="B124" i="3"/>
  <c r="B140" i="3"/>
  <c r="B156" i="3"/>
  <c r="B172" i="3"/>
  <c r="B188" i="3"/>
  <c r="B204" i="3"/>
  <c r="B220" i="3"/>
  <c r="B236" i="3"/>
  <c r="B252" i="3"/>
  <c r="B268" i="3"/>
  <c r="B284" i="3"/>
  <c r="B300" i="3"/>
  <c r="B316" i="3"/>
  <c r="B332" i="3"/>
  <c r="B348" i="3"/>
  <c r="B364" i="3"/>
  <c r="B380" i="3"/>
  <c r="B396" i="3"/>
  <c r="B412" i="3"/>
  <c r="B428" i="3"/>
  <c r="B444" i="3"/>
  <c r="B460" i="3"/>
  <c r="B476" i="3"/>
  <c r="B492" i="3"/>
  <c r="B508" i="3"/>
  <c r="B524" i="3"/>
  <c r="B540" i="3"/>
  <c r="B556" i="3"/>
  <c r="B572" i="3"/>
  <c r="B588" i="3"/>
  <c r="B604" i="3"/>
  <c r="B620" i="3"/>
  <c r="B636" i="3"/>
  <c r="B652" i="3"/>
  <c r="B668" i="3"/>
  <c r="B684" i="3"/>
  <c r="B700" i="3"/>
  <c r="B716" i="3"/>
  <c r="B732" i="3"/>
  <c r="B748" i="3"/>
  <c r="B764" i="3"/>
  <c r="B780" i="3"/>
  <c r="B796" i="3"/>
  <c r="B812" i="3"/>
  <c r="B828" i="3"/>
  <c r="B844" i="3"/>
  <c r="B860" i="3"/>
  <c r="B876" i="3"/>
  <c r="B892" i="3"/>
  <c r="B908" i="3"/>
  <c r="B924" i="3"/>
  <c r="B940" i="3"/>
  <c r="B956" i="3"/>
  <c r="B972" i="3"/>
  <c r="B988" i="3"/>
  <c r="B1004" i="3"/>
  <c r="B1020" i="3"/>
  <c r="B1036" i="3"/>
  <c r="B1052" i="3"/>
  <c r="B1068" i="3"/>
  <c r="B1084" i="3"/>
  <c r="B1100" i="3"/>
  <c r="B1116" i="3"/>
  <c r="B1132" i="3"/>
  <c r="B1148" i="3"/>
  <c r="B1164" i="3"/>
  <c r="B1180" i="3"/>
  <c r="B1196" i="3"/>
  <c r="B1212" i="3"/>
  <c r="B1228" i="3"/>
  <c r="B1244" i="3"/>
  <c r="B1261" i="3"/>
  <c r="B1277" i="3"/>
  <c r="B1293" i="3"/>
  <c r="B1309" i="3"/>
  <c r="B1325" i="3"/>
  <c r="B1341" i="3"/>
  <c r="B1357" i="3"/>
  <c r="B1373" i="3"/>
  <c r="B1389" i="3"/>
  <c r="B1405" i="3"/>
  <c r="B1421" i="3"/>
  <c r="B1437" i="3"/>
  <c r="B1453" i="3"/>
  <c r="B1469" i="3"/>
  <c r="B1485" i="3"/>
  <c r="B1501" i="3"/>
  <c r="B1517" i="3"/>
  <c r="B1533" i="3"/>
  <c r="B1549" i="3"/>
  <c r="B1565" i="3"/>
  <c r="B1581" i="3"/>
  <c r="B1597" i="3"/>
  <c r="B1613" i="3"/>
  <c r="B1629" i="3"/>
  <c r="B1645" i="3"/>
  <c r="B1661" i="3"/>
  <c r="B1677" i="3"/>
  <c r="B1693" i="3"/>
  <c r="B1709" i="3"/>
  <c r="B20" i="4"/>
  <c r="B36" i="4"/>
  <c r="B52" i="4"/>
  <c r="B68" i="4"/>
  <c r="B84" i="4"/>
  <c r="B100" i="4"/>
  <c r="B116" i="4"/>
  <c r="B132" i="4"/>
  <c r="B148" i="4"/>
  <c r="B164" i="4"/>
  <c r="B180" i="4"/>
  <c r="B196" i="4"/>
  <c r="B212" i="4"/>
  <c r="B228" i="4"/>
  <c r="B244" i="4"/>
  <c r="B260" i="4"/>
  <c r="B276" i="4"/>
  <c r="B292" i="4"/>
  <c r="B308" i="4"/>
  <c r="B324" i="4"/>
  <c r="B340" i="4"/>
  <c r="B356" i="4"/>
  <c r="B372" i="4"/>
  <c r="B398" i="4"/>
  <c r="B421" i="4"/>
  <c r="B449" i="4"/>
  <c r="B492" i="4"/>
  <c r="B552" i="4"/>
  <c r="B622" i="4"/>
  <c r="B716" i="4"/>
  <c r="B797" i="4"/>
  <c r="B878" i="4"/>
  <c r="B972" i="4"/>
  <c r="B1053" i="4"/>
  <c r="B1134" i="4"/>
  <c r="B1228" i="4"/>
  <c r="B1309" i="4"/>
  <c r="B1390" i="4"/>
  <c r="B1484" i="4"/>
  <c r="B1565" i="4"/>
  <c r="B1646" i="4"/>
  <c r="B1740" i="4"/>
  <c r="B1821" i="4"/>
  <c r="B1902" i="4"/>
  <c r="B1996" i="4"/>
  <c r="B2077" i="4"/>
  <c r="B2158" i="4"/>
  <c r="B2252" i="4"/>
  <c r="B2333" i="4"/>
  <c r="B2414" i="4"/>
  <c r="B2508" i="4"/>
  <c r="B2589" i="4"/>
  <c r="B2670" i="4"/>
  <c r="B2766" i="4"/>
  <c r="B2857" i="4"/>
  <c r="B2963" i="4"/>
  <c r="B39" i="5"/>
  <c r="B41" i="3"/>
  <c r="B61" i="3"/>
  <c r="B77" i="3"/>
  <c r="B93" i="3"/>
  <c r="B109" i="3"/>
  <c r="B125" i="3"/>
  <c r="B141" i="3"/>
  <c r="B157" i="3"/>
  <c r="B173" i="3"/>
  <c r="B189" i="3"/>
  <c r="B205" i="3"/>
  <c r="B221" i="3"/>
  <c r="B237" i="3"/>
  <c r="B253" i="3"/>
  <c r="B269" i="3"/>
  <c r="B285" i="3"/>
  <c r="B301" i="3"/>
  <c r="B317" i="3"/>
  <c r="B333" i="3"/>
  <c r="B349" i="3"/>
  <c r="B365" i="3"/>
  <c r="B381" i="3"/>
  <c r="B397" i="3"/>
  <c r="B413" i="3"/>
  <c r="B429" i="3"/>
  <c r="B445" i="3"/>
  <c r="B461" i="3"/>
  <c r="B477" i="3"/>
  <c r="B493" i="3"/>
  <c r="B509" i="3"/>
  <c r="B525" i="3"/>
  <c r="B541" i="3"/>
  <c r="B557" i="3"/>
  <c r="B573" i="3"/>
  <c r="B589" i="3"/>
  <c r="B605" i="3"/>
  <c r="B621" i="3"/>
  <c r="B637" i="3"/>
  <c r="B653" i="3"/>
  <c r="B669" i="3"/>
  <c r="B685" i="3"/>
  <c r="B701" i="3"/>
  <c r="B717" i="3"/>
  <c r="B733" i="3"/>
  <c r="B749" i="3"/>
  <c r="B765" i="3"/>
  <c r="B781" i="3"/>
  <c r="B797" i="3"/>
  <c r="B813" i="3"/>
  <c r="B829" i="3"/>
  <c r="B845" i="3"/>
  <c r="B861" i="3"/>
  <c r="B877" i="3"/>
  <c r="B893" i="3"/>
  <c r="B909" i="3"/>
  <c r="B925" i="3"/>
  <c r="B941" i="3"/>
  <c r="B957" i="3"/>
  <c r="B973" i="3"/>
  <c r="B989" i="3"/>
  <c r="B1005" i="3"/>
  <c r="B1021" i="3"/>
  <c r="B1037" i="3"/>
  <c r="B1053" i="3"/>
  <c r="B1069" i="3"/>
  <c r="B1085" i="3"/>
  <c r="B1101" i="3"/>
  <c r="B1117" i="3"/>
  <c r="B1133" i="3"/>
  <c r="B1149" i="3"/>
  <c r="B1165" i="3"/>
  <c r="B1181" i="3"/>
  <c r="B1197" i="3"/>
  <c r="B1213" i="3"/>
  <c r="B1229" i="3"/>
  <c r="B1245" i="3"/>
  <c r="B1262" i="3"/>
  <c r="B1278" i="3"/>
  <c r="B1294" i="3"/>
  <c r="B1310" i="3"/>
  <c r="B1326" i="3"/>
  <c r="B1342" i="3"/>
  <c r="B1358" i="3"/>
  <c r="B1374" i="3"/>
  <c r="B1390" i="3"/>
  <c r="B1406" i="3"/>
  <c r="B1422" i="3"/>
  <c r="B1438" i="3"/>
  <c r="B1454" i="3"/>
  <c r="B1470" i="3"/>
  <c r="B1486" i="3"/>
  <c r="B1502" i="3"/>
  <c r="B1518" i="3"/>
  <c r="B1534" i="3"/>
  <c r="B1550" i="3"/>
  <c r="B1566" i="3"/>
  <c r="B1582" i="3"/>
  <c r="B1598" i="3"/>
  <c r="B1614" i="3"/>
  <c r="B1630" i="3"/>
  <c r="B1646" i="3"/>
  <c r="B1662" i="3"/>
  <c r="B1678" i="3"/>
  <c r="B1694" i="3"/>
  <c r="B1710" i="3"/>
  <c r="B5" i="4"/>
  <c r="B21" i="4"/>
  <c r="B37" i="4"/>
  <c r="B53" i="4"/>
  <c r="B69" i="4"/>
  <c r="B85" i="4"/>
  <c r="B101" i="4"/>
  <c r="B117" i="4"/>
  <c r="B133" i="4"/>
  <c r="B149" i="4"/>
  <c r="B165" i="4"/>
  <c r="B181" i="4"/>
  <c r="B197" i="4"/>
  <c r="B213" i="4"/>
  <c r="B229" i="4"/>
  <c r="B245" i="4"/>
  <c r="B261" i="4"/>
  <c r="B277" i="4"/>
  <c r="B293" i="4"/>
  <c r="B309" i="4"/>
  <c r="B325" i="4"/>
  <c r="B341" i="4"/>
  <c r="B357" i="4"/>
  <c r="B373" i="4"/>
  <c r="B400" i="4"/>
  <c r="B424" i="4"/>
  <c r="B451" i="4"/>
  <c r="B493" i="4"/>
  <c r="B556" i="4"/>
  <c r="B636" i="4"/>
  <c r="B717" i="4"/>
  <c r="B798" i="4"/>
  <c r="B892" i="4"/>
  <c r="B973" i="4"/>
  <c r="B1054" i="4"/>
  <c r="B1148" i="4"/>
  <c r="B1229" i="4"/>
  <c r="B1310" i="4"/>
  <c r="B1404" i="4"/>
  <c r="B1485" i="4"/>
  <c r="B1566" i="4"/>
  <c r="B1660" i="4"/>
  <c r="B1741" i="4"/>
  <c r="B1822" i="4"/>
  <c r="B1916" i="4"/>
  <c r="B1997" i="4"/>
  <c r="B2078" i="4"/>
  <c r="B2172" i="4"/>
  <c r="B2253" i="4"/>
  <c r="B2334" i="4"/>
  <c r="B2428" i="4"/>
  <c r="B2509" i="4"/>
  <c r="B2590" i="4"/>
  <c r="B2684" i="4"/>
  <c r="B2767" i="4"/>
  <c r="B2858" i="4"/>
  <c r="B2987" i="4"/>
  <c r="B55" i="5"/>
  <c r="B42" i="3"/>
  <c r="B62" i="3"/>
  <c r="B78" i="3"/>
  <c r="B94" i="3"/>
  <c r="B110" i="3"/>
  <c r="B126" i="3"/>
  <c r="B142" i="3"/>
  <c r="B158" i="3"/>
  <c r="B174" i="3"/>
  <c r="B190" i="3"/>
  <c r="B206" i="3"/>
  <c r="B222" i="3"/>
  <c r="B238" i="3"/>
  <c r="B254" i="3"/>
  <c r="B270" i="3"/>
  <c r="B286" i="3"/>
  <c r="B302" i="3"/>
  <c r="B318" i="3"/>
  <c r="B334" i="3"/>
  <c r="B350" i="3"/>
  <c r="B366" i="3"/>
  <c r="B382" i="3"/>
  <c r="B398" i="3"/>
  <c r="B414" i="3"/>
  <c r="B430" i="3"/>
  <c r="B446" i="3"/>
  <c r="B462" i="3"/>
  <c r="B478" i="3"/>
  <c r="B494" i="3"/>
  <c r="B510" i="3"/>
  <c r="B526" i="3"/>
  <c r="B542" i="3"/>
  <c r="B558" i="3"/>
  <c r="B574" i="3"/>
  <c r="B590" i="3"/>
  <c r="B606" i="3"/>
  <c r="B622" i="3"/>
  <c r="B638" i="3"/>
  <c r="B654" i="3"/>
  <c r="B670" i="3"/>
  <c r="B686" i="3"/>
  <c r="B702" i="3"/>
  <c r="B718" i="3"/>
  <c r="B734" i="3"/>
  <c r="B750" i="3"/>
  <c r="B766" i="3"/>
  <c r="B782" i="3"/>
  <c r="B798" i="3"/>
  <c r="B814" i="3"/>
  <c r="B830" i="3"/>
  <c r="B846" i="3"/>
  <c r="B862" i="3"/>
  <c r="B878" i="3"/>
  <c r="B894" i="3"/>
  <c r="B910" i="3"/>
  <c r="B926" i="3"/>
  <c r="B942" i="3"/>
  <c r="B958" i="3"/>
  <c r="B974" i="3"/>
  <c r="B990" i="3"/>
  <c r="B1006" i="3"/>
  <c r="B1022" i="3"/>
  <c r="B1038" i="3"/>
  <c r="B1054" i="3"/>
  <c r="B1070" i="3"/>
  <c r="B1086" i="3"/>
  <c r="B1102" i="3"/>
  <c r="B1118" i="3"/>
  <c r="B1134" i="3"/>
  <c r="B1150" i="3"/>
  <c r="B1166" i="3"/>
  <c r="B1182" i="3"/>
  <c r="B1198" i="3"/>
  <c r="B1214" i="3"/>
  <c r="B1230" i="3"/>
  <c r="B1246" i="3"/>
  <c r="B1263" i="3"/>
  <c r="B1279" i="3"/>
  <c r="B1295" i="3"/>
  <c r="B1311" i="3"/>
  <c r="B1327" i="3"/>
  <c r="B1343" i="3"/>
  <c r="B1359" i="3"/>
  <c r="B1375" i="3"/>
  <c r="B1391" i="3"/>
  <c r="B1407" i="3"/>
  <c r="B1423" i="3"/>
  <c r="B1439" i="3"/>
  <c r="B1455" i="3"/>
  <c r="B1471" i="3"/>
  <c r="B1487" i="3"/>
  <c r="B1503" i="3"/>
  <c r="B1519" i="3"/>
  <c r="B1535" i="3"/>
  <c r="B1551" i="3"/>
  <c r="B1567" i="3"/>
  <c r="B1583" i="3"/>
  <c r="B1599" i="3"/>
  <c r="B1615" i="3"/>
  <c r="B1631" i="3"/>
  <c r="B1647" i="3"/>
  <c r="B1663" i="3"/>
  <c r="B1679" i="3"/>
  <c r="B1695" i="3"/>
  <c r="B1711" i="3"/>
  <c r="B6" i="4"/>
  <c r="B22" i="4"/>
  <c r="B38" i="4"/>
  <c r="B54" i="4"/>
  <c r="B70" i="4"/>
  <c r="B86" i="4"/>
  <c r="B102" i="4"/>
  <c r="B118" i="4"/>
  <c r="B134" i="4"/>
  <c r="B150" i="4"/>
  <c r="B166" i="4"/>
  <c r="B182" i="4"/>
  <c r="B198" i="4"/>
  <c r="B214" i="4"/>
  <c r="B230" i="4"/>
  <c r="B246" i="4"/>
  <c r="B262" i="4"/>
  <c r="B278" i="4"/>
  <c r="B294" i="4"/>
  <c r="B310" i="4"/>
  <c r="B326" i="4"/>
  <c r="B342" i="4"/>
  <c r="B358" i="4"/>
  <c r="B375" i="4"/>
  <c r="B401" i="4"/>
  <c r="B428" i="4"/>
  <c r="B452" i="4"/>
  <c r="B494" i="4"/>
  <c r="B557" i="4"/>
  <c r="B637" i="4"/>
  <c r="B718" i="4"/>
  <c r="B812" i="4"/>
  <c r="B893" i="4"/>
  <c r="B974" i="4"/>
  <c r="B1068" i="4"/>
  <c r="B1149" i="4"/>
  <c r="B1230" i="4"/>
  <c r="B1324" i="4"/>
  <c r="B1405" i="4"/>
  <c r="B1486" i="4"/>
  <c r="B1580" i="4"/>
  <c r="B1661" i="4"/>
  <c r="B1742" i="4"/>
  <c r="B1836" i="4"/>
  <c r="B1917" i="4"/>
  <c r="B1998" i="4"/>
  <c r="B2092" i="4"/>
  <c r="B2173" i="4"/>
  <c r="B2254" i="4"/>
  <c r="B2348" i="4"/>
  <c r="B2429" i="4"/>
  <c r="B2510" i="4"/>
  <c r="B2604" i="4"/>
  <c r="B2685" i="4"/>
  <c r="B2768" i="4"/>
  <c r="B2875" i="4"/>
  <c r="B2988" i="4"/>
  <c r="B71" i="5"/>
  <c r="B56" i="3"/>
  <c r="B43" i="3"/>
  <c r="B63" i="3"/>
  <c r="B79" i="3"/>
  <c r="B95" i="3"/>
  <c r="B111" i="3"/>
  <c r="B127" i="3"/>
  <c r="B143" i="3"/>
  <c r="B159" i="3"/>
  <c r="B175" i="3"/>
  <c r="B191" i="3"/>
  <c r="B207" i="3"/>
  <c r="B223" i="3"/>
  <c r="B239" i="3"/>
  <c r="B255" i="3"/>
  <c r="B271" i="3"/>
  <c r="B287" i="3"/>
  <c r="B303" i="3"/>
  <c r="B319" i="3"/>
  <c r="B335" i="3"/>
  <c r="B351" i="3"/>
  <c r="B367" i="3"/>
  <c r="B383" i="3"/>
  <c r="B399" i="3"/>
  <c r="B415" i="3"/>
  <c r="B431" i="3"/>
  <c r="B447" i="3"/>
  <c r="B463" i="3"/>
  <c r="B479" i="3"/>
  <c r="B495" i="3"/>
  <c r="B511" i="3"/>
  <c r="B527" i="3"/>
  <c r="B543" i="3"/>
  <c r="B559" i="3"/>
  <c r="B575" i="3"/>
  <c r="B591" i="3"/>
  <c r="B607" i="3"/>
  <c r="B623" i="3"/>
  <c r="B639" i="3"/>
  <c r="B655" i="3"/>
  <c r="B671" i="3"/>
  <c r="B687" i="3"/>
  <c r="B703" i="3"/>
  <c r="B719" i="3"/>
  <c r="B735" i="3"/>
  <c r="B751" i="3"/>
  <c r="B767" i="3"/>
  <c r="B783" i="3"/>
  <c r="B799" i="3"/>
  <c r="B815" i="3"/>
  <c r="B831" i="3"/>
  <c r="B847" i="3"/>
  <c r="B863" i="3"/>
  <c r="B879" i="3"/>
  <c r="B895" i="3"/>
  <c r="B911" i="3"/>
  <c r="B927" i="3"/>
  <c r="B943" i="3"/>
  <c r="B959" i="3"/>
  <c r="B975" i="3"/>
  <c r="B991" i="3"/>
  <c r="B1007" i="3"/>
  <c r="B1023" i="3"/>
  <c r="B1039" i="3"/>
  <c r="B1055" i="3"/>
  <c r="B1071" i="3"/>
  <c r="B1087" i="3"/>
  <c r="B1103" i="3"/>
  <c r="B1119" i="3"/>
  <c r="B1135" i="3"/>
  <c r="B1151" i="3"/>
  <c r="B1167" i="3"/>
  <c r="B1183" i="3"/>
  <c r="B1199" i="3"/>
  <c r="B1215" i="3"/>
  <c r="B1231" i="3"/>
  <c r="B1247" i="3"/>
  <c r="B1264" i="3"/>
  <c r="B1280" i="3"/>
  <c r="B1296" i="3"/>
  <c r="B1312" i="3"/>
  <c r="B1328" i="3"/>
  <c r="B1344" i="3"/>
  <c r="B1360" i="3"/>
  <c r="B1376" i="3"/>
  <c r="B1392" i="3"/>
  <c r="B1408" i="3"/>
  <c r="B1424" i="3"/>
  <c r="B1440" i="3"/>
  <c r="B1456" i="3"/>
  <c r="B1472" i="3"/>
  <c r="B1488" i="3"/>
  <c r="B1504" i="3"/>
  <c r="B1520" i="3"/>
  <c r="B1536" i="3"/>
  <c r="B1552" i="3"/>
  <c r="B1568" i="3"/>
  <c r="B1584" i="3"/>
  <c r="B1600" i="3"/>
  <c r="B1616" i="3"/>
  <c r="B1632" i="3"/>
  <c r="B1648" i="3"/>
  <c r="B1664" i="3"/>
  <c r="B1680" i="3"/>
  <c r="B1696" i="3"/>
  <c r="B1712" i="3"/>
  <c r="B7" i="4"/>
  <c r="B23" i="4"/>
  <c r="B39" i="4"/>
  <c r="B55" i="4"/>
  <c r="B71" i="4"/>
  <c r="B87" i="4"/>
  <c r="B103" i="4"/>
  <c r="B119" i="4"/>
  <c r="B135" i="4"/>
  <c r="B151" i="4"/>
  <c r="B167" i="4"/>
  <c r="B183" i="4"/>
  <c r="B199" i="4"/>
  <c r="B215" i="4"/>
  <c r="B231" i="4"/>
  <c r="B247" i="4"/>
  <c r="B263" i="4"/>
  <c r="B279" i="4"/>
  <c r="B295" i="4"/>
  <c r="B311" i="4"/>
  <c r="B327" i="4"/>
  <c r="B343" i="4"/>
  <c r="B359" i="4"/>
  <c r="B376" i="4"/>
  <c r="B402" i="4"/>
  <c r="B429" i="4"/>
  <c r="B453" i="4"/>
  <c r="B500" i="4"/>
  <c r="B558" i="4"/>
  <c r="B638" i="4"/>
  <c r="B732" i="4"/>
  <c r="B813" i="4"/>
  <c r="B894" i="4"/>
  <c r="B988" i="4"/>
  <c r="B1069" i="4"/>
  <c r="B1150" i="4"/>
  <c r="B1244" i="4"/>
  <c r="B1325" i="4"/>
  <c r="B1406" i="4"/>
  <c r="B1500" i="4"/>
  <c r="B1581" i="4"/>
  <c r="B1662" i="4"/>
  <c r="B1756" i="4"/>
  <c r="B1837" i="4"/>
  <c r="B1918" i="4"/>
  <c r="B2012" i="4"/>
  <c r="B2093" i="4"/>
  <c r="B2174" i="4"/>
  <c r="B2268" i="4"/>
  <c r="B2349" i="4"/>
  <c r="B2430" i="4"/>
  <c r="B2524" i="4"/>
  <c r="B2605" i="4"/>
  <c r="B2686" i="4"/>
  <c r="B2783" i="4"/>
  <c r="B2876" i="4"/>
  <c r="B2991" i="4"/>
  <c r="B295" i="5"/>
  <c r="B8" i="4"/>
  <c r="B24" i="4"/>
  <c r="B40" i="4"/>
  <c r="B56" i="4"/>
  <c r="B72" i="4"/>
  <c r="B88" i="4"/>
  <c r="B104" i="4"/>
  <c r="B120" i="4"/>
  <c r="B136" i="4"/>
  <c r="B152" i="4"/>
  <c r="B168" i="4"/>
  <c r="B184" i="4"/>
  <c r="B200" i="4"/>
  <c r="B216" i="4"/>
  <c r="B232" i="4"/>
  <c r="B248" i="4"/>
  <c r="B264" i="4"/>
  <c r="B280" i="4"/>
  <c r="B296" i="4"/>
  <c r="B312" i="4"/>
  <c r="B328" i="4"/>
  <c r="B344" i="4"/>
  <c r="B360" i="4"/>
  <c r="B380" i="4"/>
  <c r="B403" i="4"/>
  <c r="B430" i="4"/>
  <c r="B456" i="4"/>
  <c r="B504" i="4"/>
  <c r="B568" i="4"/>
  <c r="B652" i="4"/>
  <c r="B733" i="4"/>
  <c r="B814" i="4"/>
  <c r="B908" i="4"/>
  <c r="B989" i="4"/>
  <c r="B1070" i="4"/>
  <c r="B1164" i="4"/>
  <c r="B1245" i="4"/>
  <c r="B1326" i="4"/>
  <c r="B1420" i="4"/>
  <c r="B1501" i="4"/>
  <c r="B1582" i="4"/>
  <c r="B1676" i="4"/>
  <c r="B1757" i="4"/>
  <c r="B1838" i="4"/>
  <c r="B1932" i="4"/>
  <c r="B2013" i="4"/>
  <c r="B2094" i="4"/>
  <c r="B2188" i="4"/>
  <c r="B2269" i="4"/>
  <c r="B2350" i="4"/>
  <c r="B2444" i="4"/>
  <c r="B2525" i="4"/>
  <c r="B2606" i="4"/>
  <c r="B2700" i="4"/>
  <c r="B2784" i="4"/>
  <c r="B2877" i="4"/>
  <c r="B3015" i="4"/>
  <c r="B311" i="5"/>
  <c r="B81" i="3"/>
  <c r="B113" i="3"/>
  <c r="B161" i="3"/>
  <c r="B241" i="3"/>
  <c r="B257" i="3"/>
  <c r="B273" i="3"/>
  <c r="B289" i="3"/>
  <c r="B305" i="3"/>
  <c r="B321" i="3"/>
  <c r="B337" i="3"/>
  <c r="B353" i="3"/>
  <c r="B369" i="3"/>
  <c r="B385" i="3"/>
  <c r="B401" i="3"/>
  <c r="B417" i="3"/>
  <c r="B433" i="3"/>
  <c r="B449" i="3"/>
  <c r="B465" i="3"/>
  <c r="B481" i="3"/>
  <c r="B497" i="3"/>
  <c r="B513" i="3"/>
  <c r="B529" i="3"/>
  <c r="B545" i="3"/>
  <c r="B561" i="3"/>
  <c r="B577" i="3"/>
  <c r="B593" i="3"/>
  <c r="B609" i="3"/>
  <c r="B625" i="3"/>
  <c r="B641" i="3"/>
  <c r="B657" i="3"/>
  <c r="B673" i="3"/>
  <c r="B689" i="3"/>
  <c r="B705" i="3"/>
  <c r="B721" i="3"/>
  <c r="B737" i="3"/>
  <c r="B753" i="3"/>
  <c r="B769" i="3"/>
  <c r="B785" i="3"/>
  <c r="B801" i="3"/>
  <c r="B817" i="3"/>
  <c r="B833" i="3"/>
  <c r="B849" i="3"/>
  <c r="B865" i="3"/>
  <c r="B881" i="3"/>
  <c r="B897" i="3"/>
  <c r="B913" i="3"/>
  <c r="B929" i="3"/>
  <c r="B945" i="3"/>
  <c r="B961" i="3"/>
  <c r="B977" i="3"/>
  <c r="B993" i="3"/>
  <c r="B1009" i="3"/>
  <c r="B1025" i="3"/>
  <c r="B1041" i="3"/>
  <c r="B1057" i="3"/>
  <c r="B1073" i="3"/>
  <c r="B1089" i="3"/>
  <c r="B1105" i="3"/>
  <c r="B1121" i="3"/>
  <c r="B1137" i="3"/>
  <c r="B1153" i="3"/>
  <c r="B1169" i="3"/>
  <c r="B1185" i="3"/>
  <c r="B1201" i="3"/>
  <c r="B1217" i="3"/>
  <c r="B1233" i="3"/>
  <c r="B1250" i="3"/>
  <c r="B1266" i="3"/>
  <c r="B1282" i="3"/>
  <c r="B1298" i="3"/>
  <c r="B1314" i="3"/>
  <c r="B1330" i="3"/>
  <c r="B1346" i="3"/>
  <c r="B1362" i="3"/>
  <c r="B1378" i="3"/>
  <c r="B1394" i="3"/>
  <c r="B1410" i="3"/>
  <c r="B1426" i="3"/>
  <c r="B1442" i="3"/>
  <c r="B1458" i="3"/>
  <c r="B1474" i="3"/>
  <c r="B1490" i="3"/>
  <c r="B1506" i="3"/>
  <c r="B1522" i="3"/>
  <c r="B1538" i="3"/>
  <c r="B1554" i="3"/>
  <c r="B1570" i="3"/>
  <c r="B1586" i="3"/>
  <c r="B1602" i="3"/>
  <c r="B1618" i="3"/>
  <c r="B1634" i="3"/>
  <c r="B1650" i="3"/>
  <c r="B1666" i="3"/>
  <c r="B1682" i="3"/>
  <c r="B1698" i="3"/>
  <c r="B1714" i="3"/>
  <c r="B9" i="4"/>
  <c r="B25" i="4"/>
  <c r="B41" i="4"/>
  <c r="B57" i="4"/>
  <c r="B73" i="4"/>
  <c r="B89" i="4"/>
  <c r="B105" i="4"/>
  <c r="B121" i="4"/>
  <c r="B137" i="4"/>
  <c r="B153" i="4"/>
  <c r="B169" i="4"/>
  <c r="B185" i="4"/>
  <c r="B201" i="4"/>
  <c r="B217" i="4"/>
  <c r="B233" i="4"/>
  <c r="B249" i="4"/>
  <c r="B265" i="4"/>
  <c r="B281" i="4"/>
  <c r="B297" i="4"/>
  <c r="B313" i="4"/>
  <c r="B329" i="4"/>
  <c r="B345" i="4"/>
  <c r="B361" i="4"/>
  <c r="B381" i="4"/>
  <c r="B404" i="4"/>
  <c r="B432" i="4"/>
  <c r="B460" i="4"/>
  <c r="B508" i="4"/>
  <c r="B572" i="4"/>
  <c r="B653" i="4"/>
  <c r="B734" i="4"/>
  <c r="B828" i="4"/>
  <c r="B909" i="4"/>
  <c r="B990" i="4"/>
  <c r="B1084" i="4"/>
  <c r="B1165" i="4"/>
  <c r="B1246" i="4"/>
  <c r="B1340" i="4"/>
  <c r="B1421" i="4"/>
  <c r="B1502" i="4"/>
  <c r="B1596" i="4"/>
  <c r="B1677" i="4"/>
  <c r="B1758" i="4"/>
  <c r="B1852" i="4"/>
  <c r="B1933" i="4"/>
  <c r="B2014" i="4"/>
  <c r="B2108" i="4"/>
  <c r="B2189" i="4"/>
  <c r="B2270" i="4"/>
  <c r="B2364" i="4"/>
  <c r="B2445" i="4"/>
  <c r="B2526" i="4"/>
  <c r="B2620" i="4"/>
  <c r="B2701" i="4"/>
  <c r="B2785" i="4"/>
  <c r="B2895" i="4"/>
  <c r="B3016" i="4"/>
  <c r="B327" i="5"/>
  <c r="B129" i="3"/>
  <c r="B30" i="3"/>
  <c r="B46" i="3"/>
  <c r="B66" i="3"/>
  <c r="B82" i="3"/>
  <c r="B98" i="3"/>
  <c r="B114" i="3"/>
  <c r="B130" i="3"/>
  <c r="B146" i="3"/>
  <c r="B162" i="3"/>
  <c r="B178" i="3"/>
  <c r="B194" i="3"/>
  <c r="B210" i="3"/>
  <c r="B226" i="3"/>
  <c r="B242" i="3"/>
  <c r="B258" i="3"/>
  <c r="B274" i="3"/>
  <c r="B290" i="3"/>
  <c r="B306" i="3"/>
  <c r="B322" i="3"/>
  <c r="B338" i="3"/>
  <c r="B354" i="3"/>
  <c r="B370" i="3"/>
  <c r="B386" i="3"/>
  <c r="B402" i="3"/>
  <c r="B418" i="3"/>
  <c r="B434" i="3"/>
  <c r="B450" i="3"/>
  <c r="B466" i="3"/>
  <c r="B482" i="3"/>
  <c r="B498" i="3"/>
  <c r="B514" i="3"/>
  <c r="B530" i="3"/>
  <c r="B546" i="3"/>
  <c r="B562" i="3"/>
  <c r="B578" i="3"/>
  <c r="B594" i="3"/>
  <c r="B610" i="3"/>
  <c r="B626" i="3"/>
  <c r="B642" i="3"/>
  <c r="B658" i="3"/>
  <c r="B674" i="3"/>
  <c r="B690" i="3"/>
  <c r="B706" i="3"/>
  <c r="B722" i="3"/>
  <c r="B738" i="3"/>
  <c r="B754" i="3"/>
  <c r="B770" i="3"/>
  <c r="B786" i="3"/>
  <c r="B802" i="3"/>
  <c r="B818" i="3"/>
  <c r="B834" i="3"/>
  <c r="B850" i="3"/>
  <c r="B866" i="3"/>
  <c r="B882" i="3"/>
  <c r="B898" i="3"/>
  <c r="B914" i="3"/>
  <c r="B930" i="3"/>
  <c r="B946" i="3"/>
  <c r="B962" i="3"/>
  <c r="B978" i="3"/>
  <c r="B994" i="3"/>
  <c r="B1010" i="3"/>
  <c r="B1026" i="3"/>
  <c r="B1042" i="3"/>
  <c r="B1058" i="3"/>
  <c r="B1074" i="3"/>
  <c r="B1090" i="3"/>
  <c r="B1106" i="3"/>
  <c r="B1122" i="3"/>
  <c r="B1138" i="3"/>
  <c r="B1154" i="3"/>
  <c r="B1170" i="3"/>
  <c r="B1186" i="3"/>
  <c r="B1202" i="3"/>
  <c r="B1218" i="3"/>
  <c r="B1234" i="3"/>
  <c r="B1251" i="3"/>
  <c r="B1267" i="3"/>
  <c r="B1283" i="3"/>
  <c r="B1299" i="3"/>
  <c r="B1315" i="3"/>
  <c r="B1331" i="3"/>
  <c r="B1347" i="3"/>
  <c r="B1363" i="3"/>
  <c r="B1379" i="3"/>
  <c r="B1395" i="3"/>
  <c r="B1411" i="3"/>
  <c r="B1427" i="3"/>
  <c r="B1443" i="3"/>
  <c r="B1459" i="3"/>
  <c r="B1475" i="3"/>
  <c r="B1491" i="3"/>
  <c r="B1507" i="3"/>
  <c r="B1523" i="3"/>
  <c r="B1539" i="3"/>
  <c r="B1555" i="3"/>
  <c r="B1571" i="3"/>
  <c r="B1587" i="3"/>
  <c r="B1603" i="3"/>
  <c r="B1619" i="3"/>
  <c r="B1635" i="3"/>
  <c r="B1651" i="3"/>
  <c r="B1667" i="3"/>
  <c r="B1683" i="3"/>
  <c r="B1699" i="3"/>
  <c r="B1715" i="3"/>
  <c r="B10" i="4"/>
  <c r="B26" i="4"/>
  <c r="B42" i="4"/>
  <c r="B58" i="4"/>
  <c r="B74" i="4"/>
  <c r="B90" i="4"/>
  <c r="B106" i="4"/>
  <c r="B122" i="4"/>
  <c r="B138" i="4"/>
  <c r="B154" i="4"/>
  <c r="B170" i="4"/>
  <c r="B186" i="4"/>
  <c r="B202" i="4"/>
  <c r="B218" i="4"/>
  <c r="B234" i="4"/>
  <c r="B250" i="4"/>
  <c r="B266" i="4"/>
  <c r="B282" i="4"/>
  <c r="B298" i="4"/>
  <c r="B314" i="4"/>
  <c r="B330" i="4"/>
  <c r="B346" i="4"/>
  <c r="B362" i="4"/>
  <c r="B382" i="4"/>
  <c r="B405" i="4"/>
  <c r="B433" i="4"/>
  <c r="B461" i="4"/>
  <c r="B509" i="4"/>
  <c r="B573" i="4"/>
  <c r="B654" i="4"/>
  <c r="B748" i="4"/>
  <c r="B829" i="4"/>
  <c r="B910" i="4"/>
  <c r="B1004" i="4"/>
  <c r="B1085" i="4"/>
  <c r="B1166" i="4"/>
  <c r="B1260" i="4"/>
  <c r="B1341" i="4"/>
  <c r="B1422" i="4"/>
  <c r="B1516" i="4"/>
  <c r="B1597" i="4"/>
  <c r="B1678" i="4"/>
  <c r="B1772" i="4"/>
  <c r="B1853" i="4"/>
  <c r="B1934" i="4"/>
  <c r="B2028" i="4"/>
  <c r="B2109" i="4"/>
  <c r="B2190" i="4"/>
  <c r="B2284" i="4"/>
  <c r="B2365" i="4"/>
  <c r="B2446" i="4"/>
  <c r="B2540" i="4"/>
  <c r="B2621" i="4"/>
  <c r="B2702" i="4"/>
  <c r="B2800" i="4"/>
  <c r="B2897" i="4"/>
  <c r="B3019" i="4"/>
  <c r="B551" i="5"/>
  <c r="B65" i="3"/>
  <c r="B225" i="3"/>
  <c r="B31" i="3"/>
  <c r="B47" i="3"/>
  <c r="B67" i="3"/>
  <c r="B83" i="3"/>
  <c r="B99" i="3"/>
  <c r="B115" i="3"/>
  <c r="B131" i="3"/>
  <c r="B147" i="3"/>
  <c r="B163" i="3"/>
  <c r="B179" i="3"/>
  <c r="B195" i="3"/>
  <c r="B211" i="3"/>
  <c r="B227" i="3"/>
  <c r="B243" i="3"/>
  <c r="B259" i="3"/>
  <c r="B275" i="3"/>
  <c r="B291" i="3"/>
  <c r="B307" i="3"/>
  <c r="B323" i="3"/>
  <c r="B339" i="3"/>
  <c r="B355" i="3"/>
  <c r="B371" i="3"/>
  <c r="B387" i="3"/>
  <c r="B403" i="3"/>
  <c r="B419" i="3"/>
  <c r="B435" i="3"/>
  <c r="B451" i="3"/>
  <c r="B467" i="3"/>
  <c r="B483" i="3"/>
  <c r="B499" i="3"/>
  <c r="B515" i="3"/>
  <c r="B531" i="3"/>
  <c r="B547" i="3"/>
  <c r="B563" i="3"/>
  <c r="B579" i="3"/>
  <c r="B595" i="3"/>
  <c r="B611" i="3"/>
  <c r="B627" i="3"/>
  <c r="B643" i="3"/>
  <c r="B659" i="3"/>
  <c r="B675" i="3"/>
  <c r="B691" i="3"/>
  <c r="B707" i="3"/>
  <c r="B723" i="3"/>
  <c r="B739" i="3"/>
  <c r="B755" i="3"/>
  <c r="B771" i="3"/>
  <c r="B787" i="3"/>
  <c r="B803" i="3"/>
  <c r="B819" i="3"/>
  <c r="B835" i="3"/>
  <c r="B851" i="3"/>
  <c r="B867" i="3"/>
  <c r="B883" i="3"/>
  <c r="B899" i="3"/>
  <c r="B915" i="3"/>
  <c r="B931" i="3"/>
  <c r="B947" i="3"/>
  <c r="B963" i="3"/>
  <c r="B979" i="3"/>
  <c r="B995" i="3"/>
  <c r="B1011" i="3"/>
  <c r="B1027" i="3"/>
  <c r="B1043" i="3"/>
  <c r="B1059" i="3"/>
  <c r="B1075" i="3"/>
  <c r="B1091" i="3"/>
  <c r="B1107" i="3"/>
  <c r="B1123" i="3"/>
  <c r="B1139" i="3"/>
  <c r="B1155" i="3"/>
  <c r="B1171" i="3"/>
  <c r="B1187" i="3"/>
  <c r="B1203" i="3"/>
  <c r="B1219" i="3"/>
  <c r="B1235" i="3"/>
  <c r="B1252" i="3"/>
  <c r="B1268" i="3"/>
  <c r="B1284" i="3"/>
  <c r="B1300" i="3"/>
  <c r="B1316" i="3"/>
  <c r="B1332" i="3"/>
  <c r="B1348" i="3"/>
  <c r="B1364" i="3"/>
  <c r="B1380" i="3"/>
  <c r="B1396" i="3"/>
  <c r="B1412" i="3"/>
  <c r="B1428" i="3"/>
  <c r="B1444" i="3"/>
  <c r="B1460" i="3"/>
  <c r="B1476" i="3"/>
  <c r="B1492" i="3"/>
  <c r="B1508" i="3"/>
  <c r="B1524" i="3"/>
  <c r="B1540" i="3"/>
  <c r="B1556" i="3"/>
  <c r="B1572" i="3"/>
  <c r="B1588" i="3"/>
  <c r="B1604" i="3"/>
  <c r="B1620" i="3"/>
  <c r="B1636" i="3"/>
  <c r="B1652" i="3"/>
  <c r="B1668" i="3"/>
  <c r="B1684" i="3"/>
  <c r="B1700" i="3"/>
  <c r="B1716" i="3"/>
  <c r="B11" i="4"/>
  <c r="B27" i="4"/>
  <c r="B43" i="4"/>
  <c r="B59" i="4"/>
  <c r="B75" i="4"/>
  <c r="B91" i="4"/>
  <c r="B107" i="4"/>
  <c r="B123" i="4"/>
  <c r="B139" i="4"/>
  <c r="B155" i="4"/>
  <c r="B171" i="4"/>
  <c r="B187" i="4"/>
  <c r="B203" i="4"/>
  <c r="B219" i="4"/>
  <c r="B235" i="4"/>
  <c r="B251" i="4"/>
  <c r="B267" i="4"/>
  <c r="B283" i="4"/>
  <c r="B299" i="4"/>
  <c r="B315" i="4"/>
  <c r="B331" i="4"/>
  <c r="B347" i="4"/>
  <c r="B363" i="4"/>
  <c r="B384" i="4"/>
  <c r="B408" i="4"/>
  <c r="B434" i="4"/>
  <c r="B462" i="4"/>
  <c r="B510" i="4"/>
  <c r="B574" i="4"/>
  <c r="B668" i="4"/>
  <c r="B749" i="4"/>
  <c r="B830" i="4"/>
  <c r="B924" i="4"/>
  <c r="B1005" i="4"/>
  <c r="B1086" i="4"/>
  <c r="B1180" i="4"/>
  <c r="B1261" i="4"/>
  <c r="B1342" i="4"/>
  <c r="B1436" i="4"/>
  <c r="B1517" i="4"/>
  <c r="B1598" i="4"/>
  <c r="B1692" i="4"/>
  <c r="B1773" i="4"/>
  <c r="B1854" i="4"/>
  <c r="B1948" i="4"/>
  <c r="B2029" i="4"/>
  <c r="B2110" i="4"/>
  <c r="B2204" i="4"/>
  <c r="B2285" i="4"/>
  <c r="B2366" i="4"/>
  <c r="B2460" i="4"/>
  <c r="B2541" i="4"/>
  <c r="B2622" i="4"/>
  <c r="B2716" i="4"/>
  <c r="B2801" i="4"/>
  <c r="B2899" i="4"/>
  <c r="B3044" i="4"/>
  <c r="B567" i="5"/>
  <c r="B177" i="3"/>
  <c r="B32" i="3"/>
  <c r="B48" i="3"/>
  <c r="B68" i="3"/>
  <c r="B84" i="3"/>
  <c r="B100" i="3"/>
  <c r="B116" i="3"/>
  <c r="B132" i="3"/>
  <c r="B148" i="3"/>
  <c r="B164" i="3"/>
  <c r="B180" i="3"/>
  <c r="B196" i="3"/>
  <c r="B212" i="3"/>
  <c r="B228" i="3"/>
  <c r="B244" i="3"/>
  <c r="B260" i="3"/>
  <c r="B276" i="3"/>
  <c r="B292" i="3"/>
  <c r="B308" i="3"/>
  <c r="B324" i="3"/>
  <c r="B340" i="3"/>
  <c r="B356" i="3"/>
  <c r="B372" i="3"/>
  <c r="B388" i="3"/>
  <c r="B404" i="3"/>
  <c r="B420" i="3"/>
  <c r="B436" i="3"/>
  <c r="B452" i="3"/>
  <c r="B468" i="3"/>
  <c r="B484" i="3"/>
  <c r="B500" i="3"/>
  <c r="B516" i="3"/>
  <c r="B532" i="3"/>
  <c r="B548" i="3"/>
  <c r="B564" i="3"/>
  <c r="B580" i="3"/>
  <c r="B596" i="3"/>
  <c r="B612" i="3"/>
  <c r="B628" i="3"/>
  <c r="B644" i="3"/>
  <c r="B660" i="3"/>
  <c r="B676" i="3"/>
  <c r="B692" i="3"/>
  <c r="B708" i="3"/>
  <c r="B724" i="3"/>
  <c r="B740" i="3"/>
  <c r="B756" i="3"/>
  <c r="B772" i="3"/>
  <c r="B788" i="3"/>
  <c r="B804" i="3"/>
  <c r="B820" i="3"/>
  <c r="B836" i="3"/>
  <c r="B852" i="3"/>
  <c r="B868" i="3"/>
  <c r="B884" i="3"/>
  <c r="B900" i="3"/>
  <c r="B916" i="3"/>
  <c r="B932" i="3"/>
  <c r="B948" i="3"/>
  <c r="B964" i="3"/>
  <c r="B980" i="3"/>
  <c r="B996" i="3"/>
  <c r="B1012" i="3"/>
  <c r="B1028" i="3"/>
  <c r="B1044" i="3"/>
  <c r="B1060" i="3"/>
  <c r="B1076" i="3"/>
  <c r="B1092" i="3"/>
  <c r="B1108" i="3"/>
  <c r="B1124" i="3"/>
  <c r="B1140" i="3"/>
  <c r="B1156" i="3"/>
  <c r="B1172" i="3"/>
  <c r="B1188" i="3"/>
  <c r="B1204" i="3"/>
  <c r="B1220" i="3"/>
  <c r="B1236" i="3"/>
  <c r="B1253" i="3"/>
  <c r="B1269" i="3"/>
  <c r="B1285" i="3"/>
  <c r="B1301" i="3"/>
  <c r="B1317" i="3"/>
  <c r="B1333" i="3"/>
  <c r="B1349" i="3"/>
  <c r="B1365" i="3"/>
  <c r="B1381" i="3"/>
  <c r="B1397" i="3"/>
  <c r="B1413" i="3"/>
  <c r="B1429" i="3"/>
  <c r="B1445" i="3"/>
  <c r="B1461" i="3"/>
  <c r="B1477" i="3"/>
  <c r="B1493" i="3"/>
  <c r="B1509" i="3"/>
  <c r="B1525" i="3"/>
  <c r="B1541" i="3"/>
  <c r="B1557" i="3"/>
  <c r="B1573" i="3"/>
  <c r="B1589" i="3"/>
  <c r="B1605" i="3"/>
  <c r="B1621" i="3"/>
  <c r="B1637" i="3"/>
  <c r="B1653" i="3"/>
  <c r="B1669" i="3"/>
  <c r="B1685" i="3"/>
  <c r="B1701" i="3"/>
  <c r="B1717" i="3"/>
  <c r="B12" i="4"/>
  <c r="B28" i="4"/>
  <c r="B44" i="4"/>
  <c r="B60" i="4"/>
  <c r="B76" i="4"/>
  <c r="B92" i="4"/>
  <c r="B108" i="4"/>
  <c r="B124" i="4"/>
  <c r="B140" i="4"/>
  <c r="B156" i="4"/>
  <c r="B172" i="4"/>
  <c r="B188" i="4"/>
  <c r="B204" i="4"/>
  <c r="B220" i="4"/>
  <c r="B236" i="4"/>
  <c r="B252" i="4"/>
  <c r="B268" i="4"/>
  <c r="B284" i="4"/>
  <c r="B300" i="4"/>
  <c r="B316" i="4"/>
  <c r="B332" i="4"/>
  <c r="B348" i="4"/>
  <c r="B364" i="4"/>
  <c r="B385" i="4"/>
  <c r="B412" i="4"/>
  <c r="B435" i="4"/>
  <c r="B468" i="4"/>
  <c r="B520" i="4"/>
  <c r="B588" i="4"/>
  <c r="B669" i="4"/>
  <c r="B750" i="4"/>
  <c r="B844" i="4"/>
  <c r="B925" i="4"/>
  <c r="B1006" i="4"/>
  <c r="B1100" i="4"/>
  <c r="B1181" i="4"/>
  <c r="B1262" i="4"/>
  <c r="B1356" i="4"/>
  <c r="B1437" i="4"/>
  <c r="B1518" i="4"/>
  <c r="B1612" i="4"/>
  <c r="B1693" i="4"/>
  <c r="B1774" i="4"/>
  <c r="B1868" i="4"/>
  <c r="B1949" i="4"/>
  <c r="B2030" i="4"/>
  <c r="B2124" i="4"/>
  <c r="B2205" i="4"/>
  <c r="B2286" i="4"/>
  <c r="B2380" i="4"/>
  <c r="B2461" i="4"/>
  <c r="B2542" i="4"/>
  <c r="B2636" i="4"/>
  <c r="B2717" i="4"/>
  <c r="B2803" i="4"/>
  <c r="B2916" i="4"/>
  <c r="B3045" i="4"/>
  <c r="B583" i="5"/>
  <c r="B97" i="3"/>
  <c r="B33" i="3"/>
  <c r="B49" i="3"/>
  <c r="B69" i="3"/>
  <c r="B85" i="3"/>
  <c r="B101" i="3"/>
  <c r="B117" i="3"/>
  <c r="B133" i="3"/>
  <c r="B149" i="3"/>
  <c r="B165" i="3"/>
  <c r="B181" i="3"/>
  <c r="B197" i="3"/>
  <c r="B213" i="3"/>
  <c r="B229" i="3"/>
  <c r="B245" i="3"/>
  <c r="B261" i="3"/>
  <c r="B277" i="3"/>
  <c r="B293" i="3"/>
  <c r="B309" i="3"/>
  <c r="B325" i="3"/>
  <c r="B341" i="3"/>
  <c r="B357" i="3"/>
  <c r="B373" i="3"/>
  <c r="B389" i="3"/>
  <c r="B405" i="3"/>
  <c r="B421" i="3"/>
  <c r="B437" i="3"/>
  <c r="B453" i="3"/>
  <c r="B469" i="3"/>
  <c r="B485" i="3"/>
  <c r="B501" i="3"/>
  <c r="B517" i="3"/>
  <c r="B533" i="3"/>
  <c r="B549" i="3"/>
  <c r="B565" i="3"/>
  <c r="B581" i="3"/>
  <c r="B597" i="3"/>
  <c r="B613" i="3"/>
  <c r="B629" i="3"/>
  <c r="B645" i="3"/>
  <c r="B661" i="3"/>
  <c r="B677" i="3"/>
  <c r="B693" i="3"/>
  <c r="B709" i="3"/>
  <c r="B725" i="3"/>
  <c r="B741" i="3"/>
  <c r="B757" i="3"/>
  <c r="B773" i="3"/>
  <c r="B789" i="3"/>
  <c r="B805" i="3"/>
  <c r="B821" i="3"/>
  <c r="B837" i="3"/>
  <c r="B853" i="3"/>
  <c r="B869" i="3"/>
  <c r="B885" i="3"/>
  <c r="B901" i="3"/>
  <c r="B917" i="3"/>
  <c r="B933" i="3"/>
  <c r="B949" i="3"/>
  <c r="B965" i="3"/>
  <c r="B981" i="3"/>
  <c r="B997" i="3"/>
  <c r="B1013" i="3"/>
  <c r="B1029" i="3"/>
  <c r="B1045" i="3"/>
  <c r="B1061" i="3"/>
  <c r="B1077" i="3"/>
  <c r="B1093" i="3"/>
  <c r="B1109" i="3"/>
  <c r="B1125" i="3"/>
  <c r="B1141" i="3"/>
  <c r="B1157" i="3"/>
  <c r="B1173" i="3"/>
  <c r="B1189" i="3"/>
  <c r="B1205" i="3"/>
  <c r="B1221" i="3"/>
  <c r="B1237" i="3"/>
  <c r="B1254" i="3"/>
  <c r="B1270" i="3"/>
  <c r="B1286" i="3"/>
  <c r="B1302" i="3"/>
  <c r="B1318" i="3"/>
  <c r="B1334" i="3"/>
  <c r="B1350" i="3"/>
  <c r="B1366" i="3"/>
  <c r="B1382" i="3"/>
  <c r="B1398" i="3"/>
  <c r="B1414" i="3"/>
  <c r="B1430" i="3"/>
  <c r="B1446" i="3"/>
  <c r="B1462" i="3"/>
  <c r="B1478" i="3"/>
  <c r="B1494" i="3"/>
  <c r="B1510" i="3"/>
  <c r="B1526" i="3"/>
  <c r="B1542" i="3"/>
  <c r="B1558" i="3"/>
  <c r="B1574" i="3"/>
  <c r="B1590" i="3"/>
  <c r="B1606" i="3"/>
  <c r="B1622" i="3"/>
  <c r="B1638" i="3"/>
  <c r="B1654" i="3"/>
  <c r="B1670" i="3"/>
  <c r="B1686" i="3"/>
  <c r="B1702" i="3"/>
  <c r="B13" i="4"/>
  <c r="B29" i="4"/>
  <c r="B45" i="4"/>
  <c r="B61" i="4"/>
  <c r="B77" i="4"/>
  <c r="B93" i="4"/>
  <c r="B109" i="4"/>
  <c r="B125" i="4"/>
  <c r="B141" i="4"/>
  <c r="B157" i="4"/>
  <c r="B173" i="4"/>
  <c r="B189" i="4"/>
  <c r="B205" i="4"/>
  <c r="B221" i="4"/>
  <c r="B237" i="4"/>
  <c r="B253" i="4"/>
  <c r="B269" i="4"/>
  <c r="B285" i="4"/>
  <c r="B301" i="4"/>
  <c r="B317" i="4"/>
  <c r="B333" i="4"/>
  <c r="B349" i="4"/>
  <c r="B365" i="4"/>
  <c r="B386" i="4"/>
  <c r="B413" i="4"/>
  <c r="B436" i="4"/>
  <c r="B469" i="4"/>
  <c r="B524" i="4"/>
  <c r="B589" i="4"/>
  <c r="B670" i="4"/>
  <c r="B764" i="4"/>
  <c r="B845" i="4"/>
  <c r="B926" i="4"/>
  <c r="B1020" i="4"/>
  <c r="B1101" i="4"/>
  <c r="B1182" i="4"/>
  <c r="B1276" i="4"/>
  <c r="B1357" i="4"/>
  <c r="B1438" i="4"/>
  <c r="B1532" i="4"/>
  <c r="B1613" i="4"/>
  <c r="B1694" i="4"/>
  <c r="B1788" i="4"/>
  <c r="B1869" i="4"/>
  <c r="B1950" i="4"/>
  <c r="B2044" i="4"/>
  <c r="B2125" i="4"/>
  <c r="B2206" i="4"/>
  <c r="B2300" i="4"/>
  <c r="B2381" i="4"/>
  <c r="B2462" i="4"/>
  <c r="B2556" i="4"/>
  <c r="B2637" i="4"/>
  <c r="B2718" i="4"/>
  <c r="B2819" i="4"/>
  <c r="B2917" i="4"/>
  <c r="B3048" i="4"/>
  <c r="B80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tc={96EC8114-F080-48E7-B09D-C14FD4BB9F6F}</author>
    <author>tc={EEF147EC-716C-4260-B472-F1534F648249}</author>
  </authors>
  <commentList>
    <comment ref="J4" authorId="0" shapeId="0" xr:uid="{96EC8114-F080-48E7-B09D-C14FD4BB9F6F}">
      <text>
        <t>[Threaded comment]
Your version of Excel allows you to read this threaded comment; however, any edits to it will get removed if the file is opened in a newer version of Excel. Learn more: https://go.microsoft.com/fwlink/?linkid=870924
Comment:
    County will be determined from Coordinates upon import to SHMI.</t>
      </text>
    </comment>
    <comment ref="K4" authorId="1"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 or the SHMI App.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tc={D352A018-C39E-45C7-AFD5-E4DE81A12A50}</author>
    <author>tc={35EFB839-8266-4CA4-B13D-BFFFBAB47378}</author>
    <author>tc={2B29F114-6433-4621-8E32-4408AAE5D6D9}</author>
    <author>tc={0AA3C976-A74B-4EE3-9EDB-FE155D7BA6E5}</author>
    <author>tc={ACB496E5-2FEC-4749-8A3D-40796B752C0D}</author>
    <author>tc={3B2BA7F0-7C20-46E1-ABE1-78AE225BD1E8}</author>
  </authors>
  <commentList>
    <comment ref="D4" authorId="0" shapeId="0" xr:uid="{D352A018-C39E-45C7-AFD5-E4DE81A12A50}">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35EFB839-8266-4CA4-B13D-BFFFBAB47378}">
      <text>
        <t xml:space="preserve">[Threaded comment]
Your version of Excel allows you to read this threaded comment; however, any edits to it will get removed if the file is opened in a newer version of Excel. Learn more: https://go.microsoft.com/fwlink/?linkid=870924
Comment:
    Based on your sample date, start with the current crop, if still present. If you sampled post-harvest start with the previous crop (i.e., crop that was just harvested). Please continue entries for each crop in a full rotation or a minimum of two years if monculture. </t>
      </text>
    </comment>
    <comment ref="F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crop_seq_num.</t>
      </text>
    </comment>
    <comment ref="H4" authorId="3"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Depends upon crop_cat</t>
      </text>
    </comment>
    <comment ref="I4" authorId="4"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Depends upon crop_group</t>
      </text>
    </comment>
    <comment ref="O4" authorId="5" shapeId="0" xr:uid="{3B2BA7F0-7C20-46E1-ABE1-78AE225BD1E8}">
      <text>
        <t>[Threaded comment]
Your version of Excel allows you to read this threaded comment; however, any edits to it will get removed if the file is opened in a newer version of Excel. Learn more: https://go.microsoft.com/fwlink/?linkid=870924
Comment:
    Actual or 3-5 year average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tc={FFCE42A0-4369-48CE-A929-FB695E0DAED2}</author>
    <author>tc={51A12E60-7140-40E7-8F9D-047E3F395613}</author>
    <author>tc={34B06EA7-767F-4CC3-8A69-B925D431895A}</author>
  </authors>
  <commentList>
    <comment ref="D4" authorId="0" shapeId="0" xr:uid="{FFCE42A0-4369-48CE-A929-FB695E0DAED2}">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J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SD_equip_cat. If your equip doesn’t exist you can add to column AJ in the “Dropdowns_Manual” tab.</t>
      </text>
    </comment>
    <comment ref="K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Auto-populates an estimate based on SD_equip. Please modify as needed.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tc={F62C9B40-6557-40CC-AEDC-E7761727768E}</author>
    <author>tc={433AD824-4092-40EF-AFAE-6348236AF12B}</author>
    <author>tc={5114F749-F73D-4F94-BF75-CBE846177360}</author>
    <author>tc={15D2E0DA-9FBC-4362-896E-A6FE9C659358}</author>
    <author>tc={2F8259DF-C8C1-4BCF-9D14-FC43B83B7F2C}</author>
    <author>tc={E414A35E-8FE4-45C2-9FD6-2D3E2C6C58AF}</author>
    <author>tc={58D9C416-8640-4F52-9ADD-B1963DE6BBFD}</author>
    <author>tc={75A74DD2-0E01-43D0-8442-C5E423C6B2C5}</author>
    <author>tc={BEF37ECA-63ED-4151-95C3-31CB2E751765}</author>
    <author>tc={5B57157A-1743-4163-B817-E23234318018}</author>
  </authors>
  <commentList>
    <comment ref="C4" authorId="0" shapeId="0" xr:uid="{F62C9B40-6557-40CC-AEDC-E7761727768E}">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433AD824-4092-40EF-AFAE-6348236AF12B}">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F4" authorId="2" shapeId="0" xr:uid="{5114F749-F73D-4F94-BF75-CBE846177360}">
      <text>
        <t>[Threaded comment]
Your version of Excel allows you to read this threaded comment; however, any edits to it will get removed if the file is opened in a newer version of Excel. Learn more: https://go.microsoft.com/fwlink/?linkid=870924
Comment:
    Prioritize organic amendments and lime. Fertilizer is requested but not required.</t>
      </text>
    </comment>
    <comment ref="G4" authorId="3"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 ref="H4" authorId="4" shapeId="0" xr:uid="{2F8259DF-C8C1-4BCF-9D14-FC43B83B7F2C}">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 ref="K4" authorId="5" shapeId="0" xr:uid="{E414A35E-8FE4-45C2-9FD6-2D3E2C6C58AF}">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L4" authorId="6" shapeId="0" xr:uid="{58D9C416-8640-4F52-9ADD-B1963DE6BBFD}">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M4" authorId="7" shapeId="0" xr:uid="{75A74DD2-0E01-43D0-8442-C5E423C6B2C5}">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N4" authorId="8" shapeId="0" xr:uid="{BEF37ECA-63ED-4151-95C3-31CB2E751765}">
      <text>
        <t>[Threaded comment]
Your version of Excel allows you to read this threaded comment; however, any edits to it will get removed if the file is opened in a newer version of Excel. Learn more: https://go.microsoft.com/fwlink/?linkid=870924
Comment:
    Relevant only for organic amendments</t>
      </text>
    </comment>
    <comment ref="O4" authorId="9" shapeId="0" xr:uid="{5B57157A-1743-4163-B817-E23234318018}">
      <text>
        <t>[Threaded comment]
Your version of Excel allows you to read this threaded comment; however, any edits to it will get removed if the file is opened in a newer version of Excel. Learn more: https://go.microsoft.com/fwlink/?linkid=870924
Comment:
    Relevant only for organic amendments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tc={32403949-7501-448F-AA0A-DD70A0B495BC}</author>
    <author>tc={5B4CDD19-54E2-4645-8528-599112635567}</author>
    <author>tc={961644F7-D97F-42BD-A559-0DE7122BBC39}</author>
    <author>tc={63548051-38EA-464A-BF7F-41FE8D437165}</author>
  </authors>
  <commentList>
    <comment ref="C4" authorId="0" shapeId="0" xr:uid="{32403949-7501-448F-AA0A-DD70A0B495BC}">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5B4CDD19-54E2-4645-8528-599112635567}">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I4" authorId="2" shapeId="0" xr:uid="{961644F7-D97F-42BD-A559-0DE7122BBC39}">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 ref="J4" authorId="3" shapeId="0" xr:uid="{63548051-38EA-464A-BF7F-41FE8D437165}">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tc={F8C7F50D-6517-4309-95A2-3569E3E61F32}</author>
    <author>tc={04DF50CF-373F-4A17-B48C-FF43BBA08707}</author>
  </authors>
  <commentList>
    <comment ref="C4" authorId="0" shapeId="0" xr:uid="{F8C7F50D-6517-4309-95A2-3569E3E61F32}">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04DF50CF-373F-4A17-B48C-FF43BBA08707}">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List>
</comments>
</file>

<file path=xl/sharedStrings.xml><?xml version="1.0" encoding="utf-8"?>
<sst xmlns="http://schemas.openxmlformats.org/spreadsheetml/2006/main" count="27001" uniqueCount="1597">
  <si>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</si>
  <si>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</si>
  <si>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</si>
  <si>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</si>
  <si>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</si>
  <si>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</si>
  <si>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</si>
  <si>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</si>
  <si>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</si>
  <si>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</si>
  <si>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</si>
  <si>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</si>
  <si>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</si>
  <si>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</si>
  <si>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</si>
  <si>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</si>
  <si>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</si>
  <si>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</si>
  <si>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</si>
  <si>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</si>
  <si>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</si>
  <si>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</si>
  <si>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</si>
  <si>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&lt;integer&gt;</t>
  </si>
  <si>
    <t>&lt;date&gt;</t>
  </si>
  <si>
    <t>MM/DD/YYYY</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</si>
  <si>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</si>
  <si>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</si>
  <si>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</si>
  <si>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</si>
  <si>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</si>
  <si>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</si>
  <si>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</si>
  <si>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</si>
  <si>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</si>
  <si>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</si>
  <si>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</si>
  <si>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</si>
  <si>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</si>
  <si>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</si>
  <si>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</si>
  <si>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</si>
  <si>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</si>
  <si>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</si>
  <si>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</si>
  <si>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</si>
  <si>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</si>
  <si>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</si>
  <si>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</si>
  <si>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</si>
  <si>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</si>
  <si>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</si>
  <si>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</si>
  <si>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</si>
  <si>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</si>
  <si>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</si>
  <si>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</si>
  <si>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</si>
  <si>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</si>
  <si>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</si>
  <si>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</si>
  <si>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</si>
  <si>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</si>
  <si>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</si>
  <si>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</si>
  <si>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</si>
  <si>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</si>
  <si>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</si>
  <si>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</si>
  <si>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</si>
  <si>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</si>
  <si>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</si>
  <si>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</si>
  <si>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</si>
  <si>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</si>
  <si>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</si>
  <si>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</si>
  <si>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</si>
  <si>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</si>
  <si>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</si>
  <si>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</si>
  <si>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</si>
  <si>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</si>
  <si>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</si>
  <si>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</si>
  <si>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</si>
  <si>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</si>
  <si>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</si>
  <si>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</si>
  <si>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</si>
  <si>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</si>
  <si>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</si>
  <si>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</si>
  <si>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</si>
  <si>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</si>
  <si>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</si>
  <si>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</si>
  <si>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</si>
  <si>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</si>
  <si>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</si>
  <si>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</si>
  <si>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</si>
  <si>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</si>
  <si>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</si>
  <si>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</si>
  <si>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</si>
  <si>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</si>
  <si>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</si>
  <si>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</si>
  <si>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</si>
  <si>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</si>
  <si>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</si>
  <si>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</si>
  <si>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</si>
  <si>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</si>
  <si>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</si>
  <si>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</si>
  <si>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</si>
  <si>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Ammonium Sulphate</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</si>
  <si>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</si>
  <si>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</si>
  <si>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</si>
  <si>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</si>
  <si>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</si>
  <si>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</si>
  <si>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</si>
  <si>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</si>
  <si>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</si>
  <si>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</si>
  <si>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</si>
  <si>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</si>
  <si>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</si>
  <si>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</si>
  <si>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</si>
  <si>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</si>
  <si>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</si>
  <si>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</si>
  <si>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</si>
  <si>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</si>
  <si>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</si>
  <si>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</si>
  <si>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</si>
  <si>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</si>
  <si>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</si>
  <si>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</si>
  <si>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</si>
  <si>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Rye, Winter</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</si>
  <si>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</si>
  <si>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</si>
  <si>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</si>
  <si>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</si>
  <si>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</si>
  <si>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</si>
  <si>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</si>
  <si>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</si>
  <si>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</si>
  <si>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</si>
  <si>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</si>
  <si>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</si>
  <si>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</si>
  <si>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</si>
  <si>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</si>
  <si>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</si>
  <si>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</si>
  <si>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</si>
  <si>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</si>
  <si>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</si>
  <si>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</si>
  <si>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</si>
  <si>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</si>
  <si>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</si>
  <si>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</si>
  <si>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</si>
  <si>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</si>
  <si>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</si>
  <si>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</si>
  <si>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Ryegrass, Winter</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</si>
  <si>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</si>
  <si>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</si>
  <si>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</si>
  <si>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</si>
  <si>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</si>
  <si>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</si>
  <si>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</si>
  <si>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</si>
  <si>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</si>
  <si>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</si>
  <si>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</si>
  <si>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</si>
  <si>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</si>
  <si>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</si>
  <si>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</si>
  <si>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</si>
  <si>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</si>
  <si>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</si>
  <si>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</si>
  <si>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</si>
  <si>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</si>
  <si>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</si>
  <si>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</si>
  <si>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</si>
  <si>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</si>
  <si>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</si>
  <si>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</si>
  <si>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</si>
  <si>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</si>
  <si>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</si>
  <si>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</si>
  <si>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</si>
  <si>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</si>
  <si>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</si>
  <si>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</si>
  <si>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</si>
  <si>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</si>
  <si>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</si>
  <si>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</si>
  <si>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</si>
  <si>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</si>
  <si>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</si>
  <si>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</si>
  <si>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</si>
  <si>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</si>
  <si>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</si>
  <si>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</si>
  <si>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</si>
  <si>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</si>
  <si>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</si>
  <si>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</si>
  <si>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</si>
  <si>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</si>
  <si>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</si>
  <si>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</si>
  <si>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</si>
  <si>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</si>
  <si>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</si>
  <si>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</si>
  <si>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</si>
  <si>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</si>
  <si>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</si>
  <si>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</si>
  <si>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</si>
  <si>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</si>
  <si>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</si>
  <si>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</si>
  <si>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</si>
  <si>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</si>
  <si>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</si>
  <si>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</si>
  <si>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</si>
  <si>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</si>
  <si>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</si>
  <si>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</si>
  <si>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</si>
  <si>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</si>
  <si>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</si>
  <si>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</si>
  <si>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</si>
  <si>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</si>
  <si>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</si>
  <si>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</si>
  <si>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</si>
  <si>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</si>
  <si>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</si>
  <si>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</si>
  <si>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</si>
  <si>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</si>
  <si>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</si>
  <si>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</si>
  <si>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</si>
  <si>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</si>
  <si>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</si>
  <si>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</si>
  <si>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</si>
  <si>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</si>
  <si>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</si>
  <si>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</si>
  <si>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</si>
  <si>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</si>
  <si>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</si>
  <si>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</si>
  <si>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</si>
  <si>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</si>
  <si>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</si>
  <si>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</si>
  <si>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</si>
  <si>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</si>
  <si>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</si>
  <si>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</si>
  <si>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</si>
  <si>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</si>
  <si>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</si>
  <si>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</si>
  <si>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</si>
  <si>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</si>
  <si>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</si>
  <si>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</si>
  <si>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</si>
  <si>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</si>
  <si>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</si>
  <si>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</si>
  <si>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</si>
  <si>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</si>
  <si>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</si>
  <si>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</si>
  <si>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</si>
  <si>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</si>
  <si>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</si>
  <si>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</si>
  <si>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</si>
  <si>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</si>
  <si>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</si>
  <si>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</si>
  <si>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</si>
  <si>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</si>
  <si>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</si>
  <si>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</si>
  <si>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</si>
  <si>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</si>
  <si>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</si>
  <si>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</si>
  <si>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</si>
  <si>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</si>
  <si>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</si>
  <si>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</si>
  <si>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</si>
  <si>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</si>
  <si>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</si>
  <si>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</si>
  <si>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</si>
  <si>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</si>
  <si>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</si>
  <si>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</si>
  <si>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</si>
  <si>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</si>
  <si>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</si>
  <si>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</si>
  <si>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</si>
  <si>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</si>
  <si>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</si>
  <si>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</si>
  <si>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</si>
  <si>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</si>
  <si>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</si>
  <si>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</si>
  <si>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</si>
  <si>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</si>
  <si>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</si>
  <si>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</si>
  <si>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</si>
  <si>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</si>
  <si>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</si>
  <si>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</si>
  <si>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</si>
  <si>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</si>
  <si>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</si>
  <si>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</si>
  <si>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</si>
  <si>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</si>
  <si>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</si>
  <si>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</si>
  <si>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</si>
  <si>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</si>
  <si>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</si>
  <si>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user_perm</t>
  </si>
  <si>
    <t>user_password</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</si>
  <si>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</si>
  <si>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</si>
  <si>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</si>
  <si>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</si>
  <si>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</si>
  <si>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</si>
  <si>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</si>
  <si>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</si>
  <si>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</si>
  <si>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</si>
  <si>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</si>
  <si>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</si>
  <si>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</si>
  <si>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</si>
  <si>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</si>
  <si>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</si>
  <si>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</si>
  <si>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</si>
  <si>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</si>
  <si>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</si>
  <si>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</si>
  <si>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</si>
  <si>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</si>
  <si>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</si>
  <si>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</si>
  <si>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admin</t>
  </si>
  <si>
    <t>guest</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</si>
  <si>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</si>
  <si>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</si>
  <si>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</si>
  <si>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</si>
  <si>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</si>
  <si>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</si>
  <si>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</si>
  <si>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</si>
  <si>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</si>
  <si>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</si>
  <si>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</si>
  <si>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</si>
  <si>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</si>
  <si>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</si>
  <si>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</si>
  <si>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</si>
  <si>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</si>
  <si>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</si>
  <si>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</si>
  <si>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</si>
  <si>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</si>
  <si>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</si>
  <si>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</si>
  <si>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</si>
  <si>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</si>
  <si>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</si>
  <si>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</si>
  <si>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</si>
  <si>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</si>
  <si>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</si>
  <si>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user_perm_list</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</si>
  <si>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</si>
  <si>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</si>
  <si>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</si>
  <si>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</si>
  <si>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</si>
  <si>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</si>
  <si>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</si>
  <si>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</si>
  <si>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</si>
  <si>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</si>
  <si>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</si>
  <si>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</si>
  <si>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</si>
  <si>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</si>
  <si>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</si>
  <si>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</si>
  <si>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</si>
  <si>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</si>
  <si>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</si>
  <si>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</si>
  <si>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</si>
  <si>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</si>
  <si>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</si>
  <si>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</si>
  <si>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</si>
  <si>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</si>
  <si>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</si>
  <si>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</si>
  <si>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</si>
  <si>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</si>
  <si>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</si>
  <si>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</si>
  <si>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</si>
  <si>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</si>
  <si>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</si>
  <si>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</si>
  <si>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</si>
  <si>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</si>
  <si>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</si>
  <si>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</si>
  <si>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</si>
  <si>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</si>
  <si>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</si>
  <si>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</si>
  <si>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</si>
  <si>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</si>
  <si>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</si>
  <si>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</si>
  <si>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</si>
  <si>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</si>
  <si>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</si>
  <si>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</si>
  <si>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</si>
  <si>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</si>
  <si>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</si>
  <si>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</si>
  <si>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</si>
  <si>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</si>
  <si>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</si>
  <si>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</si>
  <si>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</si>
  <si>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</si>
  <si>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</si>
  <si>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</si>
  <si>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</si>
  <si>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</si>
  <si>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</si>
  <si>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</si>
  <si>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</si>
  <si>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</si>
  <si>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</si>
  <si>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</si>
  <si>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</si>
  <si>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</si>
  <si>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</si>
  <si>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</si>
  <si>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</si>
  <si>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</si>
  <si>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</si>
  <si>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</si>
  <si>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</si>
  <si>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</si>
  <si>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</si>
  <si>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</si>
  <si>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</si>
  <si>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</si>
  <si>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</si>
  <si>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</si>
  <si>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</si>
  <si>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</si>
  <si>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</si>
  <si>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</si>
  <si>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</si>
  <si>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Unique Identifier</t>
  </si>
  <si>
    <t>User Name</t>
  </si>
  <si>
    <t>User Permissions</t>
  </si>
  <si>
    <t>User 
Password</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</si>
  <si>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</si>
  <si>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</si>
  <si>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</si>
  <si>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</si>
  <si>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</si>
  <si>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</si>
  <si>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</si>
  <si>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</si>
  <si>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</si>
  <si>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</si>
  <si>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</si>
  <si>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</si>
  <si>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</si>
  <si>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</si>
  <si>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Animal Type</t>
  </si>
  <si>
    <t>Study</t>
  </si>
  <si>
    <t>Excel Unique ID</t>
  </si>
  <si>
    <t>SQL Database</t>
  </si>
  <si>
    <t>crop_res_mgt</t>
  </si>
  <si>
    <t>baled</t>
  </si>
  <si>
    <t>incorporated</t>
  </si>
  <si>
    <t>Total Annual irrigation</t>
  </si>
  <si>
    <t>ST_test_lab</t>
  </si>
  <si>
    <t>ST_test_date</t>
  </si>
  <si>
    <t>ST_test_depth</t>
  </si>
  <si>
    <t>ST_OM</t>
  </si>
  <si>
    <t>ST_pH</t>
  </si>
  <si>
    <t>ST_EC</t>
  </si>
  <si>
    <t>ST_id</t>
  </si>
  <si>
    <t>ST_notes</t>
  </si>
  <si>
    <t>MGT_combo</t>
  </si>
  <si>
    <t>MGT_id</t>
  </si>
  <si>
    <t>AD_id</t>
  </si>
  <si>
    <t>AD_type</t>
  </si>
  <si>
    <t>AD_intensity</t>
  </si>
  <si>
    <t>AD_count</t>
  </si>
  <si>
    <t>AD_start_date</t>
  </si>
  <si>
    <t>AD_end_date</t>
  </si>
  <si>
    <t>AD_aum</t>
  </si>
  <si>
    <t>AD_notes</t>
  </si>
  <si>
    <t>SA_notes</t>
  </si>
  <si>
    <t>SA_CN</t>
  </si>
  <si>
    <t>SA_cat</t>
  </si>
  <si>
    <t>SA_source</t>
  </si>
  <si>
    <t>SA_date</t>
  </si>
  <si>
    <t>SA_rate</t>
  </si>
  <si>
    <t>SA_units</t>
  </si>
  <si>
    <t>SA_H2O_per</t>
  </si>
  <si>
    <t>SA_id</t>
  </si>
  <si>
    <t>SD_id</t>
  </si>
  <si>
    <t>SD_phase</t>
  </si>
  <si>
    <t>SD_date</t>
  </si>
  <si>
    <t>SD_goal</t>
  </si>
  <si>
    <t>SD_name</t>
  </si>
  <si>
    <t>SD_equip_cat</t>
  </si>
  <si>
    <t>SD_equip</t>
  </si>
  <si>
    <t>SD_mixeff</t>
  </si>
  <si>
    <t>SD_depth</t>
  </si>
  <si>
    <t>SD_notes</t>
  </si>
  <si>
    <t>CD_id</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</si>
  <si>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</si>
  <si>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</si>
  <si>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</si>
  <si>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</si>
  <si>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</si>
  <si>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</si>
  <si>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</si>
  <si>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</si>
  <si>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</si>
  <si>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</si>
  <si>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</si>
  <si>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</si>
  <si>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</si>
  <si>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</si>
  <si>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</si>
  <si>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</si>
  <si>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</si>
  <si>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</si>
  <si>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</si>
  <si>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</si>
  <si>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</si>
  <si>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</si>
  <si>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</si>
  <si>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</si>
  <si>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</si>
  <si>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</si>
  <si>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SA_N</t>
  </si>
  <si>
    <t>&lt;see Column J&gt;</t>
  </si>
  <si>
    <t>SA_P2O5</t>
  </si>
  <si>
    <t>SA_K2O</t>
  </si>
  <si>
    <t>Crop Sequence Number</t>
  </si>
  <si>
    <t>CD_seq_num</t>
  </si>
  <si>
    <t>Residue Management</t>
  </si>
  <si>
    <t>Yield</t>
  </si>
  <si>
    <t>CropUnit</t>
  </si>
  <si>
    <t>Unique Mgt &amp; Crop Combo</t>
  </si>
  <si>
    <t>Water in Organic Amendment</t>
  </si>
  <si>
    <t>C/N ratio of Organic Amendment</t>
  </si>
  <si>
    <t>Nitrogen added</t>
  </si>
  <si>
    <t>P2O5 added</t>
  </si>
  <si>
    <t>K2O added</t>
  </si>
  <si>
    <t>Annual or PerennialHarvest Date</t>
  </si>
  <si>
    <t>Perennial and Cover Crops Termination Date</t>
  </si>
  <si>
    <t>Fallow</t>
  </si>
  <si>
    <t>crop_fallow_list</t>
  </si>
  <si>
    <t>jennifer.moore</t>
  </si>
  <si>
    <t>shmi</t>
  </si>
  <si>
    <t>jennifer</t>
  </si>
  <si>
    <t>moore</t>
  </si>
  <si>
    <t>NAPESHM</t>
  </si>
  <si>
    <t>CD_per_res</t>
  </si>
  <si>
    <t>Percent residue removed</t>
  </si>
  <si>
    <t>not incorporated</t>
  </si>
  <si>
    <t>USSC02</t>
  </si>
  <si>
    <t>USCO01</t>
  </si>
  <si>
    <t>NAPESHM_MXAG01_1</t>
  </si>
  <si>
    <t>NAPESHM_MXAG01_2</t>
  </si>
  <si>
    <t>NAPESHM_MXAG01_3</t>
  </si>
  <si>
    <t>NAPESHM_MXAG01_4</t>
  </si>
  <si>
    <t>NAPESHM_MXAG01_5</t>
  </si>
  <si>
    <t>NAPESHM_MXEM01_6</t>
  </si>
  <si>
    <t>NAPESHM_MXEM01_7</t>
  </si>
  <si>
    <t>NAPESHM_MXEM01_8</t>
  </si>
  <si>
    <t>NAPESHM_MXEM01_9</t>
  </si>
  <si>
    <t>NAPESHM_MXEM01_10</t>
  </si>
  <si>
    <t>NAPESHM_MXEM01_11</t>
  </si>
  <si>
    <t>NAPESHM_MXEM01_12</t>
  </si>
  <si>
    <t>NAPESHM_MXEM01_13</t>
  </si>
  <si>
    <t>NAPESHM_MXEM01_14</t>
  </si>
  <si>
    <t>NAPESHM_MXEM01_15</t>
  </si>
  <si>
    <t>NAPESHM_MXEM01_16</t>
  </si>
  <si>
    <t>NAPESHM_MXEM01_17</t>
  </si>
  <si>
    <t>NAPESHM_MXEM01_18</t>
  </si>
  <si>
    <t>NAPESHM_MXEM01_19</t>
  </si>
  <si>
    <t>NAPESHM_MXEM01_20</t>
  </si>
  <si>
    <t>NAPESHM_MXEM01_21</t>
  </si>
  <si>
    <t>NAPESHM_MXEM01_22</t>
  </si>
  <si>
    <t>NAPESHM_MXEM01_23</t>
  </si>
  <si>
    <t>NAPESHM_MXEM02_24</t>
  </si>
  <si>
    <t>NAPESHM_MXEM02_25</t>
  </si>
  <si>
    <t>NAPESHM_MXEM02_26</t>
  </si>
  <si>
    <t>NAPESHM_MXEM02_27</t>
  </si>
  <si>
    <t>NAPESHM_MXEM02_28</t>
  </si>
  <si>
    <t>NAPESHM_MXEM02_29</t>
  </si>
  <si>
    <t>NAPESHM_MXEM03_30</t>
  </si>
  <si>
    <t>NAPESHM_MXEM03_31</t>
  </si>
  <si>
    <t>NAPESHM_MXEM03_32</t>
  </si>
  <si>
    <t>NAPESHM_MXEM03_33</t>
  </si>
  <si>
    <t>NAPESHM_MXEM03_34</t>
  </si>
  <si>
    <t>NAPESHM_MXGT01_35</t>
  </si>
  <si>
    <t>NAPESHM_MXGT01_36</t>
  </si>
  <si>
    <t>NAPESHM_MXGT01_37</t>
  </si>
  <si>
    <t>NAPESHM_MXGT01_38</t>
  </si>
  <si>
    <t>NAPESHM_MXGT01_39</t>
  </si>
  <si>
    <t>NAPESHM_MXGT01_40</t>
  </si>
  <si>
    <t>NAPESHM_MXGT01_41</t>
  </si>
  <si>
    <t>NAPESHM_MXGT01_42</t>
  </si>
  <si>
    <t>NAPESHM_MXGT01_43</t>
  </si>
  <si>
    <t>NAPESHM_MXHG01_44</t>
  </si>
  <si>
    <t>NAPESHM_MXHG01_45</t>
  </si>
  <si>
    <t>NAPESHM_MXHG01_46</t>
  </si>
  <si>
    <t>NAPESHM_MXHG01_47</t>
  </si>
  <si>
    <t>NAPESHM_MXHG01_48</t>
  </si>
  <si>
    <t>NAPESHM_MXHG01_49</t>
  </si>
  <si>
    <t>NAPESHM_MXMO01_50</t>
  </si>
  <si>
    <t>NAPESHM_MXMO01_51</t>
  </si>
  <si>
    <t>NAPESHM_MXMO01_52</t>
  </si>
  <si>
    <t>NAPESHM_MXMO01_53</t>
  </si>
  <si>
    <t>NAPESHM_MXMO01_54</t>
  </si>
  <si>
    <t>NAPESHM_MXMO02_55</t>
  </si>
  <si>
    <t>NAPESHM_MXMO02_56</t>
  </si>
  <si>
    <t>NAPESHM_MXMO02_57</t>
  </si>
  <si>
    <t>NAPESHM_MXMO02_58</t>
  </si>
  <si>
    <t>NAPESHM_MXMO02_59</t>
  </si>
  <si>
    <t>NAPESHM_MXMO02_60</t>
  </si>
  <si>
    <t>NAPESHM_MXMO02_61</t>
  </si>
  <si>
    <t>NAPESHM_MXMO02_62</t>
  </si>
  <si>
    <t>NAPESHM_MXMO02_63</t>
  </si>
  <si>
    <t>NAPESHM_MXOA01_64</t>
  </si>
  <si>
    <t>NAPESHM_MXOA01_65</t>
  </si>
  <si>
    <t>NAPESHM_MXOA01_66</t>
  </si>
  <si>
    <t>NAPESHM_MXOA01_67</t>
  </si>
  <si>
    <t>NAPESHM_MXOA01_68</t>
  </si>
  <si>
    <t>NAPESHM_MXPU01_69</t>
  </si>
  <si>
    <t>NAPESHM_MXPU01_70</t>
  </si>
  <si>
    <t>NAPESHM_MXPU01_71</t>
  </si>
  <si>
    <t>NAPESHM_MXPU01_72</t>
  </si>
  <si>
    <t>NAPESHM_MXPU01_73</t>
  </si>
  <si>
    <t>NAPESHM_MXPU01_74</t>
  </si>
  <si>
    <t>NAPESHM_MXPU01_75</t>
  </si>
  <si>
    <t>NAPESHM_MXPU01_76</t>
  </si>
  <si>
    <t>NAPESHM_MXQT01_77</t>
  </si>
  <si>
    <t>NAPESHM_MXQT01_78</t>
  </si>
  <si>
    <t>NAPESHM_MXQT01_79</t>
  </si>
  <si>
    <t>NAPESHM_MXQT01_80</t>
  </si>
  <si>
    <t>NAPESHM_MXQT01_81</t>
  </si>
  <si>
    <t>NAPESHM_MXQT01_82</t>
  </si>
  <si>
    <t>NAPESHM_MXQT02_83</t>
  </si>
  <si>
    <t>NAPESHM_MXQT02_84</t>
  </si>
  <si>
    <t>NAPESHM_MXQT02_85</t>
  </si>
  <si>
    <t>NAPESHM_MXQT02_86</t>
  </si>
  <si>
    <t>NAPESHM_MXQT02_87</t>
  </si>
  <si>
    <t>NAPESHM_MXQT02_88</t>
  </si>
  <si>
    <t>NAPESHM_MXQT02_89</t>
  </si>
  <si>
    <t>NAPESHM_MXQT02_90</t>
  </si>
  <si>
    <t>NAPESHM_MXQT02_91</t>
  </si>
  <si>
    <t>NAPESHM_MXQT02_92</t>
  </si>
  <si>
    <t>NAPESHM_MXSL01_93</t>
  </si>
  <si>
    <t>NAPESHM_MXSL01_94</t>
  </si>
  <si>
    <t>NAPESHM_MXSL01_95</t>
  </si>
  <si>
    <t>NAPESHM_MXSL01_96</t>
  </si>
  <si>
    <t>NAPESHM_MXSL01_97</t>
  </si>
  <si>
    <t>NAPESHM_MXSL01_98</t>
  </si>
  <si>
    <t>NAPESHM_MXSL01_99</t>
  </si>
  <si>
    <t>NAPESHM_MXSO01_100</t>
  </si>
  <si>
    <t>NAPESHM_MXSO01_101</t>
  </si>
  <si>
    <t>NAPESHM_MXSO01_102</t>
  </si>
  <si>
    <t>NAPESHM_MXSO01_103</t>
  </si>
  <si>
    <t>NAPESHM_MXSO01_104</t>
  </si>
  <si>
    <t>NAPESHM_MXSO01_105</t>
  </si>
  <si>
    <t>NAPESHM_MXSO01_106</t>
  </si>
  <si>
    <t>NAPESHM_MXSO01_107</t>
  </si>
  <si>
    <t>NAPESHM_MXSO01_108</t>
  </si>
  <si>
    <t>NAPESHM_MXSO01_109</t>
  </si>
  <si>
    <t>NAPESHM_MXSO01_110</t>
  </si>
  <si>
    <t>NAPESHM_MXSO01_111</t>
  </si>
  <si>
    <t>NAPESHM_MXSO01_112</t>
  </si>
  <si>
    <t>NAPESHM_MXSO02_113</t>
  </si>
  <si>
    <t>NAPESHM_MXSO02_114</t>
  </si>
  <si>
    <t>NAPESHM_MXSO02_115</t>
  </si>
  <si>
    <t>NAPESHM_MXSO02_116</t>
  </si>
  <si>
    <t>NAPESHM_MXSO02_117</t>
  </si>
  <si>
    <t>NAPESHM_MXSO02_118</t>
  </si>
  <si>
    <t>NAPESHM_MXSO02_119</t>
  </si>
  <si>
    <t>NAPESHM_MXSO02_120</t>
  </si>
  <si>
    <t>NAPESHM_MXSO02_121</t>
  </si>
  <si>
    <t>NAPESHM_MXSO02_122</t>
  </si>
  <si>
    <t>NAPESHM_MXSO03_123</t>
  </si>
  <si>
    <t>NAPESHM_MXSO03_124</t>
  </si>
  <si>
    <t>NAPESHM_MXSO03_125</t>
  </si>
  <si>
    <t>NAPESHM_MXSO03_126</t>
  </si>
  <si>
    <t>NAPESHM_MXSO03_127</t>
  </si>
  <si>
    <t>NAPESHM_MXSO03_128</t>
  </si>
  <si>
    <t>NAPESHM_MXSO03_129</t>
  </si>
  <si>
    <t>NAPESHM_MXSO03_130</t>
  </si>
  <si>
    <t>NAPESHM_MXSO03_131</t>
  </si>
  <si>
    <t>NAPESHM_MXSO03_132</t>
  </si>
  <si>
    <t>NAPESHM_MXSO03_133</t>
  </si>
  <si>
    <t>NAPESHM_MXSO03_134</t>
  </si>
  <si>
    <t>NAPESHM_MXSO03_135</t>
  </si>
  <si>
    <t>NAPESHM_MXSO03_136</t>
  </si>
  <si>
    <t>NAPESHM_USAL01_137</t>
  </si>
  <si>
    <t>NAPESHM_USAL01_138</t>
  </si>
  <si>
    <t>NAPESHM_USAL01_139</t>
  </si>
  <si>
    <t>NAPESHM_USAL01_140</t>
  </si>
  <si>
    <t>NAPESHM_USAL01_141</t>
  </si>
  <si>
    <t>NAPESHM_USAL01_142</t>
  </si>
  <si>
    <t>NAPESHM_USAL01_143</t>
  </si>
  <si>
    <t>NAPESHM_USAL01_144</t>
  </si>
  <si>
    <t>NAPESHM_USAL02_145</t>
  </si>
  <si>
    <t>NAPESHM_USAL02_146</t>
  </si>
  <si>
    <t>NAPESHM_USAL02_147</t>
  </si>
  <si>
    <t>NAPESHM_USAL02_148</t>
  </si>
  <si>
    <t>NAPESHM_USAL02_149</t>
  </si>
  <si>
    <t>NAPESHM_USAL02_150</t>
  </si>
  <si>
    <t>NAPESHM_USAL02_151</t>
  </si>
  <si>
    <t>NAPESHM_USAL02_152</t>
  </si>
  <si>
    <t>NAPESHM_USAL02_153</t>
  </si>
  <si>
    <t>NAPESHM_USAL02_154</t>
  </si>
  <si>
    <t>NAPESHM_USAL02_155</t>
  </si>
  <si>
    <t>NAPESHM_USAL02_156</t>
  </si>
  <si>
    <t>NAPESHM_USAL03_157</t>
  </si>
  <si>
    <t>NAPESHM_USAL03_158</t>
  </si>
  <si>
    <t>NAPESHM_USAL03_159</t>
  </si>
  <si>
    <t>NAPESHM_USAL03_160</t>
  </si>
  <si>
    <t>NAPESHM_USAL04_161</t>
  </si>
  <si>
    <t>NAPESHM_USAL04_162</t>
  </si>
  <si>
    <t>NAPESHM_USAL04_163</t>
  </si>
  <si>
    <t>NAPESHM_USCA01_171</t>
  </si>
  <si>
    <t>NAPESHM_USCA01_172</t>
  </si>
  <si>
    <t>NAPESHM_USCA01_173</t>
  </si>
  <si>
    <t>NAPESHM_USCA02_174</t>
  </si>
  <si>
    <t>NAPESHM_USCA02_175</t>
  </si>
  <si>
    <t>NAPESHM_USCA02_176</t>
  </si>
  <si>
    <t>NAPESHM_USCA03_178</t>
  </si>
  <si>
    <t>NAPESHM_USCA03_179</t>
  </si>
  <si>
    <t>NAPESHM_USCA03_180</t>
  </si>
  <si>
    <t>NAPESHM_USCA03_181</t>
  </si>
  <si>
    <t>NAPESHM_USCO01_182</t>
  </si>
  <si>
    <t>NAPESHM_USCO01_183</t>
  </si>
  <si>
    <t>NAPESHM_USCO01_184</t>
  </si>
  <si>
    <t>NAPESHM_USCO01_188</t>
  </si>
  <si>
    <t>NAPESHM_USCO01_189</t>
  </si>
  <si>
    <t>NAPESHM_USCO01_190</t>
  </si>
  <si>
    <t>NAPESHM_USCO01_191</t>
  </si>
  <si>
    <t>NAPESHM_USCO01_192</t>
  </si>
  <si>
    <t>NAPESHM_USCO01_193</t>
  </si>
  <si>
    <t>NAPESHM_USCO02_194</t>
  </si>
  <si>
    <t>NAPESHM_USCO02_195</t>
  </si>
  <si>
    <t>NAPESHM_USCO02_196</t>
  </si>
  <si>
    <t>NAPESHM_USCO02_200</t>
  </si>
  <si>
    <t>NAPESHM_USCO02_201</t>
  </si>
  <si>
    <t>NAPESHM_USCO02_202</t>
  </si>
  <si>
    <t>NAPESHM_USCO02_203</t>
  </si>
  <si>
    <t>NAPESHM_USCO02_204</t>
  </si>
  <si>
    <t>NAPESHM_USCO02_205</t>
  </si>
  <si>
    <t>NAPESHM_USCO03_206</t>
  </si>
  <si>
    <t>NAPESHM_USCO03_207</t>
  </si>
  <si>
    <t>NAPESHM_USCO03_208</t>
  </si>
  <si>
    <t>NAPESHM_USCO03_212</t>
  </si>
  <si>
    <t>NAPESHM_USCO03_213</t>
  </si>
  <si>
    <t>NAPESHM_USCO03_214</t>
  </si>
  <si>
    <t>NAPESHM_USCO03_215</t>
  </si>
  <si>
    <t>NAPESHM_USCO03_216</t>
  </si>
  <si>
    <t>NAPESHM_USCO03_217</t>
  </si>
  <si>
    <t>NAPESHM_USCO04_218</t>
  </si>
  <si>
    <t>NAPESHM_USCO04_219</t>
  </si>
  <si>
    <t>NAPESHM_USCO04_220</t>
  </si>
  <si>
    <t>NAPESHM_USCO04_221</t>
  </si>
  <si>
    <t>NAPESHM_USDE01_226</t>
  </si>
  <si>
    <t>NAPESHM_USDE01_227</t>
  </si>
  <si>
    <t>NAPESHM_USFL01_228</t>
  </si>
  <si>
    <t>NAPESHM_USFL01_229</t>
  </si>
  <si>
    <t>NAPESHM_USFL02_230</t>
  </si>
  <si>
    <t>NAPESHM_USFL02_231</t>
  </si>
  <si>
    <t>NAPESHM_USGA01_232</t>
  </si>
  <si>
    <t>NAPESHM_USGA01_233</t>
  </si>
  <si>
    <t>NAPESHM_USIA01_235</t>
  </si>
  <si>
    <t>NAPESHM_USIA01_236</t>
  </si>
  <si>
    <t>NAPESHM_USIA02_237</t>
  </si>
  <si>
    <t>NAPESHM_USIA02_238</t>
  </si>
  <si>
    <t>NAPESHM_USIA02_241</t>
  </si>
  <si>
    <t>NAPESHM_USIA02_242</t>
  </si>
  <si>
    <t>NAPESHM_USIA03_243</t>
  </si>
  <si>
    <t>NAPESHM_USIA03_244</t>
  </si>
  <si>
    <t>NAPESHM_USIA03_245</t>
  </si>
  <si>
    <t>NAPESHM_USID01_246</t>
  </si>
  <si>
    <t>NAPESHM_USID01_247</t>
  </si>
  <si>
    <t>NAPESHM_USID01_248</t>
  </si>
  <si>
    <t>NAPESHM_USID01_249</t>
  </si>
  <si>
    <t>NAPESHM_USIN01_250</t>
  </si>
  <si>
    <t>NAPESHM_USIN01_251</t>
  </si>
  <si>
    <t>NAPESHM_USIN01_252</t>
  </si>
  <si>
    <t>NAPESHM_USIN01_253</t>
  </si>
  <si>
    <t>NAPESHM_USIN01_254</t>
  </si>
  <si>
    <t>NAPESHM_USIN01_255</t>
  </si>
  <si>
    <t>NAPESHM_USIN01_256</t>
  </si>
  <si>
    <t>NAPESHM_USIN01_257</t>
  </si>
  <si>
    <t>NAPESHM_USIN01_258</t>
  </si>
  <si>
    <t>NAPESHM_USKS01_259</t>
  </si>
  <si>
    <t>NAPESHM_USKS01_260</t>
  </si>
  <si>
    <t>NAPESHM_USKS01_261</t>
  </si>
  <si>
    <t>NAPESHM_USKS01_262</t>
  </si>
  <si>
    <t>NAPESHM_USKS01_263</t>
  </si>
  <si>
    <t>NAPESHM_USKS01_264</t>
  </si>
  <si>
    <t>NAPESHM_USKS02_266</t>
  </si>
  <si>
    <t>NAPESHM_USKS02_267</t>
  </si>
  <si>
    <t>NAPESHM_USKS02_268</t>
  </si>
  <si>
    <t>NAPESHM_USKY01_269</t>
  </si>
  <si>
    <t>NAPESHM_USKY01_270</t>
  </si>
  <si>
    <t>NAPESHM_USKY02_271</t>
  </si>
  <si>
    <t>NAPESHM_USKY02_272</t>
  </si>
  <si>
    <t>NAPESHM_USKY02_273</t>
  </si>
  <si>
    <t>NAPESHM_USKY02_274</t>
  </si>
  <si>
    <t>NAPESHM_USKY02_275</t>
  </si>
  <si>
    <t>NAPESHM_USKY02_276</t>
  </si>
  <si>
    <t>NAPESHM_USKY03_277</t>
  </si>
  <si>
    <t>NAPESHM_USKY03_278</t>
  </si>
  <si>
    <t>NAPESHM_USKY03_279</t>
  </si>
  <si>
    <t>NAPESHM_USKY03_280</t>
  </si>
  <si>
    <t>NAPESHM_USMI01_281</t>
  </si>
  <si>
    <t>NAPESHM_USMI01_282</t>
  </si>
  <si>
    <t>NAPESHM_USMI01_283</t>
  </si>
  <si>
    <t>NAPESHM_USMI01_284</t>
  </si>
  <si>
    <t>NAPESHM_USMI02_285</t>
  </si>
  <si>
    <t>NAPESHM_USMI02_286</t>
  </si>
  <si>
    <t>NAPESHM_USMI02_287</t>
  </si>
  <si>
    <t>NAPESHM_USMI02_288</t>
  </si>
  <si>
    <t>NAPESHM_USMI02_289</t>
  </si>
  <si>
    <t>NAPESHM_USMI02_290</t>
  </si>
  <si>
    <t>NAPESHM_USMI03_291</t>
  </si>
  <si>
    <t>NAPESHM_USMI03_292</t>
  </si>
  <si>
    <t>NAPESHM_USMI03_293</t>
  </si>
  <si>
    <t>NAPESHM_USMI03_294</t>
  </si>
  <si>
    <t>NAPESHM_USMI03_295</t>
  </si>
  <si>
    <t>NAPESHM_USMI03_296</t>
  </si>
  <si>
    <t>NAPESHM_USMI04_300</t>
  </si>
  <si>
    <t>NAPESHM_USMI04_301</t>
  </si>
  <si>
    <t>NAPESHM_USMI04_302</t>
  </si>
  <si>
    <t>NAPESHM_USMI04_303</t>
  </si>
  <si>
    <t>NAPESHM_USMI04_305</t>
  </si>
  <si>
    <t>NAPESHM_USMN02_307</t>
  </si>
  <si>
    <t>NAPESHM_USMN02_308</t>
  </si>
  <si>
    <t>NAPESHM_USMN02_309</t>
  </si>
  <si>
    <t>NAPESHM_USMN04_314</t>
  </si>
  <si>
    <t>NAPESHM_USMN04_315</t>
  </si>
  <si>
    <t>NAPESHM_USMN04_316</t>
  </si>
  <si>
    <t>NAPESHM_USMO01_318</t>
  </si>
  <si>
    <t>NAPESHM_USMO01_319</t>
  </si>
  <si>
    <t>NAPESHM_USMO01_320</t>
  </si>
  <si>
    <t>NAPESHM_USMO02_321</t>
  </si>
  <si>
    <t>NAPESHM_USMO02_322</t>
  </si>
  <si>
    <t>NAPESHM_USMO02_323</t>
  </si>
  <si>
    <t>NAPESHM_USMO02_324</t>
  </si>
  <si>
    <t>NAPESHM_USMO02_325</t>
  </si>
  <si>
    <t>NAPESHM_USMO02_326</t>
  </si>
  <si>
    <t>NAPESHM_USMO02_327</t>
  </si>
  <si>
    <t>NAPESHM_USMO02_328</t>
  </si>
  <si>
    <t>NAPESHM_USMO02_329</t>
  </si>
  <si>
    <t>NAPESHM_USMO02_330</t>
  </si>
  <si>
    <t>NAPESHM_USMO02_331</t>
  </si>
  <si>
    <t>NAPESHM_USMO02_332</t>
  </si>
  <si>
    <t>NAPESHM_USMO02_333</t>
  </si>
  <si>
    <t>NAPESHM_USMO02_334</t>
  </si>
  <si>
    <t>NAPESHM_USMO02_335</t>
  </si>
  <si>
    <t>NAPESHM_USMO02_336</t>
  </si>
  <si>
    <t>NAPESHM_USMO03_337</t>
  </si>
  <si>
    <t>NAPESHM_USMO03_338</t>
  </si>
  <si>
    <t>NAPESHM_USMO04_339</t>
  </si>
  <si>
    <t>NAPESHM_USMO04_340</t>
  </si>
  <si>
    <t>NAPESHM_USMO04_341</t>
  </si>
  <si>
    <t>NAPESHM_USMO05_342</t>
  </si>
  <si>
    <t>NAPESHM_USMO05_343</t>
  </si>
  <si>
    <t>NAPESHM_USMT01_344</t>
  </si>
  <si>
    <t>NAPESHM_USMT01_345</t>
  </si>
  <si>
    <t>NAPESHM_USMT01_346</t>
  </si>
  <si>
    <t>NAPESHM_USMT01_347</t>
  </si>
  <si>
    <t>NAPESHM_USMT01_348</t>
  </si>
  <si>
    <t>NAPESHM_USMT01_349</t>
  </si>
  <si>
    <t>NAPESHM_USMT01_350</t>
  </si>
  <si>
    <t>NAPESHM_USMT01_351</t>
  </si>
  <si>
    <t>NAPESHM_USMT02_352</t>
  </si>
  <si>
    <t>NAPESHM_USMT02_353</t>
  </si>
  <si>
    <t>NAPESHM_USMT02_354</t>
  </si>
  <si>
    <t>NAPESHM_USMT02_355</t>
  </si>
  <si>
    <t>NAPESHM_USNC02_356</t>
  </si>
  <si>
    <t>NAPESHM_USNC02_357</t>
  </si>
  <si>
    <t>NAPESHM_USNC02_358</t>
  </si>
  <si>
    <t>NAPESHM_USNC03_359</t>
  </si>
  <si>
    <t>NAPESHM_USNC03_360</t>
  </si>
  <si>
    <t>NAPESHM_USNC03_361</t>
  </si>
  <si>
    <t>NAPESHM_USNC03_362</t>
  </si>
  <si>
    <t>NAPESHM_USNC03_363</t>
  </si>
  <si>
    <t>NAPESHM_USNC03_364</t>
  </si>
  <si>
    <t>NAPESHM_USNC03_365</t>
  </si>
  <si>
    <t>NAPESHM_USNC03_366</t>
  </si>
  <si>
    <t>NAPESHM_USNC03_367</t>
  </si>
  <si>
    <t>NAPESHM_USND01_373</t>
  </si>
  <si>
    <t>NAPESHM_USND01_374</t>
  </si>
  <si>
    <t>NAPESHM_USND01_375</t>
  </si>
  <si>
    <t>NAPESHM_USND01_376</t>
  </si>
  <si>
    <t>NAPESHM_USND01_377</t>
  </si>
  <si>
    <t>NAPESHM_USND01_378</t>
  </si>
  <si>
    <t>NAPESHM_USND01_379</t>
  </si>
  <si>
    <t>NAPESHM_USND01_380</t>
  </si>
  <si>
    <t>NAPESHM_USND02_381</t>
  </si>
  <si>
    <t>NAPESHM_USND02_382</t>
  </si>
  <si>
    <t>NAPESHM_USND02_383</t>
  </si>
  <si>
    <t>NAPESHM_USND02_384</t>
  </si>
  <si>
    <t>NAPESHM_USND02_385</t>
  </si>
  <si>
    <t>NAPESHM_USND02_386</t>
  </si>
  <si>
    <t>NAPESHM_USNE01_388</t>
  </si>
  <si>
    <t>NAPESHM_USNE01_389</t>
  </si>
  <si>
    <t>NAPESHM_USNE01_390</t>
  </si>
  <si>
    <t>NAPESHM_USNE03_391</t>
  </si>
  <si>
    <t>NAPESHM_USNE04_392</t>
  </si>
  <si>
    <t>NAPESHM_USNE05_393</t>
  </si>
  <si>
    <t>NAPESHM_USNY01_396</t>
  </si>
  <si>
    <t>NAPESHM_USNY01_397</t>
  </si>
  <si>
    <t>NAPESHM_USNY01_398</t>
  </si>
  <si>
    <t>NAPESHM_USNY01_399</t>
  </si>
  <si>
    <t>NAPESHM_USNY02_401</t>
  </si>
  <si>
    <t>NAPESHM_USNY02_402</t>
  </si>
  <si>
    <t>NAPESHM_USNY03_404</t>
  </si>
  <si>
    <t>NAPESHM_USNY03_405</t>
  </si>
  <si>
    <t>NAPESHM_USNY04_407</t>
  </si>
  <si>
    <t>NAPESHM_USNY04_408</t>
  </si>
  <si>
    <t>NAPESHM_USNY04_409</t>
  </si>
  <si>
    <t>NAPESHM_USNY04_410</t>
  </si>
  <si>
    <t>NAPESHM_USOH02_411</t>
  </si>
  <si>
    <t>NAPESHM_USOH02_412</t>
  </si>
  <si>
    <t>NAPESHM_USOH02_413</t>
  </si>
  <si>
    <t>NAPESHM_USOH02_414</t>
  </si>
  <si>
    <t>NAPESHM_USOH02_415</t>
  </si>
  <si>
    <t>NAPESHM_USOH02_416</t>
  </si>
  <si>
    <t>NAPESHM_USOH02_417</t>
  </si>
  <si>
    <t>NAPESHM_USOH02_418</t>
  </si>
  <si>
    <t>NAPESHM_USOH02_419</t>
  </si>
  <si>
    <t>NAPESHM_USOH03_420</t>
  </si>
  <si>
    <t>NAPESHM_USOH03_421</t>
  </si>
  <si>
    <t>NAPESHM_USOH03_422</t>
  </si>
  <si>
    <t>NAPESHM_USOH03_423</t>
  </si>
  <si>
    <t>NAPESHM_USOH03_424</t>
  </si>
  <si>
    <t>NAPESHM_USOH03_425</t>
  </si>
  <si>
    <t>NAPESHM_USOH03_426</t>
  </si>
  <si>
    <t>NAPESHM_USOH03_427</t>
  </si>
  <si>
    <t>NAPESHM_USOH03_428</t>
  </si>
  <si>
    <t>NAPESHM_USOK01_429</t>
  </si>
  <si>
    <t>NAPESHM_USOK01_430</t>
  </si>
  <si>
    <t>NAPESHM_USOK01_432</t>
  </si>
  <si>
    <t>NAPESHM_USOR01_434</t>
  </si>
  <si>
    <t>NAPESHM_USOR01_435</t>
  </si>
  <si>
    <t>NAPESHM_USOR01_436</t>
  </si>
  <si>
    <t>NAPESHM_USOR03_438</t>
  </si>
  <si>
    <t>NAPESHM_USOR03_439</t>
  </si>
  <si>
    <t>NAPESHM_USOR03_440</t>
  </si>
  <si>
    <t>NAPESHM_USOR04_441</t>
  </si>
  <si>
    <t>NAPESHM_USOR04_442</t>
  </si>
  <si>
    <t>NAPESHM_USOR04_443</t>
  </si>
  <si>
    <t>NAPESHM_USOR04_444</t>
  </si>
  <si>
    <t>NAPESHM_USPA01_445</t>
  </si>
  <si>
    <t>NAPESHM_USPA01_446</t>
  </si>
  <si>
    <t>NAPESHM_USPA01_447</t>
  </si>
  <si>
    <t>NAPESHM_USPA01_448</t>
  </si>
  <si>
    <t>NAPESHM_USPA01_449</t>
  </si>
  <si>
    <t>NAPESHM_USPA01_450</t>
  </si>
  <si>
    <t>NAPESHM_USPA01_451</t>
  </si>
  <si>
    <t>NAPESHM_USPA01_452</t>
  </si>
  <si>
    <t>NAPESHM_USPA03_453</t>
  </si>
  <si>
    <t>NAPESHM_USPA03_454</t>
  </si>
  <si>
    <t>NAPESHM_USPA03_455</t>
  </si>
  <si>
    <t>NAPESHM_USPA03_456</t>
  </si>
  <si>
    <t>NAPESHM_USPA03_457</t>
  </si>
  <si>
    <t>NAPESHM_USPA03_458</t>
  </si>
  <si>
    <t>NAPESHM_USSC02_459</t>
  </si>
  <si>
    <t>NAPESHM_USSC02_460</t>
  </si>
  <si>
    <t>NAPESHM_USSD02_461</t>
  </si>
  <si>
    <t>NAPESHM_USSD02_462</t>
  </si>
  <si>
    <t>NAPESHM_USSD02_463</t>
  </si>
  <si>
    <t>NAPESHM_USSD02_464</t>
  </si>
  <si>
    <t>NAPESHM_USTX02_468</t>
  </si>
  <si>
    <t>NAPESHM_USTX02_469</t>
  </si>
  <si>
    <t>NAPESHM_USTX02_470</t>
  </si>
  <si>
    <t>NAPESHM_USTX03_471</t>
  </si>
  <si>
    <t>NAPESHM_USTX03_472</t>
  </si>
  <si>
    <t>NAPESHM_USTX05_473</t>
  </si>
  <si>
    <t>NAPESHM_USTX05_474</t>
  </si>
  <si>
    <t>NAPESHM_USTX05_475</t>
  </si>
  <si>
    <t>NAPESHM_USTX05_476</t>
  </si>
  <si>
    <t>NAPESHM_USTX05_477</t>
  </si>
  <si>
    <t>NAPESHM_USTX05_478</t>
  </si>
  <si>
    <t>NAPESHM_USTX05_479</t>
  </si>
  <si>
    <t>NAPESHM_USTX05_480</t>
  </si>
  <si>
    <t>NAPESHM_USVA01_481</t>
  </si>
  <si>
    <t>NAPESHM_USVA01_482</t>
  </si>
  <si>
    <t>NAPESHM_USVA01_483</t>
  </si>
  <si>
    <t>NAPESHM_USWA01_484</t>
  </si>
  <si>
    <t>NAPESHM_USWA01_485</t>
  </si>
  <si>
    <t>NAPESHM_USWA01_486</t>
  </si>
  <si>
    <t>NAPESHM_USWA01_487</t>
  </si>
  <si>
    <t>NAPESHM_USWA01_488</t>
  </si>
  <si>
    <t>NAPESHM_USWA02_489</t>
  </si>
  <si>
    <t>NAPESHM_USWA02_490</t>
  </si>
  <si>
    <t>NAPESHM_USWA02_491</t>
  </si>
  <si>
    <t>NAPESHM_USWA02_492</t>
  </si>
  <si>
    <t>NAPESHM_USWI01_493</t>
  </si>
  <si>
    <t>NAPESHM_USWI01_494</t>
  </si>
  <si>
    <t>NAPESHM_USWI01_495</t>
  </si>
  <si>
    <t>NAPESHM_USWI01_496</t>
  </si>
  <si>
    <t>NAPESHM_USWI01_497</t>
  </si>
  <si>
    <t>MXAG01</t>
  </si>
  <si>
    <t>MXEM01</t>
  </si>
  <si>
    <t>MXEM02</t>
  </si>
  <si>
    <t>MXEM03</t>
  </si>
  <si>
    <t>MXGT01</t>
  </si>
  <si>
    <t>MXHG01</t>
  </si>
  <si>
    <t>MXMO01</t>
  </si>
  <si>
    <t>MXMO02</t>
  </si>
  <si>
    <t>MXOA01</t>
  </si>
  <si>
    <t>MXPU01</t>
  </si>
  <si>
    <t>MXQT01</t>
  </si>
  <si>
    <t>MXQT02</t>
  </si>
  <si>
    <t>MXSL01</t>
  </si>
  <si>
    <t>MXSO01</t>
  </si>
  <si>
    <t>MXSO02</t>
  </si>
  <si>
    <t>MXSO03</t>
  </si>
  <si>
    <t>USAL01</t>
  </si>
  <si>
    <t>USAL02</t>
  </si>
  <si>
    <t>USAL03</t>
  </si>
  <si>
    <t>USAL04</t>
  </si>
  <si>
    <t>USAR01</t>
  </si>
  <si>
    <t>USAZ01</t>
  </si>
  <si>
    <t>USAZ03</t>
  </si>
  <si>
    <t>USCA01</t>
  </si>
  <si>
    <t>USCA02</t>
  </si>
  <si>
    <t>USCA03</t>
  </si>
  <si>
    <t>USCO02</t>
  </si>
  <si>
    <t>USCO03</t>
  </si>
  <si>
    <t>USCO04</t>
  </si>
  <si>
    <t>USCO05</t>
  </si>
  <si>
    <t>USDE01</t>
  </si>
  <si>
    <t>USFL01</t>
  </si>
  <si>
    <t>USFL02</t>
  </si>
  <si>
    <t>USGA01</t>
  </si>
  <si>
    <t>USIA01</t>
  </si>
  <si>
    <t>USIA02</t>
  </si>
  <si>
    <t>USIA03</t>
  </si>
  <si>
    <t>USID01</t>
  </si>
  <si>
    <t>USIN01</t>
  </si>
  <si>
    <t>USKS01</t>
  </si>
  <si>
    <t>USKS02</t>
  </si>
  <si>
    <t>USKY01</t>
  </si>
  <si>
    <t>USKY02</t>
  </si>
  <si>
    <t>USKY03</t>
  </si>
  <si>
    <t>USMI01</t>
  </si>
  <si>
    <t>USMI02</t>
  </si>
  <si>
    <t>USMI03</t>
  </si>
  <si>
    <t>USMI04</t>
  </si>
  <si>
    <t>USMN02</t>
  </si>
  <si>
    <t>USMN03</t>
  </si>
  <si>
    <t>USMN04</t>
  </si>
  <si>
    <t>USMO01</t>
  </si>
  <si>
    <t>USMO02</t>
  </si>
  <si>
    <t>USMO03</t>
  </si>
  <si>
    <t>USMO04</t>
  </si>
  <si>
    <t>USMO05</t>
  </si>
  <si>
    <t>USMT01</t>
  </si>
  <si>
    <t>USMT02</t>
  </si>
  <si>
    <t>USNC02</t>
  </si>
  <si>
    <t>USNC03</t>
  </si>
  <si>
    <t>USND01</t>
  </si>
  <si>
    <t>USND02</t>
  </si>
  <si>
    <t>USNE01</t>
  </si>
  <si>
    <t>USNE03</t>
  </si>
  <si>
    <t>USNE04</t>
  </si>
  <si>
    <t>USNE05</t>
  </si>
  <si>
    <t>USNE06</t>
  </si>
  <si>
    <t>USNY01</t>
  </si>
  <si>
    <t>USNY02</t>
  </si>
  <si>
    <t>USNY03</t>
  </si>
  <si>
    <t>USNY04</t>
  </si>
  <si>
    <t>USOH02</t>
  </si>
  <si>
    <t>USOH03</t>
  </si>
  <si>
    <t>USOK01</t>
  </si>
  <si>
    <t>USOR01</t>
  </si>
  <si>
    <t>USOR02</t>
  </si>
  <si>
    <t>USOR03</t>
  </si>
  <si>
    <t>USOR04</t>
  </si>
  <si>
    <t>USPA01</t>
  </si>
  <si>
    <t>USPA03</t>
  </si>
  <si>
    <t>USSD02</t>
  </si>
  <si>
    <t>USSD03</t>
  </si>
  <si>
    <t>USTX02</t>
  </si>
  <si>
    <t>USTX03</t>
  </si>
  <si>
    <t>USTX05</t>
  </si>
  <si>
    <t>USVA01</t>
  </si>
  <si>
    <t>USWA01</t>
  </si>
  <si>
    <t>USWA02</t>
  </si>
  <si>
    <t>USWI01</t>
  </si>
  <si>
    <t>USWV01</t>
  </si>
  <si>
    <t>USWY01</t>
  </si>
  <si>
    <t>soybean</t>
  </si>
  <si>
    <t>Cash</t>
  </si>
  <si>
    <t>poultry litter</t>
  </si>
  <si>
    <t>lbs acre-1 N</t>
  </si>
  <si>
    <t>Aguascalientes</t>
  </si>
  <si>
    <t>Estado de Mexico</t>
  </si>
  <si>
    <t>Guanajuato</t>
  </si>
  <si>
    <t>Hidalgo</t>
  </si>
  <si>
    <t>Morelos</t>
  </si>
  <si>
    <t>Oaxaca</t>
  </si>
  <si>
    <t>Puebla</t>
  </si>
  <si>
    <t>Queretaro</t>
  </si>
  <si>
    <t>San Luis Potosi</t>
  </si>
  <si>
    <t>Sonora</t>
  </si>
  <si>
    <t>Pabellon de Arteaga, AGU</t>
  </si>
  <si>
    <t>Texcoco I</t>
  </si>
  <si>
    <t>Texcoco II</t>
  </si>
  <si>
    <t>Metepec</t>
  </si>
  <si>
    <t>Irapuato I, Gto</t>
  </si>
  <si>
    <t>Francisco I. Madero, HID</t>
  </si>
  <si>
    <t>Tlaltzapan, MOR</t>
  </si>
  <si>
    <t>Zacatepec, MOR</t>
  </si>
  <si>
    <t>Santo Domingo Yanhuitlan, OAX</t>
  </si>
  <si>
    <t>Molcaxac, PUE</t>
  </si>
  <si>
    <t>San Juan del Rio I, QTO</t>
  </si>
  <si>
    <t>San Juan del Rio II, QTO</t>
  </si>
  <si>
    <t>Soledad de Graciano Sanchez, SLP</t>
  </si>
  <si>
    <t>Navojoa, Son</t>
  </si>
  <si>
    <t>Cajeme II, SON</t>
  </si>
  <si>
    <t>Cajeme I, SON</t>
  </si>
  <si>
    <t>Sand Mountain Tillage Study</t>
  </si>
  <si>
    <t>Old Rotation</t>
  </si>
  <si>
    <t>Sod-Based Rotation</t>
  </si>
  <si>
    <t>Sod-Based Rotation 2</t>
  </si>
  <si>
    <t>Long-term Effects of Grazing Management and Buffer Strips on Soils Fertilized with Poultry Litter</t>
  </si>
  <si>
    <t>Santa Rita Experimental Range</t>
  </si>
  <si>
    <t>Santa Rita Experimental Range (SRER) - ARS Watersheds</t>
  </si>
  <si>
    <t>Century Experiment Wheat System</t>
  </si>
  <si>
    <t>Century Experiment Maize Tomato System</t>
  </si>
  <si>
    <t>California Conservation Agriculture Systems National Research Initiative Study</t>
  </si>
  <si>
    <t>Walsh Dryland Agroecosystem Project</t>
  </si>
  <si>
    <t>Stratton Dryland Agroecosystem Project</t>
  </si>
  <si>
    <t>Sterling Dryland Agroecoesystem Project</t>
  </si>
  <si>
    <t>Byers Colorado Long-Term Fertilizer/Biosolids Site</t>
  </si>
  <si>
    <t>USDA-ARS Central Plains Experimental Range Long-Term Grazing Intensity (LTGI)</t>
  </si>
  <si>
    <t>UD Long-term P Application</t>
  </si>
  <si>
    <t>Marianna/sod based rotation</t>
  </si>
  <si>
    <t>NFREC Sod based rotation</t>
  </si>
  <si>
    <t>RDC Pivot</t>
  </si>
  <si>
    <t>Prairie Strips at Neal Smith National Wildlife Refuge</t>
  </si>
  <si>
    <t>Comparison of Biofuel Systems</t>
  </si>
  <si>
    <t>Marsden Farm Cropping System Experiment</t>
  </si>
  <si>
    <t>Kimberly Long Term Manure Application Study</t>
  </si>
  <si>
    <t>Purdue Long-Term Tillage and Rotation Plots</t>
  </si>
  <si>
    <t>Intensifying a no-till wheat-sorghum-soybean rotation with double-crops and cover crops</t>
  </si>
  <si>
    <t>Tillage intensity study</t>
  </si>
  <si>
    <t>UKREC Long Term Tillage Trial</t>
  </si>
  <si>
    <t>Grove F05</t>
  </si>
  <si>
    <t>Blevins-Grove Long Term Tillage Trial</t>
  </si>
  <si>
    <t>HF3 Long term organic reduced tillage trial</t>
  </si>
  <si>
    <t>South West Michigan Research and Extension Center</t>
  </si>
  <si>
    <t>Biodiversity Gradient Experiment</t>
  </si>
  <si>
    <t>Main Cropping System Experiment</t>
  </si>
  <si>
    <t>Minnesota Long-Term Agricultural Research Network - Lamberton</t>
  </si>
  <si>
    <t>Long-term Tillage Trial</t>
  </si>
  <si>
    <t>Minnesota Long-Term Agricultural Research Network - Wasesa</t>
  </si>
  <si>
    <t>Centralia Missouri Cropping System Research Site</t>
  </si>
  <si>
    <t>Sanborn Field</t>
  </si>
  <si>
    <t>Long Term Tillage Comparision</t>
  </si>
  <si>
    <t>Tillage and Cover Crop Management Systems</t>
  </si>
  <si>
    <t>MUDS Site</t>
  </si>
  <si>
    <t>GRACEnet</t>
  </si>
  <si>
    <t>Agronomics</t>
  </si>
  <si>
    <t>Reidsville Tillage Trial</t>
  </si>
  <si>
    <t>CEFS Farming Systems Research Unit</t>
  </si>
  <si>
    <t>Soil Quality Management Study</t>
  </si>
  <si>
    <t>CREC Long Term Cropping Systems Study</t>
  </si>
  <si>
    <t>HPAL Long-Term Soil Management Tillage Study</t>
  </si>
  <si>
    <t>Platte River High Plains Aquifer (PRHAP) Continuous Corn Irrigated</t>
  </si>
  <si>
    <t>Platte River High Plains Aquifer (PRHAP) Corn-Soybean Irrigated</t>
  </si>
  <si>
    <t>Platte River High Plains Aquifer (PRHAP) Corn-Soybean Rainfed</t>
  </si>
  <si>
    <t>Platte River High Plains Aquifer (PRHAP) Pasture/Grazing</t>
  </si>
  <si>
    <t>Chazy Tillage plots CT-6</t>
  </si>
  <si>
    <t>Willsboro Farm Drainage Plots- Sand DR5</t>
  </si>
  <si>
    <t>Willsboro Farm Drainage Plots - Clay DR1</t>
  </si>
  <si>
    <t>Musgrave Tillage Plots - Field E2</t>
  </si>
  <si>
    <t>Northwest OARDC No-Till and Rotation Plot</t>
  </si>
  <si>
    <t>Wooster Long-Term No-Till Trial</t>
  </si>
  <si>
    <t>The Water Resources and Erosion Watersheds (WRE)</t>
  </si>
  <si>
    <t>Columbia Basin Agricultural Research Center - Moro wheat</t>
  </si>
  <si>
    <t>Columbia Basin Agricultural Research Center70 - permanent perennial grass baseline</t>
  </si>
  <si>
    <t>Columbia Basin Agricultural Research Center72 - Wheat, Peas</t>
  </si>
  <si>
    <t>Columbia Basin Agricultural Research Center73 - 1940 Residue Mngmt</t>
  </si>
  <si>
    <t>Farming Systems Trial</t>
  </si>
  <si>
    <t>Penn State Sustainable Dairy Cropping Systems project</t>
  </si>
  <si>
    <t>ARS-USDA Long Term Conservation Tillage DOE Plots</t>
  </si>
  <si>
    <t>SDaltrot</t>
  </si>
  <si>
    <t>SDSU Cottonwood Research Station/Long-Term Grazing Study</t>
  </si>
  <si>
    <t>AG-CARES Long-term Tillage</t>
  </si>
  <si>
    <t>Sorghum and cotton no-till vs conventional till at Corpus Christi</t>
  </si>
  <si>
    <t>Central Texas Tillage Rotation and Fertility Study</t>
  </si>
  <si>
    <t>Long-term Poultry Litter Rotation</t>
  </si>
  <si>
    <t>Long Term Biosolids Research Plots, GP-17</t>
  </si>
  <si>
    <t>Jirava Long-Term Cropping Systems Study</t>
  </si>
  <si>
    <t>The Wisconsin Integrated Cropping Systems Trial (WICST)</t>
  </si>
  <si>
    <t>Organic Crop Livestock Systems Experiment</t>
  </si>
  <si>
    <t>USDA-ARS Cheyenne, WY East Unit</t>
  </si>
  <si>
    <t>Squash, Acorn</t>
  </si>
  <si>
    <t>Bahiagrass</t>
  </si>
  <si>
    <t>Broccoli</t>
  </si>
  <si>
    <t>Chickpea</t>
  </si>
  <si>
    <t>Vetch, Common</t>
  </si>
  <si>
    <t>Vetch, Lana</t>
  </si>
  <si>
    <t>Orchardgrass</t>
  </si>
  <si>
    <t>Pea, Dry</t>
  </si>
  <si>
    <t>Sugarbeet</t>
  </si>
  <si>
    <t>Squash, Winter</t>
  </si>
  <si>
    <t>Pea, Winter</t>
  </si>
  <si>
    <t>NAPESHM_USAR01_166</t>
  </si>
  <si>
    <t>NAPESHM_USAR01_164</t>
  </si>
  <si>
    <t>NAPESHM_USAR01_165</t>
  </si>
  <si>
    <t>NAPESHM_USAZ01_167</t>
  </si>
  <si>
    <t>NAPESHM_USAZ01_168</t>
  </si>
  <si>
    <t>NAPESHM_USAZ03_169</t>
  </si>
  <si>
    <t>NAPESHM_USAZ03_170</t>
  </si>
  <si>
    <t>NAPESHM_USCA02_177</t>
  </si>
  <si>
    <t>NAPESHM_USCO01_186</t>
  </si>
  <si>
    <t>NAPESHM_USCO01_185</t>
  </si>
  <si>
    <t>NAPESHM_USCO01_187</t>
  </si>
  <si>
    <t>NAPESHM_USCO02_198</t>
  </si>
  <si>
    <t>NAPESHM_USCO02_197</t>
  </si>
  <si>
    <t>NAPESHM_USCO02_199</t>
  </si>
  <si>
    <t>NAPESHM_USCO03_210</t>
  </si>
  <si>
    <t>NAPESHM_USCO03_209</t>
  </si>
  <si>
    <t>NAPESHM_USCO03_211</t>
  </si>
  <si>
    <t>NAPESHM_USCO05_225</t>
  </si>
  <si>
    <t>NAPESHM_USCO05_222</t>
  </si>
  <si>
    <t>NAPESHM_USCO05_223</t>
  </si>
  <si>
    <t>NAPESHM_USCO05_224</t>
  </si>
  <si>
    <t>NAPESHM_USIA01_234</t>
  </si>
  <si>
    <t>NAPESHM_USIA02_240</t>
  </si>
  <si>
    <t>NAPESHM_USIA02_239</t>
  </si>
  <si>
    <t>NAPESHM_USKS02_265</t>
  </si>
  <si>
    <t>NAPESHM_USMI03_297</t>
  </si>
  <si>
    <t>NAPESHM_USMI03_298</t>
  </si>
  <si>
    <t>NAPESHM_USMI04_306</t>
  </si>
  <si>
    <t>NAPESHM_USMI04_299</t>
  </si>
  <si>
    <t>NAPESHM_USMI04_304</t>
  </si>
  <si>
    <t>NAPESHM_USMN03_311</t>
  </si>
  <si>
    <t>NAPESHM_USMN03_312</t>
  </si>
  <si>
    <t>NAPESHM_USMN03_313</t>
  </si>
  <si>
    <t>NAPESHM_USMN03_310</t>
  </si>
  <si>
    <t>NAPESHM_USMO01_317</t>
  </si>
  <si>
    <t>NAPESHM_USNC03_372</t>
  </si>
  <si>
    <t>NAPESHM_USNC03_371</t>
  </si>
  <si>
    <t>NAPESHM_USNC03_370</t>
  </si>
  <si>
    <t>NAPESHM_USNC03_368</t>
  </si>
  <si>
    <t>NAPESHM_USNC03_369</t>
  </si>
  <si>
    <t>NAPESHM_USNE01_387</t>
  </si>
  <si>
    <t>NAPESHM_USNE06_394</t>
  </si>
  <si>
    <t>NAPESHM_USNY01_395</t>
  </si>
  <si>
    <t>NAPESHM_USNY02_400</t>
  </si>
  <si>
    <t>NAPESHM_USNY03_403</t>
  </si>
  <si>
    <t>NAPESHM_USNY04_406</t>
  </si>
  <si>
    <t>NAPESHM_USOK01_431</t>
  </si>
  <si>
    <t>NAPESHM_USOK01_433</t>
  </si>
  <si>
    <t>NAPESHM_USOR02_437</t>
  </si>
  <si>
    <t>NAPESHM_USSD03_465</t>
  </si>
  <si>
    <t>NAPESHM_USSD03_467</t>
  </si>
  <si>
    <t>NAPESHM_USSD03_466</t>
  </si>
  <si>
    <t>NAPESHM_USWI01_501</t>
  </si>
  <si>
    <t>NAPESHM_USWI01_499</t>
  </si>
  <si>
    <t>NAPESHM_USWI01_500</t>
  </si>
  <si>
    <t>NAPESHM_USWI01_498</t>
  </si>
  <si>
    <t>NAPESHM_USWV01_505</t>
  </si>
  <si>
    <t>NAPESHM_USWV01_503</t>
  </si>
  <si>
    <t>NAPESHM_USWV01_504</t>
  </si>
  <si>
    <t>NAPESHM_USWV01_502</t>
  </si>
  <si>
    <t>NAPESHM_USWY01_507</t>
  </si>
  <si>
    <t>NAPESHM_USWY01_506</t>
  </si>
  <si>
    <t>SHI</t>
  </si>
  <si>
    <t>disc harrow</t>
  </si>
  <si>
    <t>planter, double disk opnr</t>
  </si>
  <si>
    <t>furrow shaper, torpedo</t>
  </si>
  <si>
    <t>drill or airseeder, double disk</t>
  </si>
  <si>
    <t>subsoiler</t>
  </si>
  <si>
    <t>disc plow</t>
  </si>
  <si>
    <t>disk harrow</t>
  </si>
  <si>
    <t>grain drill</t>
  </si>
  <si>
    <t>chisel, st. pt. 12 in deep</t>
  </si>
  <si>
    <t>row planter</t>
  </si>
  <si>
    <t>bed shaper</t>
  </si>
  <si>
    <t>bed formation</t>
  </si>
  <si>
    <t>furrow shaper</t>
  </si>
  <si>
    <t>double disc opener</t>
  </si>
  <si>
    <t>Bed formation</t>
  </si>
  <si>
    <t>striptiller w/middlebuster on beds</t>
  </si>
  <si>
    <t>chisel 15 cm depth</t>
  </si>
  <si>
    <t>residue spreading</t>
  </si>
  <si>
    <t>residue management</t>
  </si>
  <si>
    <t>peanut digger</t>
  </si>
  <si>
    <t>disk, offset, heavy 12 in depth</t>
  </si>
  <si>
    <t>harrow, coiled tine</t>
  </si>
  <si>
    <t>furrow formation</t>
  </si>
  <si>
    <t>harrow disc</t>
  </si>
  <si>
    <t>disc plow 30 cm depth</t>
  </si>
  <si>
    <t>hand tillage</t>
  </si>
  <si>
    <t>cutting spreading</t>
  </si>
  <si>
    <t>disc 30 cm depth</t>
  </si>
  <si>
    <t>harrow</t>
  </si>
  <si>
    <t>cultivation</t>
  </si>
  <si>
    <t>chisel, st. pt. 30 cm deep</t>
  </si>
  <si>
    <t>row planter double disc opener</t>
  </si>
  <si>
    <t>disk plow</t>
  </si>
  <si>
    <t>bedder, hipper, disk hiller</t>
  </si>
  <si>
    <t>disc harrow light</t>
  </si>
  <si>
    <t>sweep</t>
  </si>
  <si>
    <t>harrow disc 20 cm depth</t>
  </si>
  <si>
    <t>disc harrow 20 cm depth</t>
  </si>
  <si>
    <t>harrow 20 cm depth</t>
  </si>
  <si>
    <t>deep disc plow 30 cm</t>
  </si>
  <si>
    <t>grain drill or airseeder, double disc</t>
  </si>
  <si>
    <t>leveling</t>
  </si>
  <si>
    <t>sorghum</t>
  </si>
  <si>
    <t>planter, furrow opener in 4 inch deep furrows</t>
  </si>
  <si>
    <t>disk, primary operation; average</t>
  </si>
  <si>
    <t>rototiller, field</t>
  </si>
  <si>
    <t>drill, no till; average</t>
  </si>
  <si>
    <t>manure spreader, solid and semi-solid</t>
  </si>
  <si>
    <t>strip till bed conditioner</t>
  </si>
  <si>
    <t>planter, strip till</t>
  </si>
  <si>
    <t>plow, moldboard</t>
  </si>
  <si>
    <t>harvest, peanut digger</t>
  </si>
  <si>
    <t>disk, tandem light finishing</t>
  </si>
  <si>
    <t>disk, tandem light finishing 2nd pass</t>
  </si>
  <si>
    <t>harrow, other average</t>
  </si>
  <si>
    <t>planter, double disk opnr w/fluted coulter no fertilizer applied</t>
  </si>
  <si>
    <t>planter, double disk opnr w/fluted coulter with starter fertilizer</t>
  </si>
  <si>
    <t>sprayer, pre-emergence</t>
  </si>
  <si>
    <t>lister, 40 in</t>
  </si>
  <si>
    <t>roller harrow</t>
  </si>
  <si>
    <t>roller, row shaper</t>
  </si>
  <si>
    <t>cultivator, field w/ spike points</t>
  </si>
  <si>
    <t>planter, double disk opener on 12 inch high beds</t>
  </si>
  <si>
    <t>disk, tandem light finishing 3rd pass</t>
  </si>
  <si>
    <t>disk, tandem light finishing 4th pass</t>
  </si>
  <si>
    <t>cultivator, rotary on beds</t>
  </si>
  <si>
    <t>planter, transplanter, vegetable on 8 inch high beds</t>
  </si>
  <si>
    <t>harvest, vine crops, mechanical</t>
  </si>
  <si>
    <t>shredder, flail or rotary</t>
  </si>
  <si>
    <t>fert applic. shank low disturbance, 12 in</t>
  </si>
  <si>
    <t>planter, sprig, no-till</t>
  </si>
  <si>
    <t>commercial farm harvester, 15 ft wide</t>
  </si>
  <si>
    <t>planter, double disk opener</t>
  </si>
  <si>
    <t>regular combine, grain harvester</t>
  </si>
  <si>
    <t>subsoil disk ripper</t>
  </si>
  <si>
    <t>lister, 30 in</t>
  </si>
  <si>
    <t>cultivator, field 6-12 in sweeps</t>
  </si>
  <si>
    <t>drum roller bed shaper</t>
  </si>
  <si>
    <t>non-selective herbicide(s) (herbicide)</t>
  </si>
  <si>
    <t>harvest</t>
  </si>
  <si>
    <t xml:space="preserve">Planter, double disk opnr </t>
  </si>
  <si>
    <t>Harvest</t>
  </si>
  <si>
    <t>no till drill</t>
  </si>
  <si>
    <t>planting, no-til manually</t>
  </si>
  <si>
    <t>chisel plow; average</t>
  </si>
  <si>
    <t>cotton</t>
  </si>
  <si>
    <t>oats</t>
  </si>
  <si>
    <t>bahiagrass</t>
  </si>
  <si>
    <t>peanut</t>
  </si>
  <si>
    <t>rotary hoe</t>
  </si>
  <si>
    <t>subsoiler bedder (ripper/hipper)</t>
  </si>
  <si>
    <t>planter, double disk opener; average</t>
  </si>
  <si>
    <t>harrow, disk chain</t>
  </si>
  <si>
    <t>cultivator, field; average</t>
  </si>
  <si>
    <t>strip till, average</t>
  </si>
  <si>
    <t>cultivator, rotary + cultivator, field w/ spike points</t>
  </si>
  <si>
    <t>cutlivator, field; average</t>
  </si>
  <si>
    <t>cultipacker, roller</t>
  </si>
  <si>
    <t>grain drill, average</t>
  </si>
  <si>
    <t>plow, moldboard 10 inch depth</t>
  </si>
  <si>
    <t>harvest, dig root crops 12 in depth res. buried</t>
  </si>
  <si>
    <t>planter, potato, 6 in beds after small grains</t>
  </si>
  <si>
    <t>cultivator, rotary</t>
  </si>
  <si>
    <t>harvest, dig root crops 12 in depth res. on surf</t>
  </si>
  <si>
    <t>coulter caddy, w/ fluted coulters</t>
  </si>
  <si>
    <t>winter wheat</t>
  </si>
  <si>
    <t>sweep plow, wider than 40 in</t>
  </si>
  <si>
    <t>drill or air seeder, hoe/chisel openers 12-15 in spac.</t>
  </si>
  <si>
    <t>sprayer, post emergence</t>
  </si>
  <si>
    <t>sprayer, post-emergence</t>
  </si>
  <si>
    <t>Drill or airseeder, double disk</t>
  </si>
  <si>
    <t>Disk, primary operation; average</t>
  </si>
  <si>
    <t>disk, tandem secondary op.</t>
  </si>
  <si>
    <t>rototiller</t>
  </si>
  <si>
    <t>row cultivator</t>
  </si>
  <si>
    <t>vacuum planter</t>
  </si>
  <si>
    <t>strip tiller</t>
  </si>
  <si>
    <t>air seeder</t>
  </si>
  <si>
    <t>strip tilling (PI reference)</t>
  </si>
  <si>
    <t>seedbed finisher</t>
  </si>
  <si>
    <t>cultivator, row; average</t>
  </si>
  <si>
    <t>disk, typical primary tillage</t>
  </si>
  <si>
    <t>chisel plow, disk, twst. pts., cover disks</t>
  </si>
  <si>
    <t>drill or airseeder, double disk opener, w/ fert openers</t>
  </si>
  <si>
    <t>disk, inter row strips</t>
  </si>
  <si>
    <t>disk, tandem heavy primary op.</t>
  </si>
  <si>
    <t>disk, offset, heavy</t>
  </si>
  <si>
    <t>Plow, moldboard</t>
  </si>
  <si>
    <t>Cultivator, field; average</t>
  </si>
  <si>
    <t>roller, smooth</t>
  </si>
  <si>
    <t>seedbed or soil finisher; average</t>
  </si>
  <si>
    <t>para-plow or para-till</t>
  </si>
  <si>
    <t>roller, crimp, covercrop</t>
  </si>
  <si>
    <t>cultivator, field 6-12 in sweeps, coil tine har</t>
  </si>
  <si>
    <t>weed control, hoeing in row</t>
  </si>
  <si>
    <t>harrow, coiled tine weeder</t>
  </si>
  <si>
    <t>planting, broadcast seeder</t>
  </si>
  <si>
    <t>swath forage</t>
  </si>
  <si>
    <t>bale forage</t>
  </si>
  <si>
    <t>harvest winter wheat</t>
  </si>
  <si>
    <t>Sweep plow, under bed</t>
  </si>
  <si>
    <t>harvest grain</t>
  </si>
  <si>
    <t>fert. applic. anhyd knife 30 in</t>
  </si>
  <si>
    <t>spray with pre emerge herbicide at planting</t>
  </si>
  <si>
    <t>chisel plow, coulter, st. pts.</t>
  </si>
  <si>
    <t>row interseeder; pi reference</t>
  </si>
  <si>
    <t>drill or air seeder, hoe/chisel openers 12-15 in spac. w/ fert openers</t>
  </si>
  <si>
    <t>sweep, average</t>
  </si>
  <si>
    <t>chisel, st. pt. 5 in deep</t>
  </si>
  <si>
    <t>plow, moldboard 6-7 inch depth</t>
  </si>
  <si>
    <t>Cultivator, field 6-12 in sweeps, coil tine har</t>
  </si>
  <si>
    <t>harvest grass seed, burn forage</t>
  </si>
  <si>
    <t>row cultivator; average</t>
  </si>
  <si>
    <t>planter, in-row subsoiler</t>
  </si>
  <si>
    <t>harrow, spike tooth</t>
  </si>
  <si>
    <t>fert applic. coulter, high press. inject  12 in</t>
  </si>
  <si>
    <t>rodweeder</t>
  </si>
  <si>
    <t>sweep plow 20-40 in wide</t>
  </si>
  <si>
    <t>planter, double disk opener on 8 inch high beds</t>
  </si>
  <si>
    <t>shredder, rotary mower</t>
  </si>
  <si>
    <t>bed shaper high disturbance</t>
  </si>
  <si>
    <t>fert. applic. anhyd knife 15 in spacing, coil tine har</t>
  </si>
  <si>
    <t>sweep plow, under bed</t>
  </si>
  <si>
    <t xml:space="preserve">disk, tandem light finishing </t>
  </si>
  <si>
    <t>manure spreader, slurry</t>
  </si>
  <si>
    <t>drill or air seeder, hoe/chisel openers 6-12 in spac. w/fert openers</t>
  </si>
  <si>
    <t>drill or air seeder; paired</t>
  </si>
  <si>
    <t>drill; generic deep furrow</t>
  </si>
  <si>
    <t>sweep, single under row</t>
  </si>
  <si>
    <t>rod weeder; generic</t>
  </si>
  <si>
    <t>field cultivator</t>
  </si>
  <si>
    <t>6 row planter, double disc opener, fertilizer disc (2x2)</t>
  </si>
  <si>
    <t>disk chisel 8"</t>
  </si>
  <si>
    <t>6 row planter, double disc opener</t>
  </si>
  <si>
    <t>cattle</t>
  </si>
  <si>
    <t>steers</t>
  </si>
  <si>
    <t>cow/calf</t>
  </si>
  <si>
    <t>sheep</t>
  </si>
  <si>
    <t>cattle ha-1</t>
  </si>
  <si>
    <t>cattle ac-1</t>
  </si>
  <si>
    <t>steers acre-1</t>
  </si>
  <si>
    <t>cow calf pair ha-1</t>
  </si>
  <si>
    <t>heifers</t>
  </si>
  <si>
    <t>cover</t>
  </si>
  <si>
    <t>perennial</t>
  </si>
  <si>
    <t>yes</t>
  </si>
  <si>
    <t>no</t>
  </si>
  <si>
    <t>Legume</t>
  </si>
  <si>
    <t>Poplar</t>
  </si>
  <si>
    <t>Unknown</t>
  </si>
  <si>
    <t>Vetch, Purple</t>
  </si>
  <si>
    <t>Lentils</t>
  </si>
  <si>
    <t>cash</t>
  </si>
  <si>
    <t>76-132 animals ha-1 day-1</t>
  </si>
  <si>
    <t>Canola, Winter</t>
  </si>
  <si>
    <t>Pea, Forage</t>
  </si>
  <si>
    <t>Turnip, Pasja</t>
  </si>
  <si>
    <t>Mix</t>
  </si>
  <si>
    <t>Species 1</t>
  </si>
  <si>
    <t>NAPESHM_USWY01_508</t>
  </si>
  <si>
    <t>fallow</t>
  </si>
  <si>
    <t>woody perennial</t>
  </si>
  <si>
    <t>8-species</t>
  </si>
  <si>
    <t>4-species</t>
  </si>
  <si>
    <t>Species 2</t>
  </si>
  <si>
    <t>Bald cypress</t>
  </si>
  <si>
    <t>Black walnut</t>
  </si>
  <si>
    <t>Green ash</t>
  </si>
  <si>
    <t>Longleaf pine</t>
  </si>
  <si>
    <t>Forest</t>
  </si>
  <si>
    <t>5-species</t>
  </si>
  <si>
    <t>interseeded into corn</t>
  </si>
  <si>
    <t>cattle manure (0.35-0.20-0.35)</t>
  </si>
  <si>
    <t>poultry litter compost  (0-0.022-0)</t>
  </si>
  <si>
    <t>biosolids (5-2.5-0)</t>
  </si>
  <si>
    <t>poultry litter (0-0.022-0)</t>
  </si>
  <si>
    <t>composted dairy manure</t>
  </si>
  <si>
    <t>composted dairy manure (1.2-0.63-1.2) 2.4% ca, 0.6% mg, 0.3% s</t>
  </si>
  <si>
    <t>composted dairy manure + horse bedding</t>
  </si>
  <si>
    <t>compost</t>
  </si>
  <si>
    <t>compost (?)</t>
  </si>
  <si>
    <t>manure</t>
  </si>
  <si>
    <t>biosolids (king county;class b;25%dm)</t>
  </si>
  <si>
    <t>liquid dairy manure</t>
  </si>
  <si>
    <t>composted poultry manure (4-3-2)</t>
  </si>
  <si>
    <t>cattle manure</t>
  </si>
  <si>
    <t>kg ha-1</t>
  </si>
  <si>
    <t>kg per plot</t>
  </si>
  <si>
    <t>tons acre-1</t>
  </si>
  <si>
    <t>Mg ha-1</t>
  </si>
  <si>
    <t>gallons acre-1</t>
  </si>
  <si>
    <t>disturbance</t>
  </si>
  <si>
    <t>plant cash crop</t>
  </si>
  <si>
    <t>plant cover crop</t>
  </si>
  <si>
    <t>planting</t>
  </si>
  <si>
    <t>cover crop termination</t>
  </si>
  <si>
    <t>labeled as no residue removed, so considers corn only</t>
  </si>
  <si>
    <t>animal</t>
  </si>
  <si>
    <t>QC 2026-09-28: CD_cat cover -&gt; perennial. Stand maintained Apr 2017 to Oct/Nov 2018 (two growing seasons).</t>
  </si>
  <si>
    <t>QC 2026-09-28: CD_cat perennial -&gt; cash. Oat nurse crop in an alfalfa seeding: annual, ends at first harvest. Later oat harvest rows removed; alfalfa rows carry the stand.</t>
  </si>
  <si>
    <t>QC 2026-09-28: CD_cat Annual -&gt; cash. 'Annual' is not read as an annual category, so the 2018-09-15 harvest was ignored and the crop ran to year end.</t>
  </si>
  <si>
    <t>QC 2026-09-28: CD_term_date set to 2018-05-08. Inferred from next planting on 2018-05-08; no harvest or termination recorded. May have winter-killed earlier. Verify.</t>
  </si>
  <si>
    <t>QC 2026-09-28: CD_cat cash -&amp;gt; perennial. Stand maintained Jun 2017 to Oct 2018 (two growing seasons).; QC 2026-09-28: CD_term_date set to 2018-10-11. Equal to last recorded harvest, preserving the previous end date; verify actual termination.</t>
  </si>
  <si>
    <t>QC 2026-09-28: CD_cat cash -&amp;gt; perennial. Stand maintained May/Jun 2017 to Oct 2018 (two growing seasons).; QC 2026-09-28: CD_term_date set to 2018-10-31. Equal to last recorded harvest, preserving the previous end date; verify actual termination.</t>
  </si>
  <si>
    <t>QC 2026-09-28: CD_term_date set to 2017-05-01. Inferred from chisel/disk tillage on 2017-05-01; no termination recorded. 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</si>
</sst>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000"/>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26">
    <xf numFmtId="0" fontId="0" fillId="0" borderId="0" xfId="0"/>
    <xf numFmtId="0" fontId="0" fillId="2" borderId="1" xfId="0" applyFill="1" applyBorder="1"/>
    <xf numFmtId="0" fontId="0" fillId="0" borderId="0" xfId="0" quotePrefix="1"/>
    <xf numFmtId="0" fontId="0" fillId="2" borderId="3" xfId="0" applyFill="1" applyBorder="1"/>
    <xf numFmtId="0" fontId="0" fillId="5" borderId="0" xfId="0" applyFill="1"/>
    <xf numFmtId="0" fontId="0" fillId="4" borderId="2" xfId="0" applyFill="1" applyBorder="1" applyAlignment="1">
      <alignment horizontal="center"/>
    </xf>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5" borderId="1" xfId="0" applyFill="1" applyBorder="1"/>
    <xf numFmtId="0" fontId="0" fillId="6" borderId="0" xfId="0" applyFill="1"/>
    <xf numFmtId="0" fontId="0" fillId="6" borderId="0" xfId="0" applyFill="1" applyAlignment="1">
      <alignment horizontal="center" wrapText="1"/>
    </xf>
    <xf numFmtId="0" fontId="0" fillId="0" borderId="0" xfId="0" applyAlignment="1" applyProtection="1">
      <alignment horizontal="left"/>
      <protection locked="0"/>
    </xf>
    <xf numFmtId="0" fontId="0" fillId="7" borderId="0" xfId="0" applyFill="1"/>
    <xf numFmtId="0" fontId="1" fillId="2" borderId="2" xfId="0" applyFont="1"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0" fillId="6" borderId="6" xfId="0" applyFill="1" applyBorder="1" applyAlignment="1">
      <alignment horizontal="center"/>
    </xf>
    <xf numFmtId="0" fontId="0" fillId="6" borderId="5" xfId="0" applyFill="1" applyBorder="1" applyAlignment="1">
      <alignment horizontal="center"/>
    </xf>
    <xf numFmtId="0" fontId="1" fillId="2" borderId="4" xfId="0" applyFont="1" applyFill="1" applyBorder="1"/>
    <xf numFmtId="0" fontId="1" fillId="2" borderId="3" xfId="0" applyFont="1" applyFill="1" applyBorder="1"/>
    <xf numFmtId="0" fontId="0" fillId="6" borderId="6" xfId="0" applyFill="1" applyBorder="1" applyAlignment="1">
      <alignment horizontal="center" wrapText="1"/>
    </xf>
    <xf numFmtId="0" fontId="3" fillId="4" borderId="2" xfId="0" applyFont="1" applyFill="1" applyBorder="1" applyAlignment="1">
      <alignment horizontal="left"/>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2" xfId="0" applyNumberFormat="1" applyBorder="1" applyAlignment="1">
      <alignment horizontal="left"/>
    </xf>
    <xf numFmtId="49" fontId="0" fillId="0" borderId="0" xfId="0" applyNumberFormat="1" applyAlignment="1">
      <alignment horizontal="center"/>
    </xf>
    <xf numFmtId="0" fontId="0" fillId="4" borderId="2" xfId="0" applyFill="1" applyBorder="1" applyAlignment="1" applyProtection="1">
      <alignment horizontal="left"/>
      <protection locked="0"/>
    </xf>
    <xf numFmtId="0" fontId="0" fillId="4" borderId="5" xfId="0" applyFill="1" applyBorder="1" applyAlignment="1" applyProtection="1">
      <alignment horizontal="left"/>
      <protection locked="0"/>
    </xf>
    <xf numFmtId="49" fontId="0" fillId="4" borderId="2" xfId="0" applyNumberFormat="1" applyFill="1" applyBorder="1" applyAlignment="1" applyProtection="1">
      <alignment horizontal="left"/>
      <protection locked="0"/>
    </xf>
    <xf numFmtId="49" fontId="0" fillId="0" borderId="0" xfId="0" applyNumberFormat="1" applyAlignment="1" applyProtection="1">
      <alignment horizontal="center"/>
      <protection locked="0"/>
    </xf>
    <xf numFmtId="49" fontId="0" fillId="0" borderId="5" xfId="0" quotePrefix="1" applyNumberFormat="1" applyBorder="1" applyAlignment="1" applyProtection="1">
      <alignment horizontal="left"/>
      <protection locked="0"/>
    </xf>
    <xf numFmtId="49" fontId="0" fillId="0" borderId="2" xfId="0" quotePrefix="1" applyNumberFormat="1" applyBorder="1" applyAlignment="1" applyProtection="1">
      <alignment horizontal="left"/>
      <protection locked="0"/>
    </xf>
    <xf numFmtId="49" fontId="0" fillId="0" borderId="0" xfId="0" quotePrefix="1" applyNumberFormat="1" applyAlignment="1" applyProtection="1">
      <alignment horizontal="left"/>
      <protection locked="0"/>
    </xf>
    <xf numFmtId="0" fontId="3" fillId="0" borderId="2" xfId="0" applyFont="1" applyBorder="1" applyAlignment="1">
      <alignment horizontal="left"/>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5" xfId="0" applyFill="1" applyBorder="1" applyAlignment="1">
      <alignment horizontal="center"/>
    </xf>
    <xf numFmtId="0" fontId="0" fillId="7" borderId="4" xfId="0" applyFill="1" applyBorder="1" applyAlignment="1">
      <alignment horizontal="center" wrapText="1"/>
    </xf>
    <xf numFmtId="0" fontId="0" fillId="7" borderId="4" xfId="0" applyFill="1" applyBorder="1" applyAlignment="1">
      <alignment horizontal="center"/>
    </xf>
    <xf numFmtId="0" fontId="0" fillId="7" borderId="3" xfId="0" applyFill="1" applyBorder="1" applyAlignment="1">
      <alignment horizontal="center"/>
    </xf>
    <xf numFmtId="165" fontId="0" fillId="0" borderId="2" xfId="0" applyNumberFormat="1" applyBorder="1" applyAlignment="1" applyProtection="1">
      <alignment horizontal="left"/>
      <protection locked="0"/>
    </xf>
    <xf numFmtId="0" fontId="0" fillId="0" borderId="2" xfId="0" applyBorder="1"/>
    <xf numFmtId="2" fontId="0" fillId="0" borderId="0" xfId="0" applyNumberFormat="1" applyAlignment="1" applyProtection="1">
      <alignment horizontal="left"/>
      <protection locked="0"/>
    </xf>
    <xf numFmtId="0" fontId="0" fillId="7" borderId="7" xfId="0" applyFill="1" applyBorder="1" applyAlignment="1">
      <alignment horizontal="center" wrapText="1"/>
    </xf>
    <xf numFmtId="0" fontId="0" fillId="7" borderId="7" xfId="0" applyFill="1" applyBorder="1" applyAlignment="1">
      <alignment horizontal="center"/>
    </xf>
    <xf numFmtId="0" fontId="0" fillId="7" borderId="8" xfId="0" applyFill="1" applyBorder="1" applyAlignment="1">
      <alignment horizontal="center"/>
    </xf>
    <xf numFmtId="0" fontId="3" fillId="4" borderId="9" xfId="0" applyFont="1" applyFill="1" applyBorder="1" applyAlignment="1">
      <alignment horizontal="left"/>
    </xf>
    <xf numFmtId="0" fontId="1" fillId="2" borderId="10" xfId="0" applyFont="1" applyFill="1" applyBorder="1" applyAlignment="1">
      <alignment horizontal="center"/>
    </xf>
    <xf numFmtId="0" fontId="0" fillId="0" borderId="10" xfId="0" applyBorder="1" applyAlignment="1" applyProtection="1">
      <alignment horizontal="left"/>
      <protection locked="0"/>
    </xf>
    <xf numFmtId="0" fontId="0" fillId="0" borderId="11" xfId="0" applyBorder="1" applyAlignment="1" applyProtection="1">
      <alignment horizontal="left"/>
      <protection locked="0"/>
    </xf>
    <xf numFmtId="0" fontId="1" fillId="2" borderId="0" xfId="0" applyFont="1" applyFill="1"/>
    <xf numFmtId="0" fontId="0" fillId="7" borderId="0" xfId="0" applyFill="1" applyAlignment="1">
      <alignment horizontal="center" wrapText="1"/>
    </xf>
    <xf numFmtId="0" fontId="0" fillId="7" borderId="0" xfId="0" applyFill="1" applyAlignment="1">
      <alignment horizontal="center"/>
    </xf>
    <xf numFmtId="0" fontId="1" fillId="2" borderId="0" xfId="0" applyFont="1" applyFill="1" applyAlignment="1">
      <alignment horizontal="center"/>
    </xf>
    <xf numFmtId="0" fontId="0" fillId="6" borderId="0" xfId="0" applyFill="1" applyAlignment="1">
      <alignment horizontal="center"/>
    </xf>
    <xf numFmtId="0" fontId="0" fillId="0" borderId="0" xfId="0" quotePrefix="1" applyAlignment="1" applyProtection="1">
      <alignment horizontal="left"/>
      <protection locked="0"/>
    </xf>
    <xf numFmtId="14" fontId="0" fillId="0" borderId="2" xfId="0" applyNumberFormat="1" applyBorder="1"/>
    <xf numFmtId="14" fontId="0" fillId="0" borderId="0" xfId="0" applyNumberFormat="1" applyAlignment="1" applyProtection="1">
      <alignment horizontal="left"/>
      <protection locked="0"/>
    </xf>
    <xf numFmtId="14" fontId="0" fillId="0" borderId="0" xfId="0" quotePrefix="1" applyNumberFormat="1" applyAlignment="1" applyProtection="1">
      <alignment horizontal="left"/>
      <protection locked="0"/>
    </xf>
    <xf numFmtId="0" fontId="0" fillId="0" borderId="3" xfId="0" applyBorder="1" applyAlignment="1" applyProtection="1">
      <alignment horizontal="left"/>
      <protection locked="0"/>
    </xf>
    <xf numFmtId="0" fontId="0" fillId="0" borderId="12" xfId="0" applyBorder="1" applyAlignment="1" applyProtection="1">
      <alignment horizontal="left"/>
      <protection locked="0"/>
    </xf>
    <xf numFmtId="0" fontId="1" fillId="2" borderId="12" xfId="0" applyFont="1" applyFill="1" applyBorder="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166" fontId="0" fillId="0" borderId="2" xfId="0" applyNumberFormat="1" applyBorder="1" applyAlignment="1" applyProtection="1">
      <alignment horizontal="left"/>
      <protection locked="0"/>
    </xf>
    <xf numFmtId="14" fontId="1" fillId="2" borderId="0" xfId="0" applyNumberFormat="1" applyFont="1" applyFill="1" applyAlignment="1">
      <alignment horizontal="center"/>
    </xf>
    <xf numFmtId="14" fontId="0" fillId="0" borderId="0" xfId="0" applyNumberFormat="1" applyProtection="1">
      <protection locked="0"/>
    </xf>
    <xf numFmtId="14" fontId="0" fillId="7" borderId="2" xfId="0" applyNumberFormat="1" applyFill="1" applyBorder="1"/>
    <xf numFmtId="0" fontId="0" fillId="0" borderId="1" xfId="0" applyBorder="1"/>
    <xf numFmtId="0" fontId="0" fillId="0" borderId="14" xfId="0" applyBorder="1"/>
    <xf numFmtId="14" fontId="0" fillId="0" borderId="0" xfId="0" applyNumberFormat="1"/>
    <xf numFmtId="14" fontId="0" fillId="0" borderId="1" xfId="0" applyNumberFormat="1" applyBorder="1"/>
    <xf numFmtId="14" fontId="0" fillId="0" borderId="14" xfId="0" applyNumberFormat="1" applyBorder="1"/>
    <xf numFmtId="0" fontId="0" fillId="0" borderId="15" xfId="0" applyBorder="1"/>
    <xf numFmtId="0" fontId="0" fillId="0" borderId="1" xfId="0" applyBorder="1" applyAlignment="1">
      <alignment horizontal="left"/>
    </xf>
    <xf numFmtId="0" fontId="0" fillId="0" borderId="14" xfId="0" applyBorder="1" applyAlignment="1">
      <alignment horizontal="left"/>
    </xf>
    <xf numFmtId="0" fontId="0" fillId="7" borderId="0" xfId="0" applyFill="1" applyAlignment="1">
      <alignment horizontal="left"/>
    </xf>
    <xf numFmtId="0" fontId="0" fillId="7" borderId="1" xfId="0" applyFill="1" applyBorder="1" applyAlignment="1">
      <alignment horizontal="left"/>
    </xf>
    <xf numFmtId="0" fontId="0" fillId="7" borderId="14" xfId="0" applyFill="1" applyBorder="1" applyAlignment="1">
      <alignment horizontal="left"/>
    </xf>
    <xf numFmtId="14" fontId="0" fillId="0" borderId="15" xfId="0" applyNumberFormat="1" applyBorder="1"/>
    <xf numFmtId="0" fontId="0" fillId="0" borderId="15" xfId="0" applyBorder="1" applyAlignment="1">
      <alignment horizontal="left"/>
    </xf>
    <xf numFmtId="0" fontId="0" fillId="7" borderId="1" xfId="0" applyFill="1" applyBorder="1"/>
    <xf numFmtId="0" fontId="0" fillId="7" borderId="14" xfId="0" applyFill="1" applyBorder="1"/>
    <xf numFmtId="14" fontId="0" fillId="7" borderId="1" xfId="0" applyNumberFormat="1" applyFill="1" applyBorder="1"/>
    <xf numFmtId="14" fontId="0" fillId="7" borderId="14" xfId="0" applyNumberFormat="1" applyFill="1" applyBorder="1"/>
    <xf numFmtId="14" fontId="0" fillId="7" borderId="0" xfId="0" applyNumberFormat="1" applyFill="1"/>
    <xf numFmtId="0" fontId="3" fillId="7" borderId="2" xfId="0" applyFont="1" applyFill="1" applyBorder="1" applyAlignment="1">
      <alignment horizontal="left"/>
    </xf>
    <xf numFmtId="0" fontId="3" fillId="8" borderId="2" xfId="0" applyFont="1" applyFill="1" applyBorder="1" applyAlignment="1">
      <alignment horizontal="left"/>
    </xf>
    <xf numFmtId="0" fontId="0" fillId="8" borderId="14" xfId="0" applyFill="1" applyBorder="1"/>
    <xf numFmtId="0" fontId="0" fillId="8" borderId="1" xfId="0" applyFill="1" applyBorder="1"/>
    <xf numFmtId="14" fontId="0" fillId="8" borderId="14" xfId="0" applyNumberFormat="1" applyFill="1" applyBorder="1"/>
    <xf numFmtId="0" fontId="0" fillId="8" borderId="14" xfId="0" applyFill="1" applyBorder="1" applyAlignment="1">
      <alignment horizontal="left"/>
    </xf>
    <xf numFmtId="14" fontId="0" fillId="8" borderId="1" xfId="0" applyNumberFormat="1" applyFill="1" applyBorder="1"/>
    <xf numFmtId="0" fontId="0" fillId="8" borderId="1" xfId="0" applyFill="1" applyBorder="1" applyAlignment="1">
      <alignment horizontal="left"/>
    </xf>
    <xf numFmtId="0" fontId="0" fillId="8" borderId="0" xfId="0" applyFill="1"/>
    <xf numFmtId="0" fontId="3" fillId="4" borderId="8" xfId="0" applyFont="1" applyFill="1" applyBorder="1" applyAlignment="1">
      <alignment horizontal="left"/>
    </xf>
    <xf numFmtId="0" fontId="0" fillId="0" borderId="3" xfId="0" applyBorder="1" applyAlignment="1">
      <alignment horizontal="left"/>
    </xf>
    <xf numFmtId="0" fontId="0" fillId="7" borderId="0" xfId="0" applyFill="1" applyAlignment="1" applyProtection="1">
      <alignment horizontal="left"/>
      <protection locked="0"/>
    </xf>
    <xf numFmtId="14" fontId="0" fillId="7" borderId="10" xfId="0" applyNumberFormat="1" applyFill="1" applyBorder="1"/>
    <xf numFmtId="0" fontId="0" fillId="7" borderId="2" xfId="0" applyFill="1" applyBorder="1" applyAlignment="1" applyProtection="1">
      <alignment horizontal="left"/>
      <protection locked="0"/>
    </xf>
    <xf numFmtId="14" fontId="0" fillId="7" borderId="2" xfId="0" applyNumberFormat="1" applyFill="1" applyBorder="1" applyAlignment="1" applyProtection="1">
      <alignment horizontal="right"/>
      <protection locked="0"/>
    </xf>
    <xf numFmtId="0" fontId="0" fillId="0" borderId="0" xfId="0" applyAlignment="1">
      <alignment horizontal="right"/>
    </xf>
    <xf numFmtId="0" fontId="3" fillId="0" borderId="0" xfId="0" applyFont="1" applyAlignment="1" applyProtection="1">
      <alignment horizontal="right"/>
      <protection locked="0"/>
    </xf>
    <xf numFmtId="0" fontId="3" fillId="4" borderId="5" xfId="0" applyFont="1" applyFill="1" applyBorder="1" applyAlignment="1">
      <alignment horizontal="left"/>
    </xf>
    <xf numFmtId="0" fontId="0" fillId="0" borderId="0" xfId="0" applyBorder="1"/>
    <xf numFmtId="14" fontId="0" fillId="0" borderId="0" xfId="0" applyNumberFormat="1" applyBorder="1"/>
    <xf numFmtId="0" fontId="0" fillId="0" borderId="0"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4" dT="2024-12-21T00:21:39.25" personId="{10A35A49-B877-410B-80A8-94903A04747B}" id="{96EC8114-F080-48E7-B09D-C14FD4BB9F6F}">
    <text>County will be determined from Coordinates upon import to SHMI.</text>
  </threadedComment>
  <threadedComment ref="K4" dT="2024-12-21T00:20:41.74" personId="{10A35A49-B877-410B-80A8-94903A04747B}" id="{EEF147EC-716C-4260-B472-F1534F648249}">
    <text>Can be created in Google Earth or the SHMI App.</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4-12-21T16:51:18.76" personId="{10A35A49-B877-410B-80A8-94903A04747B}" id="{D352A018-C39E-45C7-AFD5-E4DE81A12A50}">
    <text>This entry will be auto-populated by the SHMI app during upload and subsequent downloads. If this cell is empty, SHMI will append this row to the database. If this has an ID matching the SHMI database, the entry will be updated.</text>
  </threadedComment>
  <threadedComment ref="E4" dT="2025-03-10T03:50:35.97" personId="{10A35A49-B877-410B-80A8-94903A04747B}" id="{35EFB839-8266-4CA4-B13D-BFFFBAB47378}">
    <text xml:space="preserve">Based on your sample date, start with the current crop, if still present. If you sampled post-harvest start with the previous crop (i.e., crop that was just harvested). Please continue entries for each crop in a full rotation or a minimum of two years if monculture. </text>
  </threadedComment>
  <threadedComment ref="F4" dT="2024-12-21T00:33:13.71" personId="{10A35A49-B877-410B-80A8-94903A04747B}" id="{2B29F114-6433-4621-8E32-4408AAE5D6D9}">
    <text>If crop is part of a mixture, please enter each crop as a unique entry but with the same crop_seq_num.</text>
  </threadedComment>
  <threadedComment ref="H4" dT="2024-12-20T21:26:28.43" personId="{10A35A49-B877-410B-80A8-94903A04747B}" id="{0AA3C976-A74B-4EE3-9EDB-FE155D7BA6E5}">
    <text>Depends upon crop_cat</text>
  </threadedComment>
  <threadedComment ref="I4" dT="2024-12-20T21:26:40.52" personId="{10A35A49-B877-410B-80A8-94903A04747B}" id="{ACB496E5-2FEC-4749-8A3D-40796B752C0D}">
    <text>Depends upon crop_group</text>
  </threadedComment>
  <threadedComment ref="O4" dT="2025-03-10T04:45:31.45" personId="{10A35A49-B877-410B-80A8-94903A04747B}" id="{3B2BA7F0-7C20-46E1-ABE1-78AE225BD1E8}">
    <text>Actual or 3-5 year average</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4-12-21T16:51:18.76" personId="{10A35A49-B877-410B-80A8-94903A04747B}" id="{FFCE42A0-4369-48CE-A929-FB695E0DAED2}">
    <text>This entry will be auto-populated by the SHMI app during upload and subsequent downloads. If this cell is empty, SHMI will append this row to the database. If this has an ID matching the SHMI database, the entry will be updated.</text>
  </threadedComment>
  <threadedComment ref="J4" dT="2024-12-20T21:41:15.64" personId="{10A35A49-B877-410B-80A8-94903A04747B}" id="{51A12E60-7140-40E7-8F9D-047E3F395613}">
    <text>Depends upon SD_equip_cat. If your equip doesn’t exist you can add to column AJ in the “Dropdowns_Manual” tab.</text>
  </threadedComment>
  <threadedComment ref="K4" dT="2024-12-21T00:04:47.95" personId="{10A35A49-B877-410B-80A8-94903A04747B}" id="{34B06EA7-767F-4CC3-8A69-B925D431895A}">
    <text>Auto-populates an estimate based on SD_equip. Please modify as needed.</text>
  </threadedComment>
</ThreadedComments>
</file>

<file path=xl/threadedComments/threadedComment4.xml><?xml version="1.0" encoding="utf-8"?>
<ThreadedComments xmlns="http://schemas.microsoft.com/office/spreadsheetml/2018/threadedcomments" xmlns:x="http://schemas.openxmlformats.org/spreadsheetml/2006/main">
  <threadedComment ref="C4" dT="2024-12-21T16:51:18.76" personId="{10A35A49-B877-410B-80A8-94903A04747B}" id="{F62C9B40-6557-40CC-AEDC-E7761727768E}">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433AD824-4092-40EF-AFAE-6348236AF12B}">
    <text>This entry will be auto-populated by the SHMI app during upload and subsequent downloads. If this cell is empty, SHMI will append this row to the database. If this has an ID matching the SHMI database, the entry will be updated.</text>
  </threadedComment>
  <threadedComment ref="F4" dT="2025-03-10T05:20:36.60" personId="{10A35A49-B877-410B-80A8-94903A04747B}" id="{5114F749-F73D-4F94-BF75-CBE846177360}">
    <text>Prioritize organic amendments and lime. Fertilizer is requested but not required.</text>
  </threadedComment>
  <threadedComment ref="G4" dT="2024-12-20T22:25:56.73" personId="{10A35A49-B877-410B-80A8-94903A04747B}" id="{15D2E0DA-9FBC-4362-896E-A6FE9C659358}">
    <text>Depends upon amend_cat</text>
  </threadedComment>
  <threadedComment ref="H4" dT="2025-03-10T05:36:44.97" personId="{10A35A49-B877-410B-80A8-94903A04747B}" id="{2F8259DF-C8C1-4BCF-9D14-FC43B83B7F2C}">
    <text>Exact date is not necessary. Give your best estimate.</text>
  </threadedComment>
  <threadedComment ref="K4" dT="2025-03-10T05:15:10.41" personId="{10A35A49-B877-410B-80A8-94903A04747B}" id="{E414A35E-8FE4-45C2-9FD6-2D3E2C6C58AF}">
    <text>Relevant for custom blends or organic amendments. Units should match column J.</text>
  </threadedComment>
  <threadedComment ref="L4" dT="2025-03-10T05:15:21.49" personId="{10A35A49-B877-410B-80A8-94903A04747B}" id="{58D9C416-8640-4F52-9ADD-B1963DE6BBFD}">
    <text>Relevant for custom blends or organic amendments. Units should match column J.</text>
  </threadedComment>
  <threadedComment ref="M4" dT="2025-03-10T05:15:27.01" personId="{10A35A49-B877-410B-80A8-94903A04747B}" id="{75A74DD2-0E01-43D0-8442-C5E423C6B2C5}">
    <text>Relevant for custom blends or organic amendments. Units should match column J.</text>
  </threadedComment>
  <threadedComment ref="N4" dT="2025-03-10T05:16:43.61" personId="{10A35A49-B877-410B-80A8-94903A04747B}" id="{BEF37ECA-63ED-4151-95C3-31CB2E751765}">
    <text>Relevant only for organic amendments</text>
  </threadedComment>
  <threadedComment ref="O4" dT="2025-03-10T05:16:49.22" personId="{10A35A49-B877-410B-80A8-94903A04747B}" id="{5B57157A-1743-4163-B817-E23234318018}">
    <text>Relevant only for organic amendments</text>
  </threadedComment>
</ThreadedComments>
</file>

<file path=xl/threadedComments/threadedComment5.xml><?xml version="1.0" encoding="utf-8"?>
<ThreadedComments xmlns="http://schemas.microsoft.com/office/spreadsheetml/2018/threadedcomments" xmlns:x="http://schemas.openxmlformats.org/spreadsheetml/2006/main">
  <threadedComment ref="C4" dT="2024-12-21T16:51:18.76" personId="{10A35A49-B877-410B-80A8-94903A04747B}" id="{32403949-7501-448F-AA0A-DD70A0B495BC}">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5B4CDD19-54E2-4645-8528-599112635567}">
    <text>This entry will be auto-populated by the SHMI app during upload and subsequent downloads. If this cell is empty, SHMI will append this row to the database. If this has an ID matching the SHMI database, the entry will be updated.</text>
  </threadedComment>
  <threadedComment ref="I4" dT="2025-03-10T05:37:52.14" personId="{10A35A49-B877-410B-80A8-94903A04747B}" id="{961644F7-D97F-42BD-A559-0DE7122BBC39}">
    <text>Exact date is not necessary. Give your best estimate.</text>
  </threadedComment>
  <threadedComment ref="J4" dT="2025-03-10T05:37:58.36" personId="{10A35A49-B877-410B-80A8-94903A04747B}" id="{63548051-38EA-464A-BF7F-41FE8D437165}">
    <text>Exact date is not necessary. Give your best estimate.</text>
  </threadedComment>
</ThreadedComments>
</file>

<file path=xl/threadedComments/threadedComment6.xml><?xml version="1.0" encoding="utf-8"?>
<ThreadedComments xmlns="http://schemas.microsoft.com/office/spreadsheetml/2018/threadedcomments" xmlns:x="http://schemas.openxmlformats.org/spreadsheetml/2006/main">
  <threadedComment ref="C4" dT="2024-12-21T16:51:18.76" personId="{10A35A49-B877-410B-80A8-94903A04747B}" id="{F8C7F50D-6517-4309-95A2-3569E3E61F32}">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04DF50CF-373F-4A17-B48C-FF43BBA08707}">
    <text>This entry will be auto-populated by the SHMI app during upload and subsequent downloads. If this cell is empty, SHMI will append this row to the database. If this has an ID matching the SHMI database, the entry will be updated.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XFC1004"/>
  <sheetViews>
    <sheetView zoomScaleNormal="100" workbookViewId="0">
      <pane ySplit="4" topLeftCell="A5" activePane="bottomLeft" state="frozen"/>
      <selection pane="bottomLeft" activeCell="F5" sqref="F5"/>
    </sheetView>
  </sheetViews>
  <sheetFormatPr defaultColWidth="0" defaultRowHeight="15" x14ac:dyDescent="0.25"/>
  <cols>
    <col min="1" max="1" width="11.5703125" bestFit="1" customWidth="1"/>
    <col min="2" max="2" width="25.42578125" style="10" customWidth="1"/>
    <col min="3" max="3" width="18" style="12" hidden="1" customWidth="1"/>
    <col min="4" max="4" width="20.5703125" style="10" customWidth="1"/>
    <col min="5" max="6" width="18" style="10" customWidth="1"/>
    <col min="7" max="7" width="33.28515625" style="10" customWidth="1"/>
    <col min="8" max="8" width="20.42578125" style="10" customWidth="1"/>
    <col min="9" max="16383" width="9.140625" hidden="1"/>
    <col min="16384" max="16384" width="1.28515625" hidden="1" customWidth="1"/>
  </cols>
  <sheetData>
    <row r="1" spans="1:8" x14ac:dyDescent="0.25">
      <c r="A1" s="25" t="s">
        <v>0</v>
      </c>
      <c r="B1" s="54" t="s">
        <v>517</v>
      </c>
      <c r="C1" s="23" t="s">
        <v>518</v>
      </c>
      <c r="D1" s="54" t="s">
        <v>519</v>
      </c>
      <c r="E1" s="54" t="s">
        <v>520</v>
      </c>
      <c r="F1" s="54" t="s">
        <v>521</v>
      </c>
      <c r="G1" s="23" t="s">
        <v>522</v>
      </c>
      <c r="H1" s="23" t="s">
        <v>523</v>
      </c>
    </row>
    <row r="2" spans="1:8" x14ac:dyDescent="0.25">
      <c r="A2" s="25" t="s">
        <v>1</v>
      </c>
      <c r="B2" s="54" t="s">
        <v>2</v>
      </c>
      <c r="C2" s="23" t="s">
        <v>16</v>
      </c>
      <c r="D2" s="54"/>
      <c r="E2" s="54" t="s">
        <v>2</v>
      </c>
      <c r="F2" s="54" t="s">
        <v>2</v>
      </c>
      <c r="G2" s="23" t="s">
        <v>2</v>
      </c>
      <c r="H2" s="23" t="s">
        <v>2</v>
      </c>
    </row>
    <row r="3" spans="1:8" x14ac:dyDescent="0.25">
      <c r="A3" s="26" t="s">
        <v>3</v>
      </c>
      <c r="B3" s="55" t="s">
        <v>514</v>
      </c>
      <c r="C3" s="24" t="s">
        <v>514</v>
      </c>
      <c r="D3" s="55" t="s">
        <v>514</v>
      </c>
      <c r="E3" s="55" t="s">
        <v>514</v>
      </c>
      <c r="F3" s="55" t="s">
        <v>514</v>
      </c>
      <c r="G3" s="24" t="s">
        <v>514</v>
      </c>
      <c r="H3" s="24" t="s">
        <v>514</v>
      </c>
    </row>
    <row r="4" spans="1:8" x14ac:dyDescent="0.25">
      <c r="A4" s="4"/>
      <c r="B4" s="11" t="s">
        <v>4</v>
      </c>
      <c r="C4" s="11" t="s">
        <v>363</v>
      </c>
      <c r="D4" s="11" t="s">
        <v>364</v>
      </c>
      <c r="E4" s="11" t="s">
        <v>5</v>
      </c>
      <c r="F4" s="11" t="s">
        <v>6</v>
      </c>
      <c r="G4" s="11" t="s">
        <v>7</v>
      </c>
      <c r="H4" s="11" t="s">
        <v>8</v>
      </c>
    </row>
    <row r="5" spans="1:8" x14ac:dyDescent="0.25">
      <c r="A5" s="4"/>
      <c r="B5" s="6" t="s">
        <v>625</v>
      </c>
      <c r="C5" s="5"/>
      <c r="D5" s="6" t="s">
        <v>626</v>
      </c>
      <c r="E5" s="6" t="s">
        <v>627</v>
      </c>
      <c r="F5" s="6" t="s">
        <v>628</v>
      </c>
      <c r="G5" s="8"/>
      <c r="H5" s="6"/>
    </row>
    <row r="6" spans="1:8" x14ac:dyDescent="0.25">
      <c r="A6" s="4"/>
      <c r="B6" s="6"/>
      <c r="C6" s="5" t="str">
        <f t="shared" ref="C6:C69" si="0">IF(ISBLANK(B6),"", "guest")</f>
        <v/>
      </c>
      <c r="D6" s="6"/>
      <c r="E6" s="6"/>
      <c r="F6" s="6"/>
      <c r="G6" s="8"/>
      <c r="H6" s="6"/>
    </row>
    <row r="7" spans="1:8" x14ac:dyDescent="0.25">
      <c r="A7" s="4"/>
      <c r="B7" s="6"/>
      <c r="C7" s="5" t="str">
        <f t="shared" si="0"/>
        <v/>
      </c>
      <c r="D7" s="6"/>
      <c r="E7" s="6"/>
      <c r="F7" s="6"/>
      <c r="G7" s="8"/>
      <c r="H7" s="6"/>
    </row>
    <row r="8" spans="1:8" x14ac:dyDescent="0.25">
      <c r="A8" s="4"/>
      <c r="B8" s="6"/>
      <c r="C8" s="5" t="str">
        <f t="shared" si="0"/>
        <v/>
      </c>
      <c r="D8" s="6"/>
      <c r="E8" s="6"/>
      <c r="F8" s="6"/>
      <c r="G8" s="8"/>
      <c r="H8" s="6"/>
    </row>
    <row r="9" spans="1:8" x14ac:dyDescent="0.25">
      <c r="A9" s="4"/>
      <c r="B9" s="6"/>
      <c r="C9" s="5" t="str">
        <f t="shared" si="0"/>
        <v/>
      </c>
      <c r="D9" s="6"/>
      <c r="E9" s="6"/>
      <c r="F9" s="6"/>
      <c r="G9" s="6"/>
      <c r="H9" s="6"/>
    </row>
    <row r="10" spans="1:8" x14ac:dyDescent="0.25">
      <c r="A10" s="4"/>
      <c r="B10" s="6"/>
      <c r="C10" s="5" t="str">
        <f t="shared" si="0"/>
        <v/>
      </c>
      <c r="D10" s="6"/>
      <c r="E10" s="6"/>
      <c r="F10" s="6"/>
      <c r="G10" s="6"/>
      <c r="H10" s="6"/>
    </row>
    <row r="11" spans="1:8" x14ac:dyDescent="0.25">
      <c r="A11" s="4"/>
      <c r="B11" s="6"/>
      <c r="C11" s="5" t="str">
        <f t="shared" si="0"/>
        <v/>
      </c>
      <c r="D11" s="6"/>
      <c r="E11" s="6"/>
      <c r="F11" s="6"/>
      <c r="G11" s="6"/>
      <c r="H11" s="6"/>
    </row>
    <row r="12" spans="1:8" x14ac:dyDescent="0.25">
      <c r="A12" s="4"/>
      <c r="B12" s="6"/>
      <c r="C12" s="5" t="str">
        <f t="shared" si="0"/>
        <v/>
      </c>
      <c r="D12" s="6"/>
      <c r="E12" s="6"/>
      <c r="F12" s="6"/>
      <c r="G12" s="6"/>
      <c r="H12" s="6"/>
    </row>
    <row r="13" spans="1:8" x14ac:dyDescent="0.25">
      <c r="A13" s="4"/>
      <c r="B13" s="6"/>
      <c r="C13" s="5" t="str">
        <f t="shared" si="0"/>
        <v/>
      </c>
      <c r="D13" s="6"/>
      <c r="E13" s="6"/>
      <c r="F13" s="6"/>
      <c r="G13" s="6"/>
      <c r="H13" s="6"/>
    </row>
    <row r="14" spans="1:8" x14ac:dyDescent="0.25">
      <c r="A14" s="4"/>
      <c r="B14" s="6"/>
      <c r="C14" s="5" t="str">
        <f t="shared" si="0"/>
        <v/>
      </c>
      <c r="D14" s="6"/>
      <c r="E14" s="6"/>
      <c r="F14" s="6"/>
      <c r="G14" s="6"/>
      <c r="H14" s="6"/>
    </row>
    <row r="15" spans="1:8" x14ac:dyDescent="0.25">
      <c r="A15" s="4"/>
      <c r="B15" s="6"/>
      <c r="C15" s="5" t="str">
        <f t="shared" si="0"/>
        <v/>
      </c>
      <c r="D15" s="6"/>
      <c r="E15" s="6"/>
      <c r="F15" s="6"/>
      <c r="G15" s="6"/>
      <c r="H15" s="6"/>
    </row>
    <row r="16" spans="1:8" x14ac:dyDescent="0.25">
      <c r="A16" s="4"/>
      <c r="B16" s="6"/>
      <c r="C16" s="5" t="str">
        <f t="shared" si="0"/>
        <v/>
      </c>
      <c r="D16" s="6"/>
      <c r="E16" s="6"/>
      <c r="F16" s="6"/>
      <c r="G16" s="6"/>
      <c r="H16" s="6"/>
    </row>
    <row r="17" spans="1:8" x14ac:dyDescent="0.25">
      <c r="A17" s="4"/>
      <c r="B17" s="6"/>
      <c r="C17" s="5" t="str">
        <f t="shared" si="0"/>
        <v/>
      </c>
      <c r="D17" s="6"/>
      <c r="E17" s="6"/>
      <c r="F17" s="6"/>
      <c r="G17" s="6"/>
      <c r="H17" s="6"/>
    </row>
    <row r="18" spans="1:8" x14ac:dyDescent="0.25">
      <c r="A18" s="4"/>
      <c r="B18" s="6"/>
      <c r="C18" s="5" t="str">
        <f t="shared" si="0"/>
        <v/>
      </c>
      <c r="D18" s="6"/>
      <c r="E18" s="6"/>
      <c r="F18" s="6"/>
      <c r="G18" s="6"/>
      <c r="H18" s="6"/>
    </row>
    <row r="19" spans="1:8" x14ac:dyDescent="0.25">
      <c r="A19" s="4"/>
      <c r="B19" s="6"/>
      <c r="C19" s="5" t="str">
        <f t="shared" si="0"/>
        <v/>
      </c>
      <c r="D19" s="6"/>
      <c r="E19" s="6"/>
      <c r="F19" s="6"/>
      <c r="G19" s="6"/>
      <c r="H19" s="6"/>
    </row>
    <row r="20" spans="1:8" x14ac:dyDescent="0.25">
      <c r="A20" s="4"/>
      <c r="B20" s="6"/>
      <c r="C20" s="5" t="str">
        <f t="shared" si="0"/>
        <v/>
      </c>
      <c r="D20" s="6"/>
      <c r="E20" s="6"/>
      <c r="F20" s="6"/>
      <c r="G20" s="6"/>
      <c r="H20" s="6"/>
    </row>
    <row r="21" spans="1:8" x14ac:dyDescent="0.25">
      <c r="A21" s="4"/>
      <c r="B21" s="6"/>
      <c r="C21" s="5" t="str">
        <f t="shared" si="0"/>
        <v/>
      </c>
      <c r="D21" s="6"/>
      <c r="E21" s="6"/>
      <c r="F21" s="6"/>
      <c r="G21" s="6"/>
      <c r="H21" s="6"/>
    </row>
    <row r="22" spans="1:8" x14ac:dyDescent="0.25">
      <c r="A22" s="4"/>
      <c r="B22" s="6"/>
      <c r="C22" s="5" t="str">
        <f t="shared" si="0"/>
        <v/>
      </c>
      <c r="D22" s="6"/>
      <c r="E22" s="6"/>
      <c r="F22" s="6"/>
      <c r="G22" s="6"/>
      <c r="H22" s="6"/>
    </row>
    <row r="23" spans="1:8" x14ac:dyDescent="0.25">
      <c r="A23" s="4"/>
      <c r="B23" s="6"/>
      <c r="C23" s="5" t="str">
        <f t="shared" si="0"/>
        <v/>
      </c>
      <c r="D23" s="6"/>
      <c r="E23" s="6"/>
      <c r="F23" s="6"/>
      <c r="G23" s="6"/>
      <c r="H23" s="6"/>
    </row>
    <row r="24" spans="1:8" x14ac:dyDescent="0.25">
      <c r="A24" s="4"/>
      <c r="B24" s="6"/>
      <c r="C24" s="5" t="str">
        <f t="shared" si="0"/>
        <v/>
      </c>
      <c r="D24" s="6"/>
      <c r="E24" s="6"/>
      <c r="F24" s="6"/>
      <c r="G24" s="6"/>
      <c r="H24" s="6"/>
    </row>
    <row r="25" spans="1:8" x14ac:dyDescent="0.25">
      <c r="A25" s="4"/>
      <c r="B25" s="6"/>
      <c r="C25" s="5" t="str">
        <f t="shared" si="0"/>
        <v/>
      </c>
      <c r="D25" s="6"/>
      <c r="E25" s="6"/>
      <c r="F25" s="6"/>
      <c r="G25" s="6"/>
      <c r="H25" s="6"/>
    </row>
    <row r="26" spans="1:8" x14ac:dyDescent="0.25">
      <c r="A26" s="4"/>
      <c r="B26" s="6"/>
      <c r="C26" s="5" t="str">
        <f t="shared" si="0"/>
        <v/>
      </c>
      <c r="D26" s="6"/>
      <c r="E26" s="6"/>
      <c r="F26" s="6"/>
      <c r="G26" s="6"/>
      <c r="H26" s="6"/>
    </row>
    <row r="27" spans="1:8" x14ac:dyDescent="0.25">
      <c r="A27" s="4"/>
      <c r="B27" s="6"/>
      <c r="C27" s="5" t="str">
        <f t="shared" si="0"/>
        <v/>
      </c>
      <c r="D27" s="6"/>
      <c r="E27" s="6"/>
      <c r="F27" s="6"/>
      <c r="G27" s="6"/>
      <c r="H27" s="6"/>
    </row>
    <row r="28" spans="1:8" x14ac:dyDescent="0.25">
      <c r="A28" s="4"/>
      <c r="B28" s="6"/>
      <c r="C28" s="5" t="str">
        <f t="shared" si="0"/>
        <v/>
      </c>
      <c r="D28" s="6"/>
      <c r="E28" s="6"/>
      <c r="F28" s="6"/>
      <c r="G28" s="6"/>
      <c r="H28" s="6"/>
    </row>
    <row r="29" spans="1:8" x14ac:dyDescent="0.25">
      <c r="A29" s="4"/>
      <c r="B29" s="6"/>
      <c r="C29" s="5" t="str">
        <f t="shared" si="0"/>
        <v/>
      </c>
      <c r="D29" s="6"/>
      <c r="E29" s="6"/>
      <c r="F29" s="6"/>
      <c r="G29" s="6"/>
      <c r="H29" s="6"/>
    </row>
    <row r="30" spans="1:8" x14ac:dyDescent="0.25">
      <c r="A30" s="4"/>
      <c r="B30" s="6"/>
      <c r="C30" s="5" t="str">
        <f t="shared" si="0"/>
        <v/>
      </c>
      <c r="D30" s="6"/>
      <c r="E30" s="6"/>
      <c r="F30" s="6"/>
      <c r="G30" s="6"/>
      <c r="H30" s="6"/>
    </row>
    <row r="31" spans="1:8" x14ac:dyDescent="0.25">
      <c r="A31" s="4"/>
      <c r="B31" s="6"/>
      <c r="C31" s="5" t="str">
        <f t="shared" si="0"/>
        <v/>
      </c>
      <c r="D31" s="6"/>
      <c r="E31" s="6"/>
      <c r="F31" s="6"/>
      <c r="G31" s="6"/>
      <c r="H31" s="6"/>
    </row>
    <row r="32" spans="1:8" x14ac:dyDescent="0.25">
      <c r="A32" s="4"/>
      <c r="B32" s="6"/>
      <c r="C32" s="5" t="str">
        <f t="shared" si="0"/>
        <v/>
      </c>
      <c r="D32" s="6"/>
      <c r="E32" s="6"/>
      <c r="F32" s="6"/>
      <c r="G32" s="6"/>
      <c r="H32" s="6"/>
    </row>
    <row r="33" spans="1:8" x14ac:dyDescent="0.25">
      <c r="A33" s="4"/>
      <c r="B33" s="6"/>
      <c r="C33" s="5" t="str">
        <f t="shared" si="0"/>
        <v/>
      </c>
      <c r="D33" s="6"/>
      <c r="E33" s="6"/>
      <c r="F33" s="6"/>
      <c r="G33" s="6"/>
      <c r="H33" s="6"/>
    </row>
    <row r="34" spans="1:8" x14ac:dyDescent="0.25">
      <c r="A34" s="4"/>
      <c r="B34" s="6"/>
      <c r="C34" s="5" t="str">
        <f t="shared" si="0"/>
        <v/>
      </c>
      <c r="D34" s="6"/>
      <c r="E34" s="6"/>
      <c r="F34" s="6"/>
      <c r="G34" s="6"/>
      <c r="H34" s="6"/>
    </row>
    <row r="35" spans="1:8" x14ac:dyDescent="0.25">
      <c r="A35" s="4"/>
      <c r="B35" s="6"/>
      <c r="C35" s="5"/>
      <c r="D35" s="6"/>
      <c r="E35" s="6"/>
      <c r="F35" s="6"/>
      <c r="G35" s="6"/>
      <c r="H35" s="6"/>
    </row>
    <row r="36" spans="1:8" x14ac:dyDescent="0.25">
      <c r="A36" s="4"/>
      <c r="B36" s="6"/>
      <c r="C36" s="5" t="str">
        <f t="shared" si="0"/>
        <v/>
      </c>
      <c r="D36" s="6"/>
      <c r="E36" s="6"/>
      <c r="F36" s="6"/>
      <c r="G36" s="6"/>
      <c r="H36" s="6"/>
    </row>
    <row r="37" spans="1:8" x14ac:dyDescent="0.25">
      <c r="A37" s="4"/>
      <c r="B37" s="6"/>
      <c r="C37" s="5" t="str">
        <f t="shared" si="0"/>
        <v/>
      </c>
      <c r="D37" s="6"/>
      <c r="E37" s="6"/>
      <c r="F37" s="6"/>
      <c r="G37" s="6"/>
      <c r="H37" s="6"/>
    </row>
    <row r="38" spans="1:8" x14ac:dyDescent="0.25">
      <c r="A38" s="4"/>
      <c r="B38" s="6"/>
      <c r="C38" s="5" t="str">
        <f t="shared" si="0"/>
        <v/>
      </c>
      <c r="D38" s="6"/>
      <c r="E38" s="6"/>
      <c r="F38" s="6"/>
      <c r="G38" s="6"/>
      <c r="H38" s="6"/>
    </row>
    <row r="39" spans="1:8" x14ac:dyDescent="0.25">
      <c r="A39" s="4"/>
      <c r="B39" s="6"/>
      <c r="C39" s="5" t="str">
        <f t="shared" si="0"/>
        <v/>
      </c>
      <c r="D39" s="6"/>
      <c r="E39" s="6"/>
      <c r="F39" s="6"/>
      <c r="G39" s="6"/>
      <c r="H39" s="6"/>
    </row>
    <row r="40" spans="1:8" x14ac:dyDescent="0.25">
      <c r="A40" s="4"/>
      <c r="B40" s="6"/>
      <c r="C40" s="5" t="str">
        <f t="shared" si="0"/>
        <v/>
      </c>
      <c r="D40" s="6"/>
      <c r="E40" s="6"/>
      <c r="F40" s="6"/>
      <c r="G40" s="6"/>
      <c r="H40" s="6"/>
    </row>
    <row r="41" spans="1:8" x14ac:dyDescent="0.25">
      <c r="A41" s="4"/>
      <c r="B41" s="6"/>
      <c r="C41" s="5" t="str">
        <f t="shared" si="0"/>
        <v/>
      </c>
      <c r="D41" s="6"/>
      <c r="E41" s="6"/>
      <c r="F41" s="6"/>
      <c r="G41" s="6"/>
      <c r="H41" s="6"/>
    </row>
    <row r="42" spans="1:8" x14ac:dyDescent="0.25">
      <c r="A42" s="4"/>
      <c r="B42" s="6"/>
      <c r="C42" s="5" t="str">
        <f t="shared" si="0"/>
        <v/>
      </c>
      <c r="D42" s="6"/>
      <c r="E42" s="6"/>
      <c r="F42" s="6"/>
      <c r="G42" s="6"/>
      <c r="H42" s="6"/>
    </row>
    <row r="43" spans="1:8" x14ac:dyDescent="0.25">
      <c r="A43" s="4"/>
      <c r="B43" s="6"/>
      <c r="C43" s="5" t="str">
        <f t="shared" si="0"/>
        <v/>
      </c>
      <c r="D43" s="6"/>
      <c r="E43" s="6"/>
      <c r="F43" s="6"/>
      <c r="G43" s="6"/>
      <c r="H43" s="6"/>
    </row>
    <row r="44" spans="1:8" x14ac:dyDescent="0.25">
      <c r="A44" s="4"/>
      <c r="B44" s="6"/>
      <c r="C44" s="5" t="str">
        <f t="shared" si="0"/>
        <v/>
      </c>
      <c r="D44" s="6"/>
      <c r="E44" s="6"/>
      <c r="F44" s="6"/>
      <c r="G44" s="6"/>
      <c r="H44" s="6"/>
    </row>
    <row r="45" spans="1:8" x14ac:dyDescent="0.25">
      <c r="A45" s="4"/>
      <c r="B45" s="6"/>
      <c r="C45" s="5" t="str">
        <f t="shared" si="0"/>
        <v/>
      </c>
      <c r="D45" s="6"/>
      <c r="E45" s="6"/>
      <c r="F45" s="6"/>
      <c r="G45" s="6"/>
      <c r="H45" s="6"/>
    </row>
    <row r="46" spans="1:8" x14ac:dyDescent="0.25">
      <c r="A46" s="4"/>
      <c r="B46" s="6"/>
      <c r="C46" s="5" t="str">
        <f t="shared" si="0"/>
        <v/>
      </c>
      <c r="D46" s="6"/>
      <c r="E46" s="6"/>
      <c r="F46" s="6"/>
      <c r="G46" s="6"/>
      <c r="H46" s="6"/>
    </row>
    <row r="47" spans="1:8" x14ac:dyDescent="0.25">
      <c r="A47" s="4"/>
      <c r="B47" s="6"/>
      <c r="C47" s="5" t="str">
        <f t="shared" si="0"/>
        <v/>
      </c>
      <c r="D47" s="6"/>
      <c r="E47" s="6"/>
      <c r="F47" s="6"/>
      <c r="G47" s="6"/>
      <c r="H47" s="6"/>
    </row>
    <row r="48" spans="1:8" x14ac:dyDescent="0.25">
      <c r="A48" s="4"/>
      <c r="B48" s="6"/>
      <c r="C48" s="5" t="str">
        <f t="shared" si="0"/>
        <v/>
      </c>
      <c r="D48" s="6"/>
      <c r="E48" s="6"/>
      <c r="F48" s="6"/>
      <c r="G48" s="6"/>
      <c r="H48" s="6"/>
    </row>
    <row r="49" spans="1:8" x14ac:dyDescent="0.25">
      <c r="A49" s="4"/>
      <c r="B49" s="6"/>
      <c r="C49" s="5" t="str">
        <f t="shared" si="0"/>
        <v/>
      </c>
      <c r="D49" s="6"/>
      <c r="E49" s="6"/>
      <c r="F49" s="6"/>
      <c r="G49" s="6"/>
      <c r="H49" s="6"/>
    </row>
    <row r="50" spans="1:8" x14ac:dyDescent="0.25">
      <c r="A50" s="4"/>
      <c r="B50" s="6"/>
      <c r="C50" s="5" t="str">
        <f t="shared" si="0"/>
        <v/>
      </c>
      <c r="D50" s="6"/>
      <c r="E50" s="6"/>
      <c r="F50" s="6"/>
      <c r="G50" s="6"/>
      <c r="H50" s="6"/>
    </row>
    <row r="51" spans="1:8" x14ac:dyDescent="0.25">
      <c r="A51" s="4"/>
      <c r="B51" s="6"/>
      <c r="C51" s="5" t="str">
        <f t="shared" si="0"/>
        <v/>
      </c>
      <c r="D51" s="6"/>
      <c r="E51" s="6"/>
      <c r="F51" s="6"/>
      <c r="G51" s="6"/>
      <c r="H51" s="6"/>
    </row>
    <row r="52" spans="1:8" x14ac:dyDescent="0.25">
      <c r="A52" s="4"/>
      <c r="B52" s="6"/>
      <c r="C52" s="5" t="str">
        <f t="shared" si="0"/>
        <v/>
      </c>
      <c r="D52" s="6"/>
      <c r="E52" s="6"/>
      <c r="F52" s="6"/>
      <c r="G52" s="6"/>
      <c r="H52" s="6"/>
    </row>
    <row r="53" spans="1:8" x14ac:dyDescent="0.25">
      <c r="A53" s="4"/>
      <c r="B53" s="6"/>
      <c r="C53" s="5" t="str">
        <f t="shared" si="0"/>
        <v/>
      </c>
      <c r="D53" s="6"/>
      <c r="E53" s="6"/>
      <c r="F53" s="6"/>
      <c r="G53" s="6"/>
      <c r="H53" s="6"/>
    </row>
    <row r="54" spans="1:8" x14ac:dyDescent="0.25">
      <c r="A54" s="4"/>
      <c r="B54" s="6"/>
      <c r="C54" s="5" t="str">
        <f t="shared" si="0"/>
        <v/>
      </c>
      <c r="D54" s="6"/>
      <c r="E54" s="6"/>
      <c r="F54" s="6"/>
      <c r="G54" s="6"/>
      <c r="H54" s="6"/>
    </row>
    <row r="55" spans="1:8" x14ac:dyDescent="0.25">
      <c r="A55" s="4"/>
      <c r="B55" s="6"/>
      <c r="C55" s="5" t="str">
        <f t="shared" si="0"/>
        <v/>
      </c>
      <c r="D55" s="6"/>
      <c r="E55" s="6"/>
      <c r="F55" s="6"/>
      <c r="G55" s="6"/>
      <c r="H55" s="6"/>
    </row>
    <row r="56" spans="1:8" x14ac:dyDescent="0.25">
      <c r="A56" s="4"/>
      <c r="B56" s="6"/>
      <c r="C56" s="5" t="str">
        <f t="shared" si="0"/>
        <v/>
      </c>
      <c r="D56" s="6"/>
      <c r="E56" s="6"/>
      <c r="F56" s="6"/>
      <c r="G56" s="6"/>
      <c r="H56" s="6"/>
    </row>
    <row r="57" spans="1:8" x14ac:dyDescent="0.25">
      <c r="A57" s="4"/>
      <c r="B57" s="6"/>
      <c r="C57" s="5" t="str">
        <f t="shared" si="0"/>
        <v/>
      </c>
      <c r="D57" s="6"/>
      <c r="E57" s="6"/>
      <c r="F57" s="6"/>
      <c r="G57" s="6"/>
      <c r="H57" s="6"/>
    </row>
    <row r="58" spans="1:8" x14ac:dyDescent="0.25">
      <c r="A58" s="4"/>
      <c r="B58" s="6"/>
      <c r="C58" s="5" t="str">
        <f t="shared" si="0"/>
        <v/>
      </c>
      <c r="D58" s="6"/>
      <c r="E58" s="6"/>
      <c r="F58" s="6"/>
      <c r="G58" s="6"/>
      <c r="H58" s="6"/>
    </row>
    <row r="59" spans="1:8" x14ac:dyDescent="0.25">
      <c r="A59" s="4"/>
      <c r="B59" s="6"/>
      <c r="C59" s="5" t="str">
        <f t="shared" si="0"/>
        <v/>
      </c>
      <c r="D59" s="6"/>
      <c r="E59" s="6"/>
      <c r="F59" s="6"/>
      <c r="G59" s="6"/>
      <c r="H59" s="6"/>
    </row>
    <row r="60" spans="1:8" x14ac:dyDescent="0.25">
      <c r="A60" s="4"/>
      <c r="B60" s="6"/>
      <c r="C60" s="5" t="str">
        <f t="shared" si="0"/>
        <v/>
      </c>
      <c r="D60" s="6"/>
      <c r="E60" s="6"/>
      <c r="F60" s="6"/>
      <c r="G60" s="6"/>
      <c r="H60" s="6"/>
    </row>
    <row r="61" spans="1:8" x14ac:dyDescent="0.25">
      <c r="A61" s="4"/>
      <c r="B61" s="6"/>
      <c r="C61" s="5" t="str">
        <f t="shared" si="0"/>
        <v/>
      </c>
      <c r="D61" s="6"/>
      <c r="E61" s="6"/>
      <c r="F61" s="6"/>
      <c r="G61" s="6"/>
      <c r="H61" s="6"/>
    </row>
    <row r="62" spans="1:8" x14ac:dyDescent="0.25">
      <c r="A62" s="4"/>
      <c r="B62" s="6"/>
      <c r="C62" s="5" t="str">
        <f t="shared" si="0"/>
        <v/>
      </c>
      <c r="D62" s="6"/>
      <c r="E62" s="6"/>
      <c r="F62" s="6"/>
      <c r="G62" s="6"/>
      <c r="H62" s="6"/>
    </row>
    <row r="63" spans="1:8" x14ac:dyDescent="0.25">
      <c r="A63" s="4"/>
      <c r="B63" s="6"/>
      <c r="C63" s="5" t="str">
        <f t="shared" si="0"/>
        <v/>
      </c>
      <c r="D63" s="6"/>
      <c r="E63" s="6"/>
      <c r="F63" s="6"/>
      <c r="G63" s="6"/>
      <c r="H63" s="6"/>
    </row>
    <row r="64" spans="1:8" x14ac:dyDescent="0.25">
      <c r="A64" s="4"/>
      <c r="B64" s="6"/>
      <c r="C64" s="5" t="str">
        <f t="shared" si="0"/>
        <v/>
      </c>
      <c r="D64" s="6"/>
      <c r="E64" s="6"/>
      <c r="F64" s="6"/>
      <c r="G64" s="6"/>
      <c r="H64" s="6"/>
    </row>
    <row r="65" spans="1:8" x14ac:dyDescent="0.25">
      <c r="A65" s="4"/>
      <c r="B65" s="6"/>
      <c r="C65" s="5" t="str">
        <f t="shared" si="0"/>
        <v/>
      </c>
      <c r="D65" s="6"/>
      <c r="E65" s="6"/>
      <c r="F65" s="6"/>
      <c r="G65" s="6"/>
      <c r="H65" s="6"/>
    </row>
    <row r="66" spans="1:8" x14ac:dyDescent="0.25">
      <c r="A66" s="4"/>
      <c r="B66" s="6"/>
      <c r="C66" s="5" t="str">
        <f t="shared" si="0"/>
        <v/>
      </c>
      <c r="D66" s="6"/>
      <c r="E66" s="6"/>
      <c r="F66" s="6"/>
      <c r="G66" s="6"/>
      <c r="H66" s="6"/>
    </row>
    <row r="67" spans="1:8" x14ac:dyDescent="0.25">
      <c r="A67" s="4"/>
      <c r="B67" s="6"/>
      <c r="C67" s="5" t="str">
        <f t="shared" si="0"/>
        <v/>
      </c>
      <c r="D67" s="6"/>
      <c r="E67" s="6"/>
      <c r="F67" s="6"/>
      <c r="G67" s="6"/>
      <c r="H67" s="6"/>
    </row>
    <row r="68" spans="1:8" x14ac:dyDescent="0.25">
      <c r="A68" s="4"/>
      <c r="B68" s="6"/>
      <c r="C68" s="5" t="str">
        <f t="shared" si="0"/>
        <v/>
      </c>
      <c r="D68" s="6"/>
      <c r="E68" s="6"/>
      <c r="F68" s="6"/>
      <c r="G68" s="6"/>
      <c r="H68" s="6"/>
    </row>
    <row r="69" spans="1:8" x14ac:dyDescent="0.25">
      <c r="A69" s="4"/>
      <c r="B69" s="6"/>
      <c r="C69" s="5" t="str">
        <f t="shared" si="0"/>
        <v/>
      </c>
      <c r="D69" s="6"/>
      <c r="E69" s="6"/>
      <c r="F69" s="6"/>
      <c r="G69" s="6"/>
      <c r="H69" s="6"/>
    </row>
    <row r="70" spans="1:8" x14ac:dyDescent="0.25">
      <c r="A70" s="4"/>
      <c r="B70" s="6"/>
      <c r="C70" s="5" t="str">
        <f t="shared" ref="C70:C133" si="1">IF(ISBLANK(B70),"", "guest")</f>
        <v/>
      </c>
      <c r="D70" s="6"/>
      <c r="E70" s="6"/>
      <c r="F70" s="6"/>
      <c r="G70" s="6"/>
      <c r="H70" s="6"/>
    </row>
    <row r="71" spans="1:8" x14ac:dyDescent="0.25">
      <c r="A71" s="4"/>
      <c r="B71" s="6"/>
      <c r="C71" s="5" t="str">
        <f t="shared" si="1"/>
        <v/>
      </c>
      <c r="D71" s="6"/>
      <c r="E71" s="6"/>
      <c r="F71" s="6"/>
      <c r="G71" s="6"/>
      <c r="H71" s="6"/>
    </row>
    <row r="72" spans="1:8" x14ac:dyDescent="0.25">
      <c r="A72" s="4"/>
      <c r="B72" s="6"/>
      <c r="C72" s="5" t="str">
        <f t="shared" si="1"/>
        <v/>
      </c>
      <c r="D72" s="6"/>
      <c r="E72" s="6"/>
      <c r="F72" s="6"/>
      <c r="G72" s="6"/>
      <c r="H72" s="6"/>
    </row>
    <row r="73" spans="1:8" x14ac:dyDescent="0.25">
      <c r="A73" s="4"/>
      <c r="B73" s="6"/>
      <c r="C73" s="5" t="str">
        <f t="shared" si="1"/>
        <v/>
      </c>
      <c r="D73" s="6"/>
      <c r="E73" s="6"/>
      <c r="F73" s="6"/>
      <c r="G73" s="6"/>
      <c r="H73" s="6"/>
    </row>
    <row r="74" spans="1:8" x14ac:dyDescent="0.25">
      <c r="A74" s="4"/>
      <c r="B74" s="6"/>
      <c r="C74" s="5" t="str">
        <f t="shared" si="1"/>
        <v/>
      </c>
      <c r="D74" s="6"/>
      <c r="E74" s="6"/>
      <c r="F74" s="6"/>
      <c r="G74" s="6"/>
      <c r="H74" s="6"/>
    </row>
    <row r="75" spans="1:8" x14ac:dyDescent="0.25">
      <c r="A75" s="4"/>
      <c r="B75" s="6"/>
      <c r="C75" s="5" t="str">
        <f t="shared" si="1"/>
        <v/>
      </c>
      <c r="D75" s="6"/>
      <c r="E75" s="6"/>
      <c r="F75" s="6"/>
      <c r="G75" s="6"/>
      <c r="H75" s="6"/>
    </row>
    <row r="76" spans="1:8" x14ac:dyDescent="0.25">
      <c r="A76" s="4"/>
      <c r="B76" s="6"/>
      <c r="C76" s="5" t="str">
        <f t="shared" si="1"/>
        <v/>
      </c>
      <c r="D76" s="6"/>
      <c r="E76" s="6"/>
      <c r="F76" s="6"/>
      <c r="G76" s="6"/>
      <c r="H76" s="6"/>
    </row>
    <row r="77" spans="1:8" x14ac:dyDescent="0.25">
      <c r="A77" s="4"/>
      <c r="B77" s="6"/>
      <c r="C77" s="5" t="str">
        <f t="shared" si="1"/>
        <v/>
      </c>
      <c r="D77" s="6"/>
      <c r="E77" s="6"/>
      <c r="F77" s="6"/>
      <c r="G77" s="6"/>
      <c r="H77" s="6"/>
    </row>
    <row r="78" spans="1:8" x14ac:dyDescent="0.25">
      <c r="A78" s="4"/>
      <c r="B78" s="6"/>
      <c r="C78" s="5" t="str">
        <f t="shared" si="1"/>
        <v/>
      </c>
      <c r="D78" s="6"/>
      <c r="E78" s="6"/>
      <c r="F78" s="6"/>
      <c r="G78" s="6"/>
      <c r="H78" s="6"/>
    </row>
    <row r="79" spans="1:8" x14ac:dyDescent="0.25">
      <c r="A79" s="4"/>
      <c r="B79" s="6"/>
      <c r="C79" s="5" t="str">
        <f t="shared" si="1"/>
        <v/>
      </c>
      <c r="D79" s="6"/>
      <c r="E79" s="6"/>
      <c r="F79" s="6"/>
      <c r="G79" s="6"/>
      <c r="H79" s="6"/>
    </row>
    <row r="80" spans="1:8" x14ac:dyDescent="0.25">
      <c r="A80" s="4"/>
      <c r="B80" s="6"/>
      <c r="C80" s="5" t="str">
        <f t="shared" si="1"/>
        <v/>
      </c>
      <c r="D80" s="6"/>
      <c r="E80" s="6"/>
      <c r="F80" s="6"/>
      <c r="G80" s="6"/>
      <c r="H80" s="6"/>
    </row>
    <row r="81" spans="1:8" x14ac:dyDescent="0.25">
      <c r="A81" s="4"/>
      <c r="B81" s="6"/>
      <c r="C81" s="5" t="str">
        <f t="shared" si="1"/>
        <v/>
      </c>
      <c r="D81" s="6"/>
      <c r="E81" s="6"/>
      <c r="F81" s="6"/>
      <c r="G81" s="6"/>
      <c r="H81" s="6"/>
    </row>
    <row r="82" spans="1:8" x14ac:dyDescent="0.25">
      <c r="A82" s="4"/>
      <c r="B82" s="6"/>
      <c r="C82" s="5" t="str">
        <f t="shared" si="1"/>
        <v/>
      </c>
      <c r="D82" s="6"/>
      <c r="E82" s="6"/>
      <c r="F82" s="6"/>
      <c r="G82" s="6"/>
      <c r="H82" s="6"/>
    </row>
    <row r="83" spans="1:8" x14ac:dyDescent="0.25">
      <c r="A83" s="4"/>
      <c r="B83" s="6"/>
      <c r="C83" s="5" t="str">
        <f t="shared" si="1"/>
        <v/>
      </c>
      <c r="D83" s="6"/>
      <c r="E83" s="6"/>
      <c r="F83" s="6"/>
      <c r="G83" s="6"/>
      <c r="H83" s="6"/>
    </row>
    <row r="84" spans="1:8" x14ac:dyDescent="0.25">
      <c r="A84" s="4"/>
      <c r="B84" s="6"/>
      <c r="C84" s="5" t="str">
        <f t="shared" si="1"/>
        <v/>
      </c>
      <c r="D84" s="6"/>
      <c r="E84" s="6"/>
      <c r="F84" s="6"/>
      <c r="G84" s="6"/>
      <c r="H84" s="6"/>
    </row>
    <row r="85" spans="1:8" x14ac:dyDescent="0.25">
      <c r="A85" s="4"/>
      <c r="B85" s="6"/>
      <c r="C85" s="5" t="str">
        <f t="shared" si="1"/>
        <v/>
      </c>
      <c r="D85" s="6"/>
      <c r="E85" s="6"/>
      <c r="F85" s="6"/>
      <c r="G85" s="6"/>
      <c r="H85" s="6"/>
    </row>
    <row r="86" spans="1:8" x14ac:dyDescent="0.25">
      <c r="A86" s="4"/>
      <c r="B86" s="6"/>
      <c r="C86" s="5" t="str">
        <f t="shared" si="1"/>
        <v/>
      </c>
      <c r="D86" s="6"/>
      <c r="E86" s="6"/>
      <c r="F86" s="6"/>
      <c r="G86" s="6"/>
      <c r="H86" s="6"/>
    </row>
    <row r="87" spans="1:8" x14ac:dyDescent="0.25">
      <c r="A87" s="4"/>
      <c r="B87" s="6"/>
      <c r="C87" s="5" t="str">
        <f t="shared" si="1"/>
        <v/>
      </c>
      <c r="D87" s="6"/>
      <c r="E87" s="6"/>
      <c r="F87" s="6"/>
      <c r="G87" s="6"/>
      <c r="H87" s="6"/>
    </row>
    <row r="88" spans="1:8" x14ac:dyDescent="0.25">
      <c r="A88" s="4"/>
      <c r="B88" s="6"/>
      <c r="C88" s="5" t="str">
        <f t="shared" si="1"/>
        <v/>
      </c>
      <c r="D88" s="6"/>
      <c r="E88" s="6"/>
      <c r="F88" s="6"/>
      <c r="G88" s="6"/>
      <c r="H88" s="6"/>
    </row>
    <row r="89" spans="1:8" x14ac:dyDescent="0.25">
      <c r="A89" s="4"/>
      <c r="B89" s="6"/>
      <c r="C89" s="5" t="str">
        <f t="shared" si="1"/>
        <v/>
      </c>
      <c r="D89" s="6"/>
      <c r="E89" s="6"/>
      <c r="F89" s="6"/>
      <c r="G89" s="6"/>
      <c r="H89" s="6"/>
    </row>
    <row r="90" spans="1:8" x14ac:dyDescent="0.25">
      <c r="A90" s="4"/>
      <c r="B90" s="6"/>
      <c r="C90" s="5" t="str">
        <f t="shared" si="1"/>
        <v/>
      </c>
      <c r="D90" s="6"/>
      <c r="E90" s="6"/>
      <c r="F90" s="6"/>
      <c r="G90" s="6"/>
      <c r="H90" s="6"/>
    </row>
    <row r="91" spans="1:8" x14ac:dyDescent="0.25">
      <c r="A91" s="4"/>
      <c r="B91" s="6"/>
      <c r="C91" s="5" t="str">
        <f t="shared" si="1"/>
        <v/>
      </c>
      <c r="D91" s="6"/>
      <c r="E91" s="6"/>
      <c r="F91" s="6"/>
      <c r="G91" s="6"/>
      <c r="H91" s="6"/>
    </row>
    <row r="92" spans="1:8" x14ac:dyDescent="0.25">
      <c r="A92" s="4"/>
      <c r="B92" s="6"/>
      <c r="C92" s="5" t="str">
        <f t="shared" si="1"/>
        <v/>
      </c>
      <c r="D92" s="6"/>
      <c r="E92" s="6"/>
      <c r="F92" s="6"/>
      <c r="G92" s="6"/>
      <c r="H92" s="6"/>
    </row>
    <row r="93" spans="1:8" x14ac:dyDescent="0.25">
      <c r="A93" s="4"/>
      <c r="B93" s="6"/>
      <c r="C93" s="5" t="str">
        <f t="shared" si="1"/>
        <v/>
      </c>
      <c r="D93" s="6"/>
      <c r="E93" s="6"/>
      <c r="F93" s="6"/>
      <c r="G93" s="6"/>
      <c r="H93" s="6"/>
    </row>
    <row r="94" spans="1:8" x14ac:dyDescent="0.25">
      <c r="A94" s="4"/>
      <c r="B94" s="6"/>
      <c r="C94" s="5" t="str">
        <f t="shared" si="1"/>
        <v/>
      </c>
      <c r="D94" s="6"/>
      <c r="E94" s="6"/>
      <c r="F94" s="6"/>
      <c r="G94" s="6"/>
      <c r="H94" s="6"/>
    </row>
    <row r="95" spans="1:8" x14ac:dyDescent="0.25">
      <c r="A95" s="4"/>
      <c r="B95" s="6"/>
      <c r="C95" s="5" t="str">
        <f t="shared" si="1"/>
        <v/>
      </c>
      <c r="D95" s="6"/>
      <c r="E95" s="6"/>
      <c r="F95" s="6"/>
      <c r="G95" s="6"/>
      <c r="H95" s="6"/>
    </row>
    <row r="96" spans="1:8" x14ac:dyDescent="0.25">
      <c r="A96" s="4"/>
      <c r="B96" s="6"/>
      <c r="C96" s="5" t="str">
        <f t="shared" si="1"/>
        <v/>
      </c>
      <c r="D96" s="6"/>
      <c r="E96" s="6"/>
      <c r="F96" s="6"/>
      <c r="G96" s="6"/>
      <c r="H96" s="6"/>
    </row>
    <row r="97" spans="1:8" x14ac:dyDescent="0.25">
      <c r="A97" s="4"/>
      <c r="B97" s="6"/>
      <c r="C97" s="5" t="str">
        <f t="shared" si="1"/>
        <v/>
      </c>
      <c r="D97" s="6"/>
      <c r="E97" s="6"/>
      <c r="F97" s="6"/>
      <c r="G97" s="6"/>
      <c r="H97" s="6"/>
    </row>
    <row r="98" spans="1:8" x14ac:dyDescent="0.25">
      <c r="A98" s="4"/>
      <c r="B98" s="6"/>
      <c r="C98" s="5" t="str">
        <f t="shared" si="1"/>
        <v/>
      </c>
      <c r="D98" s="6"/>
      <c r="E98" s="6"/>
      <c r="F98" s="6"/>
      <c r="G98" s="6"/>
      <c r="H98" s="6"/>
    </row>
    <row r="99" spans="1:8" x14ac:dyDescent="0.25">
      <c r="A99" s="4"/>
      <c r="B99" s="6"/>
      <c r="C99" s="5" t="str">
        <f t="shared" si="1"/>
        <v/>
      </c>
      <c r="D99" s="6"/>
      <c r="E99" s="6"/>
      <c r="F99" s="6"/>
      <c r="G99" s="6"/>
      <c r="H99" s="6"/>
    </row>
    <row r="100" spans="1:8" x14ac:dyDescent="0.25">
      <c r="A100" s="4"/>
      <c r="B100" s="6"/>
      <c r="C100" s="5" t="str">
        <f t="shared" si="1"/>
        <v/>
      </c>
      <c r="D100" s="6"/>
      <c r="E100" s="6"/>
      <c r="F100" s="6"/>
      <c r="G100" s="6"/>
      <c r="H100" s="6"/>
    </row>
    <row r="101" spans="1:8" x14ac:dyDescent="0.25">
      <c r="A101" s="4"/>
      <c r="B101" s="6"/>
      <c r="C101" s="5" t="str">
        <f t="shared" si="1"/>
        <v/>
      </c>
      <c r="D101" s="6"/>
      <c r="E101" s="6"/>
      <c r="F101" s="6"/>
      <c r="G101" s="6"/>
      <c r="H101" s="6"/>
    </row>
    <row r="102" spans="1:8" x14ac:dyDescent="0.25">
      <c r="A102" s="4"/>
      <c r="B102" s="6"/>
      <c r="C102" s="5" t="str">
        <f t="shared" si="1"/>
        <v/>
      </c>
      <c r="D102" s="6"/>
      <c r="E102" s="6"/>
      <c r="F102" s="6"/>
      <c r="G102" s="6"/>
      <c r="H102" s="6"/>
    </row>
    <row r="103" spans="1:8" x14ac:dyDescent="0.25">
      <c r="A103" s="4"/>
      <c r="B103" s="6"/>
      <c r="C103" s="5" t="str">
        <f t="shared" si="1"/>
        <v/>
      </c>
      <c r="D103" s="6"/>
      <c r="E103" s="6"/>
      <c r="F103" s="6"/>
      <c r="G103" s="6"/>
      <c r="H103" s="6"/>
    </row>
    <row r="104" spans="1:8" x14ac:dyDescent="0.25">
      <c r="A104" s="4"/>
      <c r="B104" s="6"/>
      <c r="C104" s="5" t="str">
        <f t="shared" si="1"/>
        <v/>
      </c>
      <c r="D104" s="6"/>
      <c r="E104" s="6"/>
      <c r="F104" s="6"/>
      <c r="G104" s="6"/>
      <c r="H104" s="6"/>
    </row>
    <row r="105" spans="1:8" x14ac:dyDescent="0.25">
      <c r="A105" s="4"/>
      <c r="B105" s="6"/>
      <c r="C105" s="5" t="str">
        <f t="shared" si="1"/>
        <v/>
      </c>
      <c r="D105" s="6"/>
      <c r="E105" s="6"/>
      <c r="F105" s="6"/>
      <c r="G105" s="6"/>
      <c r="H105" s="6"/>
    </row>
    <row r="106" spans="1:8" x14ac:dyDescent="0.25">
      <c r="A106" s="4"/>
      <c r="B106" s="6"/>
      <c r="C106" s="5" t="str">
        <f t="shared" si="1"/>
        <v/>
      </c>
      <c r="D106" s="6"/>
      <c r="E106" s="6"/>
      <c r="F106" s="6"/>
      <c r="G106" s="6"/>
      <c r="H106" s="6"/>
    </row>
    <row r="107" spans="1:8" x14ac:dyDescent="0.25">
      <c r="A107" s="4"/>
      <c r="B107" s="6"/>
      <c r="C107" s="5" t="str">
        <f t="shared" si="1"/>
        <v/>
      </c>
      <c r="D107" s="6"/>
      <c r="E107" s="6"/>
      <c r="F107" s="6"/>
      <c r="G107" s="6"/>
      <c r="H107" s="6"/>
    </row>
    <row r="108" spans="1:8" x14ac:dyDescent="0.25">
      <c r="A108" s="4"/>
      <c r="B108" s="6"/>
      <c r="C108" s="5" t="str">
        <f t="shared" si="1"/>
        <v/>
      </c>
      <c r="D108" s="6"/>
      <c r="E108" s="6"/>
      <c r="F108" s="6"/>
      <c r="G108" s="6"/>
      <c r="H108" s="6"/>
    </row>
    <row r="109" spans="1:8" x14ac:dyDescent="0.25">
      <c r="A109" s="4"/>
      <c r="B109" s="6"/>
      <c r="C109" s="5" t="str">
        <f t="shared" si="1"/>
        <v/>
      </c>
      <c r="D109" s="6"/>
      <c r="E109" s="6"/>
      <c r="F109" s="6"/>
      <c r="G109" s="6"/>
      <c r="H109" s="6"/>
    </row>
    <row r="110" spans="1:8" x14ac:dyDescent="0.25">
      <c r="A110" s="4"/>
      <c r="B110" s="6"/>
      <c r="C110" s="5" t="str">
        <f t="shared" si="1"/>
        <v/>
      </c>
      <c r="D110" s="6"/>
      <c r="E110" s="6"/>
      <c r="F110" s="6"/>
      <c r="G110" s="6"/>
      <c r="H110" s="6"/>
    </row>
    <row r="111" spans="1:8" x14ac:dyDescent="0.25">
      <c r="A111" s="4"/>
      <c r="B111" s="6"/>
      <c r="C111" s="5" t="str">
        <f t="shared" si="1"/>
        <v/>
      </c>
      <c r="D111" s="6"/>
      <c r="E111" s="6"/>
      <c r="F111" s="6"/>
      <c r="G111" s="6"/>
      <c r="H111" s="6"/>
    </row>
    <row r="112" spans="1:8" x14ac:dyDescent="0.25">
      <c r="A112" s="4"/>
      <c r="B112" s="6"/>
      <c r="C112" s="5" t="str">
        <f t="shared" si="1"/>
        <v/>
      </c>
      <c r="D112" s="6"/>
      <c r="E112" s="6"/>
      <c r="F112" s="6"/>
      <c r="G112" s="6"/>
      <c r="H112" s="6"/>
    </row>
    <row r="113" spans="1:8" x14ac:dyDescent="0.25">
      <c r="A113" s="4"/>
      <c r="B113" s="6"/>
      <c r="C113" s="5" t="str">
        <f t="shared" si="1"/>
        <v/>
      </c>
      <c r="D113" s="6"/>
      <c r="E113" s="6"/>
      <c r="F113" s="6"/>
      <c r="G113" s="6"/>
      <c r="H113" s="6"/>
    </row>
    <row r="114" spans="1:8" x14ac:dyDescent="0.25">
      <c r="A114" s="4"/>
      <c r="B114" s="6"/>
      <c r="C114" s="5" t="str">
        <f t="shared" si="1"/>
        <v/>
      </c>
      <c r="D114" s="6"/>
      <c r="E114" s="6"/>
      <c r="F114" s="6"/>
      <c r="G114" s="6"/>
      <c r="H114" s="6"/>
    </row>
    <row r="115" spans="1:8" x14ac:dyDescent="0.25">
      <c r="A115" s="4"/>
      <c r="B115" s="6"/>
      <c r="C115" s="5" t="str">
        <f t="shared" si="1"/>
        <v/>
      </c>
      <c r="D115" s="6"/>
      <c r="E115" s="6"/>
      <c r="F115" s="6"/>
      <c r="G115" s="6"/>
      <c r="H115" s="6"/>
    </row>
    <row r="116" spans="1:8" x14ac:dyDescent="0.25">
      <c r="A116" s="4"/>
      <c r="B116" s="6"/>
      <c r="C116" s="5" t="str">
        <f t="shared" si="1"/>
        <v/>
      </c>
      <c r="D116" s="6"/>
      <c r="E116" s="6"/>
      <c r="F116" s="6"/>
      <c r="G116" s="6"/>
      <c r="H116" s="6"/>
    </row>
    <row r="117" spans="1:8" x14ac:dyDescent="0.25">
      <c r="A117" s="4"/>
      <c r="B117" s="6"/>
      <c r="C117" s="5" t="str">
        <f t="shared" si="1"/>
        <v/>
      </c>
      <c r="D117" s="6"/>
      <c r="E117" s="6"/>
      <c r="F117" s="6"/>
      <c r="G117" s="6"/>
      <c r="H117" s="6"/>
    </row>
    <row r="118" spans="1:8" x14ac:dyDescent="0.25">
      <c r="A118" s="4"/>
      <c r="B118" s="6"/>
      <c r="C118" s="5" t="str">
        <f t="shared" si="1"/>
        <v/>
      </c>
      <c r="D118" s="6"/>
      <c r="E118" s="6"/>
      <c r="F118" s="6"/>
      <c r="G118" s="6"/>
      <c r="H118" s="6"/>
    </row>
    <row r="119" spans="1:8" x14ac:dyDescent="0.25">
      <c r="A119" s="4"/>
      <c r="B119" s="6"/>
      <c r="C119" s="5" t="str">
        <f t="shared" si="1"/>
        <v/>
      </c>
      <c r="D119" s="6"/>
      <c r="E119" s="6"/>
      <c r="F119" s="6"/>
      <c r="G119" s="6"/>
      <c r="H119" s="6"/>
    </row>
    <row r="120" spans="1:8" x14ac:dyDescent="0.25">
      <c r="A120" s="4"/>
      <c r="B120" s="6"/>
      <c r="C120" s="5" t="str">
        <f t="shared" si="1"/>
        <v/>
      </c>
      <c r="D120" s="6"/>
      <c r="E120" s="6"/>
      <c r="F120" s="6"/>
      <c r="G120" s="6"/>
      <c r="H120" s="6"/>
    </row>
    <row r="121" spans="1:8" x14ac:dyDescent="0.25">
      <c r="A121" s="4"/>
      <c r="B121" s="6"/>
      <c r="C121" s="5" t="str">
        <f t="shared" si="1"/>
        <v/>
      </c>
      <c r="D121" s="6"/>
      <c r="E121" s="6"/>
      <c r="F121" s="6"/>
      <c r="G121" s="6"/>
      <c r="H121" s="6"/>
    </row>
    <row r="122" spans="1:8" x14ac:dyDescent="0.25">
      <c r="A122" s="4"/>
      <c r="B122" s="6"/>
      <c r="C122" s="5" t="str">
        <f t="shared" si="1"/>
        <v/>
      </c>
      <c r="D122" s="6"/>
      <c r="E122" s="6"/>
      <c r="F122" s="6"/>
      <c r="G122" s="6"/>
      <c r="H122" s="6"/>
    </row>
    <row r="123" spans="1:8" x14ac:dyDescent="0.25">
      <c r="A123" s="4"/>
      <c r="B123" s="6"/>
      <c r="C123" s="5" t="str">
        <f t="shared" si="1"/>
        <v/>
      </c>
      <c r="D123" s="6"/>
      <c r="E123" s="6"/>
      <c r="F123" s="6"/>
      <c r="G123" s="6"/>
      <c r="H123" s="6"/>
    </row>
    <row r="124" spans="1:8" x14ac:dyDescent="0.25">
      <c r="A124" s="4"/>
      <c r="B124" s="6"/>
      <c r="C124" s="5" t="str">
        <f t="shared" si="1"/>
        <v/>
      </c>
      <c r="D124" s="6"/>
      <c r="E124" s="6"/>
      <c r="F124" s="6"/>
      <c r="G124" s="6"/>
      <c r="H124" s="6"/>
    </row>
    <row r="125" spans="1:8" x14ac:dyDescent="0.25">
      <c r="A125" s="4"/>
      <c r="B125" s="6"/>
      <c r="C125" s="5" t="str">
        <f t="shared" si="1"/>
        <v/>
      </c>
      <c r="D125" s="6"/>
      <c r="E125" s="6"/>
      <c r="F125" s="6"/>
      <c r="G125" s="6"/>
      <c r="H125" s="6"/>
    </row>
    <row r="126" spans="1:8" x14ac:dyDescent="0.25">
      <c r="A126" s="4"/>
      <c r="B126" s="6"/>
      <c r="C126" s="5" t="str">
        <f t="shared" si="1"/>
        <v/>
      </c>
      <c r="D126" s="6"/>
      <c r="E126" s="6"/>
      <c r="F126" s="6"/>
      <c r="G126" s="6"/>
      <c r="H126" s="6"/>
    </row>
    <row r="127" spans="1:8" x14ac:dyDescent="0.25">
      <c r="A127" s="4"/>
      <c r="B127" s="6"/>
      <c r="C127" s="5" t="str">
        <f t="shared" si="1"/>
        <v/>
      </c>
      <c r="D127" s="6"/>
      <c r="E127" s="6"/>
      <c r="F127" s="6"/>
      <c r="G127" s="6"/>
      <c r="H127" s="6"/>
    </row>
    <row r="128" spans="1:8" x14ac:dyDescent="0.25">
      <c r="A128" s="4"/>
      <c r="B128" s="6"/>
      <c r="C128" s="5" t="str">
        <f t="shared" si="1"/>
        <v/>
      </c>
      <c r="D128" s="6"/>
      <c r="E128" s="6"/>
      <c r="F128" s="6"/>
      <c r="G128" s="6"/>
      <c r="H128" s="6"/>
    </row>
    <row r="129" spans="1:8" x14ac:dyDescent="0.25">
      <c r="A129" s="4"/>
      <c r="B129" s="6"/>
      <c r="C129" s="5" t="str">
        <f t="shared" si="1"/>
        <v/>
      </c>
      <c r="D129" s="6"/>
      <c r="E129" s="6"/>
      <c r="F129" s="6"/>
      <c r="G129" s="6"/>
      <c r="H129" s="6"/>
    </row>
    <row r="130" spans="1:8" x14ac:dyDescent="0.25">
      <c r="A130" s="4"/>
      <c r="B130" s="6"/>
      <c r="C130" s="5" t="str">
        <f t="shared" si="1"/>
        <v/>
      </c>
      <c r="D130" s="6"/>
      <c r="E130" s="6"/>
      <c r="F130" s="6"/>
      <c r="G130" s="6"/>
      <c r="H130" s="6"/>
    </row>
    <row r="131" spans="1:8" x14ac:dyDescent="0.25">
      <c r="A131" s="4"/>
      <c r="B131" s="6"/>
      <c r="C131" s="5" t="str">
        <f t="shared" si="1"/>
        <v/>
      </c>
      <c r="D131" s="6"/>
      <c r="E131" s="6"/>
      <c r="F131" s="6"/>
      <c r="G131" s="6"/>
      <c r="H131" s="6"/>
    </row>
    <row r="132" spans="1:8" x14ac:dyDescent="0.25">
      <c r="A132" s="4"/>
      <c r="B132" s="6"/>
      <c r="C132" s="5" t="str">
        <f t="shared" si="1"/>
        <v/>
      </c>
      <c r="D132" s="6"/>
      <c r="E132" s="6"/>
      <c r="F132" s="6"/>
      <c r="G132" s="6"/>
      <c r="H132" s="6"/>
    </row>
    <row r="133" spans="1:8" x14ac:dyDescent="0.25">
      <c r="A133" s="4"/>
      <c r="B133" s="6"/>
      <c r="C133" s="5" t="str">
        <f t="shared" si="1"/>
        <v/>
      </c>
      <c r="D133" s="6"/>
      <c r="E133" s="6"/>
      <c r="F133" s="6"/>
      <c r="G133" s="6"/>
      <c r="H133" s="6"/>
    </row>
    <row r="134" spans="1:8" x14ac:dyDescent="0.25">
      <c r="A134" s="4"/>
      <c r="B134" s="6"/>
      <c r="C134" s="5" t="str">
        <f t="shared" ref="C134:C197" si="2">IF(ISBLANK(B134),"", "guest")</f>
        <v/>
      </c>
      <c r="D134" s="6"/>
      <c r="E134" s="6"/>
      <c r="F134" s="6"/>
      <c r="G134" s="6"/>
      <c r="H134" s="6"/>
    </row>
    <row r="135" spans="1:8" x14ac:dyDescent="0.25">
      <c r="A135" s="4"/>
      <c r="B135" s="6"/>
      <c r="C135" s="5" t="str">
        <f t="shared" si="2"/>
        <v/>
      </c>
      <c r="D135" s="6"/>
      <c r="E135" s="6"/>
      <c r="F135" s="6"/>
      <c r="G135" s="6"/>
      <c r="H135" s="6"/>
    </row>
    <row r="136" spans="1:8" x14ac:dyDescent="0.25">
      <c r="A136" s="4"/>
      <c r="B136" s="6"/>
      <c r="C136" s="5" t="str">
        <f t="shared" si="2"/>
        <v/>
      </c>
      <c r="D136" s="6"/>
      <c r="E136" s="6"/>
      <c r="F136" s="6"/>
      <c r="G136" s="6"/>
      <c r="H136" s="6"/>
    </row>
    <row r="137" spans="1:8" x14ac:dyDescent="0.25">
      <c r="A137" s="4"/>
      <c r="B137" s="6"/>
      <c r="C137" s="5" t="str">
        <f t="shared" si="2"/>
        <v/>
      </c>
      <c r="D137" s="6"/>
      <c r="E137" s="6"/>
      <c r="F137" s="6"/>
      <c r="G137" s="6"/>
      <c r="H137" s="6"/>
    </row>
    <row r="138" spans="1:8" x14ac:dyDescent="0.25">
      <c r="A138" s="4"/>
      <c r="B138" s="6"/>
      <c r="C138" s="5" t="str">
        <f t="shared" si="2"/>
        <v/>
      </c>
      <c r="D138" s="6"/>
      <c r="E138" s="6"/>
      <c r="F138" s="6"/>
      <c r="G138" s="6"/>
      <c r="H138" s="6"/>
    </row>
    <row r="139" spans="1:8" x14ac:dyDescent="0.25">
      <c r="A139" s="4"/>
      <c r="B139" s="6"/>
      <c r="C139" s="5" t="str">
        <f t="shared" si="2"/>
        <v/>
      </c>
      <c r="D139" s="6"/>
      <c r="E139" s="6"/>
      <c r="F139" s="6"/>
      <c r="G139" s="6"/>
      <c r="H139" s="6"/>
    </row>
    <row r="140" spans="1:8" x14ac:dyDescent="0.25">
      <c r="A140" s="4"/>
      <c r="B140" s="6"/>
      <c r="C140" s="5" t="str">
        <f t="shared" si="2"/>
        <v/>
      </c>
      <c r="D140" s="6"/>
      <c r="E140" s="6"/>
      <c r="F140" s="6"/>
      <c r="G140" s="6"/>
      <c r="H140" s="6"/>
    </row>
    <row r="141" spans="1:8" x14ac:dyDescent="0.25">
      <c r="A141" s="4"/>
      <c r="B141" s="6"/>
      <c r="C141" s="5" t="str">
        <f t="shared" si="2"/>
        <v/>
      </c>
      <c r="D141" s="6"/>
      <c r="E141" s="6"/>
      <c r="F141" s="6"/>
      <c r="G141" s="6"/>
      <c r="H141" s="6"/>
    </row>
    <row r="142" spans="1:8" x14ac:dyDescent="0.25">
      <c r="A142" s="4"/>
      <c r="B142" s="6"/>
      <c r="C142" s="5" t="str">
        <f t="shared" si="2"/>
        <v/>
      </c>
      <c r="D142" s="6"/>
      <c r="E142" s="6"/>
      <c r="F142" s="6"/>
      <c r="G142" s="6"/>
      <c r="H142" s="6"/>
    </row>
    <row r="143" spans="1:8" x14ac:dyDescent="0.25">
      <c r="A143" s="4"/>
      <c r="B143" s="6"/>
      <c r="C143" s="5" t="str">
        <f t="shared" si="2"/>
        <v/>
      </c>
      <c r="D143" s="6"/>
      <c r="E143" s="6"/>
      <c r="F143" s="6"/>
      <c r="G143" s="6"/>
      <c r="H143" s="6"/>
    </row>
    <row r="144" spans="1:8" x14ac:dyDescent="0.25">
      <c r="A144" s="4"/>
      <c r="B144" s="6"/>
      <c r="C144" s="5" t="str">
        <f t="shared" si="2"/>
        <v/>
      </c>
      <c r="D144" s="6"/>
      <c r="E144" s="6"/>
      <c r="F144" s="6"/>
      <c r="G144" s="6"/>
      <c r="H144" s="6"/>
    </row>
    <row r="145" spans="1:8" x14ac:dyDescent="0.25">
      <c r="A145" s="4"/>
      <c r="B145" s="6"/>
      <c r="C145" s="5" t="str">
        <f t="shared" si="2"/>
        <v/>
      </c>
      <c r="D145" s="6"/>
      <c r="E145" s="6"/>
      <c r="F145" s="6"/>
      <c r="G145" s="6"/>
      <c r="H145" s="6"/>
    </row>
    <row r="146" spans="1:8" x14ac:dyDescent="0.25">
      <c r="A146" s="4"/>
      <c r="B146" s="6"/>
      <c r="C146" s="5" t="str">
        <f t="shared" si="2"/>
        <v/>
      </c>
      <c r="D146" s="6"/>
      <c r="E146" s="6"/>
      <c r="F146" s="6"/>
      <c r="G146" s="6"/>
      <c r="H146" s="6"/>
    </row>
    <row r="147" spans="1:8" x14ac:dyDescent="0.25">
      <c r="A147" s="4"/>
      <c r="B147" s="6"/>
      <c r="C147" s="5" t="str">
        <f t="shared" si="2"/>
        <v/>
      </c>
      <c r="D147" s="6"/>
      <c r="E147" s="6"/>
      <c r="F147" s="6"/>
      <c r="G147" s="6"/>
      <c r="H147" s="6"/>
    </row>
    <row r="148" spans="1:8" x14ac:dyDescent="0.25">
      <c r="A148" s="4"/>
      <c r="B148" s="6"/>
      <c r="C148" s="5" t="str">
        <f t="shared" si="2"/>
        <v/>
      </c>
      <c r="D148" s="6"/>
      <c r="E148" s="6"/>
      <c r="F148" s="6"/>
      <c r="G148" s="6"/>
      <c r="H148" s="6"/>
    </row>
    <row r="149" spans="1:8" x14ac:dyDescent="0.25">
      <c r="A149" s="4"/>
      <c r="B149" s="6"/>
      <c r="C149" s="5" t="str">
        <f t="shared" si="2"/>
        <v/>
      </c>
      <c r="D149" s="6"/>
      <c r="E149" s="6"/>
      <c r="F149" s="6"/>
      <c r="G149" s="6"/>
      <c r="H149" s="6"/>
    </row>
    <row r="150" spans="1:8" x14ac:dyDescent="0.25">
      <c r="A150" s="4"/>
      <c r="B150" s="6"/>
      <c r="C150" s="5" t="str">
        <f t="shared" si="2"/>
        <v/>
      </c>
      <c r="D150" s="6"/>
      <c r="E150" s="6"/>
      <c r="F150" s="6"/>
      <c r="G150" s="6"/>
      <c r="H150" s="6"/>
    </row>
    <row r="151" spans="1:8" x14ac:dyDescent="0.25">
      <c r="A151" s="4"/>
      <c r="B151" s="6"/>
      <c r="C151" s="5" t="str">
        <f t="shared" si="2"/>
        <v/>
      </c>
      <c r="D151" s="6"/>
      <c r="E151" s="6"/>
      <c r="F151" s="6"/>
      <c r="G151" s="6"/>
      <c r="H151" s="6"/>
    </row>
    <row r="152" spans="1:8" x14ac:dyDescent="0.25">
      <c r="A152" s="4"/>
      <c r="B152" s="6"/>
      <c r="C152" s="5" t="str">
        <f t="shared" si="2"/>
        <v/>
      </c>
      <c r="D152" s="6"/>
      <c r="E152" s="6"/>
      <c r="F152" s="6"/>
      <c r="G152" s="6"/>
      <c r="H152" s="6"/>
    </row>
    <row r="153" spans="1:8" x14ac:dyDescent="0.25">
      <c r="A153" s="4"/>
      <c r="B153" s="6"/>
      <c r="C153" s="5" t="str">
        <f t="shared" si="2"/>
        <v/>
      </c>
      <c r="D153" s="6"/>
      <c r="E153" s="6"/>
      <c r="F153" s="6"/>
      <c r="G153" s="6"/>
      <c r="H153" s="6"/>
    </row>
    <row r="154" spans="1:8" x14ac:dyDescent="0.25">
      <c r="A154" s="4"/>
      <c r="B154" s="6"/>
      <c r="C154" s="5" t="str">
        <f t="shared" si="2"/>
        <v/>
      </c>
      <c r="D154" s="6"/>
      <c r="E154" s="6"/>
      <c r="F154" s="6"/>
      <c r="G154" s="6"/>
      <c r="H154" s="6"/>
    </row>
    <row r="155" spans="1:8" x14ac:dyDescent="0.25">
      <c r="A155" s="4"/>
      <c r="B155" s="6"/>
      <c r="C155" s="5" t="str">
        <f t="shared" si="2"/>
        <v/>
      </c>
      <c r="D155" s="6"/>
      <c r="E155" s="6"/>
      <c r="F155" s="6"/>
      <c r="G155" s="6"/>
      <c r="H155" s="6"/>
    </row>
    <row r="156" spans="1:8" x14ac:dyDescent="0.25">
      <c r="A156" s="4"/>
      <c r="B156" s="6"/>
      <c r="C156" s="5" t="str">
        <f t="shared" si="2"/>
        <v/>
      </c>
      <c r="D156" s="6"/>
      <c r="E156" s="6"/>
      <c r="F156" s="6"/>
      <c r="G156" s="6"/>
      <c r="H156" s="6"/>
    </row>
    <row r="157" spans="1:8" x14ac:dyDescent="0.25">
      <c r="A157" s="4"/>
      <c r="B157" s="6"/>
      <c r="C157" s="5" t="str">
        <f t="shared" si="2"/>
        <v/>
      </c>
      <c r="D157" s="6"/>
      <c r="E157" s="6"/>
      <c r="F157" s="6"/>
      <c r="G157" s="6"/>
      <c r="H157" s="6"/>
    </row>
    <row r="158" spans="1:8" x14ac:dyDescent="0.25">
      <c r="A158" s="4"/>
      <c r="B158" s="6"/>
      <c r="C158" s="5" t="str">
        <f t="shared" si="2"/>
        <v/>
      </c>
      <c r="D158" s="6"/>
      <c r="E158" s="6"/>
      <c r="F158" s="6"/>
      <c r="G158" s="6"/>
      <c r="H158" s="6"/>
    </row>
    <row r="159" spans="1:8" x14ac:dyDescent="0.25">
      <c r="A159" s="4"/>
      <c r="B159" s="6"/>
      <c r="C159" s="5" t="str">
        <f t="shared" si="2"/>
        <v/>
      </c>
      <c r="D159" s="6"/>
      <c r="E159" s="6"/>
      <c r="F159" s="6"/>
      <c r="G159" s="6"/>
      <c r="H159" s="6"/>
    </row>
    <row r="160" spans="1:8" x14ac:dyDescent="0.25">
      <c r="A160" s="4"/>
      <c r="B160" s="6"/>
      <c r="C160" s="5" t="str">
        <f t="shared" si="2"/>
        <v/>
      </c>
      <c r="D160" s="6"/>
      <c r="E160" s="6"/>
      <c r="F160" s="6"/>
      <c r="G160" s="6"/>
      <c r="H160" s="6"/>
    </row>
    <row r="161" spans="1:8" x14ac:dyDescent="0.25">
      <c r="A161" s="4"/>
      <c r="B161" s="6"/>
      <c r="C161" s="5" t="str">
        <f t="shared" si="2"/>
        <v/>
      </c>
      <c r="D161" s="6"/>
      <c r="E161" s="6"/>
      <c r="F161" s="6"/>
      <c r="G161" s="6"/>
      <c r="H161" s="6"/>
    </row>
    <row r="162" spans="1:8" x14ac:dyDescent="0.25">
      <c r="A162" s="4"/>
      <c r="B162" s="6"/>
      <c r="C162" s="5" t="str">
        <f t="shared" si="2"/>
        <v/>
      </c>
      <c r="D162" s="6"/>
      <c r="E162" s="6"/>
      <c r="F162" s="6"/>
      <c r="G162" s="6"/>
      <c r="H162" s="6"/>
    </row>
    <row r="163" spans="1:8" x14ac:dyDescent="0.25">
      <c r="A163" s="4"/>
      <c r="B163" s="6"/>
      <c r="C163" s="5" t="str">
        <f t="shared" si="2"/>
        <v/>
      </c>
      <c r="D163" s="6"/>
      <c r="E163" s="6"/>
      <c r="F163" s="6"/>
      <c r="G163" s="6"/>
      <c r="H163" s="6"/>
    </row>
    <row r="164" spans="1:8" x14ac:dyDescent="0.25">
      <c r="A164" s="4"/>
      <c r="B164" s="6"/>
      <c r="C164" s="5" t="str">
        <f t="shared" si="2"/>
        <v/>
      </c>
      <c r="D164" s="6"/>
      <c r="E164" s="6"/>
      <c r="F164" s="6"/>
      <c r="G164" s="6"/>
      <c r="H164" s="6"/>
    </row>
    <row r="165" spans="1:8" x14ac:dyDescent="0.25">
      <c r="A165" s="4"/>
      <c r="B165" s="6"/>
      <c r="C165" s="5" t="str">
        <f t="shared" si="2"/>
        <v/>
      </c>
      <c r="D165" s="6"/>
      <c r="E165" s="6"/>
      <c r="F165" s="6"/>
      <c r="G165" s="6"/>
      <c r="H165" s="6"/>
    </row>
    <row r="166" spans="1:8" x14ac:dyDescent="0.25">
      <c r="A166" s="4"/>
      <c r="B166" s="6"/>
      <c r="C166" s="5" t="str">
        <f t="shared" si="2"/>
        <v/>
      </c>
      <c r="D166" s="6"/>
      <c r="E166" s="6"/>
      <c r="F166" s="6"/>
      <c r="G166" s="6"/>
      <c r="H166" s="6"/>
    </row>
    <row r="167" spans="1:8" x14ac:dyDescent="0.25">
      <c r="A167" s="4"/>
      <c r="B167" s="6"/>
      <c r="C167" s="5" t="str">
        <f t="shared" si="2"/>
        <v/>
      </c>
      <c r="D167" s="6"/>
      <c r="E167" s="6"/>
      <c r="F167" s="6"/>
      <c r="G167" s="6"/>
      <c r="H167" s="6"/>
    </row>
    <row r="168" spans="1:8" x14ac:dyDescent="0.25">
      <c r="A168" s="4"/>
      <c r="B168" s="6"/>
      <c r="C168" s="5" t="str">
        <f t="shared" si="2"/>
        <v/>
      </c>
      <c r="D168" s="6"/>
      <c r="E168" s="6"/>
      <c r="F168" s="6"/>
      <c r="G168" s="6"/>
      <c r="H168" s="6"/>
    </row>
    <row r="169" spans="1:8" x14ac:dyDescent="0.25">
      <c r="A169" s="4"/>
      <c r="B169" s="6"/>
      <c r="C169" s="5" t="str">
        <f t="shared" si="2"/>
        <v/>
      </c>
      <c r="D169" s="6"/>
      <c r="E169" s="6"/>
      <c r="F169" s="6"/>
      <c r="G169" s="6"/>
      <c r="H169" s="6"/>
    </row>
    <row r="170" spans="1:8" x14ac:dyDescent="0.25">
      <c r="A170" s="4"/>
      <c r="B170" s="6"/>
      <c r="C170" s="5" t="str">
        <f t="shared" si="2"/>
        <v/>
      </c>
      <c r="D170" s="6"/>
      <c r="E170" s="6"/>
      <c r="F170" s="6"/>
      <c r="G170" s="6"/>
      <c r="H170" s="6"/>
    </row>
    <row r="171" spans="1:8" x14ac:dyDescent="0.25">
      <c r="A171" s="4"/>
      <c r="B171" s="6"/>
      <c r="C171" s="5" t="str">
        <f t="shared" si="2"/>
        <v/>
      </c>
      <c r="D171" s="6"/>
      <c r="E171" s="6"/>
      <c r="F171" s="6"/>
      <c r="G171" s="6"/>
      <c r="H171" s="6"/>
    </row>
    <row r="172" spans="1:8" x14ac:dyDescent="0.25">
      <c r="A172" s="4"/>
      <c r="B172" s="6"/>
      <c r="C172" s="5" t="str">
        <f t="shared" si="2"/>
        <v/>
      </c>
      <c r="D172" s="6"/>
      <c r="E172" s="6"/>
      <c r="F172" s="6"/>
      <c r="G172" s="6"/>
      <c r="H172" s="6"/>
    </row>
    <row r="173" spans="1:8" x14ac:dyDescent="0.25">
      <c r="A173" s="4"/>
      <c r="B173" s="6"/>
      <c r="C173" s="5" t="str">
        <f t="shared" si="2"/>
        <v/>
      </c>
      <c r="D173" s="6"/>
      <c r="E173" s="6"/>
      <c r="F173" s="6"/>
      <c r="G173" s="6"/>
      <c r="H173" s="6"/>
    </row>
    <row r="174" spans="1:8" x14ac:dyDescent="0.25">
      <c r="A174" s="4"/>
      <c r="B174" s="6"/>
      <c r="C174" s="5" t="str">
        <f t="shared" si="2"/>
        <v/>
      </c>
      <c r="D174" s="6"/>
      <c r="E174" s="6"/>
      <c r="F174" s="6"/>
      <c r="G174" s="6"/>
      <c r="H174" s="6"/>
    </row>
    <row r="175" spans="1:8" x14ac:dyDescent="0.25">
      <c r="A175" s="4"/>
      <c r="B175" s="6"/>
      <c r="C175" s="5" t="str">
        <f t="shared" si="2"/>
        <v/>
      </c>
      <c r="D175" s="6"/>
      <c r="E175" s="6"/>
      <c r="F175" s="6"/>
      <c r="G175" s="6"/>
      <c r="H175" s="6"/>
    </row>
    <row r="176" spans="1:8" x14ac:dyDescent="0.25">
      <c r="A176" s="4"/>
      <c r="B176" s="6"/>
      <c r="C176" s="5" t="str">
        <f t="shared" si="2"/>
        <v/>
      </c>
      <c r="D176" s="6"/>
      <c r="E176" s="6"/>
      <c r="F176" s="6"/>
      <c r="G176" s="6"/>
      <c r="H176" s="6"/>
    </row>
    <row r="177" spans="1:8" x14ac:dyDescent="0.25">
      <c r="A177" s="4"/>
      <c r="B177" s="6"/>
      <c r="C177" s="5" t="str">
        <f t="shared" si="2"/>
        <v/>
      </c>
      <c r="D177" s="6"/>
      <c r="E177" s="6"/>
      <c r="F177" s="6"/>
      <c r="G177" s="6"/>
      <c r="H177" s="6"/>
    </row>
    <row r="178" spans="1:8" x14ac:dyDescent="0.25">
      <c r="A178" s="4"/>
      <c r="B178" s="6"/>
      <c r="C178" s="5" t="str">
        <f t="shared" si="2"/>
        <v/>
      </c>
      <c r="D178" s="6"/>
      <c r="E178" s="6"/>
      <c r="F178" s="6"/>
      <c r="G178" s="6"/>
      <c r="H178" s="6"/>
    </row>
    <row r="179" spans="1:8" x14ac:dyDescent="0.25">
      <c r="A179" s="4"/>
      <c r="B179" s="6"/>
      <c r="C179" s="5" t="str">
        <f t="shared" si="2"/>
        <v/>
      </c>
      <c r="D179" s="6"/>
      <c r="E179" s="6"/>
      <c r="F179" s="6"/>
      <c r="G179" s="6"/>
      <c r="H179" s="6"/>
    </row>
    <row r="180" spans="1:8" x14ac:dyDescent="0.25">
      <c r="A180" s="4"/>
      <c r="B180" s="6"/>
      <c r="C180" s="5" t="str">
        <f t="shared" si="2"/>
        <v/>
      </c>
      <c r="D180" s="6"/>
      <c r="E180" s="6"/>
      <c r="F180" s="6"/>
      <c r="G180" s="6"/>
      <c r="H180" s="6"/>
    </row>
    <row r="181" spans="1:8" x14ac:dyDescent="0.25">
      <c r="A181" s="4"/>
      <c r="B181" s="6"/>
      <c r="C181" s="5" t="str">
        <f t="shared" si="2"/>
        <v/>
      </c>
      <c r="D181" s="6"/>
      <c r="E181" s="6"/>
      <c r="F181" s="6"/>
      <c r="G181" s="6"/>
      <c r="H181" s="6"/>
    </row>
    <row r="182" spans="1:8" x14ac:dyDescent="0.25">
      <c r="A182" s="4"/>
      <c r="B182" s="6"/>
      <c r="C182" s="5" t="str">
        <f t="shared" si="2"/>
        <v/>
      </c>
      <c r="D182" s="6"/>
      <c r="E182" s="6"/>
      <c r="F182" s="6"/>
      <c r="G182" s="6"/>
      <c r="H182" s="6"/>
    </row>
    <row r="183" spans="1:8" x14ac:dyDescent="0.25">
      <c r="A183" s="4"/>
      <c r="B183" s="6"/>
      <c r="C183" s="5" t="str">
        <f t="shared" si="2"/>
        <v/>
      </c>
      <c r="D183" s="6"/>
      <c r="E183" s="6"/>
      <c r="F183" s="6"/>
      <c r="G183" s="6"/>
      <c r="H183" s="6"/>
    </row>
    <row r="184" spans="1:8" x14ac:dyDescent="0.25">
      <c r="A184" s="4"/>
      <c r="B184" s="6"/>
      <c r="C184" s="5" t="str">
        <f t="shared" si="2"/>
        <v/>
      </c>
      <c r="D184" s="6"/>
      <c r="E184" s="6"/>
      <c r="F184" s="6"/>
      <c r="G184" s="6"/>
      <c r="H184" s="6"/>
    </row>
    <row r="185" spans="1:8" x14ac:dyDescent="0.25">
      <c r="A185" s="4"/>
      <c r="B185" s="6"/>
      <c r="C185" s="5" t="str">
        <f t="shared" si="2"/>
        <v/>
      </c>
      <c r="D185" s="6"/>
      <c r="E185" s="6"/>
      <c r="F185" s="6"/>
      <c r="G185" s="6"/>
      <c r="H185" s="6"/>
    </row>
    <row r="186" spans="1:8" x14ac:dyDescent="0.25">
      <c r="A186" s="4"/>
      <c r="B186" s="6"/>
      <c r="C186" s="5" t="str">
        <f t="shared" si="2"/>
        <v/>
      </c>
      <c r="D186" s="6"/>
      <c r="E186" s="6"/>
      <c r="F186" s="6"/>
      <c r="G186" s="6"/>
      <c r="H186" s="6"/>
    </row>
    <row r="187" spans="1:8" x14ac:dyDescent="0.25">
      <c r="A187" s="4"/>
      <c r="B187" s="6"/>
      <c r="C187" s="5" t="str">
        <f t="shared" si="2"/>
        <v/>
      </c>
      <c r="D187" s="6"/>
      <c r="E187" s="6"/>
      <c r="F187" s="6"/>
      <c r="G187" s="6"/>
      <c r="H187" s="6"/>
    </row>
    <row r="188" spans="1:8" x14ac:dyDescent="0.25">
      <c r="A188" s="4"/>
      <c r="B188" s="6"/>
      <c r="C188" s="5" t="str">
        <f t="shared" si="2"/>
        <v/>
      </c>
      <c r="D188" s="6"/>
      <c r="E188" s="6"/>
      <c r="F188" s="6"/>
      <c r="G188" s="6"/>
      <c r="H188" s="6"/>
    </row>
    <row r="189" spans="1:8" x14ac:dyDescent="0.25">
      <c r="A189" s="4"/>
      <c r="B189" s="6"/>
      <c r="C189" s="5" t="str">
        <f t="shared" si="2"/>
        <v/>
      </c>
      <c r="D189" s="6"/>
      <c r="E189" s="6"/>
      <c r="F189" s="6"/>
      <c r="G189" s="6"/>
      <c r="H189" s="6"/>
    </row>
    <row r="190" spans="1:8" x14ac:dyDescent="0.25">
      <c r="A190" s="4"/>
      <c r="B190" s="6"/>
      <c r="C190" s="5" t="str">
        <f t="shared" si="2"/>
        <v/>
      </c>
      <c r="D190" s="6"/>
      <c r="E190" s="6"/>
      <c r="F190" s="6"/>
      <c r="G190" s="6"/>
      <c r="H190" s="6"/>
    </row>
    <row r="191" spans="1:8" x14ac:dyDescent="0.25">
      <c r="A191" s="4"/>
      <c r="B191" s="6"/>
      <c r="C191" s="5" t="str">
        <f t="shared" si="2"/>
        <v/>
      </c>
      <c r="D191" s="6"/>
      <c r="E191" s="6"/>
      <c r="F191" s="6"/>
      <c r="G191" s="6"/>
      <c r="H191" s="6"/>
    </row>
    <row r="192" spans="1:8" x14ac:dyDescent="0.25">
      <c r="A192" s="4"/>
      <c r="B192" s="6"/>
      <c r="C192" s="5" t="str">
        <f t="shared" si="2"/>
        <v/>
      </c>
      <c r="D192" s="6"/>
      <c r="E192" s="6"/>
      <c r="F192" s="6"/>
      <c r="G192" s="6"/>
      <c r="H192" s="6"/>
    </row>
    <row r="193" spans="1:8" x14ac:dyDescent="0.25">
      <c r="A193" s="4"/>
      <c r="B193" s="6"/>
      <c r="C193" s="5" t="str">
        <f t="shared" si="2"/>
        <v/>
      </c>
      <c r="D193" s="6"/>
      <c r="E193" s="6"/>
      <c r="F193" s="6"/>
      <c r="G193" s="6"/>
      <c r="H193" s="6"/>
    </row>
    <row r="194" spans="1:8" x14ac:dyDescent="0.25">
      <c r="A194" s="4"/>
      <c r="B194" s="6"/>
      <c r="C194" s="5" t="str">
        <f t="shared" si="2"/>
        <v/>
      </c>
      <c r="D194" s="6"/>
      <c r="E194" s="6"/>
      <c r="F194" s="6"/>
      <c r="G194" s="6"/>
      <c r="H194" s="6"/>
    </row>
    <row r="195" spans="1:8" x14ac:dyDescent="0.25">
      <c r="A195" s="4"/>
      <c r="B195" s="6"/>
      <c r="C195" s="5" t="str">
        <f t="shared" si="2"/>
        <v/>
      </c>
      <c r="D195" s="6"/>
      <c r="E195" s="6"/>
      <c r="F195" s="6"/>
      <c r="G195" s="6"/>
      <c r="H195" s="6"/>
    </row>
    <row r="196" spans="1:8" x14ac:dyDescent="0.25">
      <c r="A196" s="4"/>
      <c r="B196" s="6"/>
      <c r="C196" s="5" t="str">
        <f t="shared" si="2"/>
        <v/>
      </c>
      <c r="D196" s="6"/>
      <c r="E196" s="6"/>
      <c r="F196" s="6"/>
      <c r="G196" s="6"/>
      <c r="H196" s="6"/>
    </row>
    <row r="197" spans="1:8" x14ac:dyDescent="0.25">
      <c r="A197" s="4"/>
      <c r="B197" s="6"/>
      <c r="C197" s="5" t="str">
        <f t="shared" si="2"/>
        <v/>
      </c>
      <c r="D197" s="6"/>
      <c r="E197" s="6"/>
      <c r="F197" s="6"/>
      <c r="G197" s="6"/>
      <c r="H197" s="6"/>
    </row>
    <row r="198" spans="1:8" x14ac:dyDescent="0.25">
      <c r="A198" s="4"/>
      <c r="B198" s="6"/>
      <c r="C198" s="5" t="str">
        <f t="shared" ref="C198:C261" si="3">IF(ISBLANK(B198),"", "guest")</f>
        <v/>
      </c>
      <c r="D198" s="6"/>
      <c r="E198" s="6"/>
      <c r="F198" s="6"/>
      <c r="G198" s="6"/>
      <c r="H198" s="6"/>
    </row>
    <row r="199" spans="1:8" x14ac:dyDescent="0.25">
      <c r="A199" s="4"/>
      <c r="B199" s="6"/>
      <c r="C199" s="5" t="str">
        <f t="shared" si="3"/>
        <v/>
      </c>
      <c r="D199" s="6"/>
      <c r="E199" s="6"/>
      <c r="F199" s="6"/>
      <c r="G199" s="6"/>
      <c r="H199" s="6"/>
    </row>
    <row r="200" spans="1:8" x14ac:dyDescent="0.25">
      <c r="A200" s="4"/>
      <c r="B200" s="6"/>
      <c r="C200" s="5" t="str">
        <f t="shared" si="3"/>
        <v/>
      </c>
      <c r="D200" s="6"/>
      <c r="E200" s="6"/>
      <c r="F200" s="6"/>
      <c r="G200" s="6"/>
      <c r="H200" s="6"/>
    </row>
    <row r="201" spans="1:8" x14ac:dyDescent="0.25">
      <c r="A201" s="4"/>
      <c r="B201" s="6"/>
      <c r="C201" s="5" t="str">
        <f t="shared" si="3"/>
        <v/>
      </c>
      <c r="D201" s="6"/>
      <c r="E201" s="6"/>
      <c r="F201" s="6"/>
      <c r="G201" s="6"/>
      <c r="H201" s="6"/>
    </row>
    <row r="202" spans="1:8" x14ac:dyDescent="0.25">
      <c r="A202" s="4"/>
      <c r="B202" s="6"/>
      <c r="C202" s="5" t="str">
        <f t="shared" si="3"/>
        <v/>
      </c>
      <c r="D202" s="6"/>
      <c r="E202" s="6"/>
      <c r="F202" s="6"/>
      <c r="G202" s="6"/>
      <c r="H202" s="6"/>
    </row>
    <row r="203" spans="1:8" x14ac:dyDescent="0.25">
      <c r="A203" s="4"/>
      <c r="B203" s="6"/>
      <c r="C203" s="5" t="str">
        <f t="shared" si="3"/>
        <v/>
      </c>
      <c r="D203" s="6"/>
      <c r="E203" s="6"/>
      <c r="F203" s="6"/>
      <c r="G203" s="6"/>
      <c r="H203" s="6"/>
    </row>
    <row r="204" spans="1:8" x14ac:dyDescent="0.25">
      <c r="A204" s="4"/>
      <c r="B204" s="6"/>
      <c r="C204" s="5" t="str">
        <f t="shared" si="3"/>
        <v/>
      </c>
      <c r="D204" s="6"/>
      <c r="E204" s="6"/>
      <c r="F204" s="6"/>
      <c r="G204" s="6"/>
      <c r="H204" s="6"/>
    </row>
    <row r="205" spans="1:8" x14ac:dyDescent="0.25">
      <c r="A205" s="4"/>
      <c r="B205" s="6"/>
      <c r="C205" s="5" t="str">
        <f t="shared" si="3"/>
        <v/>
      </c>
      <c r="D205" s="6"/>
      <c r="E205" s="6"/>
      <c r="F205" s="6"/>
      <c r="G205" s="6"/>
      <c r="H205" s="6"/>
    </row>
    <row r="206" spans="1:8" x14ac:dyDescent="0.25">
      <c r="A206" s="4"/>
      <c r="B206" s="6"/>
      <c r="C206" s="5" t="str">
        <f t="shared" si="3"/>
        <v/>
      </c>
      <c r="D206" s="6"/>
      <c r="E206" s="6"/>
      <c r="F206" s="6"/>
      <c r="G206" s="6"/>
      <c r="H206" s="6"/>
    </row>
    <row r="207" spans="1:8" x14ac:dyDescent="0.25">
      <c r="A207" s="4"/>
      <c r="B207" s="6"/>
      <c r="C207" s="5" t="str">
        <f t="shared" si="3"/>
        <v/>
      </c>
      <c r="D207" s="6"/>
      <c r="E207" s="6"/>
      <c r="F207" s="6"/>
      <c r="G207" s="6"/>
      <c r="H207" s="6"/>
    </row>
    <row r="208" spans="1:8" x14ac:dyDescent="0.25">
      <c r="A208" s="4"/>
      <c r="B208" s="6"/>
      <c r="C208" s="5" t="str">
        <f t="shared" si="3"/>
        <v/>
      </c>
      <c r="D208" s="6"/>
      <c r="E208" s="6"/>
      <c r="F208" s="6"/>
      <c r="G208" s="6"/>
      <c r="H208" s="6"/>
    </row>
    <row r="209" spans="1:8" x14ac:dyDescent="0.25">
      <c r="A209" s="4"/>
      <c r="B209" s="6"/>
      <c r="C209" s="5" t="str">
        <f t="shared" si="3"/>
        <v/>
      </c>
      <c r="D209" s="6"/>
      <c r="E209" s="6"/>
      <c r="F209" s="6"/>
      <c r="G209" s="6"/>
      <c r="H209" s="6"/>
    </row>
    <row r="210" spans="1:8" x14ac:dyDescent="0.25">
      <c r="A210" s="4"/>
      <c r="B210" s="6"/>
      <c r="C210" s="5" t="str">
        <f t="shared" si="3"/>
        <v/>
      </c>
      <c r="D210" s="6"/>
      <c r="E210" s="6"/>
      <c r="F210" s="6"/>
      <c r="G210" s="6"/>
      <c r="H210" s="6"/>
    </row>
    <row r="211" spans="1:8" x14ac:dyDescent="0.25">
      <c r="A211" s="4"/>
      <c r="B211" s="6"/>
      <c r="C211" s="5" t="str">
        <f t="shared" si="3"/>
        <v/>
      </c>
      <c r="D211" s="6"/>
      <c r="E211" s="6"/>
      <c r="F211" s="6"/>
      <c r="G211" s="6"/>
      <c r="H211" s="6"/>
    </row>
    <row r="212" spans="1:8" x14ac:dyDescent="0.25">
      <c r="A212" s="4"/>
      <c r="B212" s="6"/>
      <c r="C212" s="5" t="str">
        <f t="shared" si="3"/>
        <v/>
      </c>
      <c r="D212" s="6"/>
      <c r="E212" s="6"/>
      <c r="F212" s="6"/>
      <c r="G212" s="6"/>
      <c r="H212" s="6"/>
    </row>
    <row r="213" spans="1:8" x14ac:dyDescent="0.25">
      <c r="A213" s="4"/>
      <c r="B213" s="6"/>
      <c r="C213" s="5" t="str">
        <f t="shared" si="3"/>
        <v/>
      </c>
      <c r="D213" s="6"/>
      <c r="E213" s="6"/>
      <c r="F213" s="6"/>
      <c r="G213" s="6"/>
      <c r="H213" s="6"/>
    </row>
    <row r="214" spans="1:8" x14ac:dyDescent="0.25">
      <c r="A214" s="4"/>
      <c r="B214" s="6"/>
      <c r="C214" s="5" t="str">
        <f t="shared" si="3"/>
        <v/>
      </c>
      <c r="D214" s="6"/>
      <c r="E214" s="6"/>
      <c r="F214" s="6"/>
      <c r="G214" s="6"/>
      <c r="H214" s="6"/>
    </row>
    <row r="215" spans="1:8" x14ac:dyDescent="0.25">
      <c r="A215" s="4"/>
      <c r="B215" s="6"/>
      <c r="C215" s="5" t="str">
        <f t="shared" si="3"/>
        <v/>
      </c>
      <c r="D215" s="6"/>
      <c r="E215" s="6"/>
      <c r="F215" s="6"/>
      <c r="G215" s="6"/>
      <c r="H215" s="6"/>
    </row>
    <row r="216" spans="1:8" x14ac:dyDescent="0.25">
      <c r="A216" s="4"/>
      <c r="B216" s="6"/>
      <c r="C216" s="5" t="str">
        <f t="shared" si="3"/>
        <v/>
      </c>
      <c r="D216" s="6"/>
      <c r="E216" s="6"/>
      <c r="F216" s="6"/>
      <c r="G216" s="6"/>
      <c r="H216" s="6"/>
    </row>
    <row r="217" spans="1:8" x14ac:dyDescent="0.25">
      <c r="A217" s="4"/>
      <c r="B217" s="6"/>
      <c r="C217" s="5" t="str">
        <f t="shared" si="3"/>
        <v/>
      </c>
      <c r="D217" s="6"/>
      <c r="E217" s="6"/>
      <c r="F217" s="6"/>
      <c r="G217" s="6"/>
      <c r="H217" s="6"/>
    </row>
    <row r="218" spans="1:8" x14ac:dyDescent="0.25">
      <c r="A218" s="4"/>
      <c r="B218" s="6"/>
      <c r="C218" s="5" t="str">
        <f t="shared" si="3"/>
        <v/>
      </c>
      <c r="D218" s="6"/>
      <c r="E218" s="6"/>
      <c r="F218" s="6"/>
      <c r="G218" s="6"/>
      <c r="H218" s="6"/>
    </row>
    <row r="219" spans="1:8" x14ac:dyDescent="0.25">
      <c r="A219" s="4"/>
      <c r="B219" s="6"/>
      <c r="C219" s="5" t="str">
        <f t="shared" si="3"/>
        <v/>
      </c>
      <c r="D219" s="6"/>
      <c r="E219" s="6"/>
      <c r="F219" s="6"/>
      <c r="G219" s="6"/>
      <c r="H219" s="6"/>
    </row>
    <row r="220" spans="1:8" x14ac:dyDescent="0.25">
      <c r="A220" s="4"/>
      <c r="B220" s="6"/>
      <c r="C220" s="5" t="str">
        <f t="shared" si="3"/>
        <v/>
      </c>
      <c r="D220" s="6"/>
      <c r="E220" s="6"/>
      <c r="F220" s="6"/>
      <c r="G220" s="6"/>
      <c r="H220" s="6"/>
    </row>
    <row r="221" spans="1:8" x14ac:dyDescent="0.25">
      <c r="A221" s="4"/>
      <c r="B221" s="6"/>
      <c r="C221" s="5" t="str">
        <f t="shared" si="3"/>
        <v/>
      </c>
      <c r="D221" s="6"/>
      <c r="E221" s="6"/>
      <c r="F221" s="6"/>
      <c r="G221" s="6"/>
      <c r="H221" s="6"/>
    </row>
    <row r="222" spans="1:8" x14ac:dyDescent="0.25">
      <c r="A222" s="4"/>
      <c r="B222" s="6"/>
      <c r="C222" s="5" t="str">
        <f t="shared" si="3"/>
        <v/>
      </c>
      <c r="D222" s="6"/>
      <c r="E222" s="6"/>
      <c r="F222" s="6"/>
      <c r="G222" s="6"/>
      <c r="H222" s="6"/>
    </row>
    <row r="223" spans="1:8" x14ac:dyDescent="0.25">
      <c r="A223" s="4"/>
      <c r="B223" s="6"/>
      <c r="C223" s="5" t="str">
        <f t="shared" si="3"/>
        <v/>
      </c>
      <c r="D223" s="6"/>
      <c r="E223" s="6"/>
      <c r="F223" s="6"/>
      <c r="G223" s="6"/>
      <c r="H223" s="6"/>
    </row>
    <row r="224" spans="1:8" x14ac:dyDescent="0.25">
      <c r="A224" s="4"/>
      <c r="B224" s="6"/>
      <c r="C224" s="5" t="str">
        <f t="shared" si="3"/>
        <v/>
      </c>
      <c r="D224" s="6"/>
      <c r="E224" s="6"/>
      <c r="F224" s="6"/>
      <c r="G224" s="6"/>
      <c r="H224" s="6"/>
    </row>
    <row r="225" spans="1:8" x14ac:dyDescent="0.25">
      <c r="A225" s="4"/>
      <c r="B225" s="6"/>
      <c r="C225" s="5" t="str">
        <f t="shared" si="3"/>
        <v/>
      </c>
      <c r="D225" s="6"/>
      <c r="E225" s="6"/>
      <c r="F225" s="6"/>
      <c r="G225" s="6"/>
      <c r="H225" s="6"/>
    </row>
    <row r="226" spans="1:8" x14ac:dyDescent="0.25">
      <c r="A226" s="4"/>
      <c r="B226" s="6"/>
      <c r="C226" s="5" t="str">
        <f t="shared" si="3"/>
        <v/>
      </c>
      <c r="D226" s="6"/>
      <c r="E226" s="6"/>
      <c r="F226" s="6"/>
      <c r="G226" s="6"/>
      <c r="H226" s="6"/>
    </row>
    <row r="227" spans="1:8" x14ac:dyDescent="0.25">
      <c r="A227" s="4"/>
      <c r="B227" s="6"/>
      <c r="C227" s="5" t="str">
        <f t="shared" si="3"/>
        <v/>
      </c>
      <c r="D227" s="6"/>
      <c r="E227" s="6"/>
      <c r="F227" s="6"/>
      <c r="G227" s="6"/>
      <c r="H227" s="6"/>
    </row>
    <row r="228" spans="1:8" x14ac:dyDescent="0.25">
      <c r="A228" s="4"/>
      <c r="B228" s="6"/>
      <c r="C228" s="5" t="str">
        <f t="shared" si="3"/>
        <v/>
      </c>
      <c r="D228" s="6"/>
      <c r="E228" s="6"/>
      <c r="F228" s="6"/>
      <c r="G228" s="6"/>
      <c r="H228" s="6"/>
    </row>
    <row r="229" spans="1:8" x14ac:dyDescent="0.25">
      <c r="A229" s="4"/>
      <c r="B229" s="6"/>
      <c r="C229" s="5" t="str">
        <f t="shared" si="3"/>
        <v/>
      </c>
      <c r="D229" s="6"/>
      <c r="E229" s="6"/>
      <c r="F229" s="6"/>
      <c r="G229" s="6"/>
      <c r="H229" s="6"/>
    </row>
    <row r="230" spans="1:8" x14ac:dyDescent="0.25">
      <c r="A230" s="4"/>
      <c r="B230" s="6"/>
      <c r="C230" s="5" t="str">
        <f t="shared" si="3"/>
        <v/>
      </c>
      <c r="D230" s="6"/>
      <c r="E230" s="6"/>
      <c r="F230" s="6"/>
      <c r="G230" s="6"/>
      <c r="H230" s="6"/>
    </row>
    <row r="231" spans="1:8" x14ac:dyDescent="0.25">
      <c r="A231" s="4"/>
      <c r="B231" s="6"/>
      <c r="C231" s="5" t="str">
        <f t="shared" si="3"/>
        <v/>
      </c>
      <c r="D231" s="6"/>
      <c r="E231" s="6"/>
      <c r="F231" s="6"/>
      <c r="G231" s="6"/>
      <c r="H231" s="6"/>
    </row>
    <row r="232" spans="1:8" x14ac:dyDescent="0.25">
      <c r="A232" s="4"/>
      <c r="B232" s="6"/>
      <c r="C232" s="5" t="str">
        <f t="shared" si="3"/>
        <v/>
      </c>
      <c r="D232" s="6"/>
      <c r="E232" s="6"/>
      <c r="F232" s="6"/>
      <c r="G232" s="6"/>
      <c r="H232" s="6"/>
    </row>
    <row r="233" spans="1:8" x14ac:dyDescent="0.25">
      <c r="A233" s="4"/>
      <c r="B233" s="6"/>
      <c r="C233" s="5" t="str">
        <f t="shared" si="3"/>
        <v/>
      </c>
      <c r="D233" s="6"/>
      <c r="E233" s="6"/>
      <c r="F233" s="6"/>
      <c r="G233" s="6"/>
      <c r="H233" s="6"/>
    </row>
    <row r="234" spans="1:8" x14ac:dyDescent="0.25">
      <c r="A234" s="4"/>
      <c r="B234" s="6"/>
      <c r="C234" s="5" t="str">
        <f t="shared" si="3"/>
        <v/>
      </c>
      <c r="D234" s="6"/>
      <c r="E234" s="6"/>
      <c r="F234" s="6"/>
      <c r="G234" s="6"/>
      <c r="H234" s="6"/>
    </row>
    <row r="235" spans="1:8" x14ac:dyDescent="0.25">
      <c r="A235" s="4"/>
      <c r="B235" s="6"/>
      <c r="C235" s="5" t="str">
        <f t="shared" si="3"/>
        <v/>
      </c>
      <c r="D235" s="6"/>
      <c r="E235" s="6"/>
      <c r="F235" s="6"/>
      <c r="G235" s="6"/>
      <c r="H235" s="6"/>
    </row>
    <row r="236" spans="1:8" x14ac:dyDescent="0.25">
      <c r="A236" s="4"/>
      <c r="B236" s="6"/>
      <c r="C236" s="5" t="str">
        <f t="shared" si="3"/>
        <v/>
      </c>
      <c r="D236" s="6"/>
      <c r="E236" s="6"/>
      <c r="F236" s="6"/>
      <c r="G236" s="6"/>
      <c r="H236" s="6"/>
    </row>
    <row r="237" spans="1:8" x14ac:dyDescent="0.25">
      <c r="A237" s="4"/>
      <c r="B237" s="6"/>
      <c r="C237" s="5" t="str">
        <f t="shared" si="3"/>
        <v/>
      </c>
      <c r="D237" s="6"/>
      <c r="E237" s="6"/>
      <c r="F237" s="6"/>
      <c r="G237" s="6"/>
      <c r="H237" s="6"/>
    </row>
    <row r="238" spans="1:8" x14ac:dyDescent="0.25">
      <c r="A238" s="4"/>
      <c r="B238" s="6"/>
      <c r="C238" s="5" t="str">
        <f t="shared" si="3"/>
        <v/>
      </c>
      <c r="D238" s="6"/>
      <c r="E238" s="6"/>
      <c r="F238" s="6"/>
      <c r="G238" s="6"/>
      <c r="H238" s="6"/>
    </row>
    <row r="239" spans="1:8" x14ac:dyDescent="0.25">
      <c r="A239" s="4"/>
      <c r="B239" s="6"/>
      <c r="C239" s="5" t="str">
        <f t="shared" si="3"/>
        <v/>
      </c>
      <c r="D239" s="6"/>
      <c r="E239" s="6"/>
      <c r="F239" s="6"/>
      <c r="G239" s="6"/>
      <c r="H239" s="6"/>
    </row>
    <row r="240" spans="1:8" x14ac:dyDescent="0.25">
      <c r="A240" s="4"/>
      <c r="B240" s="6"/>
      <c r="C240" s="5" t="str">
        <f t="shared" si="3"/>
        <v/>
      </c>
      <c r="D240" s="6"/>
      <c r="E240" s="6"/>
      <c r="F240" s="6"/>
      <c r="G240" s="6"/>
      <c r="H240" s="6"/>
    </row>
    <row r="241" spans="1:8" x14ac:dyDescent="0.25">
      <c r="A241" s="4"/>
      <c r="B241" s="6"/>
      <c r="C241" s="5" t="str">
        <f t="shared" si="3"/>
        <v/>
      </c>
      <c r="D241" s="6"/>
      <c r="E241" s="6"/>
      <c r="F241" s="6"/>
      <c r="G241" s="6"/>
      <c r="H241" s="6"/>
    </row>
    <row r="242" spans="1:8" x14ac:dyDescent="0.25">
      <c r="A242" s="4"/>
      <c r="B242" s="6"/>
      <c r="C242" s="5" t="str">
        <f t="shared" si="3"/>
        <v/>
      </c>
      <c r="D242" s="6"/>
      <c r="E242" s="6"/>
      <c r="F242" s="6"/>
      <c r="G242" s="6"/>
      <c r="H242" s="6"/>
    </row>
    <row r="243" spans="1:8" x14ac:dyDescent="0.25">
      <c r="A243" s="4"/>
      <c r="B243" s="6"/>
      <c r="C243" s="5" t="str">
        <f t="shared" si="3"/>
        <v/>
      </c>
      <c r="D243" s="6"/>
      <c r="E243" s="6"/>
      <c r="F243" s="6"/>
      <c r="G243" s="6"/>
      <c r="H243" s="6"/>
    </row>
    <row r="244" spans="1:8" x14ac:dyDescent="0.25">
      <c r="A244" s="4"/>
      <c r="B244" s="6"/>
      <c r="C244" s="5" t="str">
        <f t="shared" si="3"/>
        <v/>
      </c>
      <c r="D244" s="6"/>
      <c r="E244" s="6"/>
      <c r="F244" s="6"/>
      <c r="G244" s="6"/>
      <c r="H244" s="6"/>
    </row>
    <row r="245" spans="1:8" x14ac:dyDescent="0.25">
      <c r="A245" s="4"/>
      <c r="B245" s="6"/>
      <c r="C245" s="5" t="str">
        <f t="shared" si="3"/>
        <v/>
      </c>
      <c r="D245" s="6"/>
      <c r="E245" s="6"/>
      <c r="F245" s="6"/>
      <c r="G245" s="6"/>
      <c r="H245" s="6"/>
    </row>
    <row r="246" spans="1:8" x14ac:dyDescent="0.25">
      <c r="A246" s="4"/>
      <c r="B246" s="6"/>
      <c r="C246" s="5" t="str">
        <f t="shared" si="3"/>
        <v/>
      </c>
      <c r="D246" s="6"/>
      <c r="E246" s="6"/>
      <c r="F246" s="6"/>
      <c r="G246" s="6"/>
      <c r="H246" s="6"/>
    </row>
    <row r="247" spans="1:8" x14ac:dyDescent="0.25">
      <c r="A247" s="4"/>
      <c r="B247" s="6"/>
      <c r="C247" s="5" t="str">
        <f t="shared" si="3"/>
        <v/>
      </c>
      <c r="D247" s="6"/>
      <c r="E247" s="6"/>
      <c r="F247" s="6"/>
      <c r="G247" s="6"/>
      <c r="H247" s="6"/>
    </row>
    <row r="248" spans="1:8" x14ac:dyDescent="0.25">
      <c r="A248" s="4"/>
      <c r="B248" s="6"/>
      <c r="C248" s="5" t="str">
        <f t="shared" si="3"/>
        <v/>
      </c>
      <c r="D248" s="6"/>
      <c r="E248" s="6"/>
      <c r="F248" s="6"/>
      <c r="G248" s="6"/>
      <c r="H248" s="6"/>
    </row>
    <row r="249" spans="1:8" x14ac:dyDescent="0.25">
      <c r="A249" s="4"/>
      <c r="B249" s="6"/>
      <c r="C249" s="5" t="str">
        <f t="shared" si="3"/>
        <v/>
      </c>
      <c r="D249" s="6"/>
      <c r="E249" s="6"/>
      <c r="F249" s="6"/>
      <c r="G249" s="6"/>
      <c r="H249" s="6"/>
    </row>
    <row r="250" spans="1:8" x14ac:dyDescent="0.25">
      <c r="A250" s="4"/>
      <c r="B250" s="6"/>
      <c r="C250" s="5" t="str">
        <f t="shared" si="3"/>
        <v/>
      </c>
      <c r="D250" s="6"/>
      <c r="E250" s="6"/>
      <c r="F250" s="6"/>
      <c r="G250" s="6"/>
      <c r="H250" s="6"/>
    </row>
    <row r="251" spans="1:8" x14ac:dyDescent="0.25">
      <c r="A251" s="4"/>
      <c r="B251" s="6"/>
      <c r="C251" s="5" t="str">
        <f t="shared" si="3"/>
        <v/>
      </c>
      <c r="D251" s="6"/>
      <c r="E251" s="6"/>
      <c r="F251" s="6"/>
      <c r="G251" s="6"/>
      <c r="H251" s="6"/>
    </row>
    <row r="252" spans="1:8" x14ac:dyDescent="0.25">
      <c r="A252" s="4"/>
      <c r="B252" s="6"/>
      <c r="C252" s="5" t="str">
        <f t="shared" si="3"/>
        <v/>
      </c>
      <c r="D252" s="6"/>
      <c r="E252" s="6"/>
      <c r="F252" s="6"/>
      <c r="G252" s="6"/>
      <c r="H252" s="6"/>
    </row>
    <row r="253" spans="1:8" x14ac:dyDescent="0.25">
      <c r="A253" s="4"/>
      <c r="B253" s="6"/>
      <c r="C253" s="5" t="str">
        <f t="shared" si="3"/>
        <v/>
      </c>
      <c r="D253" s="6"/>
      <c r="E253" s="6"/>
      <c r="F253" s="6"/>
      <c r="G253" s="6"/>
      <c r="H253" s="6"/>
    </row>
    <row r="254" spans="1:8" x14ac:dyDescent="0.25">
      <c r="A254" s="4"/>
      <c r="B254" s="6"/>
      <c r="C254" s="5" t="str">
        <f t="shared" si="3"/>
        <v/>
      </c>
      <c r="D254" s="6"/>
      <c r="E254" s="6"/>
      <c r="F254" s="6"/>
      <c r="G254" s="6"/>
      <c r="H254" s="6"/>
    </row>
    <row r="255" spans="1:8" x14ac:dyDescent="0.25">
      <c r="A255" s="4"/>
      <c r="B255" s="6"/>
      <c r="C255" s="5" t="str">
        <f t="shared" si="3"/>
        <v/>
      </c>
      <c r="D255" s="6"/>
      <c r="E255" s="6"/>
      <c r="F255" s="6"/>
      <c r="G255" s="6"/>
      <c r="H255" s="6"/>
    </row>
    <row r="256" spans="1:8" x14ac:dyDescent="0.25">
      <c r="A256" s="4"/>
      <c r="B256" s="6"/>
      <c r="C256" s="5" t="str">
        <f t="shared" si="3"/>
        <v/>
      </c>
      <c r="D256" s="6"/>
      <c r="E256" s="6"/>
      <c r="F256" s="6"/>
      <c r="G256" s="6"/>
      <c r="H256" s="6"/>
    </row>
    <row r="257" spans="1:8" x14ac:dyDescent="0.25">
      <c r="A257" s="4"/>
      <c r="B257" s="6"/>
      <c r="C257" s="5" t="str">
        <f t="shared" si="3"/>
        <v/>
      </c>
      <c r="D257" s="6"/>
      <c r="E257" s="6"/>
      <c r="F257" s="6"/>
      <c r="G257" s="6"/>
      <c r="H257" s="6"/>
    </row>
    <row r="258" spans="1:8" x14ac:dyDescent="0.25">
      <c r="A258" s="4"/>
      <c r="B258" s="6"/>
      <c r="C258" s="5" t="str">
        <f t="shared" si="3"/>
        <v/>
      </c>
      <c r="D258" s="6"/>
      <c r="E258" s="6"/>
      <c r="F258" s="6"/>
      <c r="G258" s="6"/>
      <c r="H258" s="6"/>
    </row>
    <row r="259" spans="1:8" x14ac:dyDescent="0.25">
      <c r="A259" s="4"/>
      <c r="B259" s="6"/>
      <c r="C259" s="5" t="str">
        <f t="shared" si="3"/>
        <v/>
      </c>
      <c r="D259" s="6"/>
      <c r="E259" s="6"/>
      <c r="F259" s="6"/>
      <c r="G259" s="6"/>
      <c r="H259" s="6"/>
    </row>
    <row r="260" spans="1:8" x14ac:dyDescent="0.25">
      <c r="A260" s="4"/>
      <c r="B260" s="6"/>
      <c r="C260" s="5" t="str">
        <f t="shared" si="3"/>
        <v/>
      </c>
      <c r="D260" s="6"/>
      <c r="E260" s="6"/>
      <c r="F260" s="6"/>
      <c r="G260" s="6"/>
      <c r="H260" s="6"/>
    </row>
    <row r="261" spans="1:8" x14ac:dyDescent="0.25">
      <c r="A261" s="4"/>
      <c r="B261" s="6"/>
      <c r="C261" s="5" t="str">
        <f t="shared" si="3"/>
        <v/>
      </c>
      <c r="D261" s="6"/>
      <c r="E261" s="6"/>
      <c r="F261" s="6"/>
      <c r="G261" s="6"/>
      <c r="H261" s="6"/>
    </row>
    <row r="262" spans="1:8" x14ac:dyDescent="0.25">
      <c r="A262" s="4"/>
      <c r="B262" s="6"/>
      <c r="C262" s="5" t="str">
        <f t="shared" ref="C262:C325" si="4">IF(ISBLANK(B262),"", "guest")</f>
        <v/>
      </c>
      <c r="D262" s="6"/>
      <c r="E262" s="6"/>
      <c r="F262" s="6"/>
      <c r="G262" s="6"/>
      <c r="H262" s="6"/>
    </row>
    <row r="263" spans="1:8" x14ac:dyDescent="0.25">
      <c r="A263" s="4"/>
      <c r="B263" s="6"/>
      <c r="C263" s="5" t="str">
        <f t="shared" si="4"/>
        <v/>
      </c>
      <c r="D263" s="6"/>
      <c r="E263" s="6"/>
      <c r="F263" s="6"/>
      <c r="G263" s="6"/>
      <c r="H263" s="6"/>
    </row>
    <row r="264" spans="1:8" x14ac:dyDescent="0.25">
      <c r="A264" s="4"/>
      <c r="B264" s="6"/>
      <c r="C264" s="5" t="str">
        <f t="shared" si="4"/>
        <v/>
      </c>
      <c r="D264" s="6"/>
      <c r="E264" s="6"/>
      <c r="F264" s="6"/>
      <c r="G264" s="6"/>
      <c r="H264" s="6"/>
    </row>
    <row r="265" spans="1:8" x14ac:dyDescent="0.25">
      <c r="A265" s="4"/>
      <c r="B265" s="6"/>
      <c r="C265" s="5" t="str">
        <f t="shared" si="4"/>
        <v/>
      </c>
      <c r="D265" s="6"/>
      <c r="E265" s="6"/>
      <c r="F265" s="6"/>
      <c r="G265" s="6"/>
      <c r="H265" s="6"/>
    </row>
    <row r="266" spans="1:8" x14ac:dyDescent="0.25">
      <c r="A266" s="4"/>
      <c r="B266" s="6"/>
      <c r="C266" s="5" t="str">
        <f t="shared" si="4"/>
        <v/>
      </c>
      <c r="D266" s="6"/>
      <c r="E266" s="6"/>
      <c r="F266" s="6"/>
      <c r="G266" s="6"/>
      <c r="H266" s="6"/>
    </row>
    <row r="267" spans="1:8" x14ac:dyDescent="0.25">
      <c r="A267" s="4"/>
      <c r="B267" s="6"/>
      <c r="C267" s="5" t="str">
        <f t="shared" si="4"/>
        <v/>
      </c>
      <c r="D267" s="6"/>
      <c r="E267" s="6"/>
      <c r="F267" s="6"/>
      <c r="G267" s="6"/>
      <c r="H267" s="6"/>
    </row>
    <row r="268" spans="1:8" x14ac:dyDescent="0.25">
      <c r="A268" s="4"/>
      <c r="B268" s="6"/>
      <c r="C268" s="5" t="str">
        <f t="shared" si="4"/>
        <v/>
      </c>
      <c r="D268" s="6"/>
      <c r="E268" s="6"/>
      <c r="F268" s="6"/>
      <c r="G268" s="6"/>
      <c r="H268" s="6"/>
    </row>
    <row r="269" spans="1:8" x14ac:dyDescent="0.25">
      <c r="A269" s="4"/>
      <c r="B269" s="6"/>
      <c r="C269" s="5" t="str">
        <f t="shared" si="4"/>
        <v/>
      </c>
      <c r="D269" s="6"/>
      <c r="E269" s="6"/>
      <c r="F269" s="6"/>
      <c r="G269" s="6"/>
      <c r="H269" s="6"/>
    </row>
    <row r="270" spans="1:8" x14ac:dyDescent="0.25">
      <c r="A270" s="4"/>
      <c r="B270" s="6"/>
      <c r="C270" s="5" t="str">
        <f t="shared" si="4"/>
        <v/>
      </c>
      <c r="D270" s="6"/>
      <c r="E270" s="6"/>
      <c r="F270" s="6"/>
      <c r="G270" s="6"/>
      <c r="H270" s="6"/>
    </row>
    <row r="271" spans="1:8" x14ac:dyDescent="0.25">
      <c r="A271" s="4"/>
      <c r="B271" s="6"/>
      <c r="C271" s="5" t="str">
        <f t="shared" si="4"/>
        <v/>
      </c>
      <c r="D271" s="6"/>
      <c r="E271" s="6"/>
      <c r="F271" s="6"/>
      <c r="G271" s="6"/>
      <c r="H271" s="6"/>
    </row>
    <row r="272" spans="1:8" x14ac:dyDescent="0.25">
      <c r="A272" s="4"/>
      <c r="B272" s="6"/>
      <c r="C272" s="5" t="str">
        <f t="shared" si="4"/>
        <v/>
      </c>
      <c r="D272" s="6"/>
      <c r="E272" s="6"/>
      <c r="F272" s="6"/>
      <c r="G272" s="6"/>
      <c r="H272" s="6"/>
    </row>
    <row r="273" spans="1:8" x14ac:dyDescent="0.25">
      <c r="A273" s="4"/>
      <c r="B273" s="6"/>
      <c r="C273" s="5" t="str">
        <f t="shared" si="4"/>
        <v/>
      </c>
      <c r="D273" s="6"/>
      <c r="E273" s="6"/>
      <c r="F273" s="6"/>
      <c r="G273" s="6"/>
      <c r="H273" s="6"/>
    </row>
    <row r="274" spans="1:8" x14ac:dyDescent="0.25">
      <c r="A274" s="4"/>
      <c r="B274" s="6"/>
      <c r="C274" s="5" t="str">
        <f t="shared" si="4"/>
        <v/>
      </c>
      <c r="D274" s="6"/>
      <c r="E274" s="6"/>
      <c r="F274" s="6"/>
      <c r="G274" s="6"/>
      <c r="H274" s="6"/>
    </row>
    <row r="275" spans="1:8" x14ac:dyDescent="0.25">
      <c r="A275" s="4"/>
      <c r="B275" s="6"/>
      <c r="C275" s="5" t="str">
        <f t="shared" si="4"/>
        <v/>
      </c>
      <c r="D275" s="6"/>
      <c r="E275" s="6"/>
      <c r="F275" s="6"/>
      <c r="G275" s="6"/>
      <c r="H275" s="6"/>
    </row>
    <row r="276" spans="1:8" x14ac:dyDescent="0.25">
      <c r="A276" s="4"/>
      <c r="B276" s="6"/>
      <c r="C276" s="5" t="str">
        <f t="shared" si="4"/>
        <v/>
      </c>
      <c r="D276" s="6"/>
      <c r="E276" s="6"/>
      <c r="F276" s="6"/>
      <c r="G276" s="6"/>
      <c r="H276" s="6"/>
    </row>
    <row r="277" spans="1:8" x14ac:dyDescent="0.25">
      <c r="A277" s="4"/>
      <c r="B277" s="6"/>
      <c r="C277" s="5" t="str">
        <f t="shared" si="4"/>
        <v/>
      </c>
      <c r="D277" s="6"/>
      <c r="E277" s="6"/>
      <c r="F277" s="6"/>
      <c r="G277" s="6"/>
      <c r="H277" s="6"/>
    </row>
    <row r="278" spans="1:8" x14ac:dyDescent="0.25">
      <c r="A278" s="4"/>
      <c r="B278" s="6"/>
      <c r="C278" s="5" t="str">
        <f t="shared" si="4"/>
        <v/>
      </c>
      <c r="D278" s="6"/>
      <c r="E278" s="6"/>
      <c r="F278" s="6"/>
      <c r="G278" s="6"/>
      <c r="H278" s="6"/>
    </row>
    <row r="279" spans="1:8" x14ac:dyDescent="0.25">
      <c r="A279" s="4"/>
      <c r="B279" s="6"/>
      <c r="C279" s="5" t="str">
        <f t="shared" si="4"/>
        <v/>
      </c>
      <c r="D279" s="6"/>
      <c r="E279" s="6"/>
      <c r="F279" s="6"/>
      <c r="G279" s="6"/>
      <c r="H279" s="6"/>
    </row>
    <row r="280" spans="1:8" x14ac:dyDescent="0.25">
      <c r="A280" s="4"/>
      <c r="B280" s="6"/>
      <c r="C280" s="5" t="str">
        <f t="shared" si="4"/>
        <v/>
      </c>
      <c r="D280" s="6"/>
      <c r="E280" s="6"/>
      <c r="F280" s="6"/>
      <c r="G280" s="6"/>
      <c r="H280" s="6"/>
    </row>
    <row r="281" spans="1:8" x14ac:dyDescent="0.25">
      <c r="A281" s="4"/>
      <c r="B281" s="6"/>
      <c r="C281" s="5" t="str">
        <f t="shared" si="4"/>
        <v/>
      </c>
      <c r="D281" s="6"/>
      <c r="E281" s="6"/>
      <c r="F281" s="6"/>
      <c r="G281" s="6"/>
      <c r="H281" s="6"/>
    </row>
    <row r="282" spans="1:8" x14ac:dyDescent="0.25">
      <c r="A282" s="4"/>
      <c r="B282" s="6"/>
      <c r="C282" s="5" t="str">
        <f t="shared" si="4"/>
        <v/>
      </c>
      <c r="D282" s="6"/>
      <c r="E282" s="6"/>
      <c r="F282" s="6"/>
      <c r="G282" s="6"/>
      <c r="H282" s="6"/>
    </row>
    <row r="283" spans="1:8" x14ac:dyDescent="0.25">
      <c r="A283" s="4"/>
      <c r="B283" s="6"/>
      <c r="C283" s="5" t="str">
        <f t="shared" si="4"/>
        <v/>
      </c>
      <c r="D283" s="6"/>
      <c r="E283" s="6"/>
      <c r="F283" s="6"/>
      <c r="G283" s="6"/>
      <c r="H283" s="6"/>
    </row>
    <row r="284" spans="1:8" x14ac:dyDescent="0.25">
      <c r="A284" s="4"/>
      <c r="B284" s="6"/>
      <c r="C284" s="5" t="str">
        <f t="shared" si="4"/>
        <v/>
      </c>
      <c r="D284" s="6"/>
      <c r="E284" s="6"/>
      <c r="F284" s="6"/>
      <c r="G284" s="6"/>
      <c r="H284" s="6"/>
    </row>
    <row r="285" spans="1:8" x14ac:dyDescent="0.25">
      <c r="A285" s="4"/>
      <c r="B285" s="6"/>
      <c r="C285" s="5" t="str">
        <f t="shared" si="4"/>
        <v/>
      </c>
      <c r="D285" s="6"/>
      <c r="E285" s="6"/>
      <c r="F285" s="6"/>
      <c r="G285" s="6"/>
      <c r="H285" s="6"/>
    </row>
    <row r="286" spans="1:8" x14ac:dyDescent="0.25">
      <c r="A286" s="4"/>
      <c r="B286" s="6"/>
      <c r="C286" s="5" t="str">
        <f t="shared" si="4"/>
        <v/>
      </c>
      <c r="D286" s="6"/>
      <c r="E286" s="6"/>
      <c r="F286" s="6"/>
      <c r="G286" s="6"/>
      <c r="H286" s="6"/>
    </row>
    <row r="287" spans="1:8" x14ac:dyDescent="0.25">
      <c r="A287" s="4"/>
      <c r="B287" s="6"/>
      <c r="C287" s="5" t="str">
        <f t="shared" si="4"/>
        <v/>
      </c>
      <c r="D287" s="6"/>
      <c r="E287" s="6"/>
      <c r="F287" s="6"/>
      <c r="G287" s="6"/>
      <c r="H287" s="6"/>
    </row>
    <row r="288" spans="1:8" x14ac:dyDescent="0.25">
      <c r="A288" s="4"/>
      <c r="B288" s="6"/>
      <c r="C288" s="5" t="str">
        <f t="shared" si="4"/>
        <v/>
      </c>
      <c r="D288" s="6"/>
      <c r="E288" s="6"/>
      <c r="F288" s="6"/>
      <c r="G288" s="6"/>
      <c r="H288" s="6"/>
    </row>
    <row r="289" spans="1:8" x14ac:dyDescent="0.25">
      <c r="A289" s="4"/>
      <c r="B289" s="6"/>
      <c r="C289" s="5" t="str">
        <f t="shared" si="4"/>
        <v/>
      </c>
      <c r="D289" s="6"/>
      <c r="E289" s="6"/>
      <c r="F289" s="6"/>
      <c r="G289" s="6"/>
      <c r="H289" s="6"/>
    </row>
    <row r="290" spans="1:8" x14ac:dyDescent="0.25">
      <c r="A290" s="4"/>
      <c r="B290" s="6"/>
      <c r="C290" s="5" t="str">
        <f t="shared" si="4"/>
        <v/>
      </c>
      <c r="D290" s="6"/>
      <c r="E290" s="6"/>
      <c r="F290" s="6"/>
      <c r="G290" s="6"/>
      <c r="H290" s="6"/>
    </row>
    <row r="291" spans="1:8" x14ac:dyDescent="0.25">
      <c r="A291" s="4"/>
      <c r="B291" s="6"/>
      <c r="C291" s="5" t="str">
        <f t="shared" si="4"/>
        <v/>
      </c>
      <c r="D291" s="6"/>
      <c r="E291" s="6"/>
      <c r="F291" s="6"/>
      <c r="G291" s="6"/>
      <c r="H291" s="6"/>
    </row>
    <row r="292" spans="1:8" x14ac:dyDescent="0.25">
      <c r="A292" s="4"/>
      <c r="B292" s="6"/>
      <c r="C292" s="5" t="str">
        <f t="shared" si="4"/>
        <v/>
      </c>
      <c r="D292" s="6"/>
      <c r="E292" s="6"/>
      <c r="F292" s="6"/>
      <c r="G292" s="6"/>
      <c r="H292" s="6"/>
    </row>
    <row r="293" spans="1:8" x14ac:dyDescent="0.25">
      <c r="A293" s="4"/>
      <c r="B293" s="6"/>
      <c r="C293" s="5" t="str">
        <f t="shared" si="4"/>
        <v/>
      </c>
      <c r="D293" s="6"/>
      <c r="E293" s="6"/>
      <c r="F293" s="6"/>
      <c r="G293" s="6"/>
      <c r="H293" s="6"/>
    </row>
    <row r="294" spans="1:8" x14ac:dyDescent="0.25">
      <c r="A294" s="4"/>
      <c r="B294" s="6"/>
      <c r="C294" s="5" t="str">
        <f t="shared" si="4"/>
        <v/>
      </c>
      <c r="D294" s="6"/>
      <c r="E294" s="6"/>
      <c r="F294" s="6"/>
      <c r="G294" s="6"/>
      <c r="H294" s="6"/>
    </row>
    <row r="295" spans="1:8" x14ac:dyDescent="0.25">
      <c r="A295" s="4"/>
      <c r="B295" s="6"/>
      <c r="C295" s="5" t="str">
        <f t="shared" si="4"/>
        <v/>
      </c>
      <c r="D295" s="6"/>
      <c r="E295" s="6"/>
      <c r="F295" s="6"/>
      <c r="G295" s="6"/>
      <c r="H295" s="6"/>
    </row>
    <row r="296" spans="1:8" x14ac:dyDescent="0.25">
      <c r="A296" s="4"/>
      <c r="B296" s="6"/>
      <c r="C296" s="5" t="str">
        <f t="shared" si="4"/>
        <v/>
      </c>
      <c r="D296" s="6"/>
      <c r="E296" s="6"/>
      <c r="F296" s="6"/>
      <c r="G296" s="6"/>
      <c r="H296" s="6"/>
    </row>
    <row r="297" spans="1:8" x14ac:dyDescent="0.25">
      <c r="A297" s="4"/>
      <c r="B297" s="6"/>
      <c r="C297" s="5" t="str">
        <f t="shared" si="4"/>
        <v/>
      </c>
      <c r="D297" s="6"/>
      <c r="E297" s="6"/>
      <c r="F297" s="6"/>
      <c r="G297" s="6"/>
      <c r="H297" s="6"/>
    </row>
    <row r="298" spans="1:8" x14ac:dyDescent="0.25">
      <c r="A298" s="4"/>
      <c r="B298" s="6"/>
      <c r="C298" s="5" t="str">
        <f t="shared" si="4"/>
        <v/>
      </c>
      <c r="D298" s="6"/>
      <c r="E298" s="6"/>
      <c r="F298" s="6"/>
      <c r="G298" s="6"/>
      <c r="H298" s="6"/>
    </row>
    <row r="299" spans="1:8" x14ac:dyDescent="0.25">
      <c r="A299" s="4"/>
      <c r="B299" s="6"/>
      <c r="C299" s="5" t="str">
        <f t="shared" si="4"/>
        <v/>
      </c>
      <c r="D299" s="6"/>
      <c r="E299" s="6"/>
      <c r="F299" s="6"/>
      <c r="G299" s="6"/>
      <c r="H299" s="6"/>
    </row>
    <row r="300" spans="1:8" x14ac:dyDescent="0.25">
      <c r="A300" s="4"/>
      <c r="B300" s="6"/>
      <c r="C300" s="5" t="str">
        <f t="shared" si="4"/>
        <v/>
      </c>
      <c r="D300" s="6"/>
      <c r="E300" s="6"/>
      <c r="F300" s="6"/>
      <c r="G300" s="6"/>
      <c r="H300" s="6"/>
    </row>
    <row r="301" spans="1:8" x14ac:dyDescent="0.25">
      <c r="A301" s="4"/>
      <c r="B301" s="6"/>
      <c r="C301" s="5" t="str">
        <f t="shared" si="4"/>
        <v/>
      </c>
      <c r="D301" s="6"/>
      <c r="E301" s="6"/>
      <c r="F301" s="6"/>
      <c r="G301" s="6"/>
      <c r="H301" s="6"/>
    </row>
    <row r="302" spans="1:8" x14ac:dyDescent="0.25">
      <c r="A302" s="4"/>
      <c r="B302" s="6"/>
      <c r="C302" s="5" t="str">
        <f t="shared" si="4"/>
        <v/>
      </c>
      <c r="D302" s="6"/>
      <c r="E302" s="6"/>
      <c r="F302" s="6"/>
      <c r="G302" s="6"/>
      <c r="H302" s="6"/>
    </row>
    <row r="303" spans="1:8" x14ac:dyDescent="0.25">
      <c r="A303" s="4"/>
      <c r="B303" s="6"/>
      <c r="C303" s="5" t="str">
        <f t="shared" si="4"/>
        <v/>
      </c>
      <c r="D303" s="6"/>
      <c r="E303" s="6"/>
      <c r="F303" s="6"/>
      <c r="G303" s="6"/>
      <c r="H303" s="6"/>
    </row>
    <row r="304" spans="1:8" x14ac:dyDescent="0.25">
      <c r="A304" s="4"/>
      <c r="B304" s="6"/>
      <c r="C304" s="5" t="str">
        <f t="shared" si="4"/>
        <v/>
      </c>
      <c r="D304" s="6"/>
      <c r="E304" s="6"/>
      <c r="F304" s="6"/>
      <c r="G304" s="6"/>
      <c r="H304" s="6"/>
    </row>
    <row r="305" spans="1:8" x14ac:dyDescent="0.25">
      <c r="A305" s="4"/>
      <c r="B305" s="6"/>
      <c r="C305" s="5" t="str">
        <f t="shared" si="4"/>
        <v/>
      </c>
      <c r="D305" s="6"/>
      <c r="E305" s="6"/>
      <c r="F305" s="6"/>
      <c r="G305" s="6"/>
      <c r="H305" s="6"/>
    </row>
    <row r="306" spans="1:8" x14ac:dyDescent="0.25">
      <c r="A306" s="4"/>
      <c r="B306" s="6"/>
      <c r="C306" s="5" t="str">
        <f t="shared" si="4"/>
        <v/>
      </c>
      <c r="D306" s="6"/>
      <c r="E306" s="6"/>
      <c r="F306" s="6"/>
      <c r="G306" s="6"/>
      <c r="H306" s="6"/>
    </row>
    <row r="307" spans="1:8" x14ac:dyDescent="0.25">
      <c r="A307" s="4"/>
      <c r="B307" s="6"/>
      <c r="C307" s="5" t="str">
        <f t="shared" si="4"/>
        <v/>
      </c>
      <c r="D307" s="6"/>
      <c r="E307" s="6"/>
      <c r="F307" s="6"/>
      <c r="G307" s="6"/>
      <c r="H307" s="6"/>
    </row>
    <row r="308" spans="1:8" x14ac:dyDescent="0.25">
      <c r="A308" s="4"/>
      <c r="B308" s="6"/>
      <c r="C308" s="5" t="str">
        <f t="shared" si="4"/>
        <v/>
      </c>
      <c r="D308" s="6"/>
      <c r="E308" s="6"/>
      <c r="F308" s="6"/>
      <c r="G308" s="6"/>
      <c r="H308" s="6"/>
    </row>
    <row r="309" spans="1:8" x14ac:dyDescent="0.25">
      <c r="A309" s="4"/>
      <c r="B309" s="6"/>
      <c r="C309" s="5" t="str">
        <f t="shared" si="4"/>
        <v/>
      </c>
      <c r="D309" s="6"/>
      <c r="E309" s="6"/>
      <c r="F309" s="6"/>
      <c r="G309" s="6"/>
      <c r="H309" s="6"/>
    </row>
    <row r="310" spans="1:8" x14ac:dyDescent="0.25">
      <c r="A310" s="4"/>
      <c r="B310" s="6"/>
      <c r="C310" s="5" t="str">
        <f t="shared" si="4"/>
        <v/>
      </c>
      <c r="D310" s="6"/>
      <c r="E310" s="6"/>
      <c r="F310" s="6"/>
      <c r="G310" s="6"/>
      <c r="H310" s="6"/>
    </row>
    <row r="311" spans="1:8" x14ac:dyDescent="0.25">
      <c r="A311" s="4"/>
      <c r="B311" s="6"/>
      <c r="C311" s="5" t="str">
        <f t="shared" si="4"/>
        <v/>
      </c>
      <c r="D311" s="6"/>
      <c r="E311" s="6"/>
      <c r="F311" s="6"/>
      <c r="G311" s="6"/>
      <c r="H311" s="6"/>
    </row>
    <row r="312" spans="1:8" x14ac:dyDescent="0.25">
      <c r="A312" s="4"/>
      <c r="B312" s="6"/>
      <c r="C312" s="5" t="str">
        <f t="shared" si="4"/>
        <v/>
      </c>
      <c r="D312" s="6"/>
      <c r="E312" s="6"/>
      <c r="F312" s="6"/>
      <c r="G312" s="6"/>
      <c r="H312" s="6"/>
    </row>
    <row r="313" spans="1:8" x14ac:dyDescent="0.25">
      <c r="A313" s="4"/>
      <c r="B313" s="6"/>
      <c r="C313" s="5" t="str">
        <f t="shared" si="4"/>
        <v/>
      </c>
      <c r="D313" s="6"/>
      <c r="E313" s="6"/>
      <c r="F313" s="6"/>
      <c r="G313" s="6"/>
      <c r="H313" s="6"/>
    </row>
    <row r="314" spans="1:8" x14ac:dyDescent="0.25">
      <c r="A314" s="4"/>
      <c r="B314" s="6"/>
      <c r="C314" s="5" t="str">
        <f t="shared" si="4"/>
        <v/>
      </c>
      <c r="D314" s="6"/>
      <c r="E314" s="6"/>
      <c r="F314" s="6"/>
      <c r="G314" s="6"/>
      <c r="H314" s="6"/>
    </row>
    <row r="315" spans="1:8" x14ac:dyDescent="0.25">
      <c r="A315" s="4"/>
      <c r="B315" s="6"/>
      <c r="C315" s="5" t="str">
        <f t="shared" si="4"/>
        <v/>
      </c>
      <c r="D315" s="6"/>
      <c r="E315" s="6"/>
      <c r="F315" s="6"/>
      <c r="G315" s="6"/>
      <c r="H315" s="6"/>
    </row>
    <row r="316" spans="1:8" x14ac:dyDescent="0.25">
      <c r="A316" s="4"/>
      <c r="B316" s="6"/>
      <c r="C316" s="5" t="str">
        <f t="shared" si="4"/>
        <v/>
      </c>
      <c r="D316" s="6"/>
      <c r="E316" s="6"/>
      <c r="F316" s="6"/>
      <c r="G316" s="6"/>
      <c r="H316" s="6"/>
    </row>
    <row r="317" spans="1:8" x14ac:dyDescent="0.25">
      <c r="A317" s="4"/>
      <c r="B317" s="6"/>
      <c r="C317" s="5" t="str">
        <f t="shared" si="4"/>
        <v/>
      </c>
      <c r="D317" s="6"/>
      <c r="E317" s="6"/>
      <c r="F317" s="6"/>
      <c r="G317" s="6"/>
      <c r="H317" s="6"/>
    </row>
    <row r="318" spans="1:8" x14ac:dyDescent="0.25">
      <c r="A318" s="4"/>
      <c r="B318" s="6"/>
      <c r="C318" s="5" t="str">
        <f t="shared" si="4"/>
        <v/>
      </c>
      <c r="D318" s="6"/>
      <c r="E318" s="6"/>
      <c r="F318" s="6"/>
      <c r="G318" s="6"/>
      <c r="H318" s="6"/>
    </row>
    <row r="319" spans="1:8" x14ac:dyDescent="0.25">
      <c r="A319" s="4"/>
      <c r="B319" s="6"/>
      <c r="C319" s="5" t="str">
        <f t="shared" si="4"/>
        <v/>
      </c>
      <c r="D319" s="6"/>
      <c r="E319" s="6"/>
      <c r="F319" s="6"/>
      <c r="G319" s="6"/>
      <c r="H319" s="6"/>
    </row>
    <row r="320" spans="1:8" x14ac:dyDescent="0.25">
      <c r="A320" s="4"/>
      <c r="B320" s="6"/>
      <c r="C320" s="5" t="str">
        <f t="shared" si="4"/>
        <v/>
      </c>
      <c r="D320" s="6"/>
      <c r="E320" s="6"/>
      <c r="F320" s="6"/>
      <c r="G320" s="6"/>
      <c r="H320" s="6"/>
    </row>
    <row r="321" spans="1:8" x14ac:dyDescent="0.25">
      <c r="A321" s="4"/>
      <c r="B321" s="6"/>
      <c r="C321" s="5" t="str">
        <f t="shared" si="4"/>
        <v/>
      </c>
      <c r="D321" s="6"/>
      <c r="E321" s="6"/>
      <c r="F321" s="6"/>
      <c r="G321" s="6"/>
      <c r="H321" s="6"/>
    </row>
    <row r="322" spans="1:8" x14ac:dyDescent="0.25">
      <c r="A322" s="4"/>
      <c r="B322" s="6"/>
      <c r="C322" s="5" t="str">
        <f t="shared" si="4"/>
        <v/>
      </c>
      <c r="D322" s="6"/>
      <c r="E322" s="6"/>
      <c r="F322" s="6"/>
      <c r="G322" s="6"/>
      <c r="H322" s="6"/>
    </row>
    <row r="323" spans="1:8" x14ac:dyDescent="0.25">
      <c r="A323" s="4"/>
      <c r="B323" s="6"/>
      <c r="C323" s="5" t="str">
        <f t="shared" si="4"/>
        <v/>
      </c>
      <c r="D323" s="6"/>
      <c r="E323" s="6"/>
      <c r="F323" s="6"/>
      <c r="G323" s="6"/>
      <c r="H323" s="6"/>
    </row>
    <row r="324" spans="1:8" x14ac:dyDescent="0.25">
      <c r="A324" s="4"/>
      <c r="B324" s="6"/>
      <c r="C324" s="5" t="str">
        <f t="shared" si="4"/>
        <v/>
      </c>
      <c r="D324" s="6"/>
      <c r="E324" s="6"/>
      <c r="F324" s="6"/>
      <c r="G324" s="6"/>
      <c r="H324" s="6"/>
    </row>
    <row r="325" spans="1:8" x14ac:dyDescent="0.25">
      <c r="A325" s="4"/>
      <c r="B325" s="6"/>
      <c r="C325" s="5" t="str">
        <f t="shared" si="4"/>
        <v/>
      </c>
      <c r="D325" s="6"/>
      <c r="E325" s="6"/>
      <c r="F325" s="6"/>
      <c r="G325" s="6"/>
      <c r="H325" s="6"/>
    </row>
    <row r="326" spans="1:8" x14ac:dyDescent="0.25">
      <c r="A326" s="4"/>
      <c r="B326" s="6"/>
      <c r="C326" s="5" t="str">
        <f t="shared" ref="C326:C389" si="5">IF(ISBLANK(B326),"", "guest")</f>
        <v/>
      </c>
      <c r="D326" s="6"/>
      <c r="E326" s="6"/>
      <c r="F326" s="6"/>
      <c r="G326" s="6"/>
      <c r="H326" s="6"/>
    </row>
    <row r="327" spans="1:8" x14ac:dyDescent="0.25">
      <c r="A327" s="4"/>
      <c r="B327" s="6"/>
      <c r="C327" s="5" t="str">
        <f t="shared" si="5"/>
        <v/>
      </c>
      <c r="D327" s="6"/>
      <c r="E327" s="6"/>
      <c r="F327" s="6"/>
      <c r="G327" s="6"/>
      <c r="H327" s="6"/>
    </row>
    <row r="328" spans="1:8" x14ac:dyDescent="0.25">
      <c r="A328" s="4"/>
      <c r="B328" s="6"/>
      <c r="C328" s="5" t="str">
        <f t="shared" si="5"/>
        <v/>
      </c>
      <c r="D328" s="6"/>
      <c r="E328" s="6"/>
      <c r="F328" s="6"/>
      <c r="G328" s="6"/>
      <c r="H328" s="6"/>
    </row>
    <row r="329" spans="1:8" x14ac:dyDescent="0.25">
      <c r="A329" s="4"/>
      <c r="B329" s="6"/>
      <c r="C329" s="5" t="str">
        <f t="shared" si="5"/>
        <v/>
      </c>
      <c r="D329" s="6"/>
      <c r="E329" s="6"/>
      <c r="F329" s="6"/>
      <c r="G329" s="6"/>
      <c r="H329" s="6"/>
    </row>
    <row r="330" spans="1:8" x14ac:dyDescent="0.25">
      <c r="A330" s="4"/>
      <c r="B330" s="6"/>
      <c r="C330" s="5" t="str">
        <f t="shared" si="5"/>
        <v/>
      </c>
      <c r="D330" s="6"/>
      <c r="E330" s="6"/>
      <c r="F330" s="6"/>
      <c r="G330" s="6"/>
      <c r="H330" s="6"/>
    </row>
    <row r="331" spans="1:8" x14ac:dyDescent="0.25">
      <c r="A331" s="4"/>
      <c r="B331" s="6"/>
      <c r="C331" s="5" t="str">
        <f t="shared" si="5"/>
        <v/>
      </c>
      <c r="D331" s="6"/>
      <c r="E331" s="6"/>
      <c r="F331" s="6"/>
      <c r="G331" s="6"/>
      <c r="H331" s="6"/>
    </row>
    <row r="332" spans="1:8" x14ac:dyDescent="0.25">
      <c r="A332" s="4"/>
      <c r="B332" s="6"/>
      <c r="C332" s="5" t="str">
        <f t="shared" si="5"/>
        <v/>
      </c>
      <c r="D332" s="6"/>
      <c r="E332" s="6"/>
      <c r="F332" s="6"/>
      <c r="G332" s="6"/>
      <c r="H332" s="6"/>
    </row>
    <row r="333" spans="1:8" x14ac:dyDescent="0.25">
      <c r="A333" s="4"/>
      <c r="B333" s="6"/>
      <c r="C333" s="5" t="str">
        <f t="shared" si="5"/>
        <v/>
      </c>
      <c r="D333" s="6"/>
      <c r="E333" s="6"/>
      <c r="F333" s="6"/>
      <c r="G333" s="6"/>
      <c r="H333" s="6"/>
    </row>
    <row r="334" spans="1:8" x14ac:dyDescent="0.25">
      <c r="A334" s="4"/>
      <c r="B334" s="6"/>
      <c r="C334" s="5" t="str">
        <f t="shared" si="5"/>
        <v/>
      </c>
      <c r="D334" s="6"/>
      <c r="E334" s="6"/>
      <c r="F334" s="6"/>
      <c r="G334" s="6"/>
      <c r="H334" s="6"/>
    </row>
    <row r="335" spans="1:8" x14ac:dyDescent="0.25">
      <c r="A335" s="4"/>
      <c r="B335" s="6"/>
      <c r="C335" s="5" t="str">
        <f t="shared" si="5"/>
        <v/>
      </c>
      <c r="D335" s="6"/>
      <c r="E335" s="6"/>
      <c r="F335" s="6"/>
      <c r="G335" s="6"/>
      <c r="H335" s="6"/>
    </row>
    <row r="336" spans="1:8" x14ac:dyDescent="0.25">
      <c r="A336" s="4"/>
      <c r="B336" s="6"/>
      <c r="C336" s="5" t="str">
        <f t="shared" si="5"/>
        <v/>
      </c>
      <c r="D336" s="6"/>
      <c r="E336" s="6"/>
      <c r="F336" s="6"/>
      <c r="G336" s="6"/>
      <c r="H336" s="6"/>
    </row>
    <row r="337" spans="1:8" x14ac:dyDescent="0.25">
      <c r="A337" s="4"/>
      <c r="B337" s="6"/>
      <c r="C337" s="5" t="str">
        <f t="shared" si="5"/>
        <v/>
      </c>
      <c r="D337" s="6"/>
      <c r="E337" s="6"/>
      <c r="F337" s="6"/>
      <c r="G337" s="6"/>
      <c r="H337" s="6"/>
    </row>
    <row r="338" spans="1:8" x14ac:dyDescent="0.25">
      <c r="A338" s="4"/>
      <c r="B338" s="6"/>
      <c r="C338" s="5" t="str">
        <f t="shared" si="5"/>
        <v/>
      </c>
      <c r="D338" s="6"/>
      <c r="E338" s="6"/>
      <c r="F338" s="6"/>
      <c r="G338" s="6"/>
      <c r="H338" s="6"/>
    </row>
    <row r="339" spans="1:8" x14ac:dyDescent="0.25">
      <c r="A339" s="4"/>
      <c r="B339" s="6"/>
      <c r="C339" s="5" t="str">
        <f t="shared" si="5"/>
        <v/>
      </c>
      <c r="D339" s="6"/>
      <c r="E339" s="6"/>
      <c r="F339" s="6"/>
      <c r="G339" s="6"/>
      <c r="H339" s="6"/>
    </row>
    <row r="340" spans="1:8" x14ac:dyDescent="0.25">
      <c r="A340" s="4"/>
      <c r="B340" s="6"/>
      <c r="C340" s="5" t="str">
        <f t="shared" si="5"/>
        <v/>
      </c>
      <c r="D340" s="6"/>
      <c r="E340" s="6"/>
      <c r="F340" s="6"/>
      <c r="G340" s="6"/>
      <c r="H340" s="6"/>
    </row>
    <row r="341" spans="1:8" x14ac:dyDescent="0.25">
      <c r="A341" s="4"/>
      <c r="B341" s="6"/>
      <c r="C341" s="5" t="str">
        <f t="shared" si="5"/>
        <v/>
      </c>
      <c r="D341" s="6"/>
      <c r="E341" s="6"/>
      <c r="F341" s="6"/>
      <c r="G341" s="6"/>
      <c r="H341" s="6"/>
    </row>
    <row r="342" spans="1:8" x14ac:dyDescent="0.25">
      <c r="A342" s="4"/>
      <c r="B342" s="6"/>
      <c r="C342" s="5" t="str">
        <f t="shared" si="5"/>
        <v/>
      </c>
      <c r="D342" s="6"/>
      <c r="E342" s="6"/>
      <c r="F342" s="6"/>
      <c r="G342" s="6"/>
      <c r="H342" s="6"/>
    </row>
    <row r="343" spans="1:8" x14ac:dyDescent="0.25">
      <c r="A343" s="4"/>
      <c r="B343" s="6"/>
      <c r="C343" s="5" t="str">
        <f t="shared" si="5"/>
        <v/>
      </c>
      <c r="D343" s="6"/>
      <c r="E343" s="6"/>
      <c r="F343" s="6"/>
      <c r="G343" s="6"/>
      <c r="H343" s="6"/>
    </row>
    <row r="344" spans="1:8" x14ac:dyDescent="0.25">
      <c r="A344" s="4"/>
      <c r="B344" s="6"/>
      <c r="C344" s="5" t="str">
        <f t="shared" si="5"/>
        <v/>
      </c>
      <c r="D344" s="6"/>
      <c r="E344" s="6"/>
      <c r="F344" s="6"/>
      <c r="G344" s="6"/>
      <c r="H344" s="6"/>
    </row>
    <row r="345" spans="1:8" x14ac:dyDescent="0.25">
      <c r="A345" s="4"/>
      <c r="B345" s="6"/>
      <c r="C345" s="5" t="str">
        <f t="shared" si="5"/>
        <v/>
      </c>
      <c r="D345" s="6"/>
      <c r="E345" s="6"/>
      <c r="F345" s="6"/>
      <c r="G345" s="6"/>
      <c r="H345" s="6"/>
    </row>
    <row r="346" spans="1:8" x14ac:dyDescent="0.25">
      <c r="A346" s="4"/>
      <c r="B346" s="6"/>
      <c r="C346" s="5" t="str">
        <f t="shared" si="5"/>
        <v/>
      </c>
      <c r="D346" s="6"/>
      <c r="E346" s="6"/>
      <c r="F346" s="6"/>
      <c r="G346" s="6"/>
      <c r="H346" s="6"/>
    </row>
    <row r="347" spans="1:8" x14ac:dyDescent="0.25">
      <c r="A347" s="4"/>
      <c r="B347" s="6"/>
      <c r="C347" s="5" t="str">
        <f t="shared" si="5"/>
        <v/>
      </c>
      <c r="D347" s="6"/>
      <c r="E347" s="6"/>
      <c r="F347" s="6"/>
      <c r="G347" s="6"/>
      <c r="H347" s="6"/>
    </row>
    <row r="348" spans="1:8" x14ac:dyDescent="0.25">
      <c r="A348" s="4"/>
      <c r="B348" s="6"/>
      <c r="C348" s="5" t="str">
        <f t="shared" si="5"/>
        <v/>
      </c>
      <c r="D348" s="6"/>
      <c r="E348" s="6"/>
      <c r="F348" s="6"/>
      <c r="G348" s="6"/>
      <c r="H348" s="6"/>
    </row>
    <row r="349" spans="1:8" x14ac:dyDescent="0.25">
      <c r="A349" s="4"/>
      <c r="B349" s="6"/>
      <c r="C349" s="5" t="str">
        <f t="shared" si="5"/>
        <v/>
      </c>
      <c r="D349" s="6"/>
      <c r="E349" s="6"/>
      <c r="F349" s="6"/>
      <c r="G349" s="6"/>
      <c r="H349" s="6"/>
    </row>
    <row r="350" spans="1:8" x14ac:dyDescent="0.25">
      <c r="A350" s="4"/>
      <c r="B350" s="6"/>
      <c r="C350" s="5" t="str">
        <f t="shared" si="5"/>
        <v/>
      </c>
      <c r="D350" s="6"/>
      <c r="E350" s="6"/>
      <c r="F350" s="6"/>
      <c r="G350" s="6"/>
      <c r="H350" s="6"/>
    </row>
    <row r="351" spans="1:8" x14ac:dyDescent="0.25">
      <c r="A351" s="4"/>
      <c r="B351" s="6"/>
      <c r="C351" s="5" t="str">
        <f t="shared" si="5"/>
        <v/>
      </c>
      <c r="D351" s="6"/>
      <c r="E351" s="6"/>
      <c r="F351" s="6"/>
      <c r="G351" s="6"/>
      <c r="H351" s="6"/>
    </row>
    <row r="352" spans="1:8" x14ac:dyDescent="0.25">
      <c r="A352" s="4"/>
      <c r="B352" s="6"/>
      <c r="C352" s="5" t="str">
        <f t="shared" si="5"/>
        <v/>
      </c>
      <c r="D352" s="6"/>
      <c r="E352" s="6"/>
      <c r="F352" s="6"/>
      <c r="G352" s="6"/>
      <c r="H352" s="6"/>
    </row>
    <row r="353" spans="1:8" x14ac:dyDescent="0.25">
      <c r="A353" s="4"/>
      <c r="B353" s="6"/>
      <c r="C353" s="5" t="str">
        <f t="shared" si="5"/>
        <v/>
      </c>
      <c r="D353" s="6"/>
      <c r="E353" s="6"/>
      <c r="F353" s="6"/>
      <c r="G353" s="6"/>
      <c r="H353" s="6"/>
    </row>
    <row r="354" spans="1:8" x14ac:dyDescent="0.25">
      <c r="A354" s="4"/>
      <c r="B354" s="6"/>
      <c r="C354" s="5" t="str">
        <f t="shared" si="5"/>
        <v/>
      </c>
      <c r="D354" s="6"/>
      <c r="E354" s="6"/>
      <c r="F354" s="6"/>
      <c r="G354" s="6"/>
      <c r="H354" s="6"/>
    </row>
    <row r="355" spans="1:8" x14ac:dyDescent="0.25">
      <c r="A355" s="4"/>
      <c r="B355" s="6"/>
      <c r="C355" s="5" t="str">
        <f t="shared" si="5"/>
        <v/>
      </c>
      <c r="D355" s="6"/>
      <c r="E355" s="6"/>
      <c r="F355" s="6"/>
      <c r="G355" s="6"/>
      <c r="H355" s="6"/>
    </row>
    <row r="356" spans="1:8" x14ac:dyDescent="0.25">
      <c r="A356" s="4"/>
      <c r="B356" s="6"/>
      <c r="C356" s="5" t="str">
        <f t="shared" si="5"/>
        <v/>
      </c>
      <c r="D356" s="6"/>
      <c r="E356" s="6"/>
      <c r="F356" s="6"/>
      <c r="G356" s="6"/>
      <c r="H356" s="6"/>
    </row>
    <row r="357" spans="1:8" x14ac:dyDescent="0.25">
      <c r="A357" s="4"/>
      <c r="B357" s="6"/>
      <c r="C357" s="5" t="str">
        <f t="shared" si="5"/>
        <v/>
      </c>
      <c r="D357" s="6"/>
      <c r="E357" s="6"/>
      <c r="F357" s="6"/>
      <c r="G357" s="6"/>
      <c r="H357" s="6"/>
    </row>
    <row r="358" spans="1:8" x14ac:dyDescent="0.25">
      <c r="A358" s="4"/>
      <c r="B358" s="6"/>
      <c r="C358" s="5" t="str">
        <f t="shared" si="5"/>
        <v/>
      </c>
      <c r="D358" s="6"/>
      <c r="E358" s="6"/>
      <c r="F358" s="6"/>
      <c r="G358" s="6"/>
      <c r="H358" s="6"/>
    </row>
    <row r="359" spans="1:8" x14ac:dyDescent="0.25">
      <c r="A359" s="4"/>
      <c r="B359" s="6"/>
      <c r="C359" s="5" t="str">
        <f t="shared" si="5"/>
        <v/>
      </c>
      <c r="D359" s="6"/>
      <c r="E359" s="6"/>
      <c r="F359" s="6"/>
      <c r="G359" s="6"/>
      <c r="H359" s="6"/>
    </row>
    <row r="360" spans="1:8" x14ac:dyDescent="0.25">
      <c r="A360" s="4"/>
      <c r="B360" s="6"/>
      <c r="C360" s="5" t="str">
        <f t="shared" si="5"/>
        <v/>
      </c>
      <c r="D360" s="6"/>
      <c r="E360" s="6"/>
      <c r="F360" s="6"/>
      <c r="G360" s="6"/>
      <c r="H360" s="6"/>
    </row>
    <row r="361" spans="1:8" x14ac:dyDescent="0.25">
      <c r="A361" s="4"/>
      <c r="B361" s="6"/>
      <c r="C361" s="5" t="str">
        <f t="shared" si="5"/>
        <v/>
      </c>
      <c r="D361" s="6"/>
      <c r="E361" s="6"/>
      <c r="F361" s="6"/>
      <c r="G361" s="6"/>
      <c r="H361" s="6"/>
    </row>
    <row r="362" spans="1:8" x14ac:dyDescent="0.25">
      <c r="A362" s="4"/>
      <c r="B362" s="6"/>
      <c r="C362" s="5" t="str">
        <f t="shared" si="5"/>
        <v/>
      </c>
      <c r="D362" s="6"/>
      <c r="E362" s="6"/>
      <c r="F362" s="6"/>
      <c r="G362" s="6"/>
      <c r="H362" s="6"/>
    </row>
    <row r="363" spans="1:8" x14ac:dyDescent="0.25">
      <c r="A363" s="4"/>
      <c r="B363" s="6"/>
      <c r="C363" s="5" t="str">
        <f t="shared" si="5"/>
        <v/>
      </c>
      <c r="D363" s="6"/>
      <c r="E363" s="6"/>
      <c r="F363" s="6"/>
      <c r="G363" s="6"/>
      <c r="H363" s="6"/>
    </row>
    <row r="364" spans="1:8" x14ac:dyDescent="0.25">
      <c r="A364" s="4"/>
      <c r="B364" s="6"/>
      <c r="C364" s="5" t="str">
        <f t="shared" si="5"/>
        <v/>
      </c>
      <c r="D364" s="6"/>
      <c r="E364" s="6"/>
      <c r="F364" s="6"/>
      <c r="G364" s="6"/>
      <c r="H364" s="6"/>
    </row>
    <row r="365" spans="1:8" x14ac:dyDescent="0.25">
      <c r="A365" s="4"/>
      <c r="B365" s="6"/>
      <c r="C365" s="5" t="str">
        <f t="shared" si="5"/>
        <v/>
      </c>
      <c r="D365" s="6"/>
      <c r="E365" s="6"/>
      <c r="F365" s="6"/>
      <c r="G365" s="6"/>
      <c r="H365" s="6"/>
    </row>
    <row r="366" spans="1:8" x14ac:dyDescent="0.25">
      <c r="A366" s="4"/>
      <c r="B366" s="6"/>
      <c r="C366" s="5" t="str">
        <f t="shared" si="5"/>
        <v/>
      </c>
      <c r="D366" s="6"/>
      <c r="E366" s="6"/>
      <c r="F366" s="6"/>
      <c r="G366" s="6"/>
      <c r="H366" s="6"/>
    </row>
    <row r="367" spans="1:8" x14ac:dyDescent="0.25">
      <c r="A367" s="4"/>
      <c r="B367" s="6"/>
      <c r="C367" s="5" t="str">
        <f t="shared" si="5"/>
        <v/>
      </c>
      <c r="D367" s="6"/>
      <c r="E367" s="6"/>
      <c r="F367" s="6"/>
      <c r="G367" s="6"/>
      <c r="H367" s="6"/>
    </row>
    <row r="368" spans="1:8" x14ac:dyDescent="0.25">
      <c r="A368" s="4"/>
      <c r="B368" s="6"/>
      <c r="C368" s="5" t="str">
        <f t="shared" si="5"/>
        <v/>
      </c>
      <c r="D368" s="6"/>
      <c r="E368" s="6"/>
      <c r="F368" s="6"/>
      <c r="G368" s="6"/>
      <c r="H368" s="6"/>
    </row>
    <row r="369" spans="1:8" x14ac:dyDescent="0.25">
      <c r="A369" s="4"/>
      <c r="B369" s="6"/>
      <c r="C369" s="5" t="str">
        <f t="shared" si="5"/>
        <v/>
      </c>
      <c r="D369" s="6"/>
      <c r="E369" s="6"/>
      <c r="F369" s="6"/>
      <c r="G369" s="6"/>
      <c r="H369" s="6"/>
    </row>
    <row r="370" spans="1:8" x14ac:dyDescent="0.25">
      <c r="A370" s="4"/>
      <c r="B370" s="6"/>
      <c r="C370" s="5" t="str">
        <f t="shared" si="5"/>
        <v/>
      </c>
      <c r="D370" s="6"/>
      <c r="E370" s="6"/>
      <c r="F370" s="6"/>
      <c r="G370" s="6"/>
      <c r="H370" s="6"/>
    </row>
    <row r="371" spans="1:8" x14ac:dyDescent="0.25">
      <c r="A371" s="4"/>
      <c r="B371" s="6"/>
      <c r="C371" s="5" t="str">
        <f t="shared" si="5"/>
        <v/>
      </c>
      <c r="D371" s="6"/>
      <c r="E371" s="6"/>
      <c r="F371" s="6"/>
      <c r="G371" s="6"/>
      <c r="H371" s="6"/>
    </row>
    <row r="372" spans="1:8" x14ac:dyDescent="0.25">
      <c r="A372" s="4"/>
      <c r="B372" s="6"/>
      <c r="C372" s="5" t="str">
        <f t="shared" si="5"/>
        <v/>
      </c>
      <c r="D372" s="6"/>
      <c r="E372" s="6"/>
      <c r="F372" s="6"/>
      <c r="G372" s="6"/>
      <c r="H372" s="6"/>
    </row>
    <row r="373" spans="1:8" x14ac:dyDescent="0.25">
      <c r="A373" s="4"/>
      <c r="B373" s="6"/>
      <c r="C373" s="5" t="str">
        <f t="shared" si="5"/>
        <v/>
      </c>
      <c r="D373" s="6"/>
      <c r="E373" s="6"/>
      <c r="F373" s="6"/>
      <c r="G373" s="6"/>
      <c r="H373" s="6"/>
    </row>
    <row r="374" spans="1:8" x14ac:dyDescent="0.25">
      <c r="A374" s="4"/>
      <c r="B374" s="6"/>
      <c r="C374" s="5" t="str">
        <f t="shared" si="5"/>
        <v/>
      </c>
      <c r="D374" s="6"/>
      <c r="E374" s="6"/>
      <c r="F374" s="6"/>
      <c r="G374" s="6"/>
      <c r="H374" s="6"/>
    </row>
    <row r="375" spans="1:8" x14ac:dyDescent="0.25">
      <c r="A375" s="4"/>
      <c r="B375" s="6"/>
      <c r="C375" s="5" t="str">
        <f t="shared" si="5"/>
        <v/>
      </c>
      <c r="D375" s="6"/>
      <c r="E375" s="6"/>
      <c r="F375" s="6"/>
      <c r="G375" s="6"/>
      <c r="H375" s="6"/>
    </row>
    <row r="376" spans="1:8" x14ac:dyDescent="0.25">
      <c r="A376" s="4"/>
      <c r="B376" s="6"/>
      <c r="C376" s="5" t="str">
        <f t="shared" si="5"/>
        <v/>
      </c>
      <c r="D376" s="6"/>
      <c r="E376" s="6"/>
      <c r="F376" s="6"/>
      <c r="G376" s="6"/>
      <c r="H376" s="6"/>
    </row>
    <row r="377" spans="1:8" x14ac:dyDescent="0.25">
      <c r="A377" s="4"/>
      <c r="B377" s="6"/>
      <c r="C377" s="5" t="str">
        <f t="shared" si="5"/>
        <v/>
      </c>
      <c r="D377" s="6"/>
      <c r="E377" s="6"/>
      <c r="F377" s="6"/>
      <c r="G377" s="6"/>
      <c r="H377" s="6"/>
    </row>
    <row r="378" spans="1:8" x14ac:dyDescent="0.25">
      <c r="A378" s="4"/>
      <c r="B378" s="6"/>
      <c r="C378" s="5" t="str">
        <f t="shared" si="5"/>
        <v/>
      </c>
      <c r="D378" s="6"/>
      <c r="E378" s="6"/>
      <c r="F378" s="6"/>
      <c r="G378" s="6"/>
      <c r="H378" s="6"/>
    </row>
    <row r="379" spans="1:8" x14ac:dyDescent="0.25">
      <c r="A379" s="4"/>
      <c r="B379" s="6"/>
      <c r="C379" s="5" t="str">
        <f t="shared" si="5"/>
        <v/>
      </c>
      <c r="D379" s="6"/>
      <c r="E379" s="6"/>
      <c r="F379" s="6"/>
      <c r="G379" s="6"/>
      <c r="H379" s="6"/>
    </row>
    <row r="380" spans="1:8" x14ac:dyDescent="0.25">
      <c r="A380" s="4"/>
      <c r="B380" s="6"/>
      <c r="C380" s="5" t="str">
        <f t="shared" si="5"/>
        <v/>
      </c>
      <c r="D380" s="6"/>
      <c r="E380" s="6"/>
      <c r="F380" s="6"/>
      <c r="G380" s="6"/>
      <c r="H380" s="6"/>
    </row>
    <row r="381" spans="1:8" x14ac:dyDescent="0.25">
      <c r="A381" s="4"/>
      <c r="B381" s="6"/>
      <c r="C381" s="5" t="str">
        <f t="shared" si="5"/>
        <v/>
      </c>
      <c r="D381" s="6"/>
      <c r="E381" s="6"/>
      <c r="F381" s="6"/>
      <c r="G381" s="6"/>
      <c r="H381" s="6"/>
    </row>
    <row r="382" spans="1:8" x14ac:dyDescent="0.25">
      <c r="A382" s="4"/>
      <c r="B382" s="6"/>
      <c r="C382" s="5" t="str">
        <f t="shared" si="5"/>
        <v/>
      </c>
      <c r="D382" s="6"/>
      <c r="E382" s="6"/>
      <c r="F382" s="6"/>
      <c r="G382" s="6"/>
      <c r="H382" s="6"/>
    </row>
    <row r="383" spans="1:8" x14ac:dyDescent="0.25">
      <c r="A383" s="4"/>
      <c r="B383" s="6"/>
      <c r="C383" s="5" t="str">
        <f t="shared" si="5"/>
        <v/>
      </c>
      <c r="D383" s="6"/>
      <c r="E383" s="6"/>
      <c r="F383" s="6"/>
      <c r="G383" s="6"/>
      <c r="H383" s="6"/>
    </row>
    <row r="384" spans="1:8" x14ac:dyDescent="0.25">
      <c r="A384" s="4"/>
      <c r="B384" s="6"/>
      <c r="C384" s="5" t="str">
        <f t="shared" si="5"/>
        <v/>
      </c>
      <c r="D384" s="6"/>
      <c r="E384" s="6"/>
      <c r="F384" s="6"/>
      <c r="G384" s="6"/>
      <c r="H384" s="6"/>
    </row>
    <row r="385" spans="1:8" x14ac:dyDescent="0.25">
      <c r="A385" s="4"/>
      <c r="B385" s="6"/>
      <c r="C385" s="5" t="str">
        <f t="shared" si="5"/>
        <v/>
      </c>
      <c r="D385" s="6"/>
      <c r="E385" s="6"/>
      <c r="F385" s="6"/>
      <c r="G385" s="6"/>
      <c r="H385" s="6"/>
    </row>
    <row r="386" spans="1:8" x14ac:dyDescent="0.25">
      <c r="A386" s="4"/>
      <c r="B386" s="6"/>
      <c r="C386" s="5" t="str">
        <f t="shared" si="5"/>
        <v/>
      </c>
      <c r="D386" s="6"/>
      <c r="E386" s="6"/>
      <c r="F386" s="6"/>
      <c r="G386" s="6"/>
      <c r="H386" s="6"/>
    </row>
    <row r="387" spans="1:8" x14ac:dyDescent="0.25">
      <c r="A387" s="4"/>
      <c r="B387" s="6"/>
      <c r="C387" s="5" t="str">
        <f t="shared" si="5"/>
        <v/>
      </c>
      <c r="D387" s="6"/>
      <c r="E387" s="6"/>
      <c r="F387" s="6"/>
      <c r="G387" s="6"/>
      <c r="H387" s="6"/>
    </row>
    <row r="388" spans="1:8" x14ac:dyDescent="0.25">
      <c r="A388" s="4"/>
      <c r="B388" s="6"/>
      <c r="C388" s="5" t="str">
        <f t="shared" si="5"/>
        <v/>
      </c>
      <c r="D388" s="6"/>
      <c r="E388" s="6"/>
      <c r="F388" s="6"/>
      <c r="G388" s="6"/>
      <c r="H388" s="6"/>
    </row>
    <row r="389" spans="1:8" x14ac:dyDescent="0.25">
      <c r="A389" s="4"/>
      <c r="B389" s="6"/>
      <c r="C389" s="5" t="str">
        <f t="shared" si="5"/>
        <v/>
      </c>
      <c r="D389" s="6"/>
      <c r="E389" s="6"/>
      <c r="F389" s="6"/>
      <c r="G389" s="6"/>
      <c r="H389" s="6"/>
    </row>
    <row r="390" spans="1:8" x14ac:dyDescent="0.25">
      <c r="A390" s="4"/>
      <c r="B390" s="6"/>
      <c r="C390" s="5" t="str">
        <f t="shared" ref="C390:C453" si="6">IF(ISBLANK(B390),"", "guest")</f>
        <v/>
      </c>
      <c r="D390" s="6"/>
      <c r="E390" s="6"/>
      <c r="F390" s="6"/>
      <c r="G390" s="6"/>
      <c r="H390" s="6"/>
    </row>
    <row r="391" spans="1:8" x14ac:dyDescent="0.25">
      <c r="A391" s="4"/>
      <c r="B391" s="6"/>
      <c r="C391" s="5" t="str">
        <f t="shared" si="6"/>
        <v/>
      </c>
      <c r="D391" s="6"/>
      <c r="E391" s="6"/>
      <c r="F391" s="6"/>
      <c r="G391" s="6"/>
      <c r="H391" s="6"/>
    </row>
    <row r="392" spans="1:8" x14ac:dyDescent="0.25">
      <c r="A392" s="4"/>
      <c r="B392" s="6"/>
      <c r="C392" s="5" t="str">
        <f t="shared" si="6"/>
        <v/>
      </c>
      <c r="D392" s="6"/>
      <c r="E392" s="6"/>
      <c r="F392" s="6"/>
      <c r="G392" s="6"/>
      <c r="H392" s="6"/>
    </row>
    <row r="393" spans="1:8" x14ac:dyDescent="0.25">
      <c r="A393" s="4"/>
      <c r="B393" s="6"/>
      <c r="C393" s="5" t="str">
        <f t="shared" si="6"/>
        <v/>
      </c>
      <c r="D393" s="6"/>
      <c r="E393" s="6"/>
      <c r="F393" s="6"/>
      <c r="G393" s="6"/>
      <c r="H393" s="6"/>
    </row>
    <row r="394" spans="1:8" x14ac:dyDescent="0.25">
      <c r="A394" s="4"/>
      <c r="B394" s="6"/>
      <c r="C394" s="5" t="str">
        <f t="shared" si="6"/>
        <v/>
      </c>
      <c r="D394" s="6"/>
      <c r="E394" s="6"/>
      <c r="F394" s="6"/>
      <c r="G394" s="6"/>
      <c r="H394" s="6"/>
    </row>
    <row r="395" spans="1:8" x14ac:dyDescent="0.25">
      <c r="A395" s="4"/>
      <c r="B395" s="6"/>
      <c r="C395" s="5" t="str">
        <f t="shared" si="6"/>
        <v/>
      </c>
      <c r="D395" s="6"/>
      <c r="E395" s="6"/>
      <c r="F395" s="6"/>
      <c r="G395" s="6"/>
      <c r="H395" s="6"/>
    </row>
    <row r="396" spans="1:8" x14ac:dyDescent="0.25">
      <c r="A396" s="4"/>
      <c r="B396" s="6"/>
      <c r="C396" s="5" t="str">
        <f t="shared" si="6"/>
        <v/>
      </c>
      <c r="D396" s="6"/>
      <c r="E396" s="6"/>
      <c r="F396" s="6"/>
      <c r="G396" s="6"/>
      <c r="H396" s="6"/>
    </row>
    <row r="397" spans="1:8" x14ac:dyDescent="0.25">
      <c r="A397" s="4"/>
      <c r="B397" s="6"/>
      <c r="C397" s="5" t="str">
        <f t="shared" si="6"/>
        <v/>
      </c>
      <c r="D397" s="6"/>
      <c r="E397" s="6"/>
      <c r="F397" s="6"/>
      <c r="G397" s="6"/>
      <c r="H397" s="6"/>
    </row>
    <row r="398" spans="1:8" x14ac:dyDescent="0.25">
      <c r="A398" s="4"/>
      <c r="B398" s="6"/>
      <c r="C398" s="5" t="str">
        <f t="shared" si="6"/>
        <v/>
      </c>
      <c r="D398" s="6"/>
      <c r="E398" s="6"/>
      <c r="F398" s="6"/>
      <c r="G398" s="6"/>
      <c r="H398" s="6"/>
    </row>
    <row r="399" spans="1:8" x14ac:dyDescent="0.25">
      <c r="A399" s="4"/>
      <c r="B399" s="6"/>
      <c r="C399" s="5" t="str">
        <f t="shared" si="6"/>
        <v/>
      </c>
      <c r="D399" s="6"/>
      <c r="E399" s="6"/>
      <c r="F399" s="6"/>
      <c r="G399" s="6"/>
      <c r="H399" s="6"/>
    </row>
    <row r="400" spans="1:8" x14ac:dyDescent="0.25">
      <c r="A400" s="4"/>
      <c r="B400" s="6"/>
      <c r="C400" s="5" t="str">
        <f t="shared" si="6"/>
        <v/>
      </c>
      <c r="D400" s="6"/>
      <c r="E400" s="6"/>
      <c r="F400" s="6"/>
      <c r="G400" s="6"/>
      <c r="H400" s="6"/>
    </row>
    <row r="401" spans="1:8" x14ac:dyDescent="0.25">
      <c r="A401" s="4"/>
      <c r="B401" s="6"/>
      <c r="C401" s="5" t="str">
        <f t="shared" si="6"/>
        <v/>
      </c>
      <c r="D401" s="6"/>
      <c r="E401" s="6"/>
      <c r="F401" s="6"/>
      <c r="G401" s="6"/>
      <c r="H401" s="6"/>
    </row>
    <row r="402" spans="1:8" x14ac:dyDescent="0.25">
      <c r="A402" s="4"/>
      <c r="B402" s="6"/>
      <c r="C402" s="5" t="str">
        <f t="shared" si="6"/>
        <v/>
      </c>
      <c r="D402" s="6"/>
      <c r="E402" s="6"/>
      <c r="F402" s="6"/>
      <c r="G402" s="6"/>
      <c r="H402" s="6"/>
    </row>
    <row r="403" spans="1:8" x14ac:dyDescent="0.25">
      <c r="A403" s="4"/>
      <c r="B403" s="6"/>
      <c r="C403" s="5" t="str">
        <f t="shared" si="6"/>
        <v/>
      </c>
      <c r="D403" s="6"/>
      <c r="E403" s="6"/>
      <c r="F403" s="6"/>
      <c r="G403" s="6"/>
      <c r="H403" s="6"/>
    </row>
    <row r="404" spans="1:8" x14ac:dyDescent="0.25">
      <c r="A404" s="4"/>
      <c r="B404" s="6"/>
      <c r="C404" s="5" t="str">
        <f t="shared" si="6"/>
        <v/>
      </c>
      <c r="D404" s="6"/>
      <c r="E404" s="6"/>
      <c r="F404" s="6"/>
      <c r="G404" s="6"/>
      <c r="H404" s="6"/>
    </row>
    <row r="405" spans="1:8" x14ac:dyDescent="0.25">
      <c r="A405" s="4"/>
      <c r="B405" s="6"/>
      <c r="C405" s="5" t="str">
        <f t="shared" si="6"/>
        <v/>
      </c>
      <c r="D405" s="6"/>
      <c r="E405" s="6"/>
      <c r="F405" s="6"/>
      <c r="G405" s="6"/>
      <c r="H405" s="6"/>
    </row>
    <row r="406" spans="1:8" x14ac:dyDescent="0.25">
      <c r="A406" s="4"/>
      <c r="B406" s="6"/>
      <c r="C406" s="5" t="str">
        <f t="shared" si="6"/>
        <v/>
      </c>
      <c r="D406" s="6"/>
      <c r="E406" s="6"/>
      <c r="F406" s="6"/>
      <c r="G406" s="6"/>
      <c r="H406" s="6"/>
    </row>
    <row r="407" spans="1:8" x14ac:dyDescent="0.25">
      <c r="A407" s="4"/>
      <c r="B407" s="6"/>
      <c r="C407" s="5" t="str">
        <f t="shared" si="6"/>
        <v/>
      </c>
      <c r="D407" s="6"/>
      <c r="E407" s="6"/>
      <c r="F407" s="6"/>
      <c r="G407" s="6"/>
      <c r="H407" s="6"/>
    </row>
    <row r="408" spans="1:8" x14ac:dyDescent="0.25">
      <c r="A408" s="4"/>
      <c r="B408" s="6"/>
      <c r="C408" s="5" t="str">
        <f t="shared" si="6"/>
        <v/>
      </c>
      <c r="D408" s="6"/>
      <c r="E408" s="6"/>
      <c r="F408" s="6"/>
      <c r="G408" s="6"/>
      <c r="H408" s="6"/>
    </row>
    <row r="409" spans="1:8" x14ac:dyDescent="0.25">
      <c r="A409" s="4"/>
      <c r="B409" s="6"/>
      <c r="C409" s="5" t="str">
        <f t="shared" si="6"/>
        <v/>
      </c>
      <c r="D409" s="6"/>
      <c r="E409" s="6"/>
      <c r="F409" s="6"/>
      <c r="G409" s="6"/>
      <c r="H409" s="6"/>
    </row>
    <row r="410" spans="1:8" x14ac:dyDescent="0.25">
      <c r="A410" s="4"/>
      <c r="B410" s="6"/>
      <c r="C410" s="5" t="str">
        <f t="shared" si="6"/>
        <v/>
      </c>
      <c r="D410" s="6"/>
      <c r="E410" s="6"/>
      <c r="F410" s="6"/>
      <c r="G410" s="6"/>
      <c r="H410" s="6"/>
    </row>
    <row r="411" spans="1:8" x14ac:dyDescent="0.25">
      <c r="A411" s="4"/>
      <c r="B411" s="6"/>
      <c r="C411" s="5" t="str">
        <f t="shared" si="6"/>
        <v/>
      </c>
      <c r="D411" s="6"/>
      <c r="E411" s="6"/>
      <c r="F411" s="6"/>
      <c r="G411" s="6"/>
      <c r="H411" s="6"/>
    </row>
    <row r="412" spans="1:8" x14ac:dyDescent="0.25">
      <c r="A412" s="4"/>
      <c r="B412" s="6"/>
      <c r="C412" s="5" t="str">
        <f t="shared" si="6"/>
        <v/>
      </c>
      <c r="D412" s="6"/>
      <c r="E412" s="6"/>
      <c r="F412" s="6"/>
      <c r="G412" s="6"/>
      <c r="H412" s="6"/>
    </row>
    <row r="413" spans="1:8" x14ac:dyDescent="0.25">
      <c r="A413" s="4"/>
      <c r="B413" s="6"/>
      <c r="C413" s="5" t="str">
        <f t="shared" si="6"/>
        <v/>
      </c>
      <c r="D413" s="6"/>
      <c r="E413" s="6"/>
      <c r="F413" s="6"/>
      <c r="G413" s="6"/>
      <c r="H413" s="6"/>
    </row>
    <row r="414" spans="1:8" x14ac:dyDescent="0.25">
      <c r="A414" s="4"/>
      <c r="B414" s="6"/>
      <c r="C414" s="5" t="str">
        <f t="shared" si="6"/>
        <v/>
      </c>
      <c r="D414" s="6"/>
      <c r="E414" s="6"/>
      <c r="F414" s="6"/>
      <c r="G414" s="6"/>
      <c r="H414" s="6"/>
    </row>
    <row r="415" spans="1:8" x14ac:dyDescent="0.25">
      <c r="A415" s="4"/>
      <c r="B415" s="6"/>
      <c r="C415" s="5" t="str">
        <f t="shared" si="6"/>
        <v/>
      </c>
      <c r="D415" s="6"/>
      <c r="E415" s="6"/>
      <c r="F415" s="6"/>
      <c r="G415" s="6"/>
      <c r="H415" s="6"/>
    </row>
    <row r="416" spans="1:8" x14ac:dyDescent="0.25">
      <c r="A416" s="4"/>
      <c r="B416" s="6"/>
      <c r="C416" s="5" t="str">
        <f t="shared" si="6"/>
        <v/>
      </c>
      <c r="D416" s="6"/>
      <c r="E416" s="6"/>
      <c r="F416" s="6"/>
      <c r="G416" s="6"/>
      <c r="H416" s="6"/>
    </row>
    <row r="417" spans="1:8" x14ac:dyDescent="0.25">
      <c r="A417" s="4"/>
      <c r="B417" s="6"/>
      <c r="C417" s="5" t="str">
        <f t="shared" si="6"/>
        <v/>
      </c>
      <c r="D417" s="6"/>
      <c r="E417" s="6"/>
      <c r="F417" s="6"/>
      <c r="G417" s="6"/>
      <c r="H417" s="6"/>
    </row>
    <row r="418" spans="1:8" x14ac:dyDescent="0.25">
      <c r="A418" s="4"/>
      <c r="B418" s="6"/>
      <c r="C418" s="5" t="str">
        <f t="shared" si="6"/>
        <v/>
      </c>
      <c r="D418" s="6"/>
      <c r="E418" s="6"/>
      <c r="F418" s="6"/>
      <c r="G418" s="6"/>
      <c r="H418" s="6"/>
    </row>
    <row r="419" spans="1:8" x14ac:dyDescent="0.25">
      <c r="A419" s="4"/>
      <c r="B419" s="6"/>
      <c r="C419" s="5" t="str">
        <f t="shared" si="6"/>
        <v/>
      </c>
      <c r="D419" s="6"/>
      <c r="E419" s="6"/>
      <c r="F419" s="6"/>
      <c r="G419" s="6"/>
      <c r="H419" s="6"/>
    </row>
    <row r="420" spans="1:8" x14ac:dyDescent="0.25">
      <c r="A420" s="4"/>
      <c r="B420" s="6"/>
      <c r="C420" s="5" t="str">
        <f t="shared" si="6"/>
        <v/>
      </c>
      <c r="D420" s="6"/>
      <c r="E420" s="6"/>
      <c r="F420" s="6"/>
      <c r="G420" s="6"/>
      <c r="H420" s="6"/>
    </row>
    <row r="421" spans="1:8" x14ac:dyDescent="0.25">
      <c r="A421" s="4"/>
      <c r="B421" s="6"/>
      <c r="C421" s="5" t="str">
        <f t="shared" si="6"/>
        <v/>
      </c>
      <c r="D421" s="6"/>
      <c r="E421" s="6"/>
      <c r="F421" s="6"/>
      <c r="G421" s="6"/>
      <c r="H421" s="6"/>
    </row>
    <row r="422" spans="1:8" x14ac:dyDescent="0.25">
      <c r="A422" s="4"/>
      <c r="B422" s="6"/>
      <c r="C422" s="5" t="str">
        <f t="shared" si="6"/>
        <v/>
      </c>
      <c r="D422" s="6"/>
      <c r="E422" s="6"/>
      <c r="F422" s="6"/>
      <c r="G422" s="6"/>
      <c r="H422" s="6"/>
    </row>
    <row r="423" spans="1:8" x14ac:dyDescent="0.25">
      <c r="A423" s="4"/>
      <c r="B423" s="6"/>
      <c r="C423" s="5" t="str">
        <f t="shared" si="6"/>
        <v/>
      </c>
      <c r="D423" s="6"/>
      <c r="E423" s="6"/>
      <c r="F423" s="6"/>
      <c r="G423" s="6"/>
      <c r="H423" s="6"/>
    </row>
    <row r="424" spans="1:8" x14ac:dyDescent="0.25">
      <c r="A424" s="4"/>
      <c r="B424" s="6"/>
      <c r="C424" s="5" t="str">
        <f t="shared" si="6"/>
        <v/>
      </c>
      <c r="D424" s="6"/>
      <c r="E424" s="6"/>
      <c r="F424" s="6"/>
      <c r="G424" s="6"/>
      <c r="H424" s="6"/>
    </row>
    <row r="425" spans="1:8" x14ac:dyDescent="0.25">
      <c r="A425" s="4"/>
      <c r="B425" s="6"/>
      <c r="C425" s="5" t="str">
        <f t="shared" si="6"/>
        <v/>
      </c>
      <c r="D425" s="6"/>
      <c r="E425" s="6"/>
      <c r="F425" s="6"/>
      <c r="G425" s="6"/>
      <c r="H425" s="6"/>
    </row>
    <row r="426" spans="1:8" x14ac:dyDescent="0.25">
      <c r="A426" s="4"/>
      <c r="B426" s="6"/>
      <c r="C426" s="5" t="str">
        <f t="shared" si="6"/>
        <v/>
      </c>
      <c r="D426" s="6"/>
      <c r="E426" s="6"/>
      <c r="F426" s="6"/>
      <c r="G426" s="6"/>
      <c r="H426" s="6"/>
    </row>
    <row r="427" spans="1:8" x14ac:dyDescent="0.25">
      <c r="A427" s="4"/>
      <c r="B427" s="6"/>
      <c r="C427" s="5" t="str">
        <f t="shared" si="6"/>
        <v/>
      </c>
      <c r="D427" s="6"/>
      <c r="E427" s="6"/>
      <c r="F427" s="6"/>
      <c r="G427" s="6"/>
      <c r="H427" s="6"/>
    </row>
    <row r="428" spans="1:8" x14ac:dyDescent="0.25">
      <c r="A428" s="4"/>
      <c r="B428" s="6"/>
      <c r="C428" s="5" t="str">
        <f t="shared" si="6"/>
        <v/>
      </c>
      <c r="D428" s="6"/>
      <c r="E428" s="6"/>
      <c r="F428" s="6"/>
      <c r="G428" s="6"/>
      <c r="H428" s="6"/>
    </row>
    <row r="429" spans="1:8" x14ac:dyDescent="0.25">
      <c r="A429" s="4"/>
      <c r="B429" s="6"/>
      <c r="C429" s="5" t="str">
        <f t="shared" si="6"/>
        <v/>
      </c>
      <c r="D429" s="6"/>
      <c r="E429" s="6"/>
      <c r="F429" s="6"/>
      <c r="G429" s="6"/>
      <c r="H429" s="6"/>
    </row>
    <row r="430" spans="1:8" x14ac:dyDescent="0.25">
      <c r="A430" s="4"/>
      <c r="B430" s="6"/>
      <c r="C430" s="5" t="str">
        <f t="shared" si="6"/>
        <v/>
      </c>
      <c r="D430" s="6"/>
      <c r="E430" s="6"/>
      <c r="F430" s="6"/>
      <c r="G430" s="6"/>
      <c r="H430" s="6"/>
    </row>
    <row r="431" spans="1:8" x14ac:dyDescent="0.25">
      <c r="A431" s="4"/>
      <c r="B431" s="6"/>
      <c r="C431" s="5" t="str">
        <f t="shared" si="6"/>
        <v/>
      </c>
      <c r="D431" s="6"/>
      <c r="E431" s="6"/>
      <c r="F431" s="6"/>
      <c r="G431" s="6"/>
      <c r="H431" s="6"/>
    </row>
    <row r="432" spans="1:8" x14ac:dyDescent="0.25">
      <c r="A432" s="4"/>
      <c r="B432" s="6"/>
      <c r="C432" s="5" t="str">
        <f t="shared" si="6"/>
        <v/>
      </c>
      <c r="D432" s="6"/>
      <c r="E432" s="6"/>
      <c r="F432" s="6"/>
      <c r="G432" s="6"/>
      <c r="H432" s="6"/>
    </row>
    <row r="433" spans="1:8" x14ac:dyDescent="0.25">
      <c r="A433" s="4"/>
      <c r="B433" s="6"/>
      <c r="C433" s="5" t="str">
        <f t="shared" si="6"/>
        <v/>
      </c>
      <c r="D433" s="6"/>
      <c r="E433" s="6"/>
      <c r="F433" s="6"/>
      <c r="G433" s="6"/>
      <c r="H433" s="6"/>
    </row>
    <row r="434" spans="1:8" x14ac:dyDescent="0.25">
      <c r="A434" s="4"/>
      <c r="B434" s="6"/>
      <c r="C434" s="5" t="str">
        <f t="shared" si="6"/>
        <v/>
      </c>
      <c r="D434" s="6"/>
      <c r="E434" s="6"/>
      <c r="F434" s="6"/>
      <c r="G434" s="6"/>
      <c r="H434" s="6"/>
    </row>
    <row r="435" spans="1:8" x14ac:dyDescent="0.25">
      <c r="A435" s="4"/>
      <c r="B435" s="6"/>
      <c r="C435" s="5" t="str">
        <f t="shared" si="6"/>
        <v/>
      </c>
      <c r="D435" s="6"/>
      <c r="E435" s="6"/>
      <c r="F435" s="6"/>
      <c r="G435" s="6"/>
      <c r="H435" s="6"/>
    </row>
    <row r="436" spans="1:8" x14ac:dyDescent="0.25">
      <c r="A436" s="4"/>
      <c r="B436" s="6"/>
      <c r="C436" s="5" t="str">
        <f t="shared" si="6"/>
        <v/>
      </c>
      <c r="D436" s="6"/>
      <c r="E436" s="6"/>
      <c r="F436" s="6"/>
      <c r="G436" s="6"/>
      <c r="H436" s="6"/>
    </row>
    <row r="437" spans="1:8" x14ac:dyDescent="0.25">
      <c r="A437" s="4"/>
      <c r="B437" s="6"/>
      <c r="C437" s="5" t="str">
        <f t="shared" si="6"/>
        <v/>
      </c>
      <c r="D437" s="6"/>
      <c r="E437" s="6"/>
      <c r="F437" s="6"/>
      <c r="G437" s="6"/>
      <c r="H437" s="6"/>
    </row>
    <row r="438" spans="1:8" x14ac:dyDescent="0.25">
      <c r="A438" s="4"/>
      <c r="B438" s="6"/>
      <c r="C438" s="5" t="str">
        <f t="shared" si="6"/>
        <v/>
      </c>
      <c r="D438" s="6"/>
      <c r="E438" s="6"/>
      <c r="F438" s="6"/>
      <c r="G438" s="6"/>
      <c r="H438" s="6"/>
    </row>
    <row r="439" spans="1:8" x14ac:dyDescent="0.25">
      <c r="A439" s="4"/>
      <c r="B439" s="6"/>
      <c r="C439" s="5" t="str">
        <f t="shared" si="6"/>
        <v/>
      </c>
      <c r="D439" s="6"/>
      <c r="E439" s="6"/>
      <c r="F439" s="6"/>
      <c r="G439" s="6"/>
      <c r="H439" s="6"/>
    </row>
    <row r="440" spans="1:8" x14ac:dyDescent="0.25">
      <c r="A440" s="4"/>
      <c r="B440" s="6"/>
      <c r="C440" s="5" t="str">
        <f t="shared" si="6"/>
        <v/>
      </c>
      <c r="D440" s="6"/>
      <c r="E440" s="6"/>
      <c r="F440" s="6"/>
      <c r="G440" s="6"/>
      <c r="H440" s="6"/>
    </row>
    <row r="441" spans="1:8" x14ac:dyDescent="0.25">
      <c r="A441" s="4"/>
      <c r="B441" s="6"/>
      <c r="C441" s="5" t="str">
        <f t="shared" si="6"/>
        <v/>
      </c>
      <c r="D441" s="6"/>
      <c r="E441" s="6"/>
      <c r="F441" s="6"/>
      <c r="G441" s="6"/>
      <c r="H441" s="6"/>
    </row>
    <row r="442" spans="1:8" x14ac:dyDescent="0.25">
      <c r="A442" s="4"/>
      <c r="B442" s="6"/>
      <c r="C442" s="5" t="str">
        <f t="shared" si="6"/>
        <v/>
      </c>
      <c r="D442" s="6"/>
      <c r="E442" s="6"/>
      <c r="F442" s="6"/>
      <c r="G442" s="6"/>
      <c r="H442" s="6"/>
    </row>
    <row r="443" spans="1:8" x14ac:dyDescent="0.25">
      <c r="A443" s="4"/>
      <c r="B443" s="6"/>
      <c r="C443" s="5" t="str">
        <f t="shared" si="6"/>
        <v/>
      </c>
      <c r="D443" s="6"/>
      <c r="E443" s="6"/>
      <c r="F443" s="6"/>
      <c r="G443" s="6"/>
      <c r="H443" s="6"/>
    </row>
    <row r="444" spans="1:8" x14ac:dyDescent="0.25">
      <c r="A444" s="4"/>
      <c r="B444" s="6"/>
      <c r="C444" s="5" t="str">
        <f t="shared" si="6"/>
        <v/>
      </c>
      <c r="D444" s="6"/>
      <c r="E444" s="6"/>
      <c r="F444" s="6"/>
      <c r="G444" s="6"/>
      <c r="H444" s="6"/>
    </row>
    <row r="445" spans="1:8" x14ac:dyDescent="0.25">
      <c r="A445" s="4"/>
      <c r="B445" s="6"/>
      <c r="C445" s="5" t="str">
        <f t="shared" si="6"/>
        <v/>
      </c>
      <c r="D445" s="6"/>
      <c r="E445" s="6"/>
      <c r="F445" s="6"/>
      <c r="G445" s="6"/>
      <c r="H445" s="6"/>
    </row>
    <row r="446" spans="1:8" x14ac:dyDescent="0.25">
      <c r="A446" s="4"/>
      <c r="B446" s="6"/>
      <c r="C446" s="5" t="str">
        <f t="shared" si="6"/>
        <v/>
      </c>
      <c r="D446" s="6"/>
      <c r="E446" s="6"/>
      <c r="F446" s="6"/>
      <c r="G446" s="6"/>
      <c r="H446" s="6"/>
    </row>
    <row r="447" spans="1:8" x14ac:dyDescent="0.25">
      <c r="A447" s="4"/>
      <c r="B447" s="6"/>
      <c r="C447" s="5" t="str">
        <f t="shared" si="6"/>
        <v/>
      </c>
      <c r="D447" s="6"/>
      <c r="E447" s="6"/>
      <c r="F447" s="6"/>
      <c r="G447" s="6"/>
      <c r="H447" s="6"/>
    </row>
    <row r="448" spans="1:8" x14ac:dyDescent="0.25">
      <c r="A448" s="4"/>
      <c r="B448" s="6"/>
      <c r="C448" s="5" t="str">
        <f t="shared" si="6"/>
        <v/>
      </c>
      <c r="D448" s="6"/>
      <c r="E448" s="6"/>
      <c r="F448" s="6"/>
      <c r="G448" s="6"/>
      <c r="H448" s="6"/>
    </row>
    <row r="449" spans="1:8" x14ac:dyDescent="0.25">
      <c r="A449" s="4"/>
      <c r="B449" s="6"/>
      <c r="C449" s="5" t="str">
        <f t="shared" si="6"/>
        <v/>
      </c>
      <c r="D449" s="6"/>
      <c r="E449" s="6"/>
      <c r="F449" s="6"/>
      <c r="G449" s="6"/>
      <c r="H449" s="6"/>
    </row>
    <row r="450" spans="1:8" x14ac:dyDescent="0.25">
      <c r="A450" s="4"/>
      <c r="B450" s="6"/>
      <c r="C450" s="5" t="str">
        <f t="shared" si="6"/>
        <v/>
      </c>
      <c r="D450" s="6"/>
      <c r="E450" s="6"/>
      <c r="F450" s="6"/>
      <c r="G450" s="6"/>
      <c r="H450" s="6"/>
    </row>
    <row r="451" spans="1:8" x14ac:dyDescent="0.25">
      <c r="A451" s="4"/>
      <c r="B451" s="6"/>
      <c r="C451" s="5" t="str">
        <f t="shared" si="6"/>
        <v/>
      </c>
      <c r="D451" s="6"/>
      <c r="E451" s="6"/>
      <c r="F451" s="6"/>
      <c r="G451" s="6"/>
      <c r="H451" s="6"/>
    </row>
    <row r="452" spans="1:8" x14ac:dyDescent="0.25">
      <c r="A452" s="4"/>
      <c r="B452" s="6"/>
      <c r="C452" s="5" t="str">
        <f t="shared" si="6"/>
        <v/>
      </c>
      <c r="D452" s="6"/>
      <c r="E452" s="6"/>
      <c r="F452" s="6"/>
      <c r="G452" s="6"/>
      <c r="H452" s="6"/>
    </row>
    <row r="453" spans="1:8" x14ac:dyDescent="0.25">
      <c r="A453" s="4"/>
      <c r="B453" s="6"/>
      <c r="C453" s="5" t="str">
        <f t="shared" si="6"/>
        <v/>
      </c>
      <c r="D453" s="6"/>
      <c r="E453" s="6"/>
      <c r="F453" s="6"/>
      <c r="G453" s="6"/>
      <c r="H453" s="6"/>
    </row>
    <row r="454" spans="1:8" x14ac:dyDescent="0.25">
      <c r="A454" s="4"/>
      <c r="B454" s="6"/>
      <c r="C454" s="5" t="str">
        <f t="shared" ref="C454:C504" si="7">IF(ISBLANK(B454),"", "guest")</f>
        <v/>
      </c>
      <c r="D454" s="6"/>
      <c r="E454" s="6"/>
      <c r="F454" s="6"/>
      <c r="G454" s="6"/>
      <c r="H454" s="6"/>
    </row>
    <row r="455" spans="1:8" x14ac:dyDescent="0.25">
      <c r="A455" s="4"/>
      <c r="B455" s="6"/>
      <c r="C455" s="5" t="str">
        <f t="shared" si="7"/>
        <v/>
      </c>
      <c r="D455" s="6"/>
      <c r="E455" s="6"/>
      <c r="F455" s="6"/>
      <c r="G455" s="6"/>
      <c r="H455" s="6"/>
    </row>
    <row r="456" spans="1:8" x14ac:dyDescent="0.25">
      <c r="A456" s="4"/>
      <c r="B456" s="6"/>
      <c r="C456" s="5" t="str">
        <f t="shared" si="7"/>
        <v/>
      </c>
      <c r="D456" s="6"/>
      <c r="E456" s="6"/>
      <c r="F456" s="6"/>
      <c r="G456" s="6"/>
      <c r="H456" s="6"/>
    </row>
    <row r="457" spans="1:8" x14ac:dyDescent="0.25">
      <c r="A457" s="4"/>
      <c r="B457" s="6"/>
      <c r="C457" s="5" t="str">
        <f t="shared" si="7"/>
        <v/>
      </c>
      <c r="D457" s="6"/>
      <c r="E457" s="6"/>
      <c r="F457" s="6"/>
      <c r="G457" s="6"/>
      <c r="H457" s="6"/>
    </row>
    <row r="458" spans="1:8" x14ac:dyDescent="0.25">
      <c r="A458" s="4"/>
      <c r="B458" s="6"/>
      <c r="C458" s="5" t="str">
        <f t="shared" si="7"/>
        <v/>
      </c>
      <c r="D458" s="6"/>
      <c r="E458" s="6"/>
      <c r="F458" s="6"/>
      <c r="G458" s="6"/>
      <c r="H458" s="6"/>
    </row>
    <row r="459" spans="1:8" x14ac:dyDescent="0.25">
      <c r="A459" s="4"/>
      <c r="B459" s="6"/>
      <c r="C459" s="5" t="str">
        <f t="shared" si="7"/>
        <v/>
      </c>
      <c r="D459" s="6"/>
      <c r="E459" s="6"/>
      <c r="F459" s="6"/>
      <c r="G459" s="6"/>
      <c r="H459" s="6"/>
    </row>
    <row r="460" spans="1:8" x14ac:dyDescent="0.25">
      <c r="A460" s="4"/>
      <c r="B460" s="6"/>
      <c r="C460" s="5" t="str">
        <f t="shared" si="7"/>
        <v/>
      </c>
      <c r="D460" s="6"/>
      <c r="E460" s="6"/>
      <c r="F460" s="6"/>
      <c r="G460" s="6"/>
      <c r="H460" s="6"/>
    </row>
    <row r="461" spans="1:8" x14ac:dyDescent="0.25">
      <c r="A461" s="4"/>
      <c r="B461" s="6"/>
      <c r="C461" s="5" t="str">
        <f t="shared" si="7"/>
        <v/>
      </c>
      <c r="D461" s="6"/>
      <c r="E461" s="6"/>
      <c r="F461" s="6"/>
      <c r="G461" s="6"/>
      <c r="H461" s="6"/>
    </row>
    <row r="462" spans="1:8" x14ac:dyDescent="0.25">
      <c r="A462" s="4"/>
      <c r="B462" s="6"/>
      <c r="C462" s="5" t="str">
        <f t="shared" si="7"/>
        <v/>
      </c>
      <c r="D462" s="6"/>
      <c r="E462" s="6"/>
      <c r="F462" s="6"/>
      <c r="G462" s="6"/>
      <c r="H462" s="6"/>
    </row>
    <row r="463" spans="1:8" x14ac:dyDescent="0.25">
      <c r="A463" s="4"/>
      <c r="B463" s="6"/>
      <c r="C463" s="5" t="str">
        <f t="shared" si="7"/>
        <v/>
      </c>
      <c r="D463" s="6"/>
      <c r="E463" s="6"/>
      <c r="F463" s="6"/>
      <c r="G463" s="6"/>
      <c r="H463" s="6"/>
    </row>
    <row r="464" spans="1:8" x14ac:dyDescent="0.25">
      <c r="A464" s="4"/>
      <c r="B464" s="6"/>
      <c r="C464" s="5" t="str">
        <f t="shared" si="7"/>
        <v/>
      </c>
      <c r="D464" s="6"/>
      <c r="E464" s="6"/>
      <c r="F464" s="6"/>
      <c r="G464" s="6"/>
      <c r="H464" s="6"/>
    </row>
    <row r="465" spans="1:8" x14ac:dyDescent="0.25">
      <c r="A465" s="4"/>
      <c r="B465" s="6"/>
      <c r="C465" s="5" t="str">
        <f t="shared" si="7"/>
        <v/>
      </c>
      <c r="D465" s="6"/>
      <c r="E465" s="6"/>
      <c r="F465" s="6"/>
      <c r="G465" s="6"/>
      <c r="H465" s="6"/>
    </row>
    <row r="466" spans="1:8" x14ac:dyDescent="0.25">
      <c r="A466" s="4"/>
      <c r="B466" s="6"/>
      <c r="C466" s="5" t="str">
        <f t="shared" si="7"/>
        <v/>
      </c>
      <c r="D466" s="6"/>
      <c r="E466" s="6"/>
      <c r="F466" s="6"/>
      <c r="G466" s="6"/>
      <c r="H466" s="6"/>
    </row>
    <row r="467" spans="1:8" x14ac:dyDescent="0.25">
      <c r="A467" s="4"/>
      <c r="B467" s="6"/>
      <c r="C467" s="5" t="str">
        <f t="shared" si="7"/>
        <v/>
      </c>
      <c r="D467" s="6"/>
      <c r="E467" s="6"/>
      <c r="F467" s="6"/>
      <c r="G467" s="6"/>
      <c r="H467" s="6"/>
    </row>
    <row r="468" spans="1:8" x14ac:dyDescent="0.25">
      <c r="A468" s="4"/>
      <c r="B468" s="6"/>
      <c r="C468" s="5" t="str">
        <f t="shared" si="7"/>
        <v/>
      </c>
      <c r="D468" s="6"/>
      <c r="E468" s="6"/>
      <c r="F468" s="6"/>
      <c r="G468" s="6"/>
      <c r="H468" s="6"/>
    </row>
    <row r="469" spans="1:8" x14ac:dyDescent="0.25">
      <c r="A469" s="4"/>
      <c r="B469" s="6"/>
      <c r="C469" s="5" t="str">
        <f t="shared" si="7"/>
        <v/>
      </c>
      <c r="D469" s="6"/>
      <c r="E469" s="6"/>
      <c r="F469" s="6"/>
      <c r="G469" s="6"/>
      <c r="H469" s="6"/>
    </row>
    <row r="470" spans="1:8" x14ac:dyDescent="0.25">
      <c r="A470" s="4"/>
      <c r="B470" s="6"/>
      <c r="C470" s="5" t="str">
        <f t="shared" si="7"/>
        <v/>
      </c>
      <c r="D470" s="6"/>
      <c r="E470" s="6"/>
      <c r="F470" s="6"/>
      <c r="G470" s="6"/>
      <c r="H470" s="6"/>
    </row>
    <row r="471" spans="1:8" x14ac:dyDescent="0.25">
      <c r="A471" s="4"/>
      <c r="B471" s="6"/>
      <c r="C471" s="5" t="str">
        <f t="shared" si="7"/>
        <v/>
      </c>
      <c r="D471" s="6"/>
      <c r="E471" s="6"/>
      <c r="F471" s="6"/>
      <c r="G471" s="6"/>
      <c r="H471" s="6"/>
    </row>
    <row r="472" spans="1:8" x14ac:dyDescent="0.25">
      <c r="A472" s="4"/>
      <c r="B472" s="6"/>
      <c r="C472" s="5" t="str">
        <f t="shared" si="7"/>
        <v/>
      </c>
      <c r="D472" s="6"/>
      <c r="E472" s="6"/>
      <c r="F472" s="6"/>
      <c r="G472" s="6"/>
      <c r="H472" s="6"/>
    </row>
    <row r="473" spans="1:8" x14ac:dyDescent="0.25">
      <c r="A473" s="4"/>
      <c r="B473" s="6"/>
      <c r="C473" s="5" t="str">
        <f t="shared" si="7"/>
        <v/>
      </c>
      <c r="D473" s="6"/>
      <c r="E473" s="6"/>
      <c r="F473" s="6"/>
      <c r="G473" s="6"/>
      <c r="H473" s="6"/>
    </row>
    <row r="474" spans="1:8" x14ac:dyDescent="0.25">
      <c r="A474" s="4"/>
      <c r="B474" s="6"/>
      <c r="C474" s="5" t="str">
        <f t="shared" si="7"/>
        <v/>
      </c>
      <c r="D474" s="6"/>
      <c r="E474" s="6"/>
      <c r="F474" s="6"/>
      <c r="G474" s="6"/>
      <c r="H474" s="6"/>
    </row>
    <row r="475" spans="1:8" x14ac:dyDescent="0.25">
      <c r="A475" s="4"/>
      <c r="B475" s="6"/>
      <c r="C475" s="5" t="str">
        <f t="shared" si="7"/>
        <v/>
      </c>
      <c r="D475" s="6"/>
      <c r="E475" s="6"/>
      <c r="F475" s="6"/>
      <c r="G475" s="6"/>
      <c r="H475" s="6"/>
    </row>
    <row r="476" spans="1:8" x14ac:dyDescent="0.25">
      <c r="A476" s="4"/>
      <c r="B476" s="6"/>
      <c r="C476" s="5" t="str">
        <f t="shared" si="7"/>
        <v/>
      </c>
      <c r="D476" s="6"/>
      <c r="E476" s="6"/>
      <c r="F476" s="6"/>
      <c r="G476" s="6"/>
      <c r="H476" s="6"/>
    </row>
    <row r="477" spans="1:8" x14ac:dyDescent="0.25">
      <c r="A477" s="4"/>
      <c r="B477" s="6"/>
      <c r="C477" s="5" t="str">
        <f t="shared" si="7"/>
        <v/>
      </c>
      <c r="D477" s="6"/>
      <c r="E477" s="6"/>
      <c r="F477" s="6"/>
      <c r="G477" s="6"/>
      <c r="H477" s="6"/>
    </row>
    <row r="478" spans="1:8" x14ac:dyDescent="0.25">
      <c r="A478" s="4"/>
      <c r="B478" s="6"/>
      <c r="C478" s="5" t="str">
        <f t="shared" si="7"/>
        <v/>
      </c>
      <c r="D478" s="6"/>
      <c r="E478" s="6"/>
      <c r="F478" s="6"/>
      <c r="G478" s="6"/>
      <c r="H478" s="6"/>
    </row>
    <row r="479" spans="1:8" x14ac:dyDescent="0.25">
      <c r="A479" s="4"/>
      <c r="B479" s="6"/>
      <c r="C479" s="5" t="str">
        <f t="shared" si="7"/>
        <v/>
      </c>
      <c r="D479" s="6"/>
      <c r="E479" s="6"/>
      <c r="F479" s="6"/>
      <c r="G479" s="6"/>
      <c r="H479" s="6"/>
    </row>
    <row r="480" spans="1:8" x14ac:dyDescent="0.25">
      <c r="A480" s="4"/>
      <c r="B480" s="6"/>
      <c r="C480" s="5" t="str">
        <f t="shared" si="7"/>
        <v/>
      </c>
      <c r="D480" s="6"/>
      <c r="E480" s="6"/>
      <c r="F480" s="6"/>
      <c r="G480" s="6"/>
      <c r="H480" s="6"/>
    </row>
    <row r="481" spans="1:8" x14ac:dyDescent="0.25">
      <c r="A481" s="4"/>
      <c r="B481" s="6"/>
      <c r="C481" s="5" t="str">
        <f t="shared" si="7"/>
        <v/>
      </c>
      <c r="D481" s="6"/>
      <c r="E481" s="6"/>
      <c r="F481" s="6"/>
      <c r="G481" s="6"/>
      <c r="H481" s="6"/>
    </row>
    <row r="482" spans="1:8" x14ac:dyDescent="0.25">
      <c r="A482" s="4"/>
      <c r="B482" s="6"/>
      <c r="C482" s="5" t="str">
        <f t="shared" si="7"/>
        <v/>
      </c>
      <c r="D482" s="6"/>
      <c r="E482" s="6"/>
      <c r="F482" s="6"/>
      <c r="G482" s="6"/>
      <c r="H482" s="6"/>
    </row>
    <row r="483" spans="1:8" x14ac:dyDescent="0.25">
      <c r="A483" s="4"/>
      <c r="B483" s="6"/>
      <c r="C483" s="5" t="str">
        <f t="shared" si="7"/>
        <v/>
      </c>
      <c r="D483" s="6"/>
      <c r="E483" s="6"/>
      <c r="F483" s="6"/>
      <c r="G483" s="6"/>
      <c r="H483" s="6"/>
    </row>
    <row r="484" spans="1:8" x14ac:dyDescent="0.25">
      <c r="A484" s="4"/>
      <c r="B484" s="6"/>
      <c r="C484" s="5" t="str">
        <f t="shared" si="7"/>
        <v/>
      </c>
      <c r="D484" s="6"/>
      <c r="E484" s="6"/>
      <c r="F484" s="6"/>
      <c r="G484" s="6"/>
      <c r="H484" s="6"/>
    </row>
    <row r="485" spans="1:8" x14ac:dyDescent="0.25">
      <c r="A485" s="4"/>
      <c r="B485" s="6"/>
      <c r="C485" s="5" t="str">
        <f t="shared" si="7"/>
        <v/>
      </c>
      <c r="D485" s="6"/>
      <c r="E485" s="6"/>
      <c r="F485" s="6"/>
      <c r="G485" s="6"/>
      <c r="H485" s="6"/>
    </row>
    <row r="486" spans="1:8" x14ac:dyDescent="0.25">
      <c r="A486" s="4"/>
      <c r="B486" s="6"/>
      <c r="C486" s="5" t="str">
        <f t="shared" si="7"/>
        <v/>
      </c>
      <c r="D486" s="6"/>
      <c r="E486" s="6"/>
      <c r="F486" s="6"/>
      <c r="G486" s="6"/>
      <c r="H486" s="6"/>
    </row>
    <row r="487" spans="1:8" x14ac:dyDescent="0.25">
      <c r="A487" s="4"/>
      <c r="B487" s="6"/>
      <c r="C487" s="5" t="str">
        <f t="shared" si="7"/>
        <v/>
      </c>
      <c r="D487" s="6"/>
      <c r="E487" s="6"/>
      <c r="F487" s="6"/>
      <c r="G487" s="6"/>
      <c r="H487" s="6"/>
    </row>
    <row r="488" spans="1:8" x14ac:dyDescent="0.25">
      <c r="A488" s="4"/>
      <c r="B488" s="6"/>
      <c r="C488" s="5" t="str">
        <f t="shared" si="7"/>
        <v/>
      </c>
      <c r="D488" s="6"/>
      <c r="E488" s="6"/>
      <c r="F488" s="6"/>
      <c r="G488" s="6"/>
      <c r="H488" s="6"/>
    </row>
    <row r="489" spans="1:8" x14ac:dyDescent="0.25">
      <c r="A489" s="4"/>
      <c r="B489" s="6"/>
      <c r="C489" s="5" t="str">
        <f t="shared" si="7"/>
        <v/>
      </c>
      <c r="D489" s="6"/>
      <c r="E489" s="6"/>
      <c r="F489" s="6"/>
      <c r="G489" s="6"/>
      <c r="H489" s="6"/>
    </row>
    <row r="490" spans="1:8" x14ac:dyDescent="0.25">
      <c r="A490" s="4"/>
      <c r="B490" s="6"/>
      <c r="C490" s="5" t="str">
        <f t="shared" si="7"/>
        <v/>
      </c>
      <c r="D490" s="6"/>
      <c r="E490" s="6"/>
      <c r="F490" s="6"/>
      <c r="G490" s="6"/>
      <c r="H490" s="6"/>
    </row>
    <row r="491" spans="1:8" x14ac:dyDescent="0.25">
      <c r="A491" s="4"/>
      <c r="B491" s="6"/>
      <c r="C491" s="5" t="str">
        <f t="shared" si="7"/>
        <v/>
      </c>
      <c r="D491" s="6"/>
      <c r="E491" s="6"/>
      <c r="F491" s="6"/>
      <c r="G491" s="6"/>
      <c r="H491" s="6"/>
    </row>
    <row r="492" spans="1:8" x14ac:dyDescent="0.25">
      <c r="A492" s="4"/>
      <c r="B492" s="6"/>
      <c r="C492" s="5" t="str">
        <f t="shared" si="7"/>
        <v/>
      </c>
      <c r="D492" s="6"/>
      <c r="E492" s="6"/>
      <c r="F492" s="6"/>
      <c r="G492" s="6"/>
      <c r="H492" s="6"/>
    </row>
    <row r="493" spans="1:8" x14ac:dyDescent="0.25">
      <c r="A493" s="4"/>
      <c r="B493" s="6"/>
      <c r="C493" s="5" t="str">
        <f t="shared" si="7"/>
        <v/>
      </c>
      <c r="D493" s="6"/>
      <c r="E493" s="6"/>
      <c r="F493" s="6"/>
      <c r="G493" s="6"/>
      <c r="H493" s="6"/>
    </row>
    <row r="494" spans="1:8" x14ac:dyDescent="0.25">
      <c r="A494" s="4"/>
      <c r="B494" s="6"/>
      <c r="C494" s="5" t="str">
        <f t="shared" si="7"/>
        <v/>
      </c>
      <c r="D494" s="6"/>
      <c r="E494" s="6"/>
      <c r="F494" s="6"/>
      <c r="G494" s="6"/>
      <c r="H494" s="6"/>
    </row>
    <row r="495" spans="1:8" x14ac:dyDescent="0.25">
      <c r="A495" s="4"/>
      <c r="B495" s="6"/>
      <c r="C495" s="5" t="str">
        <f t="shared" si="7"/>
        <v/>
      </c>
      <c r="D495" s="6"/>
      <c r="E495" s="6"/>
      <c r="F495" s="6"/>
      <c r="G495" s="6"/>
      <c r="H495" s="6"/>
    </row>
    <row r="496" spans="1:8" x14ac:dyDescent="0.25">
      <c r="A496" s="4"/>
      <c r="B496" s="6"/>
      <c r="C496" s="5" t="str">
        <f t="shared" si="7"/>
        <v/>
      </c>
      <c r="D496" s="6"/>
      <c r="E496" s="6"/>
      <c r="F496" s="6"/>
      <c r="G496" s="6"/>
      <c r="H496" s="6"/>
    </row>
    <row r="497" spans="1:8" x14ac:dyDescent="0.25">
      <c r="A497" s="4"/>
      <c r="B497" s="6"/>
      <c r="C497" s="5" t="str">
        <f t="shared" si="7"/>
        <v/>
      </c>
      <c r="D497" s="6"/>
      <c r="E497" s="6"/>
      <c r="F497" s="6"/>
      <c r="G497" s="6"/>
      <c r="H497" s="6"/>
    </row>
    <row r="498" spans="1:8" x14ac:dyDescent="0.25">
      <c r="A498" s="4"/>
      <c r="B498" s="6"/>
      <c r="C498" s="5" t="str">
        <f t="shared" si="7"/>
        <v/>
      </c>
      <c r="D498" s="6"/>
      <c r="E498" s="6"/>
      <c r="F498" s="6"/>
      <c r="G498" s="6"/>
      <c r="H498" s="6"/>
    </row>
    <row r="499" spans="1:8" x14ac:dyDescent="0.25">
      <c r="A499" s="4"/>
      <c r="B499" s="6"/>
      <c r="C499" s="5" t="str">
        <f t="shared" si="7"/>
        <v/>
      </c>
      <c r="D499" s="6"/>
      <c r="E499" s="6"/>
      <c r="F499" s="6"/>
      <c r="G499" s="6"/>
      <c r="H499" s="6"/>
    </row>
    <row r="500" spans="1:8" x14ac:dyDescent="0.25">
      <c r="A500" s="4"/>
      <c r="B500" s="6"/>
      <c r="C500" s="5" t="str">
        <f t="shared" si="7"/>
        <v/>
      </c>
      <c r="D500" s="6"/>
      <c r="E500" s="6"/>
      <c r="F500" s="6"/>
      <c r="G500" s="6"/>
      <c r="H500" s="6"/>
    </row>
    <row r="501" spans="1:8" x14ac:dyDescent="0.25">
      <c r="A501" s="4"/>
      <c r="B501" s="6"/>
      <c r="C501" s="5" t="str">
        <f t="shared" si="7"/>
        <v/>
      </c>
      <c r="D501" s="6"/>
      <c r="E501" s="6"/>
      <c r="F501" s="6"/>
      <c r="G501" s="6"/>
      <c r="H501" s="6"/>
    </row>
    <row r="502" spans="1:8" x14ac:dyDescent="0.25">
      <c r="A502" s="4"/>
      <c r="B502" s="6"/>
      <c r="C502" s="5" t="str">
        <f t="shared" si="7"/>
        <v/>
      </c>
      <c r="D502" s="6"/>
      <c r="E502" s="6"/>
      <c r="F502" s="6"/>
      <c r="G502" s="6"/>
      <c r="H502" s="6"/>
    </row>
    <row r="503" spans="1:8" x14ac:dyDescent="0.25">
      <c r="A503" s="4"/>
      <c r="B503" s="6"/>
      <c r="C503" s="5" t="str">
        <f t="shared" si="7"/>
        <v/>
      </c>
      <c r="D503" s="6"/>
      <c r="E503" s="6"/>
      <c r="F503" s="6"/>
      <c r="G503" s="6"/>
      <c r="H503" s="6"/>
    </row>
    <row r="504" spans="1:8" x14ac:dyDescent="0.25">
      <c r="A504" s="14"/>
      <c r="B504" s="6"/>
      <c r="C504" s="5" t="str">
        <f t="shared" si="7"/>
        <v/>
      </c>
      <c r="D504" s="6"/>
      <c r="E504" s="6"/>
      <c r="F504" s="6"/>
      <c r="G504" s="6"/>
      <c r="H504" s="6"/>
    </row>
    <row r="505" spans="1:8" x14ac:dyDescent="0.25">
      <c r="A505" s="4"/>
      <c r="B505" s="6"/>
      <c r="C505" s="5" t="s">
        <v>390</v>
      </c>
      <c r="D505" s="6"/>
      <c r="E505" s="6"/>
      <c r="F505" s="6"/>
      <c r="G505" s="8"/>
      <c r="H505" s="6"/>
    </row>
    <row r="506" spans="1:8" x14ac:dyDescent="0.25">
      <c r="A506" s="4"/>
      <c r="B506" s="6"/>
      <c r="C506" s="5" t="str">
        <f t="shared" ref="C506:C569" si="8">IF(ISBLANK(B506),"", "guest")</f>
        <v/>
      </c>
      <c r="D506" s="6"/>
      <c r="E506" s="6"/>
      <c r="F506" s="6"/>
      <c r="G506" s="8"/>
      <c r="H506" s="6"/>
    </row>
    <row r="507" spans="1:8" x14ac:dyDescent="0.25">
      <c r="A507" s="4"/>
      <c r="B507" s="6"/>
      <c r="C507" s="5" t="str">
        <f t="shared" si="8"/>
        <v/>
      </c>
      <c r="D507" s="6"/>
      <c r="E507" s="6"/>
      <c r="F507" s="6"/>
      <c r="G507" s="8"/>
      <c r="H507" s="6"/>
    </row>
    <row r="508" spans="1:8" x14ac:dyDescent="0.25">
      <c r="A508" s="4"/>
      <c r="B508" s="6"/>
      <c r="C508" s="5" t="str">
        <f t="shared" si="8"/>
        <v/>
      </c>
      <c r="D508" s="6"/>
      <c r="E508" s="6"/>
      <c r="F508" s="6"/>
      <c r="G508" s="8"/>
      <c r="H508" s="6"/>
    </row>
    <row r="509" spans="1:8" x14ac:dyDescent="0.25">
      <c r="A509" s="4"/>
      <c r="B509" s="6"/>
      <c r="C509" s="5" t="str">
        <f t="shared" si="8"/>
        <v/>
      </c>
      <c r="D509" s="6"/>
      <c r="E509" s="6"/>
      <c r="F509" s="6"/>
      <c r="G509" s="6"/>
      <c r="H509" s="6"/>
    </row>
    <row r="510" spans="1:8" x14ac:dyDescent="0.25">
      <c r="A510" s="4"/>
      <c r="B510" s="6"/>
      <c r="C510" s="5" t="str">
        <f t="shared" si="8"/>
        <v/>
      </c>
      <c r="D510" s="6"/>
      <c r="E510" s="6"/>
      <c r="F510" s="6"/>
      <c r="G510" s="6"/>
      <c r="H510" s="6"/>
    </row>
    <row r="511" spans="1:8" x14ac:dyDescent="0.25">
      <c r="A511" s="4"/>
      <c r="B511" s="6"/>
      <c r="C511" s="5" t="str">
        <f t="shared" si="8"/>
        <v/>
      </c>
      <c r="D511" s="6"/>
      <c r="E511" s="6"/>
      <c r="F511" s="6"/>
      <c r="G511" s="6"/>
      <c r="H511" s="6"/>
    </row>
    <row r="512" spans="1:8" x14ac:dyDescent="0.25">
      <c r="A512" s="4"/>
      <c r="B512" s="6"/>
      <c r="C512" s="5" t="str">
        <f t="shared" si="8"/>
        <v/>
      </c>
      <c r="D512" s="6"/>
      <c r="E512" s="6"/>
      <c r="F512" s="6"/>
      <c r="G512" s="6"/>
      <c r="H512" s="6"/>
    </row>
    <row r="513" spans="1:8" x14ac:dyDescent="0.25">
      <c r="A513" s="4"/>
      <c r="B513" s="6"/>
      <c r="C513" s="5" t="str">
        <f t="shared" si="8"/>
        <v/>
      </c>
      <c r="D513" s="6"/>
      <c r="E513" s="6"/>
      <c r="F513" s="6"/>
      <c r="G513" s="6"/>
      <c r="H513" s="6"/>
    </row>
    <row r="514" spans="1:8" x14ac:dyDescent="0.25">
      <c r="A514" s="4"/>
      <c r="B514" s="6"/>
      <c r="C514" s="5" t="str">
        <f t="shared" si="8"/>
        <v/>
      </c>
      <c r="D514" s="6"/>
      <c r="E514" s="6"/>
      <c r="F514" s="6"/>
      <c r="G514" s="6"/>
      <c r="H514" s="6"/>
    </row>
    <row r="515" spans="1:8" x14ac:dyDescent="0.25">
      <c r="A515" s="4"/>
      <c r="B515" s="6"/>
      <c r="C515" s="5" t="str">
        <f t="shared" si="8"/>
        <v/>
      </c>
      <c r="D515" s="6"/>
      <c r="E515" s="6"/>
      <c r="F515" s="6"/>
      <c r="G515" s="6"/>
      <c r="H515" s="6"/>
    </row>
    <row r="516" spans="1:8" x14ac:dyDescent="0.25">
      <c r="A516" s="4"/>
      <c r="B516" s="6"/>
      <c r="C516" s="5" t="str">
        <f t="shared" si="8"/>
        <v/>
      </c>
      <c r="D516" s="6"/>
      <c r="E516" s="6"/>
      <c r="F516" s="6"/>
      <c r="G516" s="6"/>
      <c r="H516" s="6"/>
    </row>
    <row r="517" spans="1:8" x14ac:dyDescent="0.25">
      <c r="A517" s="4"/>
      <c r="B517" s="6"/>
      <c r="C517" s="5" t="str">
        <f t="shared" si="8"/>
        <v/>
      </c>
      <c r="D517" s="6"/>
      <c r="E517" s="6"/>
      <c r="F517" s="6"/>
      <c r="G517" s="6"/>
      <c r="H517" s="6"/>
    </row>
    <row r="518" spans="1:8" x14ac:dyDescent="0.25">
      <c r="A518" s="4"/>
      <c r="B518" s="6"/>
      <c r="C518" s="5" t="str">
        <f t="shared" si="8"/>
        <v/>
      </c>
      <c r="D518" s="6"/>
      <c r="E518" s="6"/>
      <c r="F518" s="6"/>
      <c r="G518" s="6"/>
      <c r="H518" s="6"/>
    </row>
    <row r="519" spans="1:8" x14ac:dyDescent="0.25">
      <c r="A519" s="4"/>
      <c r="B519" s="6"/>
      <c r="C519" s="5" t="str">
        <f t="shared" si="8"/>
        <v/>
      </c>
      <c r="D519" s="6"/>
      <c r="E519" s="6"/>
      <c r="F519" s="6"/>
      <c r="G519" s="6"/>
      <c r="H519" s="6"/>
    </row>
    <row r="520" spans="1:8" x14ac:dyDescent="0.25">
      <c r="A520" s="4"/>
      <c r="B520" s="6"/>
      <c r="C520" s="5" t="str">
        <f t="shared" si="8"/>
        <v/>
      </c>
      <c r="D520" s="6"/>
      <c r="E520" s="6"/>
      <c r="F520" s="6"/>
      <c r="G520" s="6"/>
      <c r="H520" s="6"/>
    </row>
    <row r="521" spans="1:8" x14ac:dyDescent="0.25">
      <c r="A521" s="4"/>
      <c r="B521" s="6"/>
      <c r="C521" s="5" t="str">
        <f t="shared" si="8"/>
        <v/>
      </c>
      <c r="D521" s="6"/>
      <c r="E521" s="6"/>
      <c r="F521" s="6"/>
      <c r="G521" s="6"/>
      <c r="H521" s="6"/>
    </row>
    <row r="522" spans="1:8" x14ac:dyDescent="0.25">
      <c r="A522" s="4"/>
      <c r="B522" s="6"/>
      <c r="C522" s="5" t="str">
        <f t="shared" si="8"/>
        <v/>
      </c>
      <c r="D522" s="6"/>
      <c r="E522" s="6"/>
      <c r="F522" s="6"/>
      <c r="G522" s="6"/>
      <c r="H522" s="6"/>
    </row>
    <row r="523" spans="1:8" x14ac:dyDescent="0.25">
      <c r="A523" s="4"/>
      <c r="B523" s="6"/>
      <c r="C523" s="5" t="str">
        <f t="shared" si="8"/>
        <v/>
      </c>
      <c r="D523" s="6"/>
      <c r="E523" s="6"/>
      <c r="F523" s="6"/>
      <c r="G523" s="6"/>
      <c r="H523" s="6"/>
    </row>
    <row r="524" spans="1:8" x14ac:dyDescent="0.25">
      <c r="A524" s="4"/>
      <c r="B524" s="6"/>
      <c r="C524" s="5" t="str">
        <f t="shared" si="8"/>
        <v/>
      </c>
      <c r="D524" s="6"/>
      <c r="E524" s="6"/>
      <c r="F524" s="6"/>
      <c r="G524" s="6"/>
      <c r="H524" s="6"/>
    </row>
    <row r="525" spans="1:8" x14ac:dyDescent="0.25">
      <c r="A525" s="4"/>
      <c r="B525" s="6"/>
      <c r="C525" s="5" t="str">
        <f t="shared" si="8"/>
        <v/>
      </c>
      <c r="D525" s="6"/>
      <c r="E525" s="6"/>
      <c r="F525" s="6"/>
      <c r="G525" s="6"/>
      <c r="H525" s="6"/>
    </row>
    <row r="526" spans="1:8" x14ac:dyDescent="0.25">
      <c r="A526" s="4"/>
      <c r="B526" s="6"/>
      <c r="C526" s="5" t="str">
        <f t="shared" si="8"/>
        <v/>
      </c>
      <c r="D526" s="6"/>
      <c r="E526" s="6"/>
      <c r="F526" s="6"/>
      <c r="G526" s="6"/>
      <c r="H526" s="6"/>
    </row>
    <row r="527" spans="1:8" x14ac:dyDescent="0.25">
      <c r="A527" s="4"/>
      <c r="B527" s="6"/>
      <c r="C527" s="5" t="str">
        <f t="shared" si="8"/>
        <v/>
      </c>
      <c r="D527" s="6"/>
      <c r="E527" s="6"/>
      <c r="F527" s="6"/>
      <c r="G527" s="6"/>
      <c r="H527" s="6"/>
    </row>
    <row r="528" spans="1:8" x14ac:dyDescent="0.25">
      <c r="A528" s="4"/>
      <c r="B528" s="6"/>
      <c r="C528" s="5" t="str">
        <f t="shared" si="8"/>
        <v/>
      </c>
      <c r="D528" s="6"/>
      <c r="E528" s="6"/>
      <c r="F528" s="6"/>
      <c r="G528" s="6"/>
      <c r="H528" s="6"/>
    </row>
    <row r="529" spans="1:8" x14ac:dyDescent="0.25">
      <c r="A529" s="4"/>
      <c r="B529" s="6"/>
      <c r="C529" s="5" t="str">
        <f t="shared" si="8"/>
        <v/>
      </c>
      <c r="D529" s="6"/>
      <c r="E529" s="6"/>
      <c r="F529" s="6"/>
      <c r="G529" s="6"/>
      <c r="H529" s="6"/>
    </row>
    <row r="530" spans="1:8" x14ac:dyDescent="0.25">
      <c r="A530" s="4"/>
      <c r="B530" s="6"/>
      <c r="C530" s="5" t="str">
        <f t="shared" si="8"/>
        <v/>
      </c>
      <c r="D530" s="6"/>
      <c r="E530" s="6"/>
      <c r="F530" s="6"/>
      <c r="G530" s="6"/>
      <c r="H530" s="6"/>
    </row>
    <row r="531" spans="1:8" x14ac:dyDescent="0.25">
      <c r="A531" s="4"/>
      <c r="B531" s="6"/>
      <c r="C531" s="5" t="str">
        <f t="shared" si="8"/>
        <v/>
      </c>
      <c r="D531" s="6"/>
      <c r="E531" s="6"/>
      <c r="F531" s="6"/>
      <c r="G531" s="6"/>
      <c r="H531" s="6"/>
    </row>
    <row r="532" spans="1:8" x14ac:dyDescent="0.25">
      <c r="A532" s="4"/>
      <c r="B532" s="6"/>
      <c r="C532" s="5" t="str">
        <f t="shared" si="8"/>
        <v/>
      </c>
      <c r="D532" s="6"/>
      <c r="E532" s="6"/>
      <c r="F532" s="6"/>
      <c r="G532" s="6"/>
      <c r="H532" s="6"/>
    </row>
    <row r="533" spans="1:8" x14ac:dyDescent="0.25">
      <c r="A533" s="4"/>
      <c r="B533" s="6"/>
      <c r="C533" s="5" t="str">
        <f t="shared" si="8"/>
        <v/>
      </c>
      <c r="D533" s="6"/>
      <c r="E533" s="6"/>
      <c r="F533" s="6"/>
      <c r="G533" s="6"/>
      <c r="H533" s="6"/>
    </row>
    <row r="534" spans="1:8" x14ac:dyDescent="0.25">
      <c r="A534" s="4"/>
      <c r="B534" s="6"/>
      <c r="C534" s="5" t="str">
        <f t="shared" si="8"/>
        <v/>
      </c>
      <c r="D534" s="6"/>
      <c r="E534" s="6"/>
      <c r="F534" s="6"/>
      <c r="G534" s="6"/>
      <c r="H534" s="6"/>
    </row>
    <row r="535" spans="1:8" x14ac:dyDescent="0.25">
      <c r="A535" s="4"/>
      <c r="B535" s="6"/>
      <c r="C535" s="5" t="str">
        <f t="shared" si="8"/>
        <v/>
      </c>
      <c r="D535" s="6"/>
      <c r="E535" s="6"/>
      <c r="F535" s="6"/>
      <c r="G535" s="6"/>
      <c r="H535" s="6"/>
    </row>
    <row r="536" spans="1:8" x14ac:dyDescent="0.25">
      <c r="A536" s="4"/>
      <c r="B536" s="6"/>
      <c r="C536" s="5" t="str">
        <f t="shared" si="8"/>
        <v/>
      </c>
      <c r="D536" s="6"/>
      <c r="E536" s="6"/>
      <c r="F536" s="6"/>
      <c r="G536" s="6"/>
      <c r="H536" s="6"/>
    </row>
    <row r="537" spans="1:8" x14ac:dyDescent="0.25">
      <c r="A537" s="4"/>
      <c r="B537" s="6"/>
      <c r="C537" s="5" t="str">
        <f t="shared" si="8"/>
        <v/>
      </c>
      <c r="D537" s="6"/>
      <c r="E537" s="6"/>
      <c r="F537" s="6"/>
      <c r="G537" s="6"/>
      <c r="H537" s="6"/>
    </row>
    <row r="538" spans="1:8" x14ac:dyDescent="0.25">
      <c r="A538" s="4"/>
      <c r="B538" s="6"/>
      <c r="C538" s="5" t="str">
        <f t="shared" si="8"/>
        <v/>
      </c>
      <c r="D538" s="6"/>
      <c r="E538" s="6"/>
      <c r="F538" s="6"/>
      <c r="G538" s="6"/>
      <c r="H538" s="6"/>
    </row>
    <row r="539" spans="1:8" x14ac:dyDescent="0.25">
      <c r="A539" s="4"/>
      <c r="B539" s="6"/>
      <c r="C539" s="5" t="str">
        <f t="shared" si="8"/>
        <v/>
      </c>
      <c r="D539" s="6"/>
      <c r="E539" s="6"/>
      <c r="F539" s="6"/>
      <c r="G539" s="6"/>
      <c r="H539" s="6"/>
    </row>
    <row r="540" spans="1:8" x14ac:dyDescent="0.25">
      <c r="A540" s="4"/>
      <c r="B540" s="6"/>
      <c r="C540" s="5" t="str">
        <f t="shared" si="8"/>
        <v/>
      </c>
      <c r="D540" s="6"/>
      <c r="E540" s="6"/>
      <c r="F540" s="6"/>
      <c r="G540" s="6"/>
      <c r="H540" s="6"/>
    </row>
    <row r="541" spans="1:8" x14ac:dyDescent="0.25">
      <c r="A541" s="4"/>
      <c r="B541" s="6"/>
      <c r="C541" s="5" t="str">
        <f t="shared" si="8"/>
        <v/>
      </c>
      <c r="D541" s="6"/>
      <c r="E541" s="6"/>
      <c r="F541" s="6"/>
      <c r="G541" s="6"/>
      <c r="H541" s="6"/>
    </row>
    <row r="542" spans="1:8" x14ac:dyDescent="0.25">
      <c r="A542" s="4"/>
      <c r="B542" s="6"/>
      <c r="C542" s="5" t="str">
        <f t="shared" si="8"/>
        <v/>
      </c>
      <c r="D542" s="6"/>
      <c r="E542" s="6"/>
      <c r="F542" s="6"/>
      <c r="G542" s="6"/>
      <c r="H542" s="6"/>
    </row>
    <row r="543" spans="1:8" x14ac:dyDescent="0.25">
      <c r="A543" s="4"/>
      <c r="B543" s="6"/>
      <c r="C543" s="5" t="str">
        <f t="shared" si="8"/>
        <v/>
      </c>
      <c r="D543" s="6"/>
      <c r="E543" s="6"/>
      <c r="F543" s="6"/>
      <c r="G543" s="6"/>
      <c r="H543" s="6"/>
    </row>
    <row r="544" spans="1:8" x14ac:dyDescent="0.25">
      <c r="A544" s="4"/>
      <c r="B544" s="6"/>
      <c r="C544" s="5" t="str">
        <f t="shared" si="8"/>
        <v/>
      </c>
      <c r="D544" s="6"/>
      <c r="E544" s="6"/>
      <c r="F544" s="6"/>
      <c r="G544" s="6"/>
      <c r="H544" s="6"/>
    </row>
    <row r="545" spans="1:8" x14ac:dyDescent="0.25">
      <c r="A545" s="4"/>
      <c r="B545" s="6"/>
      <c r="C545" s="5" t="str">
        <f t="shared" si="8"/>
        <v/>
      </c>
      <c r="D545" s="6"/>
      <c r="E545" s="6"/>
      <c r="F545" s="6"/>
      <c r="G545" s="6"/>
      <c r="H545" s="6"/>
    </row>
    <row r="546" spans="1:8" x14ac:dyDescent="0.25">
      <c r="A546" s="4"/>
      <c r="B546" s="6"/>
      <c r="C546" s="5" t="str">
        <f t="shared" si="8"/>
        <v/>
      </c>
      <c r="D546" s="6"/>
      <c r="E546" s="6"/>
      <c r="F546" s="6"/>
      <c r="G546" s="6"/>
      <c r="H546" s="6"/>
    </row>
    <row r="547" spans="1:8" x14ac:dyDescent="0.25">
      <c r="A547" s="4"/>
      <c r="B547" s="6"/>
      <c r="C547" s="5" t="str">
        <f t="shared" si="8"/>
        <v/>
      </c>
      <c r="D547" s="6"/>
      <c r="E547" s="6"/>
      <c r="F547" s="6"/>
      <c r="G547" s="6"/>
      <c r="H547" s="6"/>
    </row>
    <row r="548" spans="1:8" x14ac:dyDescent="0.25">
      <c r="A548" s="4"/>
      <c r="B548" s="6"/>
      <c r="C548" s="5" t="str">
        <f t="shared" si="8"/>
        <v/>
      </c>
      <c r="D548" s="6"/>
      <c r="E548" s="6"/>
      <c r="F548" s="6"/>
      <c r="G548" s="6"/>
      <c r="H548" s="6"/>
    </row>
    <row r="549" spans="1:8" x14ac:dyDescent="0.25">
      <c r="A549" s="4"/>
      <c r="B549" s="6"/>
      <c r="C549" s="5" t="str">
        <f t="shared" si="8"/>
        <v/>
      </c>
      <c r="D549" s="6"/>
      <c r="E549" s="6"/>
      <c r="F549" s="6"/>
      <c r="G549" s="6"/>
      <c r="H549" s="6"/>
    </row>
    <row r="550" spans="1:8" x14ac:dyDescent="0.25">
      <c r="A550" s="4"/>
      <c r="B550" s="6"/>
      <c r="C550" s="5" t="str">
        <f t="shared" si="8"/>
        <v/>
      </c>
      <c r="D550" s="6"/>
      <c r="E550" s="6"/>
      <c r="F550" s="6"/>
      <c r="G550" s="6"/>
      <c r="H550" s="6"/>
    </row>
    <row r="551" spans="1:8" x14ac:dyDescent="0.25">
      <c r="A551" s="4"/>
      <c r="B551" s="6"/>
      <c r="C551" s="5" t="str">
        <f t="shared" si="8"/>
        <v/>
      </c>
      <c r="D551" s="6"/>
      <c r="E551" s="6"/>
      <c r="F551" s="6"/>
      <c r="G551" s="6"/>
      <c r="H551" s="6"/>
    </row>
    <row r="552" spans="1:8" x14ac:dyDescent="0.25">
      <c r="A552" s="4"/>
      <c r="B552" s="6"/>
      <c r="C552" s="5" t="str">
        <f t="shared" si="8"/>
        <v/>
      </c>
      <c r="D552" s="6"/>
      <c r="E552" s="6"/>
      <c r="F552" s="6"/>
      <c r="G552" s="6"/>
      <c r="H552" s="6"/>
    </row>
    <row r="553" spans="1:8" x14ac:dyDescent="0.25">
      <c r="A553" s="4"/>
      <c r="B553" s="6"/>
      <c r="C553" s="5" t="str">
        <f t="shared" si="8"/>
        <v/>
      </c>
      <c r="D553" s="6"/>
      <c r="E553" s="6"/>
      <c r="F553" s="6"/>
      <c r="G553" s="6"/>
      <c r="H553" s="6"/>
    </row>
    <row r="554" spans="1:8" x14ac:dyDescent="0.25">
      <c r="A554" s="4"/>
      <c r="B554" s="6"/>
      <c r="C554" s="5" t="str">
        <f t="shared" si="8"/>
        <v/>
      </c>
      <c r="D554" s="6"/>
      <c r="E554" s="6"/>
      <c r="F554" s="6"/>
      <c r="G554" s="6"/>
      <c r="H554" s="6"/>
    </row>
    <row r="555" spans="1:8" x14ac:dyDescent="0.25">
      <c r="A555" s="4"/>
      <c r="B555" s="6"/>
      <c r="C555" s="5" t="str">
        <f t="shared" si="8"/>
        <v/>
      </c>
      <c r="D555" s="6"/>
      <c r="E555" s="6"/>
      <c r="F555" s="6"/>
      <c r="G555" s="6"/>
      <c r="H555" s="6"/>
    </row>
    <row r="556" spans="1:8" x14ac:dyDescent="0.25">
      <c r="A556" s="4"/>
      <c r="B556" s="6"/>
      <c r="C556" s="5" t="str">
        <f t="shared" si="8"/>
        <v/>
      </c>
      <c r="D556" s="6"/>
      <c r="E556" s="6"/>
      <c r="F556" s="6"/>
      <c r="G556" s="6"/>
      <c r="H556" s="6"/>
    </row>
    <row r="557" spans="1:8" x14ac:dyDescent="0.25">
      <c r="A557" s="4"/>
      <c r="B557" s="6"/>
      <c r="C557" s="5" t="str">
        <f t="shared" si="8"/>
        <v/>
      </c>
      <c r="D557" s="6"/>
      <c r="E557" s="6"/>
      <c r="F557" s="6"/>
      <c r="G557" s="6"/>
      <c r="H557" s="6"/>
    </row>
    <row r="558" spans="1:8" x14ac:dyDescent="0.25">
      <c r="A558" s="4"/>
      <c r="B558" s="6"/>
      <c r="C558" s="5" t="str">
        <f t="shared" si="8"/>
        <v/>
      </c>
      <c r="D558" s="6"/>
      <c r="E558" s="6"/>
      <c r="F558" s="6"/>
      <c r="G558" s="6"/>
      <c r="H558" s="6"/>
    </row>
    <row r="559" spans="1:8" x14ac:dyDescent="0.25">
      <c r="A559" s="4"/>
      <c r="B559" s="6"/>
      <c r="C559" s="5" t="str">
        <f t="shared" si="8"/>
        <v/>
      </c>
      <c r="D559" s="6"/>
      <c r="E559" s="6"/>
      <c r="F559" s="6"/>
      <c r="G559" s="6"/>
      <c r="H559" s="6"/>
    </row>
    <row r="560" spans="1:8" x14ac:dyDescent="0.25">
      <c r="A560" s="4"/>
      <c r="B560" s="6"/>
      <c r="C560" s="5" t="str">
        <f t="shared" si="8"/>
        <v/>
      </c>
      <c r="D560" s="6"/>
      <c r="E560" s="6"/>
      <c r="F560" s="6"/>
      <c r="G560" s="6"/>
      <c r="H560" s="6"/>
    </row>
    <row r="561" spans="1:8" x14ac:dyDescent="0.25">
      <c r="A561" s="4"/>
      <c r="B561" s="6"/>
      <c r="C561" s="5" t="str">
        <f t="shared" si="8"/>
        <v/>
      </c>
      <c r="D561" s="6"/>
      <c r="E561" s="6"/>
      <c r="F561" s="6"/>
      <c r="G561" s="6"/>
      <c r="H561" s="6"/>
    </row>
    <row r="562" spans="1:8" x14ac:dyDescent="0.25">
      <c r="A562" s="4"/>
      <c r="B562" s="6"/>
      <c r="C562" s="5" t="str">
        <f t="shared" si="8"/>
        <v/>
      </c>
      <c r="D562" s="6"/>
      <c r="E562" s="6"/>
      <c r="F562" s="6"/>
      <c r="G562" s="6"/>
      <c r="H562" s="6"/>
    </row>
    <row r="563" spans="1:8" x14ac:dyDescent="0.25">
      <c r="A563" s="4"/>
      <c r="B563" s="6"/>
      <c r="C563" s="5" t="str">
        <f t="shared" si="8"/>
        <v/>
      </c>
      <c r="D563" s="6"/>
      <c r="E563" s="6"/>
      <c r="F563" s="6"/>
      <c r="G563" s="6"/>
      <c r="H563" s="6"/>
    </row>
    <row r="564" spans="1:8" x14ac:dyDescent="0.25">
      <c r="A564" s="4"/>
      <c r="B564" s="6"/>
      <c r="C564" s="5" t="str">
        <f t="shared" si="8"/>
        <v/>
      </c>
      <c r="D564" s="6"/>
      <c r="E564" s="6"/>
      <c r="F564" s="6"/>
      <c r="G564" s="6"/>
      <c r="H564" s="6"/>
    </row>
    <row r="565" spans="1:8" x14ac:dyDescent="0.25">
      <c r="A565" s="4"/>
      <c r="B565" s="6"/>
      <c r="C565" s="5" t="str">
        <f t="shared" si="8"/>
        <v/>
      </c>
      <c r="D565" s="6"/>
      <c r="E565" s="6"/>
      <c r="F565" s="6"/>
      <c r="G565" s="6"/>
      <c r="H565" s="6"/>
    </row>
    <row r="566" spans="1:8" x14ac:dyDescent="0.25">
      <c r="A566" s="4"/>
      <c r="B566" s="6"/>
      <c r="C566" s="5" t="str">
        <f t="shared" si="8"/>
        <v/>
      </c>
      <c r="D566" s="6"/>
      <c r="E566" s="6"/>
      <c r="F566" s="6"/>
      <c r="G566" s="6"/>
      <c r="H566" s="6"/>
    </row>
    <row r="567" spans="1:8" x14ac:dyDescent="0.25">
      <c r="A567" s="4"/>
      <c r="B567" s="6"/>
      <c r="C567" s="5" t="str">
        <f t="shared" si="8"/>
        <v/>
      </c>
      <c r="D567" s="6"/>
      <c r="E567" s="6"/>
      <c r="F567" s="6"/>
      <c r="G567" s="6"/>
      <c r="H567" s="6"/>
    </row>
    <row r="568" spans="1:8" x14ac:dyDescent="0.25">
      <c r="A568" s="4"/>
      <c r="B568" s="6"/>
      <c r="C568" s="5" t="str">
        <f t="shared" si="8"/>
        <v/>
      </c>
      <c r="D568" s="6"/>
      <c r="E568" s="6"/>
      <c r="F568" s="6"/>
      <c r="G568" s="6"/>
      <c r="H568" s="6"/>
    </row>
    <row r="569" spans="1:8" x14ac:dyDescent="0.25">
      <c r="A569" s="4"/>
      <c r="B569" s="6"/>
      <c r="C569" s="5" t="str">
        <f t="shared" si="8"/>
        <v/>
      </c>
      <c r="D569" s="6"/>
      <c r="E569" s="6"/>
      <c r="F569" s="6"/>
      <c r="G569" s="6"/>
      <c r="H569" s="6"/>
    </row>
    <row r="570" spans="1:8" x14ac:dyDescent="0.25">
      <c r="A570" s="4"/>
      <c r="B570" s="6"/>
      <c r="C570" s="5" t="str">
        <f t="shared" ref="C570:C633" si="9">IF(ISBLANK(B570),"", "guest")</f>
        <v/>
      </c>
      <c r="D570" s="6"/>
      <c r="E570" s="6"/>
      <c r="F570" s="6"/>
      <c r="G570" s="6"/>
      <c r="H570" s="6"/>
    </row>
    <row r="571" spans="1:8" x14ac:dyDescent="0.25">
      <c r="A571" s="4"/>
      <c r="B571" s="6"/>
      <c r="C571" s="5" t="str">
        <f t="shared" si="9"/>
        <v/>
      </c>
      <c r="D571" s="6"/>
      <c r="E571" s="6"/>
      <c r="F571" s="6"/>
      <c r="G571" s="6"/>
      <c r="H571" s="6"/>
    </row>
    <row r="572" spans="1:8" x14ac:dyDescent="0.25">
      <c r="A572" s="4"/>
      <c r="B572" s="6"/>
      <c r="C572" s="5" t="str">
        <f t="shared" si="9"/>
        <v/>
      </c>
      <c r="D572" s="6"/>
      <c r="E572" s="6"/>
      <c r="F572" s="6"/>
      <c r="G572" s="6"/>
      <c r="H572" s="6"/>
    </row>
    <row r="573" spans="1:8" x14ac:dyDescent="0.25">
      <c r="A573" s="4"/>
      <c r="B573" s="6"/>
      <c r="C573" s="5" t="str">
        <f t="shared" si="9"/>
        <v/>
      </c>
      <c r="D573" s="6"/>
      <c r="E573" s="6"/>
      <c r="F573" s="6"/>
      <c r="G573" s="6"/>
      <c r="H573" s="6"/>
    </row>
    <row r="574" spans="1:8" x14ac:dyDescent="0.25">
      <c r="A574" s="4"/>
      <c r="B574" s="6"/>
      <c r="C574" s="5" t="str">
        <f t="shared" si="9"/>
        <v/>
      </c>
      <c r="D574" s="6"/>
      <c r="E574" s="6"/>
      <c r="F574" s="6"/>
      <c r="G574" s="6"/>
      <c r="H574" s="6"/>
    </row>
    <row r="575" spans="1:8" x14ac:dyDescent="0.25">
      <c r="A575" s="4"/>
      <c r="B575" s="6"/>
      <c r="C575" s="5" t="str">
        <f t="shared" si="9"/>
        <v/>
      </c>
      <c r="D575" s="6"/>
      <c r="E575" s="6"/>
      <c r="F575" s="6"/>
      <c r="G575" s="6"/>
      <c r="H575" s="6"/>
    </row>
    <row r="576" spans="1:8" x14ac:dyDescent="0.25">
      <c r="A576" s="4"/>
      <c r="B576" s="6"/>
      <c r="C576" s="5" t="str">
        <f t="shared" si="9"/>
        <v/>
      </c>
      <c r="D576" s="6"/>
      <c r="E576" s="6"/>
      <c r="F576" s="6"/>
      <c r="G576" s="6"/>
      <c r="H576" s="6"/>
    </row>
    <row r="577" spans="1:8" x14ac:dyDescent="0.25">
      <c r="A577" s="4"/>
      <c r="B577" s="6"/>
      <c r="C577" s="5" t="str">
        <f t="shared" si="9"/>
        <v/>
      </c>
      <c r="D577" s="6"/>
      <c r="E577" s="6"/>
      <c r="F577" s="6"/>
      <c r="G577" s="6"/>
      <c r="H577" s="6"/>
    </row>
    <row r="578" spans="1:8" x14ac:dyDescent="0.25">
      <c r="A578" s="4"/>
      <c r="B578" s="6"/>
      <c r="C578" s="5" t="str">
        <f t="shared" si="9"/>
        <v/>
      </c>
      <c r="D578" s="6"/>
      <c r="E578" s="6"/>
      <c r="F578" s="6"/>
      <c r="G578" s="6"/>
      <c r="H578" s="6"/>
    </row>
    <row r="579" spans="1:8" x14ac:dyDescent="0.25">
      <c r="A579" s="4"/>
      <c r="B579" s="6"/>
      <c r="C579" s="5" t="str">
        <f t="shared" si="9"/>
        <v/>
      </c>
      <c r="D579" s="6"/>
      <c r="E579" s="6"/>
      <c r="F579" s="6"/>
      <c r="G579" s="6"/>
      <c r="H579" s="6"/>
    </row>
    <row r="580" spans="1:8" x14ac:dyDescent="0.25">
      <c r="A580" s="4"/>
      <c r="B580" s="6"/>
      <c r="C580" s="5" t="str">
        <f t="shared" si="9"/>
        <v/>
      </c>
      <c r="D580" s="6"/>
      <c r="E580" s="6"/>
      <c r="F580" s="6"/>
      <c r="G580" s="6"/>
      <c r="H580" s="6"/>
    </row>
    <row r="581" spans="1:8" x14ac:dyDescent="0.25">
      <c r="A581" s="4"/>
      <c r="B581" s="6"/>
      <c r="C581" s="5" t="str">
        <f t="shared" si="9"/>
        <v/>
      </c>
      <c r="D581" s="6"/>
      <c r="E581" s="6"/>
      <c r="F581" s="6"/>
      <c r="G581" s="6"/>
      <c r="H581" s="6"/>
    </row>
    <row r="582" spans="1:8" x14ac:dyDescent="0.25">
      <c r="A582" s="4"/>
      <c r="B582" s="6"/>
      <c r="C582" s="5" t="str">
        <f t="shared" si="9"/>
        <v/>
      </c>
      <c r="D582" s="6"/>
      <c r="E582" s="6"/>
      <c r="F582" s="6"/>
      <c r="G582" s="6"/>
      <c r="H582" s="6"/>
    </row>
    <row r="583" spans="1:8" x14ac:dyDescent="0.25">
      <c r="A583" s="4"/>
      <c r="B583" s="6"/>
      <c r="C583" s="5" t="str">
        <f t="shared" si="9"/>
        <v/>
      </c>
      <c r="D583" s="6"/>
      <c r="E583" s="6"/>
      <c r="F583" s="6"/>
      <c r="G583" s="6"/>
      <c r="H583" s="6"/>
    </row>
    <row r="584" spans="1:8" x14ac:dyDescent="0.25">
      <c r="A584" s="4"/>
      <c r="B584" s="6"/>
      <c r="C584" s="5" t="str">
        <f t="shared" si="9"/>
        <v/>
      </c>
      <c r="D584" s="6"/>
      <c r="E584" s="6"/>
      <c r="F584" s="6"/>
      <c r="G584" s="6"/>
      <c r="H584" s="6"/>
    </row>
    <row r="585" spans="1:8" x14ac:dyDescent="0.25">
      <c r="A585" s="4"/>
      <c r="B585" s="6"/>
      <c r="C585" s="5" t="str">
        <f t="shared" si="9"/>
        <v/>
      </c>
      <c r="D585" s="6"/>
      <c r="E585" s="6"/>
      <c r="F585" s="6"/>
      <c r="G585" s="6"/>
      <c r="H585" s="6"/>
    </row>
    <row r="586" spans="1:8" x14ac:dyDescent="0.25">
      <c r="A586" s="4"/>
      <c r="B586" s="6"/>
      <c r="C586" s="5" t="str">
        <f t="shared" si="9"/>
        <v/>
      </c>
      <c r="D586" s="6"/>
      <c r="E586" s="6"/>
      <c r="F586" s="6"/>
      <c r="G586" s="6"/>
      <c r="H586" s="6"/>
    </row>
    <row r="587" spans="1:8" x14ac:dyDescent="0.25">
      <c r="A587" s="4"/>
      <c r="B587" s="6"/>
      <c r="C587" s="5" t="str">
        <f t="shared" si="9"/>
        <v/>
      </c>
      <c r="D587" s="6"/>
      <c r="E587" s="6"/>
      <c r="F587" s="6"/>
      <c r="G587" s="6"/>
      <c r="H587" s="6"/>
    </row>
    <row r="588" spans="1:8" x14ac:dyDescent="0.25">
      <c r="A588" s="4"/>
      <c r="B588" s="6"/>
      <c r="C588" s="5" t="str">
        <f t="shared" si="9"/>
        <v/>
      </c>
      <c r="D588" s="6"/>
      <c r="E588" s="6"/>
      <c r="F588" s="6"/>
      <c r="G588" s="6"/>
      <c r="H588" s="6"/>
    </row>
    <row r="589" spans="1:8" x14ac:dyDescent="0.25">
      <c r="A589" s="4"/>
      <c r="B589" s="6"/>
      <c r="C589" s="5" t="str">
        <f t="shared" si="9"/>
        <v/>
      </c>
      <c r="D589" s="6"/>
      <c r="E589" s="6"/>
      <c r="F589" s="6"/>
      <c r="G589" s="6"/>
      <c r="H589" s="6"/>
    </row>
    <row r="590" spans="1:8" x14ac:dyDescent="0.25">
      <c r="A590" s="4"/>
      <c r="B590" s="6"/>
      <c r="C590" s="5" t="str">
        <f t="shared" si="9"/>
        <v/>
      </c>
      <c r="D590" s="6"/>
      <c r="E590" s="6"/>
      <c r="F590" s="6"/>
      <c r="G590" s="6"/>
      <c r="H590" s="6"/>
    </row>
    <row r="591" spans="1:8" x14ac:dyDescent="0.25">
      <c r="A591" s="4"/>
      <c r="B591" s="6"/>
      <c r="C591" s="5" t="str">
        <f t="shared" si="9"/>
        <v/>
      </c>
      <c r="D591" s="6"/>
      <c r="E591" s="6"/>
      <c r="F591" s="6"/>
      <c r="G591" s="6"/>
      <c r="H591" s="6"/>
    </row>
    <row r="592" spans="1:8" x14ac:dyDescent="0.25">
      <c r="A592" s="4"/>
      <c r="B592" s="6"/>
      <c r="C592" s="5" t="str">
        <f t="shared" si="9"/>
        <v/>
      </c>
      <c r="D592" s="6"/>
      <c r="E592" s="6"/>
      <c r="F592" s="6"/>
      <c r="G592" s="6"/>
      <c r="H592" s="6"/>
    </row>
    <row r="593" spans="1:8" x14ac:dyDescent="0.25">
      <c r="A593" s="4"/>
      <c r="B593" s="6"/>
      <c r="C593" s="5" t="str">
        <f t="shared" si="9"/>
        <v/>
      </c>
      <c r="D593" s="6"/>
      <c r="E593" s="6"/>
      <c r="F593" s="6"/>
      <c r="G593" s="6"/>
      <c r="H593" s="6"/>
    </row>
    <row r="594" spans="1:8" x14ac:dyDescent="0.25">
      <c r="A594" s="4"/>
      <c r="B594" s="6"/>
      <c r="C594" s="5" t="str">
        <f t="shared" si="9"/>
        <v/>
      </c>
      <c r="D594" s="6"/>
      <c r="E594" s="6"/>
      <c r="F594" s="6"/>
      <c r="G594" s="6"/>
      <c r="H594" s="6"/>
    </row>
    <row r="595" spans="1:8" x14ac:dyDescent="0.25">
      <c r="A595" s="4"/>
      <c r="B595" s="6"/>
      <c r="C595" s="5" t="str">
        <f t="shared" si="9"/>
        <v/>
      </c>
      <c r="D595" s="6"/>
      <c r="E595" s="6"/>
      <c r="F595" s="6"/>
      <c r="G595" s="6"/>
      <c r="H595" s="6"/>
    </row>
    <row r="596" spans="1:8" x14ac:dyDescent="0.25">
      <c r="A596" s="4"/>
      <c r="B596" s="6"/>
      <c r="C596" s="5" t="str">
        <f t="shared" si="9"/>
        <v/>
      </c>
      <c r="D596" s="6"/>
      <c r="E596" s="6"/>
      <c r="F596" s="6"/>
      <c r="G596" s="6"/>
      <c r="H596" s="6"/>
    </row>
    <row r="597" spans="1:8" x14ac:dyDescent="0.25">
      <c r="A597" s="4"/>
      <c r="B597" s="6"/>
      <c r="C597" s="5" t="str">
        <f t="shared" si="9"/>
        <v/>
      </c>
      <c r="D597" s="6"/>
      <c r="E597" s="6"/>
      <c r="F597" s="6"/>
      <c r="G597" s="6"/>
      <c r="H597" s="6"/>
    </row>
    <row r="598" spans="1:8" x14ac:dyDescent="0.25">
      <c r="A598" s="4"/>
      <c r="B598" s="6"/>
      <c r="C598" s="5" t="str">
        <f t="shared" si="9"/>
        <v/>
      </c>
      <c r="D598" s="6"/>
      <c r="E598" s="6"/>
      <c r="F598" s="6"/>
      <c r="G598" s="6"/>
      <c r="H598" s="6"/>
    </row>
    <row r="599" spans="1:8" x14ac:dyDescent="0.25">
      <c r="A599" s="4"/>
      <c r="B599" s="6"/>
      <c r="C599" s="5" t="str">
        <f t="shared" si="9"/>
        <v/>
      </c>
      <c r="D599" s="6"/>
      <c r="E599" s="6"/>
      <c r="F599" s="6"/>
      <c r="G599" s="6"/>
      <c r="H599" s="6"/>
    </row>
    <row r="600" spans="1:8" x14ac:dyDescent="0.25">
      <c r="A600" s="4"/>
      <c r="B600" s="6"/>
      <c r="C600" s="5" t="str">
        <f t="shared" si="9"/>
        <v/>
      </c>
      <c r="D600" s="6"/>
      <c r="E600" s="6"/>
      <c r="F600" s="6"/>
      <c r="G600" s="6"/>
      <c r="H600" s="6"/>
    </row>
    <row r="601" spans="1:8" x14ac:dyDescent="0.25">
      <c r="A601" s="4"/>
      <c r="B601" s="6"/>
      <c r="C601" s="5" t="str">
        <f t="shared" si="9"/>
        <v/>
      </c>
      <c r="D601" s="6"/>
      <c r="E601" s="6"/>
      <c r="F601" s="6"/>
      <c r="G601" s="6"/>
      <c r="H601" s="6"/>
    </row>
    <row r="602" spans="1:8" x14ac:dyDescent="0.25">
      <c r="A602" s="4"/>
      <c r="B602" s="6"/>
      <c r="C602" s="5" t="str">
        <f t="shared" si="9"/>
        <v/>
      </c>
      <c r="D602" s="6"/>
      <c r="E602" s="6"/>
      <c r="F602" s="6"/>
      <c r="G602" s="6"/>
      <c r="H602" s="6"/>
    </row>
    <row r="603" spans="1:8" x14ac:dyDescent="0.25">
      <c r="A603" s="4"/>
      <c r="B603" s="6"/>
      <c r="C603" s="5" t="str">
        <f t="shared" si="9"/>
        <v/>
      </c>
      <c r="D603" s="6"/>
      <c r="E603" s="6"/>
      <c r="F603" s="6"/>
      <c r="G603" s="6"/>
      <c r="H603" s="6"/>
    </row>
    <row r="604" spans="1:8" x14ac:dyDescent="0.25">
      <c r="A604" s="4"/>
      <c r="B604" s="6"/>
      <c r="C604" s="5" t="str">
        <f t="shared" si="9"/>
        <v/>
      </c>
      <c r="D604" s="6"/>
      <c r="E604" s="6"/>
      <c r="F604" s="6"/>
      <c r="G604" s="6"/>
      <c r="H604" s="6"/>
    </row>
    <row r="605" spans="1:8" x14ac:dyDescent="0.25">
      <c r="A605" s="4"/>
      <c r="B605" s="6"/>
      <c r="C605" s="5" t="str">
        <f t="shared" si="9"/>
        <v/>
      </c>
      <c r="D605" s="6"/>
      <c r="E605" s="6"/>
      <c r="F605" s="6"/>
      <c r="G605" s="6"/>
      <c r="H605" s="6"/>
    </row>
    <row r="606" spans="1:8" x14ac:dyDescent="0.25">
      <c r="A606" s="4"/>
      <c r="B606" s="6"/>
      <c r="C606" s="5" t="str">
        <f t="shared" si="9"/>
        <v/>
      </c>
      <c r="D606" s="6"/>
      <c r="E606" s="6"/>
      <c r="F606" s="6"/>
      <c r="G606" s="6"/>
      <c r="H606" s="6"/>
    </row>
    <row r="607" spans="1:8" x14ac:dyDescent="0.25">
      <c r="A607" s="4"/>
      <c r="B607" s="6"/>
      <c r="C607" s="5" t="str">
        <f t="shared" si="9"/>
        <v/>
      </c>
      <c r="D607" s="6"/>
      <c r="E607" s="6"/>
      <c r="F607" s="6"/>
      <c r="G607" s="6"/>
      <c r="H607" s="6"/>
    </row>
    <row r="608" spans="1:8" x14ac:dyDescent="0.25">
      <c r="A608" s="4"/>
      <c r="B608" s="6"/>
      <c r="C608" s="5" t="str">
        <f t="shared" si="9"/>
        <v/>
      </c>
      <c r="D608" s="6"/>
      <c r="E608" s="6"/>
      <c r="F608" s="6"/>
      <c r="G608" s="6"/>
      <c r="H608" s="6"/>
    </row>
    <row r="609" spans="1:8" x14ac:dyDescent="0.25">
      <c r="A609" s="4"/>
      <c r="B609" s="6"/>
      <c r="C609" s="5" t="str">
        <f t="shared" si="9"/>
        <v/>
      </c>
      <c r="D609" s="6"/>
      <c r="E609" s="6"/>
      <c r="F609" s="6"/>
      <c r="G609" s="6"/>
      <c r="H609" s="6"/>
    </row>
    <row r="610" spans="1:8" x14ac:dyDescent="0.25">
      <c r="A610" s="4"/>
      <c r="B610" s="6"/>
      <c r="C610" s="5" t="str">
        <f t="shared" si="9"/>
        <v/>
      </c>
      <c r="D610" s="6"/>
      <c r="E610" s="6"/>
      <c r="F610" s="6"/>
      <c r="G610" s="6"/>
      <c r="H610" s="6"/>
    </row>
    <row r="611" spans="1:8" x14ac:dyDescent="0.25">
      <c r="A611" s="4"/>
      <c r="B611" s="6"/>
      <c r="C611" s="5" t="str">
        <f t="shared" si="9"/>
        <v/>
      </c>
      <c r="D611" s="6"/>
      <c r="E611" s="6"/>
      <c r="F611" s="6"/>
      <c r="G611" s="6"/>
      <c r="H611" s="6"/>
    </row>
    <row r="612" spans="1:8" x14ac:dyDescent="0.25">
      <c r="A612" s="4"/>
      <c r="B612" s="6"/>
      <c r="C612" s="5" t="str">
        <f t="shared" si="9"/>
        <v/>
      </c>
      <c r="D612" s="6"/>
      <c r="E612" s="6"/>
      <c r="F612" s="6"/>
      <c r="G612" s="6"/>
      <c r="H612" s="6"/>
    </row>
    <row r="613" spans="1:8" x14ac:dyDescent="0.25">
      <c r="A613" s="4"/>
      <c r="B613" s="6"/>
      <c r="C613" s="5" t="str">
        <f t="shared" si="9"/>
        <v/>
      </c>
      <c r="D613" s="6"/>
      <c r="E613" s="6"/>
      <c r="F613" s="6"/>
      <c r="G613" s="6"/>
      <c r="H613" s="6"/>
    </row>
    <row r="614" spans="1:8" x14ac:dyDescent="0.25">
      <c r="A614" s="4"/>
      <c r="B614" s="6"/>
      <c r="C614" s="5" t="str">
        <f t="shared" si="9"/>
        <v/>
      </c>
      <c r="D614" s="6"/>
      <c r="E614" s="6"/>
      <c r="F614" s="6"/>
      <c r="G614" s="6"/>
      <c r="H614" s="6"/>
    </row>
    <row r="615" spans="1:8" x14ac:dyDescent="0.25">
      <c r="A615" s="4"/>
      <c r="B615" s="6"/>
      <c r="C615" s="5" t="str">
        <f t="shared" si="9"/>
        <v/>
      </c>
      <c r="D615" s="6"/>
      <c r="E615" s="6"/>
      <c r="F615" s="6"/>
      <c r="G615" s="6"/>
      <c r="H615" s="6"/>
    </row>
    <row r="616" spans="1:8" x14ac:dyDescent="0.25">
      <c r="A616" s="4"/>
      <c r="B616" s="6"/>
      <c r="C616" s="5" t="str">
        <f t="shared" si="9"/>
        <v/>
      </c>
      <c r="D616" s="6"/>
      <c r="E616" s="6"/>
      <c r="F616" s="6"/>
      <c r="G616" s="6"/>
      <c r="H616" s="6"/>
    </row>
    <row r="617" spans="1:8" x14ac:dyDescent="0.25">
      <c r="A617" s="4"/>
      <c r="B617" s="6"/>
      <c r="C617" s="5" t="str">
        <f t="shared" si="9"/>
        <v/>
      </c>
      <c r="D617" s="6"/>
      <c r="E617" s="6"/>
      <c r="F617" s="6"/>
      <c r="G617" s="6"/>
      <c r="H617" s="6"/>
    </row>
    <row r="618" spans="1:8" x14ac:dyDescent="0.25">
      <c r="A618" s="4"/>
      <c r="B618" s="6"/>
      <c r="C618" s="5" t="str">
        <f t="shared" si="9"/>
        <v/>
      </c>
      <c r="D618" s="6"/>
      <c r="E618" s="6"/>
      <c r="F618" s="6"/>
      <c r="G618" s="6"/>
      <c r="H618" s="6"/>
    </row>
    <row r="619" spans="1:8" x14ac:dyDescent="0.25">
      <c r="A619" s="4"/>
      <c r="B619" s="6"/>
      <c r="C619" s="5" t="str">
        <f t="shared" si="9"/>
        <v/>
      </c>
      <c r="D619" s="6"/>
      <c r="E619" s="6"/>
      <c r="F619" s="6"/>
      <c r="G619" s="6"/>
      <c r="H619" s="6"/>
    </row>
    <row r="620" spans="1:8" x14ac:dyDescent="0.25">
      <c r="A620" s="4"/>
      <c r="B620" s="6"/>
      <c r="C620" s="5" t="str">
        <f t="shared" si="9"/>
        <v/>
      </c>
      <c r="D620" s="6"/>
      <c r="E620" s="6"/>
      <c r="F620" s="6"/>
      <c r="G620" s="6"/>
      <c r="H620" s="6"/>
    </row>
    <row r="621" spans="1:8" x14ac:dyDescent="0.25">
      <c r="A621" s="4"/>
      <c r="B621" s="6"/>
      <c r="C621" s="5" t="str">
        <f t="shared" si="9"/>
        <v/>
      </c>
      <c r="D621" s="6"/>
      <c r="E621" s="6"/>
      <c r="F621" s="6"/>
      <c r="G621" s="6"/>
      <c r="H621" s="6"/>
    </row>
    <row r="622" spans="1:8" x14ac:dyDescent="0.25">
      <c r="A622" s="4"/>
      <c r="B622" s="6"/>
      <c r="C622" s="5" t="str">
        <f t="shared" si="9"/>
        <v/>
      </c>
      <c r="D622" s="6"/>
      <c r="E622" s="6"/>
      <c r="F622" s="6"/>
      <c r="G622" s="6"/>
      <c r="H622" s="6"/>
    </row>
    <row r="623" spans="1:8" x14ac:dyDescent="0.25">
      <c r="A623" s="4"/>
      <c r="B623" s="6"/>
      <c r="C623" s="5" t="str">
        <f t="shared" si="9"/>
        <v/>
      </c>
      <c r="D623" s="6"/>
      <c r="E623" s="6"/>
      <c r="F623" s="6"/>
      <c r="G623" s="6"/>
      <c r="H623" s="6"/>
    </row>
    <row r="624" spans="1:8" x14ac:dyDescent="0.25">
      <c r="A624" s="4"/>
      <c r="B624" s="6"/>
      <c r="C624" s="5" t="str">
        <f t="shared" si="9"/>
        <v/>
      </c>
      <c r="D624" s="6"/>
      <c r="E624" s="6"/>
      <c r="F624" s="6"/>
      <c r="G624" s="6"/>
      <c r="H624" s="6"/>
    </row>
    <row r="625" spans="1:8" x14ac:dyDescent="0.25">
      <c r="A625" s="4"/>
      <c r="B625" s="6"/>
      <c r="C625" s="5" t="str">
        <f t="shared" si="9"/>
        <v/>
      </c>
      <c r="D625" s="6"/>
      <c r="E625" s="6"/>
      <c r="F625" s="6"/>
      <c r="G625" s="6"/>
      <c r="H625" s="6"/>
    </row>
    <row r="626" spans="1:8" x14ac:dyDescent="0.25">
      <c r="A626" s="4"/>
      <c r="B626" s="6"/>
      <c r="C626" s="5" t="str">
        <f t="shared" si="9"/>
        <v/>
      </c>
      <c r="D626" s="6"/>
      <c r="E626" s="6"/>
      <c r="F626" s="6"/>
      <c r="G626" s="6"/>
      <c r="H626" s="6"/>
    </row>
    <row r="627" spans="1:8" x14ac:dyDescent="0.25">
      <c r="A627" s="4"/>
      <c r="B627" s="6"/>
      <c r="C627" s="5" t="str">
        <f t="shared" si="9"/>
        <v/>
      </c>
      <c r="D627" s="6"/>
      <c r="E627" s="6"/>
      <c r="F627" s="6"/>
      <c r="G627" s="6"/>
      <c r="H627" s="6"/>
    </row>
    <row r="628" spans="1:8" x14ac:dyDescent="0.25">
      <c r="A628" s="4"/>
      <c r="B628" s="6"/>
      <c r="C628" s="5" t="str">
        <f t="shared" si="9"/>
        <v/>
      </c>
      <c r="D628" s="6"/>
      <c r="E628" s="6"/>
      <c r="F628" s="6"/>
      <c r="G628" s="6"/>
      <c r="H628" s="6"/>
    </row>
    <row r="629" spans="1:8" x14ac:dyDescent="0.25">
      <c r="A629" s="4"/>
      <c r="B629" s="6"/>
      <c r="C629" s="5" t="str">
        <f t="shared" si="9"/>
        <v/>
      </c>
      <c r="D629" s="6"/>
      <c r="E629" s="6"/>
      <c r="F629" s="6"/>
      <c r="G629" s="6"/>
      <c r="H629" s="6"/>
    </row>
    <row r="630" spans="1:8" x14ac:dyDescent="0.25">
      <c r="A630" s="4"/>
      <c r="B630" s="6"/>
      <c r="C630" s="5" t="str">
        <f t="shared" si="9"/>
        <v/>
      </c>
      <c r="D630" s="6"/>
      <c r="E630" s="6"/>
      <c r="F630" s="6"/>
      <c r="G630" s="6"/>
      <c r="H630" s="6"/>
    </row>
    <row r="631" spans="1:8" x14ac:dyDescent="0.25">
      <c r="A631" s="4"/>
      <c r="B631" s="6"/>
      <c r="C631" s="5" t="str">
        <f t="shared" si="9"/>
        <v/>
      </c>
      <c r="D631" s="6"/>
      <c r="E631" s="6"/>
      <c r="F631" s="6"/>
      <c r="G631" s="6"/>
      <c r="H631" s="6"/>
    </row>
    <row r="632" spans="1:8" x14ac:dyDescent="0.25">
      <c r="A632" s="4"/>
      <c r="B632" s="6"/>
      <c r="C632" s="5" t="str">
        <f t="shared" si="9"/>
        <v/>
      </c>
      <c r="D632" s="6"/>
      <c r="E632" s="6"/>
      <c r="F632" s="6"/>
      <c r="G632" s="6"/>
      <c r="H632" s="6"/>
    </row>
    <row r="633" spans="1:8" x14ac:dyDescent="0.25">
      <c r="A633" s="4"/>
      <c r="B633" s="6"/>
      <c r="C633" s="5" t="str">
        <f t="shared" si="9"/>
        <v/>
      </c>
      <c r="D633" s="6"/>
      <c r="E633" s="6"/>
      <c r="F633" s="6"/>
      <c r="G633" s="6"/>
      <c r="H633" s="6"/>
    </row>
    <row r="634" spans="1:8" x14ac:dyDescent="0.25">
      <c r="A634" s="4"/>
      <c r="B634" s="6"/>
      <c r="C634" s="5" t="str">
        <f t="shared" ref="C634:C697" si="10">IF(ISBLANK(B634),"", "guest")</f>
        <v/>
      </c>
      <c r="D634" s="6"/>
      <c r="E634" s="6"/>
      <c r="F634" s="6"/>
      <c r="G634" s="6"/>
      <c r="H634" s="6"/>
    </row>
    <row r="635" spans="1:8" x14ac:dyDescent="0.25">
      <c r="A635" s="4"/>
      <c r="B635" s="6"/>
      <c r="C635" s="5" t="str">
        <f t="shared" si="10"/>
        <v/>
      </c>
      <c r="D635" s="6"/>
      <c r="E635" s="6"/>
      <c r="F635" s="6"/>
      <c r="G635" s="6"/>
      <c r="H635" s="6"/>
    </row>
    <row r="636" spans="1:8" x14ac:dyDescent="0.25">
      <c r="A636" s="4"/>
      <c r="B636" s="6"/>
      <c r="C636" s="5" t="str">
        <f t="shared" si="10"/>
        <v/>
      </c>
      <c r="D636" s="6"/>
      <c r="E636" s="6"/>
      <c r="F636" s="6"/>
      <c r="G636" s="6"/>
      <c r="H636" s="6"/>
    </row>
    <row r="637" spans="1:8" x14ac:dyDescent="0.25">
      <c r="A637" s="4"/>
      <c r="B637" s="6"/>
      <c r="C637" s="5" t="str">
        <f t="shared" si="10"/>
        <v/>
      </c>
      <c r="D637" s="6"/>
      <c r="E637" s="6"/>
      <c r="F637" s="6"/>
      <c r="G637" s="6"/>
      <c r="H637" s="6"/>
    </row>
    <row r="638" spans="1:8" x14ac:dyDescent="0.25">
      <c r="A638" s="4"/>
      <c r="B638" s="6"/>
      <c r="C638" s="5" t="str">
        <f t="shared" si="10"/>
        <v/>
      </c>
      <c r="D638" s="6"/>
      <c r="E638" s="6"/>
      <c r="F638" s="6"/>
      <c r="G638" s="6"/>
      <c r="H638" s="6"/>
    </row>
    <row r="639" spans="1:8" x14ac:dyDescent="0.25">
      <c r="A639" s="4"/>
      <c r="B639" s="6"/>
      <c r="C639" s="5" t="str">
        <f t="shared" si="10"/>
        <v/>
      </c>
      <c r="D639" s="6"/>
      <c r="E639" s="6"/>
      <c r="F639" s="6"/>
      <c r="G639" s="6"/>
      <c r="H639" s="6"/>
    </row>
    <row r="640" spans="1:8" x14ac:dyDescent="0.25">
      <c r="A640" s="4"/>
      <c r="B640" s="6"/>
      <c r="C640" s="5" t="str">
        <f t="shared" si="10"/>
        <v/>
      </c>
      <c r="D640" s="6"/>
      <c r="E640" s="6"/>
      <c r="F640" s="6"/>
      <c r="G640" s="6"/>
      <c r="H640" s="6"/>
    </row>
    <row r="641" spans="1:8" x14ac:dyDescent="0.25">
      <c r="A641" s="4"/>
      <c r="B641" s="6"/>
      <c r="C641" s="5" t="str">
        <f t="shared" si="10"/>
        <v/>
      </c>
      <c r="D641" s="6"/>
      <c r="E641" s="6"/>
      <c r="F641" s="6"/>
      <c r="G641" s="6"/>
      <c r="H641" s="6"/>
    </row>
    <row r="642" spans="1:8" x14ac:dyDescent="0.25">
      <c r="A642" s="4"/>
      <c r="B642" s="6"/>
      <c r="C642" s="5" t="str">
        <f t="shared" si="10"/>
        <v/>
      </c>
      <c r="D642" s="6"/>
      <c r="E642" s="6"/>
      <c r="F642" s="6"/>
      <c r="G642" s="6"/>
      <c r="H642" s="6"/>
    </row>
    <row r="643" spans="1:8" x14ac:dyDescent="0.25">
      <c r="A643" s="4"/>
      <c r="B643" s="6"/>
      <c r="C643" s="5" t="str">
        <f t="shared" si="10"/>
        <v/>
      </c>
      <c r="D643" s="6"/>
      <c r="E643" s="6"/>
      <c r="F643" s="6"/>
      <c r="G643" s="6"/>
      <c r="H643" s="6"/>
    </row>
    <row r="644" spans="1:8" x14ac:dyDescent="0.25">
      <c r="A644" s="4"/>
      <c r="B644" s="6"/>
      <c r="C644" s="5" t="str">
        <f t="shared" si="10"/>
        <v/>
      </c>
      <c r="D644" s="6"/>
      <c r="E644" s="6"/>
      <c r="F644" s="6"/>
      <c r="G644" s="6"/>
      <c r="H644" s="6"/>
    </row>
    <row r="645" spans="1:8" x14ac:dyDescent="0.25">
      <c r="A645" s="4"/>
      <c r="B645" s="6"/>
      <c r="C645" s="5" t="str">
        <f t="shared" si="10"/>
        <v/>
      </c>
      <c r="D645" s="6"/>
      <c r="E645" s="6"/>
      <c r="F645" s="6"/>
      <c r="G645" s="6"/>
      <c r="H645" s="6"/>
    </row>
    <row r="646" spans="1:8" x14ac:dyDescent="0.25">
      <c r="A646" s="4"/>
      <c r="B646" s="6"/>
      <c r="C646" s="5" t="str">
        <f t="shared" si="10"/>
        <v/>
      </c>
      <c r="D646" s="6"/>
      <c r="E646" s="6"/>
      <c r="F646" s="6"/>
      <c r="G646" s="6"/>
      <c r="H646" s="6"/>
    </row>
    <row r="647" spans="1:8" x14ac:dyDescent="0.25">
      <c r="A647" s="4"/>
      <c r="B647" s="6"/>
      <c r="C647" s="5" t="str">
        <f t="shared" si="10"/>
        <v/>
      </c>
      <c r="D647" s="6"/>
      <c r="E647" s="6"/>
      <c r="F647" s="6"/>
      <c r="G647" s="6"/>
      <c r="H647" s="6"/>
    </row>
    <row r="648" spans="1:8" x14ac:dyDescent="0.25">
      <c r="A648" s="4"/>
      <c r="B648" s="6"/>
      <c r="C648" s="5" t="str">
        <f t="shared" si="10"/>
        <v/>
      </c>
      <c r="D648" s="6"/>
      <c r="E648" s="6"/>
      <c r="F648" s="6"/>
      <c r="G648" s="6"/>
      <c r="H648" s="6"/>
    </row>
    <row r="649" spans="1:8" x14ac:dyDescent="0.25">
      <c r="A649" s="4"/>
      <c r="B649" s="6"/>
      <c r="C649" s="5" t="str">
        <f t="shared" si="10"/>
        <v/>
      </c>
      <c r="D649" s="6"/>
      <c r="E649" s="6"/>
      <c r="F649" s="6"/>
      <c r="G649" s="6"/>
      <c r="H649" s="6"/>
    </row>
    <row r="650" spans="1:8" x14ac:dyDescent="0.25">
      <c r="A650" s="4"/>
      <c r="B650" s="6"/>
      <c r="C650" s="5" t="str">
        <f t="shared" si="10"/>
        <v/>
      </c>
      <c r="D650" s="6"/>
      <c r="E650" s="6"/>
      <c r="F650" s="6"/>
      <c r="G650" s="6"/>
      <c r="H650" s="6"/>
    </row>
    <row r="651" spans="1:8" x14ac:dyDescent="0.25">
      <c r="A651" s="4"/>
      <c r="B651" s="6"/>
      <c r="C651" s="5" t="str">
        <f t="shared" si="10"/>
        <v/>
      </c>
      <c r="D651" s="6"/>
      <c r="E651" s="6"/>
      <c r="F651" s="6"/>
      <c r="G651" s="6"/>
      <c r="H651" s="6"/>
    </row>
    <row r="652" spans="1:8" x14ac:dyDescent="0.25">
      <c r="A652" s="4"/>
      <c r="B652" s="6"/>
      <c r="C652" s="5" t="str">
        <f t="shared" si="10"/>
        <v/>
      </c>
      <c r="D652" s="6"/>
      <c r="E652" s="6"/>
      <c r="F652" s="6"/>
      <c r="G652" s="6"/>
      <c r="H652" s="6"/>
    </row>
    <row r="653" spans="1:8" x14ac:dyDescent="0.25">
      <c r="A653" s="4"/>
      <c r="B653" s="6"/>
      <c r="C653" s="5" t="str">
        <f t="shared" si="10"/>
        <v/>
      </c>
      <c r="D653" s="6"/>
      <c r="E653" s="6"/>
      <c r="F653" s="6"/>
      <c r="G653" s="6"/>
      <c r="H653" s="6"/>
    </row>
    <row r="654" spans="1:8" x14ac:dyDescent="0.25">
      <c r="A654" s="4"/>
      <c r="B654" s="6"/>
      <c r="C654" s="5" t="str">
        <f t="shared" si="10"/>
        <v/>
      </c>
      <c r="D654" s="6"/>
      <c r="E654" s="6"/>
      <c r="F654" s="6"/>
      <c r="G654" s="6"/>
      <c r="H654" s="6"/>
    </row>
    <row r="655" spans="1:8" x14ac:dyDescent="0.25">
      <c r="A655" s="4"/>
      <c r="B655" s="6"/>
      <c r="C655" s="5" t="str">
        <f t="shared" si="10"/>
        <v/>
      </c>
      <c r="D655" s="6"/>
      <c r="E655" s="6"/>
      <c r="F655" s="6"/>
      <c r="G655" s="6"/>
      <c r="H655" s="6"/>
    </row>
    <row r="656" spans="1:8" x14ac:dyDescent="0.25">
      <c r="A656" s="4"/>
      <c r="B656" s="6"/>
      <c r="C656" s="5" t="str">
        <f t="shared" si="10"/>
        <v/>
      </c>
      <c r="D656" s="6"/>
      <c r="E656" s="6"/>
      <c r="F656" s="6"/>
      <c r="G656" s="6"/>
      <c r="H656" s="6"/>
    </row>
    <row r="657" spans="1:8" x14ac:dyDescent="0.25">
      <c r="A657" s="4"/>
      <c r="B657" s="6"/>
      <c r="C657" s="5" t="str">
        <f t="shared" si="10"/>
        <v/>
      </c>
      <c r="D657" s="6"/>
      <c r="E657" s="6"/>
      <c r="F657" s="6"/>
      <c r="G657" s="6"/>
      <c r="H657" s="6"/>
    </row>
    <row r="658" spans="1:8" x14ac:dyDescent="0.25">
      <c r="A658" s="4"/>
      <c r="B658" s="6"/>
      <c r="C658" s="5" t="str">
        <f t="shared" si="10"/>
        <v/>
      </c>
      <c r="D658" s="6"/>
      <c r="E658" s="6"/>
      <c r="F658" s="6"/>
      <c r="G658" s="6"/>
      <c r="H658" s="6"/>
    </row>
    <row r="659" spans="1:8" x14ac:dyDescent="0.25">
      <c r="A659" s="4"/>
      <c r="B659" s="6"/>
      <c r="C659" s="5" t="str">
        <f t="shared" si="10"/>
        <v/>
      </c>
      <c r="D659" s="6"/>
      <c r="E659" s="6"/>
      <c r="F659" s="6"/>
      <c r="G659" s="6"/>
      <c r="H659" s="6"/>
    </row>
    <row r="660" spans="1:8" x14ac:dyDescent="0.25">
      <c r="A660" s="4"/>
      <c r="B660" s="6"/>
      <c r="C660" s="5" t="str">
        <f t="shared" si="10"/>
        <v/>
      </c>
      <c r="D660" s="6"/>
      <c r="E660" s="6"/>
      <c r="F660" s="6"/>
      <c r="G660" s="6"/>
      <c r="H660" s="6"/>
    </row>
    <row r="661" spans="1:8" x14ac:dyDescent="0.25">
      <c r="A661" s="4"/>
      <c r="B661" s="6"/>
      <c r="C661" s="5" t="str">
        <f t="shared" si="10"/>
        <v/>
      </c>
      <c r="D661" s="6"/>
      <c r="E661" s="6"/>
      <c r="F661" s="6"/>
      <c r="G661" s="6"/>
      <c r="H661" s="6"/>
    </row>
    <row r="662" spans="1:8" x14ac:dyDescent="0.25">
      <c r="A662" s="4"/>
      <c r="B662" s="6"/>
      <c r="C662" s="5" t="str">
        <f t="shared" si="10"/>
        <v/>
      </c>
      <c r="D662" s="6"/>
      <c r="E662" s="6"/>
      <c r="F662" s="6"/>
      <c r="G662" s="6"/>
      <c r="H662" s="6"/>
    </row>
    <row r="663" spans="1:8" x14ac:dyDescent="0.25">
      <c r="A663" s="4"/>
      <c r="B663" s="6"/>
      <c r="C663" s="5" t="str">
        <f t="shared" si="10"/>
        <v/>
      </c>
      <c r="D663" s="6"/>
      <c r="E663" s="6"/>
      <c r="F663" s="6"/>
      <c r="G663" s="6"/>
      <c r="H663" s="6"/>
    </row>
    <row r="664" spans="1:8" x14ac:dyDescent="0.25">
      <c r="A664" s="4"/>
      <c r="B664" s="6"/>
      <c r="C664" s="5" t="str">
        <f t="shared" si="10"/>
        <v/>
      </c>
      <c r="D664" s="6"/>
      <c r="E664" s="6"/>
      <c r="F664" s="6"/>
      <c r="G664" s="6"/>
      <c r="H664" s="6"/>
    </row>
    <row r="665" spans="1:8" x14ac:dyDescent="0.25">
      <c r="A665" s="4"/>
      <c r="B665" s="6"/>
      <c r="C665" s="5" t="str">
        <f t="shared" si="10"/>
        <v/>
      </c>
      <c r="D665" s="6"/>
      <c r="E665" s="6"/>
      <c r="F665" s="6"/>
      <c r="G665" s="6"/>
      <c r="H665" s="6"/>
    </row>
    <row r="666" spans="1:8" x14ac:dyDescent="0.25">
      <c r="A666" s="4"/>
      <c r="B666" s="6"/>
      <c r="C666" s="5" t="str">
        <f t="shared" si="10"/>
        <v/>
      </c>
      <c r="D666" s="6"/>
      <c r="E666" s="6"/>
      <c r="F666" s="6"/>
      <c r="G666" s="6"/>
      <c r="H666" s="6"/>
    </row>
    <row r="667" spans="1:8" x14ac:dyDescent="0.25">
      <c r="A667" s="4"/>
      <c r="B667" s="6"/>
      <c r="C667" s="5" t="str">
        <f t="shared" si="10"/>
        <v/>
      </c>
      <c r="D667" s="6"/>
      <c r="E667" s="6"/>
      <c r="F667" s="6"/>
      <c r="G667" s="6"/>
      <c r="H667" s="6"/>
    </row>
    <row r="668" spans="1:8" x14ac:dyDescent="0.25">
      <c r="A668" s="4"/>
      <c r="B668" s="6"/>
      <c r="C668" s="5" t="str">
        <f t="shared" si="10"/>
        <v/>
      </c>
      <c r="D668" s="6"/>
      <c r="E668" s="6"/>
      <c r="F668" s="6"/>
      <c r="G668" s="6"/>
      <c r="H668" s="6"/>
    </row>
    <row r="669" spans="1:8" x14ac:dyDescent="0.25">
      <c r="A669" s="4"/>
      <c r="B669" s="6"/>
      <c r="C669" s="5" t="str">
        <f t="shared" si="10"/>
        <v/>
      </c>
      <c r="D669" s="6"/>
      <c r="E669" s="6"/>
      <c r="F669" s="6"/>
      <c r="G669" s="6"/>
      <c r="H669" s="6"/>
    </row>
    <row r="670" spans="1:8" x14ac:dyDescent="0.25">
      <c r="A670" s="4"/>
      <c r="B670" s="6"/>
      <c r="C670" s="5" t="str">
        <f t="shared" si="10"/>
        <v/>
      </c>
      <c r="D670" s="6"/>
      <c r="E670" s="6"/>
      <c r="F670" s="6"/>
      <c r="G670" s="6"/>
      <c r="H670" s="6"/>
    </row>
    <row r="671" spans="1:8" x14ac:dyDescent="0.25">
      <c r="A671" s="4"/>
      <c r="B671" s="6"/>
      <c r="C671" s="5" t="str">
        <f t="shared" si="10"/>
        <v/>
      </c>
      <c r="D671" s="6"/>
      <c r="E671" s="6"/>
      <c r="F671" s="6"/>
      <c r="G671" s="6"/>
      <c r="H671" s="6"/>
    </row>
    <row r="672" spans="1:8" x14ac:dyDescent="0.25">
      <c r="A672" s="4"/>
      <c r="B672" s="6"/>
      <c r="C672" s="5" t="str">
        <f t="shared" si="10"/>
        <v/>
      </c>
      <c r="D672" s="6"/>
      <c r="E672" s="6"/>
      <c r="F672" s="6"/>
      <c r="G672" s="6"/>
      <c r="H672" s="6"/>
    </row>
    <row r="673" spans="1:8" x14ac:dyDescent="0.25">
      <c r="A673" s="4"/>
      <c r="B673" s="6"/>
      <c r="C673" s="5" t="str">
        <f t="shared" si="10"/>
        <v/>
      </c>
      <c r="D673" s="6"/>
      <c r="E673" s="6"/>
      <c r="F673" s="6"/>
      <c r="G673" s="6"/>
      <c r="H673" s="6"/>
    </row>
    <row r="674" spans="1:8" x14ac:dyDescent="0.25">
      <c r="A674" s="4"/>
      <c r="B674" s="6"/>
      <c r="C674" s="5" t="str">
        <f t="shared" si="10"/>
        <v/>
      </c>
      <c r="D674" s="6"/>
      <c r="E674" s="6"/>
      <c r="F674" s="6"/>
      <c r="G674" s="6"/>
      <c r="H674" s="6"/>
    </row>
    <row r="675" spans="1:8" x14ac:dyDescent="0.25">
      <c r="A675" s="4"/>
      <c r="B675" s="6"/>
      <c r="C675" s="5" t="str">
        <f t="shared" si="10"/>
        <v/>
      </c>
      <c r="D675" s="6"/>
      <c r="E675" s="6"/>
      <c r="F675" s="6"/>
      <c r="G675" s="6"/>
      <c r="H675" s="6"/>
    </row>
    <row r="676" spans="1:8" x14ac:dyDescent="0.25">
      <c r="A676" s="4"/>
      <c r="B676" s="6"/>
      <c r="C676" s="5" t="str">
        <f t="shared" si="10"/>
        <v/>
      </c>
      <c r="D676" s="6"/>
      <c r="E676" s="6"/>
      <c r="F676" s="6"/>
      <c r="G676" s="6"/>
      <c r="H676" s="6"/>
    </row>
    <row r="677" spans="1:8" x14ac:dyDescent="0.25">
      <c r="A677" s="4"/>
      <c r="B677" s="6"/>
      <c r="C677" s="5" t="str">
        <f t="shared" si="10"/>
        <v/>
      </c>
      <c r="D677" s="6"/>
      <c r="E677" s="6"/>
      <c r="F677" s="6"/>
      <c r="G677" s="6"/>
      <c r="H677" s="6"/>
    </row>
    <row r="678" spans="1:8" x14ac:dyDescent="0.25">
      <c r="A678" s="4"/>
      <c r="B678" s="6"/>
      <c r="C678" s="5" t="str">
        <f t="shared" si="10"/>
        <v/>
      </c>
      <c r="D678" s="6"/>
      <c r="E678" s="6"/>
      <c r="F678" s="6"/>
      <c r="G678" s="6"/>
      <c r="H678" s="6"/>
    </row>
    <row r="679" spans="1:8" x14ac:dyDescent="0.25">
      <c r="A679" s="4"/>
      <c r="B679" s="6"/>
      <c r="C679" s="5" t="str">
        <f t="shared" si="10"/>
        <v/>
      </c>
      <c r="D679" s="6"/>
      <c r="E679" s="6"/>
      <c r="F679" s="6"/>
      <c r="G679" s="6"/>
      <c r="H679" s="6"/>
    </row>
    <row r="680" spans="1:8" x14ac:dyDescent="0.25">
      <c r="A680" s="4"/>
      <c r="B680" s="6"/>
      <c r="C680" s="5" t="str">
        <f t="shared" si="10"/>
        <v/>
      </c>
      <c r="D680" s="6"/>
      <c r="E680" s="6"/>
      <c r="F680" s="6"/>
      <c r="G680" s="6"/>
      <c r="H680" s="6"/>
    </row>
    <row r="681" spans="1:8" x14ac:dyDescent="0.25">
      <c r="A681" s="4"/>
      <c r="B681" s="6"/>
      <c r="C681" s="5" t="str">
        <f t="shared" si="10"/>
        <v/>
      </c>
      <c r="D681" s="6"/>
      <c r="E681" s="6"/>
      <c r="F681" s="6"/>
      <c r="G681" s="6"/>
      <c r="H681" s="6"/>
    </row>
    <row r="682" spans="1:8" x14ac:dyDescent="0.25">
      <c r="A682" s="4"/>
      <c r="B682" s="6"/>
      <c r="C682" s="5" t="str">
        <f t="shared" si="10"/>
        <v/>
      </c>
      <c r="D682" s="6"/>
      <c r="E682" s="6"/>
      <c r="F682" s="6"/>
      <c r="G682" s="6"/>
      <c r="H682" s="6"/>
    </row>
    <row r="683" spans="1:8" x14ac:dyDescent="0.25">
      <c r="A683" s="4"/>
      <c r="B683" s="6"/>
      <c r="C683" s="5" t="str">
        <f t="shared" si="10"/>
        <v/>
      </c>
      <c r="D683" s="6"/>
      <c r="E683" s="6"/>
      <c r="F683" s="6"/>
      <c r="G683" s="6"/>
      <c r="H683" s="6"/>
    </row>
    <row r="684" spans="1:8" x14ac:dyDescent="0.25">
      <c r="A684" s="4"/>
      <c r="B684" s="6"/>
      <c r="C684" s="5" t="str">
        <f t="shared" si="10"/>
        <v/>
      </c>
      <c r="D684" s="6"/>
      <c r="E684" s="6"/>
      <c r="F684" s="6"/>
      <c r="G684" s="6"/>
      <c r="H684" s="6"/>
    </row>
    <row r="685" spans="1:8" x14ac:dyDescent="0.25">
      <c r="A685" s="4"/>
      <c r="B685" s="6"/>
      <c r="C685" s="5" t="str">
        <f t="shared" si="10"/>
        <v/>
      </c>
      <c r="D685" s="6"/>
      <c r="E685" s="6"/>
      <c r="F685" s="6"/>
      <c r="G685" s="6"/>
      <c r="H685" s="6"/>
    </row>
    <row r="686" spans="1:8" x14ac:dyDescent="0.25">
      <c r="A686" s="4"/>
      <c r="B686" s="6"/>
      <c r="C686" s="5" t="str">
        <f t="shared" si="10"/>
        <v/>
      </c>
      <c r="D686" s="6"/>
      <c r="E686" s="6"/>
      <c r="F686" s="6"/>
      <c r="G686" s="6"/>
      <c r="H686" s="6"/>
    </row>
    <row r="687" spans="1:8" x14ac:dyDescent="0.25">
      <c r="A687" s="4"/>
      <c r="B687" s="6"/>
      <c r="C687" s="5" t="str">
        <f t="shared" si="10"/>
        <v/>
      </c>
      <c r="D687" s="6"/>
      <c r="E687" s="6"/>
      <c r="F687" s="6"/>
      <c r="G687" s="6"/>
      <c r="H687" s="6"/>
    </row>
    <row r="688" spans="1:8" x14ac:dyDescent="0.25">
      <c r="A688" s="4"/>
      <c r="B688" s="6"/>
      <c r="C688" s="5" t="str">
        <f t="shared" si="10"/>
        <v/>
      </c>
      <c r="D688" s="6"/>
      <c r="E688" s="6"/>
      <c r="F688" s="6"/>
      <c r="G688" s="6"/>
      <c r="H688" s="6"/>
    </row>
    <row r="689" spans="1:8" x14ac:dyDescent="0.25">
      <c r="A689" s="4"/>
      <c r="B689" s="6"/>
      <c r="C689" s="5" t="str">
        <f t="shared" si="10"/>
        <v/>
      </c>
      <c r="D689" s="6"/>
      <c r="E689" s="6"/>
      <c r="F689" s="6"/>
      <c r="G689" s="6"/>
      <c r="H689" s="6"/>
    </row>
    <row r="690" spans="1:8" x14ac:dyDescent="0.25">
      <c r="A690" s="4"/>
      <c r="B690" s="6"/>
      <c r="C690" s="5" t="str">
        <f t="shared" si="10"/>
        <v/>
      </c>
      <c r="D690" s="6"/>
      <c r="E690" s="6"/>
      <c r="F690" s="6"/>
      <c r="G690" s="6"/>
      <c r="H690" s="6"/>
    </row>
    <row r="691" spans="1:8" x14ac:dyDescent="0.25">
      <c r="A691" s="4"/>
      <c r="B691" s="6"/>
      <c r="C691" s="5" t="str">
        <f t="shared" si="10"/>
        <v/>
      </c>
      <c r="D691" s="6"/>
      <c r="E691" s="6"/>
      <c r="F691" s="6"/>
      <c r="G691" s="6"/>
      <c r="H691" s="6"/>
    </row>
    <row r="692" spans="1:8" x14ac:dyDescent="0.25">
      <c r="A692" s="4"/>
      <c r="B692" s="6"/>
      <c r="C692" s="5" t="str">
        <f t="shared" si="10"/>
        <v/>
      </c>
      <c r="D692" s="6"/>
      <c r="E692" s="6"/>
      <c r="F692" s="6"/>
      <c r="G692" s="6"/>
      <c r="H692" s="6"/>
    </row>
    <row r="693" spans="1:8" x14ac:dyDescent="0.25">
      <c r="A693" s="4"/>
      <c r="B693" s="6"/>
      <c r="C693" s="5" t="str">
        <f t="shared" si="10"/>
        <v/>
      </c>
      <c r="D693" s="6"/>
      <c r="E693" s="6"/>
      <c r="F693" s="6"/>
      <c r="G693" s="6"/>
      <c r="H693" s="6"/>
    </row>
    <row r="694" spans="1:8" x14ac:dyDescent="0.25">
      <c r="A694" s="4"/>
      <c r="B694" s="6"/>
      <c r="C694" s="5" t="str">
        <f t="shared" si="10"/>
        <v/>
      </c>
      <c r="D694" s="6"/>
      <c r="E694" s="6"/>
      <c r="F694" s="6"/>
      <c r="G694" s="6"/>
      <c r="H694" s="6"/>
    </row>
    <row r="695" spans="1:8" x14ac:dyDescent="0.25">
      <c r="A695" s="4"/>
      <c r="B695" s="6"/>
      <c r="C695" s="5" t="str">
        <f t="shared" si="10"/>
        <v/>
      </c>
      <c r="D695" s="6"/>
      <c r="E695" s="6"/>
      <c r="F695" s="6"/>
      <c r="G695" s="6"/>
      <c r="H695" s="6"/>
    </row>
    <row r="696" spans="1:8" x14ac:dyDescent="0.25">
      <c r="A696" s="4"/>
      <c r="B696" s="6"/>
      <c r="C696" s="5" t="str">
        <f t="shared" si="10"/>
        <v/>
      </c>
      <c r="D696" s="6"/>
      <c r="E696" s="6"/>
      <c r="F696" s="6"/>
      <c r="G696" s="6"/>
      <c r="H696" s="6"/>
    </row>
    <row r="697" spans="1:8" x14ac:dyDescent="0.25">
      <c r="A697" s="4"/>
      <c r="B697" s="6"/>
      <c r="C697" s="5" t="str">
        <f t="shared" si="10"/>
        <v/>
      </c>
      <c r="D697" s="6"/>
      <c r="E697" s="6"/>
      <c r="F697" s="6"/>
      <c r="G697" s="6"/>
      <c r="H697" s="6"/>
    </row>
    <row r="698" spans="1:8" x14ac:dyDescent="0.25">
      <c r="A698" s="4"/>
      <c r="B698" s="6"/>
      <c r="C698" s="5" t="str">
        <f t="shared" ref="C698:C761" si="11">IF(ISBLANK(B698),"", "guest")</f>
        <v/>
      </c>
      <c r="D698" s="6"/>
      <c r="E698" s="6"/>
      <c r="F698" s="6"/>
      <c r="G698" s="6"/>
      <c r="H698" s="6"/>
    </row>
    <row r="699" spans="1:8" x14ac:dyDescent="0.25">
      <c r="A699" s="4"/>
      <c r="B699" s="6"/>
      <c r="C699" s="5" t="str">
        <f t="shared" si="11"/>
        <v/>
      </c>
      <c r="D699" s="6"/>
      <c r="E699" s="6"/>
      <c r="F699" s="6"/>
      <c r="G699" s="6"/>
      <c r="H699" s="6"/>
    </row>
    <row r="700" spans="1:8" x14ac:dyDescent="0.25">
      <c r="A700" s="4"/>
      <c r="B700" s="6"/>
      <c r="C700" s="5" t="str">
        <f t="shared" si="11"/>
        <v/>
      </c>
      <c r="D700" s="6"/>
      <c r="E700" s="6"/>
      <c r="F700" s="6"/>
      <c r="G700" s="6"/>
      <c r="H700" s="6"/>
    </row>
    <row r="701" spans="1:8" x14ac:dyDescent="0.25">
      <c r="A701" s="4"/>
      <c r="B701" s="6"/>
      <c r="C701" s="5" t="str">
        <f t="shared" si="11"/>
        <v/>
      </c>
      <c r="D701" s="6"/>
      <c r="E701" s="6"/>
      <c r="F701" s="6"/>
      <c r="G701" s="6"/>
      <c r="H701" s="6"/>
    </row>
    <row r="702" spans="1:8" x14ac:dyDescent="0.25">
      <c r="A702" s="4"/>
      <c r="B702" s="6"/>
      <c r="C702" s="5" t="str">
        <f t="shared" si="11"/>
        <v/>
      </c>
      <c r="D702" s="6"/>
      <c r="E702" s="6"/>
      <c r="F702" s="6"/>
      <c r="G702" s="6"/>
      <c r="H702" s="6"/>
    </row>
    <row r="703" spans="1:8" x14ac:dyDescent="0.25">
      <c r="A703" s="4"/>
      <c r="B703" s="6"/>
      <c r="C703" s="5" t="str">
        <f t="shared" si="11"/>
        <v/>
      </c>
      <c r="D703" s="6"/>
      <c r="E703" s="6"/>
      <c r="F703" s="6"/>
      <c r="G703" s="6"/>
      <c r="H703" s="6"/>
    </row>
    <row r="704" spans="1:8" x14ac:dyDescent="0.25">
      <c r="A704" s="4"/>
      <c r="B704" s="6"/>
      <c r="C704" s="5" t="str">
        <f t="shared" si="11"/>
        <v/>
      </c>
      <c r="D704" s="6"/>
      <c r="E704" s="6"/>
      <c r="F704" s="6"/>
      <c r="G704" s="6"/>
      <c r="H704" s="6"/>
    </row>
    <row r="705" spans="1:8" x14ac:dyDescent="0.25">
      <c r="A705" s="4"/>
      <c r="B705" s="6"/>
      <c r="C705" s="5" t="str">
        <f t="shared" si="11"/>
        <v/>
      </c>
      <c r="D705" s="6"/>
      <c r="E705" s="6"/>
      <c r="F705" s="6"/>
      <c r="G705" s="6"/>
      <c r="H705" s="6"/>
    </row>
    <row r="706" spans="1:8" x14ac:dyDescent="0.25">
      <c r="A706" s="4"/>
      <c r="B706" s="6"/>
      <c r="C706" s="5" t="str">
        <f t="shared" si="11"/>
        <v/>
      </c>
      <c r="D706" s="6"/>
      <c r="E706" s="6"/>
      <c r="F706" s="6"/>
      <c r="G706" s="6"/>
      <c r="H706" s="6"/>
    </row>
    <row r="707" spans="1:8" x14ac:dyDescent="0.25">
      <c r="A707" s="4"/>
      <c r="B707" s="6"/>
      <c r="C707" s="5" t="str">
        <f t="shared" si="11"/>
        <v/>
      </c>
      <c r="D707" s="6"/>
      <c r="E707" s="6"/>
      <c r="F707" s="6"/>
      <c r="G707" s="6"/>
      <c r="H707" s="6"/>
    </row>
    <row r="708" spans="1:8" x14ac:dyDescent="0.25">
      <c r="A708" s="4"/>
      <c r="B708" s="6"/>
      <c r="C708" s="5" t="str">
        <f t="shared" si="11"/>
        <v/>
      </c>
      <c r="D708" s="6"/>
      <c r="E708" s="6"/>
      <c r="F708" s="6"/>
      <c r="G708" s="6"/>
      <c r="H708" s="6"/>
    </row>
    <row r="709" spans="1:8" x14ac:dyDescent="0.25">
      <c r="A709" s="4"/>
      <c r="B709" s="6"/>
      <c r="C709" s="5" t="str">
        <f t="shared" si="11"/>
        <v/>
      </c>
      <c r="D709" s="6"/>
      <c r="E709" s="6"/>
      <c r="F709" s="6"/>
      <c r="G709" s="6"/>
      <c r="H709" s="6"/>
    </row>
    <row r="710" spans="1:8" x14ac:dyDescent="0.25">
      <c r="A710" s="4"/>
      <c r="B710" s="6"/>
      <c r="C710" s="5" t="str">
        <f t="shared" si="11"/>
        <v/>
      </c>
      <c r="D710" s="6"/>
      <c r="E710" s="6"/>
      <c r="F710" s="6"/>
      <c r="G710" s="6"/>
      <c r="H710" s="6"/>
    </row>
    <row r="711" spans="1:8" x14ac:dyDescent="0.25">
      <c r="A711" s="4"/>
      <c r="B711" s="6"/>
      <c r="C711" s="5" t="str">
        <f t="shared" si="11"/>
        <v/>
      </c>
      <c r="D711" s="6"/>
      <c r="E711" s="6"/>
      <c r="F711" s="6"/>
      <c r="G711" s="6"/>
      <c r="H711" s="6"/>
    </row>
    <row r="712" spans="1:8" x14ac:dyDescent="0.25">
      <c r="A712" s="4"/>
      <c r="B712" s="6"/>
      <c r="C712" s="5" t="str">
        <f t="shared" si="11"/>
        <v/>
      </c>
      <c r="D712" s="6"/>
      <c r="E712" s="6"/>
      <c r="F712" s="6"/>
      <c r="G712" s="6"/>
      <c r="H712" s="6"/>
    </row>
    <row r="713" spans="1:8" x14ac:dyDescent="0.25">
      <c r="A713" s="4"/>
      <c r="B713" s="6"/>
      <c r="C713" s="5" t="str">
        <f t="shared" si="11"/>
        <v/>
      </c>
      <c r="D713" s="6"/>
      <c r="E713" s="6"/>
      <c r="F713" s="6"/>
      <c r="G713" s="6"/>
      <c r="H713" s="6"/>
    </row>
    <row r="714" spans="1:8" x14ac:dyDescent="0.25">
      <c r="A714" s="4"/>
      <c r="B714" s="6"/>
      <c r="C714" s="5" t="str">
        <f t="shared" si="11"/>
        <v/>
      </c>
      <c r="D714" s="6"/>
      <c r="E714" s="6"/>
      <c r="F714" s="6"/>
      <c r="G714" s="6"/>
      <c r="H714" s="6"/>
    </row>
    <row r="715" spans="1:8" x14ac:dyDescent="0.25">
      <c r="A715" s="4"/>
      <c r="B715" s="6"/>
      <c r="C715" s="5" t="str">
        <f t="shared" si="11"/>
        <v/>
      </c>
      <c r="D715" s="6"/>
      <c r="E715" s="6"/>
      <c r="F715" s="6"/>
      <c r="G715" s="6"/>
      <c r="H715" s="6"/>
    </row>
    <row r="716" spans="1:8" x14ac:dyDescent="0.25">
      <c r="A716" s="4"/>
      <c r="B716" s="6"/>
      <c r="C716" s="5" t="str">
        <f t="shared" si="11"/>
        <v/>
      </c>
      <c r="D716" s="6"/>
      <c r="E716" s="6"/>
      <c r="F716" s="6"/>
      <c r="G716" s="6"/>
      <c r="H716" s="6"/>
    </row>
    <row r="717" spans="1:8" x14ac:dyDescent="0.25">
      <c r="A717" s="4"/>
      <c r="B717" s="6"/>
      <c r="C717" s="5" t="str">
        <f t="shared" si="11"/>
        <v/>
      </c>
      <c r="D717" s="6"/>
      <c r="E717" s="6"/>
      <c r="F717" s="6"/>
      <c r="G717" s="6"/>
      <c r="H717" s="6"/>
    </row>
    <row r="718" spans="1:8" x14ac:dyDescent="0.25">
      <c r="A718" s="4"/>
      <c r="B718" s="6"/>
      <c r="C718" s="5" t="str">
        <f t="shared" si="11"/>
        <v/>
      </c>
      <c r="D718" s="6"/>
      <c r="E718" s="6"/>
      <c r="F718" s="6"/>
      <c r="G718" s="6"/>
      <c r="H718" s="6"/>
    </row>
    <row r="719" spans="1:8" x14ac:dyDescent="0.25">
      <c r="A719" s="4"/>
      <c r="B719" s="6"/>
      <c r="C719" s="5" t="str">
        <f t="shared" si="11"/>
        <v/>
      </c>
      <c r="D719" s="6"/>
      <c r="E719" s="6"/>
      <c r="F719" s="6"/>
      <c r="G719" s="6"/>
      <c r="H719" s="6"/>
    </row>
    <row r="720" spans="1:8" x14ac:dyDescent="0.25">
      <c r="A720" s="4"/>
      <c r="B720" s="6"/>
      <c r="C720" s="5" t="str">
        <f t="shared" si="11"/>
        <v/>
      </c>
      <c r="D720" s="6"/>
      <c r="E720" s="6"/>
      <c r="F720" s="6"/>
      <c r="G720" s="6"/>
      <c r="H720" s="6"/>
    </row>
    <row r="721" spans="1:8" x14ac:dyDescent="0.25">
      <c r="A721" s="4"/>
      <c r="B721" s="6"/>
      <c r="C721" s="5" t="str">
        <f t="shared" si="11"/>
        <v/>
      </c>
      <c r="D721" s="6"/>
      <c r="E721" s="6"/>
      <c r="F721" s="6"/>
      <c r="G721" s="6"/>
      <c r="H721" s="6"/>
    </row>
    <row r="722" spans="1:8" x14ac:dyDescent="0.25">
      <c r="A722" s="4"/>
      <c r="B722" s="6"/>
      <c r="C722" s="5" t="str">
        <f t="shared" si="11"/>
        <v/>
      </c>
      <c r="D722" s="6"/>
      <c r="E722" s="6"/>
      <c r="F722" s="6"/>
      <c r="G722" s="6"/>
      <c r="H722" s="6"/>
    </row>
    <row r="723" spans="1:8" x14ac:dyDescent="0.25">
      <c r="A723" s="4"/>
      <c r="B723" s="6"/>
      <c r="C723" s="5" t="str">
        <f t="shared" si="11"/>
        <v/>
      </c>
      <c r="D723" s="6"/>
      <c r="E723" s="6"/>
      <c r="F723" s="6"/>
      <c r="G723" s="6"/>
      <c r="H723" s="6"/>
    </row>
    <row r="724" spans="1:8" x14ac:dyDescent="0.25">
      <c r="A724" s="4"/>
      <c r="B724" s="6"/>
      <c r="C724" s="5" t="str">
        <f t="shared" si="11"/>
        <v/>
      </c>
      <c r="D724" s="6"/>
      <c r="E724" s="6"/>
      <c r="F724" s="6"/>
      <c r="G724" s="6"/>
      <c r="H724" s="6"/>
    </row>
    <row r="725" spans="1:8" x14ac:dyDescent="0.25">
      <c r="A725" s="4"/>
      <c r="B725" s="6"/>
      <c r="C725" s="5" t="str">
        <f t="shared" si="11"/>
        <v/>
      </c>
      <c r="D725" s="6"/>
      <c r="E725" s="6"/>
      <c r="F725" s="6"/>
      <c r="G725" s="6"/>
      <c r="H725" s="6"/>
    </row>
    <row r="726" spans="1:8" x14ac:dyDescent="0.25">
      <c r="A726" s="4"/>
      <c r="B726" s="6"/>
      <c r="C726" s="5" t="str">
        <f t="shared" si="11"/>
        <v/>
      </c>
      <c r="D726" s="6"/>
      <c r="E726" s="6"/>
      <c r="F726" s="6"/>
      <c r="G726" s="6"/>
      <c r="H726" s="6"/>
    </row>
    <row r="727" spans="1:8" x14ac:dyDescent="0.25">
      <c r="A727" s="4"/>
      <c r="B727" s="6"/>
      <c r="C727" s="5" t="str">
        <f t="shared" si="11"/>
        <v/>
      </c>
      <c r="D727" s="6"/>
      <c r="E727" s="6"/>
      <c r="F727" s="6"/>
      <c r="G727" s="6"/>
      <c r="H727" s="6"/>
    </row>
    <row r="728" spans="1:8" x14ac:dyDescent="0.25">
      <c r="A728" s="4"/>
      <c r="B728" s="6"/>
      <c r="C728" s="5" t="str">
        <f t="shared" si="11"/>
        <v/>
      </c>
      <c r="D728" s="6"/>
      <c r="E728" s="6"/>
      <c r="F728" s="6"/>
      <c r="G728" s="6"/>
      <c r="H728" s="6"/>
    </row>
    <row r="729" spans="1:8" x14ac:dyDescent="0.25">
      <c r="A729" s="4"/>
      <c r="B729" s="6"/>
      <c r="C729" s="5" t="str">
        <f t="shared" si="11"/>
        <v/>
      </c>
      <c r="D729" s="6"/>
      <c r="E729" s="6"/>
      <c r="F729" s="6"/>
      <c r="G729" s="6"/>
      <c r="H729" s="6"/>
    </row>
    <row r="730" spans="1:8" x14ac:dyDescent="0.25">
      <c r="A730" s="4"/>
      <c r="B730" s="6"/>
      <c r="C730" s="5" t="str">
        <f t="shared" si="11"/>
        <v/>
      </c>
      <c r="D730" s="6"/>
      <c r="E730" s="6"/>
      <c r="F730" s="6"/>
      <c r="G730" s="6"/>
      <c r="H730" s="6"/>
    </row>
    <row r="731" spans="1:8" x14ac:dyDescent="0.25">
      <c r="A731" s="4"/>
      <c r="B731" s="6"/>
      <c r="C731" s="5" t="str">
        <f t="shared" si="11"/>
        <v/>
      </c>
      <c r="D731" s="6"/>
      <c r="E731" s="6"/>
      <c r="F731" s="6"/>
      <c r="G731" s="6"/>
      <c r="H731" s="6"/>
    </row>
    <row r="732" spans="1:8" x14ac:dyDescent="0.25">
      <c r="A732" s="4"/>
      <c r="B732" s="6"/>
      <c r="C732" s="5" t="str">
        <f t="shared" si="11"/>
        <v/>
      </c>
      <c r="D732" s="6"/>
      <c r="E732" s="6"/>
      <c r="F732" s="6"/>
      <c r="G732" s="6"/>
      <c r="H732" s="6"/>
    </row>
    <row r="733" spans="1:8" x14ac:dyDescent="0.25">
      <c r="A733" s="4"/>
      <c r="B733" s="6"/>
      <c r="C733" s="5" t="str">
        <f t="shared" si="11"/>
        <v/>
      </c>
      <c r="D733" s="6"/>
      <c r="E733" s="6"/>
      <c r="F733" s="6"/>
      <c r="G733" s="6"/>
      <c r="H733" s="6"/>
    </row>
    <row r="734" spans="1:8" x14ac:dyDescent="0.25">
      <c r="A734" s="4"/>
      <c r="B734" s="6"/>
      <c r="C734" s="5" t="str">
        <f t="shared" si="11"/>
        <v/>
      </c>
      <c r="D734" s="6"/>
      <c r="E734" s="6"/>
      <c r="F734" s="6"/>
      <c r="G734" s="6"/>
      <c r="H734" s="6"/>
    </row>
    <row r="735" spans="1:8" x14ac:dyDescent="0.25">
      <c r="A735" s="4"/>
      <c r="B735" s="6"/>
      <c r="C735" s="5" t="str">
        <f t="shared" si="11"/>
        <v/>
      </c>
      <c r="D735" s="6"/>
      <c r="E735" s="6"/>
      <c r="F735" s="6"/>
      <c r="G735" s="6"/>
      <c r="H735" s="6"/>
    </row>
    <row r="736" spans="1:8" x14ac:dyDescent="0.25">
      <c r="A736" s="4"/>
      <c r="B736" s="6"/>
      <c r="C736" s="5" t="str">
        <f t="shared" si="11"/>
        <v/>
      </c>
      <c r="D736" s="6"/>
      <c r="E736" s="6"/>
      <c r="F736" s="6"/>
      <c r="G736" s="6"/>
      <c r="H736" s="6"/>
    </row>
    <row r="737" spans="1:8" x14ac:dyDescent="0.25">
      <c r="A737" s="4"/>
      <c r="B737" s="6"/>
      <c r="C737" s="5" t="str">
        <f t="shared" si="11"/>
        <v/>
      </c>
      <c r="D737" s="6"/>
      <c r="E737" s="6"/>
      <c r="F737" s="6"/>
      <c r="G737" s="6"/>
      <c r="H737" s="6"/>
    </row>
    <row r="738" spans="1:8" x14ac:dyDescent="0.25">
      <c r="A738" s="4"/>
      <c r="B738" s="6"/>
      <c r="C738" s="5" t="str">
        <f t="shared" si="11"/>
        <v/>
      </c>
      <c r="D738" s="6"/>
      <c r="E738" s="6"/>
      <c r="F738" s="6"/>
      <c r="G738" s="6"/>
      <c r="H738" s="6"/>
    </row>
    <row r="739" spans="1:8" x14ac:dyDescent="0.25">
      <c r="A739" s="4"/>
      <c r="B739" s="6"/>
      <c r="C739" s="5" t="str">
        <f t="shared" si="11"/>
        <v/>
      </c>
      <c r="D739" s="6"/>
      <c r="E739" s="6"/>
      <c r="F739" s="6"/>
      <c r="G739" s="6"/>
      <c r="H739" s="6"/>
    </row>
    <row r="740" spans="1:8" x14ac:dyDescent="0.25">
      <c r="A740" s="4"/>
      <c r="B740" s="6"/>
      <c r="C740" s="5" t="str">
        <f t="shared" si="11"/>
        <v/>
      </c>
      <c r="D740" s="6"/>
      <c r="E740" s="6"/>
      <c r="F740" s="6"/>
      <c r="G740" s="6"/>
      <c r="H740" s="6"/>
    </row>
    <row r="741" spans="1:8" x14ac:dyDescent="0.25">
      <c r="A741" s="4"/>
      <c r="B741" s="6"/>
      <c r="C741" s="5" t="str">
        <f t="shared" si="11"/>
        <v/>
      </c>
      <c r="D741" s="6"/>
      <c r="E741" s="6"/>
      <c r="F741" s="6"/>
      <c r="G741" s="6"/>
      <c r="H741" s="6"/>
    </row>
    <row r="742" spans="1:8" x14ac:dyDescent="0.25">
      <c r="A742" s="4"/>
      <c r="B742" s="6"/>
      <c r="C742" s="5" t="str">
        <f t="shared" si="11"/>
        <v/>
      </c>
      <c r="D742" s="6"/>
      <c r="E742" s="6"/>
      <c r="F742" s="6"/>
      <c r="G742" s="6"/>
      <c r="H742" s="6"/>
    </row>
    <row r="743" spans="1:8" x14ac:dyDescent="0.25">
      <c r="A743" s="4"/>
      <c r="B743" s="6"/>
      <c r="C743" s="5" t="str">
        <f t="shared" si="11"/>
        <v/>
      </c>
      <c r="D743" s="6"/>
      <c r="E743" s="6"/>
      <c r="F743" s="6"/>
      <c r="G743" s="6"/>
      <c r="H743" s="6"/>
    </row>
    <row r="744" spans="1:8" x14ac:dyDescent="0.25">
      <c r="A744" s="4"/>
      <c r="B744" s="6"/>
      <c r="C744" s="5" t="str">
        <f t="shared" si="11"/>
        <v/>
      </c>
      <c r="D744" s="6"/>
      <c r="E744" s="6"/>
      <c r="F744" s="6"/>
      <c r="G744" s="6"/>
      <c r="H744" s="6"/>
    </row>
    <row r="745" spans="1:8" x14ac:dyDescent="0.25">
      <c r="A745" s="4"/>
      <c r="B745" s="6"/>
      <c r="C745" s="5" t="str">
        <f t="shared" si="11"/>
        <v/>
      </c>
      <c r="D745" s="6"/>
      <c r="E745" s="6"/>
      <c r="F745" s="6"/>
      <c r="G745" s="6"/>
      <c r="H745" s="6"/>
    </row>
    <row r="746" spans="1:8" x14ac:dyDescent="0.25">
      <c r="A746" s="4"/>
      <c r="B746" s="6"/>
      <c r="C746" s="5" t="str">
        <f t="shared" si="11"/>
        <v/>
      </c>
      <c r="D746" s="6"/>
      <c r="E746" s="6"/>
      <c r="F746" s="6"/>
      <c r="G746" s="6"/>
      <c r="H746" s="6"/>
    </row>
    <row r="747" spans="1:8" x14ac:dyDescent="0.25">
      <c r="A747" s="4"/>
      <c r="B747" s="6"/>
      <c r="C747" s="5" t="str">
        <f t="shared" si="11"/>
        <v/>
      </c>
      <c r="D747" s="6"/>
      <c r="E747" s="6"/>
      <c r="F747" s="6"/>
      <c r="G747" s="6"/>
      <c r="H747" s="6"/>
    </row>
    <row r="748" spans="1:8" x14ac:dyDescent="0.25">
      <c r="A748" s="4"/>
      <c r="B748" s="6"/>
      <c r="C748" s="5" t="str">
        <f t="shared" si="11"/>
        <v/>
      </c>
      <c r="D748" s="6"/>
      <c r="E748" s="6"/>
      <c r="F748" s="6"/>
      <c r="G748" s="6"/>
      <c r="H748" s="6"/>
    </row>
    <row r="749" spans="1:8" x14ac:dyDescent="0.25">
      <c r="A749" s="4"/>
      <c r="B749" s="6"/>
      <c r="C749" s="5" t="str">
        <f t="shared" si="11"/>
        <v/>
      </c>
      <c r="D749" s="6"/>
      <c r="E749" s="6"/>
      <c r="F749" s="6"/>
      <c r="G749" s="6"/>
      <c r="H749" s="6"/>
    </row>
    <row r="750" spans="1:8" x14ac:dyDescent="0.25">
      <c r="A750" s="4"/>
      <c r="B750" s="6"/>
      <c r="C750" s="5" t="str">
        <f t="shared" si="11"/>
        <v/>
      </c>
      <c r="D750" s="6"/>
      <c r="E750" s="6"/>
      <c r="F750" s="6"/>
      <c r="G750" s="6"/>
      <c r="H750" s="6"/>
    </row>
    <row r="751" spans="1:8" x14ac:dyDescent="0.25">
      <c r="A751" s="4"/>
      <c r="B751" s="6"/>
      <c r="C751" s="5" t="str">
        <f t="shared" si="11"/>
        <v/>
      </c>
      <c r="D751" s="6"/>
      <c r="E751" s="6"/>
      <c r="F751" s="6"/>
      <c r="G751" s="6"/>
      <c r="H751" s="6"/>
    </row>
    <row r="752" spans="1:8" x14ac:dyDescent="0.25">
      <c r="A752" s="4"/>
      <c r="B752" s="6"/>
      <c r="C752" s="5" t="str">
        <f t="shared" si="11"/>
        <v/>
      </c>
      <c r="D752" s="6"/>
      <c r="E752" s="6"/>
      <c r="F752" s="6"/>
      <c r="G752" s="6"/>
      <c r="H752" s="6"/>
    </row>
    <row r="753" spans="1:8" x14ac:dyDescent="0.25">
      <c r="A753" s="4"/>
      <c r="B753" s="6"/>
      <c r="C753" s="5" t="str">
        <f t="shared" si="11"/>
        <v/>
      </c>
      <c r="D753" s="6"/>
      <c r="E753" s="6"/>
      <c r="F753" s="6"/>
      <c r="G753" s="6"/>
      <c r="H753" s="6"/>
    </row>
    <row r="754" spans="1:8" x14ac:dyDescent="0.25">
      <c r="A754" s="4"/>
      <c r="B754" s="6"/>
      <c r="C754" s="5" t="str">
        <f t="shared" si="11"/>
        <v/>
      </c>
      <c r="D754" s="6"/>
      <c r="E754" s="6"/>
      <c r="F754" s="6"/>
      <c r="G754" s="6"/>
      <c r="H754" s="6"/>
    </row>
    <row r="755" spans="1:8" x14ac:dyDescent="0.25">
      <c r="A755" s="4"/>
      <c r="B755" s="6"/>
      <c r="C755" s="5" t="str">
        <f t="shared" si="11"/>
        <v/>
      </c>
      <c r="D755" s="6"/>
      <c r="E755" s="6"/>
      <c r="F755" s="6"/>
      <c r="G755" s="6"/>
      <c r="H755" s="6"/>
    </row>
    <row r="756" spans="1:8" x14ac:dyDescent="0.25">
      <c r="A756" s="4"/>
      <c r="B756" s="6"/>
      <c r="C756" s="5" t="str">
        <f t="shared" si="11"/>
        <v/>
      </c>
      <c r="D756" s="6"/>
      <c r="E756" s="6"/>
      <c r="F756" s="6"/>
      <c r="G756" s="6"/>
      <c r="H756" s="6"/>
    </row>
    <row r="757" spans="1:8" x14ac:dyDescent="0.25">
      <c r="A757" s="4"/>
      <c r="B757" s="6"/>
      <c r="C757" s="5" t="str">
        <f t="shared" si="11"/>
        <v/>
      </c>
      <c r="D757" s="6"/>
      <c r="E757" s="6"/>
      <c r="F757" s="6"/>
      <c r="G757" s="6"/>
      <c r="H757" s="6"/>
    </row>
    <row r="758" spans="1:8" x14ac:dyDescent="0.25">
      <c r="A758" s="4"/>
      <c r="B758" s="6"/>
      <c r="C758" s="5" t="str">
        <f t="shared" si="11"/>
        <v/>
      </c>
      <c r="D758" s="6"/>
      <c r="E758" s="6"/>
      <c r="F758" s="6"/>
      <c r="G758" s="6"/>
      <c r="H758" s="6"/>
    </row>
    <row r="759" spans="1:8" x14ac:dyDescent="0.25">
      <c r="A759" s="4"/>
      <c r="B759" s="6"/>
      <c r="C759" s="5" t="str">
        <f t="shared" si="11"/>
        <v/>
      </c>
      <c r="D759" s="6"/>
      <c r="E759" s="6"/>
      <c r="F759" s="6"/>
      <c r="G759" s="6"/>
      <c r="H759" s="6"/>
    </row>
    <row r="760" spans="1:8" x14ac:dyDescent="0.25">
      <c r="A760" s="4"/>
      <c r="B760" s="6"/>
      <c r="C760" s="5" t="str">
        <f t="shared" si="11"/>
        <v/>
      </c>
      <c r="D760" s="6"/>
      <c r="E760" s="6"/>
      <c r="F760" s="6"/>
      <c r="G760" s="6"/>
      <c r="H760" s="6"/>
    </row>
    <row r="761" spans="1:8" x14ac:dyDescent="0.25">
      <c r="A761" s="4"/>
      <c r="B761" s="6"/>
      <c r="C761" s="5" t="str">
        <f t="shared" si="11"/>
        <v/>
      </c>
      <c r="D761" s="6"/>
      <c r="E761" s="6"/>
      <c r="F761" s="6"/>
      <c r="G761" s="6"/>
      <c r="H761" s="6"/>
    </row>
    <row r="762" spans="1:8" x14ac:dyDescent="0.25">
      <c r="A762" s="4"/>
      <c r="B762" s="6"/>
      <c r="C762" s="5" t="str">
        <f t="shared" ref="C762:C825" si="12">IF(ISBLANK(B762),"", "guest")</f>
        <v/>
      </c>
      <c r="D762" s="6"/>
      <c r="E762" s="6"/>
      <c r="F762" s="6"/>
      <c r="G762" s="6"/>
      <c r="H762" s="6"/>
    </row>
    <row r="763" spans="1:8" x14ac:dyDescent="0.25">
      <c r="A763" s="4"/>
      <c r="B763" s="6"/>
      <c r="C763" s="5" t="str">
        <f t="shared" si="12"/>
        <v/>
      </c>
      <c r="D763" s="6"/>
      <c r="E763" s="6"/>
      <c r="F763" s="6"/>
      <c r="G763" s="6"/>
      <c r="H763" s="6"/>
    </row>
    <row r="764" spans="1:8" x14ac:dyDescent="0.25">
      <c r="A764" s="4"/>
      <c r="B764" s="6"/>
      <c r="C764" s="5" t="str">
        <f t="shared" si="12"/>
        <v/>
      </c>
      <c r="D764" s="6"/>
      <c r="E764" s="6"/>
      <c r="F764" s="6"/>
      <c r="G764" s="6"/>
      <c r="H764" s="6"/>
    </row>
    <row r="765" spans="1:8" x14ac:dyDescent="0.25">
      <c r="A765" s="4"/>
      <c r="B765" s="6"/>
      <c r="C765" s="5" t="str">
        <f t="shared" si="12"/>
        <v/>
      </c>
      <c r="D765" s="6"/>
      <c r="E765" s="6"/>
      <c r="F765" s="6"/>
      <c r="G765" s="6"/>
      <c r="H765" s="6"/>
    </row>
    <row r="766" spans="1:8" x14ac:dyDescent="0.25">
      <c r="A766" s="4"/>
      <c r="B766" s="6"/>
      <c r="C766" s="5" t="str">
        <f t="shared" si="12"/>
        <v/>
      </c>
      <c r="D766" s="6"/>
      <c r="E766" s="6"/>
      <c r="F766" s="6"/>
      <c r="G766" s="6"/>
      <c r="H766" s="6"/>
    </row>
    <row r="767" spans="1:8" x14ac:dyDescent="0.25">
      <c r="A767" s="4"/>
      <c r="B767" s="6"/>
      <c r="C767" s="5" t="str">
        <f t="shared" si="12"/>
        <v/>
      </c>
      <c r="D767" s="6"/>
      <c r="E767" s="6"/>
      <c r="F767" s="6"/>
      <c r="G767" s="6"/>
      <c r="H767" s="6"/>
    </row>
    <row r="768" spans="1:8" x14ac:dyDescent="0.25">
      <c r="A768" s="4"/>
      <c r="B768" s="6"/>
      <c r="C768" s="5" t="str">
        <f t="shared" si="12"/>
        <v/>
      </c>
      <c r="D768" s="6"/>
      <c r="E768" s="6"/>
      <c r="F768" s="6"/>
      <c r="G768" s="6"/>
      <c r="H768" s="6"/>
    </row>
    <row r="769" spans="1:8" x14ac:dyDescent="0.25">
      <c r="A769" s="4"/>
      <c r="B769" s="6"/>
      <c r="C769" s="5" t="str">
        <f t="shared" si="12"/>
        <v/>
      </c>
      <c r="D769" s="6"/>
      <c r="E769" s="6"/>
      <c r="F769" s="6"/>
      <c r="G769" s="6"/>
      <c r="H769" s="6"/>
    </row>
    <row r="770" spans="1:8" x14ac:dyDescent="0.25">
      <c r="A770" s="4"/>
      <c r="B770" s="6"/>
      <c r="C770" s="5" t="str">
        <f t="shared" si="12"/>
        <v/>
      </c>
      <c r="D770" s="6"/>
      <c r="E770" s="6"/>
      <c r="F770" s="6"/>
      <c r="G770" s="6"/>
      <c r="H770" s="6"/>
    </row>
    <row r="771" spans="1:8" x14ac:dyDescent="0.25">
      <c r="A771" s="4"/>
      <c r="B771" s="6"/>
      <c r="C771" s="5" t="str">
        <f t="shared" si="12"/>
        <v/>
      </c>
      <c r="D771" s="6"/>
      <c r="E771" s="6"/>
      <c r="F771" s="6"/>
      <c r="G771" s="6"/>
      <c r="H771" s="6"/>
    </row>
    <row r="772" spans="1:8" x14ac:dyDescent="0.25">
      <c r="A772" s="4"/>
      <c r="B772" s="6"/>
      <c r="C772" s="5" t="str">
        <f t="shared" si="12"/>
        <v/>
      </c>
      <c r="D772" s="6"/>
      <c r="E772" s="6"/>
      <c r="F772" s="6"/>
      <c r="G772" s="6"/>
      <c r="H772" s="6"/>
    </row>
    <row r="773" spans="1:8" x14ac:dyDescent="0.25">
      <c r="A773" s="4"/>
      <c r="B773" s="6"/>
      <c r="C773" s="5" t="str">
        <f t="shared" si="12"/>
        <v/>
      </c>
      <c r="D773" s="6"/>
      <c r="E773" s="6"/>
      <c r="F773" s="6"/>
      <c r="G773" s="6"/>
      <c r="H773" s="6"/>
    </row>
    <row r="774" spans="1:8" x14ac:dyDescent="0.25">
      <c r="A774" s="4"/>
      <c r="B774" s="6"/>
      <c r="C774" s="5" t="str">
        <f t="shared" si="12"/>
        <v/>
      </c>
      <c r="D774" s="6"/>
      <c r="E774" s="6"/>
      <c r="F774" s="6"/>
      <c r="G774" s="6"/>
      <c r="H774" s="6"/>
    </row>
    <row r="775" spans="1:8" x14ac:dyDescent="0.25">
      <c r="A775" s="4"/>
      <c r="B775" s="6"/>
      <c r="C775" s="5" t="str">
        <f t="shared" si="12"/>
        <v/>
      </c>
      <c r="D775" s="6"/>
      <c r="E775" s="6"/>
      <c r="F775" s="6"/>
      <c r="G775" s="6"/>
      <c r="H775" s="6"/>
    </row>
    <row r="776" spans="1:8" x14ac:dyDescent="0.25">
      <c r="A776" s="4"/>
      <c r="B776" s="6"/>
      <c r="C776" s="5" t="str">
        <f t="shared" si="12"/>
        <v/>
      </c>
      <c r="D776" s="6"/>
      <c r="E776" s="6"/>
      <c r="F776" s="6"/>
      <c r="G776" s="6"/>
      <c r="H776" s="6"/>
    </row>
    <row r="777" spans="1:8" x14ac:dyDescent="0.25">
      <c r="A777" s="4"/>
      <c r="B777" s="6"/>
      <c r="C777" s="5" t="str">
        <f t="shared" si="12"/>
        <v/>
      </c>
      <c r="D777" s="6"/>
      <c r="E777" s="6"/>
      <c r="F777" s="6"/>
      <c r="G777" s="6"/>
      <c r="H777" s="6"/>
    </row>
    <row r="778" spans="1:8" x14ac:dyDescent="0.25">
      <c r="A778" s="4"/>
      <c r="B778" s="6"/>
      <c r="C778" s="5" t="str">
        <f t="shared" si="12"/>
        <v/>
      </c>
      <c r="D778" s="6"/>
      <c r="E778" s="6"/>
      <c r="F778" s="6"/>
      <c r="G778" s="6"/>
      <c r="H778" s="6"/>
    </row>
    <row r="779" spans="1:8" x14ac:dyDescent="0.25">
      <c r="A779" s="4"/>
      <c r="B779" s="6"/>
      <c r="C779" s="5" t="str">
        <f t="shared" si="12"/>
        <v/>
      </c>
      <c r="D779" s="6"/>
      <c r="E779" s="6"/>
      <c r="F779" s="6"/>
      <c r="G779" s="6"/>
      <c r="H779" s="6"/>
    </row>
    <row r="780" spans="1:8" x14ac:dyDescent="0.25">
      <c r="A780" s="4"/>
      <c r="B780" s="6"/>
      <c r="C780" s="5" t="str">
        <f t="shared" si="12"/>
        <v/>
      </c>
      <c r="D780" s="6"/>
      <c r="E780" s="6"/>
      <c r="F780" s="6"/>
      <c r="G780" s="6"/>
      <c r="H780" s="6"/>
    </row>
    <row r="781" spans="1:8" x14ac:dyDescent="0.25">
      <c r="A781" s="4"/>
      <c r="B781" s="6"/>
      <c r="C781" s="5" t="str">
        <f t="shared" si="12"/>
        <v/>
      </c>
      <c r="D781" s="6"/>
      <c r="E781" s="6"/>
      <c r="F781" s="6"/>
      <c r="G781" s="6"/>
      <c r="H781" s="6"/>
    </row>
    <row r="782" spans="1:8" x14ac:dyDescent="0.25">
      <c r="A782" s="4"/>
      <c r="B782" s="6"/>
      <c r="C782" s="5" t="str">
        <f t="shared" si="12"/>
        <v/>
      </c>
      <c r="D782" s="6"/>
      <c r="E782" s="6"/>
      <c r="F782" s="6"/>
      <c r="G782" s="6"/>
      <c r="H782" s="6"/>
    </row>
    <row r="783" spans="1:8" x14ac:dyDescent="0.25">
      <c r="A783" s="4"/>
      <c r="B783" s="6"/>
      <c r="C783" s="5" t="str">
        <f t="shared" si="12"/>
        <v/>
      </c>
      <c r="D783" s="6"/>
      <c r="E783" s="6"/>
      <c r="F783" s="6"/>
      <c r="G783" s="6"/>
      <c r="H783" s="6"/>
    </row>
    <row r="784" spans="1:8" x14ac:dyDescent="0.25">
      <c r="A784" s="4"/>
      <c r="B784" s="6"/>
      <c r="C784" s="5" t="str">
        <f t="shared" si="12"/>
        <v/>
      </c>
      <c r="D784" s="6"/>
      <c r="E784" s="6"/>
      <c r="F784" s="6"/>
      <c r="G784" s="6"/>
      <c r="H784" s="6"/>
    </row>
    <row r="785" spans="1:8" x14ac:dyDescent="0.25">
      <c r="A785" s="4"/>
      <c r="B785" s="6"/>
      <c r="C785" s="5" t="str">
        <f t="shared" si="12"/>
        <v/>
      </c>
      <c r="D785" s="6"/>
      <c r="E785" s="6"/>
      <c r="F785" s="6"/>
      <c r="G785" s="6"/>
      <c r="H785" s="6"/>
    </row>
    <row r="786" spans="1:8" x14ac:dyDescent="0.25">
      <c r="A786" s="4"/>
      <c r="B786" s="6"/>
      <c r="C786" s="5" t="str">
        <f t="shared" si="12"/>
        <v/>
      </c>
      <c r="D786" s="6"/>
      <c r="E786" s="6"/>
      <c r="F786" s="6"/>
      <c r="G786" s="6"/>
      <c r="H786" s="6"/>
    </row>
    <row r="787" spans="1:8" x14ac:dyDescent="0.25">
      <c r="A787" s="4"/>
      <c r="B787" s="6"/>
      <c r="C787" s="5" t="str">
        <f t="shared" si="12"/>
        <v/>
      </c>
      <c r="D787" s="6"/>
      <c r="E787" s="6"/>
      <c r="F787" s="6"/>
      <c r="G787" s="6"/>
      <c r="H787" s="6"/>
    </row>
    <row r="788" spans="1:8" x14ac:dyDescent="0.25">
      <c r="A788" s="4"/>
      <c r="B788" s="6"/>
      <c r="C788" s="5" t="str">
        <f t="shared" si="12"/>
        <v/>
      </c>
      <c r="D788" s="6"/>
      <c r="E788" s="6"/>
      <c r="F788" s="6"/>
      <c r="G788" s="6"/>
      <c r="H788" s="6"/>
    </row>
    <row r="789" spans="1:8" x14ac:dyDescent="0.25">
      <c r="A789" s="4"/>
      <c r="B789" s="6"/>
      <c r="C789" s="5" t="str">
        <f t="shared" si="12"/>
        <v/>
      </c>
      <c r="D789" s="6"/>
      <c r="E789" s="6"/>
      <c r="F789" s="6"/>
      <c r="G789" s="6"/>
      <c r="H789" s="6"/>
    </row>
    <row r="790" spans="1:8" x14ac:dyDescent="0.25">
      <c r="A790" s="4"/>
      <c r="B790" s="6"/>
      <c r="C790" s="5" t="str">
        <f t="shared" si="12"/>
        <v/>
      </c>
      <c r="D790" s="6"/>
      <c r="E790" s="6"/>
      <c r="F790" s="6"/>
      <c r="G790" s="6"/>
      <c r="H790" s="6"/>
    </row>
    <row r="791" spans="1:8" x14ac:dyDescent="0.25">
      <c r="A791" s="4"/>
      <c r="B791" s="6"/>
      <c r="C791" s="5" t="str">
        <f t="shared" si="12"/>
        <v/>
      </c>
      <c r="D791" s="6"/>
      <c r="E791" s="6"/>
      <c r="F791" s="6"/>
      <c r="G791" s="6"/>
      <c r="H791" s="6"/>
    </row>
    <row r="792" spans="1:8" x14ac:dyDescent="0.25">
      <c r="A792" s="4"/>
      <c r="B792" s="6"/>
      <c r="C792" s="5" t="str">
        <f t="shared" si="12"/>
        <v/>
      </c>
      <c r="D792" s="6"/>
      <c r="E792" s="6"/>
      <c r="F792" s="6"/>
      <c r="G792" s="6"/>
      <c r="H792" s="6"/>
    </row>
    <row r="793" spans="1:8" x14ac:dyDescent="0.25">
      <c r="A793" s="4"/>
      <c r="B793" s="6"/>
      <c r="C793" s="5" t="str">
        <f t="shared" si="12"/>
        <v/>
      </c>
      <c r="D793" s="6"/>
      <c r="E793" s="6"/>
      <c r="F793" s="6"/>
      <c r="G793" s="6"/>
      <c r="H793" s="6"/>
    </row>
    <row r="794" spans="1:8" x14ac:dyDescent="0.25">
      <c r="A794" s="4"/>
      <c r="B794" s="6"/>
      <c r="C794" s="5" t="str">
        <f t="shared" si="12"/>
        <v/>
      </c>
      <c r="D794" s="6"/>
      <c r="E794" s="6"/>
      <c r="F794" s="6"/>
      <c r="G794" s="6"/>
      <c r="H794" s="6"/>
    </row>
    <row r="795" spans="1:8" x14ac:dyDescent="0.25">
      <c r="A795" s="4"/>
      <c r="B795" s="6"/>
      <c r="C795" s="5" t="str">
        <f t="shared" si="12"/>
        <v/>
      </c>
      <c r="D795" s="6"/>
      <c r="E795" s="6"/>
      <c r="F795" s="6"/>
      <c r="G795" s="6"/>
      <c r="H795" s="6"/>
    </row>
    <row r="796" spans="1:8" x14ac:dyDescent="0.25">
      <c r="A796" s="4"/>
      <c r="B796" s="6"/>
      <c r="C796" s="5" t="str">
        <f t="shared" si="12"/>
        <v/>
      </c>
      <c r="D796" s="6"/>
      <c r="E796" s="6"/>
      <c r="F796" s="6"/>
      <c r="G796" s="6"/>
      <c r="H796" s="6"/>
    </row>
    <row r="797" spans="1:8" x14ac:dyDescent="0.25">
      <c r="A797" s="4"/>
      <c r="B797" s="6"/>
      <c r="C797" s="5" t="str">
        <f t="shared" si="12"/>
        <v/>
      </c>
      <c r="D797" s="6"/>
      <c r="E797" s="6"/>
      <c r="F797" s="6"/>
      <c r="G797" s="6"/>
      <c r="H797" s="6"/>
    </row>
    <row r="798" spans="1:8" x14ac:dyDescent="0.25">
      <c r="A798" s="4"/>
      <c r="B798" s="6"/>
      <c r="C798" s="5" t="str">
        <f t="shared" si="12"/>
        <v/>
      </c>
      <c r="D798" s="6"/>
      <c r="E798" s="6"/>
      <c r="F798" s="6"/>
      <c r="G798" s="6"/>
      <c r="H798" s="6"/>
    </row>
    <row r="799" spans="1:8" x14ac:dyDescent="0.25">
      <c r="A799" s="4"/>
      <c r="B799" s="6"/>
      <c r="C799" s="5" t="str">
        <f t="shared" si="12"/>
        <v/>
      </c>
      <c r="D799" s="6"/>
      <c r="E799" s="6"/>
      <c r="F799" s="6"/>
      <c r="G799" s="6"/>
      <c r="H799" s="6"/>
    </row>
    <row r="800" spans="1:8" x14ac:dyDescent="0.25">
      <c r="A800" s="4"/>
      <c r="B800" s="6"/>
      <c r="C800" s="5" t="str">
        <f t="shared" si="12"/>
        <v/>
      </c>
      <c r="D800" s="6"/>
      <c r="E800" s="6"/>
      <c r="F800" s="6"/>
      <c r="G800" s="6"/>
      <c r="H800" s="6"/>
    </row>
    <row r="801" spans="1:8" x14ac:dyDescent="0.25">
      <c r="A801" s="4"/>
      <c r="B801" s="6"/>
      <c r="C801" s="5" t="str">
        <f t="shared" si="12"/>
        <v/>
      </c>
      <c r="D801" s="6"/>
      <c r="E801" s="6"/>
      <c r="F801" s="6"/>
      <c r="G801" s="6"/>
      <c r="H801" s="6"/>
    </row>
    <row r="802" spans="1:8" x14ac:dyDescent="0.25">
      <c r="A802" s="4"/>
      <c r="B802" s="6"/>
      <c r="C802" s="5" t="str">
        <f t="shared" si="12"/>
        <v/>
      </c>
      <c r="D802" s="6"/>
      <c r="E802" s="6"/>
      <c r="F802" s="6"/>
      <c r="G802" s="6"/>
      <c r="H802" s="6"/>
    </row>
    <row r="803" spans="1:8" x14ac:dyDescent="0.25">
      <c r="A803" s="4"/>
      <c r="B803" s="6"/>
      <c r="C803" s="5" t="str">
        <f t="shared" si="12"/>
        <v/>
      </c>
      <c r="D803" s="6"/>
      <c r="E803" s="6"/>
      <c r="F803" s="6"/>
      <c r="G803" s="6"/>
      <c r="H803" s="6"/>
    </row>
    <row r="804" spans="1:8" x14ac:dyDescent="0.25">
      <c r="A804" s="4"/>
      <c r="B804" s="6"/>
      <c r="C804" s="5" t="str">
        <f t="shared" si="12"/>
        <v/>
      </c>
      <c r="D804" s="6"/>
      <c r="E804" s="6"/>
      <c r="F804" s="6"/>
      <c r="G804" s="6"/>
      <c r="H804" s="6"/>
    </row>
    <row r="805" spans="1:8" x14ac:dyDescent="0.25">
      <c r="A805" s="4"/>
      <c r="B805" s="6"/>
      <c r="C805" s="5" t="str">
        <f t="shared" si="12"/>
        <v/>
      </c>
      <c r="D805" s="6"/>
      <c r="E805" s="6"/>
      <c r="F805" s="6"/>
      <c r="G805" s="6"/>
      <c r="H805" s="6"/>
    </row>
    <row r="806" spans="1:8" x14ac:dyDescent="0.25">
      <c r="A806" s="4"/>
      <c r="B806" s="6"/>
      <c r="C806" s="5" t="str">
        <f t="shared" si="12"/>
        <v/>
      </c>
      <c r="D806" s="6"/>
      <c r="E806" s="6"/>
      <c r="F806" s="6"/>
      <c r="G806" s="6"/>
      <c r="H806" s="6"/>
    </row>
    <row r="807" spans="1:8" x14ac:dyDescent="0.25">
      <c r="A807" s="4"/>
      <c r="B807" s="6"/>
      <c r="C807" s="5" t="str">
        <f t="shared" si="12"/>
        <v/>
      </c>
      <c r="D807" s="6"/>
      <c r="E807" s="6"/>
      <c r="F807" s="6"/>
      <c r="G807" s="6"/>
      <c r="H807" s="6"/>
    </row>
    <row r="808" spans="1:8" x14ac:dyDescent="0.25">
      <c r="A808" s="4"/>
      <c r="B808" s="6"/>
      <c r="C808" s="5" t="str">
        <f t="shared" si="12"/>
        <v/>
      </c>
      <c r="D808" s="6"/>
      <c r="E808" s="6"/>
      <c r="F808" s="6"/>
      <c r="G808" s="6"/>
      <c r="H808" s="6"/>
    </row>
    <row r="809" spans="1:8" x14ac:dyDescent="0.25">
      <c r="A809" s="4"/>
      <c r="B809" s="6"/>
      <c r="C809" s="5" t="str">
        <f t="shared" si="12"/>
        <v/>
      </c>
      <c r="D809" s="6"/>
      <c r="E809" s="6"/>
      <c r="F809" s="6"/>
      <c r="G809" s="6"/>
      <c r="H809" s="6"/>
    </row>
    <row r="810" spans="1:8" x14ac:dyDescent="0.25">
      <c r="A810" s="4"/>
      <c r="B810" s="6"/>
      <c r="C810" s="5" t="str">
        <f t="shared" si="12"/>
        <v/>
      </c>
      <c r="D810" s="6"/>
      <c r="E810" s="6"/>
      <c r="F810" s="6"/>
      <c r="G810" s="6"/>
      <c r="H810" s="6"/>
    </row>
    <row r="811" spans="1:8" x14ac:dyDescent="0.25">
      <c r="A811" s="4"/>
      <c r="B811" s="6"/>
      <c r="C811" s="5" t="str">
        <f t="shared" si="12"/>
        <v/>
      </c>
      <c r="D811" s="6"/>
      <c r="E811" s="6"/>
      <c r="F811" s="6"/>
      <c r="G811" s="6"/>
      <c r="H811" s="6"/>
    </row>
    <row r="812" spans="1:8" x14ac:dyDescent="0.25">
      <c r="A812" s="4"/>
      <c r="B812" s="6"/>
      <c r="C812" s="5" t="str">
        <f t="shared" si="12"/>
        <v/>
      </c>
      <c r="D812" s="6"/>
      <c r="E812" s="6"/>
      <c r="F812" s="6"/>
      <c r="G812" s="6"/>
      <c r="H812" s="6"/>
    </row>
    <row r="813" spans="1:8" x14ac:dyDescent="0.25">
      <c r="A813" s="4"/>
      <c r="B813" s="6"/>
      <c r="C813" s="5" t="str">
        <f t="shared" si="12"/>
        <v/>
      </c>
      <c r="D813" s="6"/>
      <c r="E813" s="6"/>
      <c r="F813" s="6"/>
      <c r="G813" s="6"/>
      <c r="H813" s="6"/>
    </row>
    <row r="814" spans="1:8" x14ac:dyDescent="0.25">
      <c r="A814" s="4"/>
      <c r="B814" s="6"/>
      <c r="C814" s="5" t="str">
        <f t="shared" si="12"/>
        <v/>
      </c>
      <c r="D814" s="6"/>
      <c r="E814" s="6"/>
      <c r="F814" s="6"/>
      <c r="G814" s="6"/>
      <c r="H814" s="6"/>
    </row>
    <row r="815" spans="1:8" x14ac:dyDescent="0.25">
      <c r="A815" s="4"/>
      <c r="B815" s="6"/>
      <c r="C815" s="5" t="str">
        <f t="shared" si="12"/>
        <v/>
      </c>
      <c r="D815" s="6"/>
      <c r="E815" s="6"/>
      <c r="F815" s="6"/>
      <c r="G815" s="6"/>
      <c r="H815" s="6"/>
    </row>
    <row r="816" spans="1:8" x14ac:dyDescent="0.25">
      <c r="A816" s="4"/>
      <c r="B816" s="6"/>
      <c r="C816" s="5" t="str">
        <f t="shared" si="12"/>
        <v/>
      </c>
      <c r="D816" s="6"/>
      <c r="E816" s="6"/>
      <c r="F816" s="6"/>
      <c r="G816" s="6"/>
      <c r="H816" s="6"/>
    </row>
    <row r="817" spans="1:8" x14ac:dyDescent="0.25">
      <c r="A817" s="4"/>
      <c r="B817" s="6"/>
      <c r="C817" s="5" t="str">
        <f t="shared" si="12"/>
        <v/>
      </c>
      <c r="D817" s="6"/>
      <c r="E817" s="6"/>
      <c r="F817" s="6"/>
      <c r="G817" s="6"/>
      <c r="H817" s="6"/>
    </row>
    <row r="818" spans="1:8" x14ac:dyDescent="0.25">
      <c r="A818" s="4"/>
      <c r="B818" s="6"/>
      <c r="C818" s="5" t="str">
        <f t="shared" si="12"/>
        <v/>
      </c>
      <c r="D818" s="6"/>
      <c r="E818" s="6"/>
      <c r="F818" s="6"/>
      <c r="G818" s="6"/>
      <c r="H818" s="6"/>
    </row>
    <row r="819" spans="1:8" x14ac:dyDescent="0.25">
      <c r="A819" s="4"/>
      <c r="B819" s="6"/>
      <c r="C819" s="5" t="str">
        <f t="shared" si="12"/>
        <v/>
      </c>
      <c r="D819" s="6"/>
      <c r="E819" s="6"/>
      <c r="F819" s="6"/>
      <c r="G819" s="6"/>
      <c r="H819" s="6"/>
    </row>
    <row r="820" spans="1:8" x14ac:dyDescent="0.25">
      <c r="A820" s="4"/>
      <c r="B820" s="6"/>
      <c r="C820" s="5" t="str">
        <f t="shared" si="12"/>
        <v/>
      </c>
      <c r="D820" s="6"/>
      <c r="E820" s="6"/>
      <c r="F820" s="6"/>
      <c r="G820" s="6"/>
      <c r="H820" s="6"/>
    </row>
    <row r="821" spans="1:8" x14ac:dyDescent="0.25">
      <c r="A821" s="4"/>
      <c r="B821" s="6"/>
      <c r="C821" s="5" t="str">
        <f t="shared" si="12"/>
        <v/>
      </c>
      <c r="D821" s="6"/>
      <c r="E821" s="6"/>
      <c r="F821" s="6"/>
      <c r="G821" s="6"/>
      <c r="H821" s="6"/>
    </row>
    <row r="822" spans="1:8" x14ac:dyDescent="0.25">
      <c r="A822" s="4"/>
      <c r="B822" s="6"/>
      <c r="C822" s="5" t="str">
        <f t="shared" si="12"/>
        <v/>
      </c>
      <c r="D822" s="6"/>
      <c r="E822" s="6"/>
      <c r="F822" s="6"/>
      <c r="G822" s="6"/>
      <c r="H822" s="6"/>
    </row>
    <row r="823" spans="1:8" x14ac:dyDescent="0.25">
      <c r="A823" s="4"/>
      <c r="B823" s="6"/>
      <c r="C823" s="5" t="str">
        <f t="shared" si="12"/>
        <v/>
      </c>
      <c r="D823" s="6"/>
      <c r="E823" s="6"/>
      <c r="F823" s="6"/>
      <c r="G823" s="6"/>
      <c r="H823" s="6"/>
    </row>
    <row r="824" spans="1:8" x14ac:dyDescent="0.25">
      <c r="A824" s="4"/>
      <c r="B824" s="6"/>
      <c r="C824" s="5" t="str">
        <f t="shared" si="12"/>
        <v/>
      </c>
      <c r="D824" s="6"/>
      <c r="E824" s="6"/>
      <c r="F824" s="6"/>
      <c r="G824" s="6"/>
      <c r="H824" s="6"/>
    </row>
    <row r="825" spans="1:8" x14ac:dyDescent="0.25">
      <c r="A825" s="4"/>
      <c r="B825" s="6"/>
      <c r="C825" s="5" t="str">
        <f t="shared" si="12"/>
        <v/>
      </c>
      <c r="D825" s="6"/>
      <c r="E825" s="6"/>
      <c r="F825" s="6"/>
      <c r="G825" s="6"/>
      <c r="H825" s="6"/>
    </row>
    <row r="826" spans="1:8" x14ac:dyDescent="0.25">
      <c r="A826" s="4"/>
      <c r="B826" s="6"/>
      <c r="C826" s="5" t="str">
        <f t="shared" ref="C826:C889" si="13">IF(ISBLANK(B826),"", "guest")</f>
        <v/>
      </c>
      <c r="D826" s="6"/>
      <c r="E826" s="6"/>
      <c r="F826" s="6"/>
      <c r="G826" s="6"/>
      <c r="H826" s="6"/>
    </row>
    <row r="827" spans="1:8" x14ac:dyDescent="0.25">
      <c r="A827" s="4"/>
      <c r="B827" s="6"/>
      <c r="C827" s="5" t="str">
        <f t="shared" si="13"/>
        <v/>
      </c>
      <c r="D827" s="6"/>
      <c r="E827" s="6"/>
      <c r="F827" s="6"/>
      <c r="G827" s="6"/>
      <c r="H827" s="6"/>
    </row>
    <row r="828" spans="1:8" x14ac:dyDescent="0.25">
      <c r="A828" s="4"/>
      <c r="B828" s="6"/>
      <c r="C828" s="5" t="str">
        <f t="shared" si="13"/>
        <v/>
      </c>
      <c r="D828" s="6"/>
      <c r="E828" s="6"/>
      <c r="F828" s="6"/>
      <c r="G828" s="6"/>
      <c r="H828" s="6"/>
    </row>
    <row r="829" spans="1:8" x14ac:dyDescent="0.25">
      <c r="A829" s="4"/>
      <c r="B829" s="6"/>
      <c r="C829" s="5" t="str">
        <f t="shared" si="13"/>
        <v/>
      </c>
      <c r="D829" s="6"/>
      <c r="E829" s="6"/>
      <c r="F829" s="6"/>
      <c r="G829" s="6"/>
      <c r="H829" s="6"/>
    </row>
    <row r="830" spans="1:8" x14ac:dyDescent="0.25">
      <c r="A830" s="4"/>
      <c r="B830" s="6"/>
      <c r="C830" s="5" t="str">
        <f t="shared" si="13"/>
        <v/>
      </c>
      <c r="D830" s="6"/>
      <c r="E830" s="6"/>
      <c r="F830" s="6"/>
      <c r="G830" s="6"/>
      <c r="H830" s="6"/>
    </row>
    <row r="831" spans="1:8" x14ac:dyDescent="0.25">
      <c r="A831" s="4"/>
      <c r="B831" s="6"/>
      <c r="C831" s="5" t="str">
        <f t="shared" si="13"/>
        <v/>
      </c>
      <c r="D831" s="6"/>
      <c r="E831" s="6"/>
      <c r="F831" s="6"/>
      <c r="G831" s="6"/>
      <c r="H831" s="6"/>
    </row>
    <row r="832" spans="1:8" x14ac:dyDescent="0.25">
      <c r="A832" s="4"/>
      <c r="B832" s="6"/>
      <c r="C832" s="5" t="str">
        <f t="shared" si="13"/>
        <v/>
      </c>
      <c r="D832" s="6"/>
      <c r="E832" s="6"/>
      <c r="F832" s="6"/>
      <c r="G832" s="6"/>
      <c r="H832" s="6"/>
    </row>
    <row r="833" spans="1:8" x14ac:dyDescent="0.25">
      <c r="A833" s="4"/>
      <c r="B833" s="6"/>
      <c r="C833" s="5" t="str">
        <f t="shared" si="13"/>
        <v/>
      </c>
      <c r="D833" s="6"/>
      <c r="E833" s="6"/>
      <c r="F833" s="6"/>
      <c r="G833" s="6"/>
      <c r="H833" s="6"/>
    </row>
    <row r="834" spans="1:8" x14ac:dyDescent="0.25">
      <c r="A834" s="4"/>
      <c r="B834" s="6"/>
      <c r="C834" s="5" t="str">
        <f t="shared" si="13"/>
        <v/>
      </c>
      <c r="D834" s="6"/>
      <c r="E834" s="6"/>
      <c r="F834" s="6"/>
      <c r="G834" s="6"/>
      <c r="H834" s="6"/>
    </row>
    <row r="835" spans="1:8" x14ac:dyDescent="0.25">
      <c r="A835" s="4"/>
      <c r="B835" s="6"/>
      <c r="C835" s="5" t="str">
        <f t="shared" si="13"/>
        <v/>
      </c>
      <c r="D835" s="6"/>
      <c r="E835" s="6"/>
      <c r="F835" s="6"/>
      <c r="G835" s="6"/>
      <c r="H835" s="6"/>
    </row>
    <row r="836" spans="1:8" x14ac:dyDescent="0.25">
      <c r="A836" s="4"/>
      <c r="B836" s="6"/>
      <c r="C836" s="5" t="str">
        <f t="shared" si="13"/>
        <v/>
      </c>
      <c r="D836" s="6"/>
      <c r="E836" s="6"/>
      <c r="F836" s="6"/>
      <c r="G836" s="6"/>
      <c r="H836" s="6"/>
    </row>
    <row r="837" spans="1:8" x14ac:dyDescent="0.25">
      <c r="A837" s="4"/>
      <c r="B837" s="6"/>
      <c r="C837" s="5" t="str">
        <f t="shared" si="13"/>
        <v/>
      </c>
      <c r="D837" s="6"/>
      <c r="E837" s="6"/>
      <c r="F837" s="6"/>
      <c r="G837" s="6"/>
      <c r="H837" s="6"/>
    </row>
    <row r="838" spans="1:8" x14ac:dyDescent="0.25">
      <c r="A838" s="4"/>
      <c r="B838" s="6"/>
      <c r="C838" s="5" t="str">
        <f t="shared" si="13"/>
        <v/>
      </c>
      <c r="D838" s="6"/>
      <c r="E838" s="6"/>
      <c r="F838" s="6"/>
      <c r="G838" s="6"/>
      <c r="H838" s="6"/>
    </row>
    <row r="839" spans="1:8" x14ac:dyDescent="0.25">
      <c r="A839" s="4"/>
      <c r="B839" s="6"/>
      <c r="C839" s="5" t="str">
        <f t="shared" si="13"/>
        <v/>
      </c>
      <c r="D839" s="6"/>
      <c r="E839" s="6"/>
      <c r="F839" s="6"/>
      <c r="G839" s="6"/>
      <c r="H839" s="6"/>
    </row>
    <row r="840" spans="1:8" x14ac:dyDescent="0.25">
      <c r="A840" s="4"/>
      <c r="B840" s="6"/>
      <c r="C840" s="5" t="str">
        <f t="shared" si="13"/>
        <v/>
      </c>
      <c r="D840" s="6"/>
      <c r="E840" s="6"/>
      <c r="F840" s="6"/>
      <c r="G840" s="6"/>
      <c r="H840" s="6"/>
    </row>
    <row r="841" spans="1:8" x14ac:dyDescent="0.25">
      <c r="A841" s="4"/>
      <c r="B841" s="6"/>
      <c r="C841" s="5" t="str">
        <f t="shared" si="13"/>
        <v/>
      </c>
      <c r="D841" s="6"/>
      <c r="E841" s="6"/>
      <c r="F841" s="6"/>
      <c r="G841" s="6"/>
      <c r="H841" s="6"/>
    </row>
    <row r="842" spans="1:8" x14ac:dyDescent="0.25">
      <c r="A842" s="4"/>
      <c r="B842" s="6"/>
      <c r="C842" s="5" t="str">
        <f t="shared" si="13"/>
        <v/>
      </c>
      <c r="D842" s="6"/>
      <c r="E842" s="6"/>
      <c r="F842" s="6"/>
      <c r="G842" s="6"/>
      <c r="H842" s="6"/>
    </row>
    <row r="843" spans="1:8" x14ac:dyDescent="0.25">
      <c r="A843" s="4"/>
      <c r="B843" s="6"/>
      <c r="C843" s="5" t="str">
        <f t="shared" si="13"/>
        <v/>
      </c>
      <c r="D843" s="6"/>
      <c r="E843" s="6"/>
      <c r="F843" s="6"/>
      <c r="G843" s="6"/>
      <c r="H843" s="6"/>
    </row>
    <row r="844" spans="1:8" x14ac:dyDescent="0.25">
      <c r="A844" s="4"/>
      <c r="B844" s="6"/>
      <c r="C844" s="5" t="str">
        <f t="shared" si="13"/>
        <v/>
      </c>
      <c r="D844" s="6"/>
      <c r="E844" s="6"/>
      <c r="F844" s="6"/>
      <c r="G844" s="6"/>
      <c r="H844" s="6"/>
    </row>
    <row r="845" spans="1:8" x14ac:dyDescent="0.25">
      <c r="A845" s="4"/>
      <c r="B845" s="6"/>
      <c r="C845" s="5" t="str">
        <f t="shared" si="13"/>
        <v/>
      </c>
      <c r="D845" s="6"/>
      <c r="E845" s="6"/>
      <c r="F845" s="6"/>
      <c r="G845" s="6"/>
      <c r="H845" s="6"/>
    </row>
    <row r="846" spans="1:8" x14ac:dyDescent="0.25">
      <c r="A846" s="4"/>
      <c r="B846" s="6"/>
      <c r="C846" s="5" t="str">
        <f t="shared" si="13"/>
        <v/>
      </c>
      <c r="D846" s="6"/>
      <c r="E846" s="6"/>
      <c r="F846" s="6"/>
      <c r="G846" s="6"/>
      <c r="H846" s="6"/>
    </row>
    <row r="847" spans="1:8" x14ac:dyDescent="0.25">
      <c r="A847" s="4"/>
      <c r="B847" s="6"/>
      <c r="C847" s="5" t="str">
        <f t="shared" si="13"/>
        <v/>
      </c>
      <c r="D847" s="6"/>
      <c r="E847" s="6"/>
      <c r="F847" s="6"/>
      <c r="G847" s="6"/>
      <c r="H847" s="6"/>
    </row>
    <row r="848" spans="1:8" x14ac:dyDescent="0.25">
      <c r="A848" s="4"/>
      <c r="B848" s="6"/>
      <c r="C848" s="5" t="str">
        <f t="shared" si="13"/>
        <v/>
      </c>
      <c r="D848" s="6"/>
      <c r="E848" s="6"/>
      <c r="F848" s="6"/>
      <c r="G848" s="6"/>
      <c r="H848" s="6"/>
    </row>
    <row r="849" spans="1:8" x14ac:dyDescent="0.25">
      <c r="A849" s="4"/>
      <c r="B849" s="6"/>
      <c r="C849" s="5" t="str">
        <f t="shared" si="13"/>
        <v/>
      </c>
      <c r="D849" s="6"/>
      <c r="E849" s="6"/>
      <c r="F849" s="6"/>
      <c r="G849" s="6"/>
      <c r="H849" s="6"/>
    </row>
    <row r="850" spans="1:8" x14ac:dyDescent="0.25">
      <c r="A850" s="4"/>
      <c r="B850" s="6"/>
      <c r="C850" s="5" t="str">
        <f t="shared" si="13"/>
        <v/>
      </c>
      <c r="D850" s="6"/>
      <c r="E850" s="6"/>
      <c r="F850" s="6"/>
      <c r="G850" s="6"/>
      <c r="H850" s="6"/>
    </row>
    <row r="851" spans="1:8" x14ac:dyDescent="0.25">
      <c r="A851" s="4"/>
      <c r="B851" s="6"/>
      <c r="C851" s="5" t="str">
        <f t="shared" si="13"/>
        <v/>
      </c>
      <c r="D851" s="6"/>
      <c r="E851" s="6"/>
      <c r="F851" s="6"/>
      <c r="G851" s="6"/>
      <c r="H851" s="6"/>
    </row>
    <row r="852" spans="1:8" x14ac:dyDescent="0.25">
      <c r="A852" s="4"/>
      <c r="B852" s="6"/>
      <c r="C852" s="5" t="str">
        <f t="shared" si="13"/>
        <v/>
      </c>
      <c r="D852" s="6"/>
      <c r="E852" s="6"/>
      <c r="F852" s="6"/>
      <c r="G852" s="6"/>
      <c r="H852" s="6"/>
    </row>
    <row r="853" spans="1:8" x14ac:dyDescent="0.25">
      <c r="A853" s="4"/>
      <c r="B853" s="6"/>
      <c r="C853" s="5" t="str">
        <f t="shared" si="13"/>
        <v/>
      </c>
      <c r="D853" s="6"/>
      <c r="E853" s="6"/>
      <c r="F853" s="6"/>
      <c r="G853" s="6"/>
      <c r="H853" s="6"/>
    </row>
    <row r="854" spans="1:8" x14ac:dyDescent="0.25">
      <c r="A854" s="4"/>
      <c r="B854" s="6"/>
      <c r="C854" s="5" t="str">
        <f t="shared" si="13"/>
        <v/>
      </c>
      <c r="D854" s="6"/>
      <c r="E854" s="6"/>
      <c r="F854" s="6"/>
      <c r="G854" s="6"/>
      <c r="H854" s="6"/>
    </row>
    <row r="855" spans="1:8" x14ac:dyDescent="0.25">
      <c r="A855" s="4"/>
      <c r="B855" s="6"/>
      <c r="C855" s="5" t="str">
        <f t="shared" si="13"/>
        <v/>
      </c>
      <c r="D855" s="6"/>
      <c r="E855" s="6"/>
      <c r="F855" s="6"/>
      <c r="G855" s="6"/>
      <c r="H855" s="6"/>
    </row>
    <row r="856" spans="1:8" x14ac:dyDescent="0.25">
      <c r="A856" s="4"/>
      <c r="B856" s="6"/>
      <c r="C856" s="5" t="str">
        <f t="shared" si="13"/>
        <v/>
      </c>
      <c r="D856" s="6"/>
      <c r="E856" s="6"/>
      <c r="F856" s="6"/>
      <c r="G856" s="6"/>
      <c r="H856" s="6"/>
    </row>
    <row r="857" spans="1:8" x14ac:dyDescent="0.25">
      <c r="A857" s="4"/>
      <c r="B857" s="6"/>
      <c r="C857" s="5" t="str">
        <f t="shared" si="13"/>
        <v/>
      </c>
      <c r="D857" s="6"/>
      <c r="E857" s="6"/>
      <c r="F857" s="6"/>
      <c r="G857" s="6"/>
      <c r="H857" s="6"/>
    </row>
    <row r="858" spans="1:8" x14ac:dyDescent="0.25">
      <c r="A858" s="4"/>
      <c r="B858" s="6"/>
      <c r="C858" s="5" t="str">
        <f t="shared" si="13"/>
        <v/>
      </c>
      <c r="D858" s="6"/>
      <c r="E858" s="6"/>
      <c r="F858" s="6"/>
      <c r="G858" s="6"/>
      <c r="H858" s="6"/>
    </row>
    <row r="859" spans="1:8" x14ac:dyDescent="0.25">
      <c r="A859" s="4"/>
      <c r="B859" s="6"/>
      <c r="C859" s="5" t="str">
        <f t="shared" si="13"/>
        <v/>
      </c>
      <c r="D859" s="6"/>
      <c r="E859" s="6"/>
      <c r="F859" s="6"/>
      <c r="G859" s="6"/>
      <c r="H859" s="6"/>
    </row>
    <row r="860" spans="1:8" x14ac:dyDescent="0.25">
      <c r="A860" s="4"/>
      <c r="B860" s="6"/>
      <c r="C860" s="5" t="str">
        <f t="shared" si="13"/>
        <v/>
      </c>
      <c r="D860" s="6"/>
      <c r="E860" s="6"/>
      <c r="F860" s="6"/>
      <c r="G860" s="6"/>
      <c r="H860" s="6"/>
    </row>
    <row r="861" spans="1:8" x14ac:dyDescent="0.25">
      <c r="A861" s="4"/>
      <c r="B861" s="6"/>
      <c r="C861" s="5" t="str">
        <f t="shared" si="13"/>
        <v/>
      </c>
      <c r="D861" s="6"/>
      <c r="E861" s="6"/>
      <c r="F861" s="6"/>
      <c r="G861" s="6"/>
      <c r="H861" s="6"/>
    </row>
    <row r="862" spans="1:8" x14ac:dyDescent="0.25">
      <c r="A862" s="4"/>
      <c r="B862" s="6"/>
      <c r="C862" s="5" t="str">
        <f t="shared" si="13"/>
        <v/>
      </c>
      <c r="D862" s="6"/>
      <c r="E862" s="6"/>
      <c r="F862" s="6"/>
      <c r="G862" s="6"/>
      <c r="H862" s="6"/>
    </row>
    <row r="863" spans="1:8" x14ac:dyDescent="0.25">
      <c r="A863" s="4"/>
      <c r="B863" s="6"/>
      <c r="C863" s="5" t="str">
        <f t="shared" si="13"/>
        <v/>
      </c>
      <c r="D863" s="6"/>
      <c r="E863" s="6"/>
      <c r="F863" s="6"/>
      <c r="G863" s="6"/>
      <c r="H863" s="6"/>
    </row>
    <row r="864" spans="1:8" x14ac:dyDescent="0.25">
      <c r="A864" s="4"/>
      <c r="B864" s="6"/>
      <c r="C864" s="5" t="str">
        <f t="shared" si="13"/>
        <v/>
      </c>
      <c r="D864" s="6"/>
      <c r="E864" s="6"/>
      <c r="F864" s="6"/>
      <c r="G864" s="6"/>
      <c r="H864" s="6"/>
    </row>
    <row r="865" spans="1:8" x14ac:dyDescent="0.25">
      <c r="A865" s="4"/>
      <c r="B865" s="6"/>
      <c r="C865" s="5" t="str">
        <f t="shared" si="13"/>
        <v/>
      </c>
      <c r="D865" s="6"/>
      <c r="E865" s="6"/>
      <c r="F865" s="6"/>
      <c r="G865" s="6"/>
      <c r="H865" s="6"/>
    </row>
    <row r="866" spans="1:8" x14ac:dyDescent="0.25">
      <c r="A866" s="4"/>
      <c r="B866" s="6"/>
      <c r="C866" s="5" t="str">
        <f t="shared" si="13"/>
        <v/>
      </c>
      <c r="D866" s="6"/>
      <c r="E866" s="6"/>
      <c r="F866" s="6"/>
      <c r="G866" s="6"/>
      <c r="H866" s="6"/>
    </row>
    <row r="867" spans="1:8" x14ac:dyDescent="0.25">
      <c r="A867" s="4"/>
      <c r="B867" s="6"/>
      <c r="C867" s="5" t="str">
        <f t="shared" si="13"/>
        <v/>
      </c>
      <c r="D867" s="6"/>
      <c r="E867" s="6"/>
      <c r="F867" s="6"/>
      <c r="G867" s="6"/>
      <c r="H867" s="6"/>
    </row>
    <row r="868" spans="1:8" x14ac:dyDescent="0.25">
      <c r="A868" s="4"/>
      <c r="B868" s="6"/>
      <c r="C868" s="5" t="str">
        <f t="shared" si="13"/>
        <v/>
      </c>
      <c r="D868" s="6"/>
      <c r="E868" s="6"/>
      <c r="F868" s="6"/>
      <c r="G868" s="6"/>
      <c r="H868" s="6"/>
    </row>
    <row r="869" spans="1:8" x14ac:dyDescent="0.25">
      <c r="A869" s="4"/>
      <c r="B869" s="6"/>
      <c r="C869" s="5" t="str">
        <f t="shared" si="13"/>
        <v/>
      </c>
      <c r="D869" s="6"/>
      <c r="E869" s="6"/>
      <c r="F869" s="6"/>
      <c r="G869" s="6"/>
      <c r="H869" s="6"/>
    </row>
    <row r="870" spans="1:8" x14ac:dyDescent="0.25">
      <c r="A870" s="4"/>
      <c r="B870" s="6"/>
      <c r="C870" s="5" t="str">
        <f t="shared" si="13"/>
        <v/>
      </c>
      <c r="D870" s="6"/>
      <c r="E870" s="6"/>
      <c r="F870" s="6"/>
      <c r="G870" s="6"/>
      <c r="H870" s="6"/>
    </row>
    <row r="871" spans="1:8" x14ac:dyDescent="0.25">
      <c r="A871" s="4"/>
      <c r="B871" s="6"/>
      <c r="C871" s="5" t="str">
        <f t="shared" si="13"/>
        <v/>
      </c>
      <c r="D871" s="6"/>
      <c r="E871" s="6"/>
      <c r="F871" s="6"/>
      <c r="G871" s="6"/>
      <c r="H871" s="6"/>
    </row>
    <row r="872" spans="1:8" x14ac:dyDescent="0.25">
      <c r="A872" s="4"/>
      <c r="B872" s="6"/>
      <c r="C872" s="5" t="str">
        <f t="shared" si="13"/>
        <v/>
      </c>
      <c r="D872" s="6"/>
      <c r="E872" s="6"/>
      <c r="F872" s="6"/>
      <c r="G872" s="6"/>
      <c r="H872" s="6"/>
    </row>
    <row r="873" spans="1:8" x14ac:dyDescent="0.25">
      <c r="A873" s="4"/>
      <c r="B873" s="6"/>
      <c r="C873" s="5" t="str">
        <f t="shared" si="13"/>
        <v/>
      </c>
      <c r="D873" s="6"/>
      <c r="E873" s="6"/>
      <c r="F873" s="6"/>
      <c r="G873" s="6"/>
      <c r="H873" s="6"/>
    </row>
    <row r="874" spans="1:8" x14ac:dyDescent="0.25">
      <c r="A874" s="4"/>
      <c r="B874" s="6"/>
      <c r="C874" s="5" t="str">
        <f t="shared" si="13"/>
        <v/>
      </c>
      <c r="D874" s="6"/>
      <c r="E874" s="6"/>
      <c r="F874" s="6"/>
      <c r="G874" s="6"/>
      <c r="H874" s="6"/>
    </row>
    <row r="875" spans="1:8" x14ac:dyDescent="0.25">
      <c r="A875" s="4"/>
      <c r="B875" s="6"/>
      <c r="C875" s="5" t="str">
        <f t="shared" si="13"/>
        <v/>
      </c>
      <c r="D875" s="6"/>
      <c r="E875" s="6"/>
      <c r="F875" s="6"/>
      <c r="G875" s="6"/>
      <c r="H875" s="6"/>
    </row>
    <row r="876" spans="1:8" x14ac:dyDescent="0.25">
      <c r="A876" s="4"/>
      <c r="B876" s="6"/>
      <c r="C876" s="5" t="str">
        <f t="shared" si="13"/>
        <v/>
      </c>
      <c r="D876" s="6"/>
      <c r="E876" s="6"/>
      <c r="F876" s="6"/>
      <c r="G876" s="6"/>
      <c r="H876" s="6"/>
    </row>
    <row r="877" spans="1:8" x14ac:dyDescent="0.25">
      <c r="A877" s="4"/>
      <c r="B877" s="6"/>
      <c r="C877" s="5" t="str">
        <f t="shared" si="13"/>
        <v/>
      </c>
      <c r="D877" s="6"/>
      <c r="E877" s="6"/>
      <c r="F877" s="6"/>
      <c r="G877" s="6"/>
      <c r="H877" s="6"/>
    </row>
    <row r="878" spans="1:8" x14ac:dyDescent="0.25">
      <c r="A878" s="4"/>
      <c r="B878" s="6"/>
      <c r="C878" s="5" t="str">
        <f t="shared" si="13"/>
        <v/>
      </c>
      <c r="D878" s="6"/>
      <c r="E878" s="6"/>
      <c r="F878" s="6"/>
      <c r="G878" s="6"/>
      <c r="H878" s="6"/>
    </row>
    <row r="879" spans="1:8" x14ac:dyDescent="0.25">
      <c r="A879" s="4"/>
      <c r="B879" s="6"/>
      <c r="C879" s="5" t="str">
        <f t="shared" si="13"/>
        <v/>
      </c>
      <c r="D879" s="6"/>
      <c r="E879" s="6"/>
      <c r="F879" s="6"/>
      <c r="G879" s="6"/>
      <c r="H879" s="6"/>
    </row>
    <row r="880" spans="1:8" x14ac:dyDescent="0.25">
      <c r="A880" s="4"/>
      <c r="B880" s="6"/>
      <c r="C880" s="5" t="str">
        <f t="shared" si="13"/>
        <v/>
      </c>
      <c r="D880" s="6"/>
      <c r="E880" s="6"/>
      <c r="F880" s="6"/>
      <c r="G880" s="6"/>
      <c r="H880" s="6"/>
    </row>
    <row r="881" spans="1:8" x14ac:dyDescent="0.25">
      <c r="A881" s="4"/>
      <c r="B881" s="6"/>
      <c r="C881" s="5" t="str">
        <f t="shared" si="13"/>
        <v/>
      </c>
      <c r="D881" s="6"/>
      <c r="E881" s="6"/>
      <c r="F881" s="6"/>
      <c r="G881" s="6"/>
      <c r="H881" s="6"/>
    </row>
    <row r="882" spans="1:8" x14ac:dyDescent="0.25">
      <c r="A882" s="4"/>
      <c r="B882" s="6"/>
      <c r="C882" s="5" t="str">
        <f t="shared" si="13"/>
        <v/>
      </c>
      <c r="D882" s="6"/>
      <c r="E882" s="6"/>
      <c r="F882" s="6"/>
      <c r="G882" s="6"/>
      <c r="H882" s="6"/>
    </row>
    <row r="883" spans="1:8" x14ac:dyDescent="0.25">
      <c r="A883" s="4"/>
      <c r="B883" s="6"/>
      <c r="C883" s="5" t="str">
        <f t="shared" si="13"/>
        <v/>
      </c>
      <c r="D883" s="6"/>
      <c r="E883" s="6"/>
      <c r="F883" s="6"/>
      <c r="G883" s="6"/>
      <c r="H883" s="6"/>
    </row>
    <row r="884" spans="1:8" x14ac:dyDescent="0.25">
      <c r="A884" s="4"/>
      <c r="B884" s="6"/>
      <c r="C884" s="5" t="str">
        <f t="shared" si="13"/>
        <v/>
      </c>
      <c r="D884" s="6"/>
      <c r="E884" s="6"/>
      <c r="F884" s="6"/>
      <c r="G884" s="6"/>
      <c r="H884" s="6"/>
    </row>
    <row r="885" spans="1:8" x14ac:dyDescent="0.25">
      <c r="A885" s="4"/>
      <c r="B885" s="6"/>
      <c r="C885" s="5" t="str">
        <f t="shared" si="13"/>
        <v/>
      </c>
      <c r="D885" s="6"/>
      <c r="E885" s="6"/>
      <c r="F885" s="6"/>
      <c r="G885" s="6"/>
      <c r="H885" s="6"/>
    </row>
    <row r="886" spans="1:8" x14ac:dyDescent="0.25">
      <c r="A886" s="4"/>
      <c r="B886" s="6"/>
      <c r="C886" s="5" t="str">
        <f t="shared" si="13"/>
        <v/>
      </c>
      <c r="D886" s="6"/>
      <c r="E886" s="6"/>
      <c r="F886" s="6"/>
      <c r="G886" s="6"/>
      <c r="H886" s="6"/>
    </row>
    <row r="887" spans="1:8" x14ac:dyDescent="0.25">
      <c r="A887" s="4"/>
      <c r="B887" s="6"/>
      <c r="C887" s="5" t="str">
        <f t="shared" si="13"/>
        <v/>
      </c>
      <c r="D887" s="6"/>
      <c r="E887" s="6"/>
      <c r="F887" s="6"/>
      <c r="G887" s="6"/>
      <c r="H887" s="6"/>
    </row>
    <row r="888" spans="1:8" x14ac:dyDescent="0.25">
      <c r="A888" s="4"/>
      <c r="B888" s="6"/>
      <c r="C888" s="5" t="str">
        <f t="shared" si="13"/>
        <v/>
      </c>
      <c r="D888" s="6"/>
      <c r="E888" s="6"/>
      <c r="F888" s="6"/>
      <c r="G888" s="6"/>
      <c r="H888" s="6"/>
    </row>
    <row r="889" spans="1:8" x14ac:dyDescent="0.25">
      <c r="A889" s="4"/>
      <c r="B889" s="6"/>
      <c r="C889" s="5" t="str">
        <f t="shared" si="13"/>
        <v/>
      </c>
      <c r="D889" s="6"/>
      <c r="E889" s="6"/>
      <c r="F889" s="6"/>
      <c r="G889" s="6"/>
      <c r="H889" s="6"/>
    </row>
    <row r="890" spans="1:8" x14ac:dyDescent="0.25">
      <c r="A890" s="4"/>
      <c r="B890" s="6"/>
      <c r="C890" s="5" t="str">
        <f t="shared" ref="C890:C953" si="14">IF(ISBLANK(B890),"", "guest")</f>
        <v/>
      </c>
      <c r="D890" s="6"/>
      <c r="E890" s="6"/>
      <c r="F890" s="6"/>
      <c r="G890" s="6"/>
      <c r="H890" s="6"/>
    </row>
    <row r="891" spans="1:8" x14ac:dyDescent="0.25">
      <c r="A891" s="4"/>
      <c r="B891" s="6"/>
      <c r="C891" s="5" t="str">
        <f t="shared" si="14"/>
        <v/>
      </c>
      <c r="D891" s="6"/>
      <c r="E891" s="6"/>
      <c r="F891" s="6"/>
      <c r="G891" s="6"/>
      <c r="H891" s="6"/>
    </row>
    <row r="892" spans="1:8" x14ac:dyDescent="0.25">
      <c r="A892" s="4"/>
      <c r="B892" s="6"/>
      <c r="C892" s="5" t="str">
        <f t="shared" si="14"/>
        <v/>
      </c>
      <c r="D892" s="6"/>
      <c r="E892" s="6"/>
      <c r="F892" s="6"/>
      <c r="G892" s="6"/>
      <c r="H892" s="6"/>
    </row>
    <row r="893" spans="1:8" x14ac:dyDescent="0.25">
      <c r="A893" s="4"/>
      <c r="B893" s="6"/>
      <c r="C893" s="5" t="str">
        <f t="shared" si="14"/>
        <v/>
      </c>
      <c r="D893" s="6"/>
      <c r="E893" s="6"/>
      <c r="F893" s="6"/>
      <c r="G893" s="6"/>
      <c r="H893" s="6"/>
    </row>
    <row r="894" spans="1:8" x14ac:dyDescent="0.25">
      <c r="A894" s="4"/>
      <c r="B894" s="6"/>
      <c r="C894" s="5" t="str">
        <f t="shared" si="14"/>
        <v/>
      </c>
      <c r="D894" s="6"/>
      <c r="E894" s="6"/>
      <c r="F894" s="6"/>
      <c r="G894" s="6"/>
      <c r="H894" s="6"/>
    </row>
    <row r="895" spans="1:8" x14ac:dyDescent="0.25">
      <c r="A895" s="4"/>
      <c r="B895" s="6"/>
      <c r="C895" s="5" t="str">
        <f t="shared" si="14"/>
        <v/>
      </c>
      <c r="D895" s="6"/>
      <c r="E895" s="6"/>
      <c r="F895" s="6"/>
      <c r="G895" s="6"/>
      <c r="H895" s="6"/>
    </row>
    <row r="896" spans="1:8" x14ac:dyDescent="0.25">
      <c r="A896" s="4"/>
      <c r="B896" s="6"/>
      <c r="C896" s="5" t="str">
        <f t="shared" si="14"/>
        <v/>
      </c>
      <c r="D896" s="6"/>
      <c r="E896" s="6"/>
      <c r="F896" s="6"/>
      <c r="G896" s="6"/>
      <c r="H896" s="6"/>
    </row>
    <row r="897" spans="1:8" x14ac:dyDescent="0.25">
      <c r="A897" s="4"/>
      <c r="B897" s="6"/>
      <c r="C897" s="5" t="str">
        <f t="shared" si="14"/>
        <v/>
      </c>
      <c r="D897" s="6"/>
      <c r="E897" s="6"/>
      <c r="F897" s="6"/>
      <c r="G897" s="6"/>
      <c r="H897" s="6"/>
    </row>
    <row r="898" spans="1:8" x14ac:dyDescent="0.25">
      <c r="A898" s="4"/>
      <c r="B898" s="6"/>
      <c r="C898" s="5" t="str">
        <f t="shared" si="14"/>
        <v/>
      </c>
      <c r="D898" s="6"/>
      <c r="E898" s="6"/>
      <c r="F898" s="6"/>
      <c r="G898" s="6"/>
      <c r="H898" s="6"/>
    </row>
    <row r="899" spans="1:8" x14ac:dyDescent="0.25">
      <c r="A899" s="4"/>
      <c r="B899" s="6"/>
      <c r="C899" s="5" t="str">
        <f t="shared" si="14"/>
        <v/>
      </c>
      <c r="D899" s="6"/>
      <c r="E899" s="6"/>
      <c r="F899" s="6"/>
      <c r="G899" s="6"/>
      <c r="H899" s="6"/>
    </row>
    <row r="900" spans="1:8" x14ac:dyDescent="0.25">
      <c r="A900" s="4"/>
      <c r="B900" s="6"/>
      <c r="C900" s="5" t="str">
        <f t="shared" si="14"/>
        <v/>
      </c>
      <c r="D900" s="6"/>
      <c r="E900" s="6"/>
      <c r="F900" s="6"/>
      <c r="G900" s="6"/>
      <c r="H900" s="6"/>
    </row>
    <row r="901" spans="1:8" x14ac:dyDescent="0.25">
      <c r="A901" s="4"/>
      <c r="B901" s="6"/>
      <c r="C901" s="5" t="str">
        <f t="shared" si="14"/>
        <v/>
      </c>
      <c r="D901" s="6"/>
      <c r="E901" s="6"/>
      <c r="F901" s="6"/>
      <c r="G901" s="6"/>
      <c r="H901" s="6"/>
    </row>
    <row r="902" spans="1:8" x14ac:dyDescent="0.25">
      <c r="A902" s="4"/>
      <c r="B902" s="6"/>
      <c r="C902" s="5" t="str">
        <f t="shared" si="14"/>
        <v/>
      </c>
      <c r="D902" s="6"/>
      <c r="E902" s="6"/>
      <c r="F902" s="6"/>
      <c r="G902" s="6"/>
      <c r="H902" s="6"/>
    </row>
    <row r="903" spans="1:8" x14ac:dyDescent="0.25">
      <c r="A903" s="4"/>
      <c r="B903" s="6"/>
      <c r="C903" s="5" t="str">
        <f t="shared" si="14"/>
        <v/>
      </c>
      <c r="D903" s="6"/>
      <c r="E903" s="6"/>
      <c r="F903" s="6"/>
      <c r="G903" s="6"/>
      <c r="H903" s="6"/>
    </row>
    <row r="904" spans="1:8" x14ac:dyDescent="0.25">
      <c r="A904" s="4"/>
      <c r="B904" s="6"/>
      <c r="C904" s="5" t="str">
        <f t="shared" si="14"/>
        <v/>
      </c>
      <c r="D904" s="6"/>
      <c r="E904" s="6"/>
      <c r="F904" s="6"/>
      <c r="G904" s="6"/>
      <c r="H904" s="6"/>
    </row>
    <row r="905" spans="1:8" x14ac:dyDescent="0.25">
      <c r="A905" s="4"/>
      <c r="B905" s="6"/>
      <c r="C905" s="5" t="str">
        <f t="shared" si="14"/>
        <v/>
      </c>
      <c r="D905" s="6"/>
      <c r="E905" s="6"/>
      <c r="F905" s="6"/>
      <c r="G905" s="6"/>
      <c r="H905" s="6"/>
    </row>
    <row r="906" spans="1:8" x14ac:dyDescent="0.25">
      <c r="A906" s="4"/>
      <c r="B906" s="6"/>
      <c r="C906" s="5" t="str">
        <f t="shared" si="14"/>
        <v/>
      </c>
      <c r="D906" s="6"/>
      <c r="E906" s="6"/>
      <c r="F906" s="6"/>
      <c r="G906" s="6"/>
      <c r="H906" s="6"/>
    </row>
    <row r="907" spans="1:8" x14ac:dyDescent="0.25">
      <c r="A907" s="4"/>
      <c r="B907" s="6"/>
      <c r="C907" s="5" t="str">
        <f t="shared" si="14"/>
        <v/>
      </c>
      <c r="D907" s="6"/>
      <c r="E907" s="6"/>
      <c r="F907" s="6"/>
      <c r="G907" s="6"/>
      <c r="H907" s="6"/>
    </row>
    <row r="908" spans="1:8" x14ac:dyDescent="0.25">
      <c r="A908" s="4"/>
      <c r="B908" s="6"/>
      <c r="C908" s="5" t="str">
        <f t="shared" si="14"/>
        <v/>
      </c>
      <c r="D908" s="6"/>
      <c r="E908" s="6"/>
      <c r="F908" s="6"/>
      <c r="G908" s="6"/>
      <c r="H908" s="6"/>
    </row>
    <row r="909" spans="1:8" x14ac:dyDescent="0.25">
      <c r="A909" s="4"/>
      <c r="B909" s="6"/>
      <c r="C909" s="5" t="str">
        <f t="shared" si="14"/>
        <v/>
      </c>
      <c r="D909" s="6"/>
      <c r="E909" s="6"/>
      <c r="F909" s="6"/>
      <c r="G909" s="6"/>
      <c r="H909" s="6"/>
    </row>
    <row r="910" spans="1:8" x14ac:dyDescent="0.25">
      <c r="A910" s="4"/>
      <c r="B910" s="6"/>
      <c r="C910" s="5" t="str">
        <f t="shared" si="14"/>
        <v/>
      </c>
      <c r="D910" s="6"/>
      <c r="E910" s="6"/>
      <c r="F910" s="6"/>
      <c r="G910" s="6"/>
      <c r="H910" s="6"/>
    </row>
    <row r="911" spans="1:8" x14ac:dyDescent="0.25">
      <c r="A911" s="4"/>
      <c r="B911" s="6"/>
      <c r="C911" s="5" t="str">
        <f t="shared" si="14"/>
        <v/>
      </c>
      <c r="D911" s="6"/>
      <c r="E911" s="6"/>
      <c r="F911" s="6"/>
      <c r="G911" s="6"/>
      <c r="H911" s="6"/>
    </row>
    <row r="912" spans="1:8" x14ac:dyDescent="0.25">
      <c r="A912" s="4"/>
      <c r="B912" s="6"/>
      <c r="C912" s="5" t="str">
        <f t="shared" si="14"/>
        <v/>
      </c>
      <c r="D912" s="6"/>
      <c r="E912" s="6"/>
      <c r="F912" s="6"/>
      <c r="G912" s="6"/>
      <c r="H912" s="6"/>
    </row>
    <row r="913" spans="1:8" x14ac:dyDescent="0.25">
      <c r="A913" s="4"/>
      <c r="B913" s="6"/>
      <c r="C913" s="5" t="str">
        <f t="shared" si="14"/>
        <v/>
      </c>
      <c r="D913" s="6"/>
      <c r="E913" s="6"/>
      <c r="F913" s="6"/>
      <c r="G913" s="6"/>
      <c r="H913" s="6"/>
    </row>
    <row r="914" spans="1:8" x14ac:dyDescent="0.25">
      <c r="A914" s="4"/>
      <c r="B914" s="6"/>
      <c r="C914" s="5" t="str">
        <f t="shared" si="14"/>
        <v/>
      </c>
      <c r="D914" s="6"/>
      <c r="E914" s="6"/>
      <c r="F914" s="6"/>
      <c r="G914" s="6"/>
      <c r="H914" s="6"/>
    </row>
    <row r="915" spans="1:8" x14ac:dyDescent="0.25">
      <c r="A915" s="4"/>
      <c r="B915" s="6"/>
      <c r="C915" s="5" t="str">
        <f t="shared" si="14"/>
        <v/>
      </c>
      <c r="D915" s="6"/>
      <c r="E915" s="6"/>
      <c r="F915" s="6"/>
      <c r="G915" s="6"/>
      <c r="H915" s="6"/>
    </row>
    <row r="916" spans="1:8" x14ac:dyDescent="0.25">
      <c r="A916" s="4"/>
      <c r="B916" s="6"/>
      <c r="C916" s="5" t="str">
        <f t="shared" si="14"/>
        <v/>
      </c>
      <c r="D916" s="6"/>
      <c r="E916" s="6"/>
      <c r="F916" s="6"/>
      <c r="G916" s="6"/>
      <c r="H916" s="6"/>
    </row>
    <row r="917" spans="1:8" x14ac:dyDescent="0.25">
      <c r="A917" s="4"/>
      <c r="B917" s="6"/>
      <c r="C917" s="5" t="str">
        <f t="shared" si="14"/>
        <v/>
      </c>
      <c r="D917" s="6"/>
      <c r="E917" s="6"/>
      <c r="F917" s="6"/>
      <c r="G917" s="6"/>
      <c r="H917" s="6"/>
    </row>
    <row r="918" spans="1:8" x14ac:dyDescent="0.25">
      <c r="A918" s="4"/>
      <c r="B918" s="6"/>
      <c r="C918" s="5" t="str">
        <f t="shared" si="14"/>
        <v/>
      </c>
      <c r="D918" s="6"/>
      <c r="E918" s="6"/>
      <c r="F918" s="6"/>
      <c r="G918" s="6"/>
      <c r="H918" s="6"/>
    </row>
    <row r="919" spans="1:8" x14ac:dyDescent="0.25">
      <c r="A919" s="4"/>
      <c r="B919" s="6"/>
      <c r="C919" s="5" t="str">
        <f t="shared" si="14"/>
        <v/>
      </c>
      <c r="D919" s="6"/>
      <c r="E919" s="6"/>
      <c r="F919" s="6"/>
      <c r="G919" s="6"/>
      <c r="H919" s="6"/>
    </row>
    <row r="920" spans="1:8" x14ac:dyDescent="0.25">
      <c r="A920" s="4"/>
      <c r="B920" s="6"/>
      <c r="C920" s="5" t="str">
        <f t="shared" si="14"/>
        <v/>
      </c>
      <c r="D920" s="6"/>
      <c r="E920" s="6"/>
      <c r="F920" s="6"/>
      <c r="G920" s="6"/>
      <c r="H920" s="6"/>
    </row>
    <row r="921" spans="1:8" x14ac:dyDescent="0.25">
      <c r="A921" s="4"/>
      <c r="B921" s="6"/>
      <c r="C921" s="5" t="str">
        <f t="shared" si="14"/>
        <v/>
      </c>
      <c r="D921" s="6"/>
      <c r="E921" s="6"/>
      <c r="F921" s="6"/>
      <c r="G921" s="6"/>
      <c r="H921" s="6"/>
    </row>
    <row r="922" spans="1:8" x14ac:dyDescent="0.25">
      <c r="A922" s="4"/>
      <c r="B922" s="6"/>
      <c r="C922" s="5" t="str">
        <f t="shared" si="14"/>
        <v/>
      </c>
      <c r="D922" s="6"/>
      <c r="E922" s="6"/>
      <c r="F922" s="6"/>
      <c r="G922" s="6"/>
      <c r="H922" s="6"/>
    </row>
    <row r="923" spans="1:8" x14ac:dyDescent="0.25">
      <c r="A923" s="4"/>
      <c r="B923" s="6"/>
      <c r="C923" s="5" t="str">
        <f t="shared" si="14"/>
        <v/>
      </c>
      <c r="D923" s="6"/>
      <c r="E923" s="6"/>
      <c r="F923" s="6"/>
      <c r="G923" s="6"/>
      <c r="H923" s="6"/>
    </row>
    <row r="924" spans="1:8" x14ac:dyDescent="0.25">
      <c r="A924" s="4"/>
      <c r="B924" s="6"/>
      <c r="C924" s="5" t="str">
        <f t="shared" si="14"/>
        <v/>
      </c>
      <c r="D924" s="6"/>
      <c r="E924" s="6"/>
      <c r="F924" s="6"/>
      <c r="G924" s="6"/>
      <c r="H924" s="6"/>
    </row>
    <row r="925" spans="1:8" x14ac:dyDescent="0.25">
      <c r="A925" s="4"/>
      <c r="B925" s="6"/>
      <c r="C925" s="5" t="str">
        <f t="shared" si="14"/>
        <v/>
      </c>
      <c r="D925" s="6"/>
      <c r="E925" s="6"/>
      <c r="F925" s="6"/>
      <c r="G925" s="6"/>
      <c r="H925" s="6"/>
    </row>
    <row r="926" spans="1:8" x14ac:dyDescent="0.25">
      <c r="A926" s="4"/>
      <c r="B926" s="6"/>
      <c r="C926" s="5" t="str">
        <f t="shared" si="14"/>
        <v/>
      </c>
      <c r="D926" s="6"/>
      <c r="E926" s="6"/>
      <c r="F926" s="6"/>
      <c r="G926" s="6"/>
      <c r="H926" s="6"/>
    </row>
    <row r="927" spans="1:8" x14ac:dyDescent="0.25">
      <c r="A927" s="4"/>
      <c r="B927" s="6"/>
      <c r="C927" s="5" t="str">
        <f t="shared" si="14"/>
        <v/>
      </c>
      <c r="D927" s="6"/>
      <c r="E927" s="6"/>
      <c r="F927" s="6"/>
      <c r="G927" s="6"/>
      <c r="H927" s="6"/>
    </row>
    <row r="928" spans="1:8" x14ac:dyDescent="0.25">
      <c r="A928" s="4"/>
      <c r="B928" s="6"/>
      <c r="C928" s="5" t="str">
        <f t="shared" si="14"/>
        <v/>
      </c>
      <c r="D928" s="6"/>
      <c r="E928" s="6"/>
      <c r="F928" s="6"/>
      <c r="G928" s="6"/>
      <c r="H928" s="6"/>
    </row>
    <row r="929" spans="1:8" x14ac:dyDescent="0.25">
      <c r="A929" s="4"/>
      <c r="B929" s="6"/>
      <c r="C929" s="5" t="str">
        <f t="shared" si="14"/>
        <v/>
      </c>
      <c r="D929" s="6"/>
      <c r="E929" s="6"/>
      <c r="F929" s="6"/>
      <c r="G929" s="6"/>
      <c r="H929" s="6"/>
    </row>
    <row r="930" spans="1:8" x14ac:dyDescent="0.25">
      <c r="A930" s="4"/>
      <c r="B930" s="6"/>
      <c r="C930" s="5" t="str">
        <f t="shared" si="14"/>
        <v/>
      </c>
      <c r="D930" s="6"/>
      <c r="E930" s="6"/>
      <c r="F930" s="6"/>
      <c r="G930" s="6"/>
      <c r="H930" s="6"/>
    </row>
    <row r="931" spans="1:8" x14ac:dyDescent="0.25">
      <c r="A931" s="4"/>
      <c r="B931" s="6"/>
      <c r="C931" s="5" t="str">
        <f t="shared" si="14"/>
        <v/>
      </c>
      <c r="D931" s="6"/>
      <c r="E931" s="6"/>
      <c r="F931" s="6"/>
      <c r="G931" s="6"/>
      <c r="H931" s="6"/>
    </row>
    <row r="932" spans="1:8" x14ac:dyDescent="0.25">
      <c r="A932" s="4"/>
      <c r="B932" s="6"/>
      <c r="C932" s="5" t="str">
        <f t="shared" si="14"/>
        <v/>
      </c>
      <c r="D932" s="6"/>
      <c r="E932" s="6"/>
      <c r="F932" s="6"/>
      <c r="G932" s="6"/>
      <c r="H932" s="6"/>
    </row>
    <row r="933" spans="1:8" x14ac:dyDescent="0.25">
      <c r="A933" s="4"/>
      <c r="B933" s="6"/>
      <c r="C933" s="5" t="str">
        <f t="shared" si="14"/>
        <v/>
      </c>
      <c r="D933" s="6"/>
      <c r="E933" s="6"/>
      <c r="F933" s="6"/>
      <c r="G933" s="6"/>
      <c r="H933" s="6"/>
    </row>
    <row r="934" spans="1:8" x14ac:dyDescent="0.25">
      <c r="A934" s="4"/>
      <c r="B934" s="6"/>
      <c r="C934" s="5" t="str">
        <f t="shared" si="14"/>
        <v/>
      </c>
      <c r="D934" s="6"/>
      <c r="E934" s="6"/>
      <c r="F934" s="6"/>
      <c r="G934" s="6"/>
      <c r="H934" s="6"/>
    </row>
    <row r="935" spans="1:8" x14ac:dyDescent="0.25">
      <c r="A935" s="4"/>
      <c r="B935" s="6"/>
      <c r="C935" s="5" t="str">
        <f t="shared" si="14"/>
        <v/>
      </c>
      <c r="D935" s="6"/>
      <c r="E935" s="6"/>
      <c r="F935" s="6"/>
      <c r="G935" s="6"/>
      <c r="H935" s="6"/>
    </row>
    <row r="936" spans="1:8" x14ac:dyDescent="0.25">
      <c r="A936" s="4"/>
      <c r="B936" s="6"/>
      <c r="C936" s="5" t="str">
        <f t="shared" si="14"/>
        <v/>
      </c>
      <c r="D936" s="6"/>
      <c r="E936" s="6"/>
      <c r="F936" s="6"/>
      <c r="G936" s="6"/>
      <c r="H936" s="6"/>
    </row>
    <row r="937" spans="1:8" x14ac:dyDescent="0.25">
      <c r="A937" s="4"/>
      <c r="B937" s="6"/>
      <c r="C937" s="5" t="str">
        <f t="shared" si="14"/>
        <v/>
      </c>
      <c r="D937" s="6"/>
      <c r="E937" s="6"/>
      <c r="F937" s="6"/>
      <c r="G937" s="6"/>
      <c r="H937" s="6"/>
    </row>
    <row r="938" spans="1:8" x14ac:dyDescent="0.25">
      <c r="A938" s="4"/>
      <c r="B938" s="6"/>
      <c r="C938" s="5" t="str">
        <f t="shared" si="14"/>
        <v/>
      </c>
      <c r="D938" s="6"/>
      <c r="E938" s="6"/>
      <c r="F938" s="6"/>
      <c r="G938" s="6"/>
      <c r="H938" s="6"/>
    </row>
    <row r="939" spans="1:8" x14ac:dyDescent="0.25">
      <c r="A939" s="4"/>
      <c r="B939" s="6"/>
      <c r="C939" s="5" t="str">
        <f t="shared" si="14"/>
        <v/>
      </c>
      <c r="D939" s="6"/>
      <c r="E939" s="6"/>
      <c r="F939" s="6"/>
      <c r="G939" s="6"/>
      <c r="H939" s="6"/>
    </row>
    <row r="940" spans="1:8" x14ac:dyDescent="0.25">
      <c r="A940" s="4"/>
      <c r="B940" s="6"/>
      <c r="C940" s="5" t="str">
        <f t="shared" si="14"/>
        <v/>
      </c>
      <c r="D940" s="6"/>
      <c r="E940" s="6"/>
      <c r="F940" s="6"/>
      <c r="G940" s="6"/>
      <c r="H940" s="6"/>
    </row>
    <row r="941" spans="1:8" x14ac:dyDescent="0.25">
      <c r="A941" s="4"/>
      <c r="B941" s="6"/>
      <c r="C941" s="5" t="str">
        <f t="shared" si="14"/>
        <v/>
      </c>
      <c r="D941" s="6"/>
      <c r="E941" s="6"/>
      <c r="F941" s="6"/>
      <c r="G941" s="6"/>
      <c r="H941" s="6"/>
    </row>
    <row r="942" spans="1:8" x14ac:dyDescent="0.25">
      <c r="A942" s="4"/>
      <c r="B942" s="6"/>
      <c r="C942" s="5" t="str">
        <f t="shared" si="14"/>
        <v/>
      </c>
      <c r="D942" s="6"/>
      <c r="E942" s="6"/>
      <c r="F942" s="6"/>
      <c r="G942" s="6"/>
      <c r="H942" s="6"/>
    </row>
    <row r="943" spans="1:8" x14ac:dyDescent="0.25">
      <c r="A943" s="4"/>
      <c r="B943" s="6"/>
      <c r="C943" s="5" t="str">
        <f t="shared" si="14"/>
        <v/>
      </c>
      <c r="D943" s="6"/>
      <c r="E943" s="6"/>
      <c r="F943" s="6"/>
      <c r="G943" s="6"/>
      <c r="H943" s="6"/>
    </row>
    <row r="944" spans="1:8" x14ac:dyDescent="0.25">
      <c r="A944" s="4"/>
      <c r="B944" s="6"/>
      <c r="C944" s="5" t="str">
        <f t="shared" si="14"/>
        <v/>
      </c>
      <c r="D944" s="6"/>
      <c r="E944" s="6"/>
      <c r="F944" s="6"/>
      <c r="G944" s="6"/>
      <c r="H944" s="6"/>
    </row>
    <row r="945" spans="1:8" x14ac:dyDescent="0.25">
      <c r="A945" s="4"/>
      <c r="B945" s="6"/>
      <c r="C945" s="5" t="str">
        <f t="shared" si="14"/>
        <v/>
      </c>
      <c r="D945" s="6"/>
      <c r="E945" s="6"/>
      <c r="F945" s="6"/>
      <c r="G945" s="6"/>
      <c r="H945" s="6"/>
    </row>
    <row r="946" spans="1:8" x14ac:dyDescent="0.25">
      <c r="A946" s="4"/>
      <c r="B946" s="6"/>
      <c r="C946" s="5" t="str">
        <f t="shared" si="14"/>
        <v/>
      </c>
      <c r="D946" s="6"/>
      <c r="E946" s="6"/>
      <c r="F946" s="6"/>
      <c r="G946" s="6"/>
      <c r="H946" s="6"/>
    </row>
    <row r="947" spans="1:8" x14ac:dyDescent="0.25">
      <c r="A947" s="4"/>
      <c r="B947" s="6"/>
      <c r="C947" s="5" t="str">
        <f t="shared" si="14"/>
        <v/>
      </c>
      <c r="D947" s="6"/>
      <c r="E947" s="6"/>
      <c r="F947" s="6"/>
      <c r="G947" s="6"/>
      <c r="H947" s="6"/>
    </row>
    <row r="948" spans="1:8" x14ac:dyDescent="0.25">
      <c r="A948" s="4"/>
      <c r="B948" s="6"/>
      <c r="C948" s="5" t="str">
        <f t="shared" si="14"/>
        <v/>
      </c>
      <c r="D948" s="6"/>
      <c r="E948" s="6"/>
      <c r="F948" s="6"/>
      <c r="G948" s="6"/>
      <c r="H948" s="6"/>
    </row>
    <row r="949" spans="1:8" x14ac:dyDescent="0.25">
      <c r="A949" s="4"/>
      <c r="B949" s="6"/>
      <c r="C949" s="5" t="str">
        <f t="shared" si="14"/>
        <v/>
      </c>
      <c r="D949" s="6"/>
      <c r="E949" s="6"/>
      <c r="F949" s="6"/>
      <c r="G949" s="6"/>
      <c r="H949" s="6"/>
    </row>
    <row r="950" spans="1:8" x14ac:dyDescent="0.25">
      <c r="A950" s="4"/>
      <c r="B950" s="6"/>
      <c r="C950" s="5" t="str">
        <f t="shared" si="14"/>
        <v/>
      </c>
      <c r="D950" s="6"/>
      <c r="E950" s="6"/>
      <c r="F950" s="6"/>
      <c r="G950" s="6"/>
      <c r="H950" s="6"/>
    </row>
    <row r="951" spans="1:8" x14ac:dyDescent="0.25">
      <c r="A951" s="4"/>
      <c r="B951" s="6"/>
      <c r="C951" s="5" t="str">
        <f t="shared" si="14"/>
        <v/>
      </c>
      <c r="D951" s="6"/>
      <c r="E951" s="6"/>
      <c r="F951" s="6"/>
      <c r="G951" s="6"/>
      <c r="H951" s="6"/>
    </row>
    <row r="952" spans="1:8" x14ac:dyDescent="0.25">
      <c r="A952" s="4"/>
      <c r="B952" s="6"/>
      <c r="C952" s="5" t="str">
        <f t="shared" si="14"/>
        <v/>
      </c>
      <c r="D952" s="6"/>
      <c r="E952" s="6"/>
      <c r="F952" s="6"/>
      <c r="G952" s="6"/>
      <c r="H952" s="6"/>
    </row>
    <row r="953" spans="1:8" x14ac:dyDescent="0.25">
      <c r="A953" s="4"/>
      <c r="B953" s="6"/>
      <c r="C953" s="5" t="str">
        <f t="shared" si="14"/>
        <v/>
      </c>
      <c r="D953" s="6"/>
      <c r="E953" s="6"/>
      <c r="F953" s="6"/>
      <c r="G953" s="6"/>
      <c r="H953" s="6"/>
    </row>
    <row r="954" spans="1:8" x14ac:dyDescent="0.25">
      <c r="A954" s="4"/>
      <c r="B954" s="6"/>
      <c r="C954" s="5" t="str">
        <f t="shared" ref="C954:C1004" si="15">IF(ISBLANK(B954),"", "guest")</f>
        <v/>
      </c>
      <c r="D954" s="6"/>
      <c r="E954" s="6"/>
      <c r="F954" s="6"/>
      <c r="G954" s="6"/>
      <c r="H954" s="6"/>
    </row>
    <row r="955" spans="1:8" x14ac:dyDescent="0.25">
      <c r="A955" s="4"/>
      <c r="B955" s="6"/>
      <c r="C955" s="5" t="str">
        <f t="shared" si="15"/>
        <v/>
      </c>
      <c r="D955" s="6"/>
      <c r="E955" s="6"/>
      <c r="F955" s="6"/>
      <c r="G955" s="6"/>
      <c r="H955" s="6"/>
    </row>
    <row r="956" spans="1:8" x14ac:dyDescent="0.25">
      <c r="A956" s="4"/>
      <c r="B956" s="6"/>
      <c r="C956" s="5" t="str">
        <f t="shared" si="15"/>
        <v/>
      </c>
      <c r="D956" s="6"/>
      <c r="E956" s="6"/>
      <c r="F956" s="6"/>
      <c r="G956" s="6"/>
      <c r="H956" s="6"/>
    </row>
    <row r="957" spans="1:8" x14ac:dyDescent="0.25">
      <c r="A957" s="4"/>
      <c r="B957" s="6"/>
      <c r="C957" s="5" t="str">
        <f t="shared" si="15"/>
        <v/>
      </c>
      <c r="D957" s="6"/>
      <c r="E957" s="6"/>
      <c r="F957" s="6"/>
      <c r="G957" s="6"/>
      <c r="H957" s="6"/>
    </row>
    <row r="958" spans="1:8" x14ac:dyDescent="0.25">
      <c r="A958" s="4"/>
      <c r="B958" s="6"/>
      <c r="C958" s="5" t="str">
        <f t="shared" si="15"/>
        <v/>
      </c>
      <c r="D958" s="6"/>
      <c r="E958" s="6"/>
      <c r="F958" s="6"/>
      <c r="G958" s="6"/>
      <c r="H958" s="6"/>
    </row>
    <row r="959" spans="1:8" x14ac:dyDescent="0.25">
      <c r="A959" s="4"/>
      <c r="B959" s="6"/>
      <c r="C959" s="5" t="str">
        <f t="shared" si="15"/>
        <v/>
      </c>
      <c r="D959" s="6"/>
      <c r="E959" s="6"/>
      <c r="F959" s="6"/>
      <c r="G959" s="6"/>
      <c r="H959" s="6"/>
    </row>
    <row r="960" spans="1:8" x14ac:dyDescent="0.25">
      <c r="A960" s="4"/>
      <c r="B960" s="6"/>
      <c r="C960" s="5" t="str">
        <f t="shared" si="15"/>
        <v/>
      </c>
      <c r="D960" s="6"/>
      <c r="E960" s="6"/>
      <c r="F960" s="6"/>
      <c r="G960" s="6"/>
      <c r="H960" s="6"/>
    </row>
    <row r="961" spans="1:8" x14ac:dyDescent="0.25">
      <c r="A961" s="4"/>
      <c r="B961" s="6"/>
      <c r="C961" s="5" t="str">
        <f t="shared" si="15"/>
        <v/>
      </c>
      <c r="D961" s="6"/>
      <c r="E961" s="6"/>
      <c r="F961" s="6"/>
      <c r="G961" s="6"/>
      <c r="H961" s="6"/>
    </row>
    <row r="962" spans="1:8" x14ac:dyDescent="0.25">
      <c r="A962" s="4"/>
      <c r="B962" s="6"/>
      <c r="C962" s="5" t="str">
        <f t="shared" si="15"/>
        <v/>
      </c>
      <c r="D962" s="6"/>
      <c r="E962" s="6"/>
      <c r="F962" s="6"/>
      <c r="G962" s="6"/>
      <c r="H962" s="6"/>
    </row>
    <row r="963" spans="1:8" x14ac:dyDescent="0.25">
      <c r="A963" s="4"/>
      <c r="B963" s="6"/>
      <c r="C963" s="5" t="str">
        <f t="shared" si="15"/>
        <v/>
      </c>
      <c r="D963" s="6"/>
      <c r="E963" s="6"/>
      <c r="F963" s="6"/>
      <c r="G963" s="6"/>
      <c r="H963" s="6"/>
    </row>
    <row r="964" spans="1:8" x14ac:dyDescent="0.25">
      <c r="A964" s="4"/>
      <c r="B964" s="6"/>
      <c r="C964" s="5" t="str">
        <f t="shared" si="15"/>
        <v/>
      </c>
      <c r="D964" s="6"/>
      <c r="E964" s="6"/>
      <c r="F964" s="6"/>
      <c r="G964" s="6"/>
      <c r="H964" s="6"/>
    </row>
    <row r="965" spans="1:8" x14ac:dyDescent="0.25">
      <c r="A965" s="4"/>
      <c r="B965" s="6"/>
      <c r="C965" s="5" t="str">
        <f t="shared" si="15"/>
        <v/>
      </c>
      <c r="D965" s="6"/>
      <c r="E965" s="6"/>
      <c r="F965" s="6"/>
      <c r="G965" s="6"/>
      <c r="H965" s="6"/>
    </row>
    <row r="966" spans="1:8" x14ac:dyDescent="0.25">
      <c r="A966" s="4"/>
      <c r="B966" s="6"/>
      <c r="C966" s="5" t="str">
        <f t="shared" si="15"/>
        <v/>
      </c>
      <c r="D966" s="6"/>
      <c r="E966" s="6"/>
      <c r="F966" s="6"/>
      <c r="G966" s="6"/>
      <c r="H966" s="6"/>
    </row>
    <row r="967" spans="1:8" x14ac:dyDescent="0.25">
      <c r="A967" s="4"/>
      <c r="B967" s="6"/>
      <c r="C967" s="5" t="str">
        <f t="shared" si="15"/>
        <v/>
      </c>
      <c r="D967" s="6"/>
      <c r="E967" s="6"/>
      <c r="F967" s="6"/>
      <c r="G967" s="6"/>
      <c r="H967" s="6"/>
    </row>
    <row r="968" spans="1:8" x14ac:dyDescent="0.25">
      <c r="A968" s="4"/>
      <c r="B968" s="6"/>
      <c r="C968" s="5" t="str">
        <f t="shared" si="15"/>
        <v/>
      </c>
      <c r="D968" s="6"/>
      <c r="E968" s="6"/>
      <c r="F968" s="6"/>
      <c r="G968" s="6"/>
      <c r="H968" s="6"/>
    </row>
    <row r="969" spans="1:8" x14ac:dyDescent="0.25">
      <c r="A969" s="4"/>
      <c r="B969" s="6"/>
      <c r="C969" s="5" t="str">
        <f t="shared" si="15"/>
        <v/>
      </c>
      <c r="D969" s="6"/>
      <c r="E969" s="6"/>
      <c r="F969" s="6"/>
      <c r="G969" s="6"/>
      <c r="H969" s="6"/>
    </row>
    <row r="970" spans="1:8" x14ac:dyDescent="0.25">
      <c r="A970" s="4"/>
      <c r="B970" s="6"/>
      <c r="C970" s="5" t="str">
        <f t="shared" si="15"/>
        <v/>
      </c>
      <c r="D970" s="6"/>
      <c r="E970" s="6"/>
      <c r="F970" s="6"/>
      <c r="G970" s="6"/>
      <c r="H970" s="6"/>
    </row>
    <row r="971" spans="1:8" x14ac:dyDescent="0.25">
      <c r="A971" s="4"/>
      <c r="B971" s="6"/>
      <c r="C971" s="5" t="str">
        <f t="shared" si="15"/>
        <v/>
      </c>
      <c r="D971" s="6"/>
      <c r="E971" s="6"/>
      <c r="F971" s="6"/>
      <c r="G971" s="6"/>
      <c r="H971" s="6"/>
    </row>
    <row r="972" spans="1:8" x14ac:dyDescent="0.25">
      <c r="A972" s="4"/>
      <c r="B972" s="6"/>
      <c r="C972" s="5" t="str">
        <f t="shared" si="15"/>
        <v/>
      </c>
      <c r="D972" s="6"/>
      <c r="E972" s="6"/>
      <c r="F972" s="6"/>
      <c r="G972" s="6"/>
      <c r="H972" s="6"/>
    </row>
    <row r="973" spans="1:8" x14ac:dyDescent="0.25">
      <c r="A973" s="4"/>
      <c r="B973" s="6"/>
      <c r="C973" s="5" t="str">
        <f t="shared" si="15"/>
        <v/>
      </c>
      <c r="D973" s="6"/>
      <c r="E973" s="6"/>
      <c r="F973" s="6"/>
      <c r="G973" s="6"/>
      <c r="H973" s="6"/>
    </row>
    <row r="974" spans="1:8" x14ac:dyDescent="0.25">
      <c r="A974" s="4"/>
      <c r="B974" s="6"/>
      <c r="C974" s="5" t="str">
        <f t="shared" si="15"/>
        <v/>
      </c>
      <c r="D974" s="6"/>
      <c r="E974" s="6"/>
      <c r="F974" s="6"/>
      <c r="G974" s="6"/>
      <c r="H974" s="6"/>
    </row>
    <row r="975" spans="1:8" x14ac:dyDescent="0.25">
      <c r="A975" s="4"/>
      <c r="B975" s="6"/>
      <c r="C975" s="5" t="str">
        <f t="shared" si="15"/>
        <v/>
      </c>
      <c r="D975" s="6"/>
      <c r="E975" s="6"/>
      <c r="F975" s="6"/>
      <c r="G975" s="6"/>
      <c r="H975" s="6"/>
    </row>
    <row r="976" spans="1:8" x14ac:dyDescent="0.25">
      <c r="A976" s="4"/>
      <c r="B976" s="6"/>
      <c r="C976" s="5" t="str">
        <f t="shared" si="15"/>
        <v/>
      </c>
      <c r="D976" s="6"/>
      <c r="E976" s="6"/>
      <c r="F976" s="6"/>
      <c r="G976" s="6"/>
      <c r="H976" s="6"/>
    </row>
    <row r="977" spans="1:8" x14ac:dyDescent="0.25">
      <c r="A977" s="4"/>
      <c r="B977" s="6"/>
      <c r="C977" s="5" t="str">
        <f t="shared" si="15"/>
        <v/>
      </c>
      <c r="D977" s="6"/>
      <c r="E977" s="6"/>
      <c r="F977" s="6"/>
      <c r="G977" s="6"/>
      <c r="H977" s="6"/>
    </row>
    <row r="978" spans="1:8" x14ac:dyDescent="0.25">
      <c r="A978" s="4"/>
      <c r="B978" s="6"/>
      <c r="C978" s="5" t="str">
        <f t="shared" si="15"/>
        <v/>
      </c>
      <c r="D978" s="6"/>
      <c r="E978" s="6"/>
      <c r="F978" s="6"/>
      <c r="G978" s="6"/>
      <c r="H978" s="6"/>
    </row>
    <row r="979" spans="1:8" x14ac:dyDescent="0.25">
      <c r="A979" s="4"/>
      <c r="B979" s="6"/>
      <c r="C979" s="5" t="str">
        <f t="shared" si="15"/>
        <v/>
      </c>
      <c r="D979" s="6"/>
      <c r="E979" s="6"/>
      <c r="F979" s="6"/>
      <c r="G979" s="6"/>
      <c r="H979" s="6"/>
    </row>
    <row r="980" spans="1:8" x14ac:dyDescent="0.25">
      <c r="A980" s="4"/>
      <c r="B980" s="6"/>
      <c r="C980" s="5" t="str">
        <f t="shared" si="15"/>
        <v/>
      </c>
      <c r="D980" s="6"/>
      <c r="E980" s="6"/>
      <c r="F980" s="6"/>
      <c r="G980" s="6"/>
      <c r="H980" s="6"/>
    </row>
    <row r="981" spans="1:8" x14ac:dyDescent="0.25">
      <c r="A981" s="4"/>
      <c r="B981" s="6"/>
      <c r="C981" s="5" t="str">
        <f t="shared" si="15"/>
        <v/>
      </c>
      <c r="D981" s="6"/>
      <c r="E981" s="6"/>
      <c r="F981" s="6"/>
      <c r="G981" s="6"/>
      <c r="H981" s="6"/>
    </row>
    <row r="982" spans="1:8" x14ac:dyDescent="0.25">
      <c r="A982" s="4"/>
      <c r="B982" s="6"/>
      <c r="C982" s="5" t="str">
        <f t="shared" si="15"/>
        <v/>
      </c>
      <c r="D982" s="6"/>
      <c r="E982" s="6"/>
      <c r="F982" s="6"/>
      <c r="G982" s="6"/>
      <c r="H982" s="6"/>
    </row>
    <row r="983" spans="1:8" x14ac:dyDescent="0.25">
      <c r="A983" s="4"/>
      <c r="B983" s="6"/>
      <c r="C983" s="5" t="str">
        <f t="shared" si="15"/>
        <v/>
      </c>
      <c r="D983" s="6"/>
      <c r="E983" s="6"/>
      <c r="F983" s="6"/>
      <c r="G983" s="6"/>
      <c r="H983" s="6"/>
    </row>
    <row r="984" spans="1:8" x14ac:dyDescent="0.25">
      <c r="A984" s="4"/>
      <c r="B984" s="6"/>
      <c r="C984" s="5" t="str">
        <f t="shared" si="15"/>
        <v/>
      </c>
      <c r="D984" s="6"/>
      <c r="E984" s="6"/>
      <c r="F984" s="6"/>
      <c r="G984" s="6"/>
      <c r="H984" s="6"/>
    </row>
    <row r="985" spans="1:8" x14ac:dyDescent="0.25">
      <c r="A985" s="4"/>
      <c r="B985" s="6"/>
      <c r="C985" s="5" t="str">
        <f t="shared" si="15"/>
        <v/>
      </c>
      <c r="D985" s="6"/>
      <c r="E985" s="6"/>
      <c r="F985" s="6"/>
      <c r="G985" s="6"/>
      <c r="H985" s="6"/>
    </row>
    <row r="986" spans="1:8" x14ac:dyDescent="0.25">
      <c r="A986" s="4"/>
      <c r="B986" s="6"/>
      <c r="C986" s="5" t="str">
        <f t="shared" si="15"/>
        <v/>
      </c>
      <c r="D986" s="6"/>
      <c r="E986" s="6"/>
      <c r="F986" s="6"/>
      <c r="G986" s="6"/>
      <c r="H986" s="6"/>
    </row>
    <row r="987" spans="1:8" x14ac:dyDescent="0.25">
      <c r="A987" s="4"/>
      <c r="B987" s="6"/>
      <c r="C987" s="5" t="str">
        <f t="shared" si="15"/>
        <v/>
      </c>
      <c r="D987" s="6"/>
      <c r="E987" s="6"/>
      <c r="F987" s="6"/>
      <c r="G987" s="6"/>
      <c r="H987" s="6"/>
    </row>
    <row r="988" spans="1:8" x14ac:dyDescent="0.25">
      <c r="A988" s="4"/>
      <c r="B988" s="6"/>
      <c r="C988" s="5" t="str">
        <f t="shared" si="15"/>
        <v/>
      </c>
      <c r="D988" s="6"/>
      <c r="E988" s="6"/>
      <c r="F988" s="6"/>
      <c r="G988" s="6"/>
      <c r="H988" s="6"/>
    </row>
    <row r="989" spans="1:8" x14ac:dyDescent="0.25">
      <c r="A989" s="4"/>
      <c r="B989" s="6"/>
      <c r="C989" s="5" t="str">
        <f t="shared" si="15"/>
        <v/>
      </c>
      <c r="D989" s="6"/>
      <c r="E989" s="6"/>
      <c r="F989" s="6"/>
      <c r="G989" s="6"/>
      <c r="H989" s="6"/>
    </row>
    <row r="990" spans="1:8" x14ac:dyDescent="0.25">
      <c r="A990" s="4"/>
      <c r="B990" s="6"/>
      <c r="C990" s="5" t="str">
        <f t="shared" si="15"/>
        <v/>
      </c>
      <c r="D990" s="6"/>
      <c r="E990" s="6"/>
      <c r="F990" s="6"/>
      <c r="G990" s="6"/>
      <c r="H990" s="6"/>
    </row>
    <row r="991" spans="1:8" x14ac:dyDescent="0.25">
      <c r="A991" s="4"/>
      <c r="B991" s="6"/>
      <c r="C991" s="5" t="str">
        <f t="shared" si="15"/>
        <v/>
      </c>
      <c r="D991" s="6"/>
      <c r="E991" s="6"/>
      <c r="F991" s="6"/>
      <c r="G991" s="6"/>
      <c r="H991" s="6"/>
    </row>
    <row r="992" spans="1:8" x14ac:dyDescent="0.25">
      <c r="A992" s="4"/>
      <c r="B992" s="6"/>
      <c r="C992" s="5" t="str">
        <f t="shared" si="15"/>
        <v/>
      </c>
      <c r="D992" s="6"/>
      <c r="E992" s="6"/>
      <c r="F992" s="6"/>
      <c r="G992" s="6"/>
      <c r="H992" s="6"/>
    </row>
    <row r="993" spans="1:8" x14ac:dyDescent="0.25">
      <c r="A993" s="4"/>
      <c r="B993" s="6"/>
      <c r="C993" s="5" t="str">
        <f t="shared" si="15"/>
        <v/>
      </c>
      <c r="D993" s="6"/>
      <c r="E993" s="6"/>
      <c r="F993" s="6"/>
      <c r="G993" s="6"/>
      <c r="H993" s="6"/>
    </row>
    <row r="994" spans="1:8" x14ac:dyDescent="0.25">
      <c r="A994" s="4"/>
      <c r="B994" s="6"/>
      <c r="C994" s="5" t="str">
        <f t="shared" si="15"/>
        <v/>
      </c>
      <c r="D994" s="6"/>
      <c r="E994" s="6"/>
      <c r="F994" s="6"/>
      <c r="G994" s="6"/>
      <c r="H994" s="6"/>
    </row>
    <row r="995" spans="1:8" x14ac:dyDescent="0.25">
      <c r="A995" s="4"/>
      <c r="B995" s="6"/>
      <c r="C995" s="5" t="str">
        <f t="shared" si="15"/>
        <v/>
      </c>
      <c r="D995" s="6"/>
      <c r="E995" s="6"/>
      <c r="F995" s="6"/>
      <c r="G995" s="6"/>
      <c r="H995" s="6"/>
    </row>
    <row r="996" spans="1:8" x14ac:dyDescent="0.25">
      <c r="A996" s="4"/>
      <c r="B996" s="6"/>
      <c r="C996" s="5" t="str">
        <f t="shared" si="15"/>
        <v/>
      </c>
      <c r="D996" s="6"/>
      <c r="E996" s="6"/>
      <c r="F996" s="6"/>
      <c r="G996" s="6"/>
      <c r="H996" s="6"/>
    </row>
    <row r="997" spans="1:8" x14ac:dyDescent="0.25">
      <c r="A997" s="4"/>
      <c r="B997" s="6"/>
      <c r="C997" s="5" t="str">
        <f t="shared" si="15"/>
        <v/>
      </c>
      <c r="D997" s="6"/>
      <c r="E997" s="6"/>
      <c r="F997" s="6"/>
      <c r="G997" s="6"/>
      <c r="H997" s="6"/>
    </row>
    <row r="998" spans="1:8" x14ac:dyDescent="0.25">
      <c r="A998" s="4"/>
      <c r="B998" s="6"/>
      <c r="C998" s="5" t="str">
        <f t="shared" si="15"/>
        <v/>
      </c>
      <c r="D998" s="6"/>
      <c r="E998" s="6"/>
      <c r="F998" s="6"/>
      <c r="G998" s="6"/>
      <c r="H998" s="6"/>
    </row>
    <row r="999" spans="1:8" x14ac:dyDescent="0.25">
      <c r="A999" s="4"/>
      <c r="B999" s="6"/>
      <c r="C999" s="5" t="str">
        <f t="shared" si="15"/>
        <v/>
      </c>
      <c r="D999" s="6"/>
      <c r="E999" s="6"/>
      <c r="F999" s="6"/>
      <c r="G999" s="6"/>
      <c r="H999" s="6"/>
    </row>
    <row r="1000" spans="1:8" x14ac:dyDescent="0.25">
      <c r="A1000" s="4"/>
      <c r="B1000" s="6"/>
      <c r="C1000" s="5" t="str">
        <f t="shared" si="15"/>
        <v/>
      </c>
      <c r="D1000" s="6"/>
      <c r="E1000" s="6"/>
      <c r="F1000" s="6"/>
      <c r="G1000" s="6"/>
      <c r="H1000" s="6"/>
    </row>
    <row r="1001" spans="1:8" x14ac:dyDescent="0.25">
      <c r="A1001" s="4"/>
      <c r="B1001" s="6"/>
      <c r="C1001" s="5" t="str">
        <f t="shared" si="15"/>
        <v/>
      </c>
      <c r="D1001" s="6"/>
      <c r="E1001" s="6"/>
      <c r="F1001" s="6"/>
      <c r="G1001" s="6"/>
      <c r="H1001" s="6"/>
    </row>
    <row r="1002" spans="1:8" x14ac:dyDescent="0.25">
      <c r="A1002" s="4"/>
      <c r="B1002" s="6"/>
      <c r="C1002" s="5" t="str">
        <f t="shared" si="15"/>
        <v/>
      </c>
      <c r="D1002" s="6"/>
      <c r="E1002" s="6"/>
      <c r="F1002" s="6"/>
      <c r="G1002" s="6"/>
      <c r="H1002" s="6"/>
    </row>
    <row r="1003" spans="1:8" x14ac:dyDescent="0.25">
      <c r="A1003" s="4"/>
      <c r="B1003" s="6"/>
      <c r="C1003" s="5" t="str">
        <f t="shared" si="15"/>
        <v/>
      </c>
      <c r="D1003" s="6"/>
      <c r="E1003" s="6"/>
      <c r="F1003" s="6"/>
      <c r="G1003" s="6"/>
      <c r="H1003" s="6"/>
    </row>
    <row r="1004" spans="1:8" x14ac:dyDescent="0.25">
      <c r="A1004" s="14"/>
      <c r="B1004" s="6"/>
      <c r="C1004" s="5" t="str">
        <f t="shared" si="15"/>
        <v/>
      </c>
      <c r="D1004" s="6"/>
      <c r="E1004" s="6"/>
      <c r="F1004" s="6"/>
      <c r="G1004" s="6"/>
      <c r="H1004" s="6"/>
    </row>
  </sheetData>
  <sheetProtection formatColumns="0" selectLockedCells="1" autoFilter="0"/>
  <autoFilter ref="B4:H4" xr:uid="{4480164A-8485-4D4E-A64E-75025E93DC29}"/>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2603"/>
  <sheetViews>
    <sheetView zoomScaleNormal="100" workbookViewId="0">
      <pane ySplit="4" topLeftCell="A5" activePane="bottomLeft" state="frozen"/>
      <selection activeCell="D1" sqref="D1"/>
      <selection pane="bottomLeft" activeCell="E4" sqref="E4"/>
    </sheetView>
  </sheetViews>
  <sheetFormatPr defaultColWidth="9.140625" defaultRowHeight="15" x14ac:dyDescent="0.25"/>
  <cols>
    <col min="1" max="1" width="11.28515625" bestFit="1" customWidth="1"/>
    <col min="2" max="2" width="16" style="17" customWidth="1"/>
    <col min="3" max="3" width="36.85546875" style="31" customWidth="1"/>
    <col min="4" max="4" width="15.42578125" style="17" bestFit="1" customWidth="1"/>
    <col min="5" max="5" width="14.5703125" style="31" bestFit="1" customWidth="1"/>
    <col min="6" max="6" width="14.7109375" style="31" customWidth="1"/>
    <col min="7" max="8" width="13.5703125" style="32" customWidth="1"/>
    <col min="9" max="9" width="16.28515625" style="17" bestFit="1" customWidth="1"/>
    <col min="10" max="10" width="16.5703125" style="31" bestFit="1" customWidth="1"/>
    <col min="11" max="11" width="20.28515625" style="31" customWidth="1"/>
    <col min="12" max="12" width="16.85546875" style="31" bestFit="1" customWidth="1"/>
    <col min="13" max="13" width="19" style="31" bestFit="1" customWidth="1"/>
    <col min="14" max="14" width="19.28515625" style="31" bestFit="1" customWidth="1"/>
    <col min="15" max="15" width="85.85546875" style="31" bestFit="1" customWidth="1"/>
    <col min="16" max="24" width="9.140625" customWidth="1"/>
  </cols>
  <sheetData>
    <row r="1" spans="1:15" ht="30" x14ac:dyDescent="0.25">
      <c r="A1" s="25" t="s">
        <v>0</v>
      </c>
      <c r="B1" s="53" t="s">
        <v>524</v>
      </c>
      <c r="C1" s="53" t="s">
        <v>536</v>
      </c>
      <c r="D1" s="53" t="s">
        <v>535</v>
      </c>
      <c r="E1" s="53" t="s">
        <v>9</v>
      </c>
      <c r="F1" s="53" t="s">
        <v>487</v>
      </c>
      <c r="G1" s="53" t="s">
        <v>14</v>
      </c>
      <c r="H1" s="53" t="s">
        <v>15</v>
      </c>
      <c r="I1" s="53" t="s">
        <v>13</v>
      </c>
      <c r="J1" s="27" t="s">
        <v>12</v>
      </c>
      <c r="K1" s="27" t="s">
        <v>528</v>
      </c>
      <c r="L1" s="53" t="s">
        <v>10</v>
      </c>
      <c r="M1" s="53" t="s">
        <v>375</v>
      </c>
      <c r="N1" s="53" t="s">
        <v>486</v>
      </c>
      <c r="O1" s="27" t="s">
        <v>526</v>
      </c>
    </row>
    <row r="2" spans="1:15" x14ac:dyDescent="0.25">
      <c r="A2" s="25" t="s">
        <v>1</v>
      </c>
      <c r="B2" s="54" t="s">
        <v>32</v>
      </c>
      <c r="C2" s="54" t="s">
        <v>16</v>
      </c>
      <c r="D2" s="54" t="s">
        <v>2</v>
      </c>
      <c r="E2" s="54" t="s">
        <v>2</v>
      </c>
      <c r="F2" s="54" t="s">
        <v>2</v>
      </c>
      <c r="G2" s="54" t="s">
        <v>18</v>
      </c>
      <c r="H2" s="54" t="s">
        <v>18</v>
      </c>
      <c r="I2" s="54" t="s">
        <v>32</v>
      </c>
      <c r="J2" s="23" t="s">
        <v>2</v>
      </c>
      <c r="K2" s="23" t="s">
        <v>17</v>
      </c>
      <c r="L2" s="54" t="s">
        <v>2</v>
      </c>
      <c r="M2" s="54" t="s">
        <v>32</v>
      </c>
      <c r="N2" s="54" t="s">
        <v>32</v>
      </c>
      <c r="O2" s="23" t="s">
        <v>2</v>
      </c>
    </row>
    <row r="3" spans="1:15" x14ac:dyDescent="0.25">
      <c r="A3" s="26" t="s">
        <v>3</v>
      </c>
      <c r="B3" s="55" t="s">
        <v>514</v>
      </c>
      <c r="C3" s="55" t="s">
        <v>514</v>
      </c>
      <c r="D3" s="55" t="s">
        <v>514</v>
      </c>
      <c r="E3" s="55" t="s">
        <v>514</v>
      </c>
      <c r="F3" s="55" t="s">
        <v>514</v>
      </c>
      <c r="G3" s="55" t="s">
        <v>502</v>
      </c>
      <c r="H3" s="55" t="s">
        <v>502</v>
      </c>
      <c r="I3" s="55" t="s">
        <v>514</v>
      </c>
      <c r="J3" s="24" t="s">
        <v>514</v>
      </c>
      <c r="K3" s="24" t="s">
        <v>514</v>
      </c>
      <c r="L3" s="55" t="s">
        <v>514</v>
      </c>
      <c r="M3" s="55" t="s">
        <v>514</v>
      </c>
      <c r="N3" s="55" t="s">
        <v>514</v>
      </c>
      <c r="O3" s="24" t="s">
        <v>514</v>
      </c>
    </row>
    <row r="4" spans="1:15" x14ac:dyDescent="0.25">
      <c r="A4" s="4"/>
      <c r="B4" s="19" t="s">
        <v>4</v>
      </c>
      <c r="C4" s="19" t="s">
        <v>550</v>
      </c>
      <c r="D4" s="19" t="s">
        <v>593</v>
      </c>
      <c r="E4" s="19" t="s">
        <v>594</v>
      </c>
      <c r="F4" s="19" t="s">
        <v>595</v>
      </c>
      <c r="G4" s="19" t="s">
        <v>596</v>
      </c>
      <c r="H4" s="19" t="s">
        <v>597</v>
      </c>
      <c r="I4" s="19" t="s">
        <v>598</v>
      </c>
      <c r="J4" s="19" t="s">
        <v>599</v>
      </c>
      <c r="K4" s="19" t="s">
        <v>600</v>
      </c>
      <c r="L4" s="19" t="s">
        <v>601</v>
      </c>
      <c r="M4" s="19" t="s">
        <v>602</v>
      </c>
      <c r="N4" s="19" t="s">
        <v>603</v>
      </c>
      <c r="O4" s="19" t="s">
        <v>604</v>
      </c>
    </row>
    <row r="5" spans="1:15" x14ac:dyDescent="0.25">
      <c r="A5" s="4"/>
      <c r="B5" s="9" t="s">
        <v>625</v>
      </c>
      <c r="C5" s="52" t="str">
        <f t="shared" ref="C5:C68" si="0">IF(ISBLANK(D5), "", CONCATENATE(D5,E5,"_",F5,"_",L5))</f>
        <v>NAPESHM_MXAG01_1</v>
      </c>
      <c r="D5" s="9" t="s">
        <v>629</v>
      </c>
      <c r="E5" s="9"/>
      <c r="F5" s="60" t="s">
        <v>1080</v>
      </c>
      <c r="G5" s="83">
        <v>22.162555999999999</v>
      </c>
      <c r="H5" s="83">
        <v>-102.29133299999999</v>
      </c>
      <c r="I5" s="9" t="s">
        <v>1175</v>
      </c>
      <c r="J5" s="9"/>
      <c r="K5" s="9"/>
      <c r="L5" s="60">
        <v>1</v>
      </c>
      <c r="M5" s="9" t="s">
        <v>468</v>
      </c>
      <c r="N5" s="9" t="s">
        <v>468</v>
      </c>
      <c r="O5" s="60" t="s">
        <v>1185</v>
      </c>
    </row>
    <row r="6" spans="1:15" x14ac:dyDescent="0.25">
      <c r="A6" s="4"/>
      <c r="B6" s="9" t="s">
        <v>625</v>
      </c>
      <c r="C6" s="52" t="str">
        <f t="shared" si="0"/>
        <v>NAPESHM_MXAG01_2</v>
      </c>
      <c r="D6" s="9" t="s">
        <v>629</v>
      </c>
      <c r="E6" s="9"/>
      <c r="F6" s="60" t="s">
        <v>1080</v>
      </c>
      <c r="G6" s="83">
        <v>22.162555999999999</v>
      </c>
      <c r="H6" s="83">
        <v>-102.29133299999999</v>
      </c>
      <c r="I6" s="9" t="s">
        <v>1175</v>
      </c>
      <c r="J6" s="9"/>
      <c r="K6" s="9"/>
      <c r="L6" s="60">
        <v>2</v>
      </c>
      <c r="M6" s="9" t="s">
        <v>468</v>
      </c>
      <c r="N6" s="9" t="s">
        <v>468</v>
      </c>
      <c r="O6" s="60" t="s">
        <v>1185</v>
      </c>
    </row>
    <row r="7" spans="1:15" x14ac:dyDescent="0.25">
      <c r="A7" s="4"/>
      <c r="B7" s="9" t="s">
        <v>625</v>
      </c>
      <c r="C7" s="52" t="str">
        <f t="shared" si="0"/>
        <v>NAPESHM_MXAG01_3</v>
      </c>
      <c r="D7" s="9" t="s">
        <v>629</v>
      </c>
      <c r="E7" s="9"/>
      <c r="F7" s="60" t="s">
        <v>1080</v>
      </c>
      <c r="G7" s="83">
        <v>22.162555999999999</v>
      </c>
      <c r="H7" s="83">
        <v>-102.29133299999999</v>
      </c>
      <c r="I7" s="9" t="s">
        <v>1175</v>
      </c>
      <c r="J7" s="9"/>
      <c r="K7" s="9"/>
      <c r="L7" s="60">
        <v>3</v>
      </c>
      <c r="M7" s="9" t="s">
        <v>468</v>
      </c>
      <c r="N7" s="9" t="s">
        <v>468</v>
      </c>
      <c r="O7" s="60" t="s">
        <v>1185</v>
      </c>
    </row>
    <row r="8" spans="1:15" x14ac:dyDescent="0.25">
      <c r="A8" s="4"/>
      <c r="B8" s="9" t="s">
        <v>625</v>
      </c>
      <c r="C8" s="52" t="str">
        <f t="shared" si="0"/>
        <v>NAPESHM_MXAG01_4</v>
      </c>
      <c r="D8" s="9" t="s">
        <v>629</v>
      </c>
      <c r="E8" s="9"/>
      <c r="F8" s="60" t="s">
        <v>1080</v>
      </c>
      <c r="G8" s="83">
        <v>22.162555999999999</v>
      </c>
      <c r="H8" s="83">
        <v>-102.29133299999999</v>
      </c>
      <c r="I8" s="9" t="s">
        <v>1175</v>
      </c>
      <c r="J8" s="9"/>
      <c r="K8" s="9"/>
      <c r="L8" s="60">
        <v>4</v>
      </c>
      <c r="M8" s="9" t="s">
        <v>468</v>
      </c>
      <c r="N8" s="9" t="s">
        <v>468</v>
      </c>
      <c r="O8" s="60" t="s">
        <v>1185</v>
      </c>
    </row>
    <row r="9" spans="1:15" x14ac:dyDescent="0.25">
      <c r="A9" s="4"/>
      <c r="B9" s="9" t="s">
        <v>625</v>
      </c>
      <c r="C9" s="52" t="str">
        <f t="shared" si="0"/>
        <v>NAPESHM_MXAG01_5</v>
      </c>
      <c r="D9" s="9" t="s">
        <v>629</v>
      </c>
      <c r="E9" s="9"/>
      <c r="F9" s="60" t="s">
        <v>1080</v>
      </c>
      <c r="G9" s="83">
        <v>22.162555999999999</v>
      </c>
      <c r="H9" s="83">
        <v>-102.29133299999999</v>
      </c>
      <c r="I9" s="9" t="s">
        <v>1175</v>
      </c>
      <c r="J9" s="9"/>
      <c r="K9" s="9"/>
      <c r="L9" s="60">
        <v>5</v>
      </c>
      <c r="M9" s="9" t="s">
        <v>468</v>
      </c>
      <c r="N9" s="9" t="s">
        <v>468</v>
      </c>
      <c r="O9" s="60" t="s">
        <v>1185</v>
      </c>
    </row>
    <row r="10" spans="1:15" x14ac:dyDescent="0.25">
      <c r="A10" s="4"/>
      <c r="B10" s="9" t="s">
        <v>625</v>
      </c>
      <c r="C10" s="52" t="str">
        <f t="shared" si="0"/>
        <v>NAPESHM_MXEM01_6</v>
      </c>
      <c r="D10" s="9" t="s">
        <v>629</v>
      </c>
      <c r="E10" s="9"/>
      <c r="F10" s="60" t="s">
        <v>1081</v>
      </c>
      <c r="G10" s="83">
        <v>19.531967999999999</v>
      </c>
      <c r="H10" s="83">
        <v>-98.847404999999995</v>
      </c>
      <c r="I10" s="9" t="s">
        <v>1176</v>
      </c>
      <c r="J10" s="9"/>
      <c r="K10" s="9"/>
      <c r="L10" s="60">
        <v>6</v>
      </c>
      <c r="M10" s="9" t="s">
        <v>468</v>
      </c>
      <c r="N10" s="9" t="s">
        <v>468</v>
      </c>
      <c r="O10" s="60" t="s">
        <v>1186</v>
      </c>
    </row>
    <row r="11" spans="1:15" x14ac:dyDescent="0.25">
      <c r="A11" s="4"/>
      <c r="B11" s="9" t="s">
        <v>625</v>
      </c>
      <c r="C11" s="52" t="str">
        <f t="shared" si="0"/>
        <v>NAPESHM_MXEM01_7</v>
      </c>
      <c r="D11" s="9" t="s">
        <v>629</v>
      </c>
      <c r="E11" s="9"/>
      <c r="F11" s="60" t="s">
        <v>1081</v>
      </c>
      <c r="G11" s="83">
        <v>19.531967999999999</v>
      </c>
      <c r="H11" s="83">
        <v>-98.847404999999995</v>
      </c>
      <c r="I11" s="9" t="s">
        <v>1176</v>
      </c>
      <c r="J11" s="9"/>
      <c r="K11" s="9"/>
      <c r="L11" s="60">
        <v>7</v>
      </c>
      <c r="M11" s="9" t="s">
        <v>468</v>
      </c>
      <c r="N11" s="9" t="s">
        <v>468</v>
      </c>
      <c r="O11" s="60" t="s">
        <v>1186</v>
      </c>
    </row>
    <row r="12" spans="1:15" x14ac:dyDescent="0.25">
      <c r="A12" s="4"/>
      <c r="B12" s="9" t="s">
        <v>625</v>
      </c>
      <c r="C12" s="52" t="str">
        <f t="shared" si="0"/>
        <v>NAPESHM_MXEM01_8</v>
      </c>
      <c r="D12" s="9" t="s">
        <v>629</v>
      </c>
      <c r="E12" s="9"/>
      <c r="F12" s="60" t="s">
        <v>1081</v>
      </c>
      <c r="G12" s="83">
        <v>19.531967999999999</v>
      </c>
      <c r="H12" s="83">
        <v>-98.847404999999995</v>
      </c>
      <c r="I12" s="9" t="s">
        <v>1176</v>
      </c>
      <c r="J12" s="9"/>
      <c r="K12" s="9"/>
      <c r="L12" s="60">
        <v>8</v>
      </c>
      <c r="M12" s="9" t="s">
        <v>468</v>
      </c>
      <c r="N12" s="9" t="s">
        <v>468</v>
      </c>
      <c r="O12" s="60" t="s">
        <v>1186</v>
      </c>
    </row>
    <row r="13" spans="1:15" x14ac:dyDescent="0.25">
      <c r="A13" s="4"/>
      <c r="B13" s="9" t="s">
        <v>625</v>
      </c>
      <c r="C13" s="52" t="str">
        <f t="shared" si="0"/>
        <v>NAPESHM_MXEM01_9</v>
      </c>
      <c r="D13" s="9" t="s">
        <v>629</v>
      </c>
      <c r="E13" s="9"/>
      <c r="F13" s="60" t="s">
        <v>1081</v>
      </c>
      <c r="G13" s="83">
        <v>19.531967999999999</v>
      </c>
      <c r="H13" s="83">
        <v>-98.847404999999995</v>
      </c>
      <c r="I13" s="9" t="s">
        <v>1176</v>
      </c>
      <c r="J13" s="9"/>
      <c r="K13" s="9"/>
      <c r="L13" s="60">
        <v>9</v>
      </c>
      <c r="M13" s="9" t="s">
        <v>468</v>
      </c>
      <c r="N13" s="9" t="s">
        <v>468</v>
      </c>
      <c r="O13" s="60" t="s">
        <v>1186</v>
      </c>
    </row>
    <row r="14" spans="1:15" x14ac:dyDescent="0.25">
      <c r="A14" s="4"/>
      <c r="B14" s="9" t="s">
        <v>625</v>
      </c>
      <c r="C14" s="52" t="str">
        <f t="shared" si="0"/>
        <v>NAPESHM_MXEM01_10</v>
      </c>
      <c r="D14" s="9" t="s">
        <v>629</v>
      </c>
      <c r="E14" s="9"/>
      <c r="F14" s="60" t="s">
        <v>1081</v>
      </c>
      <c r="G14" s="83">
        <v>19.531967999999999</v>
      </c>
      <c r="H14" s="83">
        <v>-98.847404999999995</v>
      </c>
      <c r="I14" s="9" t="s">
        <v>1176</v>
      </c>
      <c r="J14" s="9"/>
      <c r="K14" s="9"/>
      <c r="L14" s="60">
        <v>10</v>
      </c>
      <c r="M14" s="9" t="s">
        <v>468</v>
      </c>
      <c r="N14" s="9" t="s">
        <v>468</v>
      </c>
      <c r="O14" s="60" t="s">
        <v>1186</v>
      </c>
    </row>
    <row r="15" spans="1:15" x14ac:dyDescent="0.25">
      <c r="A15" s="4"/>
      <c r="B15" s="9" t="s">
        <v>625</v>
      </c>
      <c r="C15" s="52" t="str">
        <f t="shared" si="0"/>
        <v>NAPESHM_MXEM01_11</v>
      </c>
      <c r="D15" s="9" t="s">
        <v>629</v>
      </c>
      <c r="E15" s="9"/>
      <c r="F15" s="60" t="s">
        <v>1081</v>
      </c>
      <c r="G15" s="83">
        <v>19.531967999999999</v>
      </c>
      <c r="H15" s="83">
        <v>-98.847404999999995</v>
      </c>
      <c r="I15" s="9" t="s">
        <v>1176</v>
      </c>
      <c r="J15" s="9"/>
      <c r="K15" s="9"/>
      <c r="L15" s="60">
        <v>11</v>
      </c>
      <c r="M15" s="9" t="s">
        <v>468</v>
      </c>
      <c r="N15" s="9" t="s">
        <v>468</v>
      </c>
      <c r="O15" s="60" t="s">
        <v>1186</v>
      </c>
    </row>
    <row r="16" spans="1:15" x14ac:dyDescent="0.25">
      <c r="A16" s="4"/>
      <c r="B16" s="9" t="s">
        <v>625</v>
      </c>
      <c r="C16" s="52" t="str">
        <f t="shared" si="0"/>
        <v>NAPESHM_MXEM01_12</v>
      </c>
      <c r="D16" s="9" t="s">
        <v>629</v>
      </c>
      <c r="E16" s="9"/>
      <c r="F16" s="60" t="s">
        <v>1081</v>
      </c>
      <c r="G16" s="83">
        <v>19.531967999999999</v>
      </c>
      <c r="H16" s="83">
        <v>-98.847404999999995</v>
      </c>
      <c r="I16" s="9" t="s">
        <v>1176</v>
      </c>
      <c r="J16" s="9"/>
      <c r="K16" s="9"/>
      <c r="L16" s="60">
        <v>12</v>
      </c>
      <c r="M16" s="9" t="s">
        <v>468</v>
      </c>
      <c r="N16" s="9" t="s">
        <v>468</v>
      </c>
      <c r="O16" s="60" t="s">
        <v>1186</v>
      </c>
    </row>
    <row r="17" spans="1:15" x14ac:dyDescent="0.25">
      <c r="A17" s="4"/>
      <c r="B17" s="9" t="s">
        <v>625</v>
      </c>
      <c r="C17" s="52" t="str">
        <f t="shared" si="0"/>
        <v>NAPESHM_MXEM01_13</v>
      </c>
      <c r="D17" s="9" t="s">
        <v>629</v>
      </c>
      <c r="E17" s="9"/>
      <c r="F17" s="60" t="s">
        <v>1081</v>
      </c>
      <c r="G17" s="83">
        <v>19.531967999999999</v>
      </c>
      <c r="H17" s="83">
        <v>-98.847404999999995</v>
      </c>
      <c r="I17" s="9" t="s">
        <v>1176</v>
      </c>
      <c r="J17" s="9"/>
      <c r="K17" s="9"/>
      <c r="L17" s="60">
        <v>13</v>
      </c>
      <c r="M17" s="9" t="s">
        <v>468</v>
      </c>
      <c r="N17" s="9" t="s">
        <v>468</v>
      </c>
      <c r="O17" s="60" t="s">
        <v>1186</v>
      </c>
    </row>
    <row r="18" spans="1:15" x14ac:dyDescent="0.25">
      <c r="A18" s="4"/>
      <c r="B18" s="9" t="s">
        <v>625</v>
      </c>
      <c r="C18" s="52" t="str">
        <f t="shared" si="0"/>
        <v>NAPESHM_MXEM01_14</v>
      </c>
      <c r="D18" s="9" t="s">
        <v>629</v>
      </c>
      <c r="E18" s="9"/>
      <c r="F18" s="60" t="s">
        <v>1081</v>
      </c>
      <c r="G18" s="83">
        <v>19.531967999999999</v>
      </c>
      <c r="H18" s="83">
        <v>-98.847404999999995</v>
      </c>
      <c r="I18" s="9" t="s">
        <v>1176</v>
      </c>
      <c r="J18" s="9"/>
      <c r="K18" s="9"/>
      <c r="L18" s="60">
        <v>14</v>
      </c>
      <c r="M18" s="9" t="s">
        <v>468</v>
      </c>
      <c r="N18" s="9" t="s">
        <v>468</v>
      </c>
      <c r="O18" s="60" t="s">
        <v>1186</v>
      </c>
    </row>
    <row r="19" spans="1:15" x14ac:dyDescent="0.25">
      <c r="A19" s="4"/>
      <c r="B19" s="9" t="s">
        <v>625</v>
      </c>
      <c r="C19" s="52" t="str">
        <f t="shared" si="0"/>
        <v>NAPESHM_MXEM01_15</v>
      </c>
      <c r="D19" s="9" t="s">
        <v>629</v>
      </c>
      <c r="E19" s="9"/>
      <c r="F19" s="60" t="s">
        <v>1081</v>
      </c>
      <c r="G19" s="83">
        <v>19.531967999999999</v>
      </c>
      <c r="H19" s="83">
        <v>-98.847404999999995</v>
      </c>
      <c r="I19" s="9" t="s">
        <v>1176</v>
      </c>
      <c r="J19" s="9"/>
      <c r="K19" s="9"/>
      <c r="L19" s="60">
        <v>15</v>
      </c>
      <c r="M19" s="9" t="s">
        <v>468</v>
      </c>
      <c r="N19" s="9" t="s">
        <v>468</v>
      </c>
      <c r="O19" s="60" t="s">
        <v>1186</v>
      </c>
    </row>
    <row r="20" spans="1:15" x14ac:dyDescent="0.25">
      <c r="A20" s="4"/>
      <c r="B20" s="9" t="s">
        <v>625</v>
      </c>
      <c r="C20" s="52" t="str">
        <f t="shared" si="0"/>
        <v>NAPESHM_MXEM01_16</v>
      </c>
      <c r="D20" s="9" t="s">
        <v>629</v>
      </c>
      <c r="E20" s="9"/>
      <c r="F20" s="60" t="s">
        <v>1081</v>
      </c>
      <c r="G20" s="83">
        <v>19.531967999999999</v>
      </c>
      <c r="H20" s="83">
        <v>-98.847404999999995</v>
      </c>
      <c r="I20" s="9" t="s">
        <v>1176</v>
      </c>
      <c r="J20" s="9"/>
      <c r="K20" s="9"/>
      <c r="L20" s="60">
        <v>16</v>
      </c>
      <c r="M20" s="9" t="s">
        <v>468</v>
      </c>
      <c r="N20" s="9" t="s">
        <v>468</v>
      </c>
      <c r="O20" s="60" t="s">
        <v>1186</v>
      </c>
    </row>
    <row r="21" spans="1:15" x14ac:dyDescent="0.25">
      <c r="A21" s="4"/>
      <c r="B21" s="9" t="s">
        <v>625</v>
      </c>
      <c r="C21" s="52" t="str">
        <f t="shared" si="0"/>
        <v>NAPESHM_MXEM01_17</v>
      </c>
      <c r="D21" s="9" t="s">
        <v>629</v>
      </c>
      <c r="E21" s="9"/>
      <c r="F21" s="60" t="s">
        <v>1081</v>
      </c>
      <c r="G21" s="83">
        <v>19.531967999999999</v>
      </c>
      <c r="H21" s="83">
        <v>-98.847404999999995</v>
      </c>
      <c r="I21" s="9" t="s">
        <v>1176</v>
      </c>
      <c r="J21" s="9"/>
      <c r="K21" s="9"/>
      <c r="L21" s="60">
        <v>17</v>
      </c>
      <c r="M21" s="9" t="s">
        <v>468</v>
      </c>
      <c r="N21" s="9" t="s">
        <v>468</v>
      </c>
      <c r="O21" s="60" t="s">
        <v>1186</v>
      </c>
    </row>
    <row r="22" spans="1:15" x14ac:dyDescent="0.25">
      <c r="A22" s="4"/>
      <c r="B22" s="9" t="s">
        <v>625</v>
      </c>
      <c r="C22" s="52" t="str">
        <f t="shared" si="0"/>
        <v>NAPESHM_MXEM01_18</v>
      </c>
      <c r="D22" s="9" t="s">
        <v>629</v>
      </c>
      <c r="E22" s="9"/>
      <c r="F22" s="60" t="s">
        <v>1081</v>
      </c>
      <c r="G22" s="83">
        <v>19.531967999999999</v>
      </c>
      <c r="H22" s="83">
        <v>-98.847404999999995</v>
      </c>
      <c r="I22" s="9" t="s">
        <v>1176</v>
      </c>
      <c r="J22" s="9"/>
      <c r="K22" s="9"/>
      <c r="L22" s="60">
        <v>18</v>
      </c>
      <c r="M22" s="9" t="s">
        <v>468</v>
      </c>
      <c r="N22" s="9" t="s">
        <v>468</v>
      </c>
      <c r="O22" s="60" t="s">
        <v>1186</v>
      </c>
    </row>
    <row r="23" spans="1:15" x14ac:dyDescent="0.25">
      <c r="A23" s="4"/>
      <c r="B23" s="9" t="s">
        <v>625</v>
      </c>
      <c r="C23" s="52" t="str">
        <f t="shared" si="0"/>
        <v>NAPESHM_MXEM01_19</v>
      </c>
      <c r="D23" s="9" t="s">
        <v>629</v>
      </c>
      <c r="E23" s="9"/>
      <c r="F23" s="60" t="s">
        <v>1081</v>
      </c>
      <c r="G23" s="83">
        <v>19.531967999999999</v>
      </c>
      <c r="H23" s="83">
        <v>-98.847404999999995</v>
      </c>
      <c r="I23" s="9" t="s">
        <v>1176</v>
      </c>
      <c r="J23" s="9"/>
      <c r="K23" s="9"/>
      <c r="L23" s="60">
        <v>19</v>
      </c>
      <c r="M23" s="9" t="s">
        <v>468</v>
      </c>
      <c r="N23" s="9" t="s">
        <v>468</v>
      </c>
      <c r="O23" s="60" t="s">
        <v>1186</v>
      </c>
    </row>
    <row r="24" spans="1:15" x14ac:dyDescent="0.25">
      <c r="A24" s="4"/>
      <c r="B24" s="9" t="s">
        <v>625</v>
      </c>
      <c r="C24" s="52" t="str">
        <f t="shared" si="0"/>
        <v>NAPESHM_MXEM01_20</v>
      </c>
      <c r="D24" s="9" t="s">
        <v>629</v>
      </c>
      <c r="E24" s="9"/>
      <c r="F24" s="60" t="s">
        <v>1081</v>
      </c>
      <c r="G24" s="83">
        <v>19.531967999999999</v>
      </c>
      <c r="H24" s="83">
        <v>-98.847404999999995</v>
      </c>
      <c r="I24" s="9" t="s">
        <v>1176</v>
      </c>
      <c r="J24" s="9"/>
      <c r="K24" s="9"/>
      <c r="L24" s="60">
        <v>20</v>
      </c>
      <c r="M24" s="9" t="s">
        <v>468</v>
      </c>
      <c r="N24" s="9" t="s">
        <v>468</v>
      </c>
      <c r="O24" s="60" t="s">
        <v>1186</v>
      </c>
    </row>
    <row r="25" spans="1:15" x14ac:dyDescent="0.25">
      <c r="A25" s="4"/>
      <c r="B25" s="9" t="s">
        <v>625</v>
      </c>
      <c r="C25" s="52" t="str">
        <f t="shared" si="0"/>
        <v>NAPESHM_MXEM01_21</v>
      </c>
      <c r="D25" s="9" t="s">
        <v>629</v>
      </c>
      <c r="E25" s="9"/>
      <c r="F25" s="60" t="s">
        <v>1081</v>
      </c>
      <c r="G25" s="83">
        <v>19.531967999999999</v>
      </c>
      <c r="H25" s="83">
        <v>-98.847404999999995</v>
      </c>
      <c r="I25" s="9" t="s">
        <v>1176</v>
      </c>
      <c r="J25" s="9"/>
      <c r="K25" s="9"/>
      <c r="L25" s="60">
        <v>21</v>
      </c>
      <c r="M25" s="9" t="s">
        <v>468</v>
      </c>
      <c r="N25" s="9" t="s">
        <v>468</v>
      </c>
      <c r="O25" s="60" t="s">
        <v>1186</v>
      </c>
    </row>
    <row r="26" spans="1:15" x14ac:dyDescent="0.25">
      <c r="A26" s="4"/>
      <c r="B26" s="9" t="s">
        <v>625</v>
      </c>
      <c r="C26" s="52" t="str">
        <f t="shared" si="0"/>
        <v>NAPESHM_MXEM01_22</v>
      </c>
      <c r="D26" s="9" t="s">
        <v>629</v>
      </c>
      <c r="E26" s="9"/>
      <c r="F26" s="60" t="s">
        <v>1081</v>
      </c>
      <c r="G26" s="83">
        <v>19.531967999999999</v>
      </c>
      <c r="H26" s="83">
        <v>-98.847404999999995</v>
      </c>
      <c r="I26" s="9" t="s">
        <v>1176</v>
      </c>
      <c r="J26" s="9"/>
      <c r="K26" s="9"/>
      <c r="L26" s="60">
        <v>22</v>
      </c>
      <c r="M26" s="9" t="s">
        <v>468</v>
      </c>
      <c r="N26" s="9" t="s">
        <v>468</v>
      </c>
      <c r="O26" s="60" t="s">
        <v>1186</v>
      </c>
    </row>
    <row r="27" spans="1:15" x14ac:dyDescent="0.25">
      <c r="A27" s="4"/>
      <c r="B27" s="9" t="s">
        <v>625</v>
      </c>
      <c r="C27" s="52" t="str">
        <f t="shared" si="0"/>
        <v>NAPESHM_MXEM01_23</v>
      </c>
      <c r="D27" s="9" t="s">
        <v>629</v>
      </c>
      <c r="E27" s="9"/>
      <c r="F27" s="60" t="s">
        <v>1081</v>
      </c>
      <c r="G27" s="83">
        <v>19.531967999999999</v>
      </c>
      <c r="H27" s="83">
        <v>-98.847404999999995</v>
      </c>
      <c r="I27" s="9" t="s">
        <v>1176</v>
      </c>
      <c r="J27" s="9"/>
      <c r="K27" s="9"/>
      <c r="L27" s="60">
        <v>23</v>
      </c>
      <c r="M27" s="9" t="s">
        <v>468</v>
      </c>
      <c r="N27" s="9" t="s">
        <v>468</v>
      </c>
      <c r="O27" s="60" t="s">
        <v>1186</v>
      </c>
    </row>
    <row r="28" spans="1:15" x14ac:dyDescent="0.25">
      <c r="A28" s="4"/>
      <c r="B28" s="9" t="s">
        <v>625</v>
      </c>
      <c r="C28" s="52" t="str">
        <f t="shared" si="0"/>
        <v>NAPESHM_MXEM02_24</v>
      </c>
      <c r="D28" s="9" t="s">
        <v>629</v>
      </c>
      <c r="E28" s="9"/>
      <c r="F28" s="60" t="s">
        <v>1082</v>
      </c>
      <c r="G28" s="83">
        <v>19.533723999999999</v>
      </c>
      <c r="H28" s="83">
        <v>-98.841401000000005</v>
      </c>
      <c r="I28" s="9" t="s">
        <v>1176</v>
      </c>
      <c r="J28" s="9"/>
      <c r="K28" s="9"/>
      <c r="L28" s="60">
        <v>24</v>
      </c>
      <c r="M28" s="9" t="s">
        <v>468</v>
      </c>
      <c r="N28" s="9" t="s">
        <v>468</v>
      </c>
      <c r="O28" s="60" t="s">
        <v>1187</v>
      </c>
    </row>
    <row r="29" spans="1:15" x14ac:dyDescent="0.25">
      <c r="A29" s="4"/>
      <c r="B29" s="9" t="s">
        <v>625</v>
      </c>
      <c r="C29" s="52" t="str">
        <f t="shared" si="0"/>
        <v>NAPESHM_MXEM02_25</v>
      </c>
      <c r="D29" s="9" t="s">
        <v>629</v>
      </c>
      <c r="E29" s="9"/>
      <c r="F29" s="60" t="s">
        <v>1082</v>
      </c>
      <c r="G29" s="83">
        <v>19.533723999999999</v>
      </c>
      <c r="H29" s="83">
        <v>-98.841401000000005</v>
      </c>
      <c r="I29" s="9" t="s">
        <v>1176</v>
      </c>
      <c r="J29" s="9"/>
      <c r="K29" s="9"/>
      <c r="L29" s="60">
        <v>25</v>
      </c>
      <c r="M29" s="9" t="s">
        <v>468</v>
      </c>
      <c r="N29" s="9" t="s">
        <v>468</v>
      </c>
      <c r="O29" s="60" t="s">
        <v>1187</v>
      </c>
    </row>
    <row r="30" spans="1:15" x14ac:dyDescent="0.25">
      <c r="A30" s="4"/>
      <c r="B30" s="9" t="s">
        <v>625</v>
      </c>
      <c r="C30" s="52" t="str">
        <f t="shared" si="0"/>
        <v>NAPESHM_MXEM02_26</v>
      </c>
      <c r="D30" s="9" t="s">
        <v>629</v>
      </c>
      <c r="E30" s="9"/>
      <c r="F30" s="60" t="s">
        <v>1082</v>
      </c>
      <c r="G30" s="83">
        <v>19.533723999999999</v>
      </c>
      <c r="H30" s="83">
        <v>-98.841401000000005</v>
      </c>
      <c r="I30" s="9" t="s">
        <v>1176</v>
      </c>
      <c r="J30" s="9"/>
      <c r="K30" s="9"/>
      <c r="L30" s="60">
        <v>26</v>
      </c>
      <c r="M30" s="9" t="s">
        <v>468</v>
      </c>
      <c r="N30" s="9" t="s">
        <v>468</v>
      </c>
      <c r="O30" s="60" t="s">
        <v>1187</v>
      </c>
    </row>
    <row r="31" spans="1:15" x14ac:dyDescent="0.25">
      <c r="A31" s="4"/>
      <c r="B31" s="9" t="s">
        <v>625</v>
      </c>
      <c r="C31" s="52" t="str">
        <f t="shared" si="0"/>
        <v>NAPESHM_MXEM02_27</v>
      </c>
      <c r="D31" s="9" t="s">
        <v>629</v>
      </c>
      <c r="E31" s="9"/>
      <c r="F31" s="60" t="s">
        <v>1082</v>
      </c>
      <c r="G31" s="83">
        <v>19.533723999999999</v>
      </c>
      <c r="H31" s="83">
        <v>-98.841401000000005</v>
      </c>
      <c r="I31" s="9" t="s">
        <v>1176</v>
      </c>
      <c r="J31" s="9"/>
      <c r="K31" s="9"/>
      <c r="L31" s="60">
        <v>27</v>
      </c>
      <c r="M31" s="9" t="s">
        <v>468</v>
      </c>
      <c r="N31" s="9" t="s">
        <v>468</v>
      </c>
      <c r="O31" s="60" t="s">
        <v>1187</v>
      </c>
    </row>
    <row r="32" spans="1:15" x14ac:dyDescent="0.25">
      <c r="A32" s="4"/>
      <c r="B32" s="9" t="s">
        <v>625</v>
      </c>
      <c r="C32" s="52" t="str">
        <f t="shared" si="0"/>
        <v>NAPESHM_MXEM02_28</v>
      </c>
      <c r="D32" s="9" t="s">
        <v>629</v>
      </c>
      <c r="E32" s="9"/>
      <c r="F32" s="60" t="s">
        <v>1082</v>
      </c>
      <c r="G32" s="83">
        <v>19.533723999999999</v>
      </c>
      <c r="H32" s="83">
        <v>-98.841401000000005</v>
      </c>
      <c r="I32" s="9" t="s">
        <v>1176</v>
      </c>
      <c r="J32" s="9"/>
      <c r="K32" s="9"/>
      <c r="L32" s="60">
        <v>28</v>
      </c>
      <c r="M32" s="9" t="s">
        <v>468</v>
      </c>
      <c r="N32" s="9" t="s">
        <v>468</v>
      </c>
      <c r="O32" s="60" t="s">
        <v>1187</v>
      </c>
    </row>
    <row r="33" spans="1:15" x14ac:dyDescent="0.25">
      <c r="A33" s="4"/>
      <c r="B33" s="9" t="s">
        <v>625</v>
      </c>
      <c r="C33" s="52" t="str">
        <f t="shared" si="0"/>
        <v>NAPESHM_MXEM02_29</v>
      </c>
      <c r="D33" s="9" t="s">
        <v>629</v>
      </c>
      <c r="E33" s="9"/>
      <c r="F33" s="60" t="s">
        <v>1082</v>
      </c>
      <c r="G33" s="83">
        <v>19.533723999999999</v>
      </c>
      <c r="H33" s="83">
        <v>-98.841401000000005</v>
      </c>
      <c r="I33" s="9" t="s">
        <v>1176</v>
      </c>
      <c r="J33" s="9"/>
      <c r="K33" s="9"/>
      <c r="L33" s="60">
        <v>29</v>
      </c>
      <c r="M33" s="9" t="s">
        <v>468</v>
      </c>
      <c r="N33" s="9" t="s">
        <v>468</v>
      </c>
      <c r="O33" s="60" t="s">
        <v>1187</v>
      </c>
    </row>
    <row r="34" spans="1:15" x14ac:dyDescent="0.25">
      <c r="A34" s="4"/>
      <c r="B34" s="9" t="s">
        <v>625</v>
      </c>
      <c r="C34" s="52" t="str">
        <f t="shared" si="0"/>
        <v>NAPESHM_MXEM03_30</v>
      </c>
      <c r="D34" s="9" t="s">
        <v>629</v>
      </c>
      <c r="E34" s="9"/>
      <c r="F34" s="60" t="s">
        <v>1083</v>
      </c>
      <c r="G34" s="83">
        <v>19.227122000000001</v>
      </c>
      <c r="H34" s="83">
        <v>-99.550556</v>
      </c>
      <c r="I34" s="9" t="s">
        <v>1176</v>
      </c>
      <c r="J34" s="9"/>
      <c r="K34" s="9"/>
      <c r="L34" s="60">
        <v>30</v>
      </c>
      <c r="M34" s="9" t="s">
        <v>468</v>
      </c>
      <c r="N34" s="9" t="s">
        <v>468</v>
      </c>
      <c r="O34" s="60" t="s">
        <v>1188</v>
      </c>
    </row>
    <row r="35" spans="1:15" x14ac:dyDescent="0.25">
      <c r="A35" s="4"/>
      <c r="B35" s="9" t="s">
        <v>625</v>
      </c>
      <c r="C35" s="52" t="str">
        <f t="shared" si="0"/>
        <v>NAPESHM_MXEM03_31</v>
      </c>
      <c r="D35" s="9" t="s">
        <v>629</v>
      </c>
      <c r="E35" s="9"/>
      <c r="F35" s="60" t="s">
        <v>1083</v>
      </c>
      <c r="G35" s="83">
        <v>19.227122000000001</v>
      </c>
      <c r="H35" s="83">
        <v>-99.550556</v>
      </c>
      <c r="I35" s="9" t="s">
        <v>1176</v>
      </c>
      <c r="J35" s="9"/>
      <c r="K35" s="9"/>
      <c r="L35" s="60">
        <v>31</v>
      </c>
      <c r="M35" s="9" t="s">
        <v>468</v>
      </c>
      <c r="N35" s="9" t="s">
        <v>468</v>
      </c>
      <c r="O35" s="60" t="s">
        <v>1188</v>
      </c>
    </row>
    <row r="36" spans="1:15" x14ac:dyDescent="0.25">
      <c r="A36" s="4"/>
      <c r="B36" s="9" t="s">
        <v>625</v>
      </c>
      <c r="C36" s="52" t="str">
        <f t="shared" si="0"/>
        <v>NAPESHM_MXEM03_32</v>
      </c>
      <c r="D36" s="9" t="s">
        <v>629</v>
      </c>
      <c r="E36" s="9"/>
      <c r="F36" s="60" t="s">
        <v>1083</v>
      </c>
      <c r="G36" s="83">
        <v>19.227122000000001</v>
      </c>
      <c r="H36" s="83">
        <v>-99.550556</v>
      </c>
      <c r="I36" s="9" t="s">
        <v>1176</v>
      </c>
      <c r="J36" s="9"/>
      <c r="K36" s="9"/>
      <c r="L36" s="60">
        <v>32</v>
      </c>
      <c r="M36" s="9" t="s">
        <v>468</v>
      </c>
      <c r="N36" s="9" t="s">
        <v>468</v>
      </c>
      <c r="O36" s="60" t="s">
        <v>1188</v>
      </c>
    </row>
    <row r="37" spans="1:15" x14ac:dyDescent="0.25">
      <c r="A37" s="4"/>
      <c r="B37" s="9" t="s">
        <v>625</v>
      </c>
      <c r="C37" s="52" t="str">
        <f t="shared" si="0"/>
        <v>NAPESHM_MXEM03_33</v>
      </c>
      <c r="D37" s="9" t="s">
        <v>629</v>
      </c>
      <c r="E37" s="9"/>
      <c r="F37" s="60" t="s">
        <v>1083</v>
      </c>
      <c r="G37" s="83">
        <v>19.227122000000001</v>
      </c>
      <c r="H37" s="83">
        <v>-99.550556</v>
      </c>
      <c r="I37" s="9" t="s">
        <v>1176</v>
      </c>
      <c r="J37" s="9"/>
      <c r="K37" s="9"/>
      <c r="L37" s="60">
        <v>33</v>
      </c>
      <c r="M37" s="9" t="s">
        <v>468</v>
      </c>
      <c r="N37" s="9" t="s">
        <v>468</v>
      </c>
      <c r="O37" s="60" t="s">
        <v>1188</v>
      </c>
    </row>
    <row r="38" spans="1:15" x14ac:dyDescent="0.25">
      <c r="A38" s="4"/>
      <c r="B38" s="9" t="s">
        <v>625</v>
      </c>
      <c r="C38" s="52" t="str">
        <f t="shared" si="0"/>
        <v>NAPESHM_MXEM03_34</v>
      </c>
      <c r="D38" s="9" t="s">
        <v>629</v>
      </c>
      <c r="E38" s="9"/>
      <c r="F38" s="60" t="s">
        <v>1083</v>
      </c>
      <c r="G38" s="83">
        <v>19.227122000000001</v>
      </c>
      <c r="H38" s="83">
        <v>-99.550556</v>
      </c>
      <c r="I38" s="9" t="s">
        <v>1176</v>
      </c>
      <c r="J38" s="9"/>
      <c r="K38" s="9"/>
      <c r="L38" s="60">
        <v>34</v>
      </c>
      <c r="M38" s="9" t="s">
        <v>468</v>
      </c>
      <c r="N38" s="9" t="s">
        <v>468</v>
      </c>
      <c r="O38" s="60" t="s">
        <v>1188</v>
      </c>
    </row>
    <row r="39" spans="1:15" x14ac:dyDescent="0.25">
      <c r="A39" s="4"/>
      <c r="B39" s="9" t="s">
        <v>625</v>
      </c>
      <c r="C39" s="52" t="str">
        <f t="shared" si="0"/>
        <v>NAPESHM_MXGT01_35</v>
      </c>
      <c r="D39" s="9" t="s">
        <v>629</v>
      </c>
      <c r="E39" s="9"/>
      <c r="F39" s="60" t="s">
        <v>1084</v>
      </c>
      <c r="G39" s="83">
        <v>20.645143999999998</v>
      </c>
      <c r="H39" s="83">
        <v>-101.29722</v>
      </c>
      <c r="I39" s="9" t="s">
        <v>1177</v>
      </c>
      <c r="J39" s="9"/>
      <c r="K39" s="9"/>
      <c r="L39" s="60">
        <v>35</v>
      </c>
      <c r="M39" s="9" t="s">
        <v>468</v>
      </c>
      <c r="N39" s="9" t="s">
        <v>468</v>
      </c>
      <c r="O39" s="60" t="s">
        <v>1189</v>
      </c>
    </row>
    <row r="40" spans="1:15" x14ac:dyDescent="0.25">
      <c r="A40" s="4"/>
      <c r="B40" s="9" t="s">
        <v>625</v>
      </c>
      <c r="C40" s="52" t="str">
        <f t="shared" si="0"/>
        <v>NAPESHM_MXGT01_36</v>
      </c>
      <c r="D40" s="9" t="s">
        <v>629</v>
      </c>
      <c r="E40" s="9"/>
      <c r="F40" s="60" t="s">
        <v>1084</v>
      </c>
      <c r="G40" s="83">
        <v>20.645143999999998</v>
      </c>
      <c r="H40" s="83">
        <v>-101.29722</v>
      </c>
      <c r="I40" s="9" t="s">
        <v>1177</v>
      </c>
      <c r="J40" s="9"/>
      <c r="K40" s="9"/>
      <c r="L40" s="60">
        <v>36</v>
      </c>
      <c r="M40" s="9" t="s">
        <v>468</v>
      </c>
      <c r="N40" s="9" t="s">
        <v>468</v>
      </c>
      <c r="O40" s="60" t="s">
        <v>1189</v>
      </c>
    </row>
    <row r="41" spans="1:15" x14ac:dyDescent="0.25">
      <c r="A41" s="4"/>
      <c r="B41" s="9" t="s">
        <v>625</v>
      </c>
      <c r="C41" s="52" t="str">
        <f t="shared" si="0"/>
        <v>NAPESHM_MXGT01_37</v>
      </c>
      <c r="D41" s="9" t="s">
        <v>629</v>
      </c>
      <c r="E41" s="9"/>
      <c r="F41" s="60" t="s">
        <v>1084</v>
      </c>
      <c r="G41" s="83">
        <v>20.645143999999998</v>
      </c>
      <c r="H41" s="83">
        <v>-101.29722</v>
      </c>
      <c r="I41" s="9" t="s">
        <v>1177</v>
      </c>
      <c r="J41" s="9"/>
      <c r="K41" s="9"/>
      <c r="L41" s="60">
        <v>37</v>
      </c>
      <c r="M41" s="9" t="s">
        <v>468</v>
      </c>
      <c r="N41" s="9" t="s">
        <v>468</v>
      </c>
      <c r="O41" s="60" t="s">
        <v>1189</v>
      </c>
    </row>
    <row r="42" spans="1:15" x14ac:dyDescent="0.25">
      <c r="A42" s="4"/>
      <c r="B42" s="9" t="s">
        <v>625</v>
      </c>
      <c r="C42" s="52" t="str">
        <f t="shared" si="0"/>
        <v>NAPESHM_MXGT01_38</v>
      </c>
      <c r="D42" s="9" t="s">
        <v>629</v>
      </c>
      <c r="E42" s="9"/>
      <c r="F42" s="60" t="s">
        <v>1084</v>
      </c>
      <c r="G42" s="83">
        <v>20.645143999999998</v>
      </c>
      <c r="H42" s="83">
        <v>-101.29722</v>
      </c>
      <c r="I42" s="9" t="s">
        <v>1177</v>
      </c>
      <c r="J42" s="9"/>
      <c r="K42" s="9"/>
      <c r="L42" s="60">
        <v>38</v>
      </c>
      <c r="M42" s="9" t="s">
        <v>468</v>
      </c>
      <c r="N42" s="9" t="s">
        <v>468</v>
      </c>
      <c r="O42" s="60" t="s">
        <v>1189</v>
      </c>
    </row>
    <row r="43" spans="1:15" x14ac:dyDescent="0.25">
      <c r="A43" s="4"/>
      <c r="B43" s="9" t="s">
        <v>625</v>
      </c>
      <c r="C43" s="52" t="str">
        <f t="shared" si="0"/>
        <v>NAPESHM_MXGT01_39</v>
      </c>
      <c r="D43" s="9" t="s">
        <v>629</v>
      </c>
      <c r="E43" s="9"/>
      <c r="F43" s="60" t="s">
        <v>1084</v>
      </c>
      <c r="G43" s="83">
        <v>20.645143999999998</v>
      </c>
      <c r="H43" s="83">
        <v>-101.29722</v>
      </c>
      <c r="I43" s="9" t="s">
        <v>1177</v>
      </c>
      <c r="J43" s="9"/>
      <c r="K43" s="9"/>
      <c r="L43" s="60">
        <v>39</v>
      </c>
      <c r="M43" s="9" t="s">
        <v>468</v>
      </c>
      <c r="N43" s="9" t="s">
        <v>468</v>
      </c>
      <c r="O43" s="60" t="s">
        <v>1189</v>
      </c>
    </row>
    <row r="44" spans="1:15" x14ac:dyDescent="0.25">
      <c r="A44" s="4"/>
      <c r="B44" s="9" t="s">
        <v>625</v>
      </c>
      <c r="C44" s="52" t="str">
        <f t="shared" si="0"/>
        <v>NAPESHM_MXGT01_40</v>
      </c>
      <c r="D44" s="9" t="s">
        <v>629</v>
      </c>
      <c r="E44" s="9"/>
      <c r="F44" s="60" t="s">
        <v>1084</v>
      </c>
      <c r="G44" s="83">
        <v>20.645143999999998</v>
      </c>
      <c r="H44" s="83">
        <v>-101.29722</v>
      </c>
      <c r="I44" s="9" t="s">
        <v>1177</v>
      </c>
      <c r="J44" s="9"/>
      <c r="K44" s="9"/>
      <c r="L44" s="60">
        <v>40</v>
      </c>
      <c r="M44" s="9" t="s">
        <v>468</v>
      </c>
      <c r="N44" s="9" t="s">
        <v>468</v>
      </c>
      <c r="O44" s="60" t="s">
        <v>1189</v>
      </c>
    </row>
    <row r="45" spans="1:15" x14ac:dyDescent="0.25">
      <c r="A45" s="4"/>
      <c r="B45" s="9" t="s">
        <v>625</v>
      </c>
      <c r="C45" s="52" t="str">
        <f t="shared" si="0"/>
        <v>NAPESHM_MXGT01_41</v>
      </c>
      <c r="D45" s="9" t="s">
        <v>629</v>
      </c>
      <c r="E45" s="9"/>
      <c r="F45" s="60" t="s">
        <v>1084</v>
      </c>
      <c r="G45" s="83">
        <v>20.645143999999998</v>
      </c>
      <c r="H45" s="83">
        <v>-101.29722</v>
      </c>
      <c r="I45" s="9" t="s">
        <v>1177</v>
      </c>
      <c r="J45" s="9"/>
      <c r="K45" s="9"/>
      <c r="L45" s="60">
        <v>41</v>
      </c>
      <c r="M45" s="9" t="s">
        <v>468</v>
      </c>
      <c r="N45" s="9" t="s">
        <v>468</v>
      </c>
      <c r="O45" s="60" t="s">
        <v>1189</v>
      </c>
    </row>
    <row r="46" spans="1:15" x14ac:dyDescent="0.25">
      <c r="A46" s="4"/>
      <c r="B46" s="9" t="s">
        <v>625</v>
      </c>
      <c r="C46" s="52" t="str">
        <f t="shared" si="0"/>
        <v>NAPESHM_MXGT01_42</v>
      </c>
      <c r="D46" s="9" t="s">
        <v>629</v>
      </c>
      <c r="E46" s="9"/>
      <c r="F46" s="60" t="s">
        <v>1084</v>
      </c>
      <c r="G46" s="83">
        <v>20.645143999999998</v>
      </c>
      <c r="H46" s="83">
        <v>-101.29722</v>
      </c>
      <c r="I46" s="9" t="s">
        <v>1177</v>
      </c>
      <c r="J46" s="9"/>
      <c r="K46" s="9"/>
      <c r="L46" s="60">
        <v>42</v>
      </c>
      <c r="M46" s="9" t="s">
        <v>468</v>
      </c>
      <c r="N46" s="9" t="s">
        <v>468</v>
      </c>
      <c r="O46" s="60" t="s">
        <v>1189</v>
      </c>
    </row>
    <row r="47" spans="1:15" x14ac:dyDescent="0.25">
      <c r="A47" s="4"/>
      <c r="B47" s="9" t="s">
        <v>625</v>
      </c>
      <c r="C47" s="52" t="str">
        <f t="shared" si="0"/>
        <v>NAPESHM_MXGT01_43</v>
      </c>
      <c r="D47" s="9" t="s">
        <v>629</v>
      </c>
      <c r="E47" s="9"/>
      <c r="F47" s="60" t="s">
        <v>1084</v>
      </c>
      <c r="G47" s="83">
        <v>20.645143999999998</v>
      </c>
      <c r="H47" s="83">
        <v>-101.29722</v>
      </c>
      <c r="I47" s="9" t="s">
        <v>1177</v>
      </c>
      <c r="J47" s="9"/>
      <c r="K47" s="9"/>
      <c r="L47" s="60">
        <v>43</v>
      </c>
      <c r="M47" s="9" t="s">
        <v>468</v>
      </c>
      <c r="N47" s="9" t="s">
        <v>468</v>
      </c>
      <c r="O47" s="60" t="s">
        <v>1189</v>
      </c>
    </row>
    <row r="48" spans="1:15" x14ac:dyDescent="0.25">
      <c r="A48" s="4"/>
      <c r="B48" s="9" t="s">
        <v>625</v>
      </c>
      <c r="C48" s="52" t="str">
        <f t="shared" si="0"/>
        <v>NAPESHM_MXHG01_44</v>
      </c>
      <c r="D48" s="9" t="s">
        <v>629</v>
      </c>
      <c r="E48" s="9"/>
      <c r="F48" s="60" t="s">
        <v>1085</v>
      </c>
      <c r="G48" s="83">
        <v>20.229693999999999</v>
      </c>
      <c r="H48" s="83">
        <v>-99.089230999999998</v>
      </c>
      <c r="I48" s="9" t="s">
        <v>1178</v>
      </c>
      <c r="J48" s="9"/>
      <c r="K48" s="9"/>
      <c r="L48" s="60">
        <v>44</v>
      </c>
      <c r="M48" s="9" t="s">
        <v>468</v>
      </c>
      <c r="N48" s="9" t="s">
        <v>468</v>
      </c>
      <c r="O48" s="60" t="s">
        <v>1190</v>
      </c>
    </row>
    <row r="49" spans="1:15" x14ac:dyDescent="0.25">
      <c r="A49" s="4"/>
      <c r="B49" s="9" t="s">
        <v>625</v>
      </c>
      <c r="C49" s="52" t="str">
        <f t="shared" si="0"/>
        <v>NAPESHM_MXHG01_45</v>
      </c>
      <c r="D49" s="9" t="s">
        <v>629</v>
      </c>
      <c r="E49" s="9"/>
      <c r="F49" s="60" t="s">
        <v>1085</v>
      </c>
      <c r="G49" s="83">
        <v>20.229693999999999</v>
      </c>
      <c r="H49" s="83">
        <v>-99.089230999999998</v>
      </c>
      <c r="I49" s="9" t="s">
        <v>1178</v>
      </c>
      <c r="J49" s="9"/>
      <c r="K49" s="9"/>
      <c r="L49" s="60">
        <v>45</v>
      </c>
      <c r="M49" s="9" t="s">
        <v>468</v>
      </c>
      <c r="N49" s="9" t="s">
        <v>468</v>
      </c>
      <c r="O49" s="60" t="s">
        <v>1190</v>
      </c>
    </row>
    <row r="50" spans="1:15" x14ac:dyDescent="0.25">
      <c r="A50" s="4"/>
      <c r="B50" s="9" t="s">
        <v>625</v>
      </c>
      <c r="C50" s="52" t="str">
        <f t="shared" si="0"/>
        <v>NAPESHM_MXHG01_46</v>
      </c>
      <c r="D50" s="9" t="s">
        <v>629</v>
      </c>
      <c r="E50" s="9"/>
      <c r="F50" s="60" t="s">
        <v>1085</v>
      </c>
      <c r="G50" s="83">
        <v>20.229693999999999</v>
      </c>
      <c r="H50" s="83">
        <v>-99.089230999999998</v>
      </c>
      <c r="I50" s="9" t="s">
        <v>1178</v>
      </c>
      <c r="J50" s="9"/>
      <c r="K50" s="9"/>
      <c r="L50" s="60">
        <v>46</v>
      </c>
      <c r="M50" s="9" t="s">
        <v>468</v>
      </c>
      <c r="N50" s="9" t="s">
        <v>468</v>
      </c>
      <c r="O50" s="60" t="s">
        <v>1190</v>
      </c>
    </row>
    <row r="51" spans="1:15" x14ac:dyDescent="0.25">
      <c r="A51" s="4"/>
      <c r="B51" s="9" t="s">
        <v>625</v>
      </c>
      <c r="C51" s="52" t="str">
        <f t="shared" si="0"/>
        <v>NAPESHM_MXHG01_47</v>
      </c>
      <c r="D51" s="9" t="s">
        <v>629</v>
      </c>
      <c r="E51" s="9"/>
      <c r="F51" s="60" t="s">
        <v>1085</v>
      </c>
      <c r="G51" s="83">
        <v>20.229693999999999</v>
      </c>
      <c r="H51" s="83">
        <v>-99.089230999999998</v>
      </c>
      <c r="I51" s="9" t="s">
        <v>1178</v>
      </c>
      <c r="J51" s="9"/>
      <c r="K51" s="9"/>
      <c r="L51" s="60">
        <v>47</v>
      </c>
      <c r="M51" s="9" t="s">
        <v>468</v>
      </c>
      <c r="N51" s="9" t="s">
        <v>468</v>
      </c>
      <c r="O51" s="60" t="s">
        <v>1190</v>
      </c>
    </row>
    <row r="52" spans="1:15" x14ac:dyDescent="0.25">
      <c r="A52" s="4"/>
      <c r="B52" s="9" t="s">
        <v>625</v>
      </c>
      <c r="C52" s="52" t="str">
        <f t="shared" si="0"/>
        <v>NAPESHM_MXHG01_48</v>
      </c>
      <c r="D52" s="9" t="s">
        <v>629</v>
      </c>
      <c r="E52" s="9"/>
      <c r="F52" s="60" t="s">
        <v>1085</v>
      </c>
      <c r="G52" s="83">
        <v>20.229693999999999</v>
      </c>
      <c r="H52" s="83">
        <v>-99.089230999999998</v>
      </c>
      <c r="I52" s="9" t="s">
        <v>1178</v>
      </c>
      <c r="J52" s="9"/>
      <c r="K52" s="9"/>
      <c r="L52" s="60">
        <v>48</v>
      </c>
      <c r="M52" s="9" t="s">
        <v>468</v>
      </c>
      <c r="N52" s="9" t="s">
        <v>468</v>
      </c>
      <c r="O52" s="60" t="s">
        <v>1190</v>
      </c>
    </row>
    <row r="53" spans="1:15" x14ac:dyDescent="0.25">
      <c r="A53" s="4"/>
      <c r="B53" s="9" t="s">
        <v>625</v>
      </c>
      <c r="C53" s="52" t="str">
        <f t="shared" si="0"/>
        <v>NAPESHM_MXHG01_49</v>
      </c>
      <c r="D53" s="9" t="s">
        <v>629</v>
      </c>
      <c r="E53" s="9"/>
      <c r="F53" s="60" t="s">
        <v>1085</v>
      </c>
      <c r="G53" s="83">
        <v>20.229693999999999</v>
      </c>
      <c r="H53" s="83">
        <v>-99.089230999999998</v>
      </c>
      <c r="I53" s="9" t="s">
        <v>1178</v>
      </c>
      <c r="J53" s="9"/>
      <c r="K53" s="9"/>
      <c r="L53" s="60">
        <v>49</v>
      </c>
      <c r="M53" s="9" t="s">
        <v>468</v>
      </c>
      <c r="N53" s="9" t="s">
        <v>468</v>
      </c>
      <c r="O53" s="60" t="s">
        <v>1190</v>
      </c>
    </row>
    <row r="54" spans="1:15" x14ac:dyDescent="0.25">
      <c r="A54" s="4"/>
      <c r="B54" s="9" t="s">
        <v>625</v>
      </c>
      <c r="C54" s="52" t="str">
        <f t="shared" si="0"/>
        <v>NAPESHM_MXMO01_50</v>
      </c>
      <c r="D54" s="9" t="s">
        <v>629</v>
      </c>
      <c r="E54" s="9"/>
      <c r="F54" s="60" t="s">
        <v>1086</v>
      </c>
      <c r="G54" s="83">
        <v>18.68</v>
      </c>
      <c r="H54" s="83">
        <v>-99.129722000000001</v>
      </c>
      <c r="I54" s="9" t="s">
        <v>1179</v>
      </c>
      <c r="J54" s="9"/>
      <c r="K54" s="9"/>
      <c r="L54" s="60">
        <v>50</v>
      </c>
      <c r="M54" s="9" t="s">
        <v>468</v>
      </c>
      <c r="N54" s="9" t="s">
        <v>468</v>
      </c>
      <c r="O54" s="60" t="s">
        <v>1191</v>
      </c>
    </row>
    <row r="55" spans="1:15" x14ac:dyDescent="0.25">
      <c r="A55" s="4"/>
      <c r="B55" s="9" t="s">
        <v>625</v>
      </c>
      <c r="C55" s="52" t="str">
        <f t="shared" si="0"/>
        <v>NAPESHM_MXMO01_51</v>
      </c>
      <c r="D55" s="9" t="s">
        <v>629</v>
      </c>
      <c r="E55" s="9"/>
      <c r="F55" s="60" t="s">
        <v>1086</v>
      </c>
      <c r="G55" s="83">
        <v>18.68</v>
      </c>
      <c r="H55" s="83">
        <v>-99.129722000000001</v>
      </c>
      <c r="I55" s="9" t="s">
        <v>1179</v>
      </c>
      <c r="J55" s="9"/>
      <c r="K55" s="9"/>
      <c r="L55" s="60">
        <v>51</v>
      </c>
      <c r="M55" s="9" t="s">
        <v>468</v>
      </c>
      <c r="N55" s="9" t="s">
        <v>468</v>
      </c>
      <c r="O55" s="60" t="s">
        <v>1191</v>
      </c>
    </row>
    <row r="56" spans="1:15" x14ac:dyDescent="0.25">
      <c r="A56" s="4"/>
      <c r="B56" s="9" t="s">
        <v>625</v>
      </c>
      <c r="C56" s="52" t="str">
        <f t="shared" si="0"/>
        <v>NAPESHM_MXMO01_52</v>
      </c>
      <c r="D56" s="9" t="s">
        <v>629</v>
      </c>
      <c r="E56" s="9"/>
      <c r="F56" s="60" t="s">
        <v>1086</v>
      </c>
      <c r="G56" s="83">
        <v>18.68</v>
      </c>
      <c r="H56" s="83">
        <v>-99.129722000000001</v>
      </c>
      <c r="I56" s="9" t="s">
        <v>1179</v>
      </c>
      <c r="J56" s="9"/>
      <c r="K56" s="9"/>
      <c r="L56" s="60">
        <v>52</v>
      </c>
      <c r="M56" s="9" t="s">
        <v>468</v>
      </c>
      <c r="N56" s="9" t="s">
        <v>468</v>
      </c>
      <c r="O56" s="60" t="s">
        <v>1191</v>
      </c>
    </row>
    <row r="57" spans="1:15" x14ac:dyDescent="0.25">
      <c r="A57" s="4"/>
      <c r="B57" s="9" t="s">
        <v>625</v>
      </c>
      <c r="C57" s="52" t="str">
        <f t="shared" si="0"/>
        <v>NAPESHM_MXMO01_53</v>
      </c>
      <c r="D57" s="9" t="s">
        <v>629</v>
      </c>
      <c r="E57" s="9"/>
      <c r="F57" s="60" t="s">
        <v>1086</v>
      </c>
      <c r="G57" s="83">
        <v>18.68</v>
      </c>
      <c r="H57" s="83">
        <v>-99.129722000000001</v>
      </c>
      <c r="I57" s="9" t="s">
        <v>1179</v>
      </c>
      <c r="J57" s="9"/>
      <c r="K57" s="9"/>
      <c r="L57" s="60">
        <v>53</v>
      </c>
      <c r="M57" s="9" t="s">
        <v>468</v>
      </c>
      <c r="N57" s="9" t="s">
        <v>468</v>
      </c>
      <c r="O57" s="60" t="s">
        <v>1191</v>
      </c>
    </row>
    <row r="58" spans="1:15" x14ac:dyDescent="0.25">
      <c r="A58" s="4"/>
      <c r="B58" s="9" t="s">
        <v>625</v>
      </c>
      <c r="C58" s="52" t="str">
        <f t="shared" si="0"/>
        <v>NAPESHM_MXMO01_54</v>
      </c>
      <c r="D58" s="9" t="s">
        <v>629</v>
      </c>
      <c r="E58" s="9"/>
      <c r="F58" s="60" t="s">
        <v>1086</v>
      </c>
      <c r="G58" s="83">
        <v>18.68</v>
      </c>
      <c r="H58" s="83">
        <v>-99.129722000000001</v>
      </c>
      <c r="I58" s="9" t="s">
        <v>1179</v>
      </c>
      <c r="J58" s="9"/>
      <c r="K58" s="9"/>
      <c r="L58" s="60">
        <v>54</v>
      </c>
      <c r="M58" s="9" t="s">
        <v>468</v>
      </c>
      <c r="N58" s="9" t="s">
        <v>468</v>
      </c>
      <c r="O58" s="60" t="s">
        <v>1191</v>
      </c>
    </row>
    <row r="59" spans="1:15" x14ac:dyDescent="0.25">
      <c r="A59" s="4"/>
      <c r="B59" s="9" t="s">
        <v>625</v>
      </c>
      <c r="C59" s="52" t="str">
        <f t="shared" si="0"/>
        <v>NAPESHM_MXMO02_55</v>
      </c>
      <c r="D59" s="9" t="s">
        <v>629</v>
      </c>
      <c r="E59" s="9"/>
      <c r="F59" s="60" t="s">
        <v>1087</v>
      </c>
      <c r="G59" s="83">
        <v>18.650258000000001</v>
      </c>
      <c r="H59" s="83">
        <v>-99.198694000000003</v>
      </c>
      <c r="I59" s="9" t="s">
        <v>1179</v>
      </c>
      <c r="J59" s="9"/>
      <c r="K59" s="9"/>
      <c r="L59" s="60">
        <v>55</v>
      </c>
      <c r="M59" s="9" t="s">
        <v>468</v>
      </c>
      <c r="N59" s="9" t="s">
        <v>468</v>
      </c>
      <c r="O59" s="60" t="s">
        <v>1192</v>
      </c>
    </row>
    <row r="60" spans="1:15" x14ac:dyDescent="0.25">
      <c r="A60" s="4"/>
      <c r="B60" s="9" t="s">
        <v>625</v>
      </c>
      <c r="C60" s="52" t="str">
        <f t="shared" si="0"/>
        <v>NAPESHM_MXMO02_56</v>
      </c>
      <c r="D60" s="9" t="s">
        <v>629</v>
      </c>
      <c r="E60" s="9"/>
      <c r="F60" s="60" t="s">
        <v>1087</v>
      </c>
      <c r="G60" s="83">
        <v>18.650258000000001</v>
      </c>
      <c r="H60" s="83">
        <v>-99.198694000000003</v>
      </c>
      <c r="I60" s="9" t="s">
        <v>1179</v>
      </c>
      <c r="J60" s="9"/>
      <c r="K60" s="9"/>
      <c r="L60" s="60">
        <v>56</v>
      </c>
      <c r="M60" s="9" t="s">
        <v>468</v>
      </c>
      <c r="N60" s="9" t="s">
        <v>468</v>
      </c>
      <c r="O60" s="60" t="s">
        <v>1192</v>
      </c>
    </row>
    <row r="61" spans="1:15" x14ac:dyDescent="0.25">
      <c r="A61" s="4"/>
      <c r="B61" s="9" t="s">
        <v>625</v>
      </c>
      <c r="C61" s="52" t="str">
        <f t="shared" si="0"/>
        <v>NAPESHM_MXMO02_57</v>
      </c>
      <c r="D61" s="9" t="s">
        <v>629</v>
      </c>
      <c r="E61" s="9"/>
      <c r="F61" s="60" t="s">
        <v>1087</v>
      </c>
      <c r="G61" s="83">
        <v>18.650258000000001</v>
      </c>
      <c r="H61" s="83">
        <v>-99.198694000000003</v>
      </c>
      <c r="I61" s="9" t="s">
        <v>1179</v>
      </c>
      <c r="J61" s="9"/>
      <c r="K61" s="9"/>
      <c r="L61" s="60">
        <v>57</v>
      </c>
      <c r="M61" s="9" t="s">
        <v>468</v>
      </c>
      <c r="N61" s="9" t="s">
        <v>468</v>
      </c>
      <c r="O61" s="60" t="s">
        <v>1192</v>
      </c>
    </row>
    <row r="62" spans="1:15" x14ac:dyDescent="0.25">
      <c r="A62" s="4"/>
      <c r="B62" s="9" t="s">
        <v>625</v>
      </c>
      <c r="C62" s="52" t="str">
        <f t="shared" si="0"/>
        <v>NAPESHM_MXMO02_58</v>
      </c>
      <c r="D62" s="9" t="s">
        <v>629</v>
      </c>
      <c r="E62" s="9"/>
      <c r="F62" s="60" t="s">
        <v>1087</v>
      </c>
      <c r="G62" s="83">
        <v>18.650258000000001</v>
      </c>
      <c r="H62" s="83">
        <v>-99.198694000000003</v>
      </c>
      <c r="I62" s="9" t="s">
        <v>1179</v>
      </c>
      <c r="J62" s="9"/>
      <c r="K62" s="9"/>
      <c r="L62" s="60">
        <v>58</v>
      </c>
      <c r="M62" s="9" t="s">
        <v>468</v>
      </c>
      <c r="N62" s="9" t="s">
        <v>468</v>
      </c>
      <c r="O62" s="60" t="s">
        <v>1192</v>
      </c>
    </row>
    <row r="63" spans="1:15" x14ac:dyDescent="0.25">
      <c r="A63" s="4"/>
      <c r="B63" s="9" t="s">
        <v>625</v>
      </c>
      <c r="C63" s="52" t="str">
        <f t="shared" si="0"/>
        <v>NAPESHM_MXMO02_59</v>
      </c>
      <c r="D63" s="9" t="s">
        <v>629</v>
      </c>
      <c r="E63" s="9"/>
      <c r="F63" s="60" t="s">
        <v>1087</v>
      </c>
      <c r="G63" s="83">
        <v>18.650258000000001</v>
      </c>
      <c r="H63" s="83">
        <v>-99.198694000000003</v>
      </c>
      <c r="I63" s="9" t="s">
        <v>1179</v>
      </c>
      <c r="J63" s="9"/>
      <c r="K63" s="9"/>
      <c r="L63" s="60">
        <v>59</v>
      </c>
      <c r="M63" s="9" t="s">
        <v>468</v>
      </c>
      <c r="N63" s="9" t="s">
        <v>468</v>
      </c>
      <c r="O63" s="60" t="s">
        <v>1192</v>
      </c>
    </row>
    <row r="64" spans="1:15" x14ac:dyDescent="0.25">
      <c r="A64" s="4"/>
      <c r="B64" s="9" t="s">
        <v>625</v>
      </c>
      <c r="C64" s="52" t="str">
        <f t="shared" si="0"/>
        <v>NAPESHM_MXMO02_60</v>
      </c>
      <c r="D64" s="9" t="s">
        <v>629</v>
      </c>
      <c r="E64" s="9"/>
      <c r="F64" s="60" t="s">
        <v>1087</v>
      </c>
      <c r="G64" s="83">
        <v>18.650258000000001</v>
      </c>
      <c r="H64" s="83">
        <v>-99.198694000000003</v>
      </c>
      <c r="I64" s="9" t="s">
        <v>1179</v>
      </c>
      <c r="J64" s="9"/>
      <c r="K64" s="9"/>
      <c r="L64" s="60">
        <v>60</v>
      </c>
      <c r="M64" s="9" t="s">
        <v>468</v>
      </c>
      <c r="N64" s="9" t="s">
        <v>468</v>
      </c>
      <c r="O64" s="60" t="s">
        <v>1192</v>
      </c>
    </row>
    <row r="65" spans="1:15" x14ac:dyDescent="0.25">
      <c r="A65" s="4"/>
      <c r="B65" s="9" t="s">
        <v>625</v>
      </c>
      <c r="C65" s="52" t="str">
        <f t="shared" si="0"/>
        <v>NAPESHM_MXMO02_61</v>
      </c>
      <c r="D65" s="9" t="s">
        <v>629</v>
      </c>
      <c r="E65" s="9"/>
      <c r="F65" s="60" t="s">
        <v>1087</v>
      </c>
      <c r="G65" s="83">
        <v>18.650258000000001</v>
      </c>
      <c r="H65" s="83">
        <v>-99.198694000000003</v>
      </c>
      <c r="I65" s="9" t="s">
        <v>1179</v>
      </c>
      <c r="J65" s="9"/>
      <c r="K65" s="9"/>
      <c r="L65" s="60">
        <v>61</v>
      </c>
      <c r="M65" s="9" t="s">
        <v>468</v>
      </c>
      <c r="N65" s="9" t="s">
        <v>468</v>
      </c>
      <c r="O65" s="60" t="s">
        <v>1192</v>
      </c>
    </row>
    <row r="66" spans="1:15" x14ac:dyDescent="0.25">
      <c r="A66" s="4"/>
      <c r="B66" s="9" t="s">
        <v>625</v>
      </c>
      <c r="C66" s="52" t="str">
        <f t="shared" si="0"/>
        <v>NAPESHM_MXMO02_62</v>
      </c>
      <c r="D66" s="9" t="s">
        <v>629</v>
      </c>
      <c r="E66" s="9"/>
      <c r="F66" s="60" t="s">
        <v>1087</v>
      </c>
      <c r="G66" s="83">
        <v>18.650258000000001</v>
      </c>
      <c r="H66" s="83">
        <v>-99.198694000000003</v>
      </c>
      <c r="I66" s="9" t="s">
        <v>1179</v>
      </c>
      <c r="J66" s="9"/>
      <c r="K66" s="9"/>
      <c r="L66" s="60">
        <v>62</v>
      </c>
      <c r="M66" s="9" t="s">
        <v>468</v>
      </c>
      <c r="N66" s="9" t="s">
        <v>468</v>
      </c>
      <c r="O66" s="60" t="s">
        <v>1192</v>
      </c>
    </row>
    <row r="67" spans="1:15" x14ac:dyDescent="0.25">
      <c r="A67" s="4"/>
      <c r="B67" s="9" t="s">
        <v>625</v>
      </c>
      <c r="C67" s="52" t="str">
        <f t="shared" si="0"/>
        <v>NAPESHM_MXMO02_63</v>
      </c>
      <c r="D67" s="9" t="s">
        <v>629</v>
      </c>
      <c r="E67" s="9"/>
      <c r="F67" s="60" t="s">
        <v>1087</v>
      </c>
      <c r="G67" s="83">
        <v>18.650258000000001</v>
      </c>
      <c r="H67" s="83">
        <v>-99.198694000000003</v>
      </c>
      <c r="I67" s="9" t="s">
        <v>1179</v>
      </c>
      <c r="J67" s="9"/>
      <c r="K67" s="9"/>
      <c r="L67" s="60">
        <v>63</v>
      </c>
      <c r="M67" s="9" t="s">
        <v>468</v>
      </c>
      <c r="N67" s="9" t="s">
        <v>468</v>
      </c>
      <c r="O67" s="60" t="s">
        <v>1192</v>
      </c>
    </row>
    <row r="68" spans="1:15" x14ac:dyDescent="0.25">
      <c r="A68" s="4"/>
      <c r="B68" s="9" t="s">
        <v>625</v>
      </c>
      <c r="C68" s="52" t="str">
        <f t="shared" si="0"/>
        <v>NAPESHM_MXOA01_64</v>
      </c>
      <c r="D68" s="9" t="s">
        <v>629</v>
      </c>
      <c r="E68" s="9"/>
      <c r="F68" s="60" t="s">
        <v>1088</v>
      </c>
      <c r="G68" s="83">
        <v>17.508056</v>
      </c>
      <c r="H68" s="83">
        <v>-97.350778000000005</v>
      </c>
      <c r="I68" s="9" t="s">
        <v>1180</v>
      </c>
      <c r="J68" s="9"/>
      <c r="K68" s="9"/>
      <c r="L68" s="60">
        <v>64</v>
      </c>
      <c r="M68" s="9" t="s">
        <v>468</v>
      </c>
      <c r="N68" s="9" t="s">
        <v>468</v>
      </c>
      <c r="O68" s="60" t="s">
        <v>1193</v>
      </c>
    </row>
    <row r="69" spans="1:15" x14ac:dyDescent="0.25">
      <c r="A69" s="4"/>
      <c r="B69" s="9" t="s">
        <v>625</v>
      </c>
      <c r="C69" s="52" t="str">
        <f t="shared" ref="C69:C132" si="1">IF(ISBLANK(D69), "", CONCATENATE(D69,E69,"_",F69,"_",L69))</f>
        <v>NAPESHM_MXOA01_65</v>
      </c>
      <c r="D69" s="9" t="s">
        <v>629</v>
      </c>
      <c r="E69" s="9"/>
      <c r="F69" s="60" t="s">
        <v>1088</v>
      </c>
      <c r="G69" s="83">
        <v>17.508056</v>
      </c>
      <c r="H69" s="83">
        <v>-97.350778000000005</v>
      </c>
      <c r="I69" s="9" t="s">
        <v>1180</v>
      </c>
      <c r="J69" s="9"/>
      <c r="K69" s="9"/>
      <c r="L69" s="60">
        <v>65</v>
      </c>
      <c r="M69" s="9" t="s">
        <v>468</v>
      </c>
      <c r="N69" s="9" t="s">
        <v>468</v>
      </c>
      <c r="O69" s="60" t="s">
        <v>1193</v>
      </c>
    </row>
    <row r="70" spans="1:15" x14ac:dyDescent="0.25">
      <c r="A70" s="4"/>
      <c r="B70" s="9" t="s">
        <v>625</v>
      </c>
      <c r="C70" s="52" t="str">
        <f t="shared" si="1"/>
        <v>NAPESHM_MXOA01_66</v>
      </c>
      <c r="D70" s="9" t="s">
        <v>629</v>
      </c>
      <c r="E70" s="9"/>
      <c r="F70" s="60" t="s">
        <v>1088</v>
      </c>
      <c r="G70" s="83">
        <v>17.508056</v>
      </c>
      <c r="H70" s="83">
        <v>-97.350778000000005</v>
      </c>
      <c r="I70" s="9" t="s">
        <v>1180</v>
      </c>
      <c r="J70" s="9"/>
      <c r="K70" s="9"/>
      <c r="L70" s="60">
        <v>66</v>
      </c>
      <c r="M70" s="9" t="s">
        <v>468</v>
      </c>
      <c r="N70" s="9" t="s">
        <v>468</v>
      </c>
      <c r="O70" s="60" t="s">
        <v>1193</v>
      </c>
    </row>
    <row r="71" spans="1:15" x14ac:dyDescent="0.25">
      <c r="A71" s="4"/>
      <c r="B71" s="9" t="s">
        <v>625</v>
      </c>
      <c r="C71" s="52" t="str">
        <f t="shared" si="1"/>
        <v>NAPESHM_MXOA01_67</v>
      </c>
      <c r="D71" s="9" t="s">
        <v>629</v>
      </c>
      <c r="E71" s="9"/>
      <c r="F71" s="60" t="s">
        <v>1088</v>
      </c>
      <c r="G71" s="83">
        <v>17.508056</v>
      </c>
      <c r="H71" s="83">
        <v>-97.350778000000005</v>
      </c>
      <c r="I71" s="9" t="s">
        <v>1180</v>
      </c>
      <c r="J71" s="9"/>
      <c r="K71" s="9"/>
      <c r="L71" s="60">
        <v>67</v>
      </c>
      <c r="M71" s="9" t="s">
        <v>468</v>
      </c>
      <c r="N71" s="9" t="s">
        <v>468</v>
      </c>
      <c r="O71" s="60" t="s">
        <v>1193</v>
      </c>
    </row>
    <row r="72" spans="1:15" x14ac:dyDescent="0.25">
      <c r="A72" s="4"/>
      <c r="B72" s="9" t="s">
        <v>625</v>
      </c>
      <c r="C72" s="52" t="str">
        <f t="shared" si="1"/>
        <v>NAPESHM_MXOA01_68</v>
      </c>
      <c r="D72" s="9" t="s">
        <v>629</v>
      </c>
      <c r="E72" s="9"/>
      <c r="F72" s="60" t="s">
        <v>1088</v>
      </c>
      <c r="G72" s="83">
        <v>17.508056</v>
      </c>
      <c r="H72" s="83">
        <v>-97.350778000000005</v>
      </c>
      <c r="I72" s="9" t="s">
        <v>1180</v>
      </c>
      <c r="J72" s="9"/>
      <c r="K72" s="9"/>
      <c r="L72" s="60">
        <v>68</v>
      </c>
      <c r="M72" s="9" t="s">
        <v>468</v>
      </c>
      <c r="N72" s="9" t="s">
        <v>468</v>
      </c>
      <c r="O72" s="60" t="s">
        <v>1193</v>
      </c>
    </row>
    <row r="73" spans="1:15" x14ac:dyDescent="0.25">
      <c r="A73" s="4"/>
      <c r="B73" s="9" t="s">
        <v>625</v>
      </c>
      <c r="C73" s="52" t="str">
        <f t="shared" si="1"/>
        <v>NAPESHM_MXPU01_69</v>
      </c>
      <c r="D73" s="9" t="s">
        <v>629</v>
      </c>
      <c r="E73" s="9"/>
      <c r="F73" s="60" t="s">
        <v>1089</v>
      </c>
      <c r="G73" s="83">
        <v>18.729500000000002</v>
      </c>
      <c r="H73" s="83">
        <v>-97.927166999999997</v>
      </c>
      <c r="I73" s="9" t="s">
        <v>1181</v>
      </c>
      <c r="J73" s="9"/>
      <c r="K73" s="9"/>
      <c r="L73" s="60">
        <v>69</v>
      </c>
      <c r="M73" s="9" t="s">
        <v>468</v>
      </c>
      <c r="N73" s="9" t="s">
        <v>468</v>
      </c>
      <c r="O73" s="60" t="s">
        <v>1194</v>
      </c>
    </row>
    <row r="74" spans="1:15" x14ac:dyDescent="0.25">
      <c r="A74" s="4"/>
      <c r="B74" s="9" t="s">
        <v>625</v>
      </c>
      <c r="C74" s="52" t="str">
        <f t="shared" si="1"/>
        <v>NAPESHM_MXPU01_70</v>
      </c>
      <c r="D74" s="9" t="s">
        <v>629</v>
      </c>
      <c r="E74" s="9"/>
      <c r="F74" s="60" t="s">
        <v>1089</v>
      </c>
      <c r="G74" s="83">
        <v>18.729500000000002</v>
      </c>
      <c r="H74" s="83">
        <v>-97.927166999999997</v>
      </c>
      <c r="I74" s="9" t="s">
        <v>1181</v>
      </c>
      <c r="J74" s="9"/>
      <c r="K74" s="9"/>
      <c r="L74" s="60">
        <v>70</v>
      </c>
      <c r="M74" s="9" t="s">
        <v>468</v>
      </c>
      <c r="N74" s="9" t="s">
        <v>468</v>
      </c>
      <c r="O74" s="60" t="s">
        <v>1194</v>
      </c>
    </row>
    <row r="75" spans="1:15" x14ac:dyDescent="0.25">
      <c r="A75" s="4"/>
      <c r="B75" s="9" t="s">
        <v>625</v>
      </c>
      <c r="C75" s="52" t="str">
        <f t="shared" si="1"/>
        <v>NAPESHM_MXPU01_71</v>
      </c>
      <c r="D75" s="9" t="s">
        <v>629</v>
      </c>
      <c r="E75" s="9"/>
      <c r="F75" s="60" t="s">
        <v>1089</v>
      </c>
      <c r="G75" s="83">
        <v>18.729500000000002</v>
      </c>
      <c r="H75" s="83">
        <v>-97.927166999999997</v>
      </c>
      <c r="I75" s="9" t="s">
        <v>1181</v>
      </c>
      <c r="J75" s="9"/>
      <c r="K75" s="9"/>
      <c r="L75" s="60">
        <v>71</v>
      </c>
      <c r="M75" s="9" t="s">
        <v>468</v>
      </c>
      <c r="N75" s="9" t="s">
        <v>468</v>
      </c>
      <c r="O75" s="60" t="s">
        <v>1194</v>
      </c>
    </row>
    <row r="76" spans="1:15" x14ac:dyDescent="0.25">
      <c r="A76" s="4"/>
      <c r="B76" s="9" t="s">
        <v>625</v>
      </c>
      <c r="C76" s="52" t="str">
        <f t="shared" si="1"/>
        <v>NAPESHM_MXPU01_72</v>
      </c>
      <c r="D76" s="9" t="s">
        <v>629</v>
      </c>
      <c r="E76" s="9"/>
      <c r="F76" s="60" t="s">
        <v>1089</v>
      </c>
      <c r="G76" s="83">
        <v>18.729500000000002</v>
      </c>
      <c r="H76" s="83">
        <v>-97.927166999999997</v>
      </c>
      <c r="I76" s="9" t="s">
        <v>1181</v>
      </c>
      <c r="J76" s="9"/>
      <c r="K76" s="9"/>
      <c r="L76" s="60">
        <v>72</v>
      </c>
      <c r="M76" s="9" t="s">
        <v>468</v>
      </c>
      <c r="N76" s="9" t="s">
        <v>468</v>
      </c>
      <c r="O76" s="60" t="s">
        <v>1194</v>
      </c>
    </row>
    <row r="77" spans="1:15" x14ac:dyDescent="0.25">
      <c r="A77" s="4"/>
      <c r="B77" s="9" t="s">
        <v>625</v>
      </c>
      <c r="C77" s="52" t="str">
        <f t="shared" si="1"/>
        <v>NAPESHM_MXPU01_73</v>
      </c>
      <c r="D77" s="9" t="s">
        <v>629</v>
      </c>
      <c r="E77" s="9"/>
      <c r="F77" s="60" t="s">
        <v>1089</v>
      </c>
      <c r="G77" s="83">
        <v>18.729500000000002</v>
      </c>
      <c r="H77" s="83">
        <v>-97.927166999999997</v>
      </c>
      <c r="I77" s="9" t="s">
        <v>1181</v>
      </c>
      <c r="J77" s="9"/>
      <c r="K77" s="9"/>
      <c r="L77" s="60">
        <v>73</v>
      </c>
      <c r="M77" s="9" t="s">
        <v>468</v>
      </c>
      <c r="N77" s="9" t="s">
        <v>468</v>
      </c>
      <c r="O77" s="60" t="s">
        <v>1194</v>
      </c>
    </row>
    <row r="78" spans="1:15" x14ac:dyDescent="0.25">
      <c r="A78" s="4"/>
      <c r="B78" s="9" t="s">
        <v>625</v>
      </c>
      <c r="C78" s="52" t="str">
        <f t="shared" si="1"/>
        <v>NAPESHM_MXPU01_74</v>
      </c>
      <c r="D78" s="9" t="s">
        <v>629</v>
      </c>
      <c r="E78" s="9"/>
      <c r="F78" s="60" t="s">
        <v>1089</v>
      </c>
      <c r="G78" s="83">
        <v>18.729500000000002</v>
      </c>
      <c r="H78" s="83">
        <v>-97.927166999999997</v>
      </c>
      <c r="I78" s="9" t="s">
        <v>1181</v>
      </c>
      <c r="J78" s="9"/>
      <c r="K78" s="9"/>
      <c r="L78" s="60">
        <v>74</v>
      </c>
      <c r="M78" s="9" t="s">
        <v>468</v>
      </c>
      <c r="N78" s="9" t="s">
        <v>468</v>
      </c>
      <c r="O78" s="60" t="s">
        <v>1194</v>
      </c>
    </row>
    <row r="79" spans="1:15" x14ac:dyDescent="0.25">
      <c r="A79" s="4"/>
      <c r="B79" s="9" t="s">
        <v>625</v>
      </c>
      <c r="C79" s="52" t="str">
        <f t="shared" si="1"/>
        <v>NAPESHM_MXPU01_75</v>
      </c>
      <c r="D79" s="9" t="s">
        <v>629</v>
      </c>
      <c r="E79" s="9"/>
      <c r="F79" s="60" t="s">
        <v>1089</v>
      </c>
      <c r="G79" s="83">
        <v>18.729500000000002</v>
      </c>
      <c r="H79" s="83">
        <v>-97.927166999999997</v>
      </c>
      <c r="I79" s="9" t="s">
        <v>1181</v>
      </c>
      <c r="J79" s="9"/>
      <c r="K79" s="9"/>
      <c r="L79" s="60">
        <v>75</v>
      </c>
      <c r="M79" s="9" t="s">
        <v>468</v>
      </c>
      <c r="N79" s="9" t="s">
        <v>468</v>
      </c>
      <c r="O79" s="60" t="s">
        <v>1194</v>
      </c>
    </row>
    <row r="80" spans="1:15" x14ac:dyDescent="0.25">
      <c r="A80" s="4"/>
      <c r="B80" s="9" t="s">
        <v>625</v>
      </c>
      <c r="C80" s="52" t="str">
        <f t="shared" si="1"/>
        <v>NAPESHM_MXPU01_76</v>
      </c>
      <c r="D80" s="9" t="s">
        <v>629</v>
      </c>
      <c r="E80" s="9"/>
      <c r="F80" s="60" t="s">
        <v>1089</v>
      </c>
      <c r="G80" s="83">
        <v>18.729500000000002</v>
      </c>
      <c r="H80" s="83">
        <v>-97.927166999999997</v>
      </c>
      <c r="I80" s="9" t="s">
        <v>1181</v>
      </c>
      <c r="J80" s="9"/>
      <c r="K80" s="9"/>
      <c r="L80" s="60">
        <v>76</v>
      </c>
      <c r="M80" s="9" t="s">
        <v>468</v>
      </c>
      <c r="N80" s="9" t="s">
        <v>468</v>
      </c>
      <c r="O80" s="60" t="s">
        <v>1194</v>
      </c>
    </row>
    <row r="81" spans="1:15" x14ac:dyDescent="0.25">
      <c r="A81" s="4"/>
      <c r="B81" s="9" t="s">
        <v>625</v>
      </c>
      <c r="C81" s="52" t="str">
        <f t="shared" si="1"/>
        <v>NAPESHM_MXQT01_77</v>
      </c>
      <c r="D81" s="9" t="s">
        <v>629</v>
      </c>
      <c r="E81" s="9"/>
      <c r="F81" s="60" t="s">
        <v>1090</v>
      </c>
      <c r="G81" s="83">
        <v>20.420400000000001</v>
      </c>
      <c r="H81" s="83">
        <v>-99.913021999999998</v>
      </c>
      <c r="I81" s="9" t="s">
        <v>1182</v>
      </c>
      <c r="J81" s="9"/>
      <c r="K81" s="9"/>
      <c r="L81" s="60">
        <v>77</v>
      </c>
      <c r="M81" s="9" t="s">
        <v>468</v>
      </c>
      <c r="N81" s="9" t="s">
        <v>468</v>
      </c>
      <c r="O81" s="60" t="s">
        <v>1195</v>
      </c>
    </row>
    <row r="82" spans="1:15" x14ac:dyDescent="0.25">
      <c r="A82" s="4"/>
      <c r="B82" s="9" t="s">
        <v>625</v>
      </c>
      <c r="C82" s="52" t="str">
        <f t="shared" si="1"/>
        <v>NAPESHM_MXQT01_78</v>
      </c>
      <c r="D82" s="9" t="s">
        <v>629</v>
      </c>
      <c r="E82" s="9"/>
      <c r="F82" s="60" t="s">
        <v>1090</v>
      </c>
      <c r="G82" s="83">
        <v>20.420400000000001</v>
      </c>
      <c r="H82" s="83">
        <v>-99.913021999999998</v>
      </c>
      <c r="I82" s="9" t="s">
        <v>1182</v>
      </c>
      <c r="J82" s="9"/>
      <c r="K82" s="9"/>
      <c r="L82" s="60">
        <v>78</v>
      </c>
      <c r="M82" s="9" t="s">
        <v>468</v>
      </c>
      <c r="N82" s="9" t="s">
        <v>468</v>
      </c>
      <c r="O82" s="60" t="s">
        <v>1195</v>
      </c>
    </row>
    <row r="83" spans="1:15" x14ac:dyDescent="0.25">
      <c r="A83" s="4"/>
      <c r="B83" s="9" t="s">
        <v>625</v>
      </c>
      <c r="C83" s="52" t="str">
        <f t="shared" si="1"/>
        <v>NAPESHM_MXQT01_79</v>
      </c>
      <c r="D83" s="9" t="s">
        <v>629</v>
      </c>
      <c r="E83" s="9"/>
      <c r="F83" s="60" t="s">
        <v>1090</v>
      </c>
      <c r="G83" s="83">
        <v>20.420400000000001</v>
      </c>
      <c r="H83" s="83">
        <v>-99.913021999999998</v>
      </c>
      <c r="I83" s="9" t="s">
        <v>1182</v>
      </c>
      <c r="J83" s="9"/>
      <c r="K83" s="9"/>
      <c r="L83" s="60">
        <v>79</v>
      </c>
      <c r="M83" s="9" t="s">
        <v>468</v>
      </c>
      <c r="N83" s="9" t="s">
        <v>468</v>
      </c>
      <c r="O83" s="60" t="s">
        <v>1195</v>
      </c>
    </row>
    <row r="84" spans="1:15" x14ac:dyDescent="0.25">
      <c r="A84" s="4"/>
      <c r="B84" s="9" t="s">
        <v>625</v>
      </c>
      <c r="C84" s="52" t="str">
        <f t="shared" si="1"/>
        <v>NAPESHM_MXQT01_80</v>
      </c>
      <c r="D84" s="9" t="s">
        <v>629</v>
      </c>
      <c r="E84" s="9"/>
      <c r="F84" s="60" t="s">
        <v>1090</v>
      </c>
      <c r="G84" s="83">
        <v>20.420400000000001</v>
      </c>
      <c r="H84" s="83">
        <v>-99.913021999999998</v>
      </c>
      <c r="I84" s="9" t="s">
        <v>1182</v>
      </c>
      <c r="J84" s="9"/>
      <c r="K84" s="9"/>
      <c r="L84" s="60">
        <v>80</v>
      </c>
      <c r="M84" s="9" t="s">
        <v>468</v>
      </c>
      <c r="N84" s="9" t="s">
        <v>468</v>
      </c>
      <c r="O84" s="60" t="s">
        <v>1195</v>
      </c>
    </row>
    <row r="85" spans="1:15" x14ac:dyDescent="0.25">
      <c r="A85" s="4"/>
      <c r="B85" s="9" t="s">
        <v>625</v>
      </c>
      <c r="C85" s="52" t="str">
        <f t="shared" si="1"/>
        <v>NAPESHM_MXQT01_81</v>
      </c>
      <c r="D85" s="9" t="s">
        <v>629</v>
      </c>
      <c r="E85" s="9"/>
      <c r="F85" s="60" t="s">
        <v>1090</v>
      </c>
      <c r="G85" s="83">
        <v>20.420400000000001</v>
      </c>
      <c r="H85" s="83">
        <v>-99.913021999999998</v>
      </c>
      <c r="I85" s="9" t="s">
        <v>1182</v>
      </c>
      <c r="J85" s="9"/>
      <c r="K85" s="9"/>
      <c r="L85" s="60">
        <v>81</v>
      </c>
      <c r="M85" s="9" t="s">
        <v>468</v>
      </c>
      <c r="N85" s="9" t="s">
        <v>468</v>
      </c>
      <c r="O85" s="60" t="s">
        <v>1195</v>
      </c>
    </row>
    <row r="86" spans="1:15" x14ac:dyDescent="0.25">
      <c r="A86" s="4"/>
      <c r="B86" s="9" t="s">
        <v>625</v>
      </c>
      <c r="C86" s="52" t="str">
        <f t="shared" si="1"/>
        <v>NAPESHM_MXQT01_82</v>
      </c>
      <c r="D86" s="9" t="s">
        <v>629</v>
      </c>
      <c r="E86" s="9"/>
      <c r="F86" s="60" t="s">
        <v>1090</v>
      </c>
      <c r="G86" s="83">
        <v>20.420400000000001</v>
      </c>
      <c r="H86" s="83">
        <v>-99.913021999999998</v>
      </c>
      <c r="I86" s="9" t="s">
        <v>1182</v>
      </c>
      <c r="J86" s="9"/>
      <c r="K86" s="9"/>
      <c r="L86" s="60">
        <v>82</v>
      </c>
      <c r="M86" s="9" t="s">
        <v>468</v>
      </c>
      <c r="N86" s="9" t="s">
        <v>468</v>
      </c>
      <c r="O86" s="60" t="s">
        <v>1195</v>
      </c>
    </row>
    <row r="87" spans="1:15" x14ac:dyDescent="0.25">
      <c r="A87" s="4"/>
      <c r="B87" s="9" t="s">
        <v>625</v>
      </c>
      <c r="C87" s="52" t="str">
        <f t="shared" si="1"/>
        <v>NAPESHM_MXQT02_83</v>
      </c>
      <c r="D87" s="9" t="s">
        <v>629</v>
      </c>
      <c r="E87" s="9"/>
      <c r="F87" s="60" t="s">
        <v>1091</v>
      </c>
      <c r="G87" s="83">
        <v>20.455252000000002</v>
      </c>
      <c r="H87" s="83">
        <v>-100.003275</v>
      </c>
      <c r="I87" s="9" t="s">
        <v>1182</v>
      </c>
      <c r="J87" s="9"/>
      <c r="K87" s="9"/>
      <c r="L87" s="60">
        <v>83</v>
      </c>
      <c r="M87" s="9" t="s">
        <v>468</v>
      </c>
      <c r="N87" s="9" t="s">
        <v>468</v>
      </c>
      <c r="O87" s="60" t="s">
        <v>1196</v>
      </c>
    </row>
    <row r="88" spans="1:15" x14ac:dyDescent="0.25">
      <c r="A88" s="4"/>
      <c r="B88" s="9" t="s">
        <v>625</v>
      </c>
      <c r="C88" s="52" t="str">
        <f t="shared" si="1"/>
        <v>NAPESHM_MXQT02_84</v>
      </c>
      <c r="D88" s="9" t="s">
        <v>629</v>
      </c>
      <c r="E88" s="9"/>
      <c r="F88" s="60" t="s">
        <v>1091</v>
      </c>
      <c r="G88" s="83">
        <v>20.455252000000002</v>
      </c>
      <c r="H88" s="83">
        <v>-100.003275</v>
      </c>
      <c r="I88" s="9" t="s">
        <v>1182</v>
      </c>
      <c r="J88" s="9"/>
      <c r="K88" s="9"/>
      <c r="L88" s="60">
        <v>84</v>
      </c>
      <c r="M88" s="9" t="s">
        <v>468</v>
      </c>
      <c r="N88" s="9" t="s">
        <v>468</v>
      </c>
      <c r="O88" s="60" t="s">
        <v>1196</v>
      </c>
    </row>
    <row r="89" spans="1:15" x14ac:dyDescent="0.25">
      <c r="A89" s="4"/>
      <c r="B89" s="9" t="s">
        <v>625</v>
      </c>
      <c r="C89" s="52" t="str">
        <f t="shared" si="1"/>
        <v>NAPESHM_MXQT02_85</v>
      </c>
      <c r="D89" s="9" t="s">
        <v>629</v>
      </c>
      <c r="E89" s="9"/>
      <c r="F89" s="60" t="s">
        <v>1091</v>
      </c>
      <c r="G89" s="83">
        <v>20.455252000000002</v>
      </c>
      <c r="H89" s="83">
        <v>-100.003275</v>
      </c>
      <c r="I89" s="9" t="s">
        <v>1182</v>
      </c>
      <c r="J89" s="9"/>
      <c r="K89" s="9"/>
      <c r="L89" s="60">
        <v>85</v>
      </c>
      <c r="M89" s="9" t="s">
        <v>468</v>
      </c>
      <c r="N89" s="9" t="s">
        <v>468</v>
      </c>
      <c r="O89" s="60" t="s">
        <v>1196</v>
      </c>
    </row>
    <row r="90" spans="1:15" x14ac:dyDescent="0.25">
      <c r="A90" s="4"/>
      <c r="B90" s="9" t="s">
        <v>625</v>
      </c>
      <c r="C90" s="52" t="str">
        <f t="shared" si="1"/>
        <v>NAPESHM_MXQT02_86</v>
      </c>
      <c r="D90" s="9" t="s">
        <v>629</v>
      </c>
      <c r="E90" s="9"/>
      <c r="F90" s="60" t="s">
        <v>1091</v>
      </c>
      <c r="G90" s="83">
        <v>20.455252000000002</v>
      </c>
      <c r="H90" s="83">
        <v>-100.003275</v>
      </c>
      <c r="I90" s="9" t="s">
        <v>1182</v>
      </c>
      <c r="J90" s="9"/>
      <c r="K90" s="9"/>
      <c r="L90" s="60">
        <v>86</v>
      </c>
      <c r="M90" s="9" t="s">
        <v>468</v>
      </c>
      <c r="N90" s="9" t="s">
        <v>468</v>
      </c>
      <c r="O90" s="60" t="s">
        <v>1196</v>
      </c>
    </row>
    <row r="91" spans="1:15" x14ac:dyDescent="0.25">
      <c r="A91" s="4"/>
      <c r="B91" s="9" t="s">
        <v>625</v>
      </c>
      <c r="C91" s="52" t="str">
        <f t="shared" si="1"/>
        <v>NAPESHM_MXQT02_87</v>
      </c>
      <c r="D91" s="9" t="s">
        <v>629</v>
      </c>
      <c r="E91" s="9"/>
      <c r="F91" s="60" t="s">
        <v>1091</v>
      </c>
      <c r="G91" s="83">
        <v>20.455252000000002</v>
      </c>
      <c r="H91" s="83">
        <v>-100.003275</v>
      </c>
      <c r="I91" s="9" t="s">
        <v>1182</v>
      </c>
      <c r="J91" s="9"/>
      <c r="K91" s="9"/>
      <c r="L91" s="60">
        <v>87</v>
      </c>
      <c r="M91" s="9" t="s">
        <v>468</v>
      </c>
      <c r="N91" s="9" t="s">
        <v>468</v>
      </c>
      <c r="O91" s="60" t="s">
        <v>1196</v>
      </c>
    </row>
    <row r="92" spans="1:15" x14ac:dyDescent="0.25">
      <c r="A92" s="4"/>
      <c r="B92" s="9" t="s">
        <v>625</v>
      </c>
      <c r="C92" s="52" t="str">
        <f t="shared" si="1"/>
        <v>NAPESHM_MXQT02_88</v>
      </c>
      <c r="D92" s="9" t="s">
        <v>629</v>
      </c>
      <c r="E92" s="9"/>
      <c r="F92" s="60" t="s">
        <v>1091</v>
      </c>
      <c r="G92" s="83">
        <v>20.455252000000002</v>
      </c>
      <c r="H92" s="83">
        <v>-100.003275</v>
      </c>
      <c r="I92" s="9" t="s">
        <v>1182</v>
      </c>
      <c r="J92" s="9"/>
      <c r="K92" s="9"/>
      <c r="L92" s="60">
        <v>88</v>
      </c>
      <c r="M92" s="9" t="s">
        <v>468</v>
      </c>
      <c r="N92" s="9" t="s">
        <v>468</v>
      </c>
      <c r="O92" s="60" t="s">
        <v>1196</v>
      </c>
    </row>
    <row r="93" spans="1:15" x14ac:dyDescent="0.25">
      <c r="A93" s="4"/>
      <c r="B93" s="9" t="s">
        <v>625</v>
      </c>
      <c r="C93" s="52" t="str">
        <f t="shared" si="1"/>
        <v>NAPESHM_MXQT02_89</v>
      </c>
      <c r="D93" s="9" t="s">
        <v>629</v>
      </c>
      <c r="E93" s="9"/>
      <c r="F93" s="60" t="s">
        <v>1091</v>
      </c>
      <c r="G93" s="83">
        <v>20.455252000000002</v>
      </c>
      <c r="H93" s="83">
        <v>-100.003275</v>
      </c>
      <c r="I93" s="9" t="s">
        <v>1182</v>
      </c>
      <c r="J93" s="9"/>
      <c r="K93" s="9"/>
      <c r="L93" s="60">
        <v>89</v>
      </c>
      <c r="M93" s="9" t="s">
        <v>468</v>
      </c>
      <c r="N93" s="9" t="s">
        <v>468</v>
      </c>
      <c r="O93" s="60" t="s">
        <v>1196</v>
      </c>
    </row>
    <row r="94" spans="1:15" x14ac:dyDescent="0.25">
      <c r="A94" s="4"/>
      <c r="B94" s="9" t="s">
        <v>625</v>
      </c>
      <c r="C94" s="52" t="str">
        <f t="shared" si="1"/>
        <v>NAPESHM_MXQT02_90</v>
      </c>
      <c r="D94" s="9" t="s">
        <v>629</v>
      </c>
      <c r="E94" s="9"/>
      <c r="F94" s="60" t="s">
        <v>1091</v>
      </c>
      <c r="G94" s="83">
        <v>20.455252000000002</v>
      </c>
      <c r="H94" s="83">
        <v>-100.003275</v>
      </c>
      <c r="I94" s="9" t="s">
        <v>1182</v>
      </c>
      <c r="J94" s="9"/>
      <c r="K94" s="9"/>
      <c r="L94" s="60">
        <v>90</v>
      </c>
      <c r="M94" s="9" t="s">
        <v>468</v>
      </c>
      <c r="N94" s="9" t="s">
        <v>468</v>
      </c>
      <c r="O94" s="60" t="s">
        <v>1196</v>
      </c>
    </row>
    <row r="95" spans="1:15" x14ac:dyDescent="0.25">
      <c r="A95" s="4"/>
      <c r="B95" s="9" t="s">
        <v>625</v>
      </c>
      <c r="C95" s="52" t="str">
        <f t="shared" si="1"/>
        <v>NAPESHM_MXQT02_91</v>
      </c>
      <c r="D95" s="9" t="s">
        <v>629</v>
      </c>
      <c r="E95" s="9"/>
      <c r="F95" s="60" t="s">
        <v>1091</v>
      </c>
      <c r="G95" s="83">
        <v>20.455252000000002</v>
      </c>
      <c r="H95" s="83">
        <v>-100.003275</v>
      </c>
      <c r="I95" s="9" t="s">
        <v>1182</v>
      </c>
      <c r="J95" s="9"/>
      <c r="K95" s="9"/>
      <c r="L95" s="60">
        <v>91</v>
      </c>
      <c r="M95" s="9" t="s">
        <v>468</v>
      </c>
      <c r="N95" s="9" t="s">
        <v>468</v>
      </c>
      <c r="O95" s="60" t="s">
        <v>1196</v>
      </c>
    </row>
    <row r="96" spans="1:15" x14ac:dyDescent="0.25">
      <c r="A96" s="4"/>
      <c r="B96" s="9" t="s">
        <v>625</v>
      </c>
      <c r="C96" s="52" t="str">
        <f t="shared" si="1"/>
        <v>NAPESHM_MXQT02_92</v>
      </c>
      <c r="D96" s="9" t="s">
        <v>629</v>
      </c>
      <c r="E96" s="9"/>
      <c r="F96" s="60" t="s">
        <v>1091</v>
      </c>
      <c r="G96" s="83">
        <v>20.455252000000002</v>
      </c>
      <c r="H96" s="83">
        <v>-100.003275</v>
      </c>
      <c r="I96" s="9" t="s">
        <v>1182</v>
      </c>
      <c r="J96" s="9"/>
      <c r="K96" s="9"/>
      <c r="L96" s="60">
        <v>92</v>
      </c>
      <c r="M96" s="9" t="s">
        <v>468</v>
      </c>
      <c r="N96" s="9" t="s">
        <v>468</v>
      </c>
      <c r="O96" s="60" t="s">
        <v>1196</v>
      </c>
    </row>
    <row r="97" spans="1:15" x14ac:dyDescent="0.25">
      <c r="A97" s="4"/>
      <c r="B97" s="9" t="s">
        <v>625</v>
      </c>
      <c r="C97" s="52" t="str">
        <f t="shared" si="1"/>
        <v>NAPESHM_MXSL01_93</v>
      </c>
      <c r="D97" s="9" t="s">
        <v>629</v>
      </c>
      <c r="E97" s="9"/>
      <c r="F97" s="60" t="s">
        <v>1092</v>
      </c>
      <c r="G97" s="83">
        <v>22.226472000000001</v>
      </c>
      <c r="H97" s="83">
        <v>-100.849075</v>
      </c>
      <c r="I97" s="9" t="s">
        <v>1183</v>
      </c>
      <c r="J97" s="9"/>
      <c r="K97" s="9"/>
      <c r="L97" s="60">
        <v>93</v>
      </c>
      <c r="M97" s="9" t="s">
        <v>468</v>
      </c>
      <c r="N97" s="9" t="s">
        <v>468</v>
      </c>
      <c r="O97" s="60" t="s">
        <v>1197</v>
      </c>
    </row>
    <row r="98" spans="1:15" x14ac:dyDescent="0.25">
      <c r="A98" s="4"/>
      <c r="B98" s="9" t="s">
        <v>625</v>
      </c>
      <c r="C98" s="52" t="str">
        <f t="shared" si="1"/>
        <v>NAPESHM_MXSL01_94</v>
      </c>
      <c r="D98" s="9" t="s">
        <v>629</v>
      </c>
      <c r="E98" s="9"/>
      <c r="F98" s="60" t="s">
        <v>1092</v>
      </c>
      <c r="G98" s="83">
        <v>22.226472000000001</v>
      </c>
      <c r="H98" s="83">
        <v>-100.849075</v>
      </c>
      <c r="I98" s="9" t="s">
        <v>1183</v>
      </c>
      <c r="J98" s="9"/>
      <c r="K98" s="9"/>
      <c r="L98" s="60">
        <v>94</v>
      </c>
      <c r="M98" s="9" t="s">
        <v>468</v>
      </c>
      <c r="N98" s="9" t="s">
        <v>468</v>
      </c>
      <c r="O98" s="60" t="s">
        <v>1197</v>
      </c>
    </row>
    <row r="99" spans="1:15" x14ac:dyDescent="0.25">
      <c r="A99" s="4"/>
      <c r="B99" s="9" t="s">
        <v>625</v>
      </c>
      <c r="C99" s="52" t="str">
        <f t="shared" si="1"/>
        <v>NAPESHM_MXSL01_95</v>
      </c>
      <c r="D99" s="9" t="s">
        <v>629</v>
      </c>
      <c r="E99" s="9"/>
      <c r="F99" s="60" t="s">
        <v>1092</v>
      </c>
      <c r="G99" s="83">
        <v>22.226472000000001</v>
      </c>
      <c r="H99" s="83">
        <v>-100.849075</v>
      </c>
      <c r="I99" s="9" t="s">
        <v>1183</v>
      </c>
      <c r="J99" s="9"/>
      <c r="K99" s="9"/>
      <c r="L99" s="60">
        <v>95</v>
      </c>
      <c r="M99" s="9" t="s">
        <v>468</v>
      </c>
      <c r="N99" s="9" t="s">
        <v>468</v>
      </c>
      <c r="O99" s="60" t="s">
        <v>1197</v>
      </c>
    </row>
    <row r="100" spans="1:15" x14ac:dyDescent="0.25">
      <c r="A100" s="4"/>
      <c r="B100" s="9" t="s">
        <v>625</v>
      </c>
      <c r="C100" s="52" t="str">
        <f t="shared" si="1"/>
        <v>NAPESHM_MXSL01_96</v>
      </c>
      <c r="D100" s="9" t="s">
        <v>629</v>
      </c>
      <c r="E100" s="9"/>
      <c r="F100" s="60" t="s">
        <v>1092</v>
      </c>
      <c r="G100" s="83">
        <v>22.226472000000001</v>
      </c>
      <c r="H100" s="83">
        <v>-100.849075</v>
      </c>
      <c r="I100" s="9" t="s">
        <v>1183</v>
      </c>
      <c r="J100" s="9"/>
      <c r="K100" s="9"/>
      <c r="L100" s="60">
        <v>96</v>
      </c>
      <c r="M100" s="9" t="s">
        <v>468</v>
      </c>
      <c r="N100" s="9" t="s">
        <v>468</v>
      </c>
      <c r="O100" s="60" t="s">
        <v>1197</v>
      </c>
    </row>
    <row r="101" spans="1:15" x14ac:dyDescent="0.25">
      <c r="A101" s="4"/>
      <c r="B101" s="9" t="s">
        <v>625</v>
      </c>
      <c r="C101" s="52" t="str">
        <f t="shared" si="1"/>
        <v>NAPESHM_MXSL01_97</v>
      </c>
      <c r="D101" s="9" t="s">
        <v>629</v>
      </c>
      <c r="E101" s="9"/>
      <c r="F101" s="60" t="s">
        <v>1092</v>
      </c>
      <c r="G101" s="83">
        <v>22.226472000000001</v>
      </c>
      <c r="H101" s="83">
        <v>-100.849075</v>
      </c>
      <c r="I101" s="9" t="s">
        <v>1183</v>
      </c>
      <c r="J101" s="9"/>
      <c r="K101" s="9"/>
      <c r="L101" s="60">
        <v>97</v>
      </c>
      <c r="M101" s="9" t="s">
        <v>468</v>
      </c>
      <c r="N101" s="9" t="s">
        <v>468</v>
      </c>
      <c r="O101" s="60" t="s">
        <v>1197</v>
      </c>
    </row>
    <row r="102" spans="1:15" x14ac:dyDescent="0.25">
      <c r="A102" s="4"/>
      <c r="B102" s="9" t="s">
        <v>625</v>
      </c>
      <c r="C102" s="52" t="str">
        <f t="shared" si="1"/>
        <v>NAPESHM_MXSL01_98</v>
      </c>
      <c r="D102" s="9" t="s">
        <v>629</v>
      </c>
      <c r="E102" s="9"/>
      <c r="F102" s="60" t="s">
        <v>1092</v>
      </c>
      <c r="G102" s="83">
        <v>22.226472000000001</v>
      </c>
      <c r="H102" s="83">
        <v>-100.849075</v>
      </c>
      <c r="I102" s="9" t="s">
        <v>1183</v>
      </c>
      <c r="J102" s="9"/>
      <c r="K102" s="9"/>
      <c r="L102" s="60">
        <v>98</v>
      </c>
      <c r="M102" s="9" t="s">
        <v>468</v>
      </c>
      <c r="N102" s="9" t="s">
        <v>468</v>
      </c>
      <c r="O102" s="60" t="s">
        <v>1197</v>
      </c>
    </row>
    <row r="103" spans="1:15" x14ac:dyDescent="0.25">
      <c r="A103" s="4"/>
      <c r="B103" s="9" t="s">
        <v>625</v>
      </c>
      <c r="C103" s="52" t="str">
        <f t="shared" si="1"/>
        <v>NAPESHM_MXSL01_99</v>
      </c>
      <c r="D103" s="9" t="s">
        <v>629</v>
      </c>
      <c r="E103" s="9"/>
      <c r="F103" s="60" t="s">
        <v>1092</v>
      </c>
      <c r="G103" s="83">
        <v>22.226472000000001</v>
      </c>
      <c r="H103" s="83">
        <v>-100.849075</v>
      </c>
      <c r="I103" s="9" t="s">
        <v>1183</v>
      </c>
      <c r="J103" s="9"/>
      <c r="K103" s="9"/>
      <c r="L103" s="60">
        <v>99</v>
      </c>
      <c r="M103" s="9" t="s">
        <v>468</v>
      </c>
      <c r="N103" s="9" t="s">
        <v>468</v>
      </c>
      <c r="O103" s="60" t="s">
        <v>1197</v>
      </c>
    </row>
    <row r="104" spans="1:15" x14ac:dyDescent="0.25">
      <c r="A104" s="4"/>
      <c r="B104" s="9" t="s">
        <v>625</v>
      </c>
      <c r="C104" s="52" t="str">
        <f t="shared" si="1"/>
        <v>NAPESHM_MXSO01_100</v>
      </c>
      <c r="D104" s="9" t="s">
        <v>629</v>
      </c>
      <c r="E104" s="9"/>
      <c r="F104" s="60" t="s">
        <v>1093</v>
      </c>
      <c r="G104" s="83">
        <v>27.012938999999999</v>
      </c>
      <c r="H104" s="83">
        <v>-109.50194399999999</v>
      </c>
      <c r="I104" s="9" t="s">
        <v>1184</v>
      </c>
      <c r="J104" s="9"/>
      <c r="K104" s="9"/>
      <c r="L104" s="60">
        <v>100</v>
      </c>
      <c r="M104" s="9" t="s">
        <v>468</v>
      </c>
      <c r="N104" s="9" t="s">
        <v>468</v>
      </c>
      <c r="O104" s="60" t="s">
        <v>1198</v>
      </c>
    </row>
    <row r="105" spans="1:15" x14ac:dyDescent="0.25">
      <c r="A105" s="4"/>
      <c r="B105" s="9" t="s">
        <v>625</v>
      </c>
      <c r="C105" s="52" t="str">
        <f t="shared" si="1"/>
        <v>NAPESHM_MXSO01_101</v>
      </c>
      <c r="D105" s="9" t="s">
        <v>629</v>
      </c>
      <c r="E105" s="9"/>
      <c r="F105" s="60" t="s">
        <v>1093</v>
      </c>
      <c r="G105" s="83">
        <v>27.012938999999999</v>
      </c>
      <c r="H105" s="83">
        <v>-109.50194399999999</v>
      </c>
      <c r="I105" s="9" t="s">
        <v>1184</v>
      </c>
      <c r="J105" s="9"/>
      <c r="K105" s="9"/>
      <c r="L105" s="60">
        <v>101</v>
      </c>
      <c r="M105" s="9" t="s">
        <v>468</v>
      </c>
      <c r="N105" s="9" t="s">
        <v>468</v>
      </c>
      <c r="O105" s="60" t="s">
        <v>1198</v>
      </c>
    </row>
    <row r="106" spans="1:15" x14ac:dyDescent="0.25">
      <c r="A106" s="4"/>
      <c r="B106" s="9" t="s">
        <v>625</v>
      </c>
      <c r="C106" s="52" t="str">
        <f t="shared" si="1"/>
        <v>NAPESHM_MXSO01_102</v>
      </c>
      <c r="D106" s="9" t="s">
        <v>629</v>
      </c>
      <c r="E106" s="9"/>
      <c r="F106" s="60" t="s">
        <v>1093</v>
      </c>
      <c r="G106" s="83">
        <v>27.012938999999999</v>
      </c>
      <c r="H106" s="83">
        <v>-109.50194399999999</v>
      </c>
      <c r="I106" s="9" t="s">
        <v>1184</v>
      </c>
      <c r="J106" s="9"/>
      <c r="K106" s="9"/>
      <c r="L106" s="60">
        <v>102</v>
      </c>
      <c r="M106" s="9" t="s">
        <v>468</v>
      </c>
      <c r="N106" s="9" t="s">
        <v>468</v>
      </c>
      <c r="O106" s="60" t="s">
        <v>1198</v>
      </c>
    </row>
    <row r="107" spans="1:15" x14ac:dyDescent="0.25">
      <c r="A107" s="4"/>
      <c r="B107" s="9" t="s">
        <v>625</v>
      </c>
      <c r="C107" s="52" t="str">
        <f t="shared" si="1"/>
        <v>NAPESHM_MXSO01_103</v>
      </c>
      <c r="D107" s="9" t="s">
        <v>629</v>
      </c>
      <c r="E107" s="9"/>
      <c r="F107" s="60" t="s">
        <v>1093</v>
      </c>
      <c r="G107" s="83">
        <v>27.012938999999999</v>
      </c>
      <c r="H107" s="83">
        <v>-109.50194399999999</v>
      </c>
      <c r="I107" s="9" t="s">
        <v>1184</v>
      </c>
      <c r="J107" s="9"/>
      <c r="K107" s="9"/>
      <c r="L107" s="60">
        <v>103</v>
      </c>
      <c r="M107" s="9" t="s">
        <v>468</v>
      </c>
      <c r="N107" s="9" t="s">
        <v>468</v>
      </c>
      <c r="O107" s="60" t="s">
        <v>1198</v>
      </c>
    </row>
    <row r="108" spans="1:15" x14ac:dyDescent="0.25">
      <c r="A108" s="4"/>
      <c r="B108" s="9" t="s">
        <v>625</v>
      </c>
      <c r="C108" s="52" t="str">
        <f t="shared" si="1"/>
        <v>NAPESHM_MXSO01_104</v>
      </c>
      <c r="D108" s="9" t="s">
        <v>629</v>
      </c>
      <c r="E108" s="9"/>
      <c r="F108" s="60" t="s">
        <v>1093</v>
      </c>
      <c r="G108" s="83">
        <v>27.012938999999999</v>
      </c>
      <c r="H108" s="83">
        <v>-109.50194399999999</v>
      </c>
      <c r="I108" s="9" t="s">
        <v>1184</v>
      </c>
      <c r="J108" s="9"/>
      <c r="K108" s="9"/>
      <c r="L108" s="60">
        <v>104</v>
      </c>
      <c r="M108" s="9" t="s">
        <v>468</v>
      </c>
      <c r="N108" s="9" t="s">
        <v>468</v>
      </c>
      <c r="O108" s="60" t="s">
        <v>1198</v>
      </c>
    </row>
    <row r="109" spans="1:15" x14ac:dyDescent="0.25">
      <c r="A109" s="4"/>
      <c r="B109" s="9" t="s">
        <v>625</v>
      </c>
      <c r="C109" s="52" t="str">
        <f t="shared" si="1"/>
        <v>NAPESHM_MXSO01_105</v>
      </c>
      <c r="D109" s="9" t="s">
        <v>629</v>
      </c>
      <c r="E109" s="9"/>
      <c r="F109" s="60" t="s">
        <v>1093</v>
      </c>
      <c r="G109" s="83">
        <v>27.012938999999999</v>
      </c>
      <c r="H109" s="83">
        <v>-109.50194399999999</v>
      </c>
      <c r="I109" s="9" t="s">
        <v>1184</v>
      </c>
      <c r="J109" s="9"/>
      <c r="K109" s="9"/>
      <c r="L109" s="60">
        <v>105</v>
      </c>
      <c r="M109" s="9" t="s">
        <v>468</v>
      </c>
      <c r="N109" s="9" t="s">
        <v>468</v>
      </c>
      <c r="O109" s="60" t="s">
        <v>1198</v>
      </c>
    </row>
    <row r="110" spans="1:15" x14ac:dyDescent="0.25">
      <c r="A110" s="4"/>
      <c r="B110" s="9" t="s">
        <v>625</v>
      </c>
      <c r="C110" s="52" t="str">
        <f t="shared" si="1"/>
        <v>NAPESHM_MXSO01_106</v>
      </c>
      <c r="D110" s="9" t="s">
        <v>629</v>
      </c>
      <c r="E110" s="9"/>
      <c r="F110" s="60" t="s">
        <v>1093</v>
      </c>
      <c r="G110" s="83">
        <v>27.012938999999999</v>
      </c>
      <c r="H110" s="83">
        <v>-109.50194399999999</v>
      </c>
      <c r="I110" s="9" t="s">
        <v>1184</v>
      </c>
      <c r="J110" s="9"/>
      <c r="K110" s="9"/>
      <c r="L110" s="60">
        <v>106</v>
      </c>
      <c r="M110" s="9" t="s">
        <v>468</v>
      </c>
      <c r="N110" s="9" t="s">
        <v>468</v>
      </c>
      <c r="O110" s="60" t="s">
        <v>1198</v>
      </c>
    </row>
    <row r="111" spans="1:15" x14ac:dyDescent="0.25">
      <c r="A111" s="4"/>
      <c r="B111" s="9" t="s">
        <v>625</v>
      </c>
      <c r="C111" s="52" t="str">
        <f t="shared" si="1"/>
        <v>NAPESHM_MXSO01_107</v>
      </c>
      <c r="D111" s="9" t="s">
        <v>629</v>
      </c>
      <c r="E111" s="9"/>
      <c r="F111" s="60" t="s">
        <v>1093</v>
      </c>
      <c r="G111" s="83">
        <v>27.012938999999999</v>
      </c>
      <c r="H111" s="83">
        <v>-109.50194399999999</v>
      </c>
      <c r="I111" s="9" t="s">
        <v>1184</v>
      </c>
      <c r="J111" s="9"/>
      <c r="K111" s="9"/>
      <c r="L111" s="60">
        <v>107</v>
      </c>
      <c r="M111" s="9" t="s">
        <v>468</v>
      </c>
      <c r="N111" s="9" t="s">
        <v>468</v>
      </c>
      <c r="O111" s="60" t="s">
        <v>1198</v>
      </c>
    </row>
    <row r="112" spans="1:15" x14ac:dyDescent="0.25">
      <c r="A112" s="4"/>
      <c r="B112" s="9" t="s">
        <v>625</v>
      </c>
      <c r="C112" s="52" t="str">
        <f t="shared" si="1"/>
        <v>NAPESHM_MXSO01_108</v>
      </c>
      <c r="D112" s="9" t="s">
        <v>629</v>
      </c>
      <c r="E112" s="9"/>
      <c r="F112" s="60" t="s">
        <v>1093</v>
      </c>
      <c r="G112" s="83">
        <v>27.012938999999999</v>
      </c>
      <c r="H112" s="83">
        <v>-109.50194399999999</v>
      </c>
      <c r="I112" s="9" t="s">
        <v>1184</v>
      </c>
      <c r="J112" s="9"/>
      <c r="K112" s="9"/>
      <c r="L112" s="60">
        <v>108</v>
      </c>
      <c r="M112" s="9" t="s">
        <v>468</v>
      </c>
      <c r="N112" s="9" t="s">
        <v>468</v>
      </c>
      <c r="O112" s="60" t="s">
        <v>1198</v>
      </c>
    </row>
    <row r="113" spans="1:15" x14ac:dyDescent="0.25">
      <c r="A113" s="4"/>
      <c r="B113" s="9" t="s">
        <v>625</v>
      </c>
      <c r="C113" s="52" t="str">
        <f t="shared" si="1"/>
        <v>NAPESHM_MXSO01_109</v>
      </c>
      <c r="D113" s="9" t="s">
        <v>629</v>
      </c>
      <c r="E113" s="9"/>
      <c r="F113" s="60" t="s">
        <v>1093</v>
      </c>
      <c r="G113" s="83">
        <v>27.012938999999999</v>
      </c>
      <c r="H113" s="83">
        <v>-109.50194399999999</v>
      </c>
      <c r="I113" s="9" t="s">
        <v>1184</v>
      </c>
      <c r="J113" s="9"/>
      <c r="K113" s="9"/>
      <c r="L113" s="60">
        <v>109</v>
      </c>
      <c r="M113" s="9" t="s">
        <v>468</v>
      </c>
      <c r="N113" s="9" t="s">
        <v>468</v>
      </c>
      <c r="O113" s="60" t="s">
        <v>1198</v>
      </c>
    </row>
    <row r="114" spans="1:15" x14ac:dyDescent="0.25">
      <c r="A114" s="4"/>
      <c r="B114" s="9" t="s">
        <v>625</v>
      </c>
      <c r="C114" s="52" t="str">
        <f t="shared" si="1"/>
        <v>NAPESHM_MXSO01_110</v>
      </c>
      <c r="D114" s="9" t="s">
        <v>629</v>
      </c>
      <c r="E114" s="9"/>
      <c r="F114" s="60" t="s">
        <v>1093</v>
      </c>
      <c r="G114" s="83">
        <v>27.012938999999999</v>
      </c>
      <c r="H114" s="83">
        <v>-109.50194399999999</v>
      </c>
      <c r="I114" s="9" t="s">
        <v>1184</v>
      </c>
      <c r="J114" s="9"/>
      <c r="K114" s="9"/>
      <c r="L114" s="60">
        <v>110</v>
      </c>
      <c r="M114" s="9" t="s">
        <v>468</v>
      </c>
      <c r="N114" s="9" t="s">
        <v>468</v>
      </c>
      <c r="O114" s="60" t="s">
        <v>1198</v>
      </c>
    </row>
    <row r="115" spans="1:15" x14ac:dyDescent="0.25">
      <c r="A115" s="4"/>
      <c r="B115" s="9" t="s">
        <v>625</v>
      </c>
      <c r="C115" s="52" t="str">
        <f t="shared" si="1"/>
        <v>NAPESHM_MXSO01_111</v>
      </c>
      <c r="D115" s="9" t="s">
        <v>629</v>
      </c>
      <c r="E115" s="9"/>
      <c r="F115" s="60" t="s">
        <v>1093</v>
      </c>
      <c r="G115" s="83">
        <v>27.012938999999999</v>
      </c>
      <c r="H115" s="83">
        <v>-109.50194399999999</v>
      </c>
      <c r="I115" s="9" t="s">
        <v>1184</v>
      </c>
      <c r="J115" s="9"/>
      <c r="K115" s="9"/>
      <c r="L115" s="60">
        <v>111</v>
      </c>
      <c r="M115" s="9" t="s">
        <v>468</v>
      </c>
      <c r="N115" s="9" t="s">
        <v>468</v>
      </c>
      <c r="O115" s="60" t="s">
        <v>1198</v>
      </c>
    </row>
    <row r="116" spans="1:15" x14ac:dyDescent="0.25">
      <c r="A116" s="4"/>
      <c r="B116" s="9" t="s">
        <v>625</v>
      </c>
      <c r="C116" s="52" t="str">
        <f t="shared" si="1"/>
        <v>NAPESHM_MXSO01_112</v>
      </c>
      <c r="D116" s="9" t="s">
        <v>629</v>
      </c>
      <c r="E116" s="9"/>
      <c r="F116" s="60" t="s">
        <v>1093</v>
      </c>
      <c r="G116" s="83">
        <v>27.012938999999999</v>
      </c>
      <c r="H116" s="83">
        <v>-109.50194399999999</v>
      </c>
      <c r="I116" s="9" t="s">
        <v>1184</v>
      </c>
      <c r="J116" s="9"/>
      <c r="K116" s="9"/>
      <c r="L116" s="60">
        <v>112</v>
      </c>
      <c r="M116" s="9" t="s">
        <v>468</v>
      </c>
      <c r="N116" s="9" t="s">
        <v>468</v>
      </c>
      <c r="O116" s="60" t="s">
        <v>1198</v>
      </c>
    </row>
    <row r="117" spans="1:15" x14ac:dyDescent="0.25">
      <c r="A117" s="4"/>
      <c r="B117" s="9" t="s">
        <v>625</v>
      </c>
      <c r="C117" s="52" t="str">
        <f t="shared" si="1"/>
        <v>NAPESHM_MXSO02_113</v>
      </c>
      <c r="D117" s="9" t="s">
        <v>629</v>
      </c>
      <c r="E117" s="9"/>
      <c r="F117" s="60" t="s">
        <v>1094</v>
      </c>
      <c r="G117" s="83">
        <v>27.38533</v>
      </c>
      <c r="H117" s="83">
        <v>-109.931983</v>
      </c>
      <c r="I117" s="9" t="s">
        <v>1184</v>
      </c>
      <c r="J117" s="9"/>
      <c r="K117" s="9"/>
      <c r="L117" s="60">
        <v>113</v>
      </c>
      <c r="M117" s="9" t="s">
        <v>468</v>
      </c>
      <c r="N117" s="9" t="s">
        <v>468</v>
      </c>
      <c r="O117" s="60" t="s">
        <v>1199</v>
      </c>
    </row>
    <row r="118" spans="1:15" x14ac:dyDescent="0.25">
      <c r="A118" s="4"/>
      <c r="B118" s="9" t="s">
        <v>625</v>
      </c>
      <c r="C118" s="52" t="str">
        <f t="shared" si="1"/>
        <v>NAPESHM_MXSO02_114</v>
      </c>
      <c r="D118" s="9" t="s">
        <v>629</v>
      </c>
      <c r="E118" s="9"/>
      <c r="F118" s="60" t="s">
        <v>1094</v>
      </c>
      <c r="G118" s="83">
        <v>27.38533</v>
      </c>
      <c r="H118" s="83">
        <v>-109.931983</v>
      </c>
      <c r="I118" s="9" t="s">
        <v>1184</v>
      </c>
      <c r="J118" s="9"/>
      <c r="K118" s="9"/>
      <c r="L118" s="60">
        <v>114</v>
      </c>
      <c r="M118" s="9" t="s">
        <v>468</v>
      </c>
      <c r="N118" s="9" t="s">
        <v>468</v>
      </c>
      <c r="O118" s="60" t="s">
        <v>1199</v>
      </c>
    </row>
    <row r="119" spans="1:15" x14ac:dyDescent="0.25">
      <c r="A119" s="4"/>
      <c r="B119" s="9" t="s">
        <v>625</v>
      </c>
      <c r="C119" s="52" t="str">
        <f t="shared" si="1"/>
        <v>NAPESHM_MXSO02_115</v>
      </c>
      <c r="D119" s="9" t="s">
        <v>629</v>
      </c>
      <c r="E119" s="9"/>
      <c r="F119" s="60" t="s">
        <v>1094</v>
      </c>
      <c r="G119" s="83">
        <v>27.38533</v>
      </c>
      <c r="H119" s="83">
        <v>-109.931983</v>
      </c>
      <c r="I119" s="9" t="s">
        <v>1184</v>
      </c>
      <c r="J119" s="9"/>
      <c r="K119" s="9"/>
      <c r="L119" s="60">
        <v>115</v>
      </c>
      <c r="M119" s="9" t="s">
        <v>468</v>
      </c>
      <c r="N119" s="9" t="s">
        <v>468</v>
      </c>
      <c r="O119" s="60" t="s">
        <v>1199</v>
      </c>
    </row>
    <row r="120" spans="1:15" x14ac:dyDescent="0.25">
      <c r="A120" s="4"/>
      <c r="B120" s="9" t="s">
        <v>625</v>
      </c>
      <c r="C120" s="52" t="str">
        <f t="shared" si="1"/>
        <v>NAPESHM_MXSO02_116</v>
      </c>
      <c r="D120" s="9" t="s">
        <v>629</v>
      </c>
      <c r="E120" s="9"/>
      <c r="F120" s="60" t="s">
        <v>1094</v>
      </c>
      <c r="G120" s="83">
        <v>27.38533</v>
      </c>
      <c r="H120" s="83">
        <v>-109.931983</v>
      </c>
      <c r="I120" s="9" t="s">
        <v>1184</v>
      </c>
      <c r="J120" s="9"/>
      <c r="K120" s="9"/>
      <c r="L120" s="60">
        <v>116</v>
      </c>
      <c r="M120" s="9" t="s">
        <v>468</v>
      </c>
      <c r="N120" s="9" t="s">
        <v>468</v>
      </c>
      <c r="O120" s="60" t="s">
        <v>1199</v>
      </c>
    </row>
    <row r="121" spans="1:15" x14ac:dyDescent="0.25">
      <c r="A121" s="4"/>
      <c r="B121" s="9" t="s">
        <v>625</v>
      </c>
      <c r="C121" s="52" t="str">
        <f t="shared" si="1"/>
        <v>NAPESHM_MXSO02_117</v>
      </c>
      <c r="D121" s="9" t="s">
        <v>629</v>
      </c>
      <c r="E121" s="9"/>
      <c r="F121" s="60" t="s">
        <v>1094</v>
      </c>
      <c r="G121" s="83">
        <v>27.38533</v>
      </c>
      <c r="H121" s="83">
        <v>-109.931983</v>
      </c>
      <c r="I121" s="9" t="s">
        <v>1184</v>
      </c>
      <c r="J121" s="9"/>
      <c r="K121" s="9"/>
      <c r="L121" s="60">
        <v>117</v>
      </c>
      <c r="M121" s="9" t="s">
        <v>468</v>
      </c>
      <c r="N121" s="9" t="s">
        <v>468</v>
      </c>
      <c r="O121" s="60" t="s">
        <v>1199</v>
      </c>
    </row>
    <row r="122" spans="1:15" x14ac:dyDescent="0.25">
      <c r="A122" s="4"/>
      <c r="B122" s="9" t="s">
        <v>625</v>
      </c>
      <c r="C122" s="52" t="str">
        <f t="shared" si="1"/>
        <v>NAPESHM_MXSO02_118</v>
      </c>
      <c r="D122" s="9" t="s">
        <v>629</v>
      </c>
      <c r="E122" s="9"/>
      <c r="F122" s="60" t="s">
        <v>1094</v>
      </c>
      <c r="G122" s="83">
        <v>27.38533</v>
      </c>
      <c r="H122" s="83">
        <v>-109.931983</v>
      </c>
      <c r="I122" s="9" t="s">
        <v>1184</v>
      </c>
      <c r="J122" s="9"/>
      <c r="K122" s="9"/>
      <c r="L122" s="60">
        <v>118</v>
      </c>
      <c r="M122" s="9" t="s">
        <v>468</v>
      </c>
      <c r="N122" s="9" t="s">
        <v>468</v>
      </c>
      <c r="O122" s="60" t="s">
        <v>1199</v>
      </c>
    </row>
    <row r="123" spans="1:15" x14ac:dyDescent="0.25">
      <c r="A123" s="4"/>
      <c r="B123" s="9" t="s">
        <v>625</v>
      </c>
      <c r="C123" s="52" t="str">
        <f t="shared" si="1"/>
        <v>NAPESHM_MXSO02_119</v>
      </c>
      <c r="D123" s="9" t="s">
        <v>629</v>
      </c>
      <c r="E123" s="9"/>
      <c r="F123" s="60" t="s">
        <v>1094</v>
      </c>
      <c r="G123" s="83">
        <v>27.38533</v>
      </c>
      <c r="H123" s="83">
        <v>-109.931983</v>
      </c>
      <c r="I123" s="9" t="s">
        <v>1184</v>
      </c>
      <c r="J123" s="9"/>
      <c r="K123" s="9"/>
      <c r="L123" s="60">
        <v>119</v>
      </c>
      <c r="M123" s="9" t="s">
        <v>468</v>
      </c>
      <c r="N123" s="9" t="s">
        <v>468</v>
      </c>
      <c r="O123" s="60" t="s">
        <v>1199</v>
      </c>
    </row>
    <row r="124" spans="1:15" x14ac:dyDescent="0.25">
      <c r="A124" s="4"/>
      <c r="B124" s="9" t="s">
        <v>625</v>
      </c>
      <c r="C124" s="52" t="str">
        <f t="shared" si="1"/>
        <v>NAPESHM_MXSO02_120</v>
      </c>
      <c r="D124" s="9" t="s">
        <v>629</v>
      </c>
      <c r="E124" s="9"/>
      <c r="F124" s="60" t="s">
        <v>1094</v>
      </c>
      <c r="G124" s="83">
        <v>27.38533</v>
      </c>
      <c r="H124" s="83">
        <v>-109.931983</v>
      </c>
      <c r="I124" s="9" t="s">
        <v>1184</v>
      </c>
      <c r="J124" s="9"/>
      <c r="K124" s="9"/>
      <c r="L124" s="60">
        <v>120</v>
      </c>
      <c r="M124" s="9" t="s">
        <v>468</v>
      </c>
      <c r="N124" s="9" t="s">
        <v>468</v>
      </c>
      <c r="O124" s="60" t="s">
        <v>1199</v>
      </c>
    </row>
    <row r="125" spans="1:15" x14ac:dyDescent="0.25">
      <c r="A125" s="4"/>
      <c r="B125" s="9" t="s">
        <v>625</v>
      </c>
      <c r="C125" s="52" t="str">
        <f t="shared" si="1"/>
        <v>NAPESHM_MXSO02_121</v>
      </c>
      <c r="D125" s="9" t="s">
        <v>629</v>
      </c>
      <c r="E125" s="9"/>
      <c r="F125" s="60" t="s">
        <v>1094</v>
      </c>
      <c r="G125" s="83">
        <v>27.38533</v>
      </c>
      <c r="H125" s="83">
        <v>-109.931983</v>
      </c>
      <c r="I125" s="9" t="s">
        <v>1184</v>
      </c>
      <c r="J125" s="9"/>
      <c r="K125" s="9"/>
      <c r="L125" s="60">
        <v>121</v>
      </c>
      <c r="M125" s="9" t="s">
        <v>468</v>
      </c>
      <c r="N125" s="9" t="s">
        <v>468</v>
      </c>
      <c r="O125" s="60" t="s">
        <v>1199</v>
      </c>
    </row>
    <row r="126" spans="1:15" x14ac:dyDescent="0.25">
      <c r="A126" s="4"/>
      <c r="B126" s="9" t="s">
        <v>625</v>
      </c>
      <c r="C126" s="52" t="str">
        <f t="shared" si="1"/>
        <v>NAPESHM_MXSO02_122</v>
      </c>
      <c r="D126" s="9" t="s">
        <v>629</v>
      </c>
      <c r="E126" s="9"/>
      <c r="F126" s="60" t="s">
        <v>1094</v>
      </c>
      <c r="G126" s="83">
        <v>27.38533</v>
      </c>
      <c r="H126" s="83">
        <v>-109.931983</v>
      </c>
      <c r="I126" s="9" t="s">
        <v>1184</v>
      </c>
      <c r="J126" s="9"/>
      <c r="K126" s="9"/>
      <c r="L126" s="60">
        <v>122</v>
      </c>
      <c r="M126" s="9" t="s">
        <v>468</v>
      </c>
      <c r="N126" s="9" t="s">
        <v>468</v>
      </c>
      <c r="O126" s="60" t="s">
        <v>1199</v>
      </c>
    </row>
    <row r="127" spans="1:15" x14ac:dyDescent="0.25">
      <c r="A127" s="4"/>
      <c r="B127" s="9" t="s">
        <v>625</v>
      </c>
      <c r="C127" s="52" t="str">
        <f t="shared" si="1"/>
        <v>NAPESHM_MXSO03_123</v>
      </c>
      <c r="D127" s="9" t="s">
        <v>629</v>
      </c>
      <c r="E127" s="9"/>
      <c r="F127" s="60" t="s">
        <v>1095</v>
      </c>
      <c r="G127" s="83">
        <v>27.38533</v>
      </c>
      <c r="H127" s="83">
        <v>-109.931983</v>
      </c>
      <c r="I127" s="9" t="s">
        <v>1184</v>
      </c>
      <c r="J127" s="9"/>
      <c r="K127" s="9"/>
      <c r="L127" s="60">
        <v>123</v>
      </c>
      <c r="M127" s="9" t="s">
        <v>468</v>
      </c>
      <c r="N127" s="9" t="s">
        <v>468</v>
      </c>
      <c r="O127" s="60" t="s">
        <v>1200</v>
      </c>
    </row>
    <row r="128" spans="1:15" x14ac:dyDescent="0.25">
      <c r="A128" s="4"/>
      <c r="B128" s="9" t="s">
        <v>625</v>
      </c>
      <c r="C128" s="52" t="str">
        <f t="shared" si="1"/>
        <v>NAPESHM_MXSO03_124</v>
      </c>
      <c r="D128" s="9" t="s">
        <v>629</v>
      </c>
      <c r="E128" s="9"/>
      <c r="F128" s="60" t="s">
        <v>1095</v>
      </c>
      <c r="G128" s="83">
        <v>27.38533</v>
      </c>
      <c r="H128" s="83">
        <v>-109.931983</v>
      </c>
      <c r="I128" s="9" t="s">
        <v>1184</v>
      </c>
      <c r="J128" s="9"/>
      <c r="K128" s="9"/>
      <c r="L128" s="60">
        <v>124</v>
      </c>
      <c r="M128" s="9" t="s">
        <v>468</v>
      </c>
      <c r="N128" s="9" t="s">
        <v>468</v>
      </c>
      <c r="O128" s="60" t="s">
        <v>1200</v>
      </c>
    </row>
    <row r="129" spans="1:15" x14ac:dyDescent="0.25">
      <c r="A129" s="4"/>
      <c r="B129" s="9" t="s">
        <v>625</v>
      </c>
      <c r="C129" s="52" t="str">
        <f t="shared" si="1"/>
        <v>NAPESHM_MXSO03_125</v>
      </c>
      <c r="D129" s="9" t="s">
        <v>629</v>
      </c>
      <c r="E129" s="9"/>
      <c r="F129" s="60" t="s">
        <v>1095</v>
      </c>
      <c r="G129" s="83">
        <v>27.38533</v>
      </c>
      <c r="H129" s="83">
        <v>-109.931983</v>
      </c>
      <c r="I129" s="9" t="s">
        <v>1184</v>
      </c>
      <c r="J129" s="9"/>
      <c r="K129" s="9"/>
      <c r="L129" s="60">
        <v>125</v>
      </c>
      <c r="M129" s="9" t="s">
        <v>468</v>
      </c>
      <c r="N129" s="9" t="s">
        <v>468</v>
      </c>
      <c r="O129" s="60" t="s">
        <v>1200</v>
      </c>
    </row>
    <row r="130" spans="1:15" x14ac:dyDescent="0.25">
      <c r="A130" s="4"/>
      <c r="B130" s="9" t="s">
        <v>625</v>
      </c>
      <c r="C130" s="52" t="str">
        <f t="shared" si="1"/>
        <v>NAPESHM_MXSO03_126</v>
      </c>
      <c r="D130" s="9" t="s">
        <v>629</v>
      </c>
      <c r="E130" s="9"/>
      <c r="F130" s="60" t="s">
        <v>1095</v>
      </c>
      <c r="G130" s="83">
        <v>27.38533</v>
      </c>
      <c r="H130" s="83">
        <v>-109.931983</v>
      </c>
      <c r="I130" s="9" t="s">
        <v>1184</v>
      </c>
      <c r="J130" s="9"/>
      <c r="K130" s="9"/>
      <c r="L130" s="60">
        <v>126</v>
      </c>
      <c r="M130" s="9" t="s">
        <v>468</v>
      </c>
      <c r="N130" s="9" t="s">
        <v>468</v>
      </c>
      <c r="O130" s="60" t="s">
        <v>1200</v>
      </c>
    </row>
    <row r="131" spans="1:15" x14ac:dyDescent="0.25">
      <c r="A131" s="4"/>
      <c r="B131" s="9" t="s">
        <v>625</v>
      </c>
      <c r="C131" s="52" t="str">
        <f t="shared" si="1"/>
        <v>NAPESHM_MXSO03_127</v>
      </c>
      <c r="D131" s="9" t="s">
        <v>629</v>
      </c>
      <c r="E131" s="9"/>
      <c r="F131" s="60" t="s">
        <v>1095</v>
      </c>
      <c r="G131" s="83">
        <v>27.38533</v>
      </c>
      <c r="H131" s="83">
        <v>-109.931983</v>
      </c>
      <c r="I131" s="9" t="s">
        <v>1184</v>
      </c>
      <c r="J131" s="9"/>
      <c r="K131" s="9"/>
      <c r="L131" s="60">
        <v>127</v>
      </c>
      <c r="M131" s="9" t="s">
        <v>468</v>
      </c>
      <c r="N131" s="9" t="s">
        <v>468</v>
      </c>
      <c r="O131" s="60" t="s">
        <v>1200</v>
      </c>
    </row>
    <row r="132" spans="1:15" x14ac:dyDescent="0.25">
      <c r="A132" s="4"/>
      <c r="B132" s="9" t="s">
        <v>625</v>
      </c>
      <c r="C132" s="52" t="str">
        <f t="shared" si="1"/>
        <v>NAPESHM_MXSO03_128</v>
      </c>
      <c r="D132" s="9" t="s">
        <v>629</v>
      </c>
      <c r="E132" s="9"/>
      <c r="F132" s="60" t="s">
        <v>1095</v>
      </c>
      <c r="G132" s="83">
        <v>27.38533</v>
      </c>
      <c r="H132" s="83">
        <v>-109.931983</v>
      </c>
      <c r="I132" s="9" t="s">
        <v>1184</v>
      </c>
      <c r="J132" s="9"/>
      <c r="K132" s="9"/>
      <c r="L132" s="60">
        <v>128</v>
      </c>
      <c r="M132" s="9" t="s">
        <v>468</v>
      </c>
      <c r="N132" s="9" t="s">
        <v>468</v>
      </c>
      <c r="O132" s="60" t="s">
        <v>1200</v>
      </c>
    </row>
    <row r="133" spans="1:15" x14ac:dyDescent="0.25">
      <c r="A133" s="4"/>
      <c r="B133" s="9" t="s">
        <v>625</v>
      </c>
      <c r="C133" s="52" t="str">
        <f t="shared" ref="C133:C198" si="2">IF(ISBLANK(D133), "", CONCATENATE(D133,E133,"_",F133,"_",L133))</f>
        <v>NAPESHM_MXSO03_129</v>
      </c>
      <c r="D133" s="9" t="s">
        <v>629</v>
      </c>
      <c r="E133" s="9"/>
      <c r="F133" s="60" t="s">
        <v>1095</v>
      </c>
      <c r="G133" s="83">
        <v>27.38533</v>
      </c>
      <c r="H133" s="83">
        <v>-109.931983</v>
      </c>
      <c r="I133" s="9" t="s">
        <v>1184</v>
      </c>
      <c r="J133" s="9"/>
      <c r="K133" s="9"/>
      <c r="L133" s="60">
        <v>129</v>
      </c>
      <c r="M133" s="9" t="s">
        <v>468</v>
      </c>
      <c r="N133" s="9" t="s">
        <v>468</v>
      </c>
      <c r="O133" s="60" t="s">
        <v>1200</v>
      </c>
    </row>
    <row r="134" spans="1:15" x14ac:dyDescent="0.25">
      <c r="A134" s="4"/>
      <c r="B134" s="9" t="s">
        <v>625</v>
      </c>
      <c r="C134" s="52" t="str">
        <f t="shared" si="2"/>
        <v>NAPESHM_MXSO03_130</v>
      </c>
      <c r="D134" s="9" t="s">
        <v>629</v>
      </c>
      <c r="E134" s="9"/>
      <c r="F134" s="60" t="s">
        <v>1095</v>
      </c>
      <c r="G134" s="83">
        <v>27.38533</v>
      </c>
      <c r="H134" s="83">
        <v>-109.931983</v>
      </c>
      <c r="I134" s="9" t="s">
        <v>1184</v>
      </c>
      <c r="J134" s="9"/>
      <c r="K134" s="9"/>
      <c r="L134" s="60">
        <v>130</v>
      </c>
      <c r="M134" s="9" t="s">
        <v>468</v>
      </c>
      <c r="N134" s="9" t="s">
        <v>468</v>
      </c>
      <c r="O134" s="60" t="s">
        <v>1200</v>
      </c>
    </row>
    <row r="135" spans="1:15" x14ac:dyDescent="0.25">
      <c r="A135" s="4"/>
      <c r="B135" s="9" t="s">
        <v>625</v>
      </c>
      <c r="C135" s="52" t="str">
        <f t="shared" si="2"/>
        <v>NAPESHM_MXSO03_131</v>
      </c>
      <c r="D135" s="9" t="s">
        <v>629</v>
      </c>
      <c r="E135" s="9"/>
      <c r="F135" s="60" t="s">
        <v>1095</v>
      </c>
      <c r="G135" s="83">
        <v>27.38533</v>
      </c>
      <c r="H135" s="83">
        <v>-109.931983</v>
      </c>
      <c r="I135" s="9" t="s">
        <v>1184</v>
      </c>
      <c r="J135" s="9"/>
      <c r="K135" s="9"/>
      <c r="L135" s="60">
        <v>131</v>
      </c>
      <c r="M135" s="9" t="s">
        <v>468</v>
      </c>
      <c r="N135" s="9" t="s">
        <v>468</v>
      </c>
      <c r="O135" s="60" t="s">
        <v>1200</v>
      </c>
    </row>
    <row r="136" spans="1:15" x14ac:dyDescent="0.25">
      <c r="A136" s="4"/>
      <c r="B136" s="9" t="s">
        <v>625</v>
      </c>
      <c r="C136" s="52" t="str">
        <f t="shared" si="2"/>
        <v>NAPESHM_MXSO03_132</v>
      </c>
      <c r="D136" s="9" t="s">
        <v>629</v>
      </c>
      <c r="E136" s="9"/>
      <c r="F136" s="60" t="s">
        <v>1095</v>
      </c>
      <c r="G136" s="83">
        <v>27.38533</v>
      </c>
      <c r="H136" s="83">
        <v>-109.931983</v>
      </c>
      <c r="I136" s="9" t="s">
        <v>1184</v>
      </c>
      <c r="J136" s="9"/>
      <c r="K136" s="9"/>
      <c r="L136" s="60">
        <v>132</v>
      </c>
      <c r="M136" s="9" t="s">
        <v>468</v>
      </c>
      <c r="N136" s="9" t="s">
        <v>468</v>
      </c>
      <c r="O136" s="60" t="s">
        <v>1200</v>
      </c>
    </row>
    <row r="137" spans="1:15" x14ac:dyDescent="0.25">
      <c r="A137" s="4"/>
      <c r="B137" s="9" t="s">
        <v>625</v>
      </c>
      <c r="C137" s="52" t="str">
        <f t="shared" si="2"/>
        <v>NAPESHM_MXSO03_133</v>
      </c>
      <c r="D137" s="9" t="s">
        <v>629</v>
      </c>
      <c r="E137" s="9"/>
      <c r="F137" s="60" t="s">
        <v>1095</v>
      </c>
      <c r="G137" s="83">
        <v>27.38533</v>
      </c>
      <c r="H137" s="83">
        <v>-109.931983</v>
      </c>
      <c r="I137" s="9" t="s">
        <v>1184</v>
      </c>
      <c r="J137" s="9"/>
      <c r="K137" s="9"/>
      <c r="L137" s="60">
        <v>133</v>
      </c>
      <c r="M137" s="9" t="s">
        <v>468</v>
      </c>
      <c r="N137" s="9" t="s">
        <v>468</v>
      </c>
      <c r="O137" s="60" t="s">
        <v>1200</v>
      </c>
    </row>
    <row r="138" spans="1:15" x14ac:dyDescent="0.25">
      <c r="A138" s="4"/>
      <c r="B138" s="9" t="s">
        <v>625</v>
      </c>
      <c r="C138" s="52" t="str">
        <f t="shared" si="2"/>
        <v>NAPESHM_MXSO03_134</v>
      </c>
      <c r="D138" s="9" t="s">
        <v>629</v>
      </c>
      <c r="E138" s="9"/>
      <c r="F138" s="60" t="s">
        <v>1095</v>
      </c>
      <c r="G138" s="83">
        <v>27.38533</v>
      </c>
      <c r="H138" s="83">
        <v>-109.931983</v>
      </c>
      <c r="I138" s="9" t="s">
        <v>1184</v>
      </c>
      <c r="J138" s="9"/>
      <c r="K138" s="9"/>
      <c r="L138" s="60">
        <v>134</v>
      </c>
      <c r="M138" s="9" t="s">
        <v>468</v>
      </c>
      <c r="N138" s="9" t="s">
        <v>468</v>
      </c>
      <c r="O138" s="60" t="s">
        <v>1200</v>
      </c>
    </row>
    <row r="139" spans="1:15" x14ac:dyDescent="0.25">
      <c r="A139" s="4"/>
      <c r="B139" s="9" t="s">
        <v>625</v>
      </c>
      <c r="C139" s="52" t="str">
        <f t="shared" si="2"/>
        <v>NAPESHM_MXSO03_135</v>
      </c>
      <c r="D139" s="9" t="s">
        <v>629</v>
      </c>
      <c r="E139" s="9"/>
      <c r="F139" s="60" t="s">
        <v>1095</v>
      </c>
      <c r="G139" s="83">
        <v>27.38533</v>
      </c>
      <c r="H139" s="83">
        <v>-109.931983</v>
      </c>
      <c r="I139" s="9" t="s">
        <v>1184</v>
      </c>
      <c r="J139" s="9"/>
      <c r="K139" s="9"/>
      <c r="L139" s="60">
        <v>135</v>
      </c>
      <c r="M139" s="9" t="s">
        <v>468</v>
      </c>
      <c r="N139" s="9" t="s">
        <v>468</v>
      </c>
      <c r="O139" s="60" t="s">
        <v>1200</v>
      </c>
    </row>
    <row r="140" spans="1:15" x14ac:dyDescent="0.25">
      <c r="A140" s="4"/>
      <c r="B140" s="9" t="s">
        <v>625</v>
      </c>
      <c r="C140" s="52" t="str">
        <f t="shared" si="2"/>
        <v>NAPESHM_MXSO03_136</v>
      </c>
      <c r="D140" s="9" t="s">
        <v>629</v>
      </c>
      <c r="E140" s="9"/>
      <c r="F140" s="60" t="s">
        <v>1095</v>
      </c>
      <c r="G140" s="83">
        <v>27.38533</v>
      </c>
      <c r="H140" s="83">
        <v>-109.931983</v>
      </c>
      <c r="I140" s="9" t="s">
        <v>1184</v>
      </c>
      <c r="J140" s="9"/>
      <c r="K140" s="9"/>
      <c r="L140" s="60">
        <v>136</v>
      </c>
      <c r="M140" s="9" t="s">
        <v>468</v>
      </c>
      <c r="N140" s="9" t="s">
        <v>468</v>
      </c>
      <c r="O140" s="60" t="s">
        <v>1200</v>
      </c>
    </row>
    <row r="141" spans="1:15" x14ac:dyDescent="0.25">
      <c r="A141" s="4"/>
      <c r="B141" s="9" t="s">
        <v>625</v>
      </c>
      <c r="C141" s="52" t="str">
        <f t="shared" si="2"/>
        <v>NAPESHM_USAL01_137</v>
      </c>
      <c r="D141" s="9" t="s">
        <v>629</v>
      </c>
      <c r="E141" s="9"/>
      <c r="F141" s="60" t="s">
        <v>1096</v>
      </c>
      <c r="G141" s="83">
        <v>34.273631999999999</v>
      </c>
      <c r="H141" s="83">
        <v>-85.957986000000005</v>
      </c>
      <c r="I141" s="9" t="s">
        <v>58</v>
      </c>
      <c r="J141" s="9"/>
      <c r="K141" s="9"/>
      <c r="L141" s="60">
        <v>137</v>
      </c>
      <c r="M141" s="9" t="s">
        <v>468</v>
      </c>
      <c r="N141" s="9" t="s">
        <v>468</v>
      </c>
      <c r="O141" s="60" t="s">
        <v>1201</v>
      </c>
    </row>
    <row r="142" spans="1:15" x14ac:dyDescent="0.25">
      <c r="A142" s="4"/>
      <c r="B142" s="9" t="s">
        <v>625</v>
      </c>
      <c r="C142" s="52" t="str">
        <f t="shared" si="2"/>
        <v>NAPESHM_USAL01_138</v>
      </c>
      <c r="D142" s="9" t="s">
        <v>629</v>
      </c>
      <c r="E142" s="9"/>
      <c r="F142" s="60" t="s">
        <v>1096</v>
      </c>
      <c r="G142" s="83">
        <v>34.273631999999999</v>
      </c>
      <c r="H142" s="83">
        <v>-85.957986000000005</v>
      </c>
      <c r="I142" s="9" t="s">
        <v>58</v>
      </c>
      <c r="J142" s="9"/>
      <c r="K142" s="9"/>
      <c r="L142" s="60">
        <v>138</v>
      </c>
      <c r="M142" s="9" t="s">
        <v>468</v>
      </c>
      <c r="N142" s="9" t="s">
        <v>468</v>
      </c>
      <c r="O142" s="60" t="s">
        <v>1201</v>
      </c>
    </row>
    <row r="143" spans="1:15" x14ac:dyDescent="0.25">
      <c r="A143" s="4"/>
      <c r="B143" s="9" t="s">
        <v>625</v>
      </c>
      <c r="C143" s="52" t="str">
        <f t="shared" si="2"/>
        <v>NAPESHM_USAL01_139</v>
      </c>
      <c r="D143" s="9" t="s">
        <v>629</v>
      </c>
      <c r="E143" s="9"/>
      <c r="F143" s="60" t="s">
        <v>1096</v>
      </c>
      <c r="G143" s="83">
        <v>34.273631999999999</v>
      </c>
      <c r="H143" s="83">
        <v>-85.957986000000005</v>
      </c>
      <c r="I143" s="9" t="s">
        <v>58</v>
      </c>
      <c r="J143" s="9"/>
      <c r="K143" s="9"/>
      <c r="L143" s="60">
        <v>139</v>
      </c>
      <c r="M143" s="9" t="s">
        <v>468</v>
      </c>
      <c r="N143" s="9" t="s">
        <v>468</v>
      </c>
      <c r="O143" s="60" t="s">
        <v>1201</v>
      </c>
    </row>
    <row r="144" spans="1:15" x14ac:dyDescent="0.25">
      <c r="A144" s="4"/>
      <c r="B144" s="9" t="s">
        <v>625</v>
      </c>
      <c r="C144" s="52" t="str">
        <f t="shared" si="2"/>
        <v>NAPESHM_USAL01_140</v>
      </c>
      <c r="D144" s="9" t="s">
        <v>629</v>
      </c>
      <c r="E144" s="9"/>
      <c r="F144" s="60" t="s">
        <v>1096</v>
      </c>
      <c r="G144" s="83">
        <v>34.273631999999999</v>
      </c>
      <c r="H144" s="83">
        <v>-85.957986000000005</v>
      </c>
      <c r="I144" s="9" t="s">
        <v>58</v>
      </c>
      <c r="J144" s="9"/>
      <c r="K144" s="9"/>
      <c r="L144" s="60">
        <v>140</v>
      </c>
      <c r="M144" s="9" t="s">
        <v>468</v>
      </c>
      <c r="N144" s="9" t="s">
        <v>468</v>
      </c>
      <c r="O144" s="60" t="s">
        <v>1201</v>
      </c>
    </row>
    <row r="145" spans="1:15" x14ac:dyDescent="0.25">
      <c r="A145" s="4"/>
      <c r="B145" s="9" t="s">
        <v>625</v>
      </c>
      <c r="C145" s="52" t="str">
        <f t="shared" si="2"/>
        <v>NAPESHM_USAL01_141</v>
      </c>
      <c r="D145" s="9" t="s">
        <v>629</v>
      </c>
      <c r="E145" s="9"/>
      <c r="F145" s="60" t="s">
        <v>1096</v>
      </c>
      <c r="G145" s="83">
        <v>34.273631999999999</v>
      </c>
      <c r="H145" s="83">
        <v>-85.957986000000005</v>
      </c>
      <c r="I145" s="9" t="s">
        <v>58</v>
      </c>
      <c r="J145" s="9"/>
      <c r="K145" s="9"/>
      <c r="L145" s="60">
        <v>141</v>
      </c>
      <c r="M145" s="9" t="s">
        <v>468</v>
      </c>
      <c r="N145" s="9" t="s">
        <v>468</v>
      </c>
      <c r="O145" s="60" t="s">
        <v>1201</v>
      </c>
    </row>
    <row r="146" spans="1:15" x14ac:dyDescent="0.25">
      <c r="A146" s="4"/>
      <c r="B146" s="9" t="s">
        <v>625</v>
      </c>
      <c r="C146" s="52" t="str">
        <f t="shared" si="2"/>
        <v>NAPESHM_USAL01_142</v>
      </c>
      <c r="D146" s="9" t="s">
        <v>629</v>
      </c>
      <c r="E146" s="9"/>
      <c r="F146" s="60" t="s">
        <v>1096</v>
      </c>
      <c r="G146" s="83">
        <v>34.273631999999999</v>
      </c>
      <c r="H146" s="83">
        <v>-85.957986000000005</v>
      </c>
      <c r="I146" s="9" t="s">
        <v>58</v>
      </c>
      <c r="J146" s="9"/>
      <c r="K146" s="9"/>
      <c r="L146" s="60">
        <v>142</v>
      </c>
      <c r="M146" s="9" t="s">
        <v>468</v>
      </c>
      <c r="N146" s="9" t="s">
        <v>468</v>
      </c>
      <c r="O146" s="60" t="s">
        <v>1201</v>
      </c>
    </row>
    <row r="147" spans="1:15" x14ac:dyDescent="0.25">
      <c r="A147" s="4"/>
      <c r="B147" s="9" t="s">
        <v>625</v>
      </c>
      <c r="C147" s="52" t="str">
        <f t="shared" si="2"/>
        <v>NAPESHM_USAL01_143</v>
      </c>
      <c r="D147" s="9" t="s">
        <v>629</v>
      </c>
      <c r="E147" s="9"/>
      <c r="F147" s="60" t="s">
        <v>1096</v>
      </c>
      <c r="G147" s="83">
        <v>34.273631999999999</v>
      </c>
      <c r="H147" s="83">
        <v>-85.957986000000005</v>
      </c>
      <c r="I147" s="9" t="s">
        <v>58</v>
      </c>
      <c r="J147" s="9"/>
      <c r="K147" s="9"/>
      <c r="L147" s="60">
        <v>143</v>
      </c>
      <c r="M147" s="9" t="s">
        <v>468</v>
      </c>
      <c r="N147" s="9" t="s">
        <v>468</v>
      </c>
      <c r="O147" s="60" t="s">
        <v>1201</v>
      </c>
    </row>
    <row r="148" spans="1:15" x14ac:dyDescent="0.25">
      <c r="A148" s="4"/>
      <c r="B148" s="9" t="s">
        <v>625</v>
      </c>
      <c r="C148" s="52" t="str">
        <f t="shared" si="2"/>
        <v>NAPESHM_USAL01_144</v>
      </c>
      <c r="D148" s="9" t="s">
        <v>629</v>
      </c>
      <c r="E148" s="9"/>
      <c r="F148" s="60" t="s">
        <v>1096</v>
      </c>
      <c r="G148" s="83">
        <v>34.273631999999999</v>
      </c>
      <c r="H148" s="83">
        <v>-85.957986000000005</v>
      </c>
      <c r="I148" s="9" t="s">
        <v>58</v>
      </c>
      <c r="J148" s="9"/>
      <c r="K148" s="9"/>
      <c r="L148" s="60">
        <v>144</v>
      </c>
      <c r="M148" s="9" t="s">
        <v>468</v>
      </c>
      <c r="N148" s="9" t="s">
        <v>468</v>
      </c>
      <c r="O148" s="60" t="s">
        <v>1201</v>
      </c>
    </row>
    <row r="149" spans="1:15" x14ac:dyDescent="0.25">
      <c r="A149" s="4"/>
      <c r="B149" s="9" t="s">
        <v>625</v>
      </c>
      <c r="C149" s="52" t="str">
        <f t="shared" si="2"/>
        <v>NAPESHM_USAL02_145</v>
      </c>
      <c r="D149" s="9" t="s">
        <v>629</v>
      </c>
      <c r="E149" s="9"/>
      <c r="F149" s="60" t="s">
        <v>1097</v>
      </c>
      <c r="G149" s="83">
        <v>32.593474000000001</v>
      </c>
      <c r="H149" s="83">
        <v>-85.485833</v>
      </c>
      <c r="I149" s="9" t="s">
        <v>58</v>
      </c>
      <c r="J149" s="9"/>
      <c r="K149" s="9"/>
      <c r="L149" s="60">
        <v>145</v>
      </c>
      <c r="M149" s="9" t="s">
        <v>468</v>
      </c>
      <c r="N149" s="9" t="s">
        <v>468</v>
      </c>
      <c r="O149" s="60" t="s">
        <v>1202</v>
      </c>
    </row>
    <row r="150" spans="1:15" x14ac:dyDescent="0.25">
      <c r="A150" s="4"/>
      <c r="B150" s="9" t="s">
        <v>625</v>
      </c>
      <c r="C150" s="52" t="str">
        <f t="shared" si="2"/>
        <v>NAPESHM_USAL02_146</v>
      </c>
      <c r="D150" s="9" t="s">
        <v>629</v>
      </c>
      <c r="E150" s="9"/>
      <c r="F150" s="60" t="s">
        <v>1097</v>
      </c>
      <c r="G150" s="83">
        <v>32.593474000000001</v>
      </c>
      <c r="H150" s="83">
        <v>-85.485833</v>
      </c>
      <c r="I150" s="9" t="s">
        <v>58</v>
      </c>
      <c r="J150" s="9"/>
      <c r="K150" s="9"/>
      <c r="L150" s="60">
        <v>146</v>
      </c>
      <c r="M150" s="9" t="s">
        <v>468</v>
      </c>
      <c r="N150" s="9" t="s">
        <v>468</v>
      </c>
      <c r="O150" s="60" t="s">
        <v>1202</v>
      </c>
    </row>
    <row r="151" spans="1:15" x14ac:dyDescent="0.25">
      <c r="A151" s="4"/>
      <c r="B151" s="9" t="s">
        <v>625</v>
      </c>
      <c r="C151" s="52" t="str">
        <f t="shared" si="2"/>
        <v>NAPESHM_USAL02_147</v>
      </c>
      <c r="D151" s="9" t="s">
        <v>629</v>
      </c>
      <c r="E151" s="9"/>
      <c r="F151" s="60" t="s">
        <v>1097</v>
      </c>
      <c r="G151" s="83">
        <v>32.593474000000001</v>
      </c>
      <c r="H151" s="83">
        <v>-85.485833</v>
      </c>
      <c r="I151" s="9" t="s">
        <v>58</v>
      </c>
      <c r="J151" s="9"/>
      <c r="K151" s="9"/>
      <c r="L151" s="60">
        <v>147</v>
      </c>
      <c r="M151" s="9" t="s">
        <v>468</v>
      </c>
      <c r="N151" s="9" t="s">
        <v>468</v>
      </c>
      <c r="O151" s="60" t="s">
        <v>1202</v>
      </c>
    </row>
    <row r="152" spans="1:15" x14ac:dyDescent="0.25">
      <c r="A152" s="4"/>
      <c r="B152" s="9" t="s">
        <v>625</v>
      </c>
      <c r="C152" s="52" t="str">
        <f t="shared" si="2"/>
        <v>NAPESHM_USAL02_148</v>
      </c>
      <c r="D152" s="9" t="s">
        <v>629</v>
      </c>
      <c r="E152" s="9"/>
      <c r="F152" s="60" t="s">
        <v>1097</v>
      </c>
      <c r="G152" s="83">
        <v>32.593474000000001</v>
      </c>
      <c r="H152" s="83">
        <v>-85.485833</v>
      </c>
      <c r="I152" s="9" t="s">
        <v>58</v>
      </c>
      <c r="J152" s="9"/>
      <c r="K152" s="9"/>
      <c r="L152" s="60">
        <v>148</v>
      </c>
      <c r="M152" s="9" t="s">
        <v>468</v>
      </c>
      <c r="N152" s="9" t="s">
        <v>468</v>
      </c>
      <c r="O152" s="60" t="s">
        <v>1202</v>
      </c>
    </row>
    <row r="153" spans="1:15" x14ac:dyDescent="0.25">
      <c r="A153" s="4"/>
      <c r="B153" s="9" t="s">
        <v>625</v>
      </c>
      <c r="C153" s="52" t="str">
        <f t="shared" si="2"/>
        <v>NAPESHM_USAL02_149</v>
      </c>
      <c r="D153" s="9" t="s">
        <v>629</v>
      </c>
      <c r="E153" s="9"/>
      <c r="F153" s="60" t="s">
        <v>1097</v>
      </c>
      <c r="G153" s="83">
        <v>32.593474000000001</v>
      </c>
      <c r="H153" s="83">
        <v>-85.485833</v>
      </c>
      <c r="I153" s="9" t="s">
        <v>58</v>
      </c>
      <c r="J153" s="9"/>
      <c r="K153" s="9"/>
      <c r="L153" s="60">
        <v>149</v>
      </c>
      <c r="M153" s="9" t="s">
        <v>468</v>
      </c>
      <c r="N153" s="9" t="s">
        <v>468</v>
      </c>
      <c r="O153" s="60" t="s">
        <v>1202</v>
      </c>
    </row>
    <row r="154" spans="1:15" x14ac:dyDescent="0.25">
      <c r="A154" s="4"/>
      <c r="B154" s="9" t="s">
        <v>625</v>
      </c>
      <c r="C154" s="52" t="str">
        <f t="shared" si="2"/>
        <v>NAPESHM_USAL02_150</v>
      </c>
      <c r="D154" s="9" t="s">
        <v>629</v>
      </c>
      <c r="E154" s="9"/>
      <c r="F154" s="60" t="s">
        <v>1097</v>
      </c>
      <c r="G154" s="83">
        <v>32.593474000000001</v>
      </c>
      <c r="H154" s="83">
        <v>-85.485833</v>
      </c>
      <c r="I154" s="9" t="s">
        <v>58</v>
      </c>
      <c r="J154" s="9"/>
      <c r="K154" s="9"/>
      <c r="L154" s="60">
        <v>150</v>
      </c>
      <c r="M154" s="9" t="s">
        <v>468</v>
      </c>
      <c r="N154" s="9" t="s">
        <v>468</v>
      </c>
      <c r="O154" s="60" t="s">
        <v>1202</v>
      </c>
    </row>
    <row r="155" spans="1:15" x14ac:dyDescent="0.25">
      <c r="A155" s="4"/>
      <c r="B155" s="9" t="s">
        <v>625</v>
      </c>
      <c r="C155" s="52" t="str">
        <f t="shared" si="2"/>
        <v>NAPESHM_USAL02_151</v>
      </c>
      <c r="D155" s="9" t="s">
        <v>629</v>
      </c>
      <c r="E155" s="9"/>
      <c r="F155" s="60" t="s">
        <v>1097</v>
      </c>
      <c r="G155" s="83">
        <v>32.593474000000001</v>
      </c>
      <c r="H155" s="83">
        <v>-85.485833</v>
      </c>
      <c r="I155" s="9" t="s">
        <v>58</v>
      </c>
      <c r="J155" s="9"/>
      <c r="K155" s="9"/>
      <c r="L155" s="60">
        <v>151</v>
      </c>
      <c r="M155" s="9" t="s">
        <v>468</v>
      </c>
      <c r="N155" s="9" t="s">
        <v>468</v>
      </c>
      <c r="O155" s="60" t="s">
        <v>1202</v>
      </c>
    </row>
    <row r="156" spans="1:15" x14ac:dyDescent="0.25">
      <c r="A156" s="4"/>
      <c r="B156" s="9" t="s">
        <v>625</v>
      </c>
      <c r="C156" s="52" t="str">
        <f t="shared" si="2"/>
        <v>NAPESHM_USAL02_152</v>
      </c>
      <c r="D156" s="9" t="s">
        <v>629</v>
      </c>
      <c r="E156" s="9"/>
      <c r="F156" s="60" t="s">
        <v>1097</v>
      </c>
      <c r="G156" s="83">
        <v>32.593474000000001</v>
      </c>
      <c r="H156" s="83">
        <v>-85.485833</v>
      </c>
      <c r="I156" s="9" t="s">
        <v>58</v>
      </c>
      <c r="J156" s="9"/>
      <c r="K156" s="9"/>
      <c r="L156" s="60">
        <v>152</v>
      </c>
      <c r="M156" s="9" t="s">
        <v>468</v>
      </c>
      <c r="N156" s="9" t="s">
        <v>468</v>
      </c>
      <c r="O156" s="60" t="s">
        <v>1202</v>
      </c>
    </row>
    <row r="157" spans="1:15" x14ac:dyDescent="0.25">
      <c r="A157" s="4"/>
      <c r="B157" s="9" t="s">
        <v>625</v>
      </c>
      <c r="C157" s="52" t="str">
        <f t="shared" si="2"/>
        <v>NAPESHM_USAL02_153</v>
      </c>
      <c r="D157" s="9" t="s">
        <v>629</v>
      </c>
      <c r="E157" s="9"/>
      <c r="F157" s="60" t="s">
        <v>1097</v>
      </c>
      <c r="G157" s="83">
        <v>32.593474000000001</v>
      </c>
      <c r="H157" s="83">
        <v>-85.485833</v>
      </c>
      <c r="I157" s="9" t="s">
        <v>58</v>
      </c>
      <c r="J157" s="9"/>
      <c r="K157" s="9"/>
      <c r="L157" s="60">
        <v>153</v>
      </c>
      <c r="M157" s="9" t="s">
        <v>468</v>
      </c>
      <c r="N157" s="9" t="s">
        <v>468</v>
      </c>
      <c r="O157" s="60" t="s">
        <v>1202</v>
      </c>
    </row>
    <row r="158" spans="1:15" x14ac:dyDescent="0.25">
      <c r="A158" s="4"/>
      <c r="B158" s="9" t="s">
        <v>625</v>
      </c>
      <c r="C158" s="52" t="str">
        <f t="shared" si="2"/>
        <v>NAPESHM_USAL02_154</v>
      </c>
      <c r="D158" s="9" t="s">
        <v>629</v>
      </c>
      <c r="E158" s="9"/>
      <c r="F158" s="60" t="s">
        <v>1097</v>
      </c>
      <c r="G158" s="83">
        <v>32.593474000000001</v>
      </c>
      <c r="H158" s="83">
        <v>-85.485833</v>
      </c>
      <c r="I158" s="9" t="s">
        <v>58</v>
      </c>
      <c r="J158" s="9"/>
      <c r="K158" s="9"/>
      <c r="L158" s="60">
        <v>154</v>
      </c>
      <c r="M158" s="9" t="s">
        <v>468</v>
      </c>
      <c r="N158" s="9" t="s">
        <v>468</v>
      </c>
      <c r="O158" s="60" t="s">
        <v>1202</v>
      </c>
    </row>
    <row r="159" spans="1:15" x14ac:dyDescent="0.25">
      <c r="A159" s="4"/>
      <c r="B159" s="9" t="s">
        <v>625</v>
      </c>
      <c r="C159" s="52" t="str">
        <f t="shared" si="2"/>
        <v>NAPESHM_USAL02_155</v>
      </c>
      <c r="D159" s="9" t="s">
        <v>629</v>
      </c>
      <c r="E159" s="9"/>
      <c r="F159" s="60" t="s">
        <v>1097</v>
      </c>
      <c r="G159" s="83">
        <v>32.593474000000001</v>
      </c>
      <c r="H159" s="83">
        <v>-85.485833</v>
      </c>
      <c r="I159" s="9" t="s">
        <v>58</v>
      </c>
      <c r="J159" s="9"/>
      <c r="K159" s="9"/>
      <c r="L159" s="60">
        <v>155</v>
      </c>
      <c r="M159" s="9" t="s">
        <v>468</v>
      </c>
      <c r="N159" s="9" t="s">
        <v>468</v>
      </c>
      <c r="O159" s="60" t="s">
        <v>1202</v>
      </c>
    </row>
    <row r="160" spans="1:15" x14ac:dyDescent="0.25">
      <c r="A160" s="4"/>
      <c r="B160" s="9" t="s">
        <v>625</v>
      </c>
      <c r="C160" s="52" t="str">
        <f t="shared" si="2"/>
        <v>NAPESHM_USAL02_156</v>
      </c>
      <c r="D160" s="9" t="s">
        <v>629</v>
      </c>
      <c r="E160" s="9"/>
      <c r="F160" s="60" t="s">
        <v>1097</v>
      </c>
      <c r="G160" s="83">
        <v>32.593474000000001</v>
      </c>
      <c r="H160" s="83">
        <v>-85.485833</v>
      </c>
      <c r="I160" s="9" t="s">
        <v>58</v>
      </c>
      <c r="J160" s="9"/>
      <c r="K160" s="9"/>
      <c r="L160" s="60">
        <v>156</v>
      </c>
      <c r="M160" s="9" t="s">
        <v>468</v>
      </c>
      <c r="N160" s="9" t="s">
        <v>468</v>
      </c>
      <c r="O160" s="60" t="s">
        <v>1202</v>
      </c>
    </row>
    <row r="161" spans="1:15" x14ac:dyDescent="0.25">
      <c r="A161" s="4"/>
      <c r="B161" s="9" t="s">
        <v>625</v>
      </c>
      <c r="C161" s="52" t="str">
        <f t="shared" si="2"/>
        <v>NAPESHM_USAL03_157</v>
      </c>
      <c r="D161" s="9" t="s">
        <v>629</v>
      </c>
      <c r="E161" s="9"/>
      <c r="F161" s="60" t="s">
        <v>1098</v>
      </c>
      <c r="G161" s="83">
        <v>31.358073000000001</v>
      </c>
      <c r="H161" s="83">
        <v>-85.320679999999996</v>
      </c>
      <c r="I161" s="9" t="s">
        <v>58</v>
      </c>
      <c r="J161" s="9"/>
      <c r="K161" s="9"/>
      <c r="L161" s="60">
        <v>157</v>
      </c>
      <c r="M161" s="9" t="s">
        <v>468</v>
      </c>
      <c r="N161" s="9" t="s">
        <v>468</v>
      </c>
      <c r="O161" s="60" t="s">
        <v>1203</v>
      </c>
    </row>
    <row r="162" spans="1:15" x14ac:dyDescent="0.25">
      <c r="A162" s="4"/>
      <c r="B162" s="9" t="s">
        <v>625</v>
      </c>
      <c r="C162" s="52" t="str">
        <f t="shared" si="2"/>
        <v>NAPESHM_USAL03_158</v>
      </c>
      <c r="D162" s="9" t="s">
        <v>629</v>
      </c>
      <c r="E162" s="9"/>
      <c r="F162" s="60" t="s">
        <v>1098</v>
      </c>
      <c r="G162" s="83">
        <v>31.358073000000001</v>
      </c>
      <c r="H162" s="83">
        <v>-85.320679999999996</v>
      </c>
      <c r="I162" s="9" t="s">
        <v>58</v>
      </c>
      <c r="J162" s="9"/>
      <c r="K162" s="9"/>
      <c r="L162" s="60">
        <v>158</v>
      </c>
      <c r="M162" s="9" t="s">
        <v>468</v>
      </c>
      <c r="N162" s="9" t="s">
        <v>468</v>
      </c>
      <c r="O162" s="60" t="s">
        <v>1203</v>
      </c>
    </row>
    <row r="163" spans="1:15" x14ac:dyDescent="0.25">
      <c r="A163" s="4"/>
      <c r="B163" s="9" t="s">
        <v>625</v>
      </c>
      <c r="C163" s="52" t="str">
        <f t="shared" si="2"/>
        <v>NAPESHM_USAL03_159</v>
      </c>
      <c r="D163" s="9" t="s">
        <v>629</v>
      </c>
      <c r="E163" s="9"/>
      <c r="F163" s="60" t="s">
        <v>1098</v>
      </c>
      <c r="G163" s="83">
        <v>31.358073000000001</v>
      </c>
      <c r="H163" s="83">
        <v>-85.320679999999996</v>
      </c>
      <c r="I163" s="9" t="s">
        <v>58</v>
      </c>
      <c r="J163" s="9"/>
      <c r="K163" s="9"/>
      <c r="L163" s="60">
        <v>159</v>
      </c>
      <c r="M163" s="9" t="s">
        <v>468</v>
      </c>
      <c r="N163" s="9" t="s">
        <v>468</v>
      </c>
      <c r="O163" s="60" t="s">
        <v>1203</v>
      </c>
    </row>
    <row r="164" spans="1:15" x14ac:dyDescent="0.25">
      <c r="A164" s="4"/>
      <c r="B164" s="9" t="s">
        <v>625</v>
      </c>
      <c r="C164" s="52" t="str">
        <f t="shared" si="2"/>
        <v>NAPESHM_USAL03_160</v>
      </c>
      <c r="D164" s="9" t="s">
        <v>629</v>
      </c>
      <c r="E164" s="9"/>
      <c r="F164" s="60" t="s">
        <v>1098</v>
      </c>
      <c r="G164" s="83">
        <v>31.358073000000001</v>
      </c>
      <c r="H164" s="83">
        <v>-85.320679999999996</v>
      </c>
      <c r="I164" s="9" t="s">
        <v>58</v>
      </c>
      <c r="J164" s="9"/>
      <c r="K164" s="9"/>
      <c r="L164" s="60">
        <v>160</v>
      </c>
      <c r="M164" s="9" t="s">
        <v>468</v>
      </c>
      <c r="N164" s="9" t="s">
        <v>468</v>
      </c>
      <c r="O164" s="60" t="s">
        <v>1203</v>
      </c>
    </row>
    <row r="165" spans="1:15" x14ac:dyDescent="0.25">
      <c r="A165" s="4"/>
      <c r="B165" s="9" t="s">
        <v>625</v>
      </c>
      <c r="C165" s="52" t="str">
        <f t="shared" si="2"/>
        <v>NAPESHM_USAL04_161</v>
      </c>
      <c r="D165" s="9" t="s">
        <v>629</v>
      </c>
      <c r="E165" s="9"/>
      <c r="F165" s="60" t="s">
        <v>1099</v>
      </c>
      <c r="G165" s="83">
        <v>31.350579</v>
      </c>
      <c r="H165" s="83">
        <v>-85.322575999999998</v>
      </c>
      <c r="I165" s="9" t="s">
        <v>58</v>
      </c>
      <c r="J165" s="9"/>
      <c r="K165" s="9"/>
      <c r="L165" s="60">
        <v>161</v>
      </c>
      <c r="M165" s="9" t="s">
        <v>468</v>
      </c>
      <c r="N165" s="9" t="s">
        <v>468</v>
      </c>
      <c r="O165" s="60" t="s">
        <v>1204</v>
      </c>
    </row>
    <row r="166" spans="1:15" x14ac:dyDescent="0.25">
      <c r="A166" s="4"/>
      <c r="B166" s="9" t="s">
        <v>625</v>
      </c>
      <c r="C166" s="52" t="str">
        <f t="shared" si="2"/>
        <v>NAPESHM_USAL04_162</v>
      </c>
      <c r="D166" s="9" t="s">
        <v>629</v>
      </c>
      <c r="E166" s="9"/>
      <c r="F166" s="60" t="s">
        <v>1099</v>
      </c>
      <c r="G166" s="83">
        <v>31.350579</v>
      </c>
      <c r="H166" s="83">
        <v>-85.322575999999998</v>
      </c>
      <c r="I166" s="9" t="s">
        <v>58</v>
      </c>
      <c r="J166" s="9"/>
      <c r="K166" s="9"/>
      <c r="L166" s="60">
        <v>162</v>
      </c>
      <c r="M166" s="9" t="s">
        <v>468</v>
      </c>
      <c r="N166" s="9" t="s">
        <v>468</v>
      </c>
      <c r="O166" s="60" t="s">
        <v>1204</v>
      </c>
    </row>
    <row r="167" spans="1:15" x14ac:dyDescent="0.25">
      <c r="A167" s="4"/>
      <c r="B167" s="9" t="s">
        <v>625</v>
      </c>
      <c r="C167" s="52" t="str">
        <f t="shared" si="2"/>
        <v>NAPESHM_USAL04_163</v>
      </c>
      <c r="D167" s="9" t="s">
        <v>629</v>
      </c>
      <c r="E167" s="9"/>
      <c r="F167" s="60" t="s">
        <v>1099</v>
      </c>
      <c r="G167" s="83">
        <v>31.350579</v>
      </c>
      <c r="H167" s="83">
        <v>-85.322575999999998</v>
      </c>
      <c r="I167" s="9" t="s">
        <v>58</v>
      </c>
      <c r="J167" s="9"/>
      <c r="K167" s="9"/>
      <c r="L167" s="60">
        <v>163</v>
      </c>
      <c r="M167" s="9" t="s">
        <v>468</v>
      </c>
      <c r="N167" s="9" t="s">
        <v>468</v>
      </c>
      <c r="O167" s="60" t="s">
        <v>1204</v>
      </c>
    </row>
    <row r="168" spans="1:15" x14ac:dyDescent="0.25">
      <c r="A168" s="4"/>
      <c r="B168" s="9" t="s">
        <v>625</v>
      </c>
      <c r="C168" s="52" t="str">
        <f t="shared" si="2"/>
        <v>NAPESHM_USAR01_164</v>
      </c>
      <c r="D168" s="9" t="s">
        <v>629</v>
      </c>
      <c r="E168" s="9"/>
      <c r="F168" s="60" t="s">
        <v>1100</v>
      </c>
      <c r="G168" s="83">
        <v>35.10371</v>
      </c>
      <c r="H168" s="83">
        <v>-93.934161000000003</v>
      </c>
      <c r="I168" s="9" t="s">
        <v>97</v>
      </c>
      <c r="J168" s="9"/>
      <c r="K168" s="9"/>
      <c r="L168" s="60">
        <v>164</v>
      </c>
      <c r="M168" s="9" t="s">
        <v>468</v>
      </c>
      <c r="N168" s="9" t="s">
        <v>468</v>
      </c>
      <c r="O168" s="60" t="s">
        <v>1205</v>
      </c>
    </row>
    <row r="169" spans="1:15" x14ac:dyDescent="0.25">
      <c r="A169" s="4"/>
      <c r="B169" s="9" t="s">
        <v>625</v>
      </c>
      <c r="C169" s="52" t="str">
        <f t="shared" si="2"/>
        <v>NAPESHM_USAR01_165</v>
      </c>
      <c r="D169" s="9" t="s">
        <v>629</v>
      </c>
      <c r="E169" s="9"/>
      <c r="F169" s="60" t="s">
        <v>1100</v>
      </c>
      <c r="G169" s="83">
        <v>35.10371</v>
      </c>
      <c r="H169" s="83">
        <v>-93.934161000000003</v>
      </c>
      <c r="I169" s="9" t="s">
        <v>97</v>
      </c>
      <c r="J169" s="9"/>
      <c r="K169" s="9"/>
      <c r="L169" s="60">
        <v>165</v>
      </c>
      <c r="M169" s="9" t="s">
        <v>468</v>
      </c>
      <c r="N169" s="9" t="s">
        <v>468</v>
      </c>
      <c r="O169" s="60" t="s">
        <v>1205</v>
      </c>
    </row>
    <row r="170" spans="1:15" x14ac:dyDescent="0.25">
      <c r="A170" s="4"/>
      <c r="B170" s="9" t="s">
        <v>625</v>
      </c>
      <c r="C170" s="52" t="str">
        <f t="shared" si="2"/>
        <v>NAPESHM_USAR01_166</v>
      </c>
      <c r="D170" s="9" t="s">
        <v>629</v>
      </c>
      <c r="E170" s="9"/>
      <c r="F170" s="60" t="s">
        <v>1100</v>
      </c>
      <c r="G170" s="83">
        <v>35.10371</v>
      </c>
      <c r="H170" s="83">
        <v>-93.934161000000003</v>
      </c>
      <c r="I170" s="9" t="s">
        <v>97</v>
      </c>
      <c r="J170" s="9"/>
      <c r="K170" s="9"/>
      <c r="L170" s="60">
        <v>166</v>
      </c>
      <c r="M170" s="9" t="s">
        <v>468</v>
      </c>
      <c r="N170" s="9" t="s">
        <v>468</v>
      </c>
      <c r="O170" s="60" t="s">
        <v>1205</v>
      </c>
    </row>
    <row r="171" spans="1:15" x14ac:dyDescent="0.25">
      <c r="A171" s="4"/>
      <c r="B171" s="9" t="s">
        <v>625</v>
      </c>
      <c r="C171" s="52" t="str">
        <f t="shared" si="2"/>
        <v>NAPESHM_USAZ01_167</v>
      </c>
      <c r="D171" s="9" t="s">
        <v>629</v>
      </c>
      <c r="E171" s="9"/>
      <c r="F171" s="60" t="s">
        <v>1101</v>
      </c>
      <c r="G171" s="83">
        <v>31.815346000000002</v>
      </c>
      <c r="H171" s="83">
        <v>-110.851674</v>
      </c>
      <c r="I171" s="9" t="s">
        <v>83</v>
      </c>
      <c r="J171" s="9"/>
      <c r="K171" s="9"/>
      <c r="L171" s="60">
        <v>167</v>
      </c>
      <c r="M171" s="9" t="s">
        <v>468</v>
      </c>
      <c r="N171" s="9" t="s">
        <v>468</v>
      </c>
      <c r="O171" s="60" t="s">
        <v>1206</v>
      </c>
    </row>
    <row r="172" spans="1:15" x14ac:dyDescent="0.25">
      <c r="A172" s="4"/>
      <c r="B172" s="9" t="s">
        <v>625</v>
      </c>
      <c r="C172" s="52" t="str">
        <f t="shared" si="2"/>
        <v>NAPESHM_USAZ01_168</v>
      </c>
      <c r="D172" s="9" t="s">
        <v>629</v>
      </c>
      <c r="E172" s="9"/>
      <c r="F172" s="60" t="s">
        <v>1101</v>
      </c>
      <c r="G172" s="83">
        <v>31.815346000000002</v>
      </c>
      <c r="H172" s="83">
        <v>-110.851674</v>
      </c>
      <c r="I172" s="9" t="s">
        <v>83</v>
      </c>
      <c r="J172" s="9"/>
      <c r="K172" s="9"/>
      <c r="L172" s="60">
        <v>168</v>
      </c>
      <c r="M172" s="9" t="s">
        <v>468</v>
      </c>
      <c r="N172" s="9" t="s">
        <v>468</v>
      </c>
      <c r="O172" s="60" t="s">
        <v>1206</v>
      </c>
    </row>
    <row r="173" spans="1:15" x14ac:dyDescent="0.25">
      <c r="A173" s="4"/>
      <c r="B173" s="9" t="s">
        <v>625</v>
      </c>
      <c r="C173" s="52" t="str">
        <f t="shared" si="2"/>
        <v>NAPESHM_USAZ03_169</v>
      </c>
      <c r="D173" s="9" t="s">
        <v>629</v>
      </c>
      <c r="E173" s="9"/>
      <c r="F173" s="60" t="s">
        <v>1102</v>
      </c>
      <c r="G173" s="83">
        <v>31.816087</v>
      </c>
      <c r="H173" s="83">
        <v>-110.86132600000001</v>
      </c>
      <c r="I173" s="9" t="s">
        <v>83</v>
      </c>
      <c r="J173" s="9"/>
      <c r="K173" s="9"/>
      <c r="L173" s="60">
        <v>169</v>
      </c>
      <c r="M173" s="9" t="s">
        <v>468</v>
      </c>
      <c r="N173" s="9" t="s">
        <v>468</v>
      </c>
      <c r="O173" s="60" t="s">
        <v>1207</v>
      </c>
    </row>
    <row r="174" spans="1:15" x14ac:dyDescent="0.25">
      <c r="A174" s="4"/>
      <c r="B174" s="9" t="s">
        <v>625</v>
      </c>
      <c r="C174" s="52" t="str">
        <f t="shared" si="2"/>
        <v>NAPESHM_USAZ03_170</v>
      </c>
      <c r="D174" s="9" t="s">
        <v>629</v>
      </c>
      <c r="E174" s="9"/>
      <c r="F174" s="60" t="s">
        <v>1102</v>
      </c>
      <c r="G174" s="83">
        <v>31.816087</v>
      </c>
      <c r="H174" s="83">
        <v>-110.86132600000001</v>
      </c>
      <c r="I174" s="9" t="s">
        <v>83</v>
      </c>
      <c r="J174" s="9"/>
      <c r="K174" s="9"/>
      <c r="L174" s="60">
        <v>170</v>
      </c>
      <c r="M174" s="9" t="s">
        <v>468</v>
      </c>
      <c r="N174" s="9" t="s">
        <v>468</v>
      </c>
      <c r="O174" s="60" t="s">
        <v>1207</v>
      </c>
    </row>
    <row r="175" spans="1:15" x14ac:dyDescent="0.25">
      <c r="A175" s="4"/>
      <c r="B175" s="9" t="s">
        <v>625</v>
      </c>
      <c r="C175" s="52" t="str">
        <f t="shared" si="2"/>
        <v>NAPESHM_USCA01_171</v>
      </c>
      <c r="D175" s="9" t="s">
        <v>629</v>
      </c>
      <c r="E175" s="9"/>
      <c r="F175" s="60" t="s">
        <v>1103</v>
      </c>
      <c r="G175" s="83">
        <v>38.542962000000003</v>
      </c>
      <c r="H175" s="83">
        <v>-121.87017</v>
      </c>
      <c r="I175" s="9" t="s">
        <v>108</v>
      </c>
      <c r="J175" s="9"/>
      <c r="K175" s="9"/>
      <c r="L175" s="60">
        <v>171</v>
      </c>
      <c r="M175" s="9" t="s">
        <v>468</v>
      </c>
      <c r="N175" s="9" t="s">
        <v>468</v>
      </c>
      <c r="O175" s="60" t="s">
        <v>1208</v>
      </c>
    </row>
    <row r="176" spans="1:15" x14ac:dyDescent="0.25">
      <c r="A176" s="4"/>
      <c r="B176" s="9" t="s">
        <v>625</v>
      </c>
      <c r="C176" s="52" t="str">
        <f t="shared" si="2"/>
        <v>NAPESHM_USCA01_172</v>
      </c>
      <c r="D176" s="9" t="s">
        <v>629</v>
      </c>
      <c r="E176" s="9"/>
      <c r="F176" s="60" t="s">
        <v>1103</v>
      </c>
      <c r="G176" s="83">
        <v>38.542962000000003</v>
      </c>
      <c r="H176" s="83">
        <v>-121.87017</v>
      </c>
      <c r="I176" s="9" t="s">
        <v>108</v>
      </c>
      <c r="J176" s="9"/>
      <c r="K176" s="9"/>
      <c r="L176" s="60">
        <v>172</v>
      </c>
      <c r="M176" s="9" t="s">
        <v>468</v>
      </c>
      <c r="N176" s="9" t="s">
        <v>468</v>
      </c>
      <c r="O176" s="60" t="s">
        <v>1208</v>
      </c>
    </row>
    <row r="177" spans="1:15" x14ac:dyDescent="0.25">
      <c r="A177" s="4"/>
      <c r="B177" s="9" t="s">
        <v>625</v>
      </c>
      <c r="C177" s="52" t="str">
        <f t="shared" si="2"/>
        <v>NAPESHM_USCA01_173</v>
      </c>
      <c r="D177" s="9" t="s">
        <v>629</v>
      </c>
      <c r="E177" s="9"/>
      <c r="F177" s="60" t="s">
        <v>1103</v>
      </c>
      <c r="G177" s="83">
        <v>38.542962000000003</v>
      </c>
      <c r="H177" s="83">
        <v>-121.87017</v>
      </c>
      <c r="I177" s="9" t="s">
        <v>108</v>
      </c>
      <c r="J177" s="9"/>
      <c r="K177" s="9"/>
      <c r="L177" s="60">
        <v>173</v>
      </c>
      <c r="M177" s="9" t="s">
        <v>468</v>
      </c>
      <c r="N177" s="9" t="s">
        <v>468</v>
      </c>
      <c r="O177" s="60" t="s">
        <v>1208</v>
      </c>
    </row>
    <row r="178" spans="1:15" x14ac:dyDescent="0.25">
      <c r="A178" s="4"/>
      <c r="B178" s="9" t="s">
        <v>625</v>
      </c>
      <c r="C178" s="52" t="str">
        <f t="shared" si="2"/>
        <v>NAPESHM_USCA02_174</v>
      </c>
      <c r="D178" s="9" t="s">
        <v>629</v>
      </c>
      <c r="E178" s="9"/>
      <c r="F178" s="60" t="s">
        <v>1104</v>
      </c>
      <c r="G178" s="83">
        <v>38.563637</v>
      </c>
      <c r="H178" s="83">
        <v>-121.771444</v>
      </c>
      <c r="I178" s="9" t="s">
        <v>108</v>
      </c>
      <c r="J178" s="9"/>
      <c r="K178" s="9"/>
      <c r="L178" s="60">
        <v>174</v>
      </c>
      <c r="M178" s="9" t="s">
        <v>468</v>
      </c>
      <c r="N178" s="9" t="s">
        <v>468</v>
      </c>
      <c r="O178" s="60" t="s">
        <v>1209</v>
      </c>
    </row>
    <row r="179" spans="1:15" x14ac:dyDescent="0.25">
      <c r="A179" s="4"/>
      <c r="B179" s="9" t="s">
        <v>625</v>
      </c>
      <c r="C179" s="52" t="str">
        <f t="shared" si="2"/>
        <v>NAPESHM_USCA02_175</v>
      </c>
      <c r="D179" s="9" t="s">
        <v>629</v>
      </c>
      <c r="E179" s="9"/>
      <c r="F179" s="60" t="s">
        <v>1104</v>
      </c>
      <c r="G179" s="83">
        <v>38.563637</v>
      </c>
      <c r="H179" s="83">
        <v>-121.771444</v>
      </c>
      <c r="I179" s="9" t="s">
        <v>108</v>
      </c>
      <c r="J179" s="9"/>
      <c r="K179" s="9"/>
      <c r="L179" s="60">
        <v>175</v>
      </c>
      <c r="M179" s="9" t="s">
        <v>468</v>
      </c>
      <c r="N179" s="9" t="s">
        <v>468</v>
      </c>
      <c r="O179" s="60" t="s">
        <v>1209</v>
      </c>
    </row>
    <row r="180" spans="1:15" x14ac:dyDescent="0.25">
      <c r="A180" s="4"/>
      <c r="B180" s="9" t="s">
        <v>625</v>
      </c>
      <c r="C180" s="52" t="str">
        <f t="shared" si="2"/>
        <v>NAPESHM_USCA02_176</v>
      </c>
      <c r="D180" s="9" t="s">
        <v>629</v>
      </c>
      <c r="E180" s="9"/>
      <c r="F180" s="60" t="s">
        <v>1104</v>
      </c>
      <c r="G180" s="83">
        <v>38.563637</v>
      </c>
      <c r="H180" s="83">
        <v>-121.771444</v>
      </c>
      <c r="I180" s="9" t="s">
        <v>108</v>
      </c>
      <c r="J180" s="9"/>
      <c r="K180" s="9"/>
      <c r="L180" s="60">
        <v>176</v>
      </c>
      <c r="M180" s="9" t="s">
        <v>468</v>
      </c>
      <c r="N180" s="9" t="s">
        <v>468</v>
      </c>
      <c r="O180" s="60" t="s">
        <v>1209</v>
      </c>
    </row>
    <row r="181" spans="1:15" x14ac:dyDescent="0.25">
      <c r="A181" s="4"/>
      <c r="B181" s="9" t="s">
        <v>625</v>
      </c>
      <c r="C181" s="52" t="str">
        <f t="shared" si="2"/>
        <v>NAPESHM_USCA02_177</v>
      </c>
      <c r="D181" s="9" t="s">
        <v>629</v>
      </c>
      <c r="E181" s="9"/>
      <c r="F181" s="60" t="s">
        <v>1104</v>
      </c>
      <c r="G181" s="83">
        <v>38.563637</v>
      </c>
      <c r="H181" s="83">
        <v>-121.771444</v>
      </c>
      <c r="I181" s="9" t="s">
        <v>108</v>
      </c>
      <c r="J181" s="9"/>
      <c r="K181" s="9"/>
      <c r="L181" s="60">
        <v>177</v>
      </c>
      <c r="M181" s="9" t="s">
        <v>468</v>
      </c>
      <c r="N181" s="9" t="s">
        <v>468</v>
      </c>
      <c r="O181" s="60" t="s">
        <v>1209</v>
      </c>
    </row>
    <row r="182" spans="1:15" x14ac:dyDescent="0.25">
      <c r="A182" s="4"/>
      <c r="B182" s="9" t="s">
        <v>625</v>
      </c>
      <c r="C182" s="52" t="str">
        <f t="shared" si="2"/>
        <v>NAPESHM_USCA03_178</v>
      </c>
      <c r="D182" s="9" t="s">
        <v>629</v>
      </c>
      <c r="E182" s="9"/>
      <c r="F182" s="60" t="s">
        <v>1105</v>
      </c>
      <c r="G182" s="83">
        <v>36.339205999999997</v>
      </c>
      <c r="H182" s="83">
        <v>-120.120858</v>
      </c>
      <c r="I182" s="9" t="s">
        <v>108</v>
      </c>
      <c r="J182" s="9"/>
      <c r="K182" s="9"/>
      <c r="L182" s="60">
        <v>178</v>
      </c>
      <c r="M182" s="9" t="s">
        <v>468</v>
      </c>
      <c r="N182" s="9" t="s">
        <v>468</v>
      </c>
      <c r="O182" s="60" t="s">
        <v>1210</v>
      </c>
    </row>
    <row r="183" spans="1:15" x14ac:dyDescent="0.25">
      <c r="A183" s="4"/>
      <c r="B183" s="9" t="s">
        <v>625</v>
      </c>
      <c r="C183" s="52" t="str">
        <f t="shared" si="2"/>
        <v>NAPESHM_USCA03_179</v>
      </c>
      <c r="D183" s="9" t="s">
        <v>629</v>
      </c>
      <c r="E183" s="9"/>
      <c r="F183" s="60" t="s">
        <v>1105</v>
      </c>
      <c r="G183" s="83">
        <v>36.339205999999997</v>
      </c>
      <c r="H183" s="83">
        <v>-120.120858</v>
      </c>
      <c r="I183" s="9" t="s">
        <v>108</v>
      </c>
      <c r="J183" s="9"/>
      <c r="K183" s="9"/>
      <c r="L183" s="60">
        <v>179</v>
      </c>
      <c r="M183" s="9" t="s">
        <v>468</v>
      </c>
      <c r="N183" s="9" t="s">
        <v>468</v>
      </c>
      <c r="O183" s="60" t="s">
        <v>1210</v>
      </c>
    </row>
    <row r="184" spans="1:15" x14ac:dyDescent="0.25">
      <c r="A184" s="4"/>
      <c r="B184" s="9" t="s">
        <v>625</v>
      </c>
      <c r="C184" s="52" t="str">
        <f t="shared" si="2"/>
        <v>NAPESHM_USCA03_180</v>
      </c>
      <c r="D184" s="9" t="s">
        <v>629</v>
      </c>
      <c r="E184" s="9"/>
      <c r="F184" s="60" t="s">
        <v>1105</v>
      </c>
      <c r="G184" s="83">
        <v>36.339205999999997</v>
      </c>
      <c r="H184" s="83">
        <v>-120.120858</v>
      </c>
      <c r="I184" s="9" t="s">
        <v>108</v>
      </c>
      <c r="J184" s="9"/>
      <c r="K184" s="9"/>
      <c r="L184" s="60">
        <v>180</v>
      </c>
      <c r="M184" s="9" t="s">
        <v>468</v>
      </c>
      <c r="N184" s="9" t="s">
        <v>468</v>
      </c>
      <c r="O184" s="60" t="s">
        <v>1210</v>
      </c>
    </row>
    <row r="185" spans="1:15" x14ac:dyDescent="0.25">
      <c r="A185" s="4"/>
      <c r="B185" s="9" t="s">
        <v>625</v>
      </c>
      <c r="C185" s="52" t="str">
        <f t="shared" si="2"/>
        <v>NAPESHM_USCA03_181</v>
      </c>
      <c r="D185" s="9" t="s">
        <v>629</v>
      </c>
      <c r="E185" s="9"/>
      <c r="F185" s="60" t="s">
        <v>1105</v>
      </c>
      <c r="G185" s="83">
        <v>36.339205999999997</v>
      </c>
      <c r="H185" s="83">
        <v>-120.120858</v>
      </c>
      <c r="I185" s="9" t="s">
        <v>108</v>
      </c>
      <c r="J185" s="9"/>
      <c r="K185" s="9"/>
      <c r="L185" s="60">
        <v>181</v>
      </c>
      <c r="M185" s="9" t="s">
        <v>468</v>
      </c>
      <c r="N185" s="9" t="s">
        <v>468</v>
      </c>
      <c r="O185" s="60" t="s">
        <v>1210</v>
      </c>
    </row>
    <row r="186" spans="1:15" x14ac:dyDescent="0.25">
      <c r="A186" s="4"/>
      <c r="B186" s="9" t="s">
        <v>625</v>
      </c>
      <c r="C186" s="52" t="str">
        <f t="shared" si="2"/>
        <v>NAPESHM_USCO01_182</v>
      </c>
      <c r="D186" s="9" t="s">
        <v>629</v>
      </c>
      <c r="E186" s="9"/>
      <c r="F186" s="60" t="s">
        <v>634</v>
      </c>
      <c r="G186" s="83">
        <v>37.271116999999997</v>
      </c>
      <c r="H186" s="83">
        <v>-102.204795</v>
      </c>
      <c r="I186" s="9" t="s">
        <v>19</v>
      </c>
      <c r="J186" s="9"/>
      <c r="K186" s="9"/>
      <c r="L186" s="6">
        <v>182</v>
      </c>
      <c r="M186" s="9" t="s">
        <v>468</v>
      </c>
      <c r="N186" s="9" t="s">
        <v>468</v>
      </c>
      <c r="O186" s="9" t="s">
        <v>1211</v>
      </c>
    </row>
    <row r="187" spans="1:15" x14ac:dyDescent="0.25">
      <c r="A187" s="4"/>
      <c r="B187" s="9" t="s">
        <v>625</v>
      </c>
      <c r="C187" s="52" t="str">
        <f t="shared" si="2"/>
        <v>NAPESHM_USCO01_183</v>
      </c>
      <c r="D187" s="9" t="s">
        <v>629</v>
      </c>
      <c r="E187" s="9"/>
      <c r="F187" s="60" t="s">
        <v>634</v>
      </c>
      <c r="G187" s="83">
        <v>37.271116999999997</v>
      </c>
      <c r="H187" s="83">
        <v>-102.204795</v>
      </c>
      <c r="I187" s="9" t="s">
        <v>19</v>
      </c>
      <c r="J187" s="9"/>
      <c r="K187" s="9"/>
      <c r="L187" s="60">
        <v>183</v>
      </c>
      <c r="M187" s="9" t="s">
        <v>468</v>
      </c>
      <c r="N187" s="9" t="s">
        <v>468</v>
      </c>
      <c r="O187" s="60" t="s">
        <v>1211</v>
      </c>
    </row>
    <row r="188" spans="1:15" x14ac:dyDescent="0.25">
      <c r="A188" s="4"/>
      <c r="B188" s="9" t="s">
        <v>625</v>
      </c>
      <c r="C188" s="52" t="str">
        <f t="shared" si="2"/>
        <v>NAPESHM_USCO01_184</v>
      </c>
      <c r="D188" s="9" t="s">
        <v>629</v>
      </c>
      <c r="E188" s="9"/>
      <c r="F188" s="60" t="s">
        <v>634</v>
      </c>
      <c r="G188" s="83">
        <v>37.271116999999997</v>
      </c>
      <c r="H188" s="83">
        <v>-102.204795</v>
      </c>
      <c r="I188" s="9" t="s">
        <v>19</v>
      </c>
      <c r="J188" s="9"/>
      <c r="K188" s="9"/>
      <c r="L188" s="60">
        <v>184</v>
      </c>
      <c r="M188" s="9" t="s">
        <v>468</v>
      </c>
      <c r="N188" s="9" t="s">
        <v>468</v>
      </c>
      <c r="O188" s="60" t="s">
        <v>1211</v>
      </c>
    </row>
    <row r="189" spans="1:15" x14ac:dyDescent="0.25">
      <c r="A189" s="4"/>
      <c r="B189" s="9" t="s">
        <v>625</v>
      </c>
      <c r="C189" s="106" t="s">
        <v>1298</v>
      </c>
      <c r="D189" s="9" t="s">
        <v>629</v>
      </c>
      <c r="E189" s="9"/>
      <c r="F189" s="60" t="s">
        <v>634</v>
      </c>
      <c r="G189" s="83">
        <v>37.271116999999997</v>
      </c>
      <c r="H189" s="83">
        <v>-102.204795</v>
      </c>
      <c r="I189" s="9" t="s">
        <v>19</v>
      </c>
      <c r="J189" s="9"/>
      <c r="K189" s="9"/>
      <c r="L189" s="60">
        <v>185</v>
      </c>
      <c r="M189" s="9" t="s">
        <v>468</v>
      </c>
      <c r="N189" s="9" t="s">
        <v>468</v>
      </c>
      <c r="O189" s="60" t="s">
        <v>1211</v>
      </c>
    </row>
    <row r="190" spans="1:15" x14ac:dyDescent="0.25">
      <c r="A190" s="4"/>
      <c r="B190" s="9" t="s">
        <v>625</v>
      </c>
      <c r="C190" s="106" t="s">
        <v>1297</v>
      </c>
      <c r="D190" s="9" t="s">
        <v>629</v>
      </c>
      <c r="E190" s="9"/>
      <c r="F190" s="60" t="s">
        <v>634</v>
      </c>
      <c r="G190" s="83">
        <v>37.271116999999997</v>
      </c>
      <c r="H190" s="83">
        <v>-102.204795</v>
      </c>
      <c r="I190" s="9" t="s">
        <v>19</v>
      </c>
      <c r="J190" s="9"/>
      <c r="K190" s="9"/>
      <c r="L190" s="60">
        <v>186</v>
      </c>
      <c r="M190" s="9" t="s">
        <v>468</v>
      </c>
      <c r="N190" s="9" t="s">
        <v>468</v>
      </c>
      <c r="O190" s="60" t="s">
        <v>1211</v>
      </c>
    </row>
    <row r="191" spans="1:15" x14ac:dyDescent="0.25">
      <c r="A191" s="4"/>
      <c r="B191" s="9" t="s">
        <v>625</v>
      </c>
      <c r="C191" s="106" t="s">
        <v>1299</v>
      </c>
      <c r="D191" s="9" t="s">
        <v>629</v>
      </c>
      <c r="E191" s="9"/>
      <c r="F191" s="60" t="s">
        <v>634</v>
      </c>
      <c r="G191" s="83">
        <v>37.271116999999997</v>
      </c>
      <c r="H191" s="83">
        <v>-102.204795</v>
      </c>
      <c r="I191" s="9" t="s">
        <v>19</v>
      </c>
      <c r="J191" s="9"/>
      <c r="K191" s="9"/>
      <c r="L191" s="60">
        <v>187</v>
      </c>
      <c r="M191" s="9" t="s">
        <v>468</v>
      </c>
      <c r="N191" s="9" t="s">
        <v>468</v>
      </c>
      <c r="O191" s="60" t="s">
        <v>1211</v>
      </c>
    </row>
    <row r="192" spans="1:15" x14ac:dyDescent="0.25">
      <c r="A192" s="4"/>
      <c r="B192" s="9" t="s">
        <v>625</v>
      </c>
      <c r="C192" s="52" t="str">
        <f t="shared" si="2"/>
        <v>NAPESHM_USCO01_188</v>
      </c>
      <c r="D192" s="9" t="s">
        <v>629</v>
      </c>
      <c r="E192" s="9"/>
      <c r="F192" s="60" t="s">
        <v>634</v>
      </c>
      <c r="G192" s="83">
        <v>37.271116999999997</v>
      </c>
      <c r="H192" s="83">
        <v>-102.204795</v>
      </c>
      <c r="I192" s="9" t="s">
        <v>19</v>
      </c>
      <c r="J192" s="9"/>
      <c r="K192" s="9"/>
      <c r="L192" s="60">
        <v>188</v>
      </c>
      <c r="M192" s="9" t="s">
        <v>468</v>
      </c>
      <c r="N192" s="9" t="s">
        <v>468</v>
      </c>
      <c r="O192" s="60" t="s">
        <v>1211</v>
      </c>
    </row>
    <row r="193" spans="1:15" x14ac:dyDescent="0.25">
      <c r="A193" s="4"/>
      <c r="B193" s="9" t="s">
        <v>625</v>
      </c>
      <c r="C193" s="52" t="str">
        <f t="shared" si="2"/>
        <v>NAPESHM_USCO01_189</v>
      </c>
      <c r="D193" s="9" t="s">
        <v>629</v>
      </c>
      <c r="E193" s="9"/>
      <c r="F193" s="60" t="s">
        <v>634</v>
      </c>
      <c r="G193" s="83">
        <v>37.271116999999997</v>
      </c>
      <c r="H193" s="83">
        <v>-102.204795</v>
      </c>
      <c r="I193" s="9" t="s">
        <v>19</v>
      </c>
      <c r="J193" s="9"/>
      <c r="K193" s="9"/>
      <c r="L193" s="60">
        <v>189</v>
      </c>
      <c r="M193" s="9" t="s">
        <v>468</v>
      </c>
      <c r="N193" s="9" t="s">
        <v>468</v>
      </c>
      <c r="O193" s="60" t="s">
        <v>1211</v>
      </c>
    </row>
    <row r="194" spans="1:15" x14ac:dyDescent="0.25">
      <c r="A194" s="4"/>
      <c r="B194" s="9" t="s">
        <v>625</v>
      </c>
      <c r="C194" s="52" t="str">
        <f t="shared" si="2"/>
        <v>NAPESHM_USCO01_190</v>
      </c>
      <c r="D194" s="9" t="s">
        <v>629</v>
      </c>
      <c r="E194" s="9"/>
      <c r="F194" s="60" t="s">
        <v>634</v>
      </c>
      <c r="G194" s="83">
        <v>37.271116999999997</v>
      </c>
      <c r="H194" s="83">
        <v>-102.204795</v>
      </c>
      <c r="I194" s="9" t="s">
        <v>19</v>
      </c>
      <c r="J194" s="9"/>
      <c r="K194" s="9"/>
      <c r="L194" s="60">
        <v>190</v>
      </c>
      <c r="M194" s="9" t="s">
        <v>468</v>
      </c>
      <c r="N194" s="9" t="s">
        <v>468</v>
      </c>
      <c r="O194" s="60" t="s">
        <v>1211</v>
      </c>
    </row>
    <row r="195" spans="1:15" x14ac:dyDescent="0.25">
      <c r="A195" s="4"/>
      <c r="B195" s="9" t="s">
        <v>625</v>
      </c>
      <c r="C195" s="52" t="str">
        <f t="shared" si="2"/>
        <v>NAPESHM_USCO01_191</v>
      </c>
      <c r="D195" s="9" t="s">
        <v>629</v>
      </c>
      <c r="E195" s="9"/>
      <c r="F195" s="60" t="s">
        <v>634</v>
      </c>
      <c r="G195" s="83">
        <v>37.271116999999997</v>
      </c>
      <c r="H195" s="83">
        <v>-102.204795</v>
      </c>
      <c r="I195" s="9" t="s">
        <v>19</v>
      </c>
      <c r="J195" s="9"/>
      <c r="K195" s="9"/>
      <c r="L195" s="60">
        <v>191</v>
      </c>
      <c r="M195" s="9" t="s">
        <v>468</v>
      </c>
      <c r="N195" s="9" t="s">
        <v>468</v>
      </c>
      <c r="O195" s="60" t="s">
        <v>1211</v>
      </c>
    </row>
    <row r="196" spans="1:15" x14ac:dyDescent="0.25">
      <c r="A196" s="4"/>
      <c r="B196" s="9" t="s">
        <v>625</v>
      </c>
      <c r="C196" s="52" t="str">
        <f t="shared" si="2"/>
        <v>NAPESHM_USCO01_192</v>
      </c>
      <c r="D196" s="9" t="s">
        <v>629</v>
      </c>
      <c r="E196" s="9"/>
      <c r="F196" s="60" t="s">
        <v>634</v>
      </c>
      <c r="G196" s="83">
        <v>37.271116999999997</v>
      </c>
      <c r="H196" s="83">
        <v>-102.204795</v>
      </c>
      <c r="I196" s="9" t="s">
        <v>19</v>
      </c>
      <c r="J196" s="9"/>
      <c r="K196" s="9"/>
      <c r="L196" s="60">
        <v>192</v>
      </c>
      <c r="M196" s="9" t="s">
        <v>468</v>
      </c>
      <c r="N196" s="9" t="s">
        <v>468</v>
      </c>
      <c r="O196" s="60" t="s">
        <v>1211</v>
      </c>
    </row>
    <row r="197" spans="1:15" x14ac:dyDescent="0.25">
      <c r="A197" s="4"/>
      <c r="B197" s="9" t="s">
        <v>625</v>
      </c>
      <c r="C197" s="52" t="str">
        <f t="shared" si="2"/>
        <v>NAPESHM_USCO01_193</v>
      </c>
      <c r="D197" s="9" t="s">
        <v>629</v>
      </c>
      <c r="E197" s="9"/>
      <c r="F197" s="60" t="s">
        <v>634</v>
      </c>
      <c r="G197" s="83">
        <v>37.271116999999997</v>
      </c>
      <c r="H197" s="83">
        <v>-102.204795</v>
      </c>
      <c r="I197" s="9" t="s">
        <v>19</v>
      </c>
      <c r="J197" s="9"/>
      <c r="K197" s="9"/>
      <c r="L197" s="60">
        <v>193</v>
      </c>
      <c r="M197" s="9" t="s">
        <v>468</v>
      </c>
      <c r="N197" s="9" t="s">
        <v>468</v>
      </c>
      <c r="O197" s="60" t="s">
        <v>1211</v>
      </c>
    </row>
    <row r="198" spans="1:15" x14ac:dyDescent="0.25">
      <c r="A198" s="4"/>
      <c r="B198" s="9" t="s">
        <v>625</v>
      </c>
      <c r="C198" s="52" t="str">
        <f t="shared" si="2"/>
        <v>NAPESHM_USCO02_194</v>
      </c>
      <c r="D198" s="9" t="s">
        <v>629</v>
      </c>
      <c r="E198" s="9"/>
      <c r="F198" s="60" t="s">
        <v>1106</v>
      </c>
      <c r="G198" s="83">
        <v>39.299374</v>
      </c>
      <c r="H198" s="83">
        <v>-102.520242</v>
      </c>
      <c r="I198" s="9" t="s">
        <v>19</v>
      </c>
      <c r="J198" s="9"/>
      <c r="K198" s="9"/>
      <c r="L198" s="60">
        <v>194</v>
      </c>
      <c r="M198" s="9" t="s">
        <v>468</v>
      </c>
      <c r="N198" s="9" t="s">
        <v>468</v>
      </c>
      <c r="O198" s="60" t="s">
        <v>1212</v>
      </c>
    </row>
    <row r="199" spans="1:15" x14ac:dyDescent="0.25">
      <c r="A199" s="4"/>
      <c r="B199" s="9" t="s">
        <v>625</v>
      </c>
      <c r="C199" s="52" t="str">
        <f t="shared" ref="C199:C270" si="3">IF(ISBLANK(D199), "", CONCATENATE(D199,E199,"_",F199,"_",L199))</f>
        <v>NAPESHM_USCO02_195</v>
      </c>
      <c r="D199" s="9" t="s">
        <v>629</v>
      </c>
      <c r="E199" s="9"/>
      <c r="F199" s="60" t="s">
        <v>1106</v>
      </c>
      <c r="G199" s="83">
        <v>39.299374</v>
      </c>
      <c r="H199" s="83">
        <v>-102.520242</v>
      </c>
      <c r="I199" s="9" t="s">
        <v>19</v>
      </c>
      <c r="J199" s="9"/>
      <c r="K199" s="9"/>
      <c r="L199" s="60">
        <v>195</v>
      </c>
      <c r="M199" s="9" t="s">
        <v>468</v>
      </c>
      <c r="N199" s="9" t="s">
        <v>468</v>
      </c>
      <c r="O199" s="60" t="s">
        <v>1212</v>
      </c>
    </row>
    <row r="200" spans="1:15" x14ac:dyDescent="0.25">
      <c r="A200" s="4"/>
      <c r="B200" s="9" t="s">
        <v>625</v>
      </c>
      <c r="C200" s="52" t="str">
        <f t="shared" si="3"/>
        <v>NAPESHM_USCO02_196</v>
      </c>
      <c r="D200" s="9" t="s">
        <v>629</v>
      </c>
      <c r="E200" s="9"/>
      <c r="F200" s="60" t="s">
        <v>1106</v>
      </c>
      <c r="G200" s="83">
        <v>39.299374</v>
      </c>
      <c r="H200" s="83">
        <v>-102.520242</v>
      </c>
      <c r="I200" s="9" t="s">
        <v>19</v>
      </c>
      <c r="J200" s="9"/>
      <c r="K200" s="9"/>
      <c r="L200" s="60">
        <v>196</v>
      </c>
      <c r="M200" s="9" t="s">
        <v>468</v>
      </c>
      <c r="N200" s="9" t="s">
        <v>468</v>
      </c>
      <c r="O200" s="60" t="s">
        <v>1212</v>
      </c>
    </row>
    <row r="201" spans="1:15" x14ac:dyDescent="0.25">
      <c r="A201" s="4"/>
      <c r="B201" s="9" t="s">
        <v>625</v>
      </c>
      <c r="C201" s="106" t="str">
        <f t="shared" si="3"/>
        <v>NAPESHM_USCO02_197</v>
      </c>
      <c r="D201" s="9" t="s">
        <v>629</v>
      </c>
      <c r="E201" s="9"/>
      <c r="F201" s="60" t="s">
        <v>1106</v>
      </c>
      <c r="G201" s="83">
        <v>39.299374</v>
      </c>
      <c r="H201" s="83">
        <v>-102.520242</v>
      </c>
      <c r="I201" s="9" t="s">
        <v>19</v>
      </c>
      <c r="J201" s="9"/>
      <c r="K201" s="9"/>
      <c r="L201" s="60">
        <v>197</v>
      </c>
      <c r="M201" s="9" t="s">
        <v>468</v>
      </c>
      <c r="N201" s="9" t="s">
        <v>468</v>
      </c>
      <c r="O201" s="60" t="s">
        <v>1212</v>
      </c>
    </row>
    <row r="202" spans="1:15" x14ac:dyDescent="0.25">
      <c r="A202" s="4"/>
      <c r="B202" s="9" t="s">
        <v>625</v>
      </c>
      <c r="C202" s="106" t="str">
        <f t="shared" si="3"/>
        <v>NAPESHM_USCO02_198</v>
      </c>
      <c r="D202" s="9" t="s">
        <v>629</v>
      </c>
      <c r="E202" s="9"/>
      <c r="F202" s="60" t="s">
        <v>1106</v>
      </c>
      <c r="G202" s="83">
        <v>39.299374</v>
      </c>
      <c r="H202" s="83">
        <v>-102.520242</v>
      </c>
      <c r="I202" s="9" t="s">
        <v>19</v>
      </c>
      <c r="J202" s="9"/>
      <c r="K202" s="9"/>
      <c r="L202" s="60">
        <v>198</v>
      </c>
      <c r="M202" s="9" t="s">
        <v>468</v>
      </c>
      <c r="N202" s="9" t="s">
        <v>468</v>
      </c>
      <c r="O202" s="60" t="s">
        <v>1212</v>
      </c>
    </row>
    <row r="203" spans="1:15" x14ac:dyDescent="0.25">
      <c r="A203" s="4"/>
      <c r="B203" s="9" t="s">
        <v>625</v>
      </c>
      <c r="C203" s="106" t="str">
        <f t="shared" si="3"/>
        <v>NAPESHM_USCO02_199</v>
      </c>
      <c r="D203" s="9" t="s">
        <v>629</v>
      </c>
      <c r="E203" s="9"/>
      <c r="F203" s="60" t="s">
        <v>1106</v>
      </c>
      <c r="G203" s="83">
        <v>39.299374</v>
      </c>
      <c r="H203" s="83">
        <v>-102.520242</v>
      </c>
      <c r="I203" s="9" t="s">
        <v>19</v>
      </c>
      <c r="J203" s="9"/>
      <c r="K203" s="9"/>
      <c r="L203" s="60">
        <v>199</v>
      </c>
      <c r="M203" s="9" t="s">
        <v>468</v>
      </c>
      <c r="N203" s="9" t="s">
        <v>468</v>
      </c>
      <c r="O203" s="60" t="s">
        <v>1212</v>
      </c>
    </row>
    <row r="204" spans="1:15" x14ac:dyDescent="0.25">
      <c r="A204" s="4"/>
      <c r="B204" s="9" t="s">
        <v>625</v>
      </c>
      <c r="C204" s="52" t="str">
        <f t="shared" si="3"/>
        <v>NAPESHM_USCO02_200</v>
      </c>
      <c r="D204" s="9" t="s">
        <v>629</v>
      </c>
      <c r="E204" s="29"/>
      <c r="F204" s="60" t="s">
        <v>1106</v>
      </c>
      <c r="G204" s="83">
        <v>39.299374</v>
      </c>
      <c r="H204" s="83">
        <v>-102.520242</v>
      </c>
      <c r="I204" s="9" t="s">
        <v>19</v>
      </c>
      <c r="J204" s="29"/>
      <c r="K204" s="29"/>
      <c r="L204" s="60">
        <v>200</v>
      </c>
      <c r="M204" s="9" t="s">
        <v>468</v>
      </c>
      <c r="N204" s="9" t="s">
        <v>468</v>
      </c>
      <c r="O204" s="60" t="s">
        <v>1212</v>
      </c>
    </row>
    <row r="205" spans="1:15" x14ac:dyDescent="0.25">
      <c r="A205" s="4"/>
      <c r="B205" s="9" t="s">
        <v>625</v>
      </c>
      <c r="C205" s="52" t="str">
        <f t="shared" si="3"/>
        <v>NAPESHM_USCO02_201</v>
      </c>
      <c r="D205" s="9" t="s">
        <v>629</v>
      </c>
      <c r="E205" s="29"/>
      <c r="F205" s="60" t="s">
        <v>1106</v>
      </c>
      <c r="G205" s="83">
        <v>39.299374</v>
      </c>
      <c r="H205" s="83">
        <v>-102.520242</v>
      </c>
      <c r="I205" s="9" t="s">
        <v>19</v>
      </c>
      <c r="J205" s="29"/>
      <c r="K205" s="29"/>
      <c r="L205" s="60">
        <v>201</v>
      </c>
      <c r="M205" s="9" t="s">
        <v>468</v>
      </c>
      <c r="N205" s="9" t="s">
        <v>468</v>
      </c>
      <c r="O205" s="60" t="s">
        <v>1212</v>
      </c>
    </row>
    <row r="206" spans="1:15" x14ac:dyDescent="0.25">
      <c r="A206" s="4"/>
      <c r="B206" s="9" t="s">
        <v>625</v>
      </c>
      <c r="C206" s="52" t="str">
        <f t="shared" si="3"/>
        <v>NAPESHM_USCO02_202</v>
      </c>
      <c r="D206" s="9" t="s">
        <v>629</v>
      </c>
      <c r="E206" s="29"/>
      <c r="F206" s="60" t="s">
        <v>1106</v>
      </c>
      <c r="G206" s="83">
        <v>39.299374</v>
      </c>
      <c r="H206" s="83">
        <v>-102.520242</v>
      </c>
      <c r="I206" s="9" t="s">
        <v>19</v>
      </c>
      <c r="J206" s="29"/>
      <c r="K206" s="29"/>
      <c r="L206" s="60">
        <v>202</v>
      </c>
      <c r="M206" s="9" t="s">
        <v>468</v>
      </c>
      <c r="N206" s="9" t="s">
        <v>468</v>
      </c>
      <c r="O206" s="60" t="s">
        <v>1212</v>
      </c>
    </row>
    <row r="207" spans="1:15" x14ac:dyDescent="0.25">
      <c r="A207" s="4"/>
      <c r="B207" s="9" t="s">
        <v>625</v>
      </c>
      <c r="C207" s="52" t="str">
        <f t="shared" si="3"/>
        <v>NAPESHM_USCO02_203</v>
      </c>
      <c r="D207" s="9" t="s">
        <v>629</v>
      </c>
      <c r="E207" s="29"/>
      <c r="F207" s="60" t="s">
        <v>1106</v>
      </c>
      <c r="G207" s="83">
        <v>39.299374</v>
      </c>
      <c r="H207" s="83">
        <v>-102.520242</v>
      </c>
      <c r="I207" s="9" t="s">
        <v>19</v>
      </c>
      <c r="J207" s="29"/>
      <c r="K207" s="29"/>
      <c r="L207" s="60">
        <v>203</v>
      </c>
      <c r="M207" s="9" t="s">
        <v>468</v>
      </c>
      <c r="N207" s="9" t="s">
        <v>468</v>
      </c>
      <c r="O207" s="60" t="s">
        <v>1212</v>
      </c>
    </row>
    <row r="208" spans="1:15" x14ac:dyDescent="0.25">
      <c r="A208" s="4"/>
      <c r="B208" s="9" t="s">
        <v>625</v>
      </c>
      <c r="C208" s="52" t="str">
        <f t="shared" si="3"/>
        <v>NAPESHM_USCO02_204</v>
      </c>
      <c r="D208" s="9" t="s">
        <v>629</v>
      </c>
      <c r="E208" s="29"/>
      <c r="F208" s="60" t="s">
        <v>1106</v>
      </c>
      <c r="G208" s="83">
        <v>39.299374</v>
      </c>
      <c r="H208" s="83">
        <v>-102.520242</v>
      </c>
      <c r="I208" s="9" t="s">
        <v>19</v>
      </c>
      <c r="J208" s="29"/>
      <c r="K208" s="29"/>
      <c r="L208" s="60">
        <v>204</v>
      </c>
      <c r="M208" s="9" t="s">
        <v>468</v>
      </c>
      <c r="N208" s="9" t="s">
        <v>468</v>
      </c>
      <c r="O208" s="60" t="s">
        <v>1212</v>
      </c>
    </row>
    <row r="209" spans="1:15" x14ac:dyDescent="0.25">
      <c r="A209" s="4"/>
      <c r="B209" s="9" t="s">
        <v>625</v>
      </c>
      <c r="C209" s="52" t="str">
        <f t="shared" si="3"/>
        <v>NAPESHM_USCO02_205</v>
      </c>
      <c r="D209" s="9" t="s">
        <v>629</v>
      </c>
      <c r="E209" s="29"/>
      <c r="F209" s="60" t="s">
        <v>1106</v>
      </c>
      <c r="G209" s="83">
        <v>39.299374</v>
      </c>
      <c r="H209" s="83">
        <v>-102.520242</v>
      </c>
      <c r="I209" s="9" t="s">
        <v>19</v>
      </c>
      <c r="J209" s="29"/>
      <c r="K209" s="29"/>
      <c r="L209" s="60">
        <v>205</v>
      </c>
      <c r="M209" s="9" t="s">
        <v>468</v>
      </c>
      <c r="N209" s="9" t="s">
        <v>468</v>
      </c>
      <c r="O209" s="60" t="s">
        <v>1212</v>
      </c>
    </row>
    <row r="210" spans="1:15" x14ac:dyDescent="0.25">
      <c r="A210" s="4"/>
      <c r="B210" s="9" t="s">
        <v>625</v>
      </c>
      <c r="C210" s="52" t="str">
        <f t="shared" si="3"/>
        <v>NAPESHM_USCO03_206</v>
      </c>
      <c r="D210" s="9" t="s">
        <v>629</v>
      </c>
      <c r="E210" s="29"/>
      <c r="F210" s="60" t="s">
        <v>1107</v>
      </c>
      <c r="G210" s="83">
        <v>40.462023000000002</v>
      </c>
      <c r="H210" s="83">
        <v>-103.028667</v>
      </c>
      <c r="I210" s="9" t="s">
        <v>19</v>
      </c>
      <c r="J210" s="29"/>
      <c r="K210" s="29"/>
      <c r="L210" s="60">
        <v>206</v>
      </c>
      <c r="M210" s="9" t="s">
        <v>468</v>
      </c>
      <c r="N210" s="9" t="s">
        <v>468</v>
      </c>
      <c r="O210" s="60" t="s">
        <v>1213</v>
      </c>
    </row>
    <row r="211" spans="1:15" x14ac:dyDescent="0.25">
      <c r="A211" s="4"/>
      <c r="B211" s="9" t="s">
        <v>625</v>
      </c>
      <c r="C211" s="52" t="str">
        <f t="shared" si="3"/>
        <v>NAPESHM_USCO03_207</v>
      </c>
      <c r="D211" s="9" t="s">
        <v>629</v>
      </c>
      <c r="E211" s="29"/>
      <c r="F211" s="60" t="s">
        <v>1107</v>
      </c>
      <c r="G211" s="83">
        <v>40.462023000000002</v>
      </c>
      <c r="H211" s="83">
        <v>-103.028667</v>
      </c>
      <c r="I211" s="9" t="s">
        <v>19</v>
      </c>
      <c r="J211" s="29"/>
      <c r="K211" s="29"/>
      <c r="L211" s="60">
        <v>207</v>
      </c>
      <c r="M211" s="9" t="s">
        <v>468</v>
      </c>
      <c r="N211" s="9" t="s">
        <v>468</v>
      </c>
      <c r="O211" s="60" t="s">
        <v>1213</v>
      </c>
    </row>
    <row r="212" spans="1:15" ht="14.25" customHeight="1" x14ac:dyDescent="0.25">
      <c r="A212" s="4"/>
      <c r="B212" s="9" t="s">
        <v>625</v>
      </c>
      <c r="C212" s="52" t="str">
        <f t="shared" si="3"/>
        <v>NAPESHM_USCO03_208</v>
      </c>
      <c r="D212" s="9" t="s">
        <v>629</v>
      </c>
      <c r="E212" s="29"/>
      <c r="F212" s="60" t="s">
        <v>1107</v>
      </c>
      <c r="G212" s="83">
        <v>40.462023000000002</v>
      </c>
      <c r="H212" s="83">
        <v>-103.028667</v>
      </c>
      <c r="I212" s="9" t="s">
        <v>19</v>
      </c>
      <c r="J212" s="29"/>
      <c r="K212" s="29"/>
      <c r="L212" s="60">
        <v>208</v>
      </c>
      <c r="M212" s="9" t="s">
        <v>468</v>
      </c>
      <c r="N212" s="9" t="s">
        <v>468</v>
      </c>
      <c r="O212" s="60" t="s">
        <v>1213</v>
      </c>
    </row>
    <row r="213" spans="1:15" ht="14.25" customHeight="1" x14ac:dyDescent="0.25">
      <c r="A213" s="4"/>
      <c r="B213" s="9" t="s">
        <v>625</v>
      </c>
      <c r="C213" s="106" t="str">
        <f t="shared" si="3"/>
        <v>NAPESHM_USCO03_209</v>
      </c>
      <c r="D213" s="9" t="s">
        <v>629</v>
      </c>
      <c r="E213" s="29"/>
      <c r="F213" s="60" t="s">
        <v>1107</v>
      </c>
      <c r="G213" s="83">
        <v>40.462023000000002</v>
      </c>
      <c r="H213" s="83">
        <v>-103.028667</v>
      </c>
      <c r="I213" s="9" t="s">
        <v>19</v>
      </c>
      <c r="J213" s="29"/>
      <c r="K213" s="29"/>
      <c r="L213" s="60">
        <v>209</v>
      </c>
      <c r="M213" s="9" t="s">
        <v>468</v>
      </c>
      <c r="N213" s="9" t="s">
        <v>468</v>
      </c>
      <c r="O213" s="60" t="s">
        <v>1213</v>
      </c>
    </row>
    <row r="214" spans="1:15" ht="14.25" customHeight="1" x14ac:dyDescent="0.25">
      <c r="A214" s="4"/>
      <c r="B214" s="9" t="s">
        <v>625</v>
      </c>
      <c r="C214" s="106" t="str">
        <f t="shared" si="3"/>
        <v>NAPESHM_USCO03_210</v>
      </c>
      <c r="D214" s="9" t="s">
        <v>629</v>
      </c>
      <c r="E214" s="29"/>
      <c r="F214" s="60" t="s">
        <v>1107</v>
      </c>
      <c r="G214" s="83">
        <v>40.462023000000002</v>
      </c>
      <c r="H214" s="83">
        <v>-103.028667</v>
      </c>
      <c r="I214" s="9" t="s">
        <v>19</v>
      </c>
      <c r="J214" s="29"/>
      <c r="K214" s="29"/>
      <c r="L214" s="60">
        <v>210</v>
      </c>
      <c r="M214" s="9" t="s">
        <v>468</v>
      </c>
      <c r="N214" s="9" t="s">
        <v>468</v>
      </c>
      <c r="O214" s="60" t="s">
        <v>1213</v>
      </c>
    </row>
    <row r="215" spans="1:15" ht="14.25" customHeight="1" x14ac:dyDescent="0.25">
      <c r="A215" s="4"/>
      <c r="B215" s="9" t="s">
        <v>625</v>
      </c>
      <c r="C215" s="106" t="str">
        <f t="shared" si="3"/>
        <v>NAPESHM_USCO03_211</v>
      </c>
      <c r="D215" s="9" t="s">
        <v>629</v>
      </c>
      <c r="E215" s="29"/>
      <c r="F215" s="60" t="s">
        <v>1107</v>
      </c>
      <c r="G215" s="83">
        <v>40.462023000000002</v>
      </c>
      <c r="H215" s="83">
        <v>-103.028667</v>
      </c>
      <c r="I215" s="9" t="s">
        <v>19</v>
      </c>
      <c r="J215" s="29"/>
      <c r="K215" s="29"/>
      <c r="L215" s="60">
        <v>211</v>
      </c>
      <c r="M215" s="9" t="s">
        <v>468</v>
      </c>
      <c r="N215" s="9" t="s">
        <v>468</v>
      </c>
      <c r="O215" s="60" t="s">
        <v>1213</v>
      </c>
    </row>
    <row r="216" spans="1:15" x14ac:dyDescent="0.25">
      <c r="A216" s="4"/>
      <c r="B216" s="9" t="s">
        <v>625</v>
      </c>
      <c r="C216" s="52" t="str">
        <f t="shared" si="3"/>
        <v>NAPESHM_USCO03_212</v>
      </c>
      <c r="D216" s="9" t="s">
        <v>629</v>
      </c>
      <c r="E216" s="29"/>
      <c r="F216" s="60" t="s">
        <v>1107</v>
      </c>
      <c r="G216" s="83">
        <v>40.462023000000002</v>
      </c>
      <c r="H216" s="83">
        <v>-103.028667</v>
      </c>
      <c r="I216" s="9" t="s">
        <v>19</v>
      </c>
      <c r="J216" s="29"/>
      <c r="K216" s="29"/>
      <c r="L216" s="60">
        <v>212</v>
      </c>
      <c r="M216" s="9" t="s">
        <v>468</v>
      </c>
      <c r="N216" s="9" t="s">
        <v>468</v>
      </c>
      <c r="O216" s="60" t="s">
        <v>1213</v>
      </c>
    </row>
    <row r="217" spans="1:15" x14ac:dyDescent="0.25">
      <c r="A217" s="4"/>
      <c r="B217" s="9" t="s">
        <v>625</v>
      </c>
      <c r="C217" s="52" t="str">
        <f t="shared" si="3"/>
        <v>NAPESHM_USCO03_213</v>
      </c>
      <c r="D217" s="9" t="s">
        <v>629</v>
      </c>
      <c r="E217" s="29"/>
      <c r="F217" s="60" t="s">
        <v>1107</v>
      </c>
      <c r="G217" s="83">
        <v>40.462023000000002</v>
      </c>
      <c r="H217" s="83">
        <v>-103.028667</v>
      </c>
      <c r="I217" s="9" t="s">
        <v>19</v>
      </c>
      <c r="J217" s="29"/>
      <c r="K217" s="29"/>
      <c r="L217" s="60">
        <v>213</v>
      </c>
      <c r="M217" s="9" t="s">
        <v>468</v>
      </c>
      <c r="N217" s="9" t="s">
        <v>468</v>
      </c>
      <c r="O217" s="60" t="s">
        <v>1213</v>
      </c>
    </row>
    <row r="218" spans="1:15" x14ac:dyDescent="0.25">
      <c r="A218" s="4"/>
      <c r="B218" s="9" t="s">
        <v>625</v>
      </c>
      <c r="C218" s="52" t="str">
        <f t="shared" si="3"/>
        <v>NAPESHM_USCO03_214</v>
      </c>
      <c r="D218" s="9" t="s">
        <v>629</v>
      </c>
      <c r="E218" s="29"/>
      <c r="F218" s="60" t="s">
        <v>1107</v>
      </c>
      <c r="G218" s="83">
        <v>40.462023000000002</v>
      </c>
      <c r="H218" s="83">
        <v>-103.028667</v>
      </c>
      <c r="I218" s="9" t="s">
        <v>19</v>
      </c>
      <c r="J218" s="29"/>
      <c r="K218" s="29"/>
      <c r="L218" s="60">
        <v>214</v>
      </c>
      <c r="M218" s="9" t="s">
        <v>468</v>
      </c>
      <c r="N218" s="9" t="s">
        <v>468</v>
      </c>
      <c r="O218" s="60" t="s">
        <v>1213</v>
      </c>
    </row>
    <row r="219" spans="1:15" x14ac:dyDescent="0.25">
      <c r="A219" s="4"/>
      <c r="B219" s="9" t="s">
        <v>625</v>
      </c>
      <c r="C219" s="52" t="str">
        <f t="shared" si="3"/>
        <v>NAPESHM_USCO03_215</v>
      </c>
      <c r="D219" s="9" t="s">
        <v>629</v>
      </c>
      <c r="E219" s="29"/>
      <c r="F219" s="60" t="s">
        <v>1107</v>
      </c>
      <c r="G219" s="83">
        <v>40.462023000000002</v>
      </c>
      <c r="H219" s="83">
        <v>-103.028667</v>
      </c>
      <c r="I219" s="9" t="s">
        <v>19</v>
      </c>
      <c r="J219" s="29"/>
      <c r="K219" s="29"/>
      <c r="L219" s="60">
        <v>215</v>
      </c>
      <c r="M219" s="9" t="s">
        <v>468</v>
      </c>
      <c r="N219" s="9" t="s">
        <v>468</v>
      </c>
      <c r="O219" s="60" t="s">
        <v>1213</v>
      </c>
    </row>
    <row r="220" spans="1:15" x14ac:dyDescent="0.25">
      <c r="A220" s="4"/>
      <c r="B220" s="9" t="s">
        <v>625</v>
      </c>
      <c r="C220" s="52" t="str">
        <f t="shared" si="3"/>
        <v>NAPESHM_USCO03_216</v>
      </c>
      <c r="D220" s="9" t="s">
        <v>629</v>
      </c>
      <c r="E220" s="29"/>
      <c r="F220" s="60" t="s">
        <v>1107</v>
      </c>
      <c r="G220" s="83">
        <v>40.462023000000002</v>
      </c>
      <c r="H220" s="83">
        <v>-103.028667</v>
      </c>
      <c r="I220" s="9" t="s">
        <v>19</v>
      </c>
      <c r="J220" s="29"/>
      <c r="K220" s="29"/>
      <c r="L220" s="60">
        <v>216</v>
      </c>
      <c r="M220" s="9" t="s">
        <v>468</v>
      </c>
      <c r="N220" s="9" t="s">
        <v>468</v>
      </c>
      <c r="O220" s="60" t="s">
        <v>1213</v>
      </c>
    </row>
    <row r="221" spans="1:15" x14ac:dyDescent="0.25">
      <c r="A221" s="4"/>
      <c r="B221" s="9" t="s">
        <v>625</v>
      </c>
      <c r="C221" s="52" t="str">
        <f t="shared" si="3"/>
        <v>NAPESHM_USCO03_217</v>
      </c>
      <c r="D221" s="9" t="s">
        <v>629</v>
      </c>
      <c r="E221" s="29"/>
      <c r="F221" s="60" t="s">
        <v>1107</v>
      </c>
      <c r="G221" s="83">
        <v>40.462023000000002</v>
      </c>
      <c r="H221" s="83">
        <v>-103.028667</v>
      </c>
      <c r="I221" s="9" t="s">
        <v>19</v>
      </c>
      <c r="J221" s="29"/>
      <c r="K221" s="29"/>
      <c r="L221" s="60">
        <v>217</v>
      </c>
      <c r="M221" s="9" t="s">
        <v>468</v>
      </c>
      <c r="N221" s="9" t="s">
        <v>468</v>
      </c>
      <c r="O221" s="60" t="s">
        <v>1213</v>
      </c>
    </row>
    <row r="222" spans="1:15" x14ac:dyDescent="0.25">
      <c r="A222" s="4"/>
      <c r="B222" s="9" t="s">
        <v>625</v>
      </c>
      <c r="C222" s="52" t="str">
        <f t="shared" si="3"/>
        <v>NAPESHM_USCO04_218</v>
      </c>
      <c r="D222" s="9" t="s">
        <v>629</v>
      </c>
      <c r="E222" s="29"/>
      <c r="F222" s="60" t="s">
        <v>1108</v>
      </c>
      <c r="G222" s="83">
        <v>39.765988999999998</v>
      </c>
      <c r="H222" s="83">
        <v>-103.797625</v>
      </c>
      <c r="I222" s="9" t="s">
        <v>19</v>
      </c>
      <c r="J222" s="29"/>
      <c r="K222" s="29"/>
      <c r="L222" s="60">
        <v>218</v>
      </c>
      <c r="M222" s="9" t="s">
        <v>468</v>
      </c>
      <c r="N222" s="9" t="s">
        <v>468</v>
      </c>
      <c r="O222" s="60" t="s">
        <v>1214</v>
      </c>
    </row>
    <row r="223" spans="1:15" x14ac:dyDescent="0.25">
      <c r="A223" s="4"/>
      <c r="B223" s="9" t="s">
        <v>625</v>
      </c>
      <c r="C223" s="52" t="str">
        <f t="shared" si="3"/>
        <v>NAPESHM_USCO04_219</v>
      </c>
      <c r="D223" s="9" t="s">
        <v>629</v>
      </c>
      <c r="E223" s="29"/>
      <c r="F223" s="60" t="s">
        <v>1108</v>
      </c>
      <c r="G223" s="83">
        <v>39.765988999999998</v>
      </c>
      <c r="H223" s="83">
        <v>-103.797625</v>
      </c>
      <c r="I223" s="9" t="s">
        <v>19</v>
      </c>
      <c r="J223" s="29"/>
      <c r="K223" s="29"/>
      <c r="L223" s="60">
        <v>219</v>
      </c>
      <c r="M223" s="9" t="s">
        <v>468</v>
      </c>
      <c r="N223" s="9" t="s">
        <v>468</v>
      </c>
      <c r="O223" s="60" t="s">
        <v>1214</v>
      </c>
    </row>
    <row r="224" spans="1:15" x14ac:dyDescent="0.25">
      <c r="A224" s="4"/>
      <c r="B224" s="9" t="s">
        <v>625</v>
      </c>
      <c r="C224" s="52" t="str">
        <f t="shared" si="3"/>
        <v>NAPESHM_USCO04_220</v>
      </c>
      <c r="D224" s="9" t="s">
        <v>629</v>
      </c>
      <c r="E224" s="29"/>
      <c r="F224" s="60" t="s">
        <v>1108</v>
      </c>
      <c r="G224" s="83">
        <v>39.765988999999998</v>
      </c>
      <c r="H224" s="83">
        <v>-103.797625</v>
      </c>
      <c r="I224" s="9" t="s">
        <v>19</v>
      </c>
      <c r="J224" s="29"/>
      <c r="K224" s="29"/>
      <c r="L224" s="60">
        <v>220</v>
      </c>
      <c r="M224" s="9" t="s">
        <v>468</v>
      </c>
      <c r="N224" s="9" t="s">
        <v>468</v>
      </c>
      <c r="O224" s="60" t="s">
        <v>1214</v>
      </c>
    </row>
    <row r="225" spans="1:15" x14ac:dyDescent="0.25">
      <c r="A225" s="4"/>
      <c r="B225" s="9" t="s">
        <v>625</v>
      </c>
      <c r="C225" s="52" t="str">
        <f t="shared" si="3"/>
        <v>NAPESHM_USCO04_221</v>
      </c>
      <c r="D225" s="9" t="s">
        <v>629</v>
      </c>
      <c r="E225" s="29"/>
      <c r="F225" s="60" t="s">
        <v>1108</v>
      </c>
      <c r="G225" s="83">
        <v>39.765988999999998</v>
      </c>
      <c r="H225" s="83">
        <v>-103.797625</v>
      </c>
      <c r="I225" s="9" t="s">
        <v>19</v>
      </c>
      <c r="J225" s="29"/>
      <c r="K225" s="29"/>
      <c r="L225" s="60">
        <v>221</v>
      </c>
      <c r="M225" s="9" t="s">
        <v>468</v>
      </c>
      <c r="N225" s="9" t="s">
        <v>468</v>
      </c>
      <c r="O225" s="60" t="s">
        <v>1214</v>
      </c>
    </row>
    <row r="226" spans="1:15" x14ac:dyDescent="0.25">
      <c r="A226" s="4"/>
      <c r="B226" s="9" t="s">
        <v>625</v>
      </c>
      <c r="C226" s="52" t="str">
        <f t="shared" si="3"/>
        <v>NAPESHM_USCO05_222</v>
      </c>
      <c r="D226" s="9" t="s">
        <v>629</v>
      </c>
      <c r="E226" s="29"/>
      <c r="F226" s="60" t="s">
        <v>1109</v>
      </c>
      <c r="G226" s="83">
        <v>40.821840999999999</v>
      </c>
      <c r="H226" s="83">
        <v>-104.75049199999999</v>
      </c>
      <c r="I226" s="9" t="s">
        <v>19</v>
      </c>
      <c r="J226" s="29"/>
      <c r="K226" s="29"/>
      <c r="L226" s="60">
        <v>222</v>
      </c>
      <c r="M226" s="9" t="s">
        <v>468</v>
      </c>
      <c r="N226" s="9" t="s">
        <v>468</v>
      </c>
      <c r="O226" s="60" t="s">
        <v>1215</v>
      </c>
    </row>
    <row r="227" spans="1:15" x14ac:dyDescent="0.25">
      <c r="A227" s="4"/>
      <c r="B227" s="9" t="s">
        <v>625</v>
      </c>
      <c r="C227" s="52" t="str">
        <f t="shared" si="3"/>
        <v>NAPESHM_USCO05_223</v>
      </c>
      <c r="D227" s="9" t="s">
        <v>629</v>
      </c>
      <c r="E227" s="29"/>
      <c r="F227" s="60" t="s">
        <v>1109</v>
      </c>
      <c r="G227" s="83">
        <v>40.821840999999999</v>
      </c>
      <c r="H227" s="83">
        <v>-104.75049199999999</v>
      </c>
      <c r="I227" s="9" t="s">
        <v>19</v>
      </c>
      <c r="J227" s="29"/>
      <c r="K227" s="29"/>
      <c r="L227" s="60">
        <v>223</v>
      </c>
      <c r="M227" s="9" t="s">
        <v>468</v>
      </c>
      <c r="N227" s="9" t="s">
        <v>468</v>
      </c>
      <c r="O227" s="60" t="s">
        <v>1215</v>
      </c>
    </row>
    <row r="228" spans="1:15" x14ac:dyDescent="0.25">
      <c r="A228" s="4"/>
      <c r="B228" s="9" t="s">
        <v>625</v>
      </c>
      <c r="C228" s="52" t="str">
        <f t="shared" si="3"/>
        <v>NAPESHM_USCO05_224</v>
      </c>
      <c r="D228" s="9" t="s">
        <v>629</v>
      </c>
      <c r="E228" s="29"/>
      <c r="F228" s="60" t="s">
        <v>1109</v>
      </c>
      <c r="G228" s="83">
        <v>40.821840999999999</v>
      </c>
      <c r="H228" s="83">
        <v>-104.75049199999999</v>
      </c>
      <c r="I228" s="9" t="s">
        <v>19</v>
      </c>
      <c r="J228" s="29"/>
      <c r="K228" s="29"/>
      <c r="L228" s="60">
        <v>224</v>
      </c>
      <c r="M228" s="9" t="s">
        <v>468</v>
      </c>
      <c r="N228" s="9" t="s">
        <v>468</v>
      </c>
      <c r="O228" s="60" t="s">
        <v>1215</v>
      </c>
    </row>
    <row r="229" spans="1:15" x14ac:dyDescent="0.25">
      <c r="A229" s="4"/>
      <c r="B229" s="9" t="s">
        <v>625</v>
      </c>
      <c r="C229" s="52" t="str">
        <f t="shared" si="3"/>
        <v>NAPESHM_USCO05_225</v>
      </c>
      <c r="D229" s="9" t="s">
        <v>629</v>
      </c>
      <c r="E229" s="29"/>
      <c r="F229" s="60" t="s">
        <v>1109</v>
      </c>
      <c r="G229" s="83">
        <v>40.821840999999999</v>
      </c>
      <c r="H229" s="83">
        <v>-104.75049199999999</v>
      </c>
      <c r="I229" s="9" t="s">
        <v>19</v>
      </c>
      <c r="J229" s="29"/>
      <c r="K229" s="29"/>
      <c r="L229" s="60">
        <v>225</v>
      </c>
      <c r="M229" s="9" t="s">
        <v>468</v>
      </c>
      <c r="N229" s="9" t="s">
        <v>468</v>
      </c>
      <c r="O229" s="60" t="s">
        <v>1215</v>
      </c>
    </row>
    <row r="230" spans="1:15" x14ac:dyDescent="0.25">
      <c r="A230" s="4"/>
      <c r="B230" s="9" t="s">
        <v>625</v>
      </c>
      <c r="C230" s="52" t="str">
        <f t="shared" si="3"/>
        <v>NAPESHM_USDE01_226</v>
      </c>
      <c r="D230" s="9" t="s">
        <v>629</v>
      </c>
      <c r="E230" s="29"/>
      <c r="F230" s="60" t="s">
        <v>1110</v>
      </c>
      <c r="G230" s="83">
        <v>38.626837999999999</v>
      </c>
      <c r="H230" s="83">
        <v>-75.467651000000004</v>
      </c>
      <c r="I230" s="9" t="s">
        <v>141</v>
      </c>
      <c r="J230" s="29"/>
      <c r="K230" s="29"/>
      <c r="L230" s="60">
        <v>226</v>
      </c>
      <c r="M230" s="9" t="s">
        <v>468</v>
      </c>
      <c r="N230" s="9" t="s">
        <v>468</v>
      </c>
      <c r="O230" s="60" t="s">
        <v>1216</v>
      </c>
    </row>
    <row r="231" spans="1:15" x14ac:dyDescent="0.25">
      <c r="A231" s="4"/>
      <c r="B231" s="9" t="s">
        <v>625</v>
      </c>
      <c r="C231" s="52" t="str">
        <f t="shared" si="3"/>
        <v>NAPESHM_USDE01_227</v>
      </c>
      <c r="D231" s="9" t="s">
        <v>629</v>
      </c>
      <c r="E231" s="29"/>
      <c r="F231" s="60" t="s">
        <v>1110</v>
      </c>
      <c r="G231" s="83">
        <v>38.626837999999999</v>
      </c>
      <c r="H231" s="83">
        <v>-75.467651000000004</v>
      </c>
      <c r="I231" s="9" t="s">
        <v>141</v>
      </c>
      <c r="J231" s="29"/>
      <c r="K231" s="29"/>
      <c r="L231" s="60">
        <v>227</v>
      </c>
      <c r="M231" s="9" t="s">
        <v>468</v>
      </c>
      <c r="N231" s="9" t="s">
        <v>468</v>
      </c>
      <c r="O231" s="60" t="s">
        <v>1216</v>
      </c>
    </row>
    <row r="232" spans="1:15" x14ac:dyDescent="0.25">
      <c r="A232" s="4"/>
      <c r="B232" s="9" t="s">
        <v>625</v>
      </c>
      <c r="C232" s="52" t="str">
        <f t="shared" si="3"/>
        <v>NAPESHM_USFL01_228</v>
      </c>
      <c r="D232" s="9" t="s">
        <v>629</v>
      </c>
      <c r="E232" s="29"/>
      <c r="F232" s="60" t="s">
        <v>1111</v>
      </c>
      <c r="G232" s="83">
        <v>30.873611</v>
      </c>
      <c r="H232" s="83">
        <v>-85.182221999999996</v>
      </c>
      <c r="I232" s="9" t="s">
        <v>152</v>
      </c>
      <c r="J232" s="29"/>
      <c r="K232" s="29"/>
      <c r="L232" s="60">
        <v>228</v>
      </c>
      <c r="M232" s="9" t="s">
        <v>468</v>
      </c>
      <c r="N232" s="9" t="s">
        <v>468</v>
      </c>
      <c r="O232" s="60" t="s">
        <v>1217</v>
      </c>
    </row>
    <row r="233" spans="1:15" x14ac:dyDescent="0.25">
      <c r="A233" s="4"/>
      <c r="B233" s="9" t="s">
        <v>625</v>
      </c>
      <c r="C233" s="52" t="str">
        <f t="shared" si="3"/>
        <v>NAPESHM_USFL01_229</v>
      </c>
      <c r="D233" s="9" t="s">
        <v>629</v>
      </c>
      <c r="E233" s="29"/>
      <c r="F233" s="60" t="s">
        <v>1111</v>
      </c>
      <c r="G233" s="83">
        <v>30.873611</v>
      </c>
      <c r="H233" s="83">
        <v>-85.182221999999996</v>
      </c>
      <c r="I233" s="9" t="s">
        <v>152</v>
      </c>
      <c r="J233" s="29"/>
      <c r="K233" s="29"/>
      <c r="L233" s="60">
        <v>229</v>
      </c>
      <c r="M233" s="9" t="s">
        <v>468</v>
      </c>
      <c r="N233" s="9" t="s">
        <v>468</v>
      </c>
      <c r="O233" s="60" t="s">
        <v>1217</v>
      </c>
    </row>
    <row r="234" spans="1:15" x14ac:dyDescent="0.25">
      <c r="A234" s="4"/>
      <c r="B234" s="9" t="s">
        <v>625</v>
      </c>
      <c r="C234" s="52" t="str">
        <f t="shared" si="3"/>
        <v>NAPESHM_USFL02_230</v>
      </c>
      <c r="D234" s="9" t="s">
        <v>629</v>
      </c>
      <c r="E234" s="29"/>
      <c r="F234" s="60" t="s">
        <v>1112</v>
      </c>
      <c r="G234" s="83">
        <v>30.546669000000001</v>
      </c>
      <c r="H234" s="83">
        <v>-84.591099</v>
      </c>
      <c r="I234" s="9" t="s">
        <v>152</v>
      </c>
      <c r="J234" s="29"/>
      <c r="K234" s="29"/>
      <c r="L234" s="60">
        <v>230</v>
      </c>
      <c r="M234" s="9" t="s">
        <v>468</v>
      </c>
      <c r="N234" s="9" t="s">
        <v>468</v>
      </c>
      <c r="O234" s="60" t="s">
        <v>1218</v>
      </c>
    </row>
    <row r="235" spans="1:15" x14ac:dyDescent="0.25">
      <c r="A235" s="4"/>
      <c r="B235" s="9" t="s">
        <v>625</v>
      </c>
      <c r="C235" s="52" t="str">
        <f t="shared" si="3"/>
        <v>NAPESHM_USFL02_231</v>
      </c>
      <c r="D235" s="9" t="s">
        <v>629</v>
      </c>
      <c r="E235" s="29"/>
      <c r="F235" s="60" t="s">
        <v>1112</v>
      </c>
      <c r="G235" s="83">
        <v>30.546669000000001</v>
      </c>
      <c r="H235" s="83">
        <v>-84.591099</v>
      </c>
      <c r="I235" s="9" t="s">
        <v>152</v>
      </c>
      <c r="J235" s="29"/>
      <c r="K235" s="29"/>
      <c r="L235" s="60">
        <v>231</v>
      </c>
      <c r="M235" s="9" t="s">
        <v>468</v>
      </c>
      <c r="N235" s="9" t="s">
        <v>468</v>
      </c>
      <c r="O235" s="60" t="s">
        <v>1218</v>
      </c>
    </row>
    <row r="236" spans="1:15" x14ac:dyDescent="0.25">
      <c r="A236" s="4"/>
      <c r="B236" s="9" t="s">
        <v>625</v>
      </c>
      <c r="C236" s="52" t="str">
        <f t="shared" si="3"/>
        <v>NAPESHM_USGA01_232</v>
      </c>
      <c r="D236" s="9" t="s">
        <v>629</v>
      </c>
      <c r="E236" s="29"/>
      <c r="F236" s="60" t="s">
        <v>1113</v>
      </c>
      <c r="G236" s="83">
        <v>31.484539000000002</v>
      </c>
      <c r="H236" s="83">
        <v>-83.521704999999997</v>
      </c>
      <c r="I236" s="9" t="s">
        <v>163</v>
      </c>
      <c r="J236" s="29"/>
      <c r="K236" s="29"/>
      <c r="L236" s="60">
        <v>232</v>
      </c>
      <c r="M236" s="9" t="s">
        <v>468</v>
      </c>
      <c r="N236" s="9" t="s">
        <v>468</v>
      </c>
      <c r="O236" s="60" t="s">
        <v>1219</v>
      </c>
    </row>
    <row r="237" spans="1:15" x14ac:dyDescent="0.25">
      <c r="A237" s="4"/>
      <c r="B237" s="9" t="s">
        <v>625</v>
      </c>
      <c r="C237" s="52" t="str">
        <f t="shared" si="3"/>
        <v>NAPESHM_USGA01_233</v>
      </c>
      <c r="D237" s="9" t="s">
        <v>629</v>
      </c>
      <c r="E237" s="29"/>
      <c r="F237" s="60" t="s">
        <v>1113</v>
      </c>
      <c r="G237" s="83">
        <v>31.484539000000002</v>
      </c>
      <c r="H237" s="83">
        <v>-83.521704999999997</v>
      </c>
      <c r="I237" s="9" t="s">
        <v>163</v>
      </c>
      <c r="J237" s="29"/>
      <c r="K237" s="29"/>
      <c r="L237" s="60">
        <v>233</v>
      </c>
      <c r="M237" s="9" t="s">
        <v>468</v>
      </c>
      <c r="N237" s="9" t="s">
        <v>468</v>
      </c>
      <c r="O237" s="60" t="s">
        <v>1219</v>
      </c>
    </row>
    <row r="238" spans="1:15" x14ac:dyDescent="0.25">
      <c r="A238" s="4"/>
      <c r="B238" s="9" t="s">
        <v>625</v>
      </c>
      <c r="C238" s="52" t="str">
        <f t="shared" si="3"/>
        <v>NAPESHM_USIA01_234</v>
      </c>
      <c r="D238" s="9" t="s">
        <v>629</v>
      </c>
      <c r="E238" s="29"/>
      <c r="F238" s="60" t="s">
        <v>1114</v>
      </c>
      <c r="G238" s="83">
        <v>41.550283</v>
      </c>
      <c r="H238" s="83">
        <v>-93.275289000000001</v>
      </c>
      <c r="I238" s="9" t="s">
        <v>200</v>
      </c>
      <c r="J238" s="29"/>
      <c r="K238" s="29"/>
      <c r="L238" s="60">
        <v>234</v>
      </c>
      <c r="M238" s="9" t="s">
        <v>468</v>
      </c>
      <c r="N238" s="9" t="s">
        <v>468</v>
      </c>
      <c r="O238" s="60" t="s">
        <v>1220</v>
      </c>
    </row>
    <row r="239" spans="1:15" x14ac:dyDescent="0.25">
      <c r="A239" s="4"/>
      <c r="B239" s="9" t="s">
        <v>625</v>
      </c>
      <c r="C239" s="52" t="str">
        <f t="shared" si="3"/>
        <v>NAPESHM_USIA01_235</v>
      </c>
      <c r="D239" s="9" t="s">
        <v>629</v>
      </c>
      <c r="E239" s="29"/>
      <c r="F239" s="60" t="s">
        <v>1114</v>
      </c>
      <c r="G239" s="83">
        <v>41.550283</v>
      </c>
      <c r="H239" s="83">
        <v>-93.275289000000001</v>
      </c>
      <c r="I239" s="9" t="s">
        <v>200</v>
      </c>
      <c r="J239" s="29"/>
      <c r="K239" s="29"/>
      <c r="L239" s="60">
        <v>235</v>
      </c>
      <c r="M239" s="9" t="s">
        <v>468</v>
      </c>
      <c r="N239" s="9" t="s">
        <v>468</v>
      </c>
      <c r="O239" s="60" t="s">
        <v>1220</v>
      </c>
    </row>
    <row r="240" spans="1:15" x14ac:dyDescent="0.25">
      <c r="A240" s="4"/>
      <c r="B240" s="9" t="s">
        <v>625</v>
      </c>
      <c r="C240" s="52" t="str">
        <f t="shared" si="3"/>
        <v>NAPESHM_USIA01_236</v>
      </c>
      <c r="D240" s="9" t="s">
        <v>629</v>
      </c>
      <c r="E240" s="29"/>
      <c r="F240" s="60" t="s">
        <v>1114</v>
      </c>
      <c r="G240" s="83">
        <v>41.550283</v>
      </c>
      <c r="H240" s="83">
        <v>-93.275289000000001</v>
      </c>
      <c r="I240" s="9" t="s">
        <v>200</v>
      </c>
      <c r="J240" s="29"/>
      <c r="K240" s="29"/>
      <c r="L240" s="60">
        <v>236</v>
      </c>
      <c r="M240" s="9" t="s">
        <v>468</v>
      </c>
      <c r="N240" s="9" t="s">
        <v>468</v>
      </c>
      <c r="O240" s="60" t="s">
        <v>1220</v>
      </c>
    </row>
    <row r="241" spans="1:15" x14ac:dyDescent="0.25">
      <c r="A241" s="4"/>
      <c r="B241" s="9" t="s">
        <v>625</v>
      </c>
      <c r="C241" s="52" t="str">
        <f t="shared" si="3"/>
        <v>NAPESHM_USIA02_237</v>
      </c>
      <c r="D241" s="9" t="s">
        <v>629</v>
      </c>
      <c r="E241" s="29"/>
      <c r="F241" s="60" t="s">
        <v>1115</v>
      </c>
      <c r="G241" s="83">
        <v>41.920575999999997</v>
      </c>
      <c r="H241" s="83">
        <v>-93.750050999999999</v>
      </c>
      <c r="I241" s="9" t="s">
        <v>200</v>
      </c>
      <c r="J241" s="29"/>
      <c r="K241" s="29"/>
      <c r="L241" s="60">
        <v>237</v>
      </c>
      <c r="M241" s="9" t="s">
        <v>468</v>
      </c>
      <c r="N241" s="9" t="s">
        <v>468</v>
      </c>
      <c r="O241" s="60" t="s">
        <v>1221</v>
      </c>
    </row>
    <row r="242" spans="1:15" x14ac:dyDescent="0.25">
      <c r="A242" s="4"/>
      <c r="B242" s="9" t="s">
        <v>625</v>
      </c>
      <c r="C242" s="52" t="str">
        <f t="shared" si="3"/>
        <v>NAPESHM_USIA02_238</v>
      </c>
      <c r="D242" s="9" t="s">
        <v>629</v>
      </c>
      <c r="E242" s="29"/>
      <c r="F242" s="60" t="s">
        <v>1115</v>
      </c>
      <c r="G242" s="83">
        <v>41.920575999999997</v>
      </c>
      <c r="H242" s="83">
        <v>-93.750050999999999</v>
      </c>
      <c r="I242" s="9" t="s">
        <v>200</v>
      </c>
      <c r="J242" s="29"/>
      <c r="K242" s="29"/>
      <c r="L242" s="60">
        <v>238</v>
      </c>
      <c r="M242" s="9" t="s">
        <v>468</v>
      </c>
      <c r="N242" s="9" t="s">
        <v>468</v>
      </c>
      <c r="O242" s="60" t="s">
        <v>1221</v>
      </c>
    </row>
    <row r="243" spans="1:15" x14ac:dyDescent="0.25">
      <c r="A243" s="4"/>
      <c r="B243" s="9" t="s">
        <v>625</v>
      </c>
      <c r="C243" s="52" t="str">
        <f t="shared" si="3"/>
        <v>NAPESHM_USIA02_239</v>
      </c>
      <c r="D243" s="9" t="s">
        <v>629</v>
      </c>
      <c r="E243" s="29"/>
      <c r="F243" s="60" t="s">
        <v>1115</v>
      </c>
      <c r="G243" s="83">
        <v>41.920575999999997</v>
      </c>
      <c r="H243" s="83">
        <v>-93.750050999999999</v>
      </c>
      <c r="I243" s="9" t="s">
        <v>200</v>
      </c>
      <c r="J243" s="29"/>
      <c r="K243" s="29"/>
      <c r="L243" s="60">
        <v>239</v>
      </c>
      <c r="M243" s="9" t="s">
        <v>468</v>
      </c>
      <c r="N243" s="9" t="s">
        <v>468</v>
      </c>
      <c r="O243" s="60" t="s">
        <v>1221</v>
      </c>
    </row>
    <row r="244" spans="1:15" x14ac:dyDescent="0.25">
      <c r="A244" s="4"/>
      <c r="B244" s="9" t="s">
        <v>625</v>
      </c>
      <c r="C244" s="52" t="str">
        <f t="shared" si="3"/>
        <v>NAPESHM_USIA02_240</v>
      </c>
      <c r="D244" s="9" t="s">
        <v>629</v>
      </c>
      <c r="E244" s="29"/>
      <c r="F244" s="60" t="s">
        <v>1115</v>
      </c>
      <c r="G244" s="83">
        <v>41.920575999999997</v>
      </c>
      <c r="H244" s="83">
        <v>-93.750050999999999</v>
      </c>
      <c r="I244" s="9" t="s">
        <v>200</v>
      </c>
      <c r="J244" s="29"/>
      <c r="K244" s="29"/>
      <c r="L244" s="60">
        <v>240</v>
      </c>
      <c r="M244" s="9" t="s">
        <v>468</v>
      </c>
      <c r="N244" s="9" t="s">
        <v>468</v>
      </c>
      <c r="O244" s="60" t="s">
        <v>1221</v>
      </c>
    </row>
    <row r="245" spans="1:15" x14ac:dyDescent="0.25">
      <c r="A245" s="4"/>
      <c r="B245" s="9" t="s">
        <v>625</v>
      </c>
      <c r="C245" s="52" t="str">
        <f t="shared" si="3"/>
        <v>NAPESHM_USIA02_241</v>
      </c>
      <c r="D245" s="9" t="s">
        <v>629</v>
      </c>
      <c r="E245" s="29"/>
      <c r="F245" s="60" t="s">
        <v>1115</v>
      </c>
      <c r="G245" s="83">
        <v>41.920575999999997</v>
      </c>
      <c r="H245" s="83">
        <v>-93.750050999999999</v>
      </c>
      <c r="I245" s="9" t="s">
        <v>200</v>
      </c>
      <c r="J245" s="29"/>
      <c r="K245" s="29"/>
      <c r="L245" s="60">
        <v>241</v>
      </c>
      <c r="M245" s="9" t="s">
        <v>468</v>
      </c>
      <c r="N245" s="9" t="s">
        <v>468</v>
      </c>
      <c r="O245" s="60" t="s">
        <v>1221</v>
      </c>
    </row>
    <row r="246" spans="1:15" x14ac:dyDescent="0.25">
      <c r="A246" s="4"/>
      <c r="B246" s="9" t="s">
        <v>625</v>
      </c>
      <c r="C246" s="52" t="str">
        <f t="shared" si="3"/>
        <v>NAPESHM_USIA02_242</v>
      </c>
      <c r="D246" s="9" t="s">
        <v>629</v>
      </c>
      <c r="E246" s="29"/>
      <c r="F246" s="60" t="s">
        <v>1115</v>
      </c>
      <c r="G246" s="83">
        <v>41.920575999999997</v>
      </c>
      <c r="H246" s="83">
        <v>-93.750050999999999</v>
      </c>
      <c r="I246" s="9" t="s">
        <v>200</v>
      </c>
      <c r="J246" s="29"/>
      <c r="K246" s="29"/>
      <c r="L246" s="60">
        <v>242</v>
      </c>
      <c r="M246" s="9" t="s">
        <v>468</v>
      </c>
      <c r="N246" s="9" t="s">
        <v>468</v>
      </c>
      <c r="O246" s="60" t="s">
        <v>1221</v>
      </c>
    </row>
    <row r="247" spans="1:15" x14ac:dyDescent="0.25">
      <c r="A247" s="4"/>
      <c r="B247" s="9" t="s">
        <v>625</v>
      </c>
      <c r="C247" s="52" t="str">
        <f t="shared" si="3"/>
        <v>NAPESHM_USIA03_243</v>
      </c>
      <c r="D247" s="9" t="s">
        <v>629</v>
      </c>
      <c r="E247" s="29"/>
      <c r="F247" s="60" t="s">
        <v>1116</v>
      </c>
      <c r="G247" s="83">
        <v>42.022100000000002</v>
      </c>
      <c r="H247" s="83">
        <v>-93.775887999999995</v>
      </c>
      <c r="I247" s="9" t="s">
        <v>200</v>
      </c>
      <c r="J247" s="29"/>
      <c r="K247" s="29"/>
      <c r="L247" s="60">
        <v>243</v>
      </c>
      <c r="M247" s="9" t="s">
        <v>468</v>
      </c>
      <c r="N247" s="9" t="s">
        <v>468</v>
      </c>
      <c r="O247" s="60" t="s">
        <v>1222</v>
      </c>
    </row>
    <row r="248" spans="1:15" x14ac:dyDescent="0.25">
      <c r="A248" s="4"/>
      <c r="B248" s="9" t="s">
        <v>625</v>
      </c>
      <c r="C248" s="52" t="str">
        <f t="shared" si="3"/>
        <v>NAPESHM_USIA03_244</v>
      </c>
      <c r="D248" s="9" t="s">
        <v>629</v>
      </c>
      <c r="E248" s="29"/>
      <c r="F248" s="60" t="s">
        <v>1116</v>
      </c>
      <c r="G248" s="83">
        <v>42.022100000000002</v>
      </c>
      <c r="H248" s="83">
        <v>-93.775887999999995</v>
      </c>
      <c r="I248" s="9" t="s">
        <v>200</v>
      </c>
      <c r="J248" s="29"/>
      <c r="K248" s="29"/>
      <c r="L248" s="60">
        <v>244</v>
      </c>
      <c r="M248" s="9" t="s">
        <v>468</v>
      </c>
      <c r="N248" s="9" t="s">
        <v>468</v>
      </c>
      <c r="O248" s="60" t="s">
        <v>1222</v>
      </c>
    </row>
    <row r="249" spans="1:15" x14ac:dyDescent="0.25">
      <c r="A249" s="4"/>
      <c r="B249" s="9" t="s">
        <v>625</v>
      </c>
      <c r="C249" s="52" t="str">
        <f t="shared" si="3"/>
        <v>NAPESHM_USIA03_245</v>
      </c>
      <c r="D249" s="9" t="s">
        <v>629</v>
      </c>
      <c r="E249" s="29"/>
      <c r="F249" s="60" t="s">
        <v>1116</v>
      </c>
      <c r="G249" s="83">
        <v>42.022100000000002</v>
      </c>
      <c r="H249" s="83">
        <v>-93.775887999999995</v>
      </c>
      <c r="I249" s="9" t="s">
        <v>200</v>
      </c>
      <c r="J249" s="29"/>
      <c r="K249" s="29"/>
      <c r="L249" s="60">
        <v>245</v>
      </c>
      <c r="M249" s="9" t="s">
        <v>468</v>
      </c>
      <c r="N249" s="9" t="s">
        <v>468</v>
      </c>
      <c r="O249" s="60" t="s">
        <v>1222</v>
      </c>
    </row>
    <row r="250" spans="1:15" x14ac:dyDescent="0.25">
      <c r="A250" s="4"/>
      <c r="B250" s="9" t="s">
        <v>625</v>
      </c>
      <c r="C250" s="52" t="str">
        <f t="shared" si="3"/>
        <v>NAPESHM_USID01_246</v>
      </c>
      <c r="D250" s="9" t="s">
        <v>629</v>
      </c>
      <c r="E250" s="29"/>
      <c r="F250" s="60" t="s">
        <v>1117</v>
      </c>
      <c r="G250" s="83">
        <v>42.551479999999998</v>
      </c>
      <c r="H250" s="83">
        <v>-114.35365</v>
      </c>
      <c r="I250" s="9" t="s">
        <v>181</v>
      </c>
      <c r="J250" s="29"/>
      <c r="K250" s="29"/>
      <c r="L250" s="60">
        <v>246</v>
      </c>
      <c r="M250" s="9" t="s">
        <v>468</v>
      </c>
      <c r="N250" s="9" t="s">
        <v>468</v>
      </c>
      <c r="O250" s="60" t="s">
        <v>1223</v>
      </c>
    </row>
    <row r="251" spans="1:15" x14ac:dyDescent="0.25">
      <c r="A251" s="4"/>
      <c r="B251" s="9" t="s">
        <v>625</v>
      </c>
      <c r="C251" s="52" t="str">
        <f t="shared" si="3"/>
        <v>NAPESHM_USID01_247</v>
      </c>
      <c r="D251" s="9" t="s">
        <v>629</v>
      </c>
      <c r="E251" s="29"/>
      <c r="F251" s="60" t="s">
        <v>1117</v>
      </c>
      <c r="G251" s="83">
        <v>42.551479999999998</v>
      </c>
      <c r="H251" s="83">
        <v>-114.35365</v>
      </c>
      <c r="I251" s="9" t="s">
        <v>181</v>
      </c>
      <c r="J251" s="29"/>
      <c r="K251" s="29"/>
      <c r="L251" s="60">
        <v>247</v>
      </c>
      <c r="M251" s="9" t="s">
        <v>468</v>
      </c>
      <c r="N251" s="9" t="s">
        <v>468</v>
      </c>
      <c r="O251" s="60" t="s">
        <v>1223</v>
      </c>
    </row>
    <row r="252" spans="1:15" x14ac:dyDescent="0.25">
      <c r="A252" s="4"/>
      <c r="B252" s="9" t="s">
        <v>625</v>
      </c>
      <c r="C252" s="52" t="str">
        <f t="shared" si="3"/>
        <v>NAPESHM_USID01_248</v>
      </c>
      <c r="D252" s="9" t="s">
        <v>629</v>
      </c>
      <c r="E252" s="29"/>
      <c r="F252" s="60" t="s">
        <v>1117</v>
      </c>
      <c r="G252" s="83">
        <v>42.551479999999998</v>
      </c>
      <c r="H252" s="83">
        <v>-114.35365</v>
      </c>
      <c r="I252" s="9" t="s">
        <v>181</v>
      </c>
      <c r="J252" s="29"/>
      <c r="K252" s="29"/>
      <c r="L252" s="60">
        <v>248</v>
      </c>
      <c r="M252" s="9" t="s">
        <v>468</v>
      </c>
      <c r="N252" s="9" t="s">
        <v>468</v>
      </c>
      <c r="O252" s="60" t="s">
        <v>1223</v>
      </c>
    </row>
    <row r="253" spans="1:15" x14ac:dyDescent="0.25">
      <c r="A253" s="4"/>
      <c r="B253" s="9" t="s">
        <v>625</v>
      </c>
      <c r="C253" s="52" t="str">
        <f t="shared" si="3"/>
        <v>NAPESHM_USID01_249</v>
      </c>
      <c r="D253" s="9" t="s">
        <v>629</v>
      </c>
      <c r="E253" s="29"/>
      <c r="F253" s="60" t="s">
        <v>1117</v>
      </c>
      <c r="G253" s="83">
        <v>42.551479999999998</v>
      </c>
      <c r="H253" s="83">
        <v>-114.35365</v>
      </c>
      <c r="I253" s="9" t="s">
        <v>181</v>
      </c>
      <c r="J253" s="29"/>
      <c r="K253" s="29"/>
      <c r="L253" s="60">
        <v>249</v>
      </c>
      <c r="M253" s="9" t="s">
        <v>468</v>
      </c>
      <c r="N253" s="9" t="s">
        <v>468</v>
      </c>
      <c r="O253" s="60" t="s">
        <v>1223</v>
      </c>
    </row>
    <row r="254" spans="1:15" x14ac:dyDescent="0.25">
      <c r="A254" s="4"/>
      <c r="B254" s="9" t="s">
        <v>625</v>
      </c>
      <c r="C254" s="52" t="str">
        <f t="shared" si="3"/>
        <v>NAPESHM_USIN01_250</v>
      </c>
      <c r="D254" s="9" t="s">
        <v>629</v>
      </c>
      <c r="E254" s="29"/>
      <c r="F254" s="60" t="s">
        <v>1118</v>
      </c>
      <c r="G254" s="83">
        <v>40.489086</v>
      </c>
      <c r="H254" s="83">
        <v>-87.002904000000001</v>
      </c>
      <c r="I254" s="9" t="s">
        <v>194</v>
      </c>
      <c r="J254" s="29"/>
      <c r="K254" s="29"/>
      <c r="L254" s="60">
        <v>250</v>
      </c>
      <c r="M254" s="9" t="s">
        <v>468</v>
      </c>
      <c r="N254" s="9" t="s">
        <v>468</v>
      </c>
      <c r="O254" s="60" t="s">
        <v>1224</v>
      </c>
    </row>
    <row r="255" spans="1:15" x14ac:dyDescent="0.25">
      <c r="A255" s="4"/>
      <c r="B255" s="9" t="s">
        <v>625</v>
      </c>
      <c r="C255" s="52" t="str">
        <f t="shared" si="3"/>
        <v>NAPESHM_USIN01_251</v>
      </c>
      <c r="D255" s="9" t="s">
        <v>629</v>
      </c>
      <c r="E255" s="29"/>
      <c r="F255" s="60" t="s">
        <v>1118</v>
      </c>
      <c r="G255" s="83">
        <v>40.489086</v>
      </c>
      <c r="H255" s="83">
        <v>-87.002904000000001</v>
      </c>
      <c r="I255" s="9" t="s">
        <v>194</v>
      </c>
      <c r="J255" s="29"/>
      <c r="K255" s="29"/>
      <c r="L255" s="60">
        <v>251</v>
      </c>
      <c r="M255" s="9" t="s">
        <v>468</v>
      </c>
      <c r="N255" s="9" t="s">
        <v>468</v>
      </c>
      <c r="O255" s="60" t="s">
        <v>1224</v>
      </c>
    </row>
    <row r="256" spans="1:15" x14ac:dyDescent="0.25">
      <c r="A256" s="4"/>
      <c r="B256" s="9" t="s">
        <v>625</v>
      </c>
      <c r="C256" s="52" t="str">
        <f t="shared" si="3"/>
        <v>NAPESHM_USIN01_252</v>
      </c>
      <c r="D256" s="9" t="s">
        <v>629</v>
      </c>
      <c r="E256" s="29"/>
      <c r="F256" s="60" t="s">
        <v>1118</v>
      </c>
      <c r="G256" s="83">
        <v>40.489086</v>
      </c>
      <c r="H256" s="83">
        <v>-87.002904000000001</v>
      </c>
      <c r="I256" s="9" t="s">
        <v>194</v>
      </c>
      <c r="J256" s="29"/>
      <c r="K256" s="29"/>
      <c r="L256" s="60">
        <v>252</v>
      </c>
      <c r="M256" s="9" t="s">
        <v>468</v>
      </c>
      <c r="N256" s="9" t="s">
        <v>468</v>
      </c>
      <c r="O256" s="60" t="s">
        <v>1224</v>
      </c>
    </row>
    <row r="257" spans="1:15" x14ac:dyDescent="0.25">
      <c r="A257" s="4"/>
      <c r="B257" s="9" t="s">
        <v>625</v>
      </c>
      <c r="C257" s="52" t="str">
        <f t="shared" si="3"/>
        <v>NAPESHM_USIN01_253</v>
      </c>
      <c r="D257" s="9" t="s">
        <v>629</v>
      </c>
      <c r="E257" s="29"/>
      <c r="F257" s="60" t="s">
        <v>1118</v>
      </c>
      <c r="G257" s="83">
        <v>40.489086</v>
      </c>
      <c r="H257" s="83">
        <v>-87.002904000000001</v>
      </c>
      <c r="I257" s="9" t="s">
        <v>194</v>
      </c>
      <c r="J257" s="29"/>
      <c r="K257" s="29"/>
      <c r="L257" s="60">
        <v>253</v>
      </c>
      <c r="M257" s="9" t="s">
        <v>468</v>
      </c>
      <c r="N257" s="9" t="s">
        <v>468</v>
      </c>
      <c r="O257" s="60" t="s">
        <v>1224</v>
      </c>
    </row>
    <row r="258" spans="1:15" x14ac:dyDescent="0.25">
      <c r="A258" s="4"/>
      <c r="B258" s="9" t="s">
        <v>625</v>
      </c>
      <c r="C258" s="52" t="str">
        <f t="shared" si="3"/>
        <v>NAPESHM_USIN01_254</v>
      </c>
      <c r="D258" s="9" t="s">
        <v>629</v>
      </c>
      <c r="E258" s="29"/>
      <c r="F258" s="60" t="s">
        <v>1118</v>
      </c>
      <c r="G258" s="83">
        <v>40.489086</v>
      </c>
      <c r="H258" s="83">
        <v>-87.002904000000001</v>
      </c>
      <c r="I258" s="9" t="s">
        <v>194</v>
      </c>
      <c r="J258" s="29"/>
      <c r="K258" s="29"/>
      <c r="L258" s="60">
        <v>254</v>
      </c>
      <c r="M258" s="9" t="s">
        <v>468</v>
      </c>
      <c r="N258" s="9" t="s">
        <v>468</v>
      </c>
      <c r="O258" s="60" t="s">
        <v>1224</v>
      </c>
    </row>
    <row r="259" spans="1:15" x14ac:dyDescent="0.25">
      <c r="A259" s="4"/>
      <c r="B259" s="9" t="s">
        <v>625</v>
      </c>
      <c r="C259" s="52" t="str">
        <f t="shared" si="3"/>
        <v>NAPESHM_USIN01_255</v>
      </c>
      <c r="D259" s="9" t="s">
        <v>629</v>
      </c>
      <c r="E259" s="29"/>
      <c r="F259" s="60" t="s">
        <v>1118</v>
      </c>
      <c r="G259" s="83">
        <v>40.489086</v>
      </c>
      <c r="H259" s="83">
        <v>-87.002904000000001</v>
      </c>
      <c r="I259" s="9" t="s">
        <v>194</v>
      </c>
      <c r="J259" s="29"/>
      <c r="K259" s="29"/>
      <c r="L259" s="60">
        <v>255</v>
      </c>
      <c r="M259" s="9" t="s">
        <v>468</v>
      </c>
      <c r="N259" s="9" t="s">
        <v>468</v>
      </c>
      <c r="O259" s="60" t="s">
        <v>1224</v>
      </c>
    </row>
    <row r="260" spans="1:15" x14ac:dyDescent="0.25">
      <c r="A260" s="4"/>
      <c r="B260" s="9" t="s">
        <v>625</v>
      </c>
      <c r="C260" s="52" t="str">
        <f t="shared" si="3"/>
        <v>NAPESHM_USIN01_256</v>
      </c>
      <c r="D260" s="9" t="s">
        <v>629</v>
      </c>
      <c r="E260" s="29"/>
      <c r="F260" s="60" t="s">
        <v>1118</v>
      </c>
      <c r="G260" s="83">
        <v>40.489086</v>
      </c>
      <c r="H260" s="83">
        <v>-87.002904000000001</v>
      </c>
      <c r="I260" s="9" t="s">
        <v>194</v>
      </c>
      <c r="J260" s="29"/>
      <c r="K260" s="29"/>
      <c r="L260" s="60">
        <v>256</v>
      </c>
      <c r="M260" s="9" t="s">
        <v>468</v>
      </c>
      <c r="N260" s="9" t="s">
        <v>468</v>
      </c>
      <c r="O260" s="60" t="s">
        <v>1224</v>
      </c>
    </row>
    <row r="261" spans="1:15" x14ac:dyDescent="0.25">
      <c r="A261" s="4"/>
      <c r="B261" s="9" t="s">
        <v>625</v>
      </c>
      <c r="C261" s="52" t="str">
        <f t="shared" si="3"/>
        <v>NAPESHM_USIN01_257</v>
      </c>
      <c r="D261" s="9" t="s">
        <v>629</v>
      </c>
      <c r="E261" s="29"/>
      <c r="F261" s="60" t="s">
        <v>1118</v>
      </c>
      <c r="G261" s="83">
        <v>40.489086</v>
      </c>
      <c r="H261" s="83">
        <v>-87.002904000000001</v>
      </c>
      <c r="I261" s="9" t="s">
        <v>194</v>
      </c>
      <c r="J261" s="29"/>
      <c r="K261" s="29"/>
      <c r="L261" s="60">
        <v>257</v>
      </c>
      <c r="M261" s="9" t="s">
        <v>468</v>
      </c>
      <c r="N261" s="9" t="s">
        <v>468</v>
      </c>
      <c r="O261" s="60" t="s">
        <v>1224</v>
      </c>
    </row>
    <row r="262" spans="1:15" x14ac:dyDescent="0.25">
      <c r="A262" s="4"/>
      <c r="B262" s="9" t="s">
        <v>625</v>
      </c>
      <c r="C262" s="52" t="str">
        <f t="shared" si="3"/>
        <v>NAPESHM_USIN01_258</v>
      </c>
      <c r="D262" s="9" t="s">
        <v>629</v>
      </c>
      <c r="E262" s="29"/>
      <c r="F262" s="60" t="s">
        <v>1118</v>
      </c>
      <c r="G262" s="83">
        <v>40.489086</v>
      </c>
      <c r="H262" s="83">
        <v>-87.002904000000001</v>
      </c>
      <c r="I262" s="9" t="s">
        <v>194</v>
      </c>
      <c r="J262" s="29"/>
      <c r="K262" s="29"/>
      <c r="L262" s="60">
        <v>258</v>
      </c>
      <c r="M262" s="9" t="s">
        <v>468</v>
      </c>
      <c r="N262" s="9" t="s">
        <v>468</v>
      </c>
      <c r="O262" s="60" t="s">
        <v>1224</v>
      </c>
    </row>
    <row r="263" spans="1:15" x14ac:dyDescent="0.25">
      <c r="A263" s="4"/>
      <c r="B263" s="9" t="s">
        <v>625</v>
      </c>
      <c r="C263" s="52" t="str">
        <f t="shared" si="3"/>
        <v>NAPESHM_USKS01_259</v>
      </c>
      <c r="D263" s="9" t="s">
        <v>629</v>
      </c>
      <c r="E263" s="29"/>
      <c r="F263" s="60" t="s">
        <v>1119</v>
      </c>
      <c r="G263" s="83">
        <v>39.123775000000002</v>
      </c>
      <c r="H263" s="83">
        <v>-96.636037000000002</v>
      </c>
      <c r="I263" s="9" t="s">
        <v>206</v>
      </c>
      <c r="J263" s="29"/>
      <c r="K263" s="29"/>
      <c r="L263" s="60">
        <v>259</v>
      </c>
      <c r="M263" s="9" t="s">
        <v>468</v>
      </c>
      <c r="N263" s="9" t="s">
        <v>468</v>
      </c>
      <c r="O263" s="60" t="s">
        <v>1225</v>
      </c>
    </row>
    <row r="264" spans="1:15" x14ac:dyDescent="0.25">
      <c r="A264" s="4"/>
      <c r="B264" s="9" t="s">
        <v>625</v>
      </c>
      <c r="C264" s="52" t="str">
        <f t="shared" si="3"/>
        <v>NAPESHM_USKS01_260</v>
      </c>
      <c r="D264" s="9" t="s">
        <v>629</v>
      </c>
      <c r="E264" s="29"/>
      <c r="F264" s="60" t="s">
        <v>1119</v>
      </c>
      <c r="G264" s="83">
        <v>39.123775000000002</v>
      </c>
      <c r="H264" s="83">
        <v>-96.636037000000002</v>
      </c>
      <c r="I264" s="9" t="s">
        <v>206</v>
      </c>
      <c r="J264" s="29"/>
      <c r="K264" s="29"/>
      <c r="L264" s="60">
        <v>260</v>
      </c>
      <c r="M264" s="9" t="s">
        <v>468</v>
      </c>
      <c r="N264" s="9" t="s">
        <v>468</v>
      </c>
      <c r="O264" s="60" t="s">
        <v>1225</v>
      </c>
    </row>
    <row r="265" spans="1:15" x14ac:dyDescent="0.25">
      <c r="A265" s="4"/>
      <c r="B265" s="9" t="s">
        <v>625</v>
      </c>
      <c r="C265" s="52" t="str">
        <f t="shared" si="3"/>
        <v>NAPESHM_USKS01_261</v>
      </c>
      <c r="D265" s="9" t="s">
        <v>629</v>
      </c>
      <c r="E265" s="29"/>
      <c r="F265" s="60" t="s">
        <v>1119</v>
      </c>
      <c r="G265" s="83">
        <v>39.123775000000002</v>
      </c>
      <c r="H265" s="83">
        <v>-96.636037000000002</v>
      </c>
      <c r="I265" s="9" t="s">
        <v>206</v>
      </c>
      <c r="J265" s="29"/>
      <c r="K265" s="29"/>
      <c r="L265" s="60">
        <v>261</v>
      </c>
      <c r="M265" s="9" t="s">
        <v>468</v>
      </c>
      <c r="N265" s="9" t="s">
        <v>468</v>
      </c>
      <c r="O265" s="60" t="s">
        <v>1225</v>
      </c>
    </row>
    <row r="266" spans="1:15" x14ac:dyDescent="0.25">
      <c r="A266" s="4"/>
      <c r="B266" s="9" t="s">
        <v>625</v>
      </c>
      <c r="C266" s="52" t="str">
        <f t="shared" si="3"/>
        <v>NAPESHM_USKS01_262</v>
      </c>
      <c r="D266" s="9" t="s">
        <v>629</v>
      </c>
      <c r="E266" s="29"/>
      <c r="F266" s="60" t="s">
        <v>1119</v>
      </c>
      <c r="G266" s="83">
        <v>39.123775000000002</v>
      </c>
      <c r="H266" s="83">
        <v>-96.636037000000002</v>
      </c>
      <c r="I266" s="9" t="s">
        <v>206</v>
      </c>
      <c r="J266" s="29"/>
      <c r="K266" s="29"/>
      <c r="L266" s="60">
        <v>262</v>
      </c>
      <c r="M266" s="9" t="s">
        <v>468</v>
      </c>
      <c r="N266" s="9" t="s">
        <v>468</v>
      </c>
      <c r="O266" s="60" t="s">
        <v>1225</v>
      </c>
    </row>
    <row r="267" spans="1:15" x14ac:dyDescent="0.25">
      <c r="A267" s="4"/>
      <c r="B267" s="9" t="s">
        <v>625</v>
      </c>
      <c r="C267" s="52" t="str">
        <f t="shared" si="3"/>
        <v>NAPESHM_USKS01_263</v>
      </c>
      <c r="D267" s="9" t="s">
        <v>629</v>
      </c>
      <c r="E267" s="29"/>
      <c r="F267" s="60" t="s">
        <v>1119</v>
      </c>
      <c r="G267" s="83">
        <v>39.123775000000002</v>
      </c>
      <c r="H267" s="83">
        <v>-96.636037000000002</v>
      </c>
      <c r="I267" s="9" t="s">
        <v>206</v>
      </c>
      <c r="J267" s="29"/>
      <c r="K267" s="29"/>
      <c r="L267" s="60">
        <v>263</v>
      </c>
      <c r="M267" s="9" t="s">
        <v>468</v>
      </c>
      <c r="N267" s="9" t="s">
        <v>468</v>
      </c>
      <c r="O267" s="60" t="s">
        <v>1225</v>
      </c>
    </row>
    <row r="268" spans="1:15" x14ac:dyDescent="0.25">
      <c r="A268" s="4"/>
      <c r="B268" s="9" t="s">
        <v>625</v>
      </c>
      <c r="C268" s="52" t="str">
        <f t="shared" si="3"/>
        <v>NAPESHM_USKS01_264</v>
      </c>
      <c r="D268" s="9" t="s">
        <v>629</v>
      </c>
      <c r="E268" s="29"/>
      <c r="F268" s="60" t="s">
        <v>1119</v>
      </c>
      <c r="G268" s="83">
        <v>39.123775000000002</v>
      </c>
      <c r="H268" s="83">
        <v>-96.636037000000002</v>
      </c>
      <c r="I268" s="9" t="s">
        <v>206</v>
      </c>
      <c r="J268" s="29"/>
      <c r="K268" s="29"/>
      <c r="L268" s="60">
        <v>264</v>
      </c>
      <c r="M268" s="9" t="s">
        <v>468</v>
      </c>
      <c r="N268" s="9" t="s">
        <v>468</v>
      </c>
      <c r="O268" s="60" t="s">
        <v>1225</v>
      </c>
    </row>
    <row r="269" spans="1:15" x14ac:dyDescent="0.25">
      <c r="A269" s="4"/>
      <c r="B269" s="9" t="s">
        <v>625</v>
      </c>
      <c r="C269" s="106" t="str">
        <f t="shared" ref="C269" si="4">IF(ISBLANK(D269), "", CONCATENATE(D269,E269,"_",F269,"_",L269))</f>
        <v>NAPESHM_USKS02_265</v>
      </c>
      <c r="D269" s="9" t="s">
        <v>629</v>
      </c>
      <c r="E269" s="29"/>
      <c r="F269" s="60" t="s">
        <v>1120</v>
      </c>
      <c r="G269" s="83">
        <v>38.469293</v>
      </c>
      <c r="H269" s="83">
        <v>-101.781488</v>
      </c>
      <c r="I269" s="9" t="s">
        <v>206</v>
      </c>
      <c r="J269" s="29"/>
      <c r="K269" s="29"/>
      <c r="L269" s="60">
        <v>265</v>
      </c>
      <c r="M269" s="9" t="s">
        <v>468</v>
      </c>
      <c r="N269" s="9" t="s">
        <v>468</v>
      </c>
      <c r="O269" s="60" t="s">
        <v>1225</v>
      </c>
    </row>
    <row r="270" spans="1:15" x14ac:dyDescent="0.25">
      <c r="A270" s="4"/>
      <c r="B270" s="9" t="s">
        <v>625</v>
      </c>
      <c r="C270" s="52" t="str">
        <f t="shared" si="3"/>
        <v>NAPESHM_USKS02_266</v>
      </c>
      <c r="D270" s="9" t="s">
        <v>629</v>
      </c>
      <c r="E270" s="29"/>
      <c r="F270" s="60" t="s">
        <v>1120</v>
      </c>
      <c r="G270" s="83">
        <v>38.469293</v>
      </c>
      <c r="H270" s="83">
        <v>-101.781488</v>
      </c>
      <c r="I270" s="9" t="s">
        <v>206</v>
      </c>
      <c r="J270" s="29"/>
      <c r="K270" s="29"/>
      <c r="L270" s="60">
        <v>266</v>
      </c>
      <c r="M270" s="9" t="s">
        <v>468</v>
      </c>
      <c r="N270" s="9" t="s">
        <v>468</v>
      </c>
      <c r="O270" s="60" t="s">
        <v>1226</v>
      </c>
    </row>
    <row r="271" spans="1:15" x14ac:dyDescent="0.25">
      <c r="A271" s="4"/>
      <c r="B271" s="9" t="s">
        <v>625</v>
      </c>
      <c r="C271" s="52" t="str">
        <f t="shared" ref="C271:C334" si="5">IF(ISBLANK(D271), "", CONCATENATE(D271,E271,"_",F271,"_",L271))</f>
        <v>NAPESHM_USKS02_267</v>
      </c>
      <c r="D271" s="9" t="s">
        <v>629</v>
      </c>
      <c r="E271" s="29"/>
      <c r="F271" s="60" t="s">
        <v>1120</v>
      </c>
      <c r="G271" s="83">
        <v>38.469293</v>
      </c>
      <c r="H271" s="83">
        <v>-101.781488</v>
      </c>
      <c r="I271" s="9" t="s">
        <v>206</v>
      </c>
      <c r="J271" s="29"/>
      <c r="K271" s="29"/>
      <c r="L271" s="60">
        <v>267</v>
      </c>
      <c r="M271" s="9" t="s">
        <v>468</v>
      </c>
      <c r="N271" s="9" t="s">
        <v>468</v>
      </c>
      <c r="O271" s="60" t="s">
        <v>1226</v>
      </c>
    </row>
    <row r="272" spans="1:15" x14ac:dyDescent="0.25">
      <c r="A272" s="4"/>
      <c r="B272" s="9" t="s">
        <v>625</v>
      </c>
      <c r="C272" s="52" t="str">
        <f t="shared" si="5"/>
        <v>NAPESHM_USKS02_268</v>
      </c>
      <c r="D272" s="9" t="s">
        <v>629</v>
      </c>
      <c r="E272" s="29"/>
      <c r="F272" s="60" t="s">
        <v>1120</v>
      </c>
      <c r="G272" s="83">
        <v>38.469293</v>
      </c>
      <c r="H272" s="83">
        <v>-101.781488</v>
      </c>
      <c r="I272" s="9" t="s">
        <v>206</v>
      </c>
      <c r="J272" s="29"/>
      <c r="K272" s="29"/>
      <c r="L272" s="60">
        <v>268</v>
      </c>
      <c r="M272" s="9" t="s">
        <v>468</v>
      </c>
      <c r="N272" s="9" t="s">
        <v>468</v>
      </c>
      <c r="O272" s="60" t="s">
        <v>1226</v>
      </c>
    </row>
    <row r="273" spans="1:15" x14ac:dyDescent="0.25">
      <c r="A273" s="4"/>
      <c r="B273" s="9" t="s">
        <v>625</v>
      </c>
      <c r="C273" s="52" t="str">
        <f t="shared" si="5"/>
        <v>NAPESHM_USKY01_269</v>
      </c>
      <c r="D273" s="9" t="s">
        <v>629</v>
      </c>
      <c r="E273" s="29"/>
      <c r="F273" s="60" t="s">
        <v>1121</v>
      </c>
      <c r="G273" s="83">
        <v>37.10033</v>
      </c>
      <c r="H273" s="83">
        <v>-87.864399000000006</v>
      </c>
      <c r="I273" s="9" t="s">
        <v>211</v>
      </c>
      <c r="J273" s="29"/>
      <c r="K273" s="29"/>
      <c r="L273" s="60">
        <v>269</v>
      </c>
      <c r="M273" s="9" t="s">
        <v>468</v>
      </c>
      <c r="N273" s="9" t="s">
        <v>468</v>
      </c>
      <c r="O273" s="60" t="s">
        <v>1227</v>
      </c>
    </row>
    <row r="274" spans="1:15" x14ac:dyDescent="0.25">
      <c r="A274" s="4"/>
      <c r="B274" s="9" t="s">
        <v>625</v>
      </c>
      <c r="C274" s="52" t="str">
        <f t="shared" si="5"/>
        <v>NAPESHM_USKY01_270</v>
      </c>
      <c r="D274" s="9" t="s">
        <v>629</v>
      </c>
      <c r="E274" s="29"/>
      <c r="F274" s="60" t="s">
        <v>1121</v>
      </c>
      <c r="G274" s="83">
        <v>37.10033</v>
      </c>
      <c r="H274" s="83">
        <v>-87.864399000000006</v>
      </c>
      <c r="I274" s="9" t="s">
        <v>211</v>
      </c>
      <c r="J274" s="29"/>
      <c r="K274" s="29"/>
      <c r="L274" s="60">
        <v>270</v>
      </c>
      <c r="M274" s="9" t="s">
        <v>468</v>
      </c>
      <c r="N274" s="9" t="s">
        <v>468</v>
      </c>
      <c r="O274" s="60" t="s">
        <v>1227</v>
      </c>
    </row>
    <row r="275" spans="1:15" x14ac:dyDescent="0.25">
      <c r="A275" s="4"/>
      <c r="B275" s="9" t="s">
        <v>625</v>
      </c>
      <c r="C275" s="52" t="str">
        <f t="shared" si="5"/>
        <v>NAPESHM_USKY02_271</v>
      </c>
      <c r="D275" s="9" t="s">
        <v>629</v>
      </c>
      <c r="E275" s="29"/>
      <c r="F275" s="60" t="s">
        <v>1122</v>
      </c>
      <c r="G275" s="83">
        <v>38.129497000000001</v>
      </c>
      <c r="H275" s="83">
        <v>-84.493527</v>
      </c>
      <c r="I275" s="9" t="s">
        <v>211</v>
      </c>
      <c r="J275" s="29"/>
      <c r="K275" s="29"/>
      <c r="L275" s="60">
        <v>271</v>
      </c>
      <c r="M275" s="9" t="s">
        <v>468</v>
      </c>
      <c r="N275" s="9" t="s">
        <v>468</v>
      </c>
      <c r="O275" s="60" t="s">
        <v>1228</v>
      </c>
    </row>
    <row r="276" spans="1:15" x14ac:dyDescent="0.25">
      <c r="A276" s="4"/>
      <c r="B276" s="9" t="s">
        <v>625</v>
      </c>
      <c r="C276" s="52" t="str">
        <f t="shared" si="5"/>
        <v>NAPESHM_USKY02_272</v>
      </c>
      <c r="D276" s="9" t="s">
        <v>629</v>
      </c>
      <c r="E276" s="29"/>
      <c r="F276" s="60" t="s">
        <v>1122</v>
      </c>
      <c r="G276" s="83">
        <v>38.129497000000001</v>
      </c>
      <c r="H276" s="83">
        <v>-84.493527</v>
      </c>
      <c r="I276" s="9" t="s">
        <v>211</v>
      </c>
      <c r="J276" s="29"/>
      <c r="K276" s="29"/>
      <c r="L276" s="60">
        <v>272</v>
      </c>
      <c r="M276" s="9" t="s">
        <v>468</v>
      </c>
      <c r="N276" s="9" t="s">
        <v>468</v>
      </c>
      <c r="O276" s="60" t="s">
        <v>1228</v>
      </c>
    </row>
    <row r="277" spans="1:15" x14ac:dyDescent="0.25">
      <c r="A277" s="4"/>
      <c r="B277" s="9" t="s">
        <v>625</v>
      </c>
      <c r="C277" s="52" t="str">
        <f t="shared" si="5"/>
        <v>NAPESHM_USKY02_273</v>
      </c>
      <c r="D277" s="9" t="s">
        <v>629</v>
      </c>
      <c r="E277" s="29"/>
      <c r="F277" s="60" t="s">
        <v>1122</v>
      </c>
      <c r="G277" s="83">
        <v>38.129497000000001</v>
      </c>
      <c r="H277" s="83">
        <v>-84.493527</v>
      </c>
      <c r="I277" s="9" t="s">
        <v>211</v>
      </c>
      <c r="J277" s="29"/>
      <c r="K277" s="29"/>
      <c r="L277" s="60">
        <v>273</v>
      </c>
      <c r="M277" s="9" t="s">
        <v>468</v>
      </c>
      <c r="N277" s="9" t="s">
        <v>468</v>
      </c>
      <c r="O277" s="60" t="s">
        <v>1228</v>
      </c>
    </row>
    <row r="278" spans="1:15" x14ac:dyDescent="0.25">
      <c r="A278" s="4"/>
      <c r="B278" s="9" t="s">
        <v>625</v>
      </c>
      <c r="C278" s="52" t="str">
        <f t="shared" si="5"/>
        <v>NAPESHM_USKY02_274</v>
      </c>
      <c r="D278" s="9" t="s">
        <v>629</v>
      </c>
      <c r="E278" s="29"/>
      <c r="F278" s="60" t="s">
        <v>1122</v>
      </c>
      <c r="G278" s="83">
        <v>38.129497000000001</v>
      </c>
      <c r="H278" s="83">
        <v>-84.493527</v>
      </c>
      <c r="I278" s="9" t="s">
        <v>211</v>
      </c>
      <c r="J278" s="29"/>
      <c r="K278" s="29"/>
      <c r="L278" s="60">
        <v>274</v>
      </c>
      <c r="M278" s="9" t="s">
        <v>468</v>
      </c>
      <c r="N278" s="9" t="s">
        <v>468</v>
      </c>
      <c r="O278" s="60" t="s">
        <v>1228</v>
      </c>
    </row>
    <row r="279" spans="1:15" x14ac:dyDescent="0.25">
      <c r="A279" s="4"/>
      <c r="B279" s="9" t="s">
        <v>625</v>
      </c>
      <c r="C279" s="52" t="str">
        <f t="shared" si="5"/>
        <v>NAPESHM_USKY02_275</v>
      </c>
      <c r="D279" s="9" t="s">
        <v>629</v>
      </c>
      <c r="E279" s="29"/>
      <c r="F279" s="60" t="s">
        <v>1122</v>
      </c>
      <c r="G279" s="83">
        <v>38.129497000000001</v>
      </c>
      <c r="H279" s="83">
        <v>-84.493527</v>
      </c>
      <c r="I279" s="9" t="s">
        <v>211</v>
      </c>
      <c r="J279" s="29"/>
      <c r="K279" s="29"/>
      <c r="L279" s="60">
        <v>275</v>
      </c>
      <c r="M279" s="9" t="s">
        <v>468</v>
      </c>
      <c r="N279" s="9" t="s">
        <v>468</v>
      </c>
      <c r="O279" s="60" t="s">
        <v>1228</v>
      </c>
    </row>
    <row r="280" spans="1:15" x14ac:dyDescent="0.25">
      <c r="A280" s="4"/>
      <c r="B280" s="9" t="s">
        <v>625</v>
      </c>
      <c r="C280" s="52" t="str">
        <f t="shared" si="5"/>
        <v>NAPESHM_USKY02_276</v>
      </c>
      <c r="D280" s="9" t="s">
        <v>629</v>
      </c>
      <c r="E280" s="29"/>
      <c r="F280" s="60" t="s">
        <v>1122</v>
      </c>
      <c r="G280" s="83">
        <v>38.129497000000001</v>
      </c>
      <c r="H280" s="83">
        <v>-84.493527</v>
      </c>
      <c r="I280" s="9" t="s">
        <v>211</v>
      </c>
      <c r="J280" s="29"/>
      <c r="K280" s="29"/>
      <c r="L280" s="60">
        <v>276</v>
      </c>
      <c r="M280" s="9" t="s">
        <v>468</v>
      </c>
      <c r="N280" s="9" t="s">
        <v>468</v>
      </c>
      <c r="O280" s="60" t="s">
        <v>1228</v>
      </c>
    </row>
    <row r="281" spans="1:15" x14ac:dyDescent="0.25">
      <c r="A281" s="4"/>
      <c r="B281" s="9" t="s">
        <v>625</v>
      </c>
      <c r="C281" s="52" t="str">
        <f t="shared" si="5"/>
        <v>NAPESHM_USKY03_277</v>
      </c>
      <c r="D281" s="9" t="s">
        <v>629</v>
      </c>
      <c r="E281" s="29"/>
      <c r="F281" s="60" t="s">
        <v>1123</v>
      </c>
      <c r="G281" s="83">
        <v>38.121972</v>
      </c>
      <c r="H281" s="83">
        <v>-84.486298000000005</v>
      </c>
      <c r="I281" s="9" t="s">
        <v>211</v>
      </c>
      <c r="J281" s="29"/>
      <c r="K281" s="29"/>
      <c r="L281" s="60">
        <v>277</v>
      </c>
      <c r="M281" s="9" t="s">
        <v>468</v>
      </c>
      <c r="N281" s="9" t="s">
        <v>468</v>
      </c>
      <c r="O281" s="60" t="s">
        <v>1229</v>
      </c>
    </row>
    <row r="282" spans="1:15" x14ac:dyDescent="0.25">
      <c r="A282" s="4"/>
      <c r="B282" s="9" t="s">
        <v>625</v>
      </c>
      <c r="C282" s="52" t="str">
        <f t="shared" si="5"/>
        <v>NAPESHM_USKY03_278</v>
      </c>
      <c r="D282" s="9" t="s">
        <v>629</v>
      </c>
      <c r="E282" s="29"/>
      <c r="F282" s="60" t="s">
        <v>1123</v>
      </c>
      <c r="G282" s="83">
        <v>38.121972</v>
      </c>
      <c r="H282" s="83">
        <v>-84.486298000000005</v>
      </c>
      <c r="I282" s="9" t="s">
        <v>211</v>
      </c>
      <c r="J282" s="29"/>
      <c r="K282" s="29"/>
      <c r="L282" s="60">
        <v>278</v>
      </c>
      <c r="M282" s="9" t="s">
        <v>468</v>
      </c>
      <c r="N282" s="9" t="s">
        <v>468</v>
      </c>
      <c r="O282" s="60" t="s">
        <v>1229</v>
      </c>
    </row>
    <row r="283" spans="1:15" x14ac:dyDescent="0.25">
      <c r="A283" s="4"/>
      <c r="B283" s="9" t="s">
        <v>625</v>
      </c>
      <c r="C283" s="52" t="str">
        <f t="shared" si="5"/>
        <v>NAPESHM_USKY03_279</v>
      </c>
      <c r="D283" s="9" t="s">
        <v>629</v>
      </c>
      <c r="E283" s="29"/>
      <c r="F283" s="60" t="s">
        <v>1123</v>
      </c>
      <c r="G283" s="83">
        <v>38.121972</v>
      </c>
      <c r="H283" s="83">
        <v>-84.486298000000005</v>
      </c>
      <c r="I283" s="9" t="s">
        <v>211</v>
      </c>
      <c r="J283" s="29"/>
      <c r="K283" s="29"/>
      <c r="L283" s="60">
        <v>279</v>
      </c>
      <c r="M283" s="9" t="s">
        <v>468</v>
      </c>
      <c r="N283" s="9" t="s">
        <v>468</v>
      </c>
      <c r="O283" s="60" t="s">
        <v>1229</v>
      </c>
    </row>
    <row r="284" spans="1:15" x14ac:dyDescent="0.25">
      <c r="A284" s="4"/>
      <c r="B284" s="9" t="s">
        <v>625</v>
      </c>
      <c r="C284" s="52" t="str">
        <f t="shared" si="5"/>
        <v>NAPESHM_USKY03_280</v>
      </c>
      <c r="D284" s="9" t="s">
        <v>629</v>
      </c>
      <c r="E284" s="29"/>
      <c r="F284" s="60" t="s">
        <v>1123</v>
      </c>
      <c r="G284" s="83">
        <v>38.121972</v>
      </c>
      <c r="H284" s="83">
        <v>-84.486298000000005</v>
      </c>
      <c r="I284" s="9" t="s">
        <v>211</v>
      </c>
      <c r="J284" s="29"/>
      <c r="K284" s="29"/>
      <c r="L284" s="60">
        <v>280</v>
      </c>
      <c r="M284" s="9" t="s">
        <v>468</v>
      </c>
      <c r="N284" s="9" t="s">
        <v>468</v>
      </c>
      <c r="O284" s="60" t="s">
        <v>1229</v>
      </c>
    </row>
    <row r="285" spans="1:15" x14ac:dyDescent="0.25">
      <c r="A285" s="4"/>
      <c r="B285" s="9" t="s">
        <v>625</v>
      </c>
      <c r="C285" s="52" t="str">
        <f t="shared" si="5"/>
        <v>NAPESHM_USMI01_281</v>
      </c>
      <c r="D285" s="9" t="s">
        <v>629</v>
      </c>
      <c r="E285" s="29"/>
      <c r="F285" s="60" t="s">
        <v>1124</v>
      </c>
      <c r="G285" s="83">
        <v>42.676091</v>
      </c>
      <c r="H285" s="83">
        <v>-84.484877999999995</v>
      </c>
      <c r="I285" s="9" t="s">
        <v>231</v>
      </c>
      <c r="J285" s="29"/>
      <c r="K285" s="29"/>
      <c r="L285" s="60">
        <v>281</v>
      </c>
      <c r="M285" s="9" t="s">
        <v>468</v>
      </c>
      <c r="N285" s="9" t="s">
        <v>468</v>
      </c>
      <c r="O285" s="60" t="s">
        <v>1230</v>
      </c>
    </row>
    <row r="286" spans="1:15" x14ac:dyDescent="0.25">
      <c r="A286" s="4"/>
      <c r="B286" s="9" t="s">
        <v>625</v>
      </c>
      <c r="C286" s="52" t="str">
        <f t="shared" si="5"/>
        <v>NAPESHM_USMI01_282</v>
      </c>
      <c r="D286" s="9" t="s">
        <v>629</v>
      </c>
      <c r="E286" s="29"/>
      <c r="F286" s="60" t="s">
        <v>1124</v>
      </c>
      <c r="G286" s="83">
        <v>42.676091</v>
      </c>
      <c r="H286" s="83">
        <v>-84.484877999999995</v>
      </c>
      <c r="I286" s="9" t="s">
        <v>231</v>
      </c>
      <c r="J286" s="29"/>
      <c r="K286" s="29"/>
      <c r="L286" s="60">
        <v>282</v>
      </c>
      <c r="M286" s="9" t="s">
        <v>468</v>
      </c>
      <c r="N286" s="9" t="s">
        <v>468</v>
      </c>
      <c r="O286" s="60" t="s">
        <v>1230</v>
      </c>
    </row>
    <row r="287" spans="1:15" x14ac:dyDescent="0.25">
      <c r="A287" s="4"/>
      <c r="B287" s="9" t="s">
        <v>625</v>
      </c>
      <c r="C287" s="52" t="str">
        <f t="shared" si="5"/>
        <v>NAPESHM_USMI01_283</v>
      </c>
      <c r="D287" s="9" t="s">
        <v>629</v>
      </c>
      <c r="E287" s="29"/>
      <c r="F287" s="60" t="s">
        <v>1124</v>
      </c>
      <c r="G287" s="83">
        <v>42.676091</v>
      </c>
      <c r="H287" s="83">
        <v>-84.484877999999995</v>
      </c>
      <c r="I287" s="9" t="s">
        <v>231</v>
      </c>
      <c r="J287" s="29"/>
      <c r="K287" s="29"/>
      <c r="L287" s="60">
        <v>283</v>
      </c>
      <c r="M287" s="9" t="s">
        <v>468</v>
      </c>
      <c r="N287" s="9" t="s">
        <v>468</v>
      </c>
      <c r="O287" s="60" t="s">
        <v>1230</v>
      </c>
    </row>
    <row r="288" spans="1:15" x14ac:dyDescent="0.25">
      <c r="A288" s="4"/>
      <c r="B288" s="9" t="s">
        <v>625</v>
      </c>
      <c r="C288" s="52" t="str">
        <f t="shared" si="5"/>
        <v>NAPESHM_USMI01_284</v>
      </c>
      <c r="D288" s="9" t="s">
        <v>629</v>
      </c>
      <c r="E288" s="29"/>
      <c r="F288" s="60" t="s">
        <v>1124</v>
      </c>
      <c r="G288" s="83">
        <v>42.676091</v>
      </c>
      <c r="H288" s="83">
        <v>-84.484877999999995</v>
      </c>
      <c r="I288" s="9" t="s">
        <v>231</v>
      </c>
      <c r="J288" s="29"/>
      <c r="K288" s="29"/>
      <c r="L288" s="60">
        <v>284</v>
      </c>
      <c r="M288" s="9" t="s">
        <v>468</v>
      </c>
      <c r="N288" s="9" t="s">
        <v>468</v>
      </c>
      <c r="O288" s="60" t="s">
        <v>1230</v>
      </c>
    </row>
    <row r="289" spans="1:15" x14ac:dyDescent="0.25">
      <c r="A289" s="4"/>
      <c r="B289" s="9" t="s">
        <v>625</v>
      </c>
      <c r="C289" s="52" t="str">
        <f t="shared" si="5"/>
        <v>NAPESHM_USMI02_285</v>
      </c>
      <c r="D289" s="9" t="s">
        <v>629</v>
      </c>
      <c r="E289" s="29"/>
      <c r="F289" s="60" t="s">
        <v>1125</v>
      </c>
      <c r="G289" s="83">
        <v>42.083396</v>
      </c>
      <c r="H289" s="83">
        <v>-86.356308999999996</v>
      </c>
      <c r="I289" s="9" t="s">
        <v>231</v>
      </c>
      <c r="J289" s="29"/>
      <c r="K289" s="29"/>
      <c r="L289" s="60">
        <v>285</v>
      </c>
      <c r="M289" s="9" t="s">
        <v>468</v>
      </c>
      <c r="N289" s="9" t="s">
        <v>468</v>
      </c>
      <c r="O289" s="60" t="s">
        <v>1231</v>
      </c>
    </row>
    <row r="290" spans="1:15" x14ac:dyDescent="0.25">
      <c r="A290" s="4"/>
      <c r="B290" s="9" t="s">
        <v>625</v>
      </c>
      <c r="C290" s="52" t="str">
        <f t="shared" si="5"/>
        <v>NAPESHM_USMI02_286</v>
      </c>
      <c r="D290" s="9" t="s">
        <v>629</v>
      </c>
      <c r="E290" s="29"/>
      <c r="F290" s="60" t="s">
        <v>1125</v>
      </c>
      <c r="G290" s="83">
        <v>42.083396</v>
      </c>
      <c r="H290" s="83">
        <v>-86.356308999999996</v>
      </c>
      <c r="I290" s="9" t="s">
        <v>231</v>
      </c>
      <c r="J290" s="29"/>
      <c r="K290" s="29"/>
      <c r="L290" s="60">
        <v>286</v>
      </c>
      <c r="M290" s="9" t="s">
        <v>468</v>
      </c>
      <c r="N290" s="9" t="s">
        <v>468</v>
      </c>
      <c r="O290" s="60" t="s">
        <v>1231</v>
      </c>
    </row>
    <row r="291" spans="1:15" x14ac:dyDescent="0.25">
      <c r="A291" s="4"/>
      <c r="B291" s="9" t="s">
        <v>625</v>
      </c>
      <c r="C291" s="52" t="str">
        <f t="shared" si="5"/>
        <v>NAPESHM_USMI02_287</v>
      </c>
      <c r="D291" s="9" t="s">
        <v>629</v>
      </c>
      <c r="E291" s="29"/>
      <c r="F291" s="60" t="s">
        <v>1125</v>
      </c>
      <c r="G291" s="83">
        <v>42.083396</v>
      </c>
      <c r="H291" s="83">
        <v>-86.356308999999996</v>
      </c>
      <c r="I291" s="9" t="s">
        <v>231</v>
      </c>
      <c r="J291" s="29"/>
      <c r="K291" s="29"/>
      <c r="L291" s="60">
        <v>287</v>
      </c>
      <c r="M291" s="9" t="s">
        <v>468</v>
      </c>
      <c r="N291" s="9" t="s">
        <v>468</v>
      </c>
      <c r="O291" s="60" t="s">
        <v>1231</v>
      </c>
    </row>
    <row r="292" spans="1:15" x14ac:dyDescent="0.25">
      <c r="A292" s="4"/>
      <c r="B292" s="9" t="s">
        <v>625</v>
      </c>
      <c r="C292" s="52" t="str">
        <f t="shared" si="5"/>
        <v>NAPESHM_USMI02_288</v>
      </c>
      <c r="D292" s="9" t="s">
        <v>629</v>
      </c>
      <c r="E292" s="29"/>
      <c r="F292" s="60" t="s">
        <v>1125</v>
      </c>
      <c r="G292" s="83">
        <v>42.083396</v>
      </c>
      <c r="H292" s="83">
        <v>-86.356308999999996</v>
      </c>
      <c r="I292" s="9" t="s">
        <v>231</v>
      </c>
      <c r="J292" s="29"/>
      <c r="K292" s="29"/>
      <c r="L292" s="60">
        <v>288</v>
      </c>
      <c r="M292" s="9" t="s">
        <v>468</v>
      </c>
      <c r="N292" s="9" t="s">
        <v>468</v>
      </c>
      <c r="O292" s="60" t="s">
        <v>1231</v>
      </c>
    </row>
    <row r="293" spans="1:15" x14ac:dyDescent="0.25">
      <c r="A293" s="4"/>
      <c r="B293" s="9" t="s">
        <v>625</v>
      </c>
      <c r="C293" s="52" t="str">
        <f t="shared" si="5"/>
        <v>NAPESHM_USMI02_289</v>
      </c>
      <c r="D293" s="9" t="s">
        <v>629</v>
      </c>
      <c r="E293" s="29"/>
      <c r="F293" s="60" t="s">
        <v>1125</v>
      </c>
      <c r="G293" s="83">
        <v>42.083396</v>
      </c>
      <c r="H293" s="83">
        <v>-86.356308999999996</v>
      </c>
      <c r="I293" s="9" t="s">
        <v>231</v>
      </c>
      <c r="J293" s="29"/>
      <c r="K293" s="29"/>
      <c r="L293" s="60">
        <v>289</v>
      </c>
      <c r="M293" s="9" t="s">
        <v>468</v>
      </c>
      <c r="N293" s="9" t="s">
        <v>468</v>
      </c>
      <c r="O293" s="60" t="s">
        <v>1231</v>
      </c>
    </row>
    <row r="294" spans="1:15" x14ac:dyDescent="0.25">
      <c r="A294" s="4"/>
      <c r="B294" s="9" t="s">
        <v>625</v>
      </c>
      <c r="C294" s="52" t="str">
        <f t="shared" si="5"/>
        <v>NAPESHM_USMI02_290</v>
      </c>
      <c r="D294" s="9" t="s">
        <v>629</v>
      </c>
      <c r="E294" s="29"/>
      <c r="F294" s="60" t="s">
        <v>1125</v>
      </c>
      <c r="G294" s="83">
        <v>42.083396</v>
      </c>
      <c r="H294" s="83">
        <v>-86.356308999999996</v>
      </c>
      <c r="I294" s="9" t="s">
        <v>231</v>
      </c>
      <c r="J294" s="29"/>
      <c r="K294" s="29"/>
      <c r="L294" s="60">
        <v>290</v>
      </c>
      <c r="M294" s="9" t="s">
        <v>468</v>
      </c>
      <c r="N294" s="9" t="s">
        <v>468</v>
      </c>
      <c r="O294" s="60" t="s">
        <v>1231</v>
      </c>
    </row>
    <row r="295" spans="1:15" x14ac:dyDescent="0.25">
      <c r="A295" s="4"/>
      <c r="B295" s="9" t="s">
        <v>625</v>
      </c>
      <c r="C295" s="52" t="str">
        <f t="shared" si="5"/>
        <v>NAPESHM_USMI03_291</v>
      </c>
      <c r="D295" s="9" t="s">
        <v>629</v>
      </c>
      <c r="E295" s="29"/>
      <c r="F295" s="60" t="s">
        <v>1126</v>
      </c>
      <c r="G295" s="83">
        <v>42.406646000000002</v>
      </c>
      <c r="H295" s="83">
        <v>-85.375910000000005</v>
      </c>
      <c r="I295" s="9" t="s">
        <v>231</v>
      </c>
      <c r="J295" s="29"/>
      <c r="K295" s="29"/>
      <c r="L295" s="60">
        <v>291</v>
      </c>
      <c r="M295" s="9" t="s">
        <v>468</v>
      </c>
      <c r="N295" s="9" t="s">
        <v>468</v>
      </c>
      <c r="O295" s="60" t="s">
        <v>1232</v>
      </c>
    </row>
    <row r="296" spans="1:15" x14ac:dyDescent="0.25">
      <c r="A296" s="4"/>
      <c r="B296" s="9" t="s">
        <v>625</v>
      </c>
      <c r="C296" s="52" t="str">
        <f t="shared" si="5"/>
        <v>NAPESHM_USMI03_292</v>
      </c>
      <c r="D296" s="9" t="s">
        <v>629</v>
      </c>
      <c r="E296" s="29"/>
      <c r="F296" s="60" t="s">
        <v>1126</v>
      </c>
      <c r="G296" s="83">
        <v>42.406646000000002</v>
      </c>
      <c r="H296" s="83">
        <v>-85.375910000000005</v>
      </c>
      <c r="I296" s="9" t="s">
        <v>231</v>
      </c>
      <c r="J296" s="29"/>
      <c r="K296" s="29"/>
      <c r="L296" s="60">
        <v>292</v>
      </c>
      <c r="M296" s="9" t="s">
        <v>468</v>
      </c>
      <c r="N296" s="9" t="s">
        <v>468</v>
      </c>
      <c r="O296" s="60" t="s">
        <v>1232</v>
      </c>
    </row>
    <row r="297" spans="1:15" x14ac:dyDescent="0.25">
      <c r="A297" s="4"/>
      <c r="B297" s="9" t="s">
        <v>625</v>
      </c>
      <c r="C297" s="52" t="str">
        <f t="shared" si="5"/>
        <v>NAPESHM_USMI03_293</v>
      </c>
      <c r="D297" s="9" t="s">
        <v>629</v>
      </c>
      <c r="E297" s="29"/>
      <c r="F297" s="60" t="s">
        <v>1126</v>
      </c>
      <c r="G297" s="83">
        <v>42.406646000000002</v>
      </c>
      <c r="H297" s="83">
        <v>-85.375910000000005</v>
      </c>
      <c r="I297" s="9" t="s">
        <v>231</v>
      </c>
      <c r="J297" s="29"/>
      <c r="K297" s="29"/>
      <c r="L297" s="60">
        <v>293</v>
      </c>
      <c r="M297" s="9" t="s">
        <v>468</v>
      </c>
      <c r="N297" s="9" t="s">
        <v>468</v>
      </c>
      <c r="O297" s="60" t="s">
        <v>1232</v>
      </c>
    </row>
    <row r="298" spans="1:15" x14ac:dyDescent="0.25">
      <c r="A298" s="4"/>
      <c r="B298" s="9" t="s">
        <v>625</v>
      </c>
      <c r="C298" s="52" t="str">
        <f t="shared" si="5"/>
        <v>NAPESHM_USMI03_294</v>
      </c>
      <c r="D298" s="9" t="s">
        <v>629</v>
      </c>
      <c r="E298" s="29"/>
      <c r="F298" s="60" t="s">
        <v>1126</v>
      </c>
      <c r="G298" s="83">
        <v>42.406646000000002</v>
      </c>
      <c r="H298" s="83">
        <v>-85.375910000000005</v>
      </c>
      <c r="I298" s="9" t="s">
        <v>231</v>
      </c>
      <c r="J298" s="29"/>
      <c r="K298" s="29"/>
      <c r="L298" s="60">
        <v>294</v>
      </c>
      <c r="M298" s="9" t="s">
        <v>468</v>
      </c>
      <c r="N298" s="9" t="s">
        <v>468</v>
      </c>
      <c r="O298" s="60" t="s">
        <v>1232</v>
      </c>
    </row>
    <row r="299" spans="1:15" x14ac:dyDescent="0.25">
      <c r="A299" s="4"/>
      <c r="B299" s="9" t="s">
        <v>625</v>
      </c>
      <c r="C299" s="52" t="str">
        <f t="shared" si="5"/>
        <v>NAPESHM_USMI03_295</v>
      </c>
      <c r="D299" s="9" t="s">
        <v>629</v>
      </c>
      <c r="E299" s="29"/>
      <c r="F299" s="60" t="s">
        <v>1126</v>
      </c>
      <c r="G299" s="83">
        <v>42.406646000000002</v>
      </c>
      <c r="H299" s="83">
        <v>-85.375910000000005</v>
      </c>
      <c r="I299" s="9" t="s">
        <v>231</v>
      </c>
      <c r="J299" s="29"/>
      <c r="K299" s="29"/>
      <c r="L299" s="60">
        <v>295</v>
      </c>
      <c r="M299" s="9" t="s">
        <v>468</v>
      </c>
      <c r="N299" s="9" t="s">
        <v>468</v>
      </c>
      <c r="O299" s="60" t="s">
        <v>1232</v>
      </c>
    </row>
    <row r="300" spans="1:15" x14ac:dyDescent="0.25">
      <c r="A300" s="4"/>
      <c r="B300" s="9" t="s">
        <v>625</v>
      </c>
      <c r="C300" s="52" t="str">
        <f t="shared" si="5"/>
        <v>NAPESHM_USMI03_296</v>
      </c>
      <c r="D300" s="9" t="s">
        <v>629</v>
      </c>
      <c r="E300" s="29"/>
      <c r="F300" s="60" t="s">
        <v>1126</v>
      </c>
      <c r="G300" s="83">
        <v>42.406646000000002</v>
      </c>
      <c r="H300" s="83">
        <v>-85.375910000000005</v>
      </c>
      <c r="I300" s="9" t="s">
        <v>231</v>
      </c>
      <c r="J300" s="29"/>
      <c r="K300" s="29"/>
      <c r="L300" s="60">
        <v>296</v>
      </c>
      <c r="M300" s="9" t="s">
        <v>468</v>
      </c>
      <c r="N300" s="9" t="s">
        <v>468</v>
      </c>
      <c r="O300" s="60" t="s">
        <v>1232</v>
      </c>
    </row>
    <row r="301" spans="1:15" x14ac:dyDescent="0.25">
      <c r="A301" s="4"/>
      <c r="B301" s="9" t="s">
        <v>625</v>
      </c>
      <c r="C301" s="52" t="str">
        <f t="shared" si="5"/>
        <v>NAPESHM_USMI03_297</v>
      </c>
      <c r="D301" s="9" t="s">
        <v>629</v>
      </c>
      <c r="E301" s="29"/>
      <c r="F301" s="60" t="s">
        <v>1126</v>
      </c>
      <c r="G301" s="83">
        <v>42.406646000000002</v>
      </c>
      <c r="H301" s="83">
        <v>-85.375910000000005</v>
      </c>
      <c r="I301" s="9" t="s">
        <v>231</v>
      </c>
      <c r="J301" s="29"/>
      <c r="K301" s="29"/>
      <c r="L301" s="60">
        <v>297</v>
      </c>
      <c r="M301" s="9" t="s">
        <v>468</v>
      </c>
      <c r="N301" s="9" t="s">
        <v>468</v>
      </c>
      <c r="O301" s="60" t="s">
        <v>1232</v>
      </c>
    </row>
    <row r="302" spans="1:15" x14ac:dyDescent="0.25">
      <c r="A302" s="4"/>
      <c r="B302" s="9" t="s">
        <v>625</v>
      </c>
      <c r="C302" s="52" t="str">
        <f t="shared" si="5"/>
        <v>NAPESHM_USMI03_298</v>
      </c>
      <c r="D302" s="9" t="s">
        <v>629</v>
      </c>
      <c r="E302" s="29"/>
      <c r="F302" s="60" t="s">
        <v>1126</v>
      </c>
      <c r="G302" s="83">
        <v>42.406646000000002</v>
      </c>
      <c r="H302" s="83">
        <v>-85.375910000000005</v>
      </c>
      <c r="I302" s="9" t="s">
        <v>231</v>
      </c>
      <c r="J302" s="29"/>
      <c r="K302" s="29"/>
      <c r="L302" s="60">
        <v>298</v>
      </c>
      <c r="M302" s="9" t="s">
        <v>468</v>
      </c>
      <c r="N302" s="9" t="s">
        <v>468</v>
      </c>
      <c r="O302" s="60" t="s">
        <v>1232</v>
      </c>
    </row>
    <row r="303" spans="1:15" x14ac:dyDescent="0.25">
      <c r="A303" s="4"/>
      <c r="B303" s="9" t="s">
        <v>625</v>
      </c>
      <c r="C303" s="52" t="str">
        <f t="shared" si="5"/>
        <v>NAPESHM_USMI04_299</v>
      </c>
      <c r="D303" s="9" t="s">
        <v>629</v>
      </c>
      <c r="E303" s="29"/>
      <c r="F303" s="60" t="s">
        <v>1127</v>
      </c>
      <c r="G303" s="83">
        <v>42.408600999999997</v>
      </c>
      <c r="H303" s="83">
        <v>-85.369833</v>
      </c>
      <c r="I303" s="9" t="s">
        <v>231</v>
      </c>
      <c r="J303" s="29"/>
      <c r="K303" s="29"/>
      <c r="L303" s="60">
        <v>299</v>
      </c>
      <c r="M303" s="9" t="s">
        <v>468</v>
      </c>
      <c r="N303" s="9" t="s">
        <v>468</v>
      </c>
      <c r="O303" s="60" t="s">
        <v>1233</v>
      </c>
    </row>
    <row r="304" spans="1:15" x14ac:dyDescent="0.25">
      <c r="A304" s="4"/>
      <c r="B304" s="9" t="s">
        <v>625</v>
      </c>
      <c r="C304" s="52" t="str">
        <f t="shared" si="5"/>
        <v>NAPESHM_USMI04_300</v>
      </c>
      <c r="D304" s="9" t="s">
        <v>629</v>
      </c>
      <c r="E304" s="29"/>
      <c r="F304" s="60" t="s">
        <v>1127</v>
      </c>
      <c r="G304" s="83">
        <v>42.408600999999997</v>
      </c>
      <c r="H304" s="83">
        <v>-85.369833</v>
      </c>
      <c r="I304" s="9" t="s">
        <v>231</v>
      </c>
      <c r="J304" s="29"/>
      <c r="K304" s="29"/>
      <c r="L304" s="60">
        <v>300</v>
      </c>
      <c r="M304" s="9" t="s">
        <v>468</v>
      </c>
      <c r="N304" s="9" t="s">
        <v>468</v>
      </c>
      <c r="O304" s="60" t="s">
        <v>1233</v>
      </c>
    </row>
    <row r="305" spans="1:15" x14ac:dyDescent="0.25">
      <c r="A305" s="4"/>
      <c r="B305" s="9" t="s">
        <v>625</v>
      </c>
      <c r="C305" s="52" t="str">
        <f t="shared" si="5"/>
        <v>NAPESHM_USMI04_301</v>
      </c>
      <c r="D305" s="9" t="s">
        <v>629</v>
      </c>
      <c r="E305" s="29"/>
      <c r="F305" s="60" t="s">
        <v>1127</v>
      </c>
      <c r="G305" s="83">
        <v>42.408600999999997</v>
      </c>
      <c r="H305" s="83">
        <v>-85.369833</v>
      </c>
      <c r="I305" s="9" t="s">
        <v>231</v>
      </c>
      <c r="J305" s="29"/>
      <c r="K305" s="29"/>
      <c r="L305" s="60">
        <v>301</v>
      </c>
      <c r="M305" s="9" t="s">
        <v>468</v>
      </c>
      <c r="N305" s="9" t="s">
        <v>468</v>
      </c>
      <c r="O305" s="60" t="s">
        <v>1233</v>
      </c>
    </row>
    <row r="306" spans="1:15" x14ac:dyDescent="0.25">
      <c r="A306" s="4"/>
      <c r="B306" s="9" t="s">
        <v>625</v>
      </c>
      <c r="C306" s="52" t="str">
        <f t="shared" si="5"/>
        <v>NAPESHM_USMI04_302</v>
      </c>
      <c r="D306" s="9" t="s">
        <v>629</v>
      </c>
      <c r="E306" s="29"/>
      <c r="F306" s="60" t="s">
        <v>1127</v>
      </c>
      <c r="G306" s="83">
        <v>42.408600999999997</v>
      </c>
      <c r="H306" s="83">
        <v>-85.369833</v>
      </c>
      <c r="I306" s="9" t="s">
        <v>231</v>
      </c>
      <c r="J306" s="29"/>
      <c r="K306" s="29"/>
      <c r="L306" s="60">
        <v>302</v>
      </c>
      <c r="M306" s="9" t="s">
        <v>468</v>
      </c>
      <c r="N306" s="9" t="s">
        <v>468</v>
      </c>
      <c r="O306" s="60" t="s">
        <v>1233</v>
      </c>
    </row>
    <row r="307" spans="1:15" x14ac:dyDescent="0.25">
      <c r="A307" s="4"/>
      <c r="B307" s="9" t="s">
        <v>625</v>
      </c>
      <c r="C307" s="52" t="str">
        <f t="shared" si="5"/>
        <v>NAPESHM_USMI04_303</v>
      </c>
      <c r="D307" s="9" t="s">
        <v>629</v>
      </c>
      <c r="E307" s="29"/>
      <c r="F307" s="60" t="s">
        <v>1127</v>
      </c>
      <c r="G307" s="83">
        <v>42.408600999999997</v>
      </c>
      <c r="H307" s="83">
        <v>-85.369833</v>
      </c>
      <c r="I307" s="9" t="s">
        <v>231</v>
      </c>
      <c r="J307" s="29"/>
      <c r="K307" s="29"/>
      <c r="L307" s="60">
        <v>303</v>
      </c>
      <c r="M307" s="9" t="s">
        <v>468</v>
      </c>
      <c r="N307" s="9" t="s">
        <v>468</v>
      </c>
      <c r="O307" s="60" t="s">
        <v>1233</v>
      </c>
    </row>
    <row r="308" spans="1:15" x14ac:dyDescent="0.25">
      <c r="A308" s="4"/>
      <c r="B308" s="9" t="s">
        <v>625</v>
      </c>
      <c r="C308" s="52" t="str">
        <f t="shared" si="5"/>
        <v>NAPESHM_USMI04_304</v>
      </c>
      <c r="D308" s="9" t="s">
        <v>629</v>
      </c>
      <c r="E308" s="29"/>
      <c r="F308" s="60" t="s">
        <v>1127</v>
      </c>
      <c r="G308" s="83">
        <v>42.408600999999997</v>
      </c>
      <c r="H308" s="83">
        <v>-85.369833</v>
      </c>
      <c r="I308" s="9" t="s">
        <v>231</v>
      </c>
      <c r="J308" s="29"/>
      <c r="K308" s="29"/>
      <c r="L308" s="60">
        <v>304</v>
      </c>
      <c r="M308" s="9" t="s">
        <v>468</v>
      </c>
      <c r="N308" s="9" t="s">
        <v>468</v>
      </c>
      <c r="O308" s="60" t="s">
        <v>1233</v>
      </c>
    </row>
    <row r="309" spans="1:15" x14ac:dyDescent="0.25">
      <c r="A309" s="4"/>
      <c r="B309" s="9" t="s">
        <v>625</v>
      </c>
      <c r="C309" s="52" t="str">
        <f t="shared" si="5"/>
        <v>NAPESHM_USMI04_305</v>
      </c>
      <c r="D309" s="9" t="s">
        <v>629</v>
      </c>
      <c r="E309" s="29"/>
      <c r="F309" s="60" t="s">
        <v>1127</v>
      </c>
      <c r="G309" s="83">
        <v>42.408600999999997</v>
      </c>
      <c r="H309" s="83">
        <v>-85.369833</v>
      </c>
      <c r="I309" s="9" t="s">
        <v>231</v>
      </c>
      <c r="J309" s="29"/>
      <c r="K309" s="29"/>
      <c r="L309" s="60">
        <v>305</v>
      </c>
      <c r="M309" s="9" t="s">
        <v>468</v>
      </c>
      <c r="N309" s="9" t="s">
        <v>468</v>
      </c>
      <c r="O309" s="60" t="s">
        <v>1233</v>
      </c>
    </row>
    <row r="310" spans="1:15" x14ac:dyDescent="0.25">
      <c r="A310" s="4"/>
      <c r="B310" s="9" t="s">
        <v>625</v>
      </c>
      <c r="C310" s="106" t="str">
        <f t="shared" si="5"/>
        <v>NAPESHM_USMI04_306</v>
      </c>
      <c r="D310" s="9" t="s">
        <v>629</v>
      </c>
      <c r="E310" s="29"/>
      <c r="F310" s="60" t="s">
        <v>1127</v>
      </c>
      <c r="G310" s="83">
        <v>42.408600999999997</v>
      </c>
      <c r="H310" s="83">
        <v>-85.369833</v>
      </c>
      <c r="I310" s="9" t="s">
        <v>231</v>
      </c>
      <c r="J310" s="29"/>
      <c r="K310" s="29"/>
      <c r="L310" s="60">
        <v>306</v>
      </c>
      <c r="M310" s="9" t="s">
        <v>468</v>
      </c>
      <c r="N310" s="9" t="s">
        <v>468</v>
      </c>
      <c r="O310" s="60" t="s">
        <v>1233</v>
      </c>
    </row>
    <row r="311" spans="1:15" x14ac:dyDescent="0.25">
      <c r="A311" s="4"/>
      <c r="B311" s="9" t="s">
        <v>625</v>
      </c>
      <c r="C311" s="52" t="str">
        <f t="shared" si="5"/>
        <v>NAPESHM_USMN02_307</v>
      </c>
      <c r="D311" s="9" t="s">
        <v>629</v>
      </c>
      <c r="E311" s="29"/>
      <c r="F311" s="60" t="s">
        <v>1128</v>
      </c>
      <c r="G311" s="83">
        <v>44.237433000000003</v>
      </c>
      <c r="H311" s="83">
        <v>-95.308383000000006</v>
      </c>
      <c r="I311" s="9" t="s">
        <v>234</v>
      </c>
      <c r="J311" s="29"/>
      <c r="K311" s="29"/>
      <c r="L311" s="60">
        <v>307</v>
      </c>
      <c r="M311" s="9" t="s">
        <v>468</v>
      </c>
      <c r="N311" s="9" t="s">
        <v>468</v>
      </c>
      <c r="O311" s="60" t="s">
        <v>1234</v>
      </c>
    </row>
    <row r="312" spans="1:15" x14ac:dyDescent="0.25">
      <c r="A312" s="4"/>
      <c r="B312" s="9" t="s">
        <v>625</v>
      </c>
      <c r="C312" s="52" t="str">
        <f t="shared" si="5"/>
        <v>NAPESHM_USMN02_308</v>
      </c>
      <c r="D312" s="9" t="s">
        <v>629</v>
      </c>
      <c r="E312" s="29"/>
      <c r="F312" s="60" t="s">
        <v>1128</v>
      </c>
      <c r="G312" s="83">
        <v>44.237433000000003</v>
      </c>
      <c r="H312" s="83">
        <v>-95.308383000000006</v>
      </c>
      <c r="I312" s="9" t="s">
        <v>234</v>
      </c>
      <c r="J312" s="29"/>
      <c r="K312" s="29"/>
      <c r="L312" s="60">
        <v>308</v>
      </c>
      <c r="M312" s="9" t="s">
        <v>468</v>
      </c>
      <c r="N312" s="9" t="s">
        <v>468</v>
      </c>
      <c r="O312" s="60" t="s">
        <v>1234</v>
      </c>
    </row>
    <row r="313" spans="1:15" x14ac:dyDescent="0.25">
      <c r="A313" s="4"/>
      <c r="B313" s="9" t="s">
        <v>625</v>
      </c>
      <c r="C313" s="52" t="str">
        <f t="shared" si="5"/>
        <v>NAPESHM_USMN02_309</v>
      </c>
      <c r="D313" s="9" t="s">
        <v>629</v>
      </c>
      <c r="E313" s="29"/>
      <c r="F313" s="60" t="s">
        <v>1128</v>
      </c>
      <c r="G313" s="83">
        <v>44.237433000000003</v>
      </c>
      <c r="H313" s="83">
        <v>-95.308383000000006</v>
      </c>
      <c r="I313" s="9" t="s">
        <v>234</v>
      </c>
      <c r="J313" s="29"/>
      <c r="K313" s="29"/>
      <c r="L313" s="60">
        <v>309</v>
      </c>
      <c r="M313" s="9" t="s">
        <v>468</v>
      </c>
      <c r="N313" s="9" t="s">
        <v>468</v>
      </c>
      <c r="O313" s="60" t="s">
        <v>1234</v>
      </c>
    </row>
    <row r="314" spans="1:15" x14ac:dyDescent="0.25">
      <c r="A314" s="4"/>
      <c r="B314" s="9" t="s">
        <v>625</v>
      </c>
      <c r="C314" s="52" t="str">
        <f t="shared" si="5"/>
        <v>NAPESHM_USMN03_310</v>
      </c>
      <c r="D314" s="9" t="s">
        <v>629</v>
      </c>
      <c r="E314" s="29"/>
      <c r="F314" s="60" t="s">
        <v>1129</v>
      </c>
      <c r="G314" s="83">
        <v>44.237872000000003</v>
      </c>
      <c r="H314" s="83">
        <v>-95.317590999999993</v>
      </c>
      <c r="I314" s="9" t="s">
        <v>234</v>
      </c>
      <c r="J314" s="29"/>
      <c r="K314" s="29"/>
      <c r="L314" s="60">
        <v>310</v>
      </c>
      <c r="M314" s="9" t="s">
        <v>468</v>
      </c>
      <c r="N314" s="9" t="s">
        <v>468</v>
      </c>
      <c r="O314" s="60" t="s">
        <v>1235</v>
      </c>
    </row>
    <row r="315" spans="1:15" x14ac:dyDescent="0.25">
      <c r="A315" s="4"/>
      <c r="B315" s="9" t="s">
        <v>625</v>
      </c>
      <c r="C315" s="52" t="str">
        <f t="shared" si="5"/>
        <v>NAPESHM_USMN03_311</v>
      </c>
      <c r="D315" s="9" t="s">
        <v>629</v>
      </c>
      <c r="E315" s="29"/>
      <c r="F315" s="60" t="s">
        <v>1129</v>
      </c>
      <c r="G315" s="83">
        <v>44.237872000000003</v>
      </c>
      <c r="H315" s="83">
        <v>-95.317590999999993</v>
      </c>
      <c r="I315" s="9" t="s">
        <v>234</v>
      </c>
      <c r="J315" s="29"/>
      <c r="K315" s="29"/>
      <c r="L315" s="60">
        <v>311</v>
      </c>
      <c r="M315" s="9" t="s">
        <v>468</v>
      </c>
      <c r="N315" s="9" t="s">
        <v>468</v>
      </c>
      <c r="O315" s="60" t="s">
        <v>1235</v>
      </c>
    </row>
    <row r="316" spans="1:15" x14ac:dyDescent="0.25">
      <c r="A316" s="4"/>
      <c r="B316" s="9" t="s">
        <v>625</v>
      </c>
      <c r="C316" s="52" t="str">
        <f t="shared" si="5"/>
        <v>NAPESHM_USMN03_312</v>
      </c>
      <c r="D316" s="9" t="s">
        <v>629</v>
      </c>
      <c r="E316" s="29"/>
      <c r="F316" s="60" t="s">
        <v>1129</v>
      </c>
      <c r="G316" s="83">
        <v>44.237872000000003</v>
      </c>
      <c r="H316" s="83">
        <v>-95.317590999999993</v>
      </c>
      <c r="I316" s="9" t="s">
        <v>234</v>
      </c>
      <c r="J316" s="29"/>
      <c r="K316" s="29"/>
      <c r="L316" s="60">
        <v>312</v>
      </c>
      <c r="M316" s="9" t="s">
        <v>468</v>
      </c>
      <c r="N316" s="9" t="s">
        <v>468</v>
      </c>
      <c r="O316" s="60" t="s">
        <v>1235</v>
      </c>
    </row>
    <row r="317" spans="1:15" x14ac:dyDescent="0.25">
      <c r="A317" s="4"/>
      <c r="B317" s="9" t="s">
        <v>625</v>
      </c>
      <c r="C317" s="52" t="str">
        <f t="shared" si="5"/>
        <v>NAPESHM_USMN03_313</v>
      </c>
      <c r="D317" s="9" t="s">
        <v>629</v>
      </c>
      <c r="E317" s="29"/>
      <c r="F317" s="60" t="s">
        <v>1129</v>
      </c>
      <c r="G317" s="83">
        <v>44.237872000000003</v>
      </c>
      <c r="H317" s="83">
        <v>-95.317590999999993</v>
      </c>
      <c r="I317" s="9" t="s">
        <v>234</v>
      </c>
      <c r="J317" s="29"/>
      <c r="K317" s="29"/>
      <c r="L317" s="60">
        <v>313</v>
      </c>
      <c r="M317" s="9" t="s">
        <v>468</v>
      </c>
      <c r="N317" s="9" t="s">
        <v>468</v>
      </c>
      <c r="O317" s="60" t="s">
        <v>1235</v>
      </c>
    </row>
    <row r="318" spans="1:15" x14ac:dyDescent="0.25">
      <c r="A318" s="4"/>
      <c r="B318" s="9" t="s">
        <v>625</v>
      </c>
      <c r="C318" s="52" t="str">
        <f t="shared" si="5"/>
        <v>NAPESHM_USMN04_314</v>
      </c>
      <c r="D318" s="9" t="s">
        <v>629</v>
      </c>
      <c r="E318" s="29"/>
      <c r="F318" s="60" t="s">
        <v>1130</v>
      </c>
      <c r="G318" s="83">
        <v>44.069232999999997</v>
      </c>
      <c r="H318" s="83">
        <v>-93.528716000000003</v>
      </c>
      <c r="I318" s="9" t="s">
        <v>234</v>
      </c>
      <c r="J318" s="29"/>
      <c r="K318" s="29"/>
      <c r="L318" s="60">
        <v>314</v>
      </c>
      <c r="M318" s="9" t="s">
        <v>468</v>
      </c>
      <c r="N318" s="9" t="s">
        <v>468</v>
      </c>
      <c r="O318" s="60" t="s">
        <v>1236</v>
      </c>
    </row>
    <row r="319" spans="1:15" x14ac:dyDescent="0.25">
      <c r="A319" s="4"/>
      <c r="B319" s="9" t="s">
        <v>625</v>
      </c>
      <c r="C319" s="52" t="str">
        <f t="shared" si="5"/>
        <v>NAPESHM_USMN04_315</v>
      </c>
      <c r="D319" s="9" t="s">
        <v>629</v>
      </c>
      <c r="E319" s="29"/>
      <c r="F319" s="60" t="s">
        <v>1130</v>
      </c>
      <c r="G319" s="83">
        <v>44.069232999999997</v>
      </c>
      <c r="H319" s="83">
        <v>-93.528716000000003</v>
      </c>
      <c r="I319" s="9" t="s">
        <v>234</v>
      </c>
      <c r="J319" s="29"/>
      <c r="K319" s="29"/>
      <c r="L319" s="60">
        <v>315</v>
      </c>
      <c r="M319" s="9" t="s">
        <v>468</v>
      </c>
      <c r="N319" s="9" t="s">
        <v>468</v>
      </c>
      <c r="O319" s="60" t="s">
        <v>1236</v>
      </c>
    </row>
    <row r="320" spans="1:15" x14ac:dyDescent="0.25">
      <c r="A320" s="4"/>
      <c r="B320" s="9" t="s">
        <v>625</v>
      </c>
      <c r="C320" s="52" t="str">
        <f t="shared" si="5"/>
        <v>NAPESHM_USMN04_316</v>
      </c>
      <c r="D320" s="9" t="s">
        <v>629</v>
      </c>
      <c r="E320" s="29"/>
      <c r="F320" s="60" t="s">
        <v>1130</v>
      </c>
      <c r="G320" s="83">
        <v>44.069232999999997</v>
      </c>
      <c r="H320" s="83">
        <v>-93.528716000000003</v>
      </c>
      <c r="I320" s="9" t="s">
        <v>234</v>
      </c>
      <c r="J320" s="29"/>
      <c r="K320" s="29"/>
      <c r="L320" s="60">
        <v>316</v>
      </c>
      <c r="M320" s="9" t="s">
        <v>468</v>
      </c>
      <c r="N320" s="9" t="s">
        <v>468</v>
      </c>
      <c r="O320" s="60" t="s">
        <v>1236</v>
      </c>
    </row>
    <row r="321" spans="1:15" x14ac:dyDescent="0.25">
      <c r="A321" s="4"/>
      <c r="B321" s="9" t="s">
        <v>625</v>
      </c>
      <c r="C321" s="52" t="str">
        <f t="shared" si="5"/>
        <v>NAPESHM_USMO01_317</v>
      </c>
      <c r="D321" s="9" t="s">
        <v>629</v>
      </c>
      <c r="E321" s="29"/>
      <c r="F321" s="60" t="s">
        <v>1131</v>
      </c>
      <c r="G321" s="83">
        <v>39.2303</v>
      </c>
      <c r="H321" s="83">
        <v>-92.120712999999995</v>
      </c>
      <c r="I321" s="9" t="s">
        <v>238</v>
      </c>
      <c r="J321" s="29"/>
      <c r="K321" s="29"/>
      <c r="L321" s="60">
        <v>317</v>
      </c>
      <c r="M321" s="9" t="s">
        <v>468</v>
      </c>
      <c r="N321" s="9" t="s">
        <v>468</v>
      </c>
      <c r="O321" s="60" t="s">
        <v>1237</v>
      </c>
    </row>
    <row r="322" spans="1:15" x14ac:dyDescent="0.25">
      <c r="A322" s="4"/>
      <c r="B322" s="9" t="s">
        <v>625</v>
      </c>
      <c r="C322" s="52" t="str">
        <f t="shared" si="5"/>
        <v>NAPESHM_USMO01_318</v>
      </c>
      <c r="D322" s="9" t="s">
        <v>629</v>
      </c>
      <c r="E322" s="29"/>
      <c r="F322" s="60" t="s">
        <v>1131</v>
      </c>
      <c r="G322" s="83">
        <v>39.2303</v>
      </c>
      <c r="H322" s="83">
        <v>-92.120712999999995</v>
      </c>
      <c r="I322" s="9" t="s">
        <v>238</v>
      </c>
      <c r="J322" s="29"/>
      <c r="K322" s="29"/>
      <c r="L322" s="60">
        <v>318</v>
      </c>
      <c r="M322" s="9" t="s">
        <v>468</v>
      </c>
      <c r="N322" s="9" t="s">
        <v>468</v>
      </c>
      <c r="O322" s="60" t="s">
        <v>1237</v>
      </c>
    </row>
    <row r="323" spans="1:15" x14ac:dyDescent="0.25">
      <c r="A323" s="4"/>
      <c r="B323" s="9" t="s">
        <v>625</v>
      </c>
      <c r="C323" s="52" t="str">
        <f t="shared" si="5"/>
        <v>NAPESHM_USMO01_319</v>
      </c>
      <c r="D323" s="9" t="s">
        <v>629</v>
      </c>
      <c r="E323" s="29"/>
      <c r="F323" s="60" t="s">
        <v>1131</v>
      </c>
      <c r="G323" s="83">
        <v>39.2303</v>
      </c>
      <c r="H323" s="83">
        <v>-92.120712999999995</v>
      </c>
      <c r="I323" s="9" t="s">
        <v>238</v>
      </c>
      <c r="J323" s="29"/>
      <c r="K323" s="29"/>
      <c r="L323" s="60">
        <v>319</v>
      </c>
      <c r="M323" s="9" t="s">
        <v>468</v>
      </c>
      <c r="N323" s="9" t="s">
        <v>468</v>
      </c>
      <c r="O323" s="60" t="s">
        <v>1237</v>
      </c>
    </row>
    <row r="324" spans="1:15" x14ac:dyDescent="0.25">
      <c r="A324" s="4"/>
      <c r="B324" s="9" t="s">
        <v>625</v>
      </c>
      <c r="C324" s="52" t="str">
        <f t="shared" si="5"/>
        <v>NAPESHM_USMO01_320</v>
      </c>
      <c r="D324" s="9" t="s">
        <v>629</v>
      </c>
      <c r="E324" s="29"/>
      <c r="F324" s="60" t="s">
        <v>1131</v>
      </c>
      <c r="G324" s="83">
        <v>39.2303</v>
      </c>
      <c r="H324" s="83">
        <v>-92.120712999999995</v>
      </c>
      <c r="I324" s="9" t="s">
        <v>238</v>
      </c>
      <c r="J324" s="29"/>
      <c r="K324" s="29"/>
      <c r="L324" s="60">
        <v>320</v>
      </c>
      <c r="M324" s="9" t="s">
        <v>468</v>
      </c>
      <c r="N324" s="9" t="s">
        <v>468</v>
      </c>
      <c r="O324" s="60" t="s">
        <v>1237</v>
      </c>
    </row>
    <row r="325" spans="1:15" x14ac:dyDescent="0.25">
      <c r="A325" s="4"/>
      <c r="B325" s="9" t="s">
        <v>625</v>
      </c>
      <c r="C325" s="52" t="str">
        <f t="shared" si="5"/>
        <v>NAPESHM_USMO02_321</v>
      </c>
      <c r="D325" s="9" t="s">
        <v>629</v>
      </c>
      <c r="E325" s="29"/>
      <c r="F325" s="60" t="s">
        <v>1132</v>
      </c>
      <c r="G325" s="83">
        <v>38.942551999999999</v>
      </c>
      <c r="H325" s="83">
        <v>-92.320666000000003</v>
      </c>
      <c r="I325" s="9" t="s">
        <v>238</v>
      </c>
      <c r="J325" s="29"/>
      <c r="K325" s="29"/>
      <c r="L325" s="60">
        <v>321</v>
      </c>
      <c r="M325" s="9" t="s">
        <v>468</v>
      </c>
      <c r="N325" s="9" t="s">
        <v>468</v>
      </c>
      <c r="O325" s="60" t="s">
        <v>1238</v>
      </c>
    </row>
    <row r="326" spans="1:15" x14ac:dyDescent="0.25">
      <c r="A326" s="4"/>
      <c r="B326" s="9" t="s">
        <v>625</v>
      </c>
      <c r="C326" s="52" t="str">
        <f t="shared" si="5"/>
        <v>NAPESHM_USMO02_322</v>
      </c>
      <c r="D326" s="9" t="s">
        <v>629</v>
      </c>
      <c r="E326" s="29"/>
      <c r="F326" s="60" t="s">
        <v>1132</v>
      </c>
      <c r="G326" s="83">
        <v>38.942551999999999</v>
      </c>
      <c r="H326" s="83">
        <v>-92.320666000000003</v>
      </c>
      <c r="I326" s="9" t="s">
        <v>238</v>
      </c>
      <c r="J326" s="29"/>
      <c r="K326" s="29"/>
      <c r="L326" s="60">
        <v>322</v>
      </c>
      <c r="M326" s="9" t="s">
        <v>468</v>
      </c>
      <c r="N326" s="9" t="s">
        <v>468</v>
      </c>
      <c r="O326" s="60" t="s">
        <v>1238</v>
      </c>
    </row>
    <row r="327" spans="1:15" x14ac:dyDescent="0.25">
      <c r="A327" s="4"/>
      <c r="B327" s="9" t="s">
        <v>625</v>
      </c>
      <c r="C327" s="52" t="str">
        <f t="shared" si="5"/>
        <v>NAPESHM_USMO02_323</v>
      </c>
      <c r="D327" s="9" t="s">
        <v>629</v>
      </c>
      <c r="E327" s="29"/>
      <c r="F327" s="60" t="s">
        <v>1132</v>
      </c>
      <c r="G327" s="83">
        <v>38.942551999999999</v>
      </c>
      <c r="H327" s="83">
        <v>-92.320666000000003</v>
      </c>
      <c r="I327" s="9" t="s">
        <v>238</v>
      </c>
      <c r="J327" s="29"/>
      <c r="K327" s="29"/>
      <c r="L327" s="60">
        <v>323</v>
      </c>
      <c r="M327" s="9" t="s">
        <v>468</v>
      </c>
      <c r="N327" s="9" t="s">
        <v>468</v>
      </c>
      <c r="O327" s="60" t="s">
        <v>1238</v>
      </c>
    </row>
    <row r="328" spans="1:15" x14ac:dyDescent="0.25">
      <c r="A328" s="4"/>
      <c r="B328" s="9" t="s">
        <v>625</v>
      </c>
      <c r="C328" s="52" t="str">
        <f t="shared" si="5"/>
        <v>NAPESHM_USMO02_324</v>
      </c>
      <c r="D328" s="9" t="s">
        <v>629</v>
      </c>
      <c r="E328" s="29"/>
      <c r="F328" s="60" t="s">
        <v>1132</v>
      </c>
      <c r="G328" s="83">
        <v>38.942551999999999</v>
      </c>
      <c r="H328" s="83">
        <v>-92.320666000000003</v>
      </c>
      <c r="I328" s="9" t="s">
        <v>238</v>
      </c>
      <c r="J328" s="29"/>
      <c r="K328" s="29"/>
      <c r="L328" s="60">
        <v>324</v>
      </c>
      <c r="M328" s="9" t="s">
        <v>468</v>
      </c>
      <c r="N328" s="9" t="s">
        <v>468</v>
      </c>
      <c r="O328" s="60" t="s">
        <v>1238</v>
      </c>
    </row>
    <row r="329" spans="1:15" x14ac:dyDescent="0.25">
      <c r="A329" s="4"/>
      <c r="B329" s="9" t="s">
        <v>625</v>
      </c>
      <c r="C329" s="52" t="str">
        <f t="shared" si="5"/>
        <v>NAPESHM_USMO02_325</v>
      </c>
      <c r="D329" s="9" t="s">
        <v>629</v>
      </c>
      <c r="E329" s="29"/>
      <c r="F329" s="60" t="s">
        <v>1132</v>
      </c>
      <c r="G329" s="83">
        <v>38.942551999999999</v>
      </c>
      <c r="H329" s="83">
        <v>-92.320666000000003</v>
      </c>
      <c r="I329" s="9" t="s">
        <v>238</v>
      </c>
      <c r="J329" s="29"/>
      <c r="K329" s="29"/>
      <c r="L329" s="60">
        <v>325</v>
      </c>
      <c r="M329" s="9" t="s">
        <v>468</v>
      </c>
      <c r="N329" s="9" t="s">
        <v>468</v>
      </c>
      <c r="O329" s="60" t="s">
        <v>1238</v>
      </c>
    </row>
    <row r="330" spans="1:15" x14ac:dyDescent="0.25">
      <c r="A330" s="4"/>
      <c r="B330" s="9" t="s">
        <v>625</v>
      </c>
      <c r="C330" s="52" t="str">
        <f t="shared" si="5"/>
        <v>NAPESHM_USMO02_326</v>
      </c>
      <c r="D330" s="9" t="s">
        <v>629</v>
      </c>
      <c r="E330" s="29"/>
      <c r="F330" s="60" t="s">
        <v>1132</v>
      </c>
      <c r="G330" s="83">
        <v>38.942551999999999</v>
      </c>
      <c r="H330" s="83">
        <v>-92.320666000000003</v>
      </c>
      <c r="I330" s="9" t="s">
        <v>238</v>
      </c>
      <c r="J330" s="29"/>
      <c r="K330" s="29"/>
      <c r="L330" s="60">
        <v>326</v>
      </c>
      <c r="M330" s="9" t="s">
        <v>468</v>
      </c>
      <c r="N330" s="9" t="s">
        <v>468</v>
      </c>
      <c r="O330" s="60" t="s">
        <v>1238</v>
      </c>
    </row>
    <row r="331" spans="1:15" x14ac:dyDescent="0.25">
      <c r="A331" s="4"/>
      <c r="B331" s="9" t="s">
        <v>625</v>
      </c>
      <c r="C331" s="52" t="str">
        <f t="shared" si="5"/>
        <v>NAPESHM_USMO02_327</v>
      </c>
      <c r="D331" s="9" t="s">
        <v>629</v>
      </c>
      <c r="E331" s="29"/>
      <c r="F331" s="60" t="s">
        <v>1132</v>
      </c>
      <c r="G331" s="83">
        <v>38.942551999999999</v>
      </c>
      <c r="H331" s="83">
        <v>-92.320666000000003</v>
      </c>
      <c r="I331" s="9" t="s">
        <v>238</v>
      </c>
      <c r="J331" s="29"/>
      <c r="K331" s="29"/>
      <c r="L331" s="60">
        <v>327</v>
      </c>
      <c r="M331" s="9" t="s">
        <v>468</v>
      </c>
      <c r="N331" s="9" t="s">
        <v>468</v>
      </c>
      <c r="O331" s="60" t="s">
        <v>1238</v>
      </c>
    </row>
    <row r="332" spans="1:15" x14ac:dyDescent="0.25">
      <c r="A332" s="4"/>
      <c r="B332" s="9" t="s">
        <v>625</v>
      </c>
      <c r="C332" s="52" t="str">
        <f t="shared" si="5"/>
        <v>NAPESHM_USMO02_328</v>
      </c>
      <c r="D332" s="9" t="s">
        <v>629</v>
      </c>
      <c r="E332" s="29"/>
      <c r="F332" s="60" t="s">
        <v>1132</v>
      </c>
      <c r="G332" s="83">
        <v>38.942551999999999</v>
      </c>
      <c r="H332" s="83">
        <v>-92.320666000000003</v>
      </c>
      <c r="I332" s="9" t="s">
        <v>238</v>
      </c>
      <c r="J332" s="29"/>
      <c r="K332" s="29"/>
      <c r="L332" s="60">
        <v>328</v>
      </c>
      <c r="M332" s="9" t="s">
        <v>468</v>
      </c>
      <c r="N332" s="9" t="s">
        <v>468</v>
      </c>
      <c r="O332" s="60" t="s">
        <v>1238</v>
      </c>
    </row>
    <row r="333" spans="1:15" x14ac:dyDescent="0.25">
      <c r="A333" s="4"/>
      <c r="B333" s="9" t="s">
        <v>625</v>
      </c>
      <c r="C333" s="52" t="str">
        <f t="shared" si="5"/>
        <v>NAPESHM_USMO02_329</v>
      </c>
      <c r="D333" s="9" t="s">
        <v>629</v>
      </c>
      <c r="E333" s="29"/>
      <c r="F333" s="60" t="s">
        <v>1132</v>
      </c>
      <c r="G333" s="83">
        <v>38.942551999999999</v>
      </c>
      <c r="H333" s="83">
        <v>-92.320666000000003</v>
      </c>
      <c r="I333" s="9" t="s">
        <v>238</v>
      </c>
      <c r="J333" s="29"/>
      <c r="K333" s="29"/>
      <c r="L333" s="60">
        <v>329</v>
      </c>
      <c r="M333" s="9" t="s">
        <v>468</v>
      </c>
      <c r="N333" s="9" t="s">
        <v>468</v>
      </c>
      <c r="O333" s="60" t="s">
        <v>1238</v>
      </c>
    </row>
    <row r="334" spans="1:15" x14ac:dyDescent="0.25">
      <c r="A334" s="4"/>
      <c r="B334" s="9" t="s">
        <v>625</v>
      </c>
      <c r="C334" s="52" t="str">
        <f t="shared" si="5"/>
        <v>NAPESHM_USMO02_330</v>
      </c>
      <c r="D334" s="9" t="s">
        <v>629</v>
      </c>
      <c r="E334" s="29"/>
      <c r="F334" s="60" t="s">
        <v>1132</v>
      </c>
      <c r="G334" s="83">
        <v>38.942551999999999</v>
      </c>
      <c r="H334" s="83">
        <v>-92.320666000000003</v>
      </c>
      <c r="I334" s="9" t="s">
        <v>238</v>
      </c>
      <c r="J334" s="29"/>
      <c r="K334" s="29"/>
      <c r="L334" s="60">
        <v>330</v>
      </c>
      <c r="M334" s="9" t="s">
        <v>468</v>
      </c>
      <c r="N334" s="9" t="s">
        <v>468</v>
      </c>
      <c r="O334" s="60" t="s">
        <v>1238</v>
      </c>
    </row>
    <row r="335" spans="1:15" x14ac:dyDescent="0.25">
      <c r="A335" s="4"/>
      <c r="B335" s="9" t="s">
        <v>625</v>
      </c>
      <c r="C335" s="52" t="str">
        <f t="shared" ref="C335:C400" si="6">IF(ISBLANK(D335), "", CONCATENATE(D335,E335,"_",F335,"_",L335))</f>
        <v>NAPESHM_USMO02_331</v>
      </c>
      <c r="D335" s="9" t="s">
        <v>629</v>
      </c>
      <c r="E335" s="29"/>
      <c r="F335" s="60" t="s">
        <v>1132</v>
      </c>
      <c r="G335" s="83">
        <v>38.942551999999999</v>
      </c>
      <c r="H335" s="83">
        <v>-92.320666000000003</v>
      </c>
      <c r="I335" s="9" t="s">
        <v>238</v>
      </c>
      <c r="J335" s="29"/>
      <c r="K335" s="29"/>
      <c r="L335" s="60">
        <v>331</v>
      </c>
      <c r="M335" s="9" t="s">
        <v>468</v>
      </c>
      <c r="N335" s="9" t="s">
        <v>468</v>
      </c>
      <c r="O335" s="60" t="s">
        <v>1238</v>
      </c>
    </row>
    <row r="336" spans="1:15" x14ac:dyDescent="0.25">
      <c r="A336" s="4"/>
      <c r="B336" s="9" t="s">
        <v>625</v>
      </c>
      <c r="C336" s="52" t="str">
        <f t="shared" si="6"/>
        <v>NAPESHM_USMO02_332</v>
      </c>
      <c r="D336" s="9" t="s">
        <v>629</v>
      </c>
      <c r="E336" s="29"/>
      <c r="F336" s="60" t="s">
        <v>1132</v>
      </c>
      <c r="G336" s="83">
        <v>38.942551999999999</v>
      </c>
      <c r="H336" s="83">
        <v>-92.320666000000003</v>
      </c>
      <c r="I336" s="9" t="s">
        <v>238</v>
      </c>
      <c r="J336" s="29"/>
      <c r="K336" s="29"/>
      <c r="L336" s="60">
        <v>332</v>
      </c>
      <c r="M336" s="9" t="s">
        <v>468</v>
      </c>
      <c r="N336" s="9" t="s">
        <v>468</v>
      </c>
      <c r="O336" s="60" t="s">
        <v>1238</v>
      </c>
    </row>
    <row r="337" spans="1:15" x14ac:dyDescent="0.25">
      <c r="A337" s="4"/>
      <c r="B337" s="9" t="s">
        <v>625</v>
      </c>
      <c r="C337" s="52" t="str">
        <f t="shared" si="6"/>
        <v>NAPESHM_USMO02_333</v>
      </c>
      <c r="D337" s="9" t="s">
        <v>629</v>
      </c>
      <c r="E337" s="29"/>
      <c r="F337" s="60" t="s">
        <v>1132</v>
      </c>
      <c r="G337" s="83">
        <v>38.942551999999999</v>
      </c>
      <c r="H337" s="83">
        <v>-92.320666000000003</v>
      </c>
      <c r="I337" s="9" t="s">
        <v>238</v>
      </c>
      <c r="J337" s="29"/>
      <c r="K337" s="29"/>
      <c r="L337" s="60">
        <v>333</v>
      </c>
      <c r="M337" s="9" t="s">
        <v>468</v>
      </c>
      <c r="N337" s="9" t="s">
        <v>468</v>
      </c>
      <c r="O337" s="60" t="s">
        <v>1238</v>
      </c>
    </row>
    <row r="338" spans="1:15" x14ac:dyDescent="0.25">
      <c r="A338" s="4"/>
      <c r="B338" s="9" t="s">
        <v>625</v>
      </c>
      <c r="C338" s="52" t="str">
        <f t="shared" si="6"/>
        <v>NAPESHM_USMO02_334</v>
      </c>
      <c r="D338" s="9" t="s">
        <v>629</v>
      </c>
      <c r="E338" s="29"/>
      <c r="F338" s="60" t="s">
        <v>1132</v>
      </c>
      <c r="G338" s="83">
        <v>38.942551999999999</v>
      </c>
      <c r="H338" s="83">
        <v>-92.320666000000003</v>
      </c>
      <c r="I338" s="9" t="s">
        <v>238</v>
      </c>
      <c r="J338" s="29"/>
      <c r="K338" s="29"/>
      <c r="L338" s="60">
        <v>334</v>
      </c>
      <c r="M338" s="9" t="s">
        <v>468</v>
      </c>
      <c r="N338" s="9" t="s">
        <v>468</v>
      </c>
      <c r="O338" s="60" t="s">
        <v>1238</v>
      </c>
    </row>
    <row r="339" spans="1:15" x14ac:dyDescent="0.25">
      <c r="A339" s="4"/>
      <c r="B339" s="9" t="s">
        <v>625</v>
      </c>
      <c r="C339" s="52" t="str">
        <f t="shared" si="6"/>
        <v>NAPESHM_USMO02_335</v>
      </c>
      <c r="D339" s="9" t="s">
        <v>629</v>
      </c>
      <c r="E339" s="29"/>
      <c r="F339" s="60" t="s">
        <v>1132</v>
      </c>
      <c r="G339" s="83">
        <v>38.942551999999999</v>
      </c>
      <c r="H339" s="83">
        <v>-92.320666000000003</v>
      </c>
      <c r="I339" s="9" t="s">
        <v>238</v>
      </c>
      <c r="J339" s="29"/>
      <c r="K339" s="29"/>
      <c r="L339" s="60">
        <v>335</v>
      </c>
      <c r="M339" s="9" t="s">
        <v>468</v>
      </c>
      <c r="N339" s="9" t="s">
        <v>468</v>
      </c>
      <c r="O339" s="60" t="s">
        <v>1238</v>
      </c>
    </row>
    <row r="340" spans="1:15" x14ac:dyDescent="0.25">
      <c r="A340" s="4"/>
      <c r="B340" s="9" t="s">
        <v>625</v>
      </c>
      <c r="C340" s="52" t="str">
        <f t="shared" si="6"/>
        <v>NAPESHM_USMO02_336</v>
      </c>
      <c r="D340" s="9" t="s">
        <v>629</v>
      </c>
      <c r="E340" s="29"/>
      <c r="F340" s="60" t="s">
        <v>1132</v>
      </c>
      <c r="G340" s="83">
        <v>38.942551999999999</v>
      </c>
      <c r="H340" s="83">
        <v>-92.320666000000003</v>
      </c>
      <c r="I340" s="9" t="s">
        <v>238</v>
      </c>
      <c r="J340" s="29"/>
      <c r="K340" s="29"/>
      <c r="L340" s="60">
        <v>336</v>
      </c>
      <c r="M340" s="9" t="s">
        <v>468</v>
      </c>
      <c r="N340" s="9" t="s">
        <v>468</v>
      </c>
      <c r="O340" s="60" t="s">
        <v>1238</v>
      </c>
    </row>
    <row r="341" spans="1:15" x14ac:dyDescent="0.25">
      <c r="A341" s="4"/>
      <c r="B341" s="9" t="s">
        <v>625</v>
      </c>
      <c r="C341" s="52" t="str">
        <f t="shared" si="6"/>
        <v>NAPESHM_USMO03_337</v>
      </c>
      <c r="D341" s="9" t="s">
        <v>629</v>
      </c>
      <c r="E341" s="29"/>
      <c r="F341" s="60" t="s">
        <v>1133</v>
      </c>
      <c r="G341" s="83">
        <v>40.289610000000003</v>
      </c>
      <c r="H341" s="83">
        <v>-95.481081000000003</v>
      </c>
      <c r="I341" s="9" t="s">
        <v>238</v>
      </c>
      <c r="J341" s="29"/>
      <c r="K341" s="29"/>
      <c r="L341" s="60">
        <v>337</v>
      </c>
      <c r="M341" s="9" t="s">
        <v>468</v>
      </c>
      <c r="N341" s="9" t="s">
        <v>468</v>
      </c>
      <c r="O341" s="60" t="s">
        <v>1239</v>
      </c>
    </row>
    <row r="342" spans="1:15" x14ac:dyDescent="0.25">
      <c r="A342" s="4"/>
      <c r="B342" s="9" t="s">
        <v>625</v>
      </c>
      <c r="C342" s="52" t="str">
        <f t="shared" si="6"/>
        <v>NAPESHM_USMO03_338</v>
      </c>
      <c r="D342" s="9" t="s">
        <v>629</v>
      </c>
      <c r="E342" s="29"/>
      <c r="F342" s="60" t="s">
        <v>1133</v>
      </c>
      <c r="G342" s="83">
        <v>40.289610000000003</v>
      </c>
      <c r="H342" s="83">
        <v>-95.481081000000003</v>
      </c>
      <c r="I342" s="9" t="s">
        <v>238</v>
      </c>
      <c r="J342" s="29"/>
      <c r="K342" s="29"/>
      <c r="L342" s="60">
        <v>338</v>
      </c>
      <c r="M342" s="9" t="s">
        <v>468</v>
      </c>
      <c r="N342" s="9" t="s">
        <v>468</v>
      </c>
      <c r="O342" s="60" t="s">
        <v>1239</v>
      </c>
    </row>
    <row r="343" spans="1:15" x14ac:dyDescent="0.25">
      <c r="A343" s="4"/>
      <c r="B343" s="9" t="s">
        <v>625</v>
      </c>
      <c r="C343" s="52" t="str">
        <f t="shared" si="6"/>
        <v>NAPESHM_USMO04_339</v>
      </c>
      <c r="D343" s="9" t="s">
        <v>629</v>
      </c>
      <c r="E343" s="29"/>
      <c r="F343" s="60" t="s">
        <v>1134</v>
      </c>
      <c r="G343" s="83">
        <v>40.019044000000001</v>
      </c>
      <c r="H343" s="83">
        <v>-92.189222000000001</v>
      </c>
      <c r="I343" s="9" t="s">
        <v>238</v>
      </c>
      <c r="J343" s="29"/>
      <c r="K343" s="29"/>
      <c r="L343" s="60">
        <v>339</v>
      </c>
      <c r="M343" s="9" t="s">
        <v>468</v>
      </c>
      <c r="N343" s="9" t="s">
        <v>468</v>
      </c>
      <c r="O343" s="60" t="s">
        <v>1240</v>
      </c>
    </row>
    <row r="344" spans="1:15" x14ac:dyDescent="0.25">
      <c r="A344" s="4"/>
      <c r="B344" s="9" t="s">
        <v>625</v>
      </c>
      <c r="C344" s="52" t="str">
        <f t="shared" si="6"/>
        <v>NAPESHM_USMO04_340</v>
      </c>
      <c r="D344" s="9" t="s">
        <v>629</v>
      </c>
      <c r="E344" s="29"/>
      <c r="F344" s="60" t="s">
        <v>1134</v>
      </c>
      <c r="G344" s="83">
        <v>40.019044000000001</v>
      </c>
      <c r="H344" s="83">
        <v>-92.189222000000001</v>
      </c>
      <c r="I344" s="9" t="s">
        <v>238</v>
      </c>
      <c r="J344" s="29"/>
      <c r="K344" s="29"/>
      <c r="L344" s="60">
        <v>340</v>
      </c>
      <c r="M344" s="9" t="s">
        <v>468</v>
      </c>
      <c r="N344" s="9" t="s">
        <v>468</v>
      </c>
      <c r="O344" s="60" t="s">
        <v>1240</v>
      </c>
    </row>
    <row r="345" spans="1:15" x14ac:dyDescent="0.25">
      <c r="A345" s="4"/>
      <c r="B345" s="9" t="s">
        <v>625</v>
      </c>
      <c r="C345" s="52" t="str">
        <f t="shared" si="6"/>
        <v>NAPESHM_USMO04_341</v>
      </c>
      <c r="D345" s="9" t="s">
        <v>629</v>
      </c>
      <c r="E345" s="29"/>
      <c r="F345" s="60" t="s">
        <v>1134</v>
      </c>
      <c r="G345" s="83">
        <v>40.019044000000001</v>
      </c>
      <c r="H345" s="83">
        <v>-92.189222000000001</v>
      </c>
      <c r="I345" s="9" t="s">
        <v>238</v>
      </c>
      <c r="J345" s="29"/>
      <c r="K345" s="29"/>
      <c r="L345" s="60">
        <v>341</v>
      </c>
      <c r="M345" s="9" t="s">
        <v>468</v>
      </c>
      <c r="N345" s="9" t="s">
        <v>468</v>
      </c>
      <c r="O345" s="60" t="s">
        <v>1240</v>
      </c>
    </row>
    <row r="346" spans="1:15" x14ac:dyDescent="0.25">
      <c r="A346" s="4"/>
      <c r="B346" s="9" t="s">
        <v>625</v>
      </c>
      <c r="C346" s="52" t="str">
        <f t="shared" si="6"/>
        <v>NAPESHM_USMO05_342</v>
      </c>
      <c r="D346" s="9" t="s">
        <v>629</v>
      </c>
      <c r="E346" s="29"/>
      <c r="F346" s="60" t="s">
        <v>1135</v>
      </c>
      <c r="G346" s="83">
        <v>39.945031999999998</v>
      </c>
      <c r="H346" s="83">
        <v>-92.054039000000003</v>
      </c>
      <c r="I346" s="9" t="s">
        <v>238</v>
      </c>
      <c r="J346" s="29"/>
      <c r="K346" s="29"/>
      <c r="L346" s="60">
        <v>342</v>
      </c>
      <c r="M346" s="9" t="s">
        <v>468</v>
      </c>
      <c r="N346" s="9" t="s">
        <v>468</v>
      </c>
      <c r="O346" s="60" t="s">
        <v>1241</v>
      </c>
    </row>
    <row r="347" spans="1:15" x14ac:dyDescent="0.25">
      <c r="A347" s="4"/>
      <c r="B347" s="9" t="s">
        <v>625</v>
      </c>
      <c r="C347" s="52" t="str">
        <f t="shared" si="6"/>
        <v>NAPESHM_USMO05_343</v>
      </c>
      <c r="D347" s="9" t="s">
        <v>629</v>
      </c>
      <c r="E347" s="29"/>
      <c r="F347" s="60" t="s">
        <v>1135</v>
      </c>
      <c r="G347" s="83">
        <v>39.945031999999998</v>
      </c>
      <c r="H347" s="83">
        <v>-92.054039000000003</v>
      </c>
      <c r="I347" s="9" t="s">
        <v>238</v>
      </c>
      <c r="J347" s="29"/>
      <c r="K347" s="29"/>
      <c r="L347" s="60">
        <v>343</v>
      </c>
      <c r="M347" s="9" t="s">
        <v>468</v>
      </c>
      <c r="N347" s="9" t="s">
        <v>468</v>
      </c>
      <c r="O347" s="60" t="s">
        <v>1241</v>
      </c>
    </row>
    <row r="348" spans="1:15" x14ac:dyDescent="0.25">
      <c r="A348" s="4"/>
      <c r="B348" s="9" t="s">
        <v>625</v>
      </c>
      <c r="C348" s="52" t="str">
        <f t="shared" si="6"/>
        <v>NAPESHM_USMT01_344</v>
      </c>
      <c r="D348" s="9" t="s">
        <v>629</v>
      </c>
      <c r="E348" s="29"/>
      <c r="F348" s="60" t="s">
        <v>1136</v>
      </c>
      <c r="G348" s="83">
        <v>47.774900000000002</v>
      </c>
      <c r="H348" s="83">
        <v>-104.24766700000001</v>
      </c>
      <c r="I348" s="9" t="s">
        <v>241</v>
      </c>
      <c r="J348" s="29"/>
      <c r="K348" s="29"/>
      <c r="L348" s="60">
        <v>344</v>
      </c>
      <c r="M348" s="9" t="s">
        <v>468</v>
      </c>
      <c r="N348" s="9" t="s">
        <v>468</v>
      </c>
      <c r="O348" s="60" t="s">
        <v>1242</v>
      </c>
    </row>
    <row r="349" spans="1:15" x14ac:dyDescent="0.25">
      <c r="A349" s="4"/>
      <c r="B349" s="9" t="s">
        <v>625</v>
      </c>
      <c r="C349" s="52" t="str">
        <f t="shared" si="6"/>
        <v>NAPESHM_USMT01_345</v>
      </c>
      <c r="D349" s="9" t="s">
        <v>629</v>
      </c>
      <c r="E349" s="29"/>
      <c r="F349" s="60" t="s">
        <v>1136</v>
      </c>
      <c r="G349" s="83">
        <v>47.774900000000002</v>
      </c>
      <c r="H349" s="83">
        <v>-104.24766700000001</v>
      </c>
      <c r="I349" s="9" t="s">
        <v>241</v>
      </c>
      <c r="J349" s="29"/>
      <c r="K349" s="29"/>
      <c r="L349" s="60">
        <v>345</v>
      </c>
      <c r="M349" s="9" t="s">
        <v>468</v>
      </c>
      <c r="N349" s="9" t="s">
        <v>468</v>
      </c>
      <c r="O349" s="60" t="s">
        <v>1242</v>
      </c>
    </row>
    <row r="350" spans="1:15" x14ac:dyDescent="0.25">
      <c r="A350" s="4"/>
      <c r="B350" s="9" t="s">
        <v>625</v>
      </c>
      <c r="C350" s="52" t="str">
        <f t="shared" si="6"/>
        <v>NAPESHM_USMT01_346</v>
      </c>
      <c r="D350" s="9" t="s">
        <v>629</v>
      </c>
      <c r="E350" s="29"/>
      <c r="F350" s="60" t="s">
        <v>1136</v>
      </c>
      <c r="G350" s="83">
        <v>47.774900000000002</v>
      </c>
      <c r="H350" s="83">
        <v>-104.24766700000001</v>
      </c>
      <c r="I350" s="9" t="s">
        <v>241</v>
      </c>
      <c r="J350" s="29"/>
      <c r="K350" s="29"/>
      <c r="L350" s="60">
        <v>346</v>
      </c>
      <c r="M350" s="9" t="s">
        <v>468</v>
      </c>
      <c r="N350" s="9" t="s">
        <v>468</v>
      </c>
      <c r="O350" s="60" t="s">
        <v>1242</v>
      </c>
    </row>
    <row r="351" spans="1:15" x14ac:dyDescent="0.25">
      <c r="A351" s="4"/>
      <c r="B351" s="9" t="s">
        <v>625</v>
      </c>
      <c r="C351" s="52" t="str">
        <f t="shared" si="6"/>
        <v>NAPESHM_USMT01_347</v>
      </c>
      <c r="D351" s="9" t="s">
        <v>629</v>
      </c>
      <c r="E351" s="29"/>
      <c r="F351" s="60" t="s">
        <v>1136</v>
      </c>
      <c r="G351" s="83">
        <v>47.774900000000002</v>
      </c>
      <c r="H351" s="83">
        <v>-104.24766700000001</v>
      </c>
      <c r="I351" s="9" t="s">
        <v>241</v>
      </c>
      <c r="J351" s="29"/>
      <c r="K351" s="29"/>
      <c r="L351" s="60">
        <v>347</v>
      </c>
      <c r="M351" s="9" t="s">
        <v>468</v>
      </c>
      <c r="N351" s="9" t="s">
        <v>468</v>
      </c>
      <c r="O351" s="60" t="s">
        <v>1242</v>
      </c>
    </row>
    <row r="352" spans="1:15" x14ac:dyDescent="0.25">
      <c r="A352" s="4"/>
      <c r="B352" s="9" t="s">
        <v>625</v>
      </c>
      <c r="C352" s="52" t="str">
        <f t="shared" si="6"/>
        <v>NAPESHM_USMT01_348</v>
      </c>
      <c r="D352" s="9" t="s">
        <v>629</v>
      </c>
      <c r="E352" s="29"/>
      <c r="F352" s="60" t="s">
        <v>1136</v>
      </c>
      <c r="G352" s="83">
        <v>47.774900000000002</v>
      </c>
      <c r="H352" s="83">
        <v>-104.24766700000001</v>
      </c>
      <c r="I352" s="9" t="s">
        <v>241</v>
      </c>
      <c r="J352" s="29"/>
      <c r="K352" s="29"/>
      <c r="L352" s="60">
        <v>348</v>
      </c>
      <c r="M352" s="9" t="s">
        <v>468</v>
      </c>
      <c r="N352" s="9" t="s">
        <v>468</v>
      </c>
      <c r="O352" s="60" t="s">
        <v>1242</v>
      </c>
    </row>
    <row r="353" spans="1:15" x14ac:dyDescent="0.25">
      <c r="A353" s="4"/>
      <c r="B353" s="9" t="s">
        <v>625</v>
      </c>
      <c r="C353" s="52" t="str">
        <f t="shared" si="6"/>
        <v>NAPESHM_USMT01_349</v>
      </c>
      <c r="D353" s="9" t="s">
        <v>629</v>
      </c>
      <c r="E353" s="29"/>
      <c r="F353" s="60" t="s">
        <v>1136</v>
      </c>
      <c r="G353" s="83">
        <v>47.774900000000002</v>
      </c>
      <c r="H353" s="83">
        <v>-104.24766700000001</v>
      </c>
      <c r="I353" s="9" t="s">
        <v>241</v>
      </c>
      <c r="J353" s="29"/>
      <c r="K353" s="29"/>
      <c r="L353" s="60">
        <v>349</v>
      </c>
      <c r="M353" s="9" t="s">
        <v>468</v>
      </c>
      <c r="N353" s="9" t="s">
        <v>468</v>
      </c>
      <c r="O353" s="60" t="s">
        <v>1242</v>
      </c>
    </row>
    <row r="354" spans="1:15" x14ac:dyDescent="0.25">
      <c r="A354" s="4"/>
      <c r="B354" s="9" t="s">
        <v>625</v>
      </c>
      <c r="C354" s="52" t="str">
        <f t="shared" si="6"/>
        <v>NAPESHM_USMT01_350</v>
      </c>
      <c r="D354" s="9" t="s">
        <v>629</v>
      </c>
      <c r="E354" s="29"/>
      <c r="F354" s="60" t="s">
        <v>1136</v>
      </c>
      <c r="G354" s="83">
        <v>47.774900000000002</v>
      </c>
      <c r="H354" s="83">
        <v>-104.24766700000001</v>
      </c>
      <c r="I354" s="9" t="s">
        <v>241</v>
      </c>
      <c r="J354" s="29"/>
      <c r="K354" s="29"/>
      <c r="L354" s="60">
        <v>350</v>
      </c>
      <c r="M354" s="9" t="s">
        <v>468</v>
      </c>
      <c r="N354" s="9" t="s">
        <v>468</v>
      </c>
      <c r="O354" s="60" t="s">
        <v>1242</v>
      </c>
    </row>
    <row r="355" spans="1:15" x14ac:dyDescent="0.25">
      <c r="A355" s="4"/>
      <c r="B355" s="9" t="s">
        <v>625</v>
      </c>
      <c r="C355" s="52" t="str">
        <f t="shared" si="6"/>
        <v>NAPESHM_USMT01_351</v>
      </c>
      <c r="D355" s="9" t="s">
        <v>629</v>
      </c>
      <c r="E355" s="29"/>
      <c r="F355" s="60" t="s">
        <v>1136</v>
      </c>
      <c r="G355" s="83">
        <v>47.774900000000002</v>
      </c>
      <c r="H355" s="83">
        <v>-104.24766700000001</v>
      </c>
      <c r="I355" s="9" t="s">
        <v>241</v>
      </c>
      <c r="J355" s="29"/>
      <c r="K355" s="29"/>
      <c r="L355" s="60">
        <v>351</v>
      </c>
      <c r="M355" s="9" t="s">
        <v>468</v>
      </c>
      <c r="N355" s="9" t="s">
        <v>468</v>
      </c>
      <c r="O355" s="60" t="s">
        <v>1242</v>
      </c>
    </row>
    <row r="356" spans="1:15" x14ac:dyDescent="0.25">
      <c r="A356" s="4"/>
      <c r="B356" s="9" t="s">
        <v>625</v>
      </c>
      <c r="C356" s="52" t="str">
        <f t="shared" si="6"/>
        <v>NAPESHM_USMT02_352</v>
      </c>
      <c r="D356" s="9" t="s">
        <v>629</v>
      </c>
      <c r="E356" s="29"/>
      <c r="F356" s="60" t="s">
        <v>1137</v>
      </c>
      <c r="G356" s="83">
        <v>48.258045000000003</v>
      </c>
      <c r="H356" s="83">
        <v>-104.49422300000001</v>
      </c>
      <c r="I356" s="9" t="s">
        <v>241</v>
      </c>
      <c r="J356" s="29"/>
      <c r="K356" s="29"/>
      <c r="L356" s="60">
        <v>352</v>
      </c>
      <c r="M356" s="9" t="s">
        <v>468</v>
      </c>
      <c r="N356" s="9" t="s">
        <v>468</v>
      </c>
      <c r="O356" s="60" t="s">
        <v>1243</v>
      </c>
    </row>
    <row r="357" spans="1:15" x14ac:dyDescent="0.25">
      <c r="A357" s="4"/>
      <c r="B357" s="9" t="s">
        <v>625</v>
      </c>
      <c r="C357" s="52" t="str">
        <f t="shared" si="6"/>
        <v>NAPESHM_USMT02_353</v>
      </c>
      <c r="D357" s="9" t="s">
        <v>629</v>
      </c>
      <c r="E357" s="29"/>
      <c r="F357" s="60" t="s">
        <v>1137</v>
      </c>
      <c r="G357" s="83">
        <v>48.258045000000003</v>
      </c>
      <c r="H357" s="83">
        <v>-104.49422300000001</v>
      </c>
      <c r="I357" s="9" t="s">
        <v>241</v>
      </c>
      <c r="J357" s="29"/>
      <c r="K357" s="29"/>
      <c r="L357" s="60">
        <v>353</v>
      </c>
      <c r="M357" s="9" t="s">
        <v>468</v>
      </c>
      <c r="N357" s="9" t="s">
        <v>468</v>
      </c>
      <c r="O357" s="60" t="s">
        <v>1243</v>
      </c>
    </row>
    <row r="358" spans="1:15" x14ac:dyDescent="0.25">
      <c r="A358" s="4"/>
      <c r="B358" s="9" t="s">
        <v>625</v>
      </c>
      <c r="C358" s="52" t="str">
        <f t="shared" si="6"/>
        <v>NAPESHM_USMT02_354</v>
      </c>
      <c r="D358" s="9" t="s">
        <v>629</v>
      </c>
      <c r="E358" s="29"/>
      <c r="F358" s="60" t="s">
        <v>1137</v>
      </c>
      <c r="G358" s="83">
        <v>48.258045000000003</v>
      </c>
      <c r="H358" s="83">
        <v>-104.49422300000001</v>
      </c>
      <c r="I358" s="9" t="s">
        <v>241</v>
      </c>
      <c r="J358" s="29"/>
      <c r="K358" s="29"/>
      <c r="L358" s="60">
        <v>354</v>
      </c>
      <c r="M358" s="9" t="s">
        <v>468</v>
      </c>
      <c r="N358" s="9" t="s">
        <v>468</v>
      </c>
      <c r="O358" s="60" t="s">
        <v>1243</v>
      </c>
    </row>
    <row r="359" spans="1:15" x14ac:dyDescent="0.25">
      <c r="A359" s="4"/>
      <c r="B359" s="9" t="s">
        <v>625</v>
      </c>
      <c r="C359" s="52" t="str">
        <f t="shared" si="6"/>
        <v>NAPESHM_USMT02_355</v>
      </c>
      <c r="D359" s="9" t="s">
        <v>629</v>
      </c>
      <c r="E359" s="29"/>
      <c r="F359" s="60" t="s">
        <v>1137</v>
      </c>
      <c r="G359" s="83">
        <v>48.258045000000003</v>
      </c>
      <c r="H359" s="83">
        <v>-104.49422300000001</v>
      </c>
      <c r="I359" s="9" t="s">
        <v>241</v>
      </c>
      <c r="J359" s="29"/>
      <c r="K359" s="29"/>
      <c r="L359" s="60">
        <v>355</v>
      </c>
      <c r="M359" s="9" t="s">
        <v>468</v>
      </c>
      <c r="N359" s="9" t="s">
        <v>468</v>
      </c>
      <c r="O359" s="60" t="s">
        <v>1243</v>
      </c>
    </row>
    <row r="360" spans="1:15" x14ac:dyDescent="0.25">
      <c r="A360" s="4"/>
      <c r="B360" s="9" t="s">
        <v>625</v>
      </c>
      <c r="C360" s="52" t="str">
        <f t="shared" si="6"/>
        <v>NAPESHM_USNC02_356</v>
      </c>
      <c r="D360" s="9" t="s">
        <v>629</v>
      </c>
      <c r="E360" s="29"/>
      <c r="F360" s="60" t="s">
        <v>1138</v>
      </c>
      <c r="G360" s="83">
        <v>36.383909000000003</v>
      </c>
      <c r="H360" s="83">
        <v>-79.701812000000004</v>
      </c>
      <c r="I360" s="9" t="s">
        <v>253</v>
      </c>
      <c r="J360" s="29"/>
      <c r="K360" s="29"/>
      <c r="L360" s="60">
        <v>356</v>
      </c>
      <c r="M360" s="9" t="s">
        <v>468</v>
      </c>
      <c r="N360" s="9" t="s">
        <v>468</v>
      </c>
      <c r="O360" s="60" t="s">
        <v>1244</v>
      </c>
    </row>
    <row r="361" spans="1:15" x14ac:dyDescent="0.25">
      <c r="A361" s="4"/>
      <c r="B361" s="9" t="s">
        <v>625</v>
      </c>
      <c r="C361" s="52" t="str">
        <f t="shared" si="6"/>
        <v>NAPESHM_USNC02_357</v>
      </c>
      <c r="D361" s="9" t="s">
        <v>629</v>
      </c>
      <c r="E361" s="29"/>
      <c r="F361" s="60" t="s">
        <v>1138</v>
      </c>
      <c r="G361" s="83">
        <v>36.383909000000003</v>
      </c>
      <c r="H361" s="83">
        <v>-79.701812000000004</v>
      </c>
      <c r="I361" s="9" t="s">
        <v>253</v>
      </c>
      <c r="J361" s="29"/>
      <c r="K361" s="29"/>
      <c r="L361" s="60">
        <v>357</v>
      </c>
      <c r="M361" s="9" t="s">
        <v>468</v>
      </c>
      <c r="N361" s="9" t="s">
        <v>468</v>
      </c>
      <c r="O361" s="60" t="s">
        <v>1244</v>
      </c>
    </row>
    <row r="362" spans="1:15" x14ac:dyDescent="0.25">
      <c r="A362" s="4"/>
      <c r="B362" s="9" t="s">
        <v>625</v>
      </c>
      <c r="C362" s="52" t="str">
        <f t="shared" si="6"/>
        <v>NAPESHM_USNC02_358</v>
      </c>
      <c r="D362" s="9" t="s">
        <v>629</v>
      </c>
      <c r="E362" s="29"/>
      <c r="F362" s="60" t="s">
        <v>1138</v>
      </c>
      <c r="G362" s="83">
        <v>36.383909000000003</v>
      </c>
      <c r="H362" s="83">
        <v>-79.701812000000004</v>
      </c>
      <c r="I362" s="9" t="s">
        <v>253</v>
      </c>
      <c r="J362" s="29"/>
      <c r="K362" s="29"/>
      <c r="L362" s="60">
        <v>358</v>
      </c>
      <c r="M362" s="9" t="s">
        <v>468</v>
      </c>
      <c r="N362" s="9" t="s">
        <v>468</v>
      </c>
      <c r="O362" s="60" t="s">
        <v>1244</v>
      </c>
    </row>
    <row r="363" spans="1:15" x14ac:dyDescent="0.25">
      <c r="A363" s="4"/>
      <c r="B363" s="9" t="s">
        <v>625</v>
      </c>
      <c r="C363" s="52" t="str">
        <f t="shared" si="6"/>
        <v>NAPESHM_USNC03_359</v>
      </c>
      <c r="D363" s="9" t="s">
        <v>629</v>
      </c>
      <c r="E363" s="29"/>
      <c r="F363" s="60" t="s">
        <v>1139</v>
      </c>
      <c r="G363" s="83">
        <v>35.380209999999998</v>
      </c>
      <c r="H363" s="83">
        <v>-78.037349000000006</v>
      </c>
      <c r="I363" s="9" t="s">
        <v>253</v>
      </c>
      <c r="J363" s="29"/>
      <c r="K363" s="29"/>
      <c r="L363" s="60">
        <v>359</v>
      </c>
      <c r="M363" s="9" t="s">
        <v>468</v>
      </c>
      <c r="N363" s="9" t="s">
        <v>468</v>
      </c>
      <c r="O363" s="60" t="s">
        <v>1245</v>
      </c>
    </row>
    <row r="364" spans="1:15" x14ac:dyDescent="0.25">
      <c r="A364" s="4"/>
      <c r="B364" s="9" t="s">
        <v>625</v>
      </c>
      <c r="C364" s="52" t="str">
        <f t="shared" si="6"/>
        <v>NAPESHM_USNC03_360</v>
      </c>
      <c r="D364" s="9" t="s">
        <v>629</v>
      </c>
      <c r="E364" s="29"/>
      <c r="F364" s="60" t="s">
        <v>1139</v>
      </c>
      <c r="G364" s="83">
        <v>35.380209999999998</v>
      </c>
      <c r="H364" s="83">
        <v>-78.037349000000006</v>
      </c>
      <c r="I364" s="9" t="s">
        <v>253</v>
      </c>
      <c r="J364" s="29"/>
      <c r="K364" s="29"/>
      <c r="L364" s="60">
        <v>360</v>
      </c>
      <c r="M364" s="9" t="s">
        <v>468</v>
      </c>
      <c r="N364" s="9" t="s">
        <v>468</v>
      </c>
      <c r="O364" s="60" t="s">
        <v>1245</v>
      </c>
    </row>
    <row r="365" spans="1:15" x14ac:dyDescent="0.25">
      <c r="A365" s="4"/>
      <c r="B365" s="9" t="s">
        <v>625</v>
      </c>
      <c r="C365" s="52" t="str">
        <f t="shared" si="6"/>
        <v>NAPESHM_USNC03_361</v>
      </c>
      <c r="D365" s="9" t="s">
        <v>629</v>
      </c>
      <c r="E365" s="29"/>
      <c r="F365" s="60" t="s">
        <v>1139</v>
      </c>
      <c r="G365" s="83">
        <v>35.380209999999998</v>
      </c>
      <c r="H365" s="83">
        <v>-78.037349000000006</v>
      </c>
      <c r="I365" s="9" t="s">
        <v>253</v>
      </c>
      <c r="J365" s="29"/>
      <c r="K365" s="29"/>
      <c r="L365" s="60">
        <v>361</v>
      </c>
      <c r="M365" s="9" t="s">
        <v>468</v>
      </c>
      <c r="N365" s="9" t="s">
        <v>468</v>
      </c>
      <c r="O365" s="60" t="s">
        <v>1245</v>
      </c>
    </row>
    <row r="366" spans="1:15" x14ac:dyDescent="0.25">
      <c r="A366" s="4"/>
      <c r="B366" s="9" t="s">
        <v>625</v>
      </c>
      <c r="C366" s="52" t="str">
        <f t="shared" si="6"/>
        <v>NAPESHM_USNC03_362</v>
      </c>
      <c r="D366" s="9" t="s">
        <v>629</v>
      </c>
      <c r="E366" s="29"/>
      <c r="F366" s="60" t="s">
        <v>1139</v>
      </c>
      <c r="G366" s="83">
        <v>35.380209999999998</v>
      </c>
      <c r="H366" s="83">
        <v>-78.037349000000006</v>
      </c>
      <c r="I366" s="9" t="s">
        <v>253</v>
      </c>
      <c r="J366" s="29"/>
      <c r="K366" s="29"/>
      <c r="L366" s="60">
        <v>362</v>
      </c>
      <c r="M366" s="9" t="s">
        <v>468</v>
      </c>
      <c r="N366" s="9" t="s">
        <v>468</v>
      </c>
      <c r="O366" s="60" t="s">
        <v>1245</v>
      </c>
    </row>
    <row r="367" spans="1:15" x14ac:dyDescent="0.25">
      <c r="A367" s="4"/>
      <c r="B367" s="9" t="s">
        <v>625</v>
      </c>
      <c r="C367" s="52" t="str">
        <f t="shared" si="6"/>
        <v>NAPESHM_USNC03_363</v>
      </c>
      <c r="D367" s="9" t="s">
        <v>629</v>
      </c>
      <c r="E367" s="29"/>
      <c r="F367" s="60" t="s">
        <v>1139</v>
      </c>
      <c r="G367" s="83">
        <v>35.380209999999998</v>
      </c>
      <c r="H367" s="83">
        <v>-78.037349000000006</v>
      </c>
      <c r="I367" s="9" t="s">
        <v>253</v>
      </c>
      <c r="J367" s="29"/>
      <c r="K367" s="29"/>
      <c r="L367" s="60">
        <v>363</v>
      </c>
      <c r="M367" s="9" t="s">
        <v>468</v>
      </c>
      <c r="N367" s="9" t="s">
        <v>468</v>
      </c>
      <c r="O367" s="60" t="s">
        <v>1245</v>
      </c>
    </row>
    <row r="368" spans="1:15" x14ac:dyDescent="0.25">
      <c r="A368" s="4"/>
      <c r="B368" s="9" t="s">
        <v>625</v>
      </c>
      <c r="C368" s="52" t="str">
        <f t="shared" si="6"/>
        <v>NAPESHM_USNC03_364</v>
      </c>
      <c r="D368" s="9" t="s">
        <v>629</v>
      </c>
      <c r="E368" s="29"/>
      <c r="F368" s="60" t="s">
        <v>1139</v>
      </c>
      <c r="G368" s="83">
        <v>35.380209999999998</v>
      </c>
      <c r="H368" s="83">
        <v>-78.037349000000006</v>
      </c>
      <c r="I368" s="9" t="s">
        <v>253</v>
      </c>
      <c r="J368" s="29"/>
      <c r="K368" s="29"/>
      <c r="L368" s="60">
        <v>364</v>
      </c>
      <c r="M368" s="9" t="s">
        <v>468</v>
      </c>
      <c r="N368" s="9" t="s">
        <v>468</v>
      </c>
      <c r="O368" s="60" t="s">
        <v>1245</v>
      </c>
    </row>
    <row r="369" spans="1:15" x14ac:dyDescent="0.25">
      <c r="A369" s="4"/>
      <c r="B369" s="9" t="s">
        <v>625</v>
      </c>
      <c r="C369" s="52" t="str">
        <f t="shared" si="6"/>
        <v>NAPESHM_USNC03_365</v>
      </c>
      <c r="D369" s="9" t="s">
        <v>629</v>
      </c>
      <c r="E369" s="29"/>
      <c r="F369" s="60" t="s">
        <v>1139</v>
      </c>
      <c r="G369" s="83">
        <v>35.380209999999998</v>
      </c>
      <c r="H369" s="83">
        <v>-78.037349000000006</v>
      </c>
      <c r="I369" s="9" t="s">
        <v>253</v>
      </c>
      <c r="J369" s="29"/>
      <c r="K369" s="29"/>
      <c r="L369" s="60">
        <v>365</v>
      </c>
      <c r="M369" s="9" t="s">
        <v>468</v>
      </c>
      <c r="N369" s="9" t="s">
        <v>468</v>
      </c>
      <c r="O369" s="60" t="s">
        <v>1245</v>
      </c>
    </row>
    <row r="370" spans="1:15" x14ac:dyDescent="0.25">
      <c r="A370" s="4"/>
      <c r="B370" s="9" t="s">
        <v>625</v>
      </c>
      <c r="C370" s="52" t="str">
        <f t="shared" si="6"/>
        <v>NAPESHM_USNC03_366</v>
      </c>
      <c r="D370" s="9" t="s">
        <v>629</v>
      </c>
      <c r="E370" s="29"/>
      <c r="F370" s="60" t="s">
        <v>1139</v>
      </c>
      <c r="G370" s="83">
        <v>35.380209999999998</v>
      </c>
      <c r="H370" s="83">
        <v>-78.037349000000006</v>
      </c>
      <c r="I370" s="9" t="s">
        <v>253</v>
      </c>
      <c r="J370" s="29"/>
      <c r="K370" s="29"/>
      <c r="L370" s="60">
        <v>366</v>
      </c>
      <c r="M370" s="9" t="s">
        <v>468</v>
      </c>
      <c r="N370" s="9" t="s">
        <v>468</v>
      </c>
      <c r="O370" s="60" t="s">
        <v>1245</v>
      </c>
    </row>
    <row r="371" spans="1:15" x14ac:dyDescent="0.25">
      <c r="A371" s="4"/>
      <c r="B371" s="9" t="s">
        <v>625</v>
      </c>
      <c r="C371" s="52" t="str">
        <f t="shared" si="6"/>
        <v>NAPESHM_USNC03_367</v>
      </c>
      <c r="D371" s="9" t="s">
        <v>629</v>
      </c>
      <c r="E371" s="29"/>
      <c r="F371" s="60" t="s">
        <v>1139</v>
      </c>
      <c r="G371" s="83">
        <v>35.380209999999998</v>
      </c>
      <c r="H371" s="83">
        <v>-78.037349000000006</v>
      </c>
      <c r="I371" s="9" t="s">
        <v>253</v>
      </c>
      <c r="J371" s="29"/>
      <c r="K371" s="29"/>
      <c r="L371" s="60">
        <v>367</v>
      </c>
      <c r="M371" s="9" t="s">
        <v>468</v>
      </c>
      <c r="N371" s="9" t="s">
        <v>468</v>
      </c>
      <c r="O371" s="60" t="s">
        <v>1245</v>
      </c>
    </row>
    <row r="372" spans="1:15" x14ac:dyDescent="0.25">
      <c r="A372" s="4"/>
      <c r="B372" s="9" t="s">
        <v>625</v>
      </c>
      <c r="C372" s="106" t="str">
        <f t="shared" ref="C372:C376" si="7">IF(ISBLANK(D372), "", CONCATENATE(D372,E372,"_",F372,"_",L372))</f>
        <v>NAPESHM_USNC03_368</v>
      </c>
      <c r="D372" s="9" t="s">
        <v>629</v>
      </c>
      <c r="E372" s="29"/>
      <c r="F372" s="60" t="s">
        <v>1139</v>
      </c>
      <c r="G372" s="83">
        <v>35.380209999999998</v>
      </c>
      <c r="H372" s="83">
        <v>-78.037349000000006</v>
      </c>
      <c r="I372" s="9" t="s">
        <v>253</v>
      </c>
      <c r="J372" s="29"/>
      <c r="K372" s="29"/>
      <c r="L372" s="60">
        <v>368</v>
      </c>
      <c r="M372" s="9" t="s">
        <v>468</v>
      </c>
      <c r="N372" s="9" t="s">
        <v>468</v>
      </c>
      <c r="O372" s="60" t="s">
        <v>1245</v>
      </c>
    </row>
    <row r="373" spans="1:15" x14ac:dyDescent="0.25">
      <c r="A373" s="4"/>
      <c r="B373" s="9" t="s">
        <v>625</v>
      </c>
      <c r="C373" s="106" t="str">
        <f t="shared" si="7"/>
        <v>NAPESHM_USNC03_369</v>
      </c>
      <c r="D373" s="9" t="s">
        <v>629</v>
      </c>
      <c r="E373" s="29"/>
      <c r="F373" s="60" t="s">
        <v>1139</v>
      </c>
      <c r="G373" s="83">
        <v>35.380209999999998</v>
      </c>
      <c r="H373" s="83">
        <v>-78.037349000000006</v>
      </c>
      <c r="I373" s="9" t="s">
        <v>253</v>
      </c>
      <c r="J373" s="29"/>
      <c r="K373" s="29"/>
      <c r="L373" s="60">
        <v>369</v>
      </c>
      <c r="M373" s="9" t="s">
        <v>468</v>
      </c>
      <c r="N373" s="9" t="s">
        <v>468</v>
      </c>
      <c r="O373" s="60" t="s">
        <v>1245</v>
      </c>
    </row>
    <row r="374" spans="1:15" x14ac:dyDescent="0.25">
      <c r="A374" s="4"/>
      <c r="B374" s="9" t="s">
        <v>625</v>
      </c>
      <c r="C374" s="106" t="str">
        <f t="shared" si="7"/>
        <v>NAPESHM_USNC03_370</v>
      </c>
      <c r="D374" s="9" t="s">
        <v>629</v>
      </c>
      <c r="E374" s="29"/>
      <c r="F374" s="60" t="s">
        <v>1139</v>
      </c>
      <c r="G374" s="83">
        <v>35.380209999999998</v>
      </c>
      <c r="H374" s="83">
        <v>-78.037349000000006</v>
      </c>
      <c r="I374" s="9" t="s">
        <v>253</v>
      </c>
      <c r="J374" s="29"/>
      <c r="K374" s="29"/>
      <c r="L374" s="60">
        <v>370</v>
      </c>
      <c r="M374" s="9" t="s">
        <v>468</v>
      </c>
      <c r="N374" s="9" t="s">
        <v>468</v>
      </c>
      <c r="O374" s="60" t="s">
        <v>1245</v>
      </c>
    </row>
    <row r="375" spans="1:15" x14ac:dyDescent="0.25">
      <c r="A375" s="4"/>
      <c r="B375" s="9" t="s">
        <v>625</v>
      </c>
      <c r="C375" s="106" t="str">
        <f t="shared" si="7"/>
        <v>NAPESHM_USNC03_371</v>
      </c>
      <c r="D375" s="9" t="s">
        <v>629</v>
      </c>
      <c r="E375" s="29"/>
      <c r="F375" s="60" t="s">
        <v>1139</v>
      </c>
      <c r="G375" s="83">
        <v>35.380209999999998</v>
      </c>
      <c r="H375" s="83">
        <v>-78.037349000000006</v>
      </c>
      <c r="I375" s="9" t="s">
        <v>253</v>
      </c>
      <c r="J375" s="29"/>
      <c r="K375" s="29"/>
      <c r="L375" s="60">
        <v>371</v>
      </c>
      <c r="M375" s="9" t="s">
        <v>468</v>
      </c>
      <c r="N375" s="9" t="s">
        <v>468</v>
      </c>
      <c r="O375" s="60" t="s">
        <v>1245</v>
      </c>
    </row>
    <row r="376" spans="1:15" x14ac:dyDescent="0.25">
      <c r="A376" s="4"/>
      <c r="B376" s="9" t="s">
        <v>625</v>
      </c>
      <c r="C376" s="106" t="str">
        <f t="shared" si="7"/>
        <v>NAPESHM_USNC03_372</v>
      </c>
      <c r="D376" s="9" t="s">
        <v>629</v>
      </c>
      <c r="E376" s="29"/>
      <c r="F376" s="60" t="s">
        <v>1139</v>
      </c>
      <c r="G376" s="83">
        <v>35.380209999999998</v>
      </c>
      <c r="H376" s="83">
        <v>-78.037349000000006</v>
      </c>
      <c r="I376" s="9" t="s">
        <v>253</v>
      </c>
      <c r="J376" s="29"/>
      <c r="K376" s="29"/>
      <c r="L376" s="60">
        <v>372</v>
      </c>
      <c r="M376" s="9" t="s">
        <v>468</v>
      </c>
      <c r="N376" s="9" t="s">
        <v>468</v>
      </c>
      <c r="O376" s="60" t="s">
        <v>1245</v>
      </c>
    </row>
    <row r="377" spans="1:15" x14ac:dyDescent="0.25">
      <c r="A377" s="4"/>
      <c r="B377" s="9" t="s">
        <v>625</v>
      </c>
      <c r="C377" s="52" t="str">
        <f t="shared" si="6"/>
        <v>NAPESHM_USND01_373</v>
      </c>
      <c r="D377" s="9" t="s">
        <v>629</v>
      </c>
      <c r="E377" s="29"/>
      <c r="F377" s="60" t="s">
        <v>1140</v>
      </c>
      <c r="G377" s="83">
        <v>46.771323000000002</v>
      </c>
      <c r="H377" s="83">
        <v>-100.949344</v>
      </c>
      <c r="I377" s="9" t="s">
        <v>254</v>
      </c>
      <c r="J377" s="29"/>
      <c r="K377" s="29"/>
      <c r="L377" s="60">
        <v>373</v>
      </c>
      <c r="M377" s="9" t="s">
        <v>468</v>
      </c>
      <c r="N377" s="9" t="s">
        <v>468</v>
      </c>
      <c r="O377" s="60" t="s">
        <v>1246</v>
      </c>
    </row>
    <row r="378" spans="1:15" x14ac:dyDescent="0.25">
      <c r="A378" s="4"/>
      <c r="B378" s="9" t="s">
        <v>625</v>
      </c>
      <c r="C378" s="52" t="str">
        <f t="shared" si="6"/>
        <v>NAPESHM_USND01_374</v>
      </c>
      <c r="D378" s="9" t="s">
        <v>629</v>
      </c>
      <c r="E378" s="29"/>
      <c r="F378" s="60" t="s">
        <v>1140</v>
      </c>
      <c r="G378" s="83">
        <v>46.771323000000002</v>
      </c>
      <c r="H378" s="83">
        <v>-100.949344</v>
      </c>
      <c r="I378" s="9" t="s">
        <v>254</v>
      </c>
      <c r="J378" s="29"/>
      <c r="K378" s="29"/>
      <c r="L378" s="60">
        <v>374</v>
      </c>
      <c r="M378" s="9" t="s">
        <v>468</v>
      </c>
      <c r="N378" s="9" t="s">
        <v>468</v>
      </c>
      <c r="O378" s="60" t="s">
        <v>1246</v>
      </c>
    </row>
    <row r="379" spans="1:15" x14ac:dyDescent="0.25">
      <c r="A379" s="4"/>
      <c r="B379" s="9" t="s">
        <v>625</v>
      </c>
      <c r="C379" s="52" t="str">
        <f t="shared" si="6"/>
        <v>NAPESHM_USND01_375</v>
      </c>
      <c r="D379" s="9" t="s">
        <v>629</v>
      </c>
      <c r="E379" s="29"/>
      <c r="F379" s="60" t="s">
        <v>1140</v>
      </c>
      <c r="G379" s="83">
        <v>46.771323000000002</v>
      </c>
      <c r="H379" s="83">
        <v>-100.949344</v>
      </c>
      <c r="I379" s="9" t="s">
        <v>254</v>
      </c>
      <c r="J379" s="29"/>
      <c r="K379" s="29"/>
      <c r="L379" s="60">
        <v>375</v>
      </c>
      <c r="M379" s="9" t="s">
        <v>468</v>
      </c>
      <c r="N379" s="9" t="s">
        <v>468</v>
      </c>
      <c r="O379" s="60" t="s">
        <v>1246</v>
      </c>
    </row>
    <row r="380" spans="1:15" x14ac:dyDescent="0.25">
      <c r="A380" s="4"/>
      <c r="B380" s="9" t="s">
        <v>625</v>
      </c>
      <c r="C380" s="52" t="str">
        <f t="shared" si="6"/>
        <v>NAPESHM_USND01_376</v>
      </c>
      <c r="D380" s="9" t="s">
        <v>629</v>
      </c>
      <c r="E380" s="29"/>
      <c r="F380" s="60" t="s">
        <v>1140</v>
      </c>
      <c r="G380" s="83">
        <v>46.771323000000002</v>
      </c>
      <c r="H380" s="83">
        <v>-100.949344</v>
      </c>
      <c r="I380" s="9" t="s">
        <v>254</v>
      </c>
      <c r="J380" s="29"/>
      <c r="K380" s="29"/>
      <c r="L380" s="60">
        <v>376</v>
      </c>
      <c r="M380" s="9" t="s">
        <v>468</v>
      </c>
      <c r="N380" s="9" t="s">
        <v>468</v>
      </c>
      <c r="O380" s="60" t="s">
        <v>1246</v>
      </c>
    </row>
    <row r="381" spans="1:15" x14ac:dyDescent="0.25">
      <c r="A381" s="4"/>
      <c r="B381" s="9" t="s">
        <v>625</v>
      </c>
      <c r="C381" s="52" t="str">
        <f t="shared" si="6"/>
        <v>NAPESHM_USND01_377</v>
      </c>
      <c r="D381" s="9" t="s">
        <v>629</v>
      </c>
      <c r="E381" s="29"/>
      <c r="F381" s="60" t="s">
        <v>1140</v>
      </c>
      <c r="G381" s="83">
        <v>46.771323000000002</v>
      </c>
      <c r="H381" s="83">
        <v>-100.949344</v>
      </c>
      <c r="I381" s="9" t="s">
        <v>254</v>
      </c>
      <c r="J381" s="29"/>
      <c r="K381" s="29"/>
      <c r="L381" s="60">
        <v>377</v>
      </c>
      <c r="M381" s="9" t="s">
        <v>468</v>
      </c>
      <c r="N381" s="9" t="s">
        <v>468</v>
      </c>
      <c r="O381" s="60" t="s">
        <v>1246</v>
      </c>
    </row>
    <row r="382" spans="1:15" x14ac:dyDescent="0.25">
      <c r="A382" s="4"/>
      <c r="B382" s="9" t="s">
        <v>625</v>
      </c>
      <c r="C382" s="52" t="str">
        <f t="shared" si="6"/>
        <v>NAPESHM_USND01_378</v>
      </c>
      <c r="D382" s="9" t="s">
        <v>629</v>
      </c>
      <c r="E382" s="29"/>
      <c r="F382" s="60" t="s">
        <v>1140</v>
      </c>
      <c r="G382" s="83">
        <v>46.771323000000002</v>
      </c>
      <c r="H382" s="83">
        <v>-100.949344</v>
      </c>
      <c r="I382" s="9" t="s">
        <v>254</v>
      </c>
      <c r="J382" s="29"/>
      <c r="K382" s="29"/>
      <c r="L382" s="60">
        <v>378</v>
      </c>
      <c r="M382" s="9" t="s">
        <v>468</v>
      </c>
      <c r="N382" s="9" t="s">
        <v>468</v>
      </c>
      <c r="O382" s="60" t="s">
        <v>1246</v>
      </c>
    </row>
    <row r="383" spans="1:15" x14ac:dyDescent="0.25">
      <c r="A383" s="4"/>
      <c r="B383" s="9" t="s">
        <v>625</v>
      </c>
      <c r="C383" s="52" t="str">
        <f t="shared" si="6"/>
        <v>NAPESHM_USND01_379</v>
      </c>
      <c r="D383" s="9" t="s">
        <v>629</v>
      </c>
      <c r="E383" s="29"/>
      <c r="F383" s="60" t="s">
        <v>1140</v>
      </c>
      <c r="G383" s="83">
        <v>46.771323000000002</v>
      </c>
      <c r="H383" s="83">
        <v>-100.949344</v>
      </c>
      <c r="I383" s="9" t="s">
        <v>254</v>
      </c>
      <c r="J383" s="29"/>
      <c r="K383" s="29"/>
      <c r="L383" s="60">
        <v>379</v>
      </c>
      <c r="M383" s="9" t="s">
        <v>468</v>
      </c>
      <c r="N383" s="9" t="s">
        <v>468</v>
      </c>
      <c r="O383" s="60" t="s">
        <v>1246</v>
      </c>
    </row>
    <row r="384" spans="1:15" x14ac:dyDescent="0.25">
      <c r="A384" s="4"/>
      <c r="B384" s="9" t="s">
        <v>625</v>
      </c>
      <c r="C384" s="52" t="str">
        <f t="shared" si="6"/>
        <v>NAPESHM_USND01_380</v>
      </c>
      <c r="D384" s="9" t="s">
        <v>629</v>
      </c>
      <c r="E384" s="29"/>
      <c r="F384" s="60" t="s">
        <v>1140</v>
      </c>
      <c r="G384" s="83">
        <v>46.771323000000002</v>
      </c>
      <c r="H384" s="83">
        <v>-100.949344</v>
      </c>
      <c r="I384" s="9" t="s">
        <v>254</v>
      </c>
      <c r="J384" s="29"/>
      <c r="K384" s="29"/>
      <c r="L384" s="60">
        <v>380</v>
      </c>
      <c r="M384" s="9" t="s">
        <v>468</v>
      </c>
      <c r="N384" s="9" t="s">
        <v>468</v>
      </c>
      <c r="O384" s="60" t="s">
        <v>1246</v>
      </c>
    </row>
    <row r="385" spans="1:15" x14ac:dyDescent="0.25">
      <c r="A385" s="4"/>
      <c r="B385" s="9" t="s">
        <v>625</v>
      </c>
      <c r="C385" s="52" t="str">
        <f t="shared" si="6"/>
        <v>NAPESHM_USND02_381</v>
      </c>
      <c r="D385" s="9" t="s">
        <v>629</v>
      </c>
      <c r="E385" s="29"/>
      <c r="F385" s="60" t="s">
        <v>1141</v>
      </c>
      <c r="G385" s="83">
        <v>47.520758999999998</v>
      </c>
      <c r="H385" s="83">
        <v>-99.144604999999999</v>
      </c>
      <c r="I385" s="9" t="s">
        <v>254</v>
      </c>
      <c r="J385" s="29"/>
      <c r="K385" s="29"/>
      <c r="L385" s="60">
        <v>381</v>
      </c>
      <c r="M385" s="9" t="s">
        <v>468</v>
      </c>
      <c r="N385" s="9" t="s">
        <v>468</v>
      </c>
      <c r="O385" s="60" t="s">
        <v>1247</v>
      </c>
    </row>
    <row r="386" spans="1:15" x14ac:dyDescent="0.25">
      <c r="A386" s="4"/>
      <c r="B386" s="9" t="s">
        <v>625</v>
      </c>
      <c r="C386" s="52" t="str">
        <f t="shared" si="6"/>
        <v>NAPESHM_USND02_382</v>
      </c>
      <c r="D386" s="9" t="s">
        <v>629</v>
      </c>
      <c r="E386" s="29"/>
      <c r="F386" s="60" t="s">
        <v>1141</v>
      </c>
      <c r="G386" s="83">
        <v>47.520758999999998</v>
      </c>
      <c r="H386" s="83">
        <v>-99.144604999999999</v>
      </c>
      <c r="I386" s="9" t="s">
        <v>254</v>
      </c>
      <c r="J386" s="29"/>
      <c r="K386" s="29"/>
      <c r="L386" s="60">
        <v>382</v>
      </c>
      <c r="M386" s="9" t="s">
        <v>468</v>
      </c>
      <c r="N386" s="9" t="s">
        <v>468</v>
      </c>
      <c r="O386" s="60" t="s">
        <v>1247</v>
      </c>
    </row>
    <row r="387" spans="1:15" x14ac:dyDescent="0.25">
      <c r="A387" s="4"/>
      <c r="B387" s="9" t="s">
        <v>625</v>
      </c>
      <c r="C387" s="52" t="str">
        <f t="shared" si="6"/>
        <v>NAPESHM_USND02_383</v>
      </c>
      <c r="D387" s="9" t="s">
        <v>629</v>
      </c>
      <c r="E387" s="29"/>
      <c r="F387" s="60" t="s">
        <v>1141</v>
      </c>
      <c r="G387" s="83">
        <v>47.520758999999998</v>
      </c>
      <c r="H387" s="83">
        <v>-99.144604999999999</v>
      </c>
      <c r="I387" s="9" t="s">
        <v>254</v>
      </c>
      <c r="J387" s="29"/>
      <c r="K387" s="29"/>
      <c r="L387" s="60">
        <v>383</v>
      </c>
      <c r="M387" s="9" t="s">
        <v>468</v>
      </c>
      <c r="N387" s="9" t="s">
        <v>468</v>
      </c>
      <c r="O387" s="60" t="s">
        <v>1247</v>
      </c>
    </row>
    <row r="388" spans="1:15" x14ac:dyDescent="0.25">
      <c r="A388" s="4"/>
      <c r="B388" s="9" t="s">
        <v>625</v>
      </c>
      <c r="C388" s="52" t="str">
        <f t="shared" si="6"/>
        <v>NAPESHM_USND02_384</v>
      </c>
      <c r="D388" s="9" t="s">
        <v>629</v>
      </c>
      <c r="E388" s="29"/>
      <c r="F388" s="60" t="s">
        <v>1141</v>
      </c>
      <c r="G388" s="83">
        <v>47.520758999999998</v>
      </c>
      <c r="H388" s="83">
        <v>-99.144604999999999</v>
      </c>
      <c r="I388" s="9" t="s">
        <v>254</v>
      </c>
      <c r="J388" s="29"/>
      <c r="K388" s="29"/>
      <c r="L388" s="60">
        <v>384</v>
      </c>
      <c r="M388" s="9" t="s">
        <v>468</v>
      </c>
      <c r="N388" s="9" t="s">
        <v>468</v>
      </c>
      <c r="O388" s="60" t="s">
        <v>1247</v>
      </c>
    </row>
    <row r="389" spans="1:15" x14ac:dyDescent="0.25">
      <c r="A389" s="4"/>
      <c r="B389" s="9" t="s">
        <v>625</v>
      </c>
      <c r="C389" s="52" t="str">
        <f t="shared" si="6"/>
        <v>NAPESHM_USND02_385</v>
      </c>
      <c r="D389" s="9" t="s">
        <v>629</v>
      </c>
      <c r="E389" s="29"/>
      <c r="F389" s="60" t="s">
        <v>1141</v>
      </c>
      <c r="G389" s="83">
        <v>47.520758999999998</v>
      </c>
      <c r="H389" s="83">
        <v>-99.144604999999999</v>
      </c>
      <c r="I389" s="9" t="s">
        <v>254</v>
      </c>
      <c r="J389" s="29"/>
      <c r="K389" s="29"/>
      <c r="L389" s="60">
        <v>385</v>
      </c>
      <c r="M389" s="9" t="s">
        <v>468</v>
      </c>
      <c r="N389" s="9" t="s">
        <v>468</v>
      </c>
      <c r="O389" s="60" t="s">
        <v>1247</v>
      </c>
    </row>
    <row r="390" spans="1:15" x14ac:dyDescent="0.25">
      <c r="A390" s="4"/>
      <c r="B390" s="9" t="s">
        <v>625</v>
      </c>
      <c r="C390" s="52" t="str">
        <f t="shared" si="6"/>
        <v>NAPESHM_USND02_386</v>
      </c>
      <c r="D390" s="9" t="s">
        <v>629</v>
      </c>
      <c r="E390" s="29"/>
      <c r="F390" s="60" t="s">
        <v>1141</v>
      </c>
      <c r="G390" s="83">
        <v>47.520758999999998</v>
      </c>
      <c r="H390" s="83">
        <v>-99.144604999999999</v>
      </c>
      <c r="I390" s="9" t="s">
        <v>254</v>
      </c>
      <c r="J390" s="29"/>
      <c r="K390" s="29"/>
      <c r="L390" s="60">
        <v>386</v>
      </c>
      <c r="M390" s="9" t="s">
        <v>468</v>
      </c>
      <c r="N390" s="9" t="s">
        <v>468</v>
      </c>
      <c r="O390" s="60" t="s">
        <v>1247</v>
      </c>
    </row>
    <row r="391" spans="1:15" x14ac:dyDescent="0.25">
      <c r="A391" s="4"/>
      <c r="B391" s="9" t="s">
        <v>625</v>
      </c>
      <c r="C391" s="106" t="str">
        <f t="shared" ref="C391" si="8">IF(ISBLANK(D391), "", CONCATENATE(D391,E391,"_",F391,"_",L391))</f>
        <v>NAPESHM_USNE01_387</v>
      </c>
      <c r="D391" s="9" t="s">
        <v>629</v>
      </c>
      <c r="E391" s="29"/>
      <c r="F391" s="60" t="s">
        <v>1142</v>
      </c>
      <c r="G391" s="83">
        <v>41.258243999999998</v>
      </c>
      <c r="H391" s="83">
        <v>-103.01102899999999</v>
      </c>
      <c r="I391" s="9" t="s">
        <v>244</v>
      </c>
      <c r="J391" s="29"/>
      <c r="K391" s="29"/>
      <c r="L391" s="60">
        <v>387</v>
      </c>
      <c r="M391" s="9" t="s">
        <v>468</v>
      </c>
      <c r="N391" s="9" t="s">
        <v>468</v>
      </c>
      <c r="O391" s="60" t="s">
        <v>1247</v>
      </c>
    </row>
    <row r="392" spans="1:15" x14ac:dyDescent="0.25">
      <c r="A392" s="4"/>
      <c r="B392" s="9" t="s">
        <v>625</v>
      </c>
      <c r="C392" s="52" t="str">
        <f t="shared" si="6"/>
        <v>NAPESHM_USNE01_388</v>
      </c>
      <c r="D392" s="9" t="s">
        <v>629</v>
      </c>
      <c r="E392" s="29"/>
      <c r="F392" s="60" t="s">
        <v>1142</v>
      </c>
      <c r="G392" s="83">
        <v>41.258243999999998</v>
      </c>
      <c r="H392" s="83">
        <v>-103.01102899999999</v>
      </c>
      <c r="I392" s="9" t="s">
        <v>244</v>
      </c>
      <c r="J392" s="29"/>
      <c r="K392" s="29"/>
      <c r="L392" s="60">
        <v>388</v>
      </c>
      <c r="M392" s="9" t="s">
        <v>468</v>
      </c>
      <c r="N392" s="9" t="s">
        <v>468</v>
      </c>
      <c r="O392" s="60" t="s">
        <v>1248</v>
      </c>
    </row>
    <row r="393" spans="1:15" x14ac:dyDescent="0.25">
      <c r="A393" s="4"/>
      <c r="B393" s="9" t="s">
        <v>625</v>
      </c>
      <c r="C393" s="52" t="str">
        <f t="shared" si="6"/>
        <v>NAPESHM_USNE01_389</v>
      </c>
      <c r="D393" s="9" t="s">
        <v>629</v>
      </c>
      <c r="E393" s="29"/>
      <c r="F393" s="60" t="s">
        <v>1142</v>
      </c>
      <c r="G393" s="83">
        <v>41.258243999999998</v>
      </c>
      <c r="H393" s="83">
        <v>-103.01102899999999</v>
      </c>
      <c r="I393" s="9" t="s">
        <v>244</v>
      </c>
      <c r="J393" s="29"/>
      <c r="K393" s="29"/>
      <c r="L393" s="60">
        <v>389</v>
      </c>
      <c r="M393" s="9" t="s">
        <v>468</v>
      </c>
      <c r="N393" s="9" t="s">
        <v>468</v>
      </c>
      <c r="O393" s="60" t="s">
        <v>1248</v>
      </c>
    </row>
    <row r="394" spans="1:15" x14ac:dyDescent="0.25">
      <c r="A394" s="4"/>
      <c r="B394" s="9" t="s">
        <v>625</v>
      </c>
      <c r="C394" s="52" t="str">
        <f t="shared" si="6"/>
        <v>NAPESHM_USNE01_390</v>
      </c>
      <c r="D394" s="9" t="s">
        <v>629</v>
      </c>
      <c r="E394" s="29"/>
      <c r="F394" s="60" t="s">
        <v>1142</v>
      </c>
      <c r="G394" s="83">
        <v>41.258243999999998</v>
      </c>
      <c r="H394" s="83">
        <v>-103.01102899999999</v>
      </c>
      <c r="I394" s="9" t="s">
        <v>244</v>
      </c>
      <c r="J394" s="29"/>
      <c r="K394" s="29"/>
      <c r="L394" s="60">
        <v>390</v>
      </c>
      <c r="M394" s="9" t="s">
        <v>468</v>
      </c>
      <c r="N394" s="9" t="s">
        <v>468</v>
      </c>
      <c r="O394" s="60" t="s">
        <v>1248</v>
      </c>
    </row>
    <row r="395" spans="1:15" x14ac:dyDescent="0.25">
      <c r="A395" s="4"/>
      <c r="B395" s="9" t="s">
        <v>625</v>
      </c>
      <c r="C395" s="52" t="str">
        <f t="shared" si="6"/>
        <v>NAPESHM_USNE03_391</v>
      </c>
      <c r="D395" s="9" t="s">
        <v>629</v>
      </c>
      <c r="E395" s="29"/>
      <c r="F395" s="60" t="s">
        <v>1143</v>
      </c>
      <c r="G395" s="83">
        <v>41.179940999999999</v>
      </c>
      <c r="H395" s="83">
        <v>-96.445131000000003</v>
      </c>
      <c r="I395" s="9" t="s">
        <v>244</v>
      </c>
      <c r="J395" s="29"/>
      <c r="K395" s="29"/>
      <c r="L395" s="60">
        <v>391</v>
      </c>
      <c r="M395" s="9" t="s">
        <v>468</v>
      </c>
      <c r="N395" s="9" t="s">
        <v>468</v>
      </c>
      <c r="O395" s="60" t="s">
        <v>1249</v>
      </c>
    </row>
    <row r="396" spans="1:15" x14ac:dyDescent="0.25">
      <c r="A396" s="4"/>
      <c r="B396" s="9" t="s">
        <v>625</v>
      </c>
      <c r="C396" s="52" t="str">
        <f t="shared" si="6"/>
        <v>NAPESHM_USNE04_392</v>
      </c>
      <c r="D396" s="9" t="s">
        <v>629</v>
      </c>
      <c r="E396" s="29"/>
      <c r="F396" s="60" t="s">
        <v>1144</v>
      </c>
      <c r="G396" s="83">
        <v>41.164746000000001</v>
      </c>
      <c r="H396" s="83">
        <v>-96.466626000000005</v>
      </c>
      <c r="I396" s="9" t="s">
        <v>244</v>
      </c>
      <c r="J396" s="29"/>
      <c r="K396" s="29"/>
      <c r="L396" s="60">
        <v>392</v>
      </c>
      <c r="M396" s="9" t="s">
        <v>468</v>
      </c>
      <c r="N396" s="9" t="s">
        <v>468</v>
      </c>
      <c r="O396" s="60" t="s">
        <v>1250</v>
      </c>
    </row>
    <row r="397" spans="1:15" x14ac:dyDescent="0.25">
      <c r="A397" s="4"/>
      <c r="B397" s="9" t="s">
        <v>625</v>
      </c>
      <c r="C397" s="52" t="str">
        <f t="shared" si="6"/>
        <v>NAPESHM_USNE05_393</v>
      </c>
      <c r="D397" s="9" t="s">
        <v>629</v>
      </c>
      <c r="E397" s="29"/>
      <c r="F397" s="60" t="s">
        <v>1145</v>
      </c>
      <c r="G397" s="83">
        <v>41.164935</v>
      </c>
      <c r="H397" s="83">
        <v>-96.478216000000003</v>
      </c>
      <c r="I397" s="9" t="s">
        <v>244</v>
      </c>
      <c r="J397" s="29"/>
      <c r="K397" s="29"/>
      <c r="L397" s="60">
        <v>393</v>
      </c>
      <c r="M397" s="9" t="s">
        <v>468</v>
      </c>
      <c r="N397" s="9" t="s">
        <v>468</v>
      </c>
      <c r="O397" s="60" t="s">
        <v>1251</v>
      </c>
    </row>
    <row r="398" spans="1:15" x14ac:dyDescent="0.25">
      <c r="A398" s="4"/>
      <c r="B398" s="9" t="s">
        <v>625</v>
      </c>
      <c r="C398" s="52" t="str">
        <f t="shared" si="6"/>
        <v>NAPESHM_USNE06_394</v>
      </c>
      <c r="D398" s="9" t="s">
        <v>629</v>
      </c>
      <c r="E398" s="29"/>
      <c r="F398" s="60" t="s">
        <v>1146</v>
      </c>
      <c r="G398" s="83">
        <v>41.144731999999998</v>
      </c>
      <c r="H398" s="83">
        <v>-96.461858000000007</v>
      </c>
      <c r="I398" s="9" t="s">
        <v>244</v>
      </c>
      <c r="J398" s="29"/>
      <c r="K398" s="29"/>
      <c r="L398" s="60">
        <v>394</v>
      </c>
      <c r="M398" s="9" t="s">
        <v>468</v>
      </c>
      <c r="N398" s="9" t="s">
        <v>468</v>
      </c>
      <c r="O398" s="60" t="s">
        <v>1252</v>
      </c>
    </row>
    <row r="399" spans="1:15" x14ac:dyDescent="0.25">
      <c r="A399" s="4"/>
      <c r="B399" s="9" t="s">
        <v>625</v>
      </c>
      <c r="C399" s="106" t="str">
        <f t="shared" ref="C399" si="9">IF(ISBLANK(D399), "", CONCATENATE(D399,E399,"_",F399,"_",L399))</f>
        <v>NAPESHM_USNY01_395</v>
      </c>
      <c r="D399" s="9" t="s">
        <v>629</v>
      </c>
      <c r="E399" s="29"/>
      <c r="F399" s="60" t="s">
        <v>1147</v>
      </c>
      <c r="G399" s="83">
        <v>44.885511999999999</v>
      </c>
      <c r="H399" s="83">
        <v>-73.471141000000003</v>
      </c>
      <c r="I399" s="9" t="s">
        <v>252</v>
      </c>
      <c r="J399" s="29"/>
      <c r="K399" s="29"/>
      <c r="L399" s="60">
        <v>395</v>
      </c>
      <c r="M399" s="9" t="s">
        <v>468</v>
      </c>
      <c r="N399" s="9" t="s">
        <v>468</v>
      </c>
      <c r="O399" s="60" t="s">
        <v>1253</v>
      </c>
    </row>
    <row r="400" spans="1:15" x14ac:dyDescent="0.25">
      <c r="A400" s="4"/>
      <c r="B400" s="9" t="s">
        <v>625</v>
      </c>
      <c r="C400" s="52" t="str">
        <f t="shared" si="6"/>
        <v>NAPESHM_USNY01_396</v>
      </c>
      <c r="D400" s="9" t="s">
        <v>629</v>
      </c>
      <c r="E400" s="29"/>
      <c r="F400" s="60" t="s">
        <v>1147</v>
      </c>
      <c r="G400" s="83">
        <v>44.885511999999999</v>
      </c>
      <c r="H400" s="83">
        <v>-73.471141000000003</v>
      </c>
      <c r="I400" s="9" t="s">
        <v>252</v>
      </c>
      <c r="J400" s="29"/>
      <c r="K400" s="29"/>
      <c r="L400" s="60">
        <v>396</v>
      </c>
      <c r="M400" s="9" t="s">
        <v>468</v>
      </c>
      <c r="N400" s="9" t="s">
        <v>468</v>
      </c>
      <c r="O400" s="60" t="s">
        <v>1253</v>
      </c>
    </row>
    <row r="401" spans="1:15" x14ac:dyDescent="0.25">
      <c r="A401" s="4"/>
      <c r="B401" s="9" t="s">
        <v>625</v>
      </c>
      <c r="C401" s="52" t="str">
        <f t="shared" ref="C401:C466" si="10">IF(ISBLANK(D401), "", CONCATENATE(D401,E401,"_",F401,"_",L401))</f>
        <v>NAPESHM_USNY01_397</v>
      </c>
      <c r="D401" s="9" t="s">
        <v>629</v>
      </c>
      <c r="E401" s="29"/>
      <c r="F401" s="60" t="s">
        <v>1147</v>
      </c>
      <c r="G401" s="83">
        <v>44.885511999999999</v>
      </c>
      <c r="H401" s="83">
        <v>-73.471141000000003</v>
      </c>
      <c r="I401" s="9" t="s">
        <v>252</v>
      </c>
      <c r="J401" s="29"/>
      <c r="K401" s="29"/>
      <c r="L401" s="60">
        <v>397</v>
      </c>
      <c r="M401" s="9" t="s">
        <v>468</v>
      </c>
      <c r="N401" s="9" t="s">
        <v>468</v>
      </c>
      <c r="O401" s="60" t="s">
        <v>1253</v>
      </c>
    </row>
    <row r="402" spans="1:15" x14ac:dyDescent="0.25">
      <c r="A402" s="4"/>
      <c r="B402" s="9" t="s">
        <v>625</v>
      </c>
      <c r="C402" s="52" t="str">
        <f t="shared" si="10"/>
        <v>NAPESHM_USNY01_398</v>
      </c>
      <c r="D402" s="9" t="s">
        <v>629</v>
      </c>
      <c r="E402" s="29"/>
      <c r="F402" s="60" t="s">
        <v>1147</v>
      </c>
      <c r="G402" s="83">
        <v>44.885511999999999</v>
      </c>
      <c r="H402" s="83">
        <v>-73.471141000000003</v>
      </c>
      <c r="I402" s="9" t="s">
        <v>252</v>
      </c>
      <c r="J402" s="29"/>
      <c r="K402" s="29"/>
      <c r="L402" s="60">
        <v>398</v>
      </c>
      <c r="M402" s="9" t="s">
        <v>468</v>
      </c>
      <c r="N402" s="9" t="s">
        <v>468</v>
      </c>
      <c r="O402" s="60" t="s">
        <v>1253</v>
      </c>
    </row>
    <row r="403" spans="1:15" x14ac:dyDescent="0.25">
      <c r="A403" s="4"/>
      <c r="B403" s="9" t="s">
        <v>625</v>
      </c>
      <c r="C403" s="52" t="str">
        <f t="shared" si="10"/>
        <v>NAPESHM_USNY01_399</v>
      </c>
      <c r="D403" s="9" t="s">
        <v>629</v>
      </c>
      <c r="E403" s="29"/>
      <c r="F403" s="60" t="s">
        <v>1147</v>
      </c>
      <c r="G403" s="83">
        <v>44.885511999999999</v>
      </c>
      <c r="H403" s="83">
        <v>-73.471141000000003</v>
      </c>
      <c r="I403" s="9" t="s">
        <v>252</v>
      </c>
      <c r="J403" s="29"/>
      <c r="K403" s="29"/>
      <c r="L403" s="60">
        <v>399</v>
      </c>
      <c r="M403" s="9" t="s">
        <v>468</v>
      </c>
      <c r="N403" s="9" t="s">
        <v>468</v>
      </c>
      <c r="O403" s="60" t="s">
        <v>1253</v>
      </c>
    </row>
    <row r="404" spans="1:15" x14ac:dyDescent="0.25">
      <c r="A404" s="4"/>
      <c r="B404" s="9" t="s">
        <v>625</v>
      </c>
      <c r="C404" s="106" t="str">
        <f t="shared" ref="C404" si="11">IF(ISBLANK(D404), "", CONCATENATE(D404,E404,"_",F404,"_",L404))</f>
        <v>NAPESHM_USNY02_400</v>
      </c>
      <c r="D404" s="9" t="s">
        <v>629</v>
      </c>
      <c r="E404" s="29"/>
      <c r="F404" s="60" t="s">
        <v>1148</v>
      </c>
      <c r="G404" s="83">
        <v>44.379429000000002</v>
      </c>
      <c r="H404" s="83">
        <v>-73.393589000000006</v>
      </c>
      <c r="I404" s="9" t="s">
        <v>252</v>
      </c>
      <c r="J404" s="29"/>
      <c r="K404" s="29"/>
      <c r="L404" s="60">
        <v>400</v>
      </c>
      <c r="M404" s="9" t="s">
        <v>468</v>
      </c>
      <c r="N404" s="9" t="s">
        <v>468</v>
      </c>
      <c r="O404" s="60" t="s">
        <v>1254</v>
      </c>
    </row>
    <row r="405" spans="1:15" x14ac:dyDescent="0.25">
      <c r="A405" s="4"/>
      <c r="B405" s="9" t="s">
        <v>625</v>
      </c>
      <c r="C405" s="52" t="str">
        <f t="shared" si="10"/>
        <v>NAPESHM_USNY02_401</v>
      </c>
      <c r="D405" s="9" t="s">
        <v>629</v>
      </c>
      <c r="E405" s="29"/>
      <c r="F405" s="60" t="s">
        <v>1148</v>
      </c>
      <c r="G405" s="83">
        <v>44.379429000000002</v>
      </c>
      <c r="H405" s="83">
        <v>-73.393589000000006</v>
      </c>
      <c r="I405" s="9" t="s">
        <v>252</v>
      </c>
      <c r="J405" s="29"/>
      <c r="K405" s="29"/>
      <c r="L405" s="60">
        <v>401</v>
      </c>
      <c r="M405" s="9" t="s">
        <v>468</v>
      </c>
      <c r="N405" s="9" t="s">
        <v>468</v>
      </c>
      <c r="O405" s="60" t="s">
        <v>1254</v>
      </c>
    </row>
    <row r="406" spans="1:15" x14ac:dyDescent="0.25">
      <c r="A406" s="4"/>
      <c r="B406" s="9" t="s">
        <v>625</v>
      </c>
      <c r="C406" s="52" t="str">
        <f t="shared" si="10"/>
        <v>NAPESHM_USNY02_402</v>
      </c>
      <c r="D406" s="9" t="s">
        <v>629</v>
      </c>
      <c r="E406" s="29"/>
      <c r="F406" s="60" t="s">
        <v>1148</v>
      </c>
      <c r="G406" s="83">
        <v>44.379429000000002</v>
      </c>
      <c r="H406" s="83">
        <v>-73.393589000000006</v>
      </c>
      <c r="I406" s="9" t="s">
        <v>252</v>
      </c>
      <c r="J406" s="29"/>
      <c r="K406" s="29"/>
      <c r="L406" s="60">
        <v>402</v>
      </c>
      <c r="M406" s="9" t="s">
        <v>468</v>
      </c>
      <c r="N406" s="9" t="s">
        <v>468</v>
      </c>
      <c r="O406" s="60" t="s">
        <v>1254</v>
      </c>
    </row>
    <row r="407" spans="1:15" x14ac:dyDescent="0.25">
      <c r="A407" s="4"/>
      <c r="B407" s="9" t="s">
        <v>625</v>
      </c>
      <c r="C407" s="106" t="str">
        <f t="shared" ref="C407" si="12">IF(ISBLANK(D407), "", CONCATENATE(D407,E407,"_",F407,"_",L407))</f>
        <v>NAPESHM_USNY03_403</v>
      </c>
      <c r="D407" s="9" t="s">
        <v>629</v>
      </c>
      <c r="E407" s="29"/>
      <c r="F407" s="60" t="s">
        <v>1149</v>
      </c>
      <c r="G407" s="83">
        <v>44.380459000000002</v>
      </c>
      <c r="H407" s="83">
        <v>-73.378725000000003</v>
      </c>
      <c r="I407" s="9" t="s">
        <v>252</v>
      </c>
      <c r="J407" s="29"/>
      <c r="K407" s="29"/>
      <c r="L407" s="60">
        <v>403</v>
      </c>
      <c r="M407" s="9" t="s">
        <v>468</v>
      </c>
      <c r="N407" s="9" t="s">
        <v>468</v>
      </c>
      <c r="O407" s="60" t="s">
        <v>1255</v>
      </c>
    </row>
    <row r="408" spans="1:15" x14ac:dyDescent="0.25">
      <c r="A408" s="4"/>
      <c r="B408" s="9" t="s">
        <v>625</v>
      </c>
      <c r="C408" s="52" t="str">
        <f t="shared" si="10"/>
        <v>NAPESHM_USNY03_404</v>
      </c>
      <c r="D408" s="9" t="s">
        <v>629</v>
      </c>
      <c r="E408" s="29"/>
      <c r="F408" s="60" t="s">
        <v>1149</v>
      </c>
      <c r="G408" s="83">
        <v>44.380459000000002</v>
      </c>
      <c r="H408" s="83">
        <v>-73.378725000000003</v>
      </c>
      <c r="I408" s="9" t="s">
        <v>252</v>
      </c>
      <c r="J408" s="29"/>
      <c r="K408" s="29"/>
      <c r="L408" s="60">
        <v>404</v>
      </c>
      <c r="M408" s="9" t="s">
        <v>468</v>
      </c>
      <c r="N408" s="9" t="s">
        <v>468</v>
      </c>
      <c r="O408" s="60" t="s">
        <v>1255</v>
      </c>
    </row>
    <row r="409" spans="1:15" x14ac:dyDescent="0.25">
      <c r="A409" s="4"/>
      <c r="B409" s="9" t="s">
        <v>625</v>
      </c>
      <c r="C409" s="52" t="str">
        <f t="shared" si="10"/>
        <v>NAPESHM_USNY03_405</v>
      </c>
      <c r="D409" s="9" t="s">
        <v>629</v>
      </c>
      <c r="E409" s="29"/>
      <c r="F409" s="60" t="s">
        <v>1149</v>
      </c>
      <c r="G409" s="83">
        <v>44.380459000000002</v>
      </c>
      <c r="H409" s="83">
        <v>-73.378725000000003</v>
      </c>
      <c r="I409" s="9" t="s">
        <v>252</v>
      </c>
      <c r="J409" s="29"/>
      <c r="K409" s="29"/>
      <c r="L409" s="60">
        <v>405</v>
      </c>
      <c r="M409" s="9" t="s">
        <v>468</v>
      </c>
      <c r="N409" s="9" t="s">
        <v>468</v>
      </c>
      <c r="O409" s="60" t="s">
        <v>1255</v>
      </c>
    </row>
    <row r="410" spans="1:15" x14ac:dyDescent="0.25">
      <c r="A410" s="4"/>
      <c r="B410" s="9" t="s">
        <v>625</v>
      </c>
      <c r="C410" s="106" t="str">
        <f t="shared" ref="C410" si="13">IF(ISBLANK(D410), "", CONCATENATE(D410,E410,"_",F410,"_",L410))</f>
        <v>NAPESHM_USNY04_406</v>
      </c>
      <c r="D410" s="9" t="s">
        <v>629</v>
      </c>
      <c r="E410" s="29"/>
      <c r="F410" s="60" t="s">
        <v>1150</v>
      </c>
      <c r="G410" s="83">
        <v>42.732711999999999</v>
      </c>
      <c r="H410" s="83">
        <v>-76.660166000000004</v>
      </c>
      <c r="I410" s="9" t="s">
        <v>252</v>
      </c>
      <c r="J410" s="29"/>
      <c r="K410" s="29"/>
      <c r="L410" s="60">
        <v>406</v>
      </c>
      <c r="M410" s="9" t="s">
        <v>468</v>
      </c>
      <c r="N410" s="9" t="s">
        <v>468</v>
      </c>
      <c r="O410" s="60" t="s">
        <v>1256</v>
      </c>
    </row>
    <row r="411" spans="1:15" x14ac:dyDescent="0.25">
      <c r="A411" s="4"/>
      <c r="B411" s="9" t="s">
        <v>625</v>
      </c>
      <c r="C411" s="52" t="str">
        <f t="shared" si="10"/>
        <v>NAPESHM_USNY04_407</v>
      </c>
      <c r="D411" s="9" t="s">
        <v>629</v>
      </c>
      <c r="E411" s="29"/>
      <c r="F411" s="60" t="s">
        <v>1150</v>
      </c>
      <c r="G411" s="83">
        <v>42.732711999999999</v>
      </c>
      <c r="H411" s="83">
        <v>-76.660166000000004</v>
      </c>
      <c r="I411" s="9" t="s">
        <v>252</v>
      </c>
      <c r="J411" s="29"/>
      <c r="K411" s="29"/>
      <c r="L411" s="60">
        <v>407</v>
      </c>
      <c r="M411" s="9" t="s">
        <v>468</v>
      </c>
      <c r="N411" s="9" t="s">
        <v>468</v>
      </c>
      <c r="O411" s="60" t="s">
        <v>1256</v>
      </c>
    </row>
    <row r="412" spans="1:15" x14ac:dyDescent="0.25">
      <c r="A412" s="4"/>
      <c r="B412" s="9" t="s">
        <v>625</v>
      </c>
      <c r="C412" s="52" t="str">
        <f t="shared" si="10"/>
        <v>NAPESHM_USNY04_408</v>
      </c>
      <c r="D412" s="9" t="s">
        <v>629</v>
      </c>
      <c r="E412" s="29"/>
      <c r="F412" s="60" t="s">
        <v>1150</v>
      </c>
      <c r="G412" s="83">
        <v>42.732711999999999</v>
      </c>
      <c r="H412" s="83">
        <v>-76.660166000000004</v>
      </c>
      <c r="I412" s="9" t="s">
        <v>252</v>
      </c>
      <c r="J412" s="29"/>
      <c r="K412" s="29"/>
      <c r="L412" s="60">
        <v>408</v>
      </c>
      <c r="M412" s="9" t="s">
        <v>468</v>
      </c>
      <c r="N412" s="9" t="s">
        <v>468</v>
      </c>
      <c r="O412" s="60" t="s">
        <v>1256</v>
      </c>
    </row>
    <row r="413" spans="1:15" x14ac:dyDescent="0.25">
      <c r="A413" s="4"/>
      <c r="B413" s="9" t="s">
        <v>625</v>
      </c>
      <c r="C413" s="52" t="str">
        <f t="shared" si="10"/>
        <v>NAPESHM_USNY04_409</v>
      </c>
      <c r="D413" s="9" t="s">
        <v>629</v>
      </c>
      <c r="E413" s="29"/>
      <c r="F413" s="60" t="s">
        <v>1150</v>
      </c>
      <c r="G413" s="83">
        <v>42.732711999999999</v>
      </c>
      <c r="H413" s="83">
        <v>-76.660166000000004</v>
      </c>
      <c r="I413" s="9" t="s">
        <v>252</v>
      </c>
      <c r="J413" s="29"/>
      <c r="K413" s="29"/>
      <c r="L413" s="60">
        <v>409</v>
      </c>
      <c r="M413" s="9" t="s">
        <v>468</v>
      </c>
      <c r="N413" s="9" t="s">
        <v>468</v>
      </c>
      <c r="O413" s="60" t="s">
        <v>1256</v>
      </c>
    </row>
    <row r="414" spans="1:15" x14ac:dyDescent="0.25">
      <c r="A414" s="4"/>
      <c r="B414" s="9" t="s">
        <v>625</v>
      </c>
      <c r="C414" s="52" t="str">
        <f t="shared" si="10"/>
        <v>NAPESHM_USNY04_410</v>
      </c>
      <c r="D414" s="9" t="s">
        <v>629</v>
      </c>
      <c r="E414" s="29"/>
      <c r="F414" s="60" t="s">
        <v>1150</v>
      </c>
      <c r="G414" s="83">
        <v>42.732711999999999</v>
      </c>
      <c r="H414" s="83">
        <v>-76.660166000000004</v>
      </c>
      <c r="I414" s="9" t="s">
        <v>252</v>
      </c>
      <c r="J414" s="29"/>
      <c r="K414" s="29"/>
      <c r="L414" s="60">
        <v>410</v>
      </c>
      <c r="M414" s="9" t="s">
        <v>468</v>
      </c>
      <c r="N414" s="9" t="s">
        <v>468</v>
      </c>
      <c r="O414" s="60" t="s">
        <v>1256</v>
      </c>
    </row>
    <row r="415" spans="1:15" x14ac:dyDescent="0.25">
      <c r="A415" s="4"/>
      <c r="B415" s="9" t="s">
        <v>625</v>
      </c>
      <c r="C415" s="52" t="str">
        <f t="shared" si="10"/>
        <v>NAPESHM_USOH02_411</v>
      </c>
      <c r="D415" s="9" t="s">
        <v>629</v>
      </c>
      <c r="E415" s="29"/>
      <c r="F415" s="60" t="s">
        <v>1151</v>
      </c>
      <c r="G415" s="83">
        <v>41.222074999999997</v>
      </c>
      <c r="H415" s="83">
        <v>-83.761818000000005</v>
      </c>
      <c r="I415" s="9" t="s">
        <v>255</v>
      </c>
      <c r="J415" s="29"/>
      <c r="K415" s="29"/>
      <c r="L415" s="60">
        <v>411</v>
      </c>
      <c r="M415" s="9" t="s">
        <v>468</v>
      </c>
      <c r="N415" s="9" t="s">
        <v>468</v>
      </c>
      <c r="O415" s="60" t="s">
        <v>1257</v>
      </c>
    </row>
    <row r="416" spans="1:15" x14ac:dyDescent="0.25">
      <c r="A416" s="4"/>
      <c r="B416" s="9" t="s">
        <v>625</v>
      </c>
      <c r="C416" s="52" t="str">
        <f t="shared" si="10"/>
        <v>NAPESHM_USOH02_412</v>
      </c>
      <c r="D416" s="9" t="s">
        <v>629</v>
      </c>
      <c r="E416" s="29"/>
      <c r="F416" s="60" t="s">
        <v>1151</v>
      </c>
      <c r="G416" s="83">
        <v>41.222074999999997</v>
      </c>
      <c r="H416" s="83">
        <v>-83.761818000000005</v>
      </c>
      <c r="I416" s="9" t="s">
        <v>255</v>
      </c>
      <c r="J416" s="29"/>
      <c r="K416" s="29"/>
      <c r="L416" s="60">
        <v>412</v>
      </c>
      <c r="M416" s="9" t="s">
        <v>468</v>
      </c>
      <c r="N416" s="9" t="s">
        <v>468</v>
      </c>
      <c r="O416" s="60" t="s">
        <v>1257</v>
      </c>
    </row>
    <row r="417" spans="1:15" x14ac:dyDescent="0.25">
      <c r="A417" s="4"/>
      <c r="B417" s="9" t="s">
        <v>625</v>
      </c>
      <c r="C417" s="52" t="str">
        <f t="shared" si="10"/>
        <v>NAPESHM_USOH02_413</v>
      </c>
      <c r="D417" s="9" t="s">
        <v>629</v>
      </c>
      <c r="E417" s="29"/>
      <c r="F417" s="60" t="s">
        <v>1151</v>
      </c>
      <c r="G417" s="83">
        <v>41.222074999999997</v>
      </c>
      <c r="H417" s="83">
        <v>-83.761818000000005</v>
      </c>
      <c r="I417" s="9" t="s">
        <v>255</v>
      </c>
      <c r="J417" s="29"/>
      <c r="K417" s="29"/>
      <c r="L417" s="60">
        <v>413</v>
      </c>
      <c r="M417" s="9" t="s">
        <v>468</v>
      </c>
      <c r="N417" s="9" t="s">
        <v>468</v>
      </c>
      <c r="O417" s="60" t="s">
        <v>1257</v>
      </c>
    </row>
    <row r="418" spans="1:15" x14ac:dyDescent="0.25">
      <c r="A418" s="4"/>
      <c r="B418" s="9" t="s">
        <v>625</v>
      </c>
      <c r="C418" s="52" t="str">
        <f t="shared" si="10"/>
        <v>NAPESHM_USOH02_414</v>
      </c>
      <c r="D418" s="9" t="s">
        <v>629</v>
      </c>
      <c r="E418" s="29"/>
      <c r="F418" s="60" t="s">
        <v>1151</v>
      </c>
      <c r="G418" s="83">
        <v>41.222074999999997</v>
      </c>
      <c r="H418" s="83">
        <v>-83.761818000000005</v>
      </c>
      <c r="I418" s="9" t="s">
        <v>255</v>
      </c>
      <c r="J418" s="29"/>
      <c r="K418" s="29"/>
      <c r="L418" s="60">
        <v>414</v>
      </c>
      <c r="M418" s="9" t="s">
        <v>468</v>
      </c>
      <c r="N418" s="9" t="s">
        <v>468</v>
      </c>
      <c r="O418" s="60" t="s">
        <v>1257</v>
      </c>
    </row>
    <row r="419" spans="1:15" x14ac:dyDescent="0.25">
      <c r="A419" s="4"/>
      <c r="B419" s="9" t="s">
        <v>625</v>
      </c>
      <c r="C419" s="52" t="str">
        <f t="shared" si="10"/>
        <v>NAPESHM_USOH02_415</v>
      </c>
      <c r="D419" s="9" t="s">
        <v>629</v>
      </c>
      <c r="E419" s="29"/>
      <c r="F419" s="60" t="s">
        <v>1151</v>
      </c>
      <c r="G419" s="83">
        <v>41.222074999999997</v>
      </c>
      <c r="H419" s="83">
        <v>-83.761818000000005</v>
      </c>
      <c r="I419" s="9" t="s">
        <v>255</v>
      </c>
      <c r="J419" s="29"/>
      <c r="K419" s="29"/>
      <c r="L419" s="60">
        <v>415</v>
      </c>
      <c r="M419" s="9" t="s">
        <v>468</v>
      </c>
      <c r="N419" s="9" t="s">
        <v>468</v>
      </c>
      <c r="O419" s="60" t="s">
        <v>1257</v>
      </c>
    </row>
    <row r="420" spans="1:15" x14ac:dyDescent="0.25">
      <c r="A420" s="4"/>
      <c r="B420" s="9" t="s">
        <v>625</v>
      </c>
      <c r="C420" s="52" t="str">
        <f t="shared" si="10"/>
        <v>NAPESHM_USOH02_416</v>
      </c>
      <c r="D420" s="9" t="s">
        <v>629</v>
      </c>
      <c r="E420" s="29"/>
      <c r="F420" s="60" t="s">
        <v>1151</v>
      </c>
      <c r="G420" s="83">
        <v>41.222074999999997</v>
      </c>
      <c r="H420" s="83">
        <v>-83.761818000000005</v>
      </c>
      <c r="I420" s="9" t="s">
        <v>255</v>
      </c>
      <c r="J420" s="29"/>
      <c r="K420" s="29"/>
      <c r="L420" s="60">
        <v>416</v>
      </c>
      <c r="M420" s="9" t="s">
        <v>468</v>
      </c>
      <c r="N420" s="9" t="s">
        <v>468</v>
      </c>
      <c r="O420" s="60" t="s">
        <v>1257</v>
      </c>
    </row>
    <row r="421" spans="1:15" x14ac:dyDescent="0.25">
      <c r="A421" s="4"/>
      <c r="B421" s="9" t="s">
        <v>625</v>
      </c>
      <c r="C421" s="52" t="str">
        <f t="shared" si="10"/>
        <v>NAPESHM_USOH02_417</v>
      </c>
      <c r="D421" s="9" t="s">
        <v>629</v>
      </c>
      <c r="E421" s="29"/>
      <c r="F421" s="60" t="s">
        <v>1151</v>
      </c>
      <c r="G421" s="83">
        <v>41.222074999999997</v>
      </c>
      <c r="H421" s="83">
        <v>-83.761818000000005</v>
      </c>
      <c r="I421" s="9" t="s">
        <v>255</v>
      </c>
      <c r="J421" s="29"/>
      <c r="K421" s="29"/>
      <c r="L421" s="60">
        <v>417</v>
      </c>
      <c r="M421" s="9" t="s">
        <v>468</v>
      </c>
      <c r="N421" s="9" t="s">
        <v>468</v>
      </c>
      <c r="O421" s="60" t="s">
        <v>1257</v>
      </c>
    </row>
    <row r="422" spans="1:15" x14ac:dyDescent="0.25">
      <c r="A422" s="4"/>
      <c r="B422" s="9" t="s">
        <v>625</v>
      </c>
      <c r="C422" s="52" t="str">
        <f t="shared" si="10"/>
        <v>NAPESHM_USOH02_418</v>
      </c>
      <c r="D422" s="9" t="s">
        <v>629</v>
      </c>
      <c r="E422" s="29"/>
      <c r="F422" s="60" t="s">
        <v>1151</v>
      </c>
      <c r="G422" s="83">
        <v>41.222074999999997</v>
      </c>
      <c r="H422" s="83">
        <v>-83.761818000000005</v>
      </c>
      <c r="I422" s="9" t="s">
        <v>255</v>
      </c>
      <c r="J422" s="29"/>
      <c r="K422" s="29"/>
      <c r="L422" s="60">
        <v>418</v>
      </c>
      <c r="M422" s="9" t="s">
        <v>468</v>
      </c>
      <c r="N422" s="9" t="s">
        <v>468</v>
      </c>
      <c r="O422" s="60" t="s">
        <v>1257</v>
      </c>
    </row>
    <row r="423" spans="1:15" x14ac:dyDescent="0.25">
      <c r="A423" s="4"/>
      <c r="B423" s="9" t="s">
        <v>625</v>
      </c>
      <c r="C423" s="52" t="str">
        <f t="shared" si="10"/>
        <v>NAPESHM_USOH02_419</v>
      </c>
      <c r="D423" s="9" t="s">
        <v>629</v>
      </c>
      <c r="E423" s="29"/>
      <c r="F423" s="60" t="s">
        <v>1151</v>
      </c>
      <c r="G423" s="83">
        <v>41.222074999999997</v>
      </c>
      <c r="H423" s="83">
        <v>-83.761818000000005</v>
      </c>
      <c r="I423" s="9" t="s">
        <v>255</v>
      </c>
      <c r="J423" s="29"/>
      <c r="K423" s="29"/>
      <c r="L423" s="60">
        <v>419</v>
      </c>
      <c r="M423" s="9" t="s">
        <v>468</v>
      </c>
      <c r="N423" s="9" t="s">
        <v>468</v>
      </c>
      <c r="O423" s="60" t="s">
        <v>1257</v>
      </c>
    </row>
    <row r="424" spans="1:15" x14ac:dyDescent="0.25">
      <c r="A424" s="4"/>
      <c r="B424" s="9" t="s">
        <v>625</v>
      </c>
      <c r="C424" s="52" t="str">
        <f t="shared" si="10"/>
        <v>NAPESHM_USOH03_420</v>
      </c>
      <c r="D424" s="9" t="s">
        <v>629</v>
      </c>
      <c r="E424" s="29"/>
      <c r="F424" s="60" t="s">
        <v>1152</v>
      </c>
      <c r="G424" s="83">
        <v>40.763632999999999</v>
      </c>
      <c r="H424" s="83">
        <v>-81.906394000000006</v>
      </c>
      <c r="I424" s="9" t="s">
        <v>255</v>
      </c>
      <c r="J424" s="29"/>
      <c r="K424" s="29"/>
      <c r="L424" s="60">
        <v>420</v>
      </c>
      <c r="M424" s="9" t="s">
        <v>468</v>
      </c>
      <c r="N424" s="9" t="s">
        <v>468</v>
      </c>
      <c r="O424" s="60" t="s">
        <v>1258</v>
      </c>
    </row>
    <row r="425" spans="1:15" x14ac:dyDescent="0.25">
      <c r="A425" s="4"/>
      <c r="B425" s="9" t="s">
        <v>625</v>
      </c>
      <c r="C425" s="52" t="str">
        <f t="shared" si="10"/>
        <v>NAPESHM_USOH03_421</v>
      </c>
      <c r="D425" s="9" t="s">
        <v>629</v>
      </c>
      <c r="E425" s="29"/>
      <c r="F425" s="60" t="s">
        <v>1152</v>
      </c>
      <c r="G425" s="83">
        <v>40.763632999999999</v>
      </c>
      <c r="H425" s="83">
        <v>-81.906394000000006</v>
      </c>
      <c r="I425" s="9" t="s">
        <v>255</v>
      </c>
      <c r="J425" s="29"/>
      <c r="K425" s="29"/>
      <c r="L425" s="60">
        <v>421</v>
      </c>
      <c r="M425" s="9" t="s">
        <v>468</v>
      </c>
      <c r="N425" s="9" t="s">
        <v>468</v>
      </c>
      <c r="O425" s="60" t="s">
        <v>1258</v>
      </c>
    </row>
    <row r="426" spans="1:15" x14ac:dyDescent="0.25">
      <c r="A426" s="4"/>
      <c r="B426" s="9" t="s">
        <v>625</v>
      </c>
      <c r="C426" s="52" t="str">
        <f t="shared" si="10"/>
        <v>NAPESHM_USOH03_422</v>
      </c>
      <c r="D426" s="9" t="s">
        <v>629</v>
      </c>
      <c r="E426" s="29"/>
      <c r="F426" s="60" t="s">
        <v>1152</v>
      </c>
      <c r="G426" s="83">
        <v>40.763632999999999</v>
      </c>
      <c r="H426" s="83">
        <v>-81.906394000000006</v>
      </c>
      <c r="I426" s="9" t="s">
        <v>255</v>
      </c>
      <c r="J426" s="29"/>
      <c r="K426" s="29"/>
      <c r="L426" s="60">
        <v>422</v>
      </c>
      <c r="M426" s="9" t="s">
        <v>468</v>
      </c>
      <c r="N426" s="9" t="s">
        <v>468</v>
      </c>
      <c r="O426" s="60" t="s">
        <v>1258</v>
      </c>
    </row>
    <row r="427" spans="1:15" x14ac:dyDescent="0.25">
      <c r="A427" s="4"/>
      <c r="B427" s="9" t="s">
        <v>625</v>
      </c>
      <c r="C427" s="52" t="str">
        <f t="shared" si="10"/>
        <v>NAPESHM_USOH03_423</v>
      </c>
      <c r="D427" s="9" t="s">
        <v>629</v>
      </c>
      <c r="E427" s="29"/>
      <c r="F427" s="60" t="s">
        <v>1152</v>
      </c>
      <c r="G427" s="83">
        <v>40.763632999999999</v>
      </c>
      <c r="H427" s="83">
        <v>-81.906394000000006</v>
      </c>
      <c r="I427" s="9" t="s">
        <v>255</v>
      </c>
      <c r="J427" s="29"/>
      <c r="K427" s="29"/>
      <c r="L427" s="60">
        <v>423</v>
      </c>
      <c r="M427" s="9" t="s">
        <v>468</v>
      </c>
      <c r="N427" s="9" t="s">
        <v>468</v>
      </c>
      <c r="O427" s="60" t="s">
        <v>1258</v>
      </c>
    </row>
    <row r="428" spans="1:15" x14ac:dyDescent="0.25">
      <c r="A428" s="4"/>
      <c r="B428" s="9" t="s">
        <v>625</v>
      </c>
      <c r="C428" s="52" t="str">
        <f t="shared" si="10"/>
        <v>NAPESHM_USOH03_424</v>
      </c>
      <c r="D428" s="9" t="s">
        <v>629</v>
      </c>
      <c r="E428" s="29"/>
      <c r="F428" s="60" t="s">
        <v>1152</v>
      </c>
      <c r="G428" s="83">
        <v>40.763632999999999</v>
      </c>
      <c r="H428" s="83">
        <v>-81.906394000000006</v>
      </c>
      <c r="I428" s="9" t="s">
        <v>255</v>
      </c>
      <c r="J428" s="29"/>
      <c r="K428" s="29"/>
      <c r="L428" s="60">
        <v>424</v>
      </c>
      <c r="M428" s="9" t="s">
        <v>468</v>
      </c>
      <c r="N428" s="9" t="s">
        <v>468</v>
      </c>
      <c r="O428" s="60" t="s">
        <v>1258</v>
      </c>
    </row>
    <row r="429" spans="1:15" x14ac:dyDescent="0.25">
      <c r="A429" s="4"/>
      <c r="B429" s="9" t="s">
        <v>625</v>
      </c>
      <c r="C429" s="52" t="str">
        <f t="shared" si="10"/>
        <v>NAPESHM_USOH03_425</v>
      </c>
      <c r="D429" s="9" t="s">
        <v>629</v>
      </c>
      <c r="E429" s="29"/>
      <c r="F429" s="60" t="s">
        <v>1152</v>
      </c>
      <c r="G429" s="83">
        <v>40.763632999999999</v>
      </c>
      <c r="H429" s="83">
        <v>-81.906394000000006</v>
      </c>
      <c r="I429" s="9" t="s">
        <v>255</v>
      </c>
      <c r="J429" s="29"/>
      <c r="K429" s="29"/>
      <c r="L429" s="60">
        <v>425</v>
      </c>
      <c r="M429" s="9" t="s">
        <v>468</v>
      </c>
      <c r="N429" s="9" t="s">
        <v>468</v>
      </c>
      <c r="O429" s="60" t="s">
        <v>1258</v>
      </c>
    </row>
    <row r="430" spans="1:15" x14ac:dyDescent="0.25">
      <c r="A430" s="4"/>
      <c r="B430" s="9" t="s">
        <v>625</v>
      </c>
      <c r="C430" s="52" t="str">
        <f t="shared" si="10"/>
        <v>NAPESHM_USOH03_426</v>
      </c>
      <c r="D430" s="9" t="s">
        <v>629</v>
      </c>
      <c r="E430" s="29"/>
      <c r="F430" s="60" t="s">
        <v>1152</v>
      </c>
      <c r="G430" s="83">
        <v>40.763632999999999</v>
      </c>
      <c r="H430" s="83">
        <v>-81.906394000000006</v>
      </c>
      <c r="I430" s="9" t="s">
        <v>255</v>
      </c>
      <c r="J430" s="29"/>
      <c r="K430" s="29"/>
      <c r="L430" s="60">
        <v>426</v>
      </c>
      <c r="M430" s="9" t="s">
        <v>468</v>
      </c>
      <c r="N430" s="9" t="s">
        <v>468</v>
      </c>
      <c r="O430" s="60" t="s">
        <v>1258</v>
      </c>
    </row>
    <row r="431" spans="1:15" x14ac:dyDescent="0.25">
      <c r="A431" s="4"/>
      <c r="B431" s="9" t="s">
        <v>625</v>
      </c>
      <c r="C431" s="52" t="str">
        <f t="shared" si="10"/>
        <v>NAPESHM_USOH03_427</v>
      </c>
      <c r="D431" s="9" t="s">
        <v>629</v>
      </c>
      <c r="E431" s="29"/>
      <c r="F431" s="60" t="s">
        <v>1152</v>
      </c>
      <c r="G431" s="83">
        <v>40.763632999999999</v>
      </c>
      <c r="H431" s="83">
        <v>-81.906394000000006</v>
      </c>
      <c r="I431" s="9" t="s">
        <v>255</v>
      </c>
      <c r="J431" s="29"/>
      <c r="K431" s="29"/>
      <c r="L431" s="60">
        <v>427</v>
      </c>
      <c r="M431" s="9" t="s">
        <v>468</v>
      </c>
      <c r="N431" s="9" t="s">
        <v>468</v>
      </c>
      <c r="O431" s="60" t="s">
        <v>1258</v>
      </c>
    </row>
    <row r="432" spans="1:15" x14ac:dyDescent="0.25">
      <c r="A432" s="4"/>
      <c r="B432" s="9" t="s">
        <v>625</v>
      </c>
      <c r="C432" s="52" t="str">
        <f t="shared" si="10"/>
        <v>NAPESHM_USOH03_428</v>
      </c>
      <c r="D432" s="9" t="s">
        <v>629</v>
      </c>
      <c r="E432" s="29"/>
      <c r="F432" s="60" t="s">
        <v>1152</v>
      </c>
      <c r="G432" s="83">
        <v>40.763632999999999</v>
      </c>
      <c r="H432" s="83">
        <v>-81.906394000000006</v>
      </c>
      <c r="I432" s="9" t="s">
        <v>255</v>
      </c>
      <c r="J432" s="29"/>
      <c r="K432" s="29"/>
      <c r="L432" s="60">
        <v>428</v>
      </c>
      <c r="M432" s="9" t="s">
        <v>468</v>
      </c>
      <c r="N432" s="9" t="s">
        <v>468</v>
      </c>
      <c r="O432" s="60" t="s">
        <v>1258</v>
      </c>
    </row>
    <row r="433" spans="1:15" x14ac:dyDescent="0.25">
      <c r="A433" s="4"/>
      <c r="B433" s="9" t="s">
        <v>625</v>
      </c>
      <c r="C433" s="52" t="str">
        <f t="shared" si="10"/>
        <v>NAPESHM_USOK01_429</v>
      </c>
      <c r="D433" s="9" t="s">
        <v>629</v>
      </c>
      <c r="E433" s="29"/>
      <c r="F433" s="60" t="s">
        <v>1153</v>
      </c>
      <c r="G433" s="83">
        <v>35.541181000000002</v>
      </c>
      <c r="H433" s="83">
        <v>-98.049615000000003</v>
      </c>
      <c r="I433" s="9" t="s">
        <v>256</v>
      </c>
      <c r="J433" s="29"/>
      <c r="K433" s="29"/>
      <c r="L433" s="60">
        <v>429</v>
      </c>
      <c r="M433" s="9" t="s">
        <v>468</v>
      </c>
      <c r="N433" s="9" t="s">
        <v>468</v>
      </c>
      <c r="O433" s="60" t="s">
        <v>1259</v>
      </c>
    </row>
    <row r="434" spans="1:15" x14ac:dyDescent="0.25">
      <c r="A434" s="4"/>
      <c r="B434" s="9" t="s">
        <v>625</v>
      </c>
      <c r="C434" s="52" t="str">
        <f t="shared" si="10"/>
        <v>NAPESHM_USOK01_430</v>
      </c>
      <c r="D434" s="9" t="s">
        <v>629</v>
      </c>
      <c r="E434" s="29"/>
      <c r="F434" s="60" t="s">
        <v>1153</v>
      </c>
      <c r="G434" s="83">
        <v>35.541181000000002</v>
      </c>
      <c r="H434" s="83">
        <v>-98.049615000000003</v>
      </c>
      <c r="I434" s="9" t="s">
        <v>256</v>
      </c>
      <c r="J434" s="29"/>
      <c r="K434" s="29"/>
      <c r="L434" s="60">
        <v>430</v>
      </c>
      <c r="M434" s="9" t="s">
        <v>468</v>
      </c>
      <c r="N434" s="9" t="s">
        <v>468</v>
      </c>
      <c r="O434" s="60" t="s">
        <v>1259</v>
      </c>
    </row>
    <row r="435" spans="1:15" x14ac:dyDescent="0.25">
      <c r="A435" s="4"/>
      <c r="B435" s="9" t="s">
        <v>625</v>
      </c>
      <c r="C435" s="52" t="str">
        <f t="shared" si="10"/>
        <v>NAPESHM_USOK01_431</v>
      </c>
      <c r="D435" s="9" t="s">
        <v>629</v>
      </c>
      <c r="E435" s="29"/>
      <c r="F435" s="60" t="s">
        <v>1153</v>
      </c>
      <c r="G435" s="83">
        <v>35.541181000000002</v>
      </c>
      <c r="H435" s="83">
        <v>-98.049615000000003</v>
      </c>
      <c r="I435" s="9" t="s">
        <v>256</v>
      </c>
      <c r="J435" s="29"/>
      <c r="K435" s="29"/>
      <c r="L435" s="60">
        <v>431</v>
      </c>
      <c r="M435" s="9" t="s">
        <v>468</v>
      </c>
      <c r="N435" s="9" t="s">
        <v>468</v>
      </c>
      <c r="O435" s="60" t="s">
        <v>1259</v>
      </c>
    </row>
    <row r="436" spans="1:15" x14ac:dyDescent="0.25">
      <c r="A436" s="4"/>
      <c r="B436" s="9" t="s">
        <v>625</v>
      </c>
      <c r="C436" s="52" t="str">
        <f t="shared" si="10"/>
        <v>NAPESHM_USOK01_432</v>
      </c>
      <c r="D436" s="9" t="s">
        <v>629</v>
      </c>
      <c r="E436" s="29"/>
      <c r="F436" s="60" t="s">
        <v>1153</v>
      </c>
      <c r="G436" s="83">
        <v>35.541181000000002</v>
      </c>
      <c r="H436" s="83">
        <v>-98.049615000000003</v>
      </c>
      <c r="I436" s="9" t="s">
        <v>256</v>
      </c>
      <c r="J436" s="29"/>
      <c r="K436" s="29"/>
      <c r="L436" s="60">
        <v>432</v>
      </c>
      <c r="M436" s="9" t="s">
        <v>468</v>
      </c>
      <c r="N436" s="9" t="s">
        <v>468</v>
      </c>
      <c r="O436" s="60" t="s">
        <v>1259</v>
      </c>
    </row>
    <row r="437" spans="1:15" x14ac:dyDescent="0.25">
      <c r="A437" s="4"/>
      <c r="B437" s="9" t="s">
        <v>625</v>
      </c>
      <c r="C437" s="106" t="str">
        <f t="shared" ref="C437" si="14">IF(ISBLANK(D437), "", CONCATENATE(D437,E437,"_",F437,"_",L437))</f>
        <v>NAPESHM_USOK01_433</v>
      </c>
      <c r="D437" s="9" t="s">
        <v>629</v>
      </c>
      <c r="E437" s="29"/>
      <c r="F437" s="60" t="s">
        <v>1153</v>
      </c>
      <c r="G437" s="83">
        <v>35.541181000000002</v>
      </c>
      <c r="H437" s="83">
        <v>-98.049615000000003</v>
      </c>
      <c r="I437" s="9" t="s">
        <v>256</v>
      </c>
      <c r="J437" s="29"/>
      <c r="K437" s="29"/>
      <c r="L437" s="60">
        <v>433</v>
      </c>
      <c r="M437" s="9" t="s">
        <v>468</v>
      </c>
      <c r="N437" s="9" t="s">
        <v>468</v>
      </c>
      <c r="O437" s="60" t="s">
        <v>1259</v>
      </c>
    </row>
    <row r="438" spans="1:15" x14ac:dyDescent="0.25">
      <c r="A438" s="4"/>
      <c r="B438" s="9" t="s">
        <v>625</v>
      </c>
      <c r="C438" s="52" t="str">
        <f t="shared" si="10"/>
        <v>NAPESHM_USOR01_434</v>
      </c>
      <c r="D438" s="9" t="s">
        <v>629</v>
      </c>
      <c r="E438" s="29"/>
      <c r="F438" s="60" t="s">
        <v>1154</v>
      </c>
      <c r="G438" s="83">
        <v>45.483759999999997</v>
      </c>
      <c r="H438" s="83">
        <v>-120.718751</v>
      </c>
      <c r="I438" s="9" t="s">
        <v>21</v>
      </c>
      <c r="J438" s="29"/>
      <c r="K438" s="29"/>
      <c r="L438" s="60">
        <v>434</v>
      </c>
      <c r="M438" s="9" t="s">
        <v>468</v>
      </c>
      <c r="N438" s="9" t="s">
        <v>468</v>
      </c>
      <c r="O438" s="60" t="s">
        <v>1260</v>
      </c>
    </row>
    <row r="439" spans="1:15" x14ac:dyDescent="0.25">
      <c r="A439" s="4"/>
      <c r="B439" s="9" t="s">
        <v>625</v>
      </c>
      <c r="C439" s="52" t="str">
        <f t="shared" si="10"/>
        <v>NAPESHM_USOR01_435</v>
      </c>
      <c r="D439" s="9" t="s">
        <v>629</v>
      </c>
      <c r="E439" s="29"/>
      <c r="F439" s="60" t="s">
        <v>1154</v>
      </c>
      <c r="G439" s="83">
        <v>45.483759999999997</v>
      </c>
      <c r="H439" s="83">
        <v>-120.718751</v>
      </c>
      <c r="I439" s="9" t="s">
        <v>21</v>
      </c>
      <c r="J439" s="29"/>
      <c r="K439" s="29"/>
      <c r="L439" s="60">
        <v>435</v>
      </c>
      <c r="M439" s="9" t="s">
        <v>468</v>
      </c>
      <c r="N439" s="9" t="s">
        <v>468</v>
      </c>
      <c r="O439" s="60" t="s">
        <v>1260</v>
      </c>
    </row>
    <row r="440" spans="1:15" x14ac:dyDescent="0.25">
      <c r="A440" s="4"/>
      <c r="B440" s="9" t="s">
        <v>625</v>
      </c>
      <c r="C440" s="52" t="str">
        <f t="shared" si="10"/>
        <v>NAPESHM_USOR01_436</v>
      </c>
      <c r="D440" s="9" t="s">
        <v>629</v>
      </c>
      <c r="E440" s="29"/>
      <c r="F440" s="60" t="s">
        <v>1154</v>
      </c>
      <c r="G440" s="83">
        <v>45.483759999999997</v>
      </c>
      <c r="H440" s="83">
        <v>-120.718751</v>
      </c>
      <c r="I440" s="9" t="s">
        <v>21</v>
      </c>
      <c r="J440" s="29"/>
      <c r="K440" s="29"/>
      <c r="L440" s="60">
        <v>436</v>
      </c>
      <c r="M440" s="9" t="s">
        <v>468</v>
      </c>
      <c r="N440" s="9" t="s">
        <v>468</v>
      </c>
      <c r="O440" s="60" t="s">
        <v>1260</v>
      </c>
    </row>
    <row r="441" spans="1:15" x14ac:dyDescent="0.25">
      <c r="A441" s="4"/>
      <c r="B441" s="9" t="s">
        <v>625</v>
      </c>
      <c r="C441" s="52" t="str">
        <f t="shared" si="10"/>
        <v>NAPESHM_USOR02_437</v>
      </c>
      <c r="D441" s="9" t="s">
        <v>629</v>
      </c>
      <c r="E441" s="29"/>
      <c r="F441" s="60" t="s">
        <v>1155</v>
      </c>
      <c r="G441" s="83">
        <v>45.720534000000001</v>
      </c>
      <c r="H441" s="83">
        <v>-118.627504</v>
      </c>
      <c r="I441" s="9" t="s">
        <v>21</v>
      </c>
      <c r="J441" s="29"/>
      <c r="K441" s="29"/>
      <c r="L441" s="60">
        <v>437</v>
      </c>
      <c r="M441" s="9" t="s">
        <v>468</v>
      </c>
      <c r="N441" s="9" t="s">
        <v>468</v>
      </c>
      <c r="O441" s="60" t="s">
        <v>1261</v>
      </c>
    </row>
    <row r="442" spans="1:15" x14ac:dyDescent="0.25">
      <c r="A442" s="4"/>
      <c r="B442" s="9" t="s">
        <v>625</v>
      </c>
      <c r="C442" s="52" t="str">
        <f t="shared" si="10"/>
        <v>NAPESHM_USOR03_438</v>
      </c>
      <c r="D442" s="9" t="s">
        <v>629</v>
      </c>
      <c r="E442" s="29"/>
      <c r="F442" s="60" t="s">
        <v>1156</v>
      </c>
      <c r="G442" s="83">
        <v>45.721235999999998</v>
      </c>
      <c r="H442" s="83">
        <v>-118.624501</v>
      </c>
      <c r="I442" s="9" t="s">
        <v>21</v>
      </c>
      <c r="J442" s="29"/>
      <c r="K442" s="29"/>
      <c r="L442" s="60">
        <v>438</v>
      </c>
      <c r="M442" s="9" t="s">
        <v>468</v>
      </c>
      <c r="N442" s="9" t="s">
        <v>468</v>
      </c>
      <c r="O442" s="60" t="s">
        <v>1262</v>
      </c>
    </row>
    <row r="443" spans="1:15" x14ac:dyDescent="0.25">
      <c r="A443" s="4"/>
      <c r="B443" s="9" t="s">
        <v>625</v>
      </c>
      <c r="C443" s="52" t="str">
        <f t="shared" si="10"/>
        <v>NAPESHM_USOR03_439</v>
      </c>
      <c r="D443" s="9" t="s">
        <v>629</v>
      </c>
      <c r="E443" s="29"/>
      <c r="F443" s="60" t="s">
        <v>1156</v>
      </c>
      <c r="G443" s="83">
        <v>45.721235999999998</v>
      </c>
      <c r="H443" s="83">
        <v>-118.624501</v>
      </c>
      <c r="I443" s="9" t="s">
        <v>21</v>
      </c>
      <c r="J443" s="29"/>
      <c r="K443" s="29"/>
      <c r="L443" s="60">
        <v>439</v>
      </c>
      <c r="M443" s="9" t="s">
        <v>468</v>
      </c>
      <c r="N443" s="9" t="s">
        <v>468</v>
      </c>
      <c r="O443" s="60" t="s">
        <v>1262</v>
      </c>
    </row>
    <row r="444" spans="1:15" x14ac:dyDescent="0.25">
      <c r="A444" s="4"/>
      <c r="B444" s="9" t="s">
        <v>625</v>
      </c>
      <c r="C444" s="52" t="str">
        <f t="shared" si="10"/>
        <v>NAPESHM_USOR03_440</v>
      </c>
      <c r="D444" s="9" t="s">
        <v>629</v>
      </c>
      <c r="E444" s="29"/>
      <c r="F444" s="60" t="s">
        <v>1156</v>
      </c>
      <c r="G444" s="83">
        <v>45.721235999999998</v>
      </c>
      <c r="H444" s="83">
        <v>-118.624501</v>
      </c>
      <c r="I444" s="9" t="s">
        <v>21</v>
      </c>
      <c r="J444" s="29"/>
      <c r="K444" s="29"/>
      <c r="L444" s="60">
        <v>440</v>
      </c>
      <c r="M444" s="9" t="s">
        <v>468</v>
      </c>
      <c r="N444" s="9" t="s">
        <v>468</v>
      </c>
      <c r="O444" s="60" t="s">
        <v>1262</v>
      </c>
    </row>
    <row r="445" spans="1:15" x14ac:dyDescent="0.25">
      <c r="A445" s="4"/>
      <c r="B445" s="9" t="s">
        <v>625</v>
      </c>
      <c r="C445" s="52" t="str">
        <f t="shared" si="10"/>
        <v>NAPESHM_USOR04_441</v>
      </c>
      <c r="D445" s="9" t="s">
        <v>629</v>
      </c>
      <c r="E445" s="29"/>
      <c r="F445" s="60" t="s">
        <v>1157</v>
      </c>
      <c r="G445" s="83">
        <v>45.723294000000003</v>
      </c>
      <c r="H445" s="83">
        <v>-118.621987</v>
      </c>
      <c r="I445" s="9" t="s">
        <v>21</v>
      </c>
      <c r="J445" s="29"/>
      <c r="K445" s="29"/>
      <c r="L445" s="60">
        <v>441</v>
      </c>
      <c r="M445" s="9" t="s">
        <v>468</v>
      </c>
      <c r="N445" s="9" t="s">
        <v>468</v>
      </c>
      <c r="O445" s="60" t="s">
        <v>1263</v>
      </c>
    </row>
    <row r="446" spans="1:15" x14ac:dyDescent="0.25">
      <c r="A446" s="4"/>
      <c r="B446" s="9" t="s">
        <v>625</v>
      </c>
      <c r="C446" s="52" t="str">
        <f t="shared" si="10"/>
        <v>NAPESHM_USOR04_442</v>
      </c>
      <c r="D446" s="9" t="s">
        <v>629</v>
      </c>
      <c r="E446" s="29"/>
      <c r="F446" s="60" t="s">
        <v>1157</v>
      </c>
      <c r="G446" s="83">
        <v>45.723294000000003</v>
      </c>
      <c r="H446" s="83">
        <v>-118.621987</v>
      </c>
      <c r="I446" s="9" t="s">
        <v>21</v>
      </c>
      <c r="J446" s="29"/>
      <c r="K446" s="29"/>
      <c r="L446" s="60">
        <v>442</v>
      </c>
      <c r="M446" s="9" t="s">
        <v>468</v>
      </c>
      <c r="N446" s="9" t="s">
        <v>468</v>
      </c>
      <c r="O446" s="60" t="s">
        <v>1263</v>
      </c>
    </row>
    <row r="447" spans="1:15" x14ac:dyDescent="0.25">
      <c r="A447" s="4"/>
      <c r="B447" s="9" t="s">
        <v>625</v>
      </c>
      <c r="C447" s="52" t="str">
        <f t="shared" si="10"/>
        <v>NAPESHM_USOR04_443</v>
      </c>
      <c r="D447" s="9" t="s">
        <v>629</v>
      </c>
      <c r="E447" s="29"/>
      <c r="F447" s="60" t="s">
        <v>1157</v>
      </c>
      <c r="G447" s="83">
        <v>45.723294000000003</v>
      </c>
      <c r="H447" s="83">
        <v>-118.621987</v>
      </c>
      <c r="I447" s="9" t="s">
        <v>21</v>
      </c>
      <c r="J447" s="29"/>
      <c r="K447" s="29"/>
      <c r="L447" s="60">
        <v>443</v>
      </c>
      <c r="M447" s="9" t="s">
        <v>468</v>
      </c>
      <c r="N447" s="9" t="s">
        <v>468</v>
      </c>
      <c r="O447" s="60" t="s">
        <v>1263</v>
      </c>
    </row>
    <row r="448" spans="1:15" x14ac:dyDescent="0.25">
      <c r="A448" s="4"/>
      <c r="B448" s="9" t="s">
        <v>625</v>
      </c>
      <c r="C448" s="52" t="str">
        <f t="shared" si="10"/>
        <v>NAPESHM_USOR04_444</v>
      </c>
      <c r="D448" s="9" t="s">
        <v>629</v>
      </c>
      <c r="E448" s="29"/>
      <c r="F448" s="60" t="s">
        <v>1157</v>
      </c>
      <c r="G448" s="83">
        <v>45.723294000000003</v>
      </c>
      <c r="H448" s="83">
        <v>-118.621987</v>
      </c>
      <c r="I448" s="9" t="s">
        <v>21</v>
      </c>
      <c r="J448" s="29"/>
      <c r="K448" s="29"/>
      <c r="L448" s="60">
        <v>444</v>
      </c>
      <c r="M448" s="9" t="s">
        <v>468</v>
      </c>
      <c r="N448" s="9" t="s">
        <v>468</v>
      </c>
      <c r="O448" s="60" t="s">
        <v>1263</v>
      </c>
    </row>
    <row r="449" spans="1:15" x14ac:dyDescent="0.25">
      <c r="A449" s="4"/>
      <c r="B449" s="9" t="s">
        <v>625</v>
      </c>
      <c r="C449" s="52" t="str">
        <f t="shared" si="10"/>
        <v>NAPESHM_USPA01_445</v>
      </c>
      <c r="D449" s="9" t="s">
        <v>629</v>
      </c>
      <c r="E449" s="29"/>
      <c r="F449" s="60" t="s">
        <v>1158</v>
      </c>
      <c r="G449" s="83">
        <v>40.551527</v>
      </c>
      <c r="H449" s="83">
        <v>-75.728955999999997</v>
      </c>
      <c r="I449" s="9" t="s">
        <v>257</v>
      </c>
      <c r="J449" s="29"/>
      <c r="K449" s="29"/>
      <c r="L449" s="60">
        <v>445</v>
      </c>
      <c r="M449" s="9" t="s">
        <v>468</v>
      </c>
      <c r="N449" s="9" t="s">
        <v>468</v>
      </c>
      <c r="O449" s="60" t="s">
        <v>1264</v>
      </c>
    </row>
    <row r="450" spans="1:15" x14ac:dyDescent="0.25">
      <c r="A450" s="4"/>
      <c r="B450" s="9" t="s">
        <v>625</v>
      </c>
      <c r="C450" s="52" t="str">
        <f t="shared" si="10"/>
        <v>NAPESHM_USPA01_446</v>
      </c>
      <c r="D450" s="9" t="s">
        <v>629</v>
      </c>
      <c r="E450" s="29"/>
      <c r="F450" s="60" t="s">
        <v>1158</v>
      </c>
      <c r="G450" s="83">
        <v>40.551527</v>
      </c>
      <c r="H450" s="83">
        <v>-75.728955999999997</v>
      </c>
      <c r="I450" s="9" t="s">
        <v>257</v>
      </c>
      <c r="J450" s="29"/>
      <c r="K450" s="29"/>
      <c r="L450" s="60">
        <v>446</v>
      </c>
      <c r="M450" s="9" t="s">
        <v>468</v>
      </c>
      <c r="N450" s="9" t="s">
        <v>468</v>
      </c>
      <c r="O450" s="60" t="s">
        <v>1264</v>
      </c>
    </row>
    <row r="451" spans="1:15" x14ac:dyDescent="0.25">
      <c r="A451" s="4"/>
      <c r="B451" s="9" t="s">
        <v>625</v>
      </c>
      <c r="C451" s="52" t="str">
        <f t="shared" si="10"/>
        <v>NAPESHM_USPA01_447</v>
      </c>
      <c r="D451" s="9" t="s">
        <v>629</v>
      </c>
      <c r="E451" s="29"/>
      <c r="F451" s="60" t="s">
        <v>1158</v>
      </c>
      <c r="G451" s="83">
        <v>40.551527</v>
      </c>
      <c r="H451" s="83">
        <v>-75.728955999999997</v>
      </c>
      <c r="I451" s="9" t="s">
        <v>257</v>
      </c>
      <c r="J451" s="29"/>
      <c r="K451" s="29"/>
      <c r="L451" s="60">
        <v>447</v>
      </c>
      <c r="M451" s="9" t="s">
        <v>468</v>
      </c>
      <c r="N451" s="9" t="s">
        <v>468</v>
      </c>
      <c r="O451" s="60" t="s">
        <v>1264</v>
      </c>
    </row>
    <row r="452" spans="1:15" x14ac:dyDescent="0.25">
      <c r="A452" s="4"/>
      <c r="B452" s="9" t="s">
        <v>625</v>
      </c>
      <c r="C452" s="52" t="str">
        <f t="shared" si="10"/>
        <v>NAPESHM_USPA01_448</v>
      </c>
      <c r="D452" s="9" t="s">
        <v>629</v>
      </c>
      <c r="E452" s="29"/>
      <c r="F452" s="60" t="s">
        <v>1158</v>
      </c>
      <c r="G452" s="83">
        <v>40.551527</v>
      </c>
      <c r="H452" s="83">
        <v>-75.728955999999997</v>
      </c>
      <c r="I452" s="9" t="s">
        <v>257</v>
      </c>
      <c r="J452" s="29"/>
      <c r="K452" s="29"/>
      <c r="L452" s="60">
        <v>448</v>
      </c>
      <c r="M452" s="9" t="s">
        <v>468</v>
      </c>
      <c r="N452" s="9" t="s">
        <v>468</v>
      </c>
      <c r="O452" s="60" t="s">
        <v>1264</v>
      </c>
    </row>
    <row r="453" spans="1:15" x14ac:dyDescent="0.25">
      <c r="A453" s="4"/>
      <c r="B453" s="9" t="s">
        <v>625</v>
      </c>
      <c r="C453" s="52" t="str">
        <f t="shared" si="10"/>
        <v>NAPESHM_USPA01_449</v>
      </c>
      <c r="D453" s="9" t="s">
        <v>629</v>
      </c>
      <c r="E453" s="29"/>
      <c r="F453" s="60" t="s">
        <v>1158</v>
      </c>
      <c r="G453" s="83">
        <v>40.551527</v>
      </c>
      <c r="H453" s="83">
        <v>-75.728955999999997</v>
      </c>
      <c r="I453" s="9" t="s">
        <v>257</v>
      </c>
      <c r="J453" s="29"/>
      <c r="K453" s="29"/>
      <c r="L453" s="60">
        <v>449</v>
      </c>
      <c r="M453" s="9" t="s">
        <v>468</v>
      </c>
      <c r="N453" s="9" t="s">
        <v>468</v>
      </c>
      <c r="O453" s="60" t="s">
        <v>1264</v>
      </c>
    </row>
    <row r="454" spans="1:15" x14ac:dyDescent="0.25">
      <c r="A454" s="4"/>
      <c r="B454" s="9" t="s">
        <v>625</v>
      </c>
      <c r="C454" s="52" t="str">
        <f t="shared" si="10"/>
        <v>NAPESHM_USPA01_450</v>
      </c>
      <c r="D454" s="9" t="s">
        <v>629</v>
      </c>
      <c r="E454" s="29"/>
      <c r="F454" s="60" t="s">
        <v>1158</v>
      </c>
      <c r="G454" s="83">
        <v>40.551527</v>
      </c>
      <c r="H454" s="83">
        <v>-75.728955999999997</v>
      </c>
      <c r="I454" s="9" t="s">
        <v>257</v>
      </c>
      <c r="J454" s="29"/>
      <c r="K454" s="29"/>
      <c r="L454" s="60">
        <v>450</v>
      </c>
      <c r="M454" s="9" t="s">
        <v>468</v>
      </c>
      <c r="N454" s="9" t="s">
        <v>468</v>
      </c>
      <c r="O454" s="60" t="s">
        <v>1264</v>
      </c>
    </row>
    <row r="455" spans="1:15" x14ac:dyDescent="0.25">
      <c r="A455" s="4"/>
      <c r="B455" s="9" t="s">
        <v>625</v>
      </c>
      <c r="C455" s="52" t="str">
        <f t="shared" si="10"/>
        <v>NAPESHM_USPA01_451</v>
      </c>
      <c r="D455" s="9" t="s">
        <v>629</v>
      </c>
      <c r="E455" s="29"/>
      <c r="F455" s="60" t="s">
        <v>1158</v>
      </c>
      <c r="G455" s="83">
        <v>40.551527</v>
      </c>
      <c r="H455" s="83">
        <v>-75.728955999999997</v>
      </c>
      <c r="I455" s="9" t="s">
        <v>257</v>
      </c>
      <c r="J455" s="29"/>
      <c r="K455" s="29"/>
      <c r="L455" s="60">
        <v>451</v>
      </c>
      <c r="M455" s="9" t="s">
        <v>468</v>
      </c>
      <c r="N455" s="9" t="s">
        <v>468</v>
      </c>
      <c r="O455" s="60" t="s">
        <v>1264</v>
      </c>
    </row>
    <row r="456" spans="1:15" x14ac:dyDescent="0.25">
      <c r="A456" s="4"/>
      <c r="B456" s="9" t="s">
        <v>625</v>
      </c>
      <c r="C456" s="52" t="str">
        <f t="shared" si="10"/>
        <v>NAPESHM_USPA01_452</v>
      </c>
      <c r="D456" s="9" t="s">
        <v>629</v>
      </c>
      <c r="E456" s="29"/>
      <c r="F456" s="60" t="s">
        <v>1158</v>
      </c>
      <c r="G456" s="83">
        <v>40.551527</v>
      </c>
      <c r="H456" s="83">
        <v>-75.728955999999997</v>
      </c>
      <c r="I456" s="9" t="s">
        <v>257</v>
      </c>
      <c r="J456" s="29"/>
      <c r="K456" s="29"/>
      <c r="L456" s="60">
        <v>452</v>
      </c>
      <c r="M456" s="9" t="s">
        <v>468</v>
      </c>
      <c r="N456" s="9" t="s">
        <v>468</v>
      </c>
      <c r="O456" s="60" t="s">
        <v>1264</v>
      </c>
    </row>
    <row r="457" spans="1:15" x14ac:dyDescent="0.25">
      <c r="A457" s="4"/>
      <c r="B457" s="9" t="s">
        <v>625</v>
      </c>
      <c r="C457" s="52" t="str">
        <f t="shared" si="10"/>
        <v>NAPESHM_USPA03_453</v>
      </c>
      <c r="D457" s="9" t="s">
        <v>629</v>
      </c>
      <c r="E457" s="29"/>
      <c r="F457" s="60" t="s">
        <v>1159</v>
      </c>
      <c r="G457" s="83">
        <v>40.721566000000003</v>
      </c>
      <c r="H457" s="83">
        <v>-77.921476999999996</v>
      </c>
      <c r="I457" s="9" t="s">
        <v>257</v>
      </c>
      <c r="J457" s="29"/>
      <c r="K457" s="29"/>
      <c r="L457" s="60">
        <v>453</v>
      </c>
      <c r="M457" s="9" t="s">
        <v>468</v>
      </c>
      <c r="N457" s="9" t="s">
        <v>468</v>
      </c>
      <c r="O457" s="60" t="s">
        <v>1265</v>
      </c>
    </row>
    <row r="458" spans="1:15" x14ac:dyDescent="0.25">
      <c r="A458" s="4"/>
      <c r="B458" s="9" t="s">
        <v>625</v>
      </c>
      <c r="C458" s="52" t="str">
        <f t="shared" si="10"/>
        <v>NAPESHM_USPA03_454</v>
      </c>
      <c r="D458" s="9" t="s">
        <v>629</v>
      </c>
      <c r="E458" s="29"/>
      <c r="F458" s="60" t="s">
        <v>1159</v>
      </c>
      <c r="G458" s="83">
        <v>40.721566000000003</v>
      </c>
      <c r="H458" s="83">
        <v>-77.921476999999996</v>
      </c>
      <c r="I458" s="9" t="s">
        <v>257</v>
      </c>
      <c r="J458" s="29"/>
      <c r="K458" s="29"/>
      <c r="L458" s="60">
        <v>454</v>
      </c>
      <c r="M458" s="9" t="s">
        <v>468</v>
      </c>
      <c r="N458" s="9" t="s">
        <v>468</v>
      </c>
      <c r="O458" s="60" t="s">
        <v>1265</v>
      </c>
    </row>
    <row r="459" spans="1:15" x14ac:dyDescent="0.25">
      <c r="A459" s="4"/>
      <c r="B459" s="9" t="s">
        <v>625</v>
      </c>
      <c r="C459" s="52" t="str">
        <f t="shared" si="10"/>
        <v>NAPESHM_USPA03_455</v>
      </c>
      <c r="D459" s="9" t="s">
        <v>629</v>
      </c>
      <c r="E459" s="29"/>
      <c r="F459" s="60" t="s">
        <v>1159</v>
      </c>
      <c r="G459" s="83">
        <v>40.721566000000003</v>
      </c>
      <c r="H459" s="83">
        <v>-77.921476999999996</v>
      </c>
      <c r="I459" s="9" t="s">
        <v>257</v>
      </c>
      <c r="J459" s="29"/>
      <c r="K459" s="29"/>
      <c r="L459" s="60">
        <v>455</v>
      </c>
      <c r="M459" s="9" t="s">
        <v>468</v>
      </c>
      <c r="N459" s="9" t="s">
        <v>468</v>
      </c>
      <c r="O459" s="60" t="s">
        <v>1265</v>
      </c>
    </row>
    <row r="460" spans="1:15" x14ac:dyDescent="0.25">
      <c r="A460" s="4"/>
      <c r="B460" s="9" t="s">
        <v>625</v>
      </c>
      <c r="C460" s="52" t="str">
        <f t="shared" si="10"/>
        <v>NAPESHM_USPA03_456</v>
      </c>
      <c r="D460" s="9" t="s">
        <v>629</v>
      </c>
      <c r="E460" s="29"/>
      <c r="F460" s="60" t="s">
        <v>1159</v>
      </c>
      <c r="G460" s="83">
        <v>40.721566000000003</v>
      </c>
      <c r="H460" s="83">
        <v>-77.921476999999996</v>
      </c>
      <c r="I460" s="9" t="s">
        <v>257</v>
      </c>
      <c r="J460" s="29"/>
      <c r="K460" s="29"/>
      <c r="L460" s="60">
        <v>456</v>
      </c>
      <c r="M460" s="9" t="s">
        <v>468</v>
      </c>
      <c r="N460" s="9" t="s">
        <v>468</v>
      </c>
      <c r="O460" s="60" t="s">
        <v>1265</v>
      </c>
    </row>
    <row r="461" spans="1:15" x14ac:dyDescent="0.25">
      <c r="A461" s="4"/>
      <c r="B461" s="9" t="s">
        <v>625</v>
      </c>
      <c r="C461" s="52" t="str">
        <f t="shared" si="10"/>
        <v>NAPESHM_USPA03_457</v>
      </c>
      <c r="D461" s="9" t="s">
        <v>629</v>
      </c>
      <c r="E461" s="29"/>
      <c r="F461" s="60" t="s">
        <v>1159</v>
      </c>
      <c r="G461" s="83">
        <v>40.721566000000003</v>
      </c>
      <c r="H461" s="83">
        <v>-77.921476999999996</v>
      </c>
      <c r="I461" s="9" t="s">
        <v>257</v>
      </c>
      <c r="J461" s="29"/>
      <c r="K461" s="29"/>
      <c r="L461" s="60">
        <v>457</v>
      </c>
      <c r="M461" s="9" t="s">
        <v>468</v>
      </c>
      <c r="N461" s="9" t="s">
        <v>468</v>
      </c>
      <c r="O461" s="60" t="s">
        <v>1265</v>
      </c>
    </row>
    <row r="462" spans="1:15" x14ac:dyDescent="0.25">
      <c r="A462" s="4"/>
      <c r="B462" s="9" t="s">
        <v>625</v>
      </c>
      <c r="C462" s="52" t="str">
        <f t="shared" si="10"/>
        <v>NAPESHM_USPA03_458</v>
      </c>
      <c r="D462" s="9" t="s">
        <v>629</v>
      </c>
      <c r="E462" s="29"/>
      <c r="F462" s="60" t="s">
        <v>1159</v>
      </c>
      <c r="G462" s="83">
        <v>40.721566000000003</v>
      </c>
      <c r="H462" s="83">
        <v>-77.921476999999996</v>
      </c>
      <c r="I462" s="9" t="s">
        <v>257</v>
      </c>
      <c r="J462" s="29"/>
      <c r="K462" s="29"/>
      <c r="L462" s="60">
        <v>458</v>
      </c>
      <c r="M462" s="9" t="s">
        <v>468</v>
      </c>
      <c r="N462" s="9" t="s">
        <v>468</v>
      </c>
      <c r="O462" s="60" t="s">
        <v>1265</v>
      </c>
    </row>
    <row r="463" spans="1:15" x14ac:dyDescent="0.25">
      <c r="A463" s="4"/>
      <c r="B463" s="9" t="s">
        <v>625</v>
      </c>
      <c r="C463" s="52" t="str">
        <f t="shared" si="10"/>
        <v>NAPESHM_USSC02_459</v>
      </c>
      <c r="D463" s="9" t="s">
        <v>629</v>
      </c>
      <c r="E463" s="9"/>
      <c r="F463" s="9" t="s">
        <v>633</v>
      </c>
      <c r="G463" s="83">
        <v>34.286071999999997</v>
      </c>
      <c r="H463" s="83">
        <v>-79.747399999999999</v>
      </c>
      <c r="I463" s="9" t="s">
        <v>259</v>
      </c>
      <c r="J463" s="9"/>
      <c r="K463" s="9"/>
      <c r="L463" s="6">
        <v>459</v>
      </c>
      <c r="M463" s="9" t="s">
        <v>468</v>
      </c>
      <c r="N463" s="9" t="s">
        <v>468</v>
      </c>
      <c r="O463" s="9" t="s">
        <v>1266</v>
      </c>
    </row>
    <row r="464" spans="1:15" x14ac:dyDescent="0.25">
      <c r="A464" s="4"/>
      <c r="B464" s="9" t="s">
        <v>625</v>
      </c>
      <c r="C464" s="52" t="str">
        <f t="shared" si="10"/>
        <v>NAPESHM_USSC02_460</v>
      </c>
      <c r="D464" s="9" t="s">
        <v>629</v>
      </c>
      <c r="E464" s="9"/>
      <c r="F464" s="9" t="s">
        <v>633</v>
      </c>
      <c r="G464" s="83">
        <v>34.286071999999997</v>
      </c>
      <c r="H464" s="83">
        <v>-79.747399999999999</v>
      </c>
      <c r="I464" s="9" t="s">
        <v>259</v>
      </c>
      <c r="J464" s="9"/>
      <c r="K464" s="9"/>
      <c r="L464" s="6">
        <v>460</v>
      </c>
      <c r="M464" s="9" t="s">
        <v>468</v>
      </c>
      <c r="N464" s="9" t="s">
        <v>468</v>
      </c>
      <c r="O464" s="9" t="s">
        <v>1266</v>
      </c>
    </row>
    <row r="465" spans="1:15" x14ac:dyDescent="0.25">
      <c r="A465" s="4"/>
      <c r="B465" s="9" t="s">
        <v>625</v>
      </c>
      <c r="C465" s="52" t="str">
        <f t="shared" si="10"/>
        <v>NAPESHM_USSD02_461</v>
      </c>
      <c r="D465" s="9" t="s">
        <v>629</v>
      </c>
      <c r="E465" s="29"/>
      <c r="F465" s="60" t="s">
        <v>1160</v>
      </c>
      <c r="G465" s="83">
        <v>44.352778999999998</v>
      </c>
      <c r="H465" s="83">
        <v>-96.804698999999999</v>
      </c>
      <c r="I465" s="9" t="s">
        <v>260</v>
      </c>
      <c r="J465" s="29"/>
      <c r="K465" s="29"/>
      <c r="L465" s="60">
        <v>461</v>
      </c>
      <c r="M465" s="9" t="s">
        <v>468</v>
      </c>
      <c r="N465" s="9" t="s">
        <v>468</v>
      </c>
      <c r="O465" s="60" t="s">
        <v>1267</v>
      </c>
    </row>
    <row r="466" spans="1:15" x14ac:dyDescent="0.25">
      <c r="A466" s="4"/>
      <c r="B466" s="9" t="s">
        <v>625</v>
      </c>
      <c r="C466" s="52" t="str">
        <f t="shared" si="10"/>
        <v>NAPESHM_USSD02_462</v>
      </c>
      <c r="D466" s="9" t="s">
        <v>629</v>
      </c>
      <c r="E466" s="29"/>
      <c r="F466" s="60" t="s">
        <v>1160</v>
      </c>
      <c r="G466" s="83">
        <v>44.352778999999998</v>
      </c>
      <c r="H466" s="83">
        <v>-96.804698999999999</v>
      </c>
      <c r="I466" s="9" t="s">
        <v>260</v>
      </c>
      <c r="J466" s="29"/>
      <c r="K466" s="29"/>
      <c r="L466" s="60">
        <v>462</v>
      </c>
      <c r="M466" s="9" t="s">
        <v>468</v>
      </c>
      <c r="N466" s="9" t="s">
        <v>468</v>
      </c>
      <c r="O466" s="60" t="s">
        <v>1267</v>
      </c>
    </row>
    <row r="467" spans="1:15" x14ac:dyDescent="0.25">
      <c r="A467" s="4"/>
      <c r="B467" s="9" t="s">
        <v>625</v>
      </c>
      <c r="C467" s="52" t="str">
        <f t="shared" ref="C467:C530" si="15">IF(ISBLANK(D467), "", CONCATENATE(D467,E467,"_",F467,"_",L467))</f>
        <v>NAPESHM_USSD02_463</v>
      </c>
      <c r="D467" s="9" t="s">
        <v>629</v>
      </c>
      <c r="E467" s="29"/>
      <c r="F467" s="60" t="s">
        <v>1160</v>
      </c>
      <c r="G467" s="83">
        <v>44.352778999999998</v>
      </c>
      <c r="H467" s="83">
        <v>-96.804698999999999</v>
      </c>
      <c r="I467" s="9" t="s">
        <v>260</v>
      </c>
      <c r="J467" s="29"/>
      <c r="K467" s="29"/>
      <c r="L467" s="60">
        <v>463</v>
      </c>
      <c r="M467" s="9" t="s">
        <v>468</v>
      </c>
      <c r="N467" s="9" t="s">
        <v>468</v>
      </c>
      <c r="O467" s="60" t="s">
        <v>1267</v>
      </c>
    </row>
    <row r="468" spans="1:15" x14ac:dyDescent="0.25">
      <c r="A468" s="4"/>
      <c r="B468" s="9" t="s">
        <v>625</v>
      </c>
      <c r="C468" s="52" t="str">
        <f t="shared" si="15"/>
        <v>NAPESHM_USSD02_464</v>
      </c>
      <c r="D468" s="9" t="s">
        <v>629</v>
      </c>
      <c r="E468" s="29"/>
      <c r="F468" s="60" t="s">
        <v>1160</v>
      </c>
      <c r="G468" s="83">
        <v>44.352778999999998</v>
      </c>
      <c r="H468" s="83">
        <v>-96.804698999999999</v>
      </c>
      <c r="I468" s="9" t="s">
        <v>260</v>
      </c>
      <c r="J468" s="29"/>
      <c r="K468" s="29"/>
      <c r="L468" s="60">
        <v>464</v>
      </c>
      <c r="M468" s="9" t="s">
        <v>468</v>
      </c>
      <c r="N468" s="9" t="s">
        <v>468</v>
      </c>
      <c r="O468" s="60" t="s">
        <v>1267</v>
      </c>
    </row>
    <row r="469" spans="1:15" x14ac:dyDescent="0.25">
      <c r="A469" s="4"/>
      <c r="B469" s="9" t="s">
        <v>625</v>
      </c>
      <c r="C469" s="52" t="str">
        <f t="shared" si="15"/>
        <v>NAPESHM_USSD03_465</v>
      </c>
      <c r="D469" s="9" t="s">
        <v>629</v>
      </c>
      <c r="E469" s="29"/>
      <c r="F469" s="60" t="s">
        <v>1161</v>
      </c>
      <c r="G469" s="83">
        <v>43.945569999999996</v>
      </c>
      <c r="H469" s="83">
        <v>-101.855181</v>
      </c>
      <c r="I469" s="9" t="s">
        <v>260</v>
      </c>
      <c r="J469" s="29"/>
      <c r="K469" s="29"/>
      <c r="L469" s="60">
        <v>465</v>
      </c>
      <c r="M469" s="9" t="s">
        <v>468</v>
      </c>
      <c r="N469" s="9" t="s">
        <v>468</v>
      </c>
      <c r="O469" s="60" t="s">
        <v>1268</v>
      </c>
    </row>
    <row r="470" spans="1:15" x14ac:dyDescent="0.25">
      <c r="A470" s="4"/>
      <c r="B470" s="9" t="s">
        <v>625</v>
      </c>
      <c r="C470" s="52" t="str">
        <f t="shared" si="15"/>
        <v>NAPESHM_USSD03_466</v>
      </c>
      <c r="D470" s="9" t="s">
        <v>629</v>
      </c>
      <c r="E470" s="29"/>
      <c r="F470" s="60" t="s">
        <v>1161</v>
      </c>
      <c r="G470" s="83">
        <v>43.945569999999996</v>
      </c>
      <c r="H470" s="83">
        <v>-101.855181</v>
      </c>
      <c r="I470" s="9" t="s">
        <v>260</v>
      </c>
      <c r="J470" s="29"/>
      <c r="K470" s="29"/>
      <c r="L470" s="60">
        <v>466</v>
      </c>
      <c r="M470" s="9" t="s">
        <v>468</v>
      </c>
      <c r="N470" s="9" t="s">
        <v>468</v>
      </c>
      <c r="O470" s="60" t="s">
        <v>1268</v>
      </c>
    </row>
    <row r="471" spans="1:15" x14ac:dyDescent="0.25">
      <c r="A471" s="4"/>
      <c r="B471" s="9" t="s">
        <v>625</v>
      </c>
      <c r="C471" s="52" t="str">
        <f t="shared" si="15"/>
        <v>NAPESHM_USSD03_467</v>
      </c>
      <c r="D471" s="9" t="s">
        <v>629</v>
      </c>
      <c r="E471" s="29"/>
      <c r="F471" s="60" t="s">
        <v>1161</v>
      </c>
      <c r="G471" s="83">
        <v>43.945569999999996</v>
      </c>
      <c r="H471" s="83">
        <v>-101.855181</v>
      </c>
      <c r="I471" s="9" t="s">
        <v>260</v>
      </c>
      <c r="J471" s="29"/>
      <c r="K471" s="29"/>
      <c r="L471" s="60">
        <v>467</v>
      </c>
      <c r="M471" s="9" t="s">
        <v>468</v>
      </c>
      <c r="N471" s="9" t="s">
        <v>468</v>
      </c>
      <c r="O471" s="60" t="s">
        <v>1268</v>
      </c>
    </row>
    <row r="472" spans="1:15" x14ac:dyDescent="0.25">
      <c r="A472" s="4"/>
      <c r="B472" s="9" t="s">
        <v>625</v>
      </c>
      <c r="C472" s="52" t="str">
        <f t="shared" si="15"/>
        <v>NAPESHM_USTX02_468</v>
      </c>
      <c r="D472" s="9" t="s">
        <v>629</v>
      </c>
      <c r="E472" s="29"/>
      <c r="F472" s="60" t="s">
        <v>1162</v>
      </c>
      <c r="G472" s="83">
        <v>32.772778000000002</v>
      </c>
      <c r="H472" s="83">
        <v>-101.938333</v>
      </c>
      <c r="I472" s="9" t="s">
        <v>262</v>
      </c>
      <c r="J472" s="29"/>
      <c r="K472" s="29"/>
      <c r="L472" s="60">
        <v>468</v>
      </c>
      <c r="M472" s="9" t="s">
        <v>468</v>
      </c>
      <c r="N472" s="9" t="s">
        <v>468</v>
      </c>
      <c r="O472" s="60" t="s">
        <v>1269</v>
      </c>
    </row>
    <row r="473" spans="1:15" x14ac:dyDescent="0.25">
      <c r="A473" s="4"/>
      <c r="B473" s="9" t="s">
        <v>625</v>
      </c>
      <c r="C473" s="52" t="str">
        <f t="shared" si="15"/>
        <v>NAPESHM_USTX02_469</v>
      </c>
      <c r="D473" s="9" t="s">
        <v>629</v>
      </c>
      <c r="E473" s="29"/>
      <c r="F473" s="60" t="s">
        <v>1162</v>
      </c>
      <c r="G473" s="83">
        <v>32.772778000000002</v>
      </c>
      <c r="H473" s="83">
        <v>-101.938333</v>
      </c>
      <c r="I473" s="9" t="s">
        <v>262</v>
      </c>
      <c r="J473" s="29"/>
      <c r="K473" s="29"/>
      <c r="L473" s="60">
        <v>469</v>
      </c>
      <c r="M473" s="9" t="s">
        <v>468</v>
      </c>
      <c r="N473" s="9" t="s">
        <v>468</v>
      </c>
      <c r="O473" s="60" t="s">
        <v>1269</v>
      </c>
    </row>
    <row r="474" spans="1:15" x14ac:dyDescent="0.25">
      <c r="A474" s="4"/>
      <c r="B474" s="9" t="s">
        <v>625</v>
      </c>
      <c r="C474" s="52" t="str">
        <f t="shared" si="15"/>
        <v>NAPESHM_USTX02_470</v>
      </c>
      <c r="D474" s="9" t="s">
        <v>629</v>
      </c>
      <c r="E474" s="29"/>
      <c r="F474" s="60" t="s">
        <v>1162</v>
      </c>
      <c r="G474" s="83">
        <v>32.772778000000002</v>
      </c>
      <c r="H474" s="83">
        <v>-101.938333</v>
      </c>
      <c r="I474" s="9" t="s">
        <v>262</v>
      </c>
      <c r="J474" s="29"/>
      <c r="K474" s="29"/>
      <c r="L474" s="60">
        <v>470</v>
      </c>
      <c r="M474" s="9" t="s">
        <v>468</v>
      </c>
      <c r="N474" s="9" t="s">
        <v>468</v>
      </c>
      <c r="O474" s="60" t="s">
        <v>1269</v>
      </c>
    </row>
    <row r="475" spans="1:15" x14ac:dyDescent="0.25">
      <c r="A475" s="4"/>
      <c r="B475" s="9" t="s">
        <v>625</v>
      </c>
      <c r="C475" s="52" t="str">
        <f t="shared" si="15"/>
        <v>NAPESHM_USTX03_471</v>
      </c>
      <c r="D475" s="9" t="s">
        <v>629</v>
      </c>
      <c r="E475" s="29"/>
      <c r="F475" s="60" t="s">
        <v>1163</v>
      </c>
      <c r="G475" s="83">
        <v>27.782086</v>
      </c>
      <c r="H475" s="83">
        <v>-97.571066999999999</v>
      </c>
      <c r="I475" s="9" t="s">
        <v>262</v>
      </c>
      <c r="J475" s="29"/>
      <c r="K475" s="29"/>
      <c r="L475" s="60">
        <v>471</v>
      </c>
      <c r="M475" s="9" t="s">
        <v>468</v>
      </c>
      <c r="N475" s="9" t="s">
        <v>468</v>
      </c>
      <c r="O475" s="60" t="s">
        <v>1270</v>
      </c>
    </row>
    <row r="476" spans="1:15" x14ac:dyDescent="0.25">
      <c r="A476" s="4"/>
      <c r="B476" s="9" t="s">
        <v>625</v>
      </c>
      <c r="C476" s="52" t="str">
        <f t="shared" si="15"/>
        <v>NAPESHM_USTX03_472</v>
      </c>
      <c r="D476" s="9" t="s">
        <v>629</v>
      </c>
      <c r="E476" s="29"/>
      <c r="F476" s="60" t="s">
        <v>1163</v>
      </c>
      <c r="G476" s="83">
        <v>27.782086</v>
      </c>
      <c r="H476" s="83">
        <v>-97.571066999999999</v>
      </c>
      <c r="I476" s="9" t="s">
        <v>262</v>
      </c>
      <c r="J476" s="29"/>
      <c r="K476" s="29"/>
      <c r="L476" s="60">
        <v>472</v>
      </c>
      <c r="M476" s="9" t="s">
        <v>468</v>
      </c>
      <c r="N476" s="9" t="s">
        <v>468</v>
      </c>
      <c r="O476" s="60" t="s">
        <v>1270</v>
      </c>
    </row>
    <row r="477" spans="1:15" x14ac:dyDescent="0.25">
      <c r="A477" s="4"/>
      <c r="B477" s="9" t="s">
        <v>625</v>
      </c>
      <c r="C477" s="52" t="str">
        <f t="shared" si="15"/>
        <v>NAPESHM_USTX05_473</v>
      </c>
      <c r="D477" s="9" t="s">
        <v>629</v>
      </c>
      <c r="E477" s="29"/>
      <c r="F477" s="60" t="s">
        <v>1164</v>
      </c>
      <c r="G477" s="83">
        <v>30.548188</v>
      </c>
      <c r="H477" s="83">
        <v>-96.433953000000002</v>
      </c>
      <c r="I477" s="9" t="s">
        <v>262</v>
      </c>
      <c r="J477" s="29"/>
      <c r="K477" s="29"/>
      <c r="L477" s="60">
        <v>473</v>
      </c>
      <c r="M477" s="9" t="s">
        <v>468</v>
      </c>
      <c r="N477" s="9" t="s">
        <v>468</v>
      </c>
      <c r="O477" s="60" t="s">
        <v>1271</v>
      </c>
    </row>
    <row r="478" spans="1:15" x14ac:dyDescent="0.25">
      <c r="A478" s="4"/>
      <c r="B478" s="9" t="s">
        <v>625</v>
      </c>
      <c r="C478" s="52" t="str">
        <f t="shared" si="15"/>
        <v>NAPESHM_USTX05_474</v>
      </c>
      <c r="D478" s="9" t="s">
        <v>629</v>
      </c>
      <c r="E478" s="29"/>
      <c r="F478" s="60" t="s">
        <v>1164</v>
      </c>
      <c r="G478" s="83">
        <v>30.548188</v>
      </c>
      <c r="H478" s="83">
        <v>-96.433953000000002</v>
      </c>
      <c r="I478" s="9" t="s">
        <v>262</v>
      </c>
      <c r="J478" s="29"/>
      <c r="K478" s="29"/>
      <c r="L478" s="60">
        <v>474</v>
      </c>
      <c r="M478" s="9" t="s">
        <v>468</v>
      </c>
      <c r="N478" s="9" t="s">
        <v>468</v>
      </c>
      <c r="O478" s="60" t="s">
        <v>1271</v>
      </c>
    </row>
    <row r="479" spans="1:15" x14ac:dyDescent="0.25">
      <c r="A479" s="4"/>
      <c r="B479" s="9" t="s">
        <v>625</v>
      </c>
      <c r="C479" s="52" t="str">
        <f t="shared" si="15"/>
        <v>NAPESHM_USTX05_475</v>
      </c>
      <c r="D479" s="9" t="s">
        <v>629</v>
      </c>
      <c r="E479" s="29"/>
      <c r="F479" s="60" t="s">
        <v>1164</v>
      </c>
      <c r="G479" s="83">
        <v>30.548188</v>
      </c>
      <c r="H479" s="83">
        <v>-96.433953000000002</v>
      </c>
      <c r="I479" s="9" t="s">
        <v>262</v>
      </c>
      <c r="J479" s="29"/>
      <c r="K479" s="29"/>
      <c r="L479" s="60">
        <v>475</v>
      </c>
      <c r="M479" s="9" t="s">
        <v>468</v>
      </c>
      <c r="N479" s="9" t="s">
        <v>468</v>
      </c>
      <c r="O479" s="60" t="s">
        <v>1271</v>
      </c>
    </row>
    <row r="480" spans="1:15" x14ac:dyDescent="0.25">
      <c r="A480" s="4"/>
      <c r="B480" s="9" t="s">
        <v>625</v>
      </c>
      <c r="C480" s="52" t="str">
        <f t="shared" si="15"/>
        <v>NAPESHM_USTX05_476</v>
      </c>
      <c r="D480" s="9" t="s">
        <v>629</v>
      </c>
      <c r="E480" s="29"/>
      <c r="F480" s="60" t="s">
        <v>1164</v>
      </c>
      <c r="G480" s="83">
        <v>30.548188</v>
      </c>
      <c r="H480" s="83">
        <v>-96.433953000000002</v>
      </c>
      <c r="I480" s="9" t="s">
        <v>262</v>
      </c>
      <c r="J480" s="29"/>
      <c r="K480" s="29"/>
      <c r="L480" s="60">
        <v>476</v>
      </c>
      <c r="M480" s="9" t="s">
        <v>468</v>
      </c>
      <c r="N480" s="9" t="s">
        <v>468</v>
      </c>
      <c r="O480" s="60" t="s">
        <v>1271</v>
      </c>
    </row>
    <row r="481" spans="1:15" x14ac:dyDescent="0.25">
      <c r="A481" s="4"/>
      <c r="B481" s="9" t="s">
        <v>625</v>
      </c>
      <c r="C481" s="52" t="str">
        <f t="shared" si="15"/>
        <v>NAPESHM_USTX05_477</v>
      </c>
      <c r="D481" s="9" t="s">
        <v>629</v>
      </c>
      <c r="E481" s="29"/>
      <c r="F481" s="60" t="s">
        <v>1164</v>
      </c>
      <c r="G481" s="83">
        <v>30.548188</v>
      </c>
      <c r="H481" s="83">
        <v>-96.433953000000002</v>
      </c>
      <c r="I481" s="9" t="s">
        <v>262</v>
      </c>
      <c r="J481" s="29"/>
      <c r="K481" s="29"/>
      <c r="L481" s="60">
        <v>477</v>
      </c>
      <c r="M481" s="9" t="s">
        <v>468</v>
      </c>
      <c r="N481" s="9" t="s">
        <v>468</v>
      </c>
      <c r="O481" s="60" t="s">
        <v>1271</v>
      </c>
    </row>
    <row r="482" spans="1:15" x14ac:dyDescent="0.25">
      <c r="A482" s="4"/>
      <c r="B482" s="9" t="s">
        <v>625</v>
      </c>
      <c r="C482" s="52" t="str">
        <f t="shared" si="15"/>
        <v>NAPESHM_USTX05_478</v>
      </c>
      <c r="D482" s="9" t="s">
        <v>629</v>
      </c>
      <c r="E482" s="29"/>
      <c r="F482" s="60" t="s">
        <v>1164</v>
      </c>
      <c r="G482" s="83">
        <v>30.548188</v>
      </c>
      <c r="H482" s="83">
        <v>-96.433953000000002</v>
      </c>
      <c r="I482" s="9" t="s">
        <v>262</v>
      </c>
      <c r="J482" s="29"/>
      <c r="K482" s="29"/>
      <c r="L482" s="60">
        <v>478</v>
      </c>
      <c r="M482" s="9" t="s">
        <v>468</v>
      </c>
      <c r="N482" s="9" t="s">
        <v>468</v>
      </c>
      <c r="O482" s="60" t="s">
        <v>1271</v>
      </c>
    </row>
    <row r="483" spans="1:15" x14ac:dyDescent="0.25">
      <c r="A483" s="4"/>
      <c r="B483" s="9" t="s">
        <v>625</v>
      </c>
      <c r="C483" s="52" t="str">
        <f t="shared" si="15"/>
        <v>NAPESHM_USTX05_479</v>
      </c>
      <c r="D483" s="9" t="s">
        <v>629</v>
      </c>
      <c r="E483" s="29"/>
      <c r="F483" s="60" t="s">
        <v>1164</v>
      </c>
      <c r="G483" s="83">
        <v>30.548188</v>
      </c>
      <c r="H483" s="83">
        <v>-96.433953000000002</v>
      </c>
      <c r="I483" s="9" t="s">
        <v>262</v>
      </c>
      <c r="J483" s="29"/>
      <c r="K483" s="29"/>
      <c r="L483" s="60">
        <v>479</v>
      </c>
      <c r="M483" s="9" t="s">
        <v>468</v>
      </c>
      <c r="N483" s="9" t="s">
        <v>468</v>
      </c>
      <c r="O483" s="60" t="s">
        <v>1271</v>
      </c>
    </row>
    <row r="484" spans="1:15" x14ac:dyDescent="0.25">
      <c r="A484" s="4"/>
      <c r="B484" s="9" t="s">
        <v>625</v>
      </c>
      <c r="C484" s="52" t="str">
        <f t="shared" si="15"/>
        <v>NAPESHM_USTX05_480</v>
      </c>
      <c r="D484" s="9" t="s">
        <v>629</v>
      </c>
      <c r="E484" s="29"/>
      <c r="F484" s="60" t="s">
        <v>1164</v>
      </c>
      <c r="G484" s="83">
        <v>30.548188</v>
      </c>
      <c r="H484" s="83">
        <v>-96.433953000000002</v>
      </c>
      <c r="I484" s="9" t="s">
        <v>262</v>
      </c>
      <c r="J484" s="29"/>
      <c r="K484" s="29"/>
      <c r="L484" s="60">
        <v>480</v>
      </c>
      <c r="M484" s="9" t="s">
        <v>468</v>
      </c>
      <c r="N484" s="9" t="s">
        <v>468</v>
      </c>
      <c r="O484" s="60" t="s">
        <v>1271</v>
      </c>
    </row>
    <row r="485" spans="1:15" x14ac:dyDescent="0.25">
      <c r="A485" s="4"/>
      <c r="B485" s="9" t="s">
        <v>625</v>
      </c>
      <c r="C485" s="52" t="str">
        <f t="shared" si="15"/>
        <v>NAPESHM_USVA01_481</v>
      </c>
      <c r="D485" s="9" t="s">
        <v>629</v>
      </c>
      <c r="E485" s="29"/>
      <c r="F485" s="60" t="s">
        <v>1165</v>
      </c>
      <c r="G485" s="83">
        <v>37.588456999999998</v>
      </c>
      <c r="H485" s="83">
        <v>-75.827787000000001</v>
      </c>
      <c r="I485" s="9" t="s">
        <v>265</v>
      </c>
      <c r="J485" s="29"/>
      <c r="K485" s="29"/>
      <c r="L485" s="60">
        <v>481</v>
      </c>
      <c r="M485" s="9" t="s">
        <v>468</v>
      </c>
      <c r="N485" s="9" t="s">
        <v>468</v>
      </c>
      <c r="O485" s="60" t="s">
        <v>1272</v>
      </c>
    </row>
    <row r="486" spans="1:15" x14ac:dyDescent="0.25">
      <c r="A486" s="4"/>
      <c r="B486" s="9" t="s">
        <v>625</v>
      </c>
      <c r="C486" s="52" t="str">
        <f t="shared" si="15"/>
        <v>NAPESHM_USVA01_482</v>
      </c>
      <c r="D486" s="9" t="s">
        <v>629</v>
      </c>
      <c r="E486" s="29"/>
      <c r="F486" s="60" t="s">
        <v>1165</v>
      </c>
      <c r="G486" s="83">
        <v>37.588456999999998</v>
      </c>
      <c r="H486" s="83">
        <v>-75.827787000000001</v>
      </c>
      <c r="I486" s="9" t="s">
        <v>265</v>
      </c>
      <c r="J486" s="29"/>
      <c r="K486" s="29"/>
      <c r="L486" s="60">
        <v>482</v>
      </c>
      <c r="M486" s="9" t="s">
        <v>468</v>
      </c>
      <c r="N486" s="9" t="s">
        <v>468</v>
      </c>
      <c r="O486" s="60" t="s">
        <v>1272</v>
      </c>
    </row>
    <row r="487" spans="1:15" x14ac:dyDescent="0.25">
      <c r="A487" s="4"/>
      <c r="B487" s="9" t="s">
        <v>625</v>
      </c>
      <c r="C487" s="52" t="str">
        <f t="shared" si="15"/>
        <v>NAPESHM_USVA01_483</v>
      </c>
      <c r="D487" s="9" t="s">
        <v>629</v>
      </c>
      <c r="E487" s="29"/>
      <c r="F487" s="60" t="s">
        <v>1165</v>
      </c>
      <c r="G487" s="83">
        <v>37.588456999999998</v>
      </c>
      <c r="H487" s="83">
        <v>-75.827787000000001</v>
      </c>
      <c r="I487" s="9" t="s">
        <v>265</v>
      </c>
      <c r="J487" s="29"/>
      <c r="K487" s="29"/>
      <c r="L487" s="60">
        <v>483</v>
      </c>
      <c r="M487" s="9" t="s">
        <v>468</v>
      </c>
      <c r="N487" s="9" t="s">
        <v>468</v>
      </c>
      <c r="O487" s="60" t="s">
        <v>1272</v>
      </c>
    </row>
    <row r="488" spans="1:15" x14ac:dyDescent="0.25">
      <c r="A488" s="4"/>
      <c r="B488" s="9" t="s">
        <v>625</v>
      </c>
      <c r="C488" s="52" t="str">
        <f t="shared" si="15"/>
        <v>NAPESHM_USWA01_484</v>
      </c>
      <c r="D488" s="9" t="s">
        <v>629</v>
      </c>
      <c r="E488" s="29"/>
      <c r="F488" s="60" t="s">
        <v>1166</v>
      </c>
      <c r="G488" s="83">
        <v>47.916122999999999</v>
      </c>
      <c r="H488" s="83">
        <v>-119.795288</v>
      </c>
      <c r="I488" s="9" t="s">
        <v>266</v>
      </c>
      <c r="J488" s="29"/>
      <c r="K488" s="29"/>
      <c r="L488" s="60">
        <v>484</v>
      </c>
      <c r="M488" s="9" t="s">
        <v>468</v>
      </c>
      <c r="N488" s="9" t="s">
        <v>468</v>
      </c>
      <c r="O488" s="60" t="s">
        <v>1273</v>
      </c>
    </row>
    <row r="489" spans="1:15" x14ac:dyDescent="0.25">
      <c r="A489" s="4"/>
      <c r="B489" s="9" t="s">
        <v>625</v>
      </c>
      <c r="C489" s="52" t="str">
        <f t="shared" si="15"/>
        <v>NAPESHM_USWA01_485</v>
      </c>
      <c r="D489" s="9" t="s">
        <v>629</v>
      </c>
      <c r="E489" s="29"/>
      <c r="F489" s="60" t="s">
        <v>1166</v>
      </c>
      <c r="G489" s="83">
        <v>47.916122999999999</v>
      </c>
      <c r="H489" s="83">
        <v>-119.795288</v>
      </c>
      <c r="I489" s="9" t="s">
        <v>266</v>
      </c>
      <c r="J489" s="29"/>
      <c r="K489" s="29"/>
      <c r="L489" s="60">
        <v>485</v>
      </c>
      <c r="M489" s="9" t="s">
        <v>468</v>
      </c>
      <c r="N489" s="9" t="s">
        <v>468</v>
      </c>
      <c r="O489" s="60" t="s">
        <v>1273</v>
      </c>
    </row>
    <row r="490" spans="1:15" x14ac:dyDescent="0.25">
      <c r="A490" s="4"/>
      <c r="B490" s="9" t="s">
        <v>625</v>
      </c>
      <c r="C490" s="52" t="str">
        <f t="shared" si="15"/>
        <v>NAPESHM_USWA01_486</v>
      </c>
      <c r="D490" s="9" t="s">
        <v>629</v>
      </c>
      <c r="E490" s="29"/>
      <c r="F490" s="60" t="s">
        <v>1166</v>
      </c>
      <c r="G490" s="83">
        <v>47.916122999999999</v>
      </c>
      <c r="H490" s="83">
        <v>-119.795288</v>
      </c>
      <c r="I490" s="9" t="s">
        <v>266</v>
      </c>
      <c r="J490" s="29"/>
      <c r="K490" s="29"/>
      <c r="L490" s="60">
        <v>486</v>
      </c>
      <c r="M490" s="9" t="s">
        <v>468</v>
      </c>
      <c r="N490" s="9" t="s">
        <v>468</v>
      </c>
      <c r="O490" s="60" t="s">
        <v>1273</v>
      </c>
    </row>
    <row r="491" spans="1:15" x14ac:dyDescent="0.25">
      <c r="A491" s="4"/>
      <c r="B491" s="9" t="s">
        <v>625</v>
      </c>
      <c r="C491" s="52" t="str">
        <f t="shared" si="15"/>
        <v>NAPESHM_USWA01_487</v>
      </c>
      <c r="D491" s="9" t="s">
        <v>629</v>
      </c>
      <c r="E491" s="29"/>
      <c r="F491" s="60" t="s">
        <v>1166</v>
      </c>
      <c r="G491" s="83">
        <v>47.916122999999999</v>
      </c>
      <c r="H491" s="83">
        <v>-119.795288</v>
      </c>
      <c r="I491" s="9" t="s">
        <v>266</v>
      </c>
      <c r="J491" s="29"/>
      <c r="K491" s="29"/>
      <c r="L491" s="60">
        <v>487</v>
      </c>
      <c r="M491" s="9" t="s">
        <v>468</v>
      </c>
      <c r="N491" s="9" t="s">
        <v>468</v>
      </c>
      <c r="O491" s="60" t="s">
        <v>1273</v>
      </c>
    </row>
    <row r="492" spans="1:15" x14ac:dyDescent="0.25">
      <c r="A492" s="4"/>
      <c r="B492" s="9" t="s">
        <v>625</v>
      </c>
      <c r="C492" s="52" t="str">
        <f t="shared" si="15"/>
        <v>NAPESHM_USWA01_488</v>
      </c>
      <c r="D492" s="9" t="s">
        <v>629</v>
      </c>
      <c r="E492" s="29"/>
      <c r="F492" s="60" t="s">
        <v>1166</v>
      </c>
      <c r="G492" s="83">
        <v>47.916122999999999</v>
      </c>
      <c r="H492" s="83">
        <v>-119.795288</v>
      </c>
      <c r="I492" s="9" t="s">
        <v>266</v>
      </c>
      <c r="J492" s="29"/>
      <c r="K492" s="29"/>
      <c r="L492" s="60">
        <v>488</v>
      </c>
      <c r="M492" s="9" t="s">
        <v>468</v>
      </c>
      <c r="N492" s="9" t="s">
        <v>468</v>
      </c>
      <c r="O492" s="60" t="s">
        <v>1273</v>
      </c>
    </row>
    <row r="493" spans="1:15" x14ac:dyDescent="0.25">
      <c r="A493" s="4"/>
      <c r="B493" s="9" t="s">
        <v>625</v>
      </c>
      <c r="C493" s="52" t="str">
        <f t="shared" si="15"/>
        <v>NAPESHM_USWA02_489</v>
      </c>
      <c r="D493" s="9" t="s">
        <v>629</v>
      </c>
      <c r="E493" s="29"/>
      <c r="F493" s="60" t="s">
        <v>1167</v>
      </c>
      <c r="G493" s="83">
        <v>47.143124</v>
      </c>
      <c r="H493" s="83">
        <v>-118.472172</v>
      </c>
      <c r="I493" s="9" t="s">
        <v>266</v>
      </c>
      <c r="J493" s="29"/>
      <c r="K493" s="29"/>
      <c r="L493" s="60">
        <v>489</v>
      </c>
      <c r="M493" s="9" t="s">
        <v>468</v>
      </c>
      <c r="N493" s="9" t="s">
        <v>468</v>
      </c>
      <c r="O493" s="60" t="s">
        <v>1274</v>
      </c>
    </row>
    <row r="494" spans="1:15" x14ac:dyDescent="0.25">
      <c r="A494" s="4"/>
      <c r="B494" s="9" t="s">
        <v>625</v>
      </c>
      <c r="C494" s="52" t="str">
        <f t="shared" si="15"/>
        <v>NAPESHM_USWA02_490</v>
      </c>
      <c r="D494" s="9" t="s">
        <v>629</v>
      </c>
      <c r="E494" s="29"/>
      <c r="F494" s="60" t="s">
        <v>1167</v>
      </c>
      <c r="G494" s="83">
        <v>47.143124</v>
      </c>
      <c r="H494" s="83">
        <v>-118.472172</v>
      </c>
      <c r="I494" s="9" t="s">
        <v>266</v>
      </c>
      <c r="J494" s="29"/>
      <c r="K494" s="29"/>
      <c r="L494" s="60">
        <v>490</v>
      </c>
      <c r="M494" s="9" t="s">
        <v>468</v>
      </c>
      <c r="N494" s="9" t="s">
        <v>468</v>
      </c>
      <c r="O494" s="60" t="s">
        <v>1274</v>
      </c>
    </row>
    <row r="495" spans="1:15" x14ac:dyDescent="0.25">
      <c r="A495" s="4"/>
      <c r="B495" s="9" t="s">
        <v>625</v>
      </c>
      <c r="C495" s="52" t="str">
        <f t="shared" si="15"/>
        <v>NAPESHM_USWA02_491</v>
      </c>
      <c r="D495" s="9" t="s">
        <v>629</v>
      </c>
      <c r="E495" s="29"/>
      <c r="F495" s="60" t="s">
        <v>1167</v>
      </c>
      <c r="G495" s="83">
        <v>47.143124</v>
      </c>
      <c r="H495" s="83">
        <v>-118.472172</v>
      </c>
      <c r="I495" s="9" t="s">
        <v>266</v>
      </c>
      <c r="J495" s="29"/>
      <c r="K495" s="29"/>
      <c r="L495" s="60">
        <v>491</v>
      </c>
      <c r="M495" s="9" t="s">
        <v>468</v>
      </c>
      <c r="N495" s="9" t="s">
        <v>468</v>
      </c>
      <c r="O495" s="60" t="s">
        <v>1274</v>
      </c>
    </row>
    <row r="496" spans="1:15" x14ac:dyDescent="0.25">
      <c r="A496" s="4"/>
      <c r="B496" s="9" t="s">
        <v>625</v>
      </c>
      <c r="C496" s="52" t="str">
        <f t="shared" si="15"/>
        <v>NAPESHM_USWA02_492</v>
      </c>
      <c r="D496" s="9" t="s">
        <v>629</v>
      </c>
      <c r="E496" s="29"/>
      <c r="F496" s="60" t="s">
        <v>1167</v>
      </c>
      <c r="G496" s="83">
        <v>47.143124</v>
      </c>
      <c r="H496" s="83">
        <v>-118.472172</v>
      </c>
      <c r="I496" s="9" t="s">
        <v>266</v>
      </c>
      <c r="J496" s="29"/>
      <c r="K496" s="29"/>
      <c r="L496" s="60">
        <v>492</v>
      </c>
      <c r="M496" s="9" t="s">
        <v>468</v>
      </c>
      <c r="N496" s="9" t="s">
        <v>468</v>
      </c>
      <c r="O496" s="60" t="s">
        <v>1274</v>
      </c>
    </row>
    <row r="497" spans="1:15" x14ac:dyDescent="0.25">
      <c r="A497" s="4"/>
      <c r="B497" s="9" t="s">
        <v>625</v>
      </c>
      <c r="C497" s="52" t="str">
        <f t="shared" si="15"/>
        <v>NAPESHM_USWI01_493</v>
      </c>
      <c r="D497" s="9" t="s">
        <v>629</v>
      </c>
      <c r="E497" s="29"/>
      <c r="F497" s="60" t="s">
        <v>1168</v>
      </c>
      <c r="G497" s="83">
        <v>43.301718000000001</v>
      </c>
      <c r="H497" s="83">
        <v>-89.329365999999993</v>
      </c>
      <c r="I497" s="9" t="s">
        <v>268</v>
      </c>
      <c r="J497" s="29"/>
      <c r="K497" s="29"/>
      <c r="L497" s="60">
        <v>493</v>
      </c>
      <c r="M497" s="9" t="s">
        <v>468</v>
      </c>
      <c r="N497" s="9" t="s">
        <v>468</v>
      </c>
      <c r="O497" s="60" t="s">
        <v>1275</v>
      </c>
    </row>
    <row r="498" spans="1:15" x14ac:dyDescent="0.25">
      <c r="A498" s="4"/>
      <c r="B498" s="9" t="s">
        <v>625</v>
      </c>
      <c r="C498" s="52" t="str">
        <f t="shared" si="15"/>
        <v>NAPESHM_USWI01_494</v>
      </c>
      <c r="D498" s="9" t="s">
        <v>629</v>
      </c>
      <c r="E498" s="29"/>
      <c r="F498" s="60" t="s">
        <v>1168</v>
      </c>
      <c r="G498" s="83">
        <v>43.301718000000001</v>
      </c>
      <c r="H498" s="83">
        <v>-89.329365999999993</v>
      </c>
      <c r="I498" s="9" t="s">
        <v>268</v>
      </c>
      <c r="J498" s="29"/>
      <c r="K498" s="29"/>
      <c r="L498" s="60">
        <v>494</v>
      </c>
      <c r="M498" s="9" t="s">
        <v>468</v>
      </c>
      <c r="N498" s="9" t="s">
        <v>468</v>
      </c>
      <c r="O498" s="60" t="s">
        <v>1275</v>
      </c>
    </row>
    <row r="499" spans="1:15" x14ac:dyDescent="0.25">
      <c r="A499" s="4"/>
      <c r="B499" s="9" t="s">
        <v>625</v>
      </c>
      <c r="C499" s="52" t="str">
        <f t="shared" si="15"/>
        <v>NAPESHM_USWI01_495</v>
      </c>
      <c r="D499" s="9" t="s">
        <v>629</v>
      </c>
      <c r="E499" s="29"/>
      <c r="F499" s="60" t="s">
        <v>1168</v>
      </c>
      <c r="G499" s="83">
        <v>43.301718000000001</v>
      </c>
      <c r="H499" s="83">
        <v>-89.329365999999993</v>
      </c>
      <c r="I499" s="9" t="s">
        <v>268</v>
      </c>
      <c r="J499" s="29"/>
      <c r="K499" s="29"/>
      <c r="L499" s="60">
        <v>495</v>
      </c>
      <c r="M499" s="9" t="s">
        <v>468</v>
      </c>
      <c r="N499" s="9" t="s">
        <v>468</v>
      </c>
      <c r="O499" s="60" t="s">
        <v>1275</v>
      </c>
    </row>
    <row r="500" spans="1:15" x14ac:dyDescent="0.25">
      <c r="A500" s="4"/>
      <c r="B500" s="9" t="s">
        <v>625</v>
      </c>
      <c r="C500" s="52" t="str">
        <f t="shared" si="15"/>
        <v>NAPESHM_USWI01_496</v>
      </c>
      <c r="D500" s="9" t="s">
        <v>629</v>
      </c>
      <c r="E500" s="29"/>
      <c r="F500" s="60" t="s">
        <v>1168</v>
      </c>
      <c r="G500" s="83">
        <v>43.301718000000001</v>
      </c>
      <c r="H500" s="83">
        <v>-89.329365999999993</v>
      </c>
      <c r="I500" s="9" t="s">
        <v>268</v>
      </c>
      <c r="J500" s="29"/>
      <c r="K500" s="29"/>
      <c r="L500" s="60">
        <v>496</v>
      </c>
      <c r="M500" s="9" t="s">
        <v>468</v>
      </c>
      <c r="N500" s="9" t="s">
        <v>468</v>
      </c>
      <c r="O500" s="60" t="s">
        <v>1275</v>
      </c>
    </row>
    <row r="501" spans="1:15" x14ac:dyDescent="0.25">
      <c r="A501" s="4"/>
      <c r="B501" s="9" t="s">
        <v>625</v>
      </c>
      <c r="C501" s="52" t="str">
        <f t="shared" si="15"/>
        <v>NAPESHM_USWI01_497</v>
      </c>
      <c r="D501" s="9" t="s">
        <v>629</v>
      </c>
      <c r="E501" s="29"/>
      <c r="F501" s="60" t="s">
        <v>1168</v>
      </c>
      <c r="G501" s="83">
        <v>43.301718000000001</v>
      </c>
      <c r="H501" s="83">
        <v>-89.329365999999993</v>
      </c>
      <c r="I501" s="9" t="s">
        <v>268</v>
      </c>
      <c r="J501" s="29"/>
      <c r="K501" s="29"/>
      <c r="L501" s="60">
        <v>497</v>
      </c>
      <c r="M501" s="9" t="s">
        <v>468</v>
      </c>
      <c r="N501" s="9" t="s">
        <v>468</v>
      </c>
      <c r="O501" s="60" t="s">
        <v>1275</v>
      </c>
    </row>
    <row r="502" spans="1:15" x14ac:dyDescent="0.25">
      <c r="A502" s="4"/>
      <c r="B502" s="9" t="s">
        <v>625</v>
      </c>
      <c r="C502" s="52" t="str">
        <f t="shared" si="15"/>
        <v>NAPESHM_USWI01_498</v>
      </c>
      <c r="D502" s="9" t="s">
        <v>629</v>
      </c>
      <c r="E502" s="29"/>
      <c r="F502" s="60" t="s">
        <v>1168</v>
      </c>
      <c r="G502" s="83">
        <v>43.301718000000001</v>
      </c>
      <c r="H502" s="83">
        <v>-89.329365999999993</v>
      </c>
      <c r="I502" s="9" t="s">
        <v>268</v>
      </c>
      <c r="J502" s="29"/>
      <c r="K502" s="29"/>
      <c r="L502" s="60">
        <v>498</v>
      </c>
      <c r="M502" s="9" t="s">
        <v>468</v>
      </c>
      <c r="N502" s="9" t="s">
        <v>468</v>
      </c>
      <c r="O502" s="60" t="s">
        <v>1275</v>
      </c>
    </row>
    <row r="503" spans="1:15" x14ac:dyDescent="0.25">
      <c r="A503" s="4"/>
      <c r="B503" s="9" t="s">
        <v>625</v>
      </c>
      <c r="C503" s="52" t="str">
        <f t="shared" si="15"/>
        <v>NAPESHM_USWI01_499</v>
      </c>
      <c r="D503" s="9" t="s">
        <v>629</v>
      </c>
      <c r="E503" s="29"/>
      <c r="F503" s="60" t="s">
        <v>1168</v>
      </c>
      <c r="G503" s="83">
        <v>43.301718000000001</v>
      </c>
      <c r="H503" s="83">
        <v>-89.329365999999993</v>
      </c>
      <c r="I503" s="9" t="s">
        <v>268</v>
      </c>
      <c r="J503" s="29"/>
      <c r="K503" s="29"/>
      <c r="L503" s="60">
        <v>499</v>
      </c>
      <c r="M503" s="9" t="s">
        <v>468</v>
      </c>
      <c r="N503" s="9" t="s">
        <v>468</v>
      </c>
      <c r="O503" s="60" t="s">
        <v>1275</v>
      </c>
    </row>
    <row r="504" spans="1:15" x14ac:dyDescent="0.25">
      <c r="A504" s="4"/>
      <c r="B504" s="9" t="s">
        <v>625</v>
      </c>
      <c r="C504" s="52" t="str">
        <f t="shared" si="15"/>
        <v>NAPESHM_USWI01_500</v>
      </c>
      <c r="D504" s="9" t="s">
        <v>629</v>
      </c>
      <c r="E504" s="29"/>
      <c r="F504" s="60" t="s">
        <v>1168</v>
      </c>
      <c r="G504" s="83">
        <v>43.301718000000001</v>
      </c>
      <c r="H504" s="83">
        <v>-89.329365999999993</v>
      </c>
      <c r="I504" s="9" t="s">
        <v>268</v>
      </c>
      <c r="J504" s="29"/>
      <c r="K504" s="29"/>
      <c r="L504" s="60">
        <v>500</v>
      </c>
      <c r="M504" s="9" t="s">
        <v>468</v>
      </c>
      <c r="N504" s="9" t="s">
        <v>468</v>
      </c>
      <c r="O504" s="60" t="s">
        <v>1275</v>
      </c>
    </row>
    <row r="505" spans="1:15" x14ac:dyDescent="0.25">
      <c r="A505" s="4"/>
      <c r="B505" s="9" t="s">
        <v>625</v>
      </c>
      <c r="C505" s="52" t="str">
        <f t="shared" si="15"/>
        <v>NAPESHM_USWI01_501</v>
      </c>
      <c r="D505" s="9" t="s">
        <v>629</v>
      </c>
      <c r="E505" s="29"/>
      <c r="F505" s="60" t="s">
        <v>1168</v>
      </c>
      <c r="G505" s="83">
        <v>43.301718000000001</v>
      </c>
      <c r="H505" s="83">
        <v>-89.329365999999993</v>
      </c>
      <c r="I505" s="9" t="s">
        <v>268</v>
      </c>
      <c r="J505" s="29"/>
      <c r="K505" s="29"/>
      <c r="L505" s="60">
        <v>501</v>
      </c>
      <c r="M505" s="9" t="s">
        <v>468</v>
      </c>
      <c r="N505" s="9" t="s">
        <v>468</v>
      </c>
      <c r="O505" s="60" t="s">
        <v>1275</v>
      </c>
    </row>
    <row r="506" spans="1:15" x14ac:dyDescent="0.25">
      <c r="A506" s="4"/>
      <c r="B506" s="9" t="s">
        <v>625</v>
      </c>
      <c r="C506" s="52" t="str">
        <f t="shared" si="15"/>
        <v>NAPESHM_USWV01_502</v>
      </c>
      <c r="D506" s="9" t="s">
        <v>629</v>
      </c>
      <c r="E506" s="29"/>
      <c r="F506" s="60" t="s">
        <v>1169</v>
      </c>
      <c r="G506" s="83">
        <v>39.649659999999997</v>
      </c>
      <c r="H506" s="83">
        <v>-79.936768999999998</v>
      </c>
      <c r="I506" s="9" t="s">
        <v>267</v>
      </c>
      <c r="J506" s="29"/>
      <c r="K506" s="29"/>
      <c r="L506" s="60">
        <v>502</v>
      </c>
      <c r="M506" s="9" t="s">
        <v>468</v>
      </c>
      <c r="N506" s="9" t="s">
        <v>468</v>
      </c>
      <c r="O506" s="60" t="s">
        <v>1276</v>
      </c>
    </row>
    <row r="507" spans="1:15" x14ac:dyDescent="0.25">
      <c r="A507" s="4"/>
      <c r="B507" s="9" t="s">
        <v>625</v>
      </c>
      <c r="C507" s="52" t="str">
        <f t="shared" si="15"/>
        <v>NAPESHM_USWV01_503</v>
      </c>
      <c r="D507" s="9" t="s">
        <v>629</v>
      </c>
      <c r="E507" s="29"/>
      <c r="F507" s="60" t="s">
        <v>1169</v>
      </c>
      <c r="G507" s="83">
        <v>39.649659999999997</v>
      </c>
      <c r="H507" s="83">
        <v>-79.936768999999998</v>
      </c>
      <c r="I507" s="9" t="s">
        <v>267</v>
      </c>
      <c r="J507" s="29"/>
      <c r="K507" s="29"/>
      <c r="L507" s="60">
        <v>503</v>
      </c>
      <c r="M507" s="9" t="s">
        <v>468</v>
      </c>
      <c r="N507" s="9" t="s">
        <v>468</v>
      </c>
      <c r="O507" s="60" t="s">
        <v>1276</v>
      </c>
    </row>
    <row r="508" spans="1:15" x14ac:dyDescent="0.25">
      <c r="A508" s="4"/>
      <c r="B508" s="9" t="s">
        <v>625</v>
      </c>
      <c r="C508" s="52" t="str">
        <f t="shared" si="15"/>
        <v>NAPESHM_USWV01_504</v>
      </c>
      <c r="D508" s="9" t="s">
        <v>629</v>
      </c>
      <c r="E508" s="29"/>
      <c r="F508" s="60" t="s">
        <v>1169</v>
      </c>
      <c r="G508" s="83">
        <v>39.649659999999997</v>
      </c>
      <c r="H508" s="83">
        <v>-79.936768999999998</v>
      </c>
      <c r="I508" s="9" t="s">
        <v>267</v>
      </c>
      <c r="J508" s="29"/>
      <c r="K508" s="29"/>
      <c r="L508" s="60">
        <v>504</v>
      </c>
      <c r="M508" s="9" t="s">
        <v>468</v>
      </c>
      <c r="N508" s="9" t="s">
        <v>468</v>
      </c>
      <c r="O508" s="60" t="s">
        <v>1276</v>
      </c>
    </row>
    <row r="509" spans="1:15" x14ac:dyDescent="0.25">
      <c r="A509" s="4"/>
      <c r="B509" s="9" t="s">
        <v>625</v>
      </c>
      <c r="C509" s="52" t="str">
        <f t="shared" si="15"/>
        <v>NAPESHM_USWV01_505</v>
      </c>
      <c r="D509" s="9" t="s">
        <v>629</v>
      </c>
      <c r="E509" s="29"/>
      <c r="F509" s="60" t="s">
        <v>1169</v>
      </c>
      <c r="G509" s="83">
        <v>39.649659999999997</v>
      </c>
      <c r="H509" s="83">
        <v>-79.936768999999998</v>
      </c>
      <c r="I509" s="9" t="s">
        <v>267</v>
      </c>
      <c r="J509" s="29"/>
      <c r="K509" s="29"/>
      <c r="L509" s="60">
        <v>505</v>
      </c>
      <c r="M509" s="9" t="s">
        <v>468</v>
      </c>
      <c r="N509" s="9" t="s">
        <v>468</v>
      </c>
      <c r="O509" s="60" t="s">
        <v>1276</v>
      </c>
    </row>
    <row r="510" spans="1:15" x14ac:dyDescent="0.25">
      <c r="A510" s="4"/>
      <c r="B510" s="9" t="s">
        <v>625</v>
      </c>
      <c r="C510" s="52" t="str">
        <f t="shared" si="15"/>
        <v>NAPESHM_USWY01_506</v>
      </c>
      <c r="D510" s="9" t="s">
        <v>629</v>
      </c>
      <c r="E510" s="29"/>
      <c r="F510" s="60" t="s">
        <v>1170</v>
      </c>
      <c r="G510" s="83">
        <v>41.196621212013397</v>
      </c>
      <c r="H510" s="83">
        <v>-104.911118796689</v>
      </c>
      <c r="I510" s="9" t="s">
        <v>269</v>
      </c>
      <c r="J510" s="29"/>
      <c r="K510" s="29"/>
      <c r="L510" s="60">
        <v>506</v>
      </c>
      <c r="M510" s="9" t="s">
        <v>468</v>
      </c>
      <c r="N510" s="9" t="s">
        <v>468</v>
      </c>
      <c r="O510" s="60" t="s">
        <v>1277</v>
      </c>
    </row>
    <row r="511" spans="1:15" x14ac:dyDescent="0.25">
      <c r="A511" s="4"/>
      <c r="B511" s="9" t="s">
        <v>625</v>
      </c>
      <c r="C511" s="52" t="str">
        <f t="shared" si="15"/>
        <v>NAPESHM_USWY01_507</v>
      </c>
      <c r="D511" s="9" t="s">
        <v>629</v>
      </c>
      <c r="E511" s="29"/>
      <c r="F511" s="60" t="s">
        <v>1170</v>
      </c>
      <c r="G511" s="83">
        <v>41.196621212013397</v>
      </c>
      <c r="H511" s="83">
        <v>-104.911118796689</v>
      </c>
      <c r="I511" s="9" t="s">
        <v>269</v>
      </c>
      <c r="J511" s="29"/>
      <c r="K511" s="29"/>
      <c r="L511" s="60">
        <v>507</v>
      </c>
      <c r="M511" s="9" t="s">
        <v>468</v>
      </c>
      <c r="N511" s="9" t="s">
        <v>468</v>
      </c>
      <c r="O511" s="60" t="s">
        <v>1277</v>
      </c>
    </row>
    <row r="512" spans="1:15" x14ac:dyDescent="0.25">
      <c r="A512" s="4"/>
      <c r="B512" s="9" t="s">
        <v>625</v>
      </c>
      <c r="C512" s="52" t="str">
        <f t="shared" ref="C512" si="16">IF(ISBLANK(D512), "", CONCATENATE(D512,E512,"_",F512,"_",L512))</f>
        <v>NAPESHM_USWY01_508</v>
      </c>
      <c r="D512" s="9" t="s">
        <v>629</v>
      </c>
      <c r="E512" s="29"/>
      <c r="F512" s="60" t="s">
        <v>1170</v>
      </c>
      <c r="G512" s="83">
        <v>41.196621212013397</v>
      </c>
      <c r="H512" s="83">
        <v>-104.911118796689</v>
      </c>
      <c r="I512" s="9" t="s">
        <v>269</v>
      </c>
      <c r="J512" s="29"/>
      <c r="K512" s="29"/>
      <c r="L512" s="60">
        <v>508</v>
      </c>
      <c r="M512" s="9" t="s">
        <v>468</v>
      </c>
      <c r="N512" s="9" t="s">
        <v>468</v>
      </c>
      <c r="O512" s="60" t="s">
        <v>1277</v>
      </c>
    </row>
    <row r="513" spans="1:15" x14ac:dyDescent="0.25">
      <c r="A513" s="4"/>
      <c r="B513" s="9"/>
      <c r="C513" s="52" t="str">
        <f t="shared" si="15"/>
        <v/>
      </c>
      <c r="D513" s="9"/>
      <c r="E513" s="29"/>
      <c r="F513" s="29"/>
      <c r="G513" s="30"/>
      <c r="H513" s="30"/>
      <c r="I513" s="9"/>
      <c r="J513" s="29"/>
      <c r="K513" s="29"/>
      <c r="L513" s="29"/>
      <c r="M513" s="29"/>
      <c r="N513" s="29"/>
      <c r="O513" s="29"/>
    </row>
    <row r="514" spans="1:15" x14ac:dyDescent="0.25">
      <c r="A514" s="4"/>
      <c r="B514" s="9"/>
      <c r="C514" s="52" t="str">
        <f t="shared" si="15"/>
        <v/>
      </c>
      <c r="D514" s="9"/>
      <c r="E514" s="29"/>
      <c r="F514" s="29"/>
      <c r="G514" s="30"/>
      <c r="H514" s="30"/>
      <c r="I514" s="9"/>
      <c r="J514" s="29"/>
      <c r="K514" s="29"/>
      <c r="L514" s="29"/>
      <c r="M514" s="29"/>
      <c r="N514" s="29"/>
      <c r="O514" s="29"/>
    </row>
    <row r="515" spans="1:15" x14ac:dyDescent="0.25">
      <c r="A515" s="4"/>
      <c r="B515" s="9"/>
      <c r="C515" s="52" t="str">
        <f t="shared" si="15"/>
        <v/>
      </c>
      <c r="D515" s="9"/>
      <c r="E515" s="29"/>
      <c r="F515" s="29"/>
      <c r="G515" s="30"/>
      <c r="H515" s="30"/>
      <c r="I515" s="9"/>
      <c r="J515" s="29"/>
      <c r="K515" s="29"/>
      <c r="L515" s="29"/>
      <c r="M515" s="29"/>
      <c r="N515" s="29"/>
      <c r="O515" s="29"/>
    </row>
    <row r="516" spans="1:15" x14ac:dyDescent="0.25">
      <c r="A516" s="4"/>
      <c r="B516" s="9"/>
      <c r="C516" s="52" t="str">
        <f t="shared" si="15"/>
        <v/>
      </c>
      <c r="D516" s="9"/>
      <c r="E516" s="29"/>
      <c r="F516" s="29"/>
      <c r="G516" s="30"/>
      <c r="H516" s="30"/>
      <c r="I516" s="9"/>
      <c r="J516" s="29"/>
      <c r="K516" s="29"/>
      <c r="L516" s="29"/>
      <c r="M516" s="29"/>
      <c r="N516" s="29"/>
      <c r="O516" s="29"/>
    </row>
    <row r="517" spans="1:15" x14ac:dyDescent="0.25">
      <c r="A517" s="4"/>
      <c r="B517" s="9"/>
      <c r="C517" s="52" t="str">
        <f t="shared" si="15"/>
        <v/>
      </c>
      <c r="D517" s="9"/>
      <c r="E517" s="29"/>
      <c r="F517" s="29"/>
      <c r="G517" s="30"/>
      <c r="H517" s="30"/>
      <c r="I517" s="9"/>
      <c r="J517" s="29"/>
      <c r="K517" s="29"/>
      <c r="L517" s="29"/>
      <c r="M517" s="29"/>
      <c r="N517" s="29"/>
      <c r="O517" s="29"/>
    </row>
    <row r="518" spans="1:15" x14ac:dyDescent="0.25">
      <c r="A518" s="14"/>
      <c r="B518" s="9"/>
      <c r="C518" s="52" t="str">
        <f t="shared" si="15"/>
        <v/>
      </c>
      <c r="D518" s="9"/>
      <c r="E518" s="29"/>
      <c r="F518" s="29"/>
      <c r="G518" s="30"/>
      <c r="H518" s="30"/>
      <c r="I518" s="9"/>
      <c r="J518" s="29"/>
      <c r="K518" s="29"/>
      <c r="L518" s="29"/>
      <c r="M518" s="29"/>
      <c r="N518" s="29"/>
      <c r="O518" s="29"/>
    </row>
    <row r="519" spans="1:15" x14ac:dyDescent="0.25">
      <c r="A519" s="4"/>
      <c r="B519" s="9"/>
      <c r="C519" s="52" t="str">
        <f t="shared" si="15"/>
        <v/>
      </c>
      <c r="D519" s="9"/>
      <c r="E519" s="9"/>
      <c r="F519" s="9"/>
      <c r="G519" s="30"/>
      <c r="H519" s="30"/>
      <c r="I519" s="9"/>
      <c r="J519" s="9"/>
      <c r="K519" s="9"/>
      <c r="L519" s="9"/>
      <c r="M519" s="9"/>
      <c r="N519" s="9"/>
      <c r="O519" s="9"/>
    </row>
    <row r="520" spans="1:15" x14ac:dyDescent="0.25">
      <c r="A520" s="4"/>
      <c r="B520" s="9"/>
      <c r="C520" s="52" t="str">
        <f t="shared" si="15"/>
        <v/>
      </c>
      <c r="D520" s="9"/>
      <c r="E520" s="9"/>
      <c r="F520" s="9"/>
      <c r="G520" s="30"/>
      <c r="H520" s="30"/>
      <c r="I520" s="9"/>
      <c r="J520" s="9"/>
      <c r="K520" s="9"/>
      <c r="L520" s="9"/>
      <c r="M520" s="9"/>
      <c r="N520" s="9"/>
      <c r="O520" s="9"/>
    </row>
    <row r="521" spans="1:15" x14ac:dyDescent="0.25">
      <c r="A521" s="4"/>
      <c r="B521" s="9"/>
      <c r="C521" s="52" t="str">
        <f t="shared" si="15"/>
        <v/>
      </c>
      <c r="D521" s="9"/>
      <c r="E521" s="9"/>
      <c r="F521" s="9"/>
      <c r="G521" s="30"/>
      <c r="H521" s="30"/>
      <c r="I521" s="9"/>
      <c r="J521" s="9"/>
      <c r="K521" s="9"/>
      <c r="L521" s="9"/>
      <c r="M521" s="9"/>
      <c r="N521" s="9"/>
      <c r="O521" s="9"/>
    </row>
    <row r="522" spans="1:15" x14ac:dyDescent="0.25">
      <c r="A522" s="4"/>
      <c r="B522" s="9"/>
      <c r="C522" s="52" t="str">
        <f t="shared" si="15"/>
        <v/>
      </c>
      <c r="D522" s="9"/>
      <c r="E522" s="9"/>
      <c r="F522" s="9"/>
      <c r="G522" s="30"/>
      <c r="H522" s="30"/>
      <c r="I522" s="9"/>
      <c r="J522" s="9"/>
      <c r="K522" s="9"/>
      <c r="L522" s="9"/>
      <c r="M522" s="9"/>
      <c r="N522" s="9"/>
      <c r="O522" s="9"/>
    </row>
    <row r="523" spans="1:15" x14ac:dyDescent="0.25">
      <c r="A523" s="4"/>
      <c r="B523" s="9"/>
      <c r="C523" s="52" t="str">
        <f t="shared" si="15"/>
        <v/>
      </c>
      <c r="D523" s="9"/>
      <c r="E523" s="9"/>
      <c r="F523" s="9"/>
      <c r="G523" s="30"/>
      <c r="H523" s="30"/>
      <c r="I523" s="9"/>
      <c r="J523" s="9"/>
      <c r="K523" s="9"/>
      <c r="L523" s="9"/>
      <c r="M523" s="9"/>
      <c r="N523" s="9"/>
      <c r="O523" s="9"/>
    </row>
    <row r="524" spans="1:15" x14ac:dyDescent="0.25">
      <c r="A524" s="4"/>
      <c r="B524" s="9"/>
      <c r="C524" s="52" t="str">
        <f t="shared" si="15"/>
        <v/>
      </c>
      <c r="D524" s="9"/>
      <c r="E524" s="9"/>
      <c r="F524" s="9"/>
      <c r="G524" s="30"/>
      <c r="H524" s="30"/>
      <c r="I524" s="9"/>
      <c r="J524" s="9"/>
      <c r="K524" s="9"/>
      <c r="L524" s="9"/>
      <c r="M524" s="9"/>
      <c r="N524" s="9"/>
      <c r="O524" s="9"/>
    </row>
    <row r="525" spans="1:15" x14ac:dyDescent="0.25">
      <c r="A525" s="4"/>
      <c r="B525" s="9"/>
      <c r="C525" s="52" t="str">
        <f t="shared" si="15"/>
        <v/>
      </c>
      <c r="D525" s="9"/>
      <c r="E525" s="9"/>
      <c r="F525" s="9"/>
      <c r="G525" s="30"/>
      <c r="H525" s="30"/>
      <c r="I525" s="9"/>
      <c r="J525" s="9"/>
      <c r="K525" s="9"/>
      <c r="L525" s="9"/>
      <c r="M525" s="9"/>
      <c r="N525" s="9"/>
      <c r="O525" s="9"/>
    </row>
    <row r="526" spans="1:15" x14ac:dyDescent="0.25">
      <c r="A526" s="4"/>
      <c r="B526" s="9"/>
      <c r="C526" s="52" t="str">
        <f t="shared" si="15"/>
        <v/>
      </c>
      <c r="D526" s="9"/>
      <c r="E526" s="9"/>
      <c r="F526" s="9"/>
      <c r="G526" s="30"/>
      <c r="H526" s="30"/>
      <c r="I526" s="9"/>
      <c r="J526" s="9"/>
      <c r="K526" s="9"/>
      <c r="L526" s="9"/>
      <c r="M526" s="9"/>
      <c r="N526" s="9"/>
      <c r="O526" s="9"/>
    </row>
    <row r="527" spans="1:15" x14ac:dyDescent="0.25">
      <c r="A527" s="4"/>
      <c r="B527" s="9"/>
      <c r="C527" s="52" t="str">
        <f t="shared" si="15"/>
        <v/>
      </c>
      <c r="D527" s="9"/>
      <c r="E527" s="9"/>
      <c r="F527" s="9"/>
      <c r="G527" s="30"/>
      <c r="H527" s="30"/>
      <c r="I527" s="9"/>
      <c r="J527" s="9"/>
      <c r="K527" s="9"/>
      <c r="L527" s="9"/>
      <c r="M527" s="9"/>
      <c r="N527" s="9"/>
      <c r="O527" s="9"/>
    </row>
    <row r="528" spans="1:15" x14ac:dyDescent="0.25">
      <c r="A528" s="4"/>
      <c r="B528" s="9"/>
      <c r="C528" s="52" t="str">
        <f t="shared" si="15"/>
        <v/>
      </c>
      <c r="D528" s="9"/>
      <c r="E528" s="9"/>
      <c r="F528" s="9"/>
      <c r="G528" s="30"/>
      <c r="H528" s="30"/>
      <c r="I528" s="9"/>
      <c r="J528" s="9"/>
      <c r="K528" s="9"/>
      <c r="L528" s="9"/>
      <c r="M528" s="9"/>
      <c r="N528" s="9"/>
      <c r="O528" s="9"/>
    </row>
    <row r="529" spans="1:15" x14ac:dyDescent="0.25">
      <c r="A529" s="4"/>
      <c r="B529" s="9"/>
      <c r="C529" s="52" t="str">
        <f t="shared" si="15"/>
        <v/>
      </c>
      <c r="D529" s="9"/>
      <c r="E529" s="9"/>
      <c r="F529" s="9"/>
      <c r="G529" s="30"/>
      <c r="H529" s="30"/>
      <c r="I529" s="9"/>
      <c r="J529" s="9"/>
      <c r="K529" s="9"/>
      <c r="L529" s="9"/>
      <c r="M529" s="9"/>
      <c r="N529" s="9"/>
      <c r="O529" s="9"/>
    </row>
    <row r="530" spans="1:15" x14ac:dyDescent="0.25">
      <c r="A530" s="4"/>
      <c r="B530" s="9"/>
      <c r="C530" s="52" t="str">
        <f t="shared" si="15"/>
        <v/>
      </c>
      <c r="D530" s="9"/>
      <c r="E530" s="9"/>
      <c r="F530" s="9"/>
      <c r="G530" s="30"/>
      <c r="H530" s="30"/>
      <c r="I530" s="9"/>
      <c r="J530" s="9"/>
      <c r="K530" s="9"/>
      <c r="L530" s="9"/>
      <c r="M530" s="9"/>
      <c r="N530" s="9"/>
      <c r="O530" s="9"/>
    </row>
    <row r="531" spans="1:15" x14ac:dyDescent="0.25">
      <c r="A531" s="4"/>
      <c r="B531" s="9"/>
      <c r="C531" s="52" t="str">
        <f t="shared" ref="C531:C594" si="17">IF(ISBLANK(D531), "", CONCATENATE(D531,E531,"_",F531,"_",L531))</f>
        <v/>
      </c>
      <c r="D531" s="9"/>
      <c r="E531" s="9"/>
      <c r="F531" s="9"/>
      <c r="G531" s="30"/>
      <c r="H531" s="30"/>
      <c r="I531" s="9"/>
      <c r="J531" s="9"/>
      <c r="K531" s="9"/>
      <c r="L531" s="9"/>
      <c r="M531" s="9"/>
      <c r="N531" s="9"/>
      <c r="O531" s="9"/>
    </row>
    <row r="532" spans="1:15" x14ac:dyDescent="0.25">
      <c r="A532" s="4"/>
      <c r="B532" s="9"/>
      <c r="C532" s="52" t="str">
        <f t="shared" si="17"/>
        <v/>
      </c>
      <c r="D532" s="9"/>
      <c r="E532" s="9"/>
      <c r="F532" s="9"/>
      <c r="G532" s="30"/>
      <c r="H532" s="30"/>
      <c r="I532" s="9"/>
      <c r="J532" s="9"/>
      <c r="K532" s="9"/>
      <c r="L532" s="9"/>
      <c r="M532" s="9"/>
      <c r="N532" s="9"/>
      <c r="O532" s="9"/>
    </row>
    <row r="533" spans="1:15" x14ac:dyDescent="0.25">
      <c r="A533" s="4"/>
      <c r="B533" s="9"/>
      <c r="C533" s="52" t="str">
        <f t="shared" si="17"/>
        <v/>
      </c>
      <c r="D533" s="9"/>
      <c r="E533" s="9"/>
      <c r="F533" s="9"/>
      <c r="G533" s="30"/>
      <c r="H533" s="30"/>
      <c r="I533" s="9"/>
      <c r="J533" s="9"/>
      <c r="K533" s="9"/>
      <c r="L533" s="9"/>
      <c r="M533" s="9"/>
      <c r="N533" s="9"/>
      <c r="O533" s="9"/>
    </row>
    <row r="534" spans="1:15" x14ac:dyDescent="0.25">
      <c r="A534" s="4"/>
      <c r="B534" s="9"/>
      <c r="C534" s="52" t="str">
        <f t="shared" si="17"/>
        <v/>
      </c>
      <c r="D534" s="9"/>
      <c r="E534" s="9"/>
      <c r="F534" s="9"/>
      <c r="G534" s="30"/>
      <c r="H534" s="30"/>
      <c r="I534" s="9"/>
      <c r="J534" s="9"/>
      <c r="K534" s="9"/>
      <c r="L534" s="9"/>
      <c r="M534" s="9"/>
      <c r="N534" s="9"/>
      <c r="O534" s="9"/>
    </row>
    <row r="535" spans="1:15" x14ac:dyDescent="0.25">
      <c r="A535" s="4"/>
      <c r="B535" s="9"/>
      <c r="C535" s="52" t="str">
        <f t="shared" si="17"/>
        <v/>
      </c>
      <c r="D535" s="9"/>
      <c r="E535" s="9"/>
      <c r="F535" s="9"/>
      <c r="G535" s="30"/>
      <c r="H535" s="30"/>
      <c r="I535" s="9"/>
      <c r="J535" s="9"/>
      <c r="K535" s="9"/>
      <c r="L535" s="9"/>
      <c r="M535" s="9"/>
      <c r="N535" s="9"/>
      <c r="O535" s="9"/>
    </row>
    <row r="536" spans="1:15" x14ac:dyDescent="0.25">
      <c r="A536" s="4"/>
      <c r="B536" s="9"/>
      <c r="C536" s="52" t="str">
        <f t="shared" si="17"/>
        <v/>
      </c>
      <c r="D536" s="9"/>
      <c r="E536" s="9"/>
      <c r="F536" s="9"/>
      <c r="G536" s="30"/>
      <c r="H536" s="30"/>
      <c r="I536" s="9"/>
      <c r="J536" s="9"/>
      <c r="K536" s="9"/>
      <c r="L536" s="9"/>
      <c r="M536" s="9"/>
      <c r="N536" s="9"/>
      <c r="O536" s="9"/>
    </row>
    <row r="537" spans="1:15" x14ac:dyDescent="0.25">
      <c r="A537" s="4"/>
      <c r="B537" s="9"/>
      <c r="C537" s="52" t="str">
        <f t="shared" si="17"/>
        <v/>
      </c>
      <c r="D537" s="9"/>
      <c r="E537" s="9"/>
      <c r="F537" s="9"/>
      <c r="G537" s="30"/>
      <c r="H537" s="30"/>
      <c r="I537" s="9"/>
      <c r="J537" s="9"/>
      <c r="K537" s="9"/>
      <c r="L537" s="9"/>
      <c r="M537" s="9"/>
      <c r="N537" s="9"/>
      <c r="O537" s="9"/>
    </row>
    <row r="538" spans="1:15" x14ac:dyDescent="0.25">
      <c r="A538" s="4"/>
      <c r="B538" s="9"/>
      <c r="C538" s="52" t="str">
        <f t="shared" si="17"/>
        <v/>
      </c>
      <c r="D538" s="9"/>
      <c r="E538" s="9"/>
      <c r="F538" s="9"/>
      <c r="G538" s="30"/>
      <c r="H538" s="30"/>
      <c r="I538" s="9"/>
      <c r="J538" s="9"/>
      <c r="K538" s="9"/>
      <c r="L538" s="9"/>
      <c r="M538" s="9"/>
      <c r="N538" s="9"/>
      <c r="O538" s="9"/>
    </row>
    <row r="539" spans="1:15" x14ac:dyDescent="0.25">
      <c r="A539" s="4"/>
      <c r="B539" s="9"/>
      <c r="C539" s="52" t="str">
        <f t="shared" si="17"/>
        <v/>
      </c>
      <c r="D539" s="9"/>
      <c r="E539" s="9"/>
      <c r="F539" s="9"/>
      <c r="G539" s="30"/>
      <c r="H539" s="30"/>
      <c r="I539" s="9"/>
      <c r="J539" s="9"/>
      <c r="K539" s="9"/>
      <c r="L539" s="9"/>
      <c r="M539" s="9"/>
      <c r="N539" s="9"/>
      <c r="O539" s="9"/>
    </row>
    <row r="540" spans="1:15" x14ac:dyDescent="0.25">
      <c r="A540" s="4"/>
      <c r="B540" s="9"/>
      <c r="C540" s="52" t="str">
        <f t="shared" si="17"/>
        <v/>
      </c>
      <c r="D540" s="9"/>
      <c r="E540" s="9"/>
      <c r="F540" s="9"/>
      <c r="G540" s="30"/>
      <c r="H540" s="30"/>
      <c r="I540" s="9"/>
      <c r="J540" s="9"/>
      <c r="K540" s="9"/>
      <c r="L540" s="9"/>
      <c r="M540" s="9"/>
      <c r="N540" s="9"/>
      <c r="O540" s="9"/>
    </row>
    <row r="541" spans="1:15" x14ac:dyDescent="0.25">
      <c r="A541" s="4"/>
      <c r="B541" s="9"/>
      <c r="C541" s="52" t="str">
        <f t="shared" si="17"/>
        <v/>
      </c>
      <c r="D541" s="9"/>
      <c r="E541" s="9"/>
      <c r="F541" s="9"/>
      <c r="G541" s="30"/>
      <c r="H541" s="30"/>
      <c r="I541" s="9"/>
      <c r="J541" s="9"/>
      <c r="K541" s="9"/>
      <c r="L541" s="9"/>
      <c r="M541" s="9"/>
      <c r="N541" s="9"/>
      <c r="O541" s="9"/>
    </row>
    <row r="542" spans="1:15" x14ac:dyDescent="0.25">
      <c r="A542" s="4"/>
      <c r="B542" s="9"/>
      <c r="C542" s="52" t="str">
        <f t="shared" si="17"/>
        <v/>
      </c>
      <c r="D542" s="9"/>
      <c r="E542" s="9"/>
      <c r="F542" s="9"/>
      <c r="G542" s="30"/>
      <c r="H542" s="30"/>
      <c r="I542" s="9"/>
      <c r="J542" s="9"/>
      <c r="K542" s="9"/>
      <c r="L542" s="9"/>
      <c r="M542" s="9"/>
      <c r="N542" s="9"/>
      <c r="O542" s="9"/>
    </row>
    <row r="543" spans="1:15" x14ac:dyDescent="0.25">
      <c r="A543" s="4"/>
      <c r="B543" s="9"/>
      <c r="C543" s="52" t="str">
        <f t="shared" si="17"/>
        <v/>
      </c>
      <c r="D543" s="9"/>
      <c r="E543" s="9"/>
      <c r="F543" s="9"/>
      <c r="G543" s="30"/>
      <c r="H543" s="30"/>
      <c r="I543" s="9"/>
      <c r="J543" s="9"/>
      <c r="K543" s="9"/>
      <c r="L543" s="9"/>
      <c r="M543" s="9"/>
      <c r="N543" s="9"/>
      <c r="O543" s="9"/>
    </row>
    <row r="544" spans="1:15" x14ac:dyDescent="0.25">
      <c r="A544" s="4"/>
      <c r="B544" s="9"/>
      <c r="C544" s="52" t="str">
        <f t="shared" si="17"/>
        <v/>
      </c>
      <c r="D544" s="9"/>
      <c r="E544" s="9"/>
      <c r="F544" s="9"/>
      <c r="G544" s="30"/>
      <c r="H544" s="30"/>
      <c r="I544" s="9"/>
      <c r="J544" s="9"/>
      <c r="K544" s="9"/>
      <c r="L544" s="9"/>
      <c r="M544" s="9"/>
      <c r="N544" s="9"/>
      <c r="O544" s="9"/>
    </row>
    <row r="545" spans="1:15" x14ac:dyDescent="0.25">
      <c r="A545" s="4"/>
      <c r="B545" s="9"/>
      <c r="C545" s="52" t="str">
        <f t="shared" si="17"/>
        <v/>
      </c>
      <c r="D545" s="9"/>
      <c r="E545" s="9"/>
      <c r="F545" s="9"/>
      <c r="G545" s="30"/>
      <c r="H545" s="30"/>
      <c r="I545" s="9"/>
      <c r="J545" s="9"/>
      <c r="K545" s="9"/>
      <c r="L545" s="9"/>
      <c r="M545" s="9"/>
      <c r="N545" s="9"/>
      <c r="O545" s="9"/>
    </row>
    <row r="546" spans="1:15" x14ac:dyDescent="0.25">
      <c r="A546" s="4"/>
      <c r="B546" s="9"/>
      <c r="C546" s="52" t="str">
        <f t="shared" si="17"/>
        <v/>
      </c>
      <c r="D546" s="9"/>
      <c r="E546" s="9"/>
      <c r="F546" s="9"/>
      <c r="G546" s="30"/>
      <c r="H546" s="30"/>
      <c r="I546" s="9"/>
      <c r="J546" s="9"/>
      <c r="K546" s="9"/>
      <c r="L546" s="9"/>
      <c r="M546" s="9"/>
      <c r="N546" s="9"/>
      <c r="O546" s="9"/>
    </row>
    <row r="547" spans="1:15" x14ac:dyDescent="0.25">
      <c r="A547" s="4"/>
      <c r="B547" s="9"/>
      <c r="C547" s="52" t="str">
        <f t="shared" si="17"/>
        <v/>
      </c>
      <c r="D547" s="9"/>
      <c r="E547" s="9"/>
      <c r="F547" s="9"/>
      <c r="G547" s="30"/>
      <c r="H547" s="30"/>
      <c r="I547" s="9"/>
      <c r="J547" s="9"/>
      <c r="K547" s="9"/>
      <c r="L547" s="9"/>
      <c r="M547" s="9"/>
      <c r="N547" s="9"/>
      <c r="O547" s="9"/>
    </row>
    <row r="548" spans="1:15" x14ac:dyDescent="0.25">
      <c r="A548" s="4"/>
      <c r="B548" s="9"/>
      <c r="C548" s="52" t="str">
        <f t="shared" si="17"/>
        <v/>
      </c>
      <c r="D548" s="9"/>
      <c r="E548" s="9"/>
      <c r="F548" s="9"/>
      <c r="G548" s="30"/>
      <c r="H548" s="30"/>
      <c r="I548" s="9"/>
      <c r="J548" s="9"/>
      <c r="K548" s="9"/>
      <c r="L548" s="9"/>
      <c r="M548" s="9"/>
      <c r="N548" s="9"/>
      <c r="O548" s="9"/>
    </row>
    <row r="549" spans="1:15" x14ac:dyDescent="0.25">
      <c r="A549" s="4"/>
      <c r="B549" s="9"/>
      <c r="C549" s="52" t="str">
        <f t="shared" si="17"/>
        <v/>
      </c>
      <c r="D549" s="9"/>
      <c r="E549" s="9"/>
      <c r="F549" s="9"/>
      <c r="G549" s="30"/>
      <c r="H549" s="30"/>
      <c r="I549" s="9"/>
      <c r="J549" s="9"/>
      <c r="K549" s="9"/>
      <c r="L549" s="9"/>
      <c r="M549" s="9"/>
      <c r="N549" s="9"/>
      <c r="O549" s="9"/>
    </row>
    <row r="550" spans="1:15" x14ac:dyDescent="0.25">
      <c r="A550" s="4"/>
      <c r="B550" s="9"/>
      <c r="C550" s="52" t="str">
        <f t="shared" si="17"/>
        <v/>
      </c>
      <c r="D550" s="9"/>
      <c r="E550" s="9"/>
      <c r="F550" s="9"/>
      <c r="G550" s="30"/>
      <c r="H550" s="30"/>
      <c r="I550" s="9"/>
      <c r="J550" s="9"/>
      <c r="K550" s="9"/>
      <c r="L550" s="9"/>
      <c r="M550" s="9"/>
      <c r="N550" s="9"/>
      <c r="O550" s="9"/>
    </row>
    <row r="551" spans="1:15" x14ac:dyDescent="0.25">
      <c r="A551" s="4"/>
      <c r="B551" s="9"/>
      <c r="C551" s="52" t="str">
        <f t="shared" si="17"/>
        <v/>
      </c>
      <c r="D551" s="9"/>
      <c r="E551" s="9"/>
      <c r="F551" s="9"/>
      <c r="G551" s="30"/>
      <c r="H551" s="30"/>
      <c r="I551" s="9"/>
      <c r="J551" s="9"/>
      <c r="K551" s="9"/>
      <c r="L551" s="9"/>
      <c r="M551" s="9"/>
      <c r="N551" s="9"/>
      <c r="O551" s="9"/>
    </row>
    <row r="552" spans="1:15" x14ac:dyDescent="0.25">
      <c r="A552" s="4"/>
      <c r="B552" s="9"/>
      <c r="C552" s="52" t="str">
        <f t="shared" si="17"/>
        <v/>
      </c>
      <c r="D552" s="9"/>
      <c r="E552" s="9"/>
      <c r="F552" s="9"/>
      <c r="G552" s="30"/>
      <c r="H552" s="30"/>
      <c r="I552" s="9"/>
      <c r="J552" s="9"/>
      <c r="K552" s="9"/>
      <c r="L552" s="9"/>
      <c r="M552" s="9"/>
      <c r="N552" s="9"/>
      <c r="O552" s="9"/>
    </row>
    <row r="553" spans="1:15" x14ac:dyDescent="0.25">
      <c r="A553" s="4"/>
      <c r="B553" s="9"/>
      <c r="C553" s="52" t="str">
        <f t="shared" si="17"/>
        <v/>
      </c>
      <c r="D553" s="9"/>
      <c r="E553" s="9"/>
      <c r="F553" s="9"/>
      <c r="G553" s="30"/>
      <c r="H553" s="30"/>
      <c r="I553" s="9"/>
      <c r="J553" s="9"/>
      <c r="K553" s="9"/>
      <c r="L553" s="9"/>
      <c r="M553" s="9"/>
      <c r="N553" s="9"/>
      <c r="O553" s="9"/>
    </row>
    <row r="554" spans="1:15" x14ac:dyDescent="0.25">
      <c r="A554" s="4"/>
      <c r="B554" s="9"/>
      <c r="C554" s="52" t="str">
        <f t="shared" si="17"/>
        <v/>
      </c>
      <c r="D554" s="9"/>
      <c r="E554" s="9"/>
      <c r="F554" s="9"/>
      <c r="G554" s="30"/>
      <c r="H554" s="30"/>
      <c r="I554" s="9"/>
      <c r="J554" s="9"/>
      <c r="K554" s="9"/>
      <c r="L554" s="9"/>
      <c r="M554" s="9"/>
      <c r="N554" s="9"/>
      <c r="O554" s="9"/>
    </row>
    <row r="555" spans="1:15" x14ac:dyDescent="0.25">
      <c r="A555" s="4"/>
      <c r="B555" s="9"/>
      <c r="C555" s="52" t="str">
        <f t="shared" si="17"/>
        <v/>
      </c>
      <c r="D555" s="9"/>
      <c r="E555" s="9"/>
      <c r="F555" s="9"/>
      <c r="G555" s="30"/>
      <c r="H555" s="30"/>
      <c r="I555" s="9"/>
      <c r="J555" s="9"/>
      <c r="K555" s="9"/>
      <c r="L555" s="9"/>
      <c r="M555" s="9"/>
      <c r="N555" s="9"/>
      <c r="O555" s="9"/>
    </row>
    <row r="556" spans="1:15" x14ac:dyDescent="0.25">
      <c r="A556" s="4"/>
      <c r="B556" s="9"/>
      <c r="C556" s="52" t="str">
        <f t="shared" si="17"/>
        <v/>
      </c>
      <c r="D556" s="9"/>
      <c r="E556" s="9"/>
      <c r="F556" s="9"/>
      <c r="G556" s="30"/>
      <c r="H556" s="30"/>
      <c r="I556" s="9"/>
      <c r="J556" s="9"/>
      <c r="K556" s="9"/>
      <c r="L556" s="9"/>
      <c r="M556" s="9"/>
      <c r="N556" s="9"/>
      <c r="O556" s="9"/>
    </row>
    <row r="557" spans="1:15" x14ac:dyDescent="0.25">
      <c r="A557" s="4"/>
      <c r="B557" s="9"/>
      <c r="C557" s="52" t="str">
        <f t="shared" si="17"/>
        <v/>
      </c>
      <c r="D557" s="9"/>
      <c r="E557" s="9"/>
      <c r="F557" s="9"/>
      <c r="G557" s="30"/>
      <c r="H557" s="30"/>
      <c r="I557" s="9"/>
      <c r="J557" s="9"/>
      <c r="K557" s="9"/>
      <c r="L557" s="9"/>
      <c r="M557" s="9"/>
      <c r="N557" s="9"/>
      <c r="O557" s="9"/>
    </row>
    <row r="558" spans="1:15" x14ac:dyDescent="0.25">
      <c r="A558" s="4"/>
      <c r="B558" s="9"/>
      <c r="C558" s="52" t="str">
        <f t="shared" si="17"/>
        <v/>
      </c>
      <c r="D558" s="9"/>
      <c r="E558" s="9"/>
      <c r="F558" s="9"/>
      <c r="G558" s="30"/>
      <c r="H558" s="30"/>
      <c r="I558" s="9"/>
      <c r="J558" s="9"/>
      <c r="K558" s="9"/>
      <c r="L558" s="9"/>
      <c r="M558" s="9"/>
      <c r="N558" s="9"/>
      <c r="O558" s="9"/>
    </row>
    <row r="559" spans="1:15" x14ac:dyDescent="0.25">
      <c r="A559" s="4"/>
      <c r="B559" s="9"/>
      <c r="C559" s="52" t="str">
        <f t="shared" si="17"/>
        <v/>
      </c>
      <c r="D559" s="9"/>
      <c r="E559" s="9"/>
      <c r="F559" s="9"/>
      <c r="G559" s="30"/>
      <c r="H559" s="30"/>
      <c r="I559" s="9"/>
      <c r="J559" s="9"/>
      <c r="K559" s="9"/>
      <c r="L559" s="9"/>
      <c r="M559" s="9"/>
      <c r="N559" s="9"/>
      <c r="O559" s="9"/>
    </row>
    <row r="560" spans="1:15" x14ac:dyDescent="0.25">
      <c r="A560" s="4"/>
      <c r="B560" s="9"/>
      <c r="C560" s="52" t="str">
        <f t="shared" si="17"/>
        <v/>
      </c>
      <c r="D560" s="9"/>
      <c r="E560" s="9"/>
      <c r="F560" s="9"/>
      <c r="G560" s="30"/>
      <c r="H560" s="30"/>
      <c r="I560" s="9"/>
      <c r="J560" s="9"/>
      <c r="K560" s="9"/>
      <c r="L560" s="9"/>
      <c r="M560" s="9"/>
      <c r="N560" s="9"/>
      <c r="O560" s="9"/>
    </row>
    <row r="561" spans="1:15" x14ac:dyDescent="0.25">
      <c r="A561" s="4"/>
      <c r="B561" s="9"/>
      <c r="C561" s="52" t="str">
        <f t="shared" si="17"/>
        <v/>
      </c>
      <c r="D561" s="9"/>
      <c r="E561" s="9"/>
      <c r="F561" s="9"/>
      <c r="G561" s="30"/>
      <c r="H561" s="30"/>
      <c r="I561" s="9"/>
      <c r="J561" s="9"/>
      <c r="K561" s="9"/>
      <c r="L561" s="9"/>
      <c r="M561" s="9"/>
      <c r="N561" s="9"/>
      <c r="O561" s="9"/>
    </row>
    <row r="562" spans="1:15" x14ac:dyDescent="0.25">
      <c r="A562" s="4"/>
      <c r="B562" s="9"/>
      <c r="C562" s="52" t="str">
        <f t="shared" si="17"/>
        <v/>
      </c>
      <c r="D562" s="9"/>
      <c r="E562" s="9"/>
      <c r="F562" s="9"/>
      <c r="G562" s="30"/>
      <c r="H562" s="30"/>
      <c r="I562" s="9"/>
      <c r="J562" s="9"/>
      <c r="K562" s="9"/>
      <c r="L562" s="9"/>
      <c r="M562" s="9"/>
      <c r="N562" s="9"/>
      <c r="O562" s="9"/>
    </row>
    <row r="563" spans="1:15" x14ac:dyDescent="0.25">
      <c r="A563" s="4"/>
      <c r="B563" s="9"/>
      <c r="C563" s="52" t="str">
        <f t="shared" si="17"/>
        <v/>
      </c>
      <c r="D563" s="9"/>
      <c r="E563" s="9"/>
      <c r="F563" s="9"/>
      <c r="G563" s="30"/>
      <c r="H563" s="30"/>
      <c r="I563" s="9"/>
      <c r="J563" s="9"/>
      <c r="K563" s="9"/>
      <c r="L563" s="9"/>
      <c r="M563" s="9"/>
      <c r="N563" s="9"/>
      <c r="O563" s="9"/>
    </row>
    <row r="564" spans="1:15" x14ac:dyDescent="0.25">
      <c r="A564" s="4"/>
      <c r="B564" s="9"/>
      <c r="C564" s="52" t="str">
        <f t="shared" si="17"/>
        <v/>
      </c>
      <c r="D564" s="9"/>
      <c r="E564" s="9"/>
      <c r="F564" s="9"/>
      <c r="G564" s="30"/>
      <c r="H564" s="30"/>
      <c r="I564" s="9"/>
      <c r="J564" s="9"/>
      <c r="K564" s="9"/>
      <c r="L564" s="9"/>
      <c r="M564" s="9"/>
      <c r="N564" s="9"/>
      <c r="O564" s="9"/>
    </row>
    <row r="565" spans="1:15" x14ac:dyDescent="0.25">
      <c r="A565" s="4"/>
      <c r="B565" s="9"/>
      <c r="C565" s="52" t="str">
        <f t="shared" si="17"/>
        <v/>
      </c>
      <c r="D565" s="9"/>
      <c r="E565" s="9"/>
      <c r="F565" s="9"/>
      <c r="G565" s="30"/>
      <c r="H565" s="30"/>
      <c r="I565" s="9"/>
      <c r="J565" s="9"/>
      <c r="K565" s="9"/>
      <c r="L565" s="9"/>
      <c r="M565" s="9"/>
      <c r="N565" s="9"/>
      <c r="O565" s="9"/>
    </row>
    <row r="566" spans="1:15" x14ac:dyDescent="0.25">
      <c r="A566" s="4"/>
      <c r="B566" s="9"/>
      <c r="C566" s="52" t="str">
        <f t="shared" si="17"/>
        <v/>
      </c>
      <c r="D566" s="9"/>
      <c r="E566" s="9"/>
      <c r="F566" s="9"/>
      <c r="G566" s="30"/>
      <c r="H566" s="30"/>
      <c r="I566" s="9"/>
      <c r="J566" s="9"/>
      <c r="K566" s="9"/>
      <c r="L566" s="9"/>
      <c r="M566" s="9"/>
      <c r="N566" s="9"/>
      <c r="O566" s="9"/>
    </row>
    <row r="567" spans="1:15" x14ac:dyDescent="0.25">
      <c r="A567" s="4"/>
      <c r="B567" s="9"/>
      <c r="C567" s="52" t="str">
        <f t="shared" si="17"/>
        <v/>
      </c>
      <c r="D567" s="9"/>
      <c r="E567" s="9"/>
      <c r="F567" s="9"/>
      <c r="G567" s="30"/>
      <c r="H567" s="30"/>
      <c r="I567" s="9"/>
      <c r="J567" s="9"/>
      <c r="K567" s="9"/>
      <c r="L567" s="9"/>
      <c r="M567" s="9"/>
      <c r="N567" s="9"/>
      <c r="O567" s="9"/>
    </row>
    <row r="568" spans="1:15" x14ac:dyDescent="0.25">
      <c r="A568" s="4"/>
      <c r="B568" s="9"/>
      <c r="C568" s="52" t="str">
        <f t="shared" si="17"/>
        <v/>
      </c>
      <c r="D568" s="9"/>
      <c r="E568" s="9"/>
      <c r="F568" s="9"/>
      <c r="G568" s="30"/>
      <c r="H568" s="30"/>
      <c r="I568" s="9"/>
      <c r="J568" s="9"/>
      <c r="K568" s="9"/>
      <c r="L568" s="9"/>
      <c r="M568" s="9"/>
      <c r="N568" s="9"/>
      <c r="O568" s="9"/>
    </row>
    <row r="569" spans="1:15" x14ac:dyDescent="0.25">
      <c r="A569" s="4"/>
      <c r="B569" s="9"/>
      <c r="C569" s="52" t="str">
        <f t="shared" si="17"/>
        <v/>
      </c>
      <c r="D569" s="9"/>
      <c r="E569" s="9"/>
      <c r="F569" s="9"/>
      <c r="G569" s="30"/>
      <c r="H569" s="30"/>
      <c r="I569" s="9"/>
      <c r="J569" s="9"/>
      <c r="K569" s="9"/>
      <c r="L569" s="9"/>
      <c r="M569" s="9"/>
      <c r="N569" s="9"/>
      <c r="O569" s="9"/>
    </row>
    <row r="570" spans="1:15" x14ac:dyDescent="0.25">
      <c r="A570" s="4"/>
      <c r="B570" s="9"/>
      <c r="C570" s="52" t="str">
        <f t="shared" si="17"/>
        <v/>
      </c>
      <c r="D570" s="9"/>
      <c r="E570" s="9"/>
      <c r="F570" s="9"/>
      <c r="G570" s="30"/>
      <c r="H570" s="30"/>
      <c r="I570" s="9"/>
      <c r="J570" s="9"/>
      <c r="K570" s="9"/>
      <c r="L570" s="9"/>
      <c r="M570" s="9"/>
      <c r="N570" s="9"/>
      <c r="O570" s="9"/>
    </row>
    <row r="571" spans="1:15" x14ac:dyDescent="0.25">
      <c r="A571" s="4"/>
      <c r="B571" s="9"/>
      <c r="C571" s="52" t="str">
        <f t="shared" si="17"/>
        <v/>
      </c>
      <c r="D571" s="9"/>
      <c r="E571" s="9"/>
      <c r="F571" s="9"/>
      <c r="G571" s="30"/>
      <c r="H571" s="30"/>
      <c r="I571" s="9"/>
      <c r="J571" s="9"/>
      <c r="K571" s="9"/>
      <c r="L571" s="9"/>
      <c r="M571" s="9"/>
      <c r="N571" s="9"/>
      <c r="O571" s="9"/>
    </row>
    <row r="572" spans="1:15" x14ac:dyDescent="0.25">
      <c r="A572" s="4"/>
      <c r="B572" s="9"/>
      <c r="C572" s="52" t="str">
        <f t="shared" si="17"/>
        <v/>
      </c>
      <c r="D572" s="9"/>
      <c r="E572" s="9"/>
      <c r="F572" s="9"/>
      <c r="G572" s="30"/>
      <c r="H572" s="30"/>
      <c r="I572" s="9"/>
      <c r="J572" s="9"/>
      <c r="K572" s="9"/>
      <c r="L572" s="9"/>
      <c r="M572" s="9"/>
      <c r="N572" s="9"/>
      <c r="O572" s="9"/>
    </row>
    <row r="573" spans="1:15" x14ac:dyDescent="0.25">
      <c r="A573" s="4"/>
      <c r="B573" s="9"/>
      <c r="C573" s="52" t="str">
        <f t="shared" si="17"/>
        <v/>
      </c>
      <c r="D573" s="9"/>
      <c r="E573" s="9"/>
      <c r="F573" s="9"/>
      <c r="G573" s="30"/>
      <c r="H573" s="30"/>
      <c r="I573" s="9"/>
      <c r="J573" s="9"/>
      <c r="K573" s="9"/>
      <c r="L573" s="9"/>
      <c r="M573" s="9"/>
      <c r="N573" s="9"/>
      <c r="O573" s="9"/>
    </row>
    <row r="574" spans="1:15" x14ac:dyDescent="0.25">
      <c r="A574" s="4"/>
      <c r="B574" s="9"/>
      <c r="C574" s="52" t="str">
        <f t="shared" si="17"/>
        <v/>
      </c>
      <c r="D574" s="9"/>
      <c r="E574" s="9"/>
      <c r="F574" s="9"/>
      <c r="G574" s="30"/>
      <c r="H574" s="30"/>
      <c r="I574" s="9"/>
      <c r="J574" s="9"/>
      <c r="K574" s="9"/>
      <c r="L574" s="9"/>
      <c r="M574" s="9"/>
      <c r="N574" s="9"/>
      <c r="O574" s="9"/>
    </row>
    <row r="575" spans="1:15" x14ac:dyDescent="0.25">
      <c r="A575" s="4"/>
      <c r="B575" s="9"/>
      <c r="C575" s="52" t="str">
        <f t="shared" si="17"/>
        <v/>
      </c>
      <c r="D575" s="9"/>
      <c r="E575" s="9"/>
      <c r="F575" s="9"/>
      <c r="G575" s="30"/>
      <c r="H575" s="30"/>
      <c r="I575" s="9"/>
      <c r="J575" s="9"/>
      <c r="K575" s="9"/>
      <c r="L575" s="9"/>
      <c r="M575" s="9"/>
      <c r="N575" s="9"/>
      <c r="O575" s="9"/>
    </row>
    <row r="576" spans="1:15" x14ac:dyDescent="0.25">
      <c r="A576" s="4"/>
      <c r="B576" s="9"/>
      <c r="C576" s="52" t="str">
        <f t="shared" si="17"/>
        <v/>
      </c>
      <c r="D576" s="9"/>
      <c r="E576" s="9"/>
      <c r="F576" s="9"/>
      <c r="G576" s="30"/>
      <c r="H576" s="30"/>
      <c r="I576" s="9"/>
      <c r="J576" s="9"/>
      <c r="K576" s="9"/>
      <c r="L576" s="9"/>
      <c r="M576" s="9"/>
      <c r="N576" s="9"/>
      <c r="O576" s="9"/>
    </row>
    <row r="577" spans="1:15" x14ac:dyDescent="0.25">
      <c r="A577" s="4"/>
      <c r="B577" s="9"/>
      <c r="C577" s="52" t="str">
        <f t="shared" si="17"/>
        <v/>
      </c>
      <c r="D577" s="9"/>
      <c r="E577" s="9"/>
      <c r="F577" s="9"/>
      <c r="G577" s="30"/>
      <c r="H577" s="30"/>
      <c r="I577" s="9"/>
      <c r="J577" s="9"/>
      <c r="K577" s="9"/>
      <c r="L577" s="9"/>
      <c r="M577" s="9"/>
      <c r="N577" s="9"/>
      <c r="O577" s="9"/>
    </row>
    <row r="578" spans="1:15" x14ac:dyDescent="0.25">
      <c r="A578" s="4"/>
      <c r="B578" s="9"/>
      <c r="C578" s="52" t="str">
        <f t="shared" si="17"/>
        <v/>
      </c>
      <c r="D578" s="9"/>
      <c r="E578" s="9"/>
      <c r="F578" s="9"/>
      <c r="G578" s="30"/>
      <c r="H578" s="30"/>
      <c r="I578" s="9"/>
      <c r="J578" s="9"/>
      <c r="K578" s="9"/>
      <c r="L578" s="9"/>
      <c r="M578" s="9"/>
      <c r="N578" s="9"/>
      <c r="O578" s="9"/>
    </row>
    <row r="579" spans="1:15" x14ac:dyDescent="0.25">
      <c r="A579" s="4"/>
      <c r="B579" s="9"/>
      <c r="C579" s="52" t="str">
        <f t="shared" si="17"/>
        <v/>
      </c>
      <c r="D579" s="9"/>
      <c r="E579" s="9"/>
      <c r="F579" s="9"/>
      <c r="G579" s="30"/>
      <c r="H579" s="30"/>
      <c r="I579" s="9"/>
      <c r="J579" s="9"/>
      <c r="K579" s="9"/>
      <c r="L579" s="9"/>
      <c r="M579" s="9"/>
      <c r="N579" s="9"/>
      <c r="O579" s="9"/>
    </row>
    <row r="580" spans="1:15" x14ac:dyDescent="0.25">
      <c r="A580" s="4"/>
      <c r="B580" s="9"/>
      <c r="C580" s="52" t="str">
        <f t="shared" si="17"/>
        <v/>
      </c>
      <c r="D580" s="9"/>
      <c r="E580" s="9"/>
      <c r="F580" s="9"/>
      <c r="G580" s="30"/>
      <c r="H580" s="30"/>
      <c r="I580" s="9"/>
      <c r="J580" s="9"/>
      <c r="K580" s="9"/>
      <c r="L580" s="9"/>
      <c r="M580" s="9"/>
      <c r="N580" s="9"/>
      <c r="O580" s="9"/>
    </row>
    <row r="581" spans="1:15" x14ac:dyDescent="0.25">
      <c r="A581" s="4"/>
      <c r="B581" s="9"/>
      <c r="C581" s="52" t="str">
        <f t="shared" si="17"/>
        <v/>
      </c>
      <c r="D581" s="9"/>
      <c r="E581" s="9"/>
      <c r="F581" s="9"/>
      <c r="G581" s="30"/>
      <c r="H581" s="30"/>
      <c r="I581" s="9"/>
      <c r="J581" s="9"/>
      <c r="K581" s="9"/>
      <c r="L581" s="9"/>
      <c r="M581" s="9"/>
      <c r="N581" s="9"/>
      <c r="O581" s="9"/>
    </row>
    <row r="582" spans="1:15" x14ac:dyDescent="0.25">
      <c r="A582" s="4"/>
      <c r="B582" s="9"/>
      <c r="C582" s="52" t="str">
        <f t="shared" si="17"/>
        <v/>
      </c>
      <c r="D582" s="9"/>
      <c r="E582" s="9"/>
      <c r="F582" s="9"/>
      <c r="G582" s="30"/>
      <c r="H582" s="30"/>
      <c r="I582" s="9"/>
      <c r="J582" s="9"/>
      <c r="K582" s="9"/>
      <c r="L582" s="9"/>
      <c r="M582" s="9"/>
      <c r="N582" s="9"/>
      <c r="O582" s="9"/>
    </row>
    <row r="583" spans="1:15" x14ac:dyDescent="0.25">
      <c r="A583" s="4"/>
      <c r="B583" s="9"/>
      <c r="C583" s="52" t="str">
        <f t="shared" si="17"/>
        <v/>
      </c>
      <c r="D583" s="9"/>
      <c r="E583" s="9"/>
      <c r="F583" s="9"/>
      <c r="G583" s="30"/>
      <c r="H583" s="30"/>
      <c r="I583" s="9"/>
      <c r="J583" s="9"/>
      <c r="K583" s="9"/>
      <c r="L583" s="9"/>
      <c r="M583" s="9"/>
      <c r="N583" s="9"/>
      <c r="O583" s="9"/>
    </row>
    <row r="584" spans="1:15" x14ac:dyDescent="0.25">
      <c r="A584" s="4"/>
      <c r="B584" s="9"/>
      <c r="C584" s="52" t="str">
        <f t="shared" si="17"/>
        <v/>
      </c>
      <c r="D584" s="9"/>
      <c r="E584" s="9"/>
      <c r="F584" s="9"/>
      <c r="G584" s="30"/>
      <c r="H584" s="30"/>
      <c r="I584" s="9"/>
      <c r="J584" s="9"/>
      <c r="K584" s="9"/>
      <c r="L584" s="9"/>
      <c r="M584" s="9"/>
      <c r="N584" s="9"/>
      <c r="O584" s="9"/>
    </row>
    <row r="585" spans="1:15" x14ac:dyDescent="0.25">
      <c r="A585" s="4"/>
      <c r="B585" s="9"/>
      <c r="C585" s="52" t="str">
        <f t="shared" si="17"/>
        <v/>
      </c>
      <c r="D585" s="9"/>
      <c r="E585" s="9"/>
      <c r="F585" s="9"/>
      <c r="G585" s="30"/>
      <c r="H585" s="30"/>
      <c r="I585" s="9"/>
      <c r="J585" s="9"/>
      <c r="K585" s="9"/>
      <c r="L585" s="9"/>
      <c r="M585" s="9"/>
      <c r="N585" s="9"/>
      <c r="O585" s="9"/>
    </row>
    <row r="586" spans="1:15" x14ac:dyDescent="0.25">
      <c r="A586" s="4"/>
      <c r="B586" s="9"/>
      <c r="C586" s="52" t="str">
        <f t="shared" si="17"/>
        <v/>
      </c>
      <c r="D586" s="9"/>
      <c r="E586" s="9"/>
      <c r="F586" s="9"/>
      <c r="G586" s="30"/>
      <c r="H586" s="30"/>
      <c r="I586" s="9"/>
      <c r="J586" s="9"/>
      <c r="K586" s="9"/>
      <c r="L586" s="9"/>
      <c r="M586" s="9"/>
      <c r="N586" s="9"/>
      <c r="O586" s="9"/>
    </row>
    <row r="587" spans="1:15" x14ac:dyDescent="0.25">
      <c r="A587" s="4"/>
      <c r="B587" s="9"/>
      <c r="C587" s="52" t="str">
        <f t="shared" si="17"/>
        <v/>
      </c>
      <c r="D587" s="9"/>
      <c r="E587" s="9"/>
      <c r="F587" s="9"/>
      <c r="G587" s="30"/>
      <c r="H587" s="30"/>
      <c r="I587" s="9"/>
      <c r="J587" s="9"/>
      <c r="K587" s="9"/>
      <c r="L587" s="9"/>
      <c r="M587" s="9"/>
      <c r="N587" s="9"/>
      <c r="O587" s="9"/>
    </row>
    <row r="588" spans="1:15" x14ac:dyDescent="0.25">
      <c r="A588" s="4"/>
      <c r="B588" s="9"/>
      <c r="C588" s="52" t="str">
        <f t="shared" si="17"/>
        <v/>
      </c>
      <c r="D588" s="9"/>
      <c r="E588" s="9"/>
      <c r="F588" s="9"/>
      <c r="G588" s="30"/>
      <c r="H588" s="30"/>
      <c r="I588" s="9"/>
      <c r="J588" s="9"/>
      <c r="K588" s="9"/>
      <c r="L588" s="9"/>
      <c r="M588" s="9"/>
      <c r="N588" s="9"/>
      <c r="O588" s="9"/>
    </row>
    <row r="589" spans="1:15" x14ac:dyDescent="0.25">
      <c r="A589" s="4"/>
      <c r="B589" s="9"/>
      <c r="C589" s="52" t="str">
        <f t="shared" si="17"/>
        <v/>
      </c>
      <c r="D589" s="9"/>
      <c r="E589" s="9"/>
      <c r="F589" s="9"/>
      <c r="G589" s="30"/>
      <c r="H589" s="30"/>
      <c r="I589" s="9"/>
      <c r="J589" s="9"/>
      <c r="K589" s="9"/>
      <c r="L589" s="9"/>
      <c r="M589" s="9"/>
      <c r="N589" s="9"/>
      <c r="O589" s="9"/>
    </row>
    <row r="590" spans="1:15" x14ac:dyDescent="0.25">
      <c r="A590" s="4"/>
      <c r="B590" s="9"/>
      <c r="C590" s="52" t="str">
        <f t="shared" si="17"/>
        <v/>
      </c>
      <c r="D590" s="9"/>
      <c r="E590" s="9"/>
      <c r="F590" s="9"/>
      <c r="G590" s="30"/>
      <c r="H590" s="30"/>
      <c r="I590" s="9"/>
      <c r="J590" s="9"/>
      <c r="K590" s="9"/>
      <c r="L590" s="9"/>
      <c r="M590" s="9"/>
      <c r="N590" s="9"/>
      <c r="O590" s="9"/>
    </row>
    <row r="591" spans="1:15" x14ac:dyDescent="0.25">
      <c r="A591" s="4"/>
      <c r="B591" s="9"/>
      <c r="C591" s="52" t="str">
        <f t="shared" si="17"/>
        <v/>
      </c>
      <c r="D591" s="9"/>
      <c r="E591" s="9"/>
      <c r="F591" s="9"/>
      <c r="G591" s="30"/>
      <c r="H591" s="30"/>
      <c r="I591" s="9"/>
      <c r="J591" s="9"/>
      <c r="K591" s="9"/>
      <c r="L591" s="9"/>
      <c r="M591" s="9"/>
      <c r="N591" s="9"/>
      <c r="O591" s="9"/>
    </row>
    <row r="592" spans="1:15" x14ac:dyDescent="0.25">
      <c r="A592" s="4"/>
      <c r="B592" s="9"/>
      <c r="C592" s="52" t="str">
        <f t="shared" si="17"/>
        <v/>
      </c>
      <c r="D592" s="9"/>
      <c r="E592" s="9"/>
      <c r="F592" s="9"/>
      <c r="G592" s="30"/>
      <c r="H592" s="30"/>
      <c r="I592" s="9"/>
      <c r="J592" s="9"/>
      <c r="K592" s="9"/>
      <c r="L592" s="9"/>
      <c r="M592" s="9"/>
      <c r="N592" s="9"/>
      <c r="O592" s="9"/>
    </row>
    <row r="593" spans="1:15" x14ac:dyDescent="0.25">
      <c r="A593" s="4"/>
      <c r="B593" s="9"/>
      <c r="C593" s="52" t="str">
        <f t="shared" si="17"/>
        <v/>
      </c>
      <c r="D593" s="9"/>
      <c r="E593" s="9"/>
      <c r="F593" s="9"/>
      <c r="G593" s="30"/>
      <c r="H593" s="30"/>
      <c r="I593" s="9"/>
      <c r="J593" s="9"/>
      <c r="K593" s="9"/>
      <c r="L593" s="9"/>
      <c r="M593" s="9"/>
      <c r="N593" s="9"/>
      <c r="O593" s="9"/>
    </row>
    <row r="594" spans="1:15" x14ac:dyDescent="0.25">
      <c r="A594" s="4"/>
      <c r="B594" s="9"/>
      <c r="C594" s="52" t="str">
        <f t="shared" si="17"/>
        <v/>
      </c>
      <c r="D594" s="9"/>
      <c r="E594" s="9"/>
      <c r="F594" s="9"/>
      <c r="G594" s="30"/>
      <c r="H594" s="30"/>
      <c r="I594" s="9"/>
      <c r="J594" s="9"/>
      <c r="K594" s="9"/>
      <c r="L594" s="9"/>
      <c r="M594" s="9"/>
      <c r="N594" s="9"/>
      <c r="O594" s="9"/>
    </row>
    <row r="595" spans="1:15" x14ac:dyDescent="0.25">
      <c r="A595" s="4"/>
      <c r="B595" s="9"/>
      <c r="C595" s="52" t="str">
        <f t="shared" ref="C595:C658" si="18">IF(ISBLANK(D595), "", CONCATENATE(D595,E595,"_",F595,"_",L595))</f>
        <v/>
      </c>
      <c r="D595" s="9"/>
      <c r="E595" s="9"/>
      <c r="F595" s="9"/>
      <c r="G595" s="30"/>
      <c r="H595" s="30"/>
      <c r="I595" s="9"/>
      <c r="J595" s="9"/>
      <c r="K595" s="9"/>
      <c r="L595" s="9"/>
      <c r="M595" s="9"/>
      <c r="N595" s="9"/>
      <c r="O595" s="9"/>
    </row>
    <row r="596" spans="1:15" x14ac:dyDescent="0.25">
      <c r="A596" s="4"/>
      <c r="B596" s="9"/>
      <c r="C596" s="52" t="str">
        <f t="shared" si="18"/>
        <v/>
      </c>
      <c r="D596" s="9"/>
      <c r="E596" s="9"/>
      <c r="F596" s="9"/>
      <c r="G596" s="30"/>
      <c r="H596" s="30"/>
      <c r="I596" s="9"/>
      <c r="J596" s="9"/>
      <c r="K596" s="9"/>
      <c r="L596" s="9"/>
      <c r="M596" s="9"/>
      <c r="N596" s="9"/>
      <c r="O596" s="9"/>
    </row>
    <row r="597" spans="1:15" x14ac:dyDescent="0.25">
      <c r="A597" s="4"/>
      <c r="B597" s="9"/>
      <c r="C597" s="52" t="str">
        <f t="shared" si="18"/>
        <v/>
      </c>
      <c r="D597" s="9"/>
      <c r="E597" s="9"/>
      <c r="F597" s="9"/>
      <c r="G597" s="30"/>
      <c r="H597" s="30"/>
      <c r="I597" s="9"/>
      <c r="J597" s="9"/>
      <c r="K597" s="9"/>
      <c r="L597" s="9"/>
      <c r="M597" s="9"/>
      <c r="N597" s="9"/>
      <c r="O597" s="9"/>
    </row>
    <row r="598" spans="1:15" x14ac:dyDescent="0.25">
      <c r="A598" s="4"/>
      <c r="B598" s="9"/>
      <c r="C598" s="52" t="str">
        <f t="shared" si="18"/>
        <v/>
      </c>
      <c r="D598" s="9"/>
      <c r="E598" s="9"/>
      <c r="F598" s="9"/>
      <c r="G598" s="30"/>
      <c r="H598" s="30"/>
      <c r="I598" s="9"/>
      <c r="J598" s="9"/>
      <c r="K598" s="9"/>
      <c r="L598" s="9"/>
      <c r="M598" s="9"/>
      <c r="N598" s="9"/>
      <c r="O598" s="9"/>
    </row>
    <row r="599" spans="1:15" x14ac:dyDescent="0.25">
      <c r="A599" s="4"/>
      <c r="B599" s="9"/>
      <c r="C599" s="52" t="str">
        <f t="shared" si="18"/>
        <v/>
      </c>
      <c r="D599" s="9"/>
      <c r="E599" s="9"/>
      <c r="F599" s="9"/>
      <c r="G599" s="30"/>
      <c r="H599" s="30"/>
      <c r="I599" s="9"/>
      <c r="J599" s="9"/>
      <c r="K599" s="9"/>
      <c r="L599" s="9"/>
      <c r="M599" s="9"/>
      <c r="N599" s="9"/>
      <c r="O599" s="9"/>
    </row>
    <row r="600" spans="1:15" x14ac:dyDescent="0.25">
      <c r="A600" s="4"/>
      <c r="B600" s="9"/>
      <c r="C600" s="52" t="str">
        <f t="shared" si="18"/>
        <v/>
      </c>
      <c r="D600" s="9"/>
      <c r="E600" s="9"/>
      <c r="F600" s="9"/>
      <c r="G600" s="30"/>
      <c r="H600" s="30"/>
      <c r="I600" s="9"/>
      <c r="J600" s="9"/>
      <c r="K600" s="9"/>
      <c r="L600" s="9"/>
      <c r="M600" s="9"/>
      <c r="N600" s="9"/>
      <c r="O600" s="9"/>
    </row>
    <row r="601" spans="1:15" x14ac:dyDescent="0.25">
      <c r="A601" s="4"/>
      <c r="B601" s="9"/>
      <c r="C601" s="52" t="str">
        <f t="shared" si="18"/>
        <v/>
      </c>
      <c r="D601" s="9"/>
      <c r="E601" s="9"/>
      <c r="F601" s="9"/>
      <c r="G601" s="30"/>
      <c r="H601" s="30"/>
      <c r="I601" s="9"/>
      <c r="J601" s="9"/>
      <c r="K601" s="9"/>
      <c r="L601" s="9"/>
      <c r="M601" s="9"/>
      <c r="N601" s="9"/>
      <c r="O601" s="9"/>
    </row>
    <row r="602" spans="1:15" x14ac:dyDescent="0.25">
      <c r="A602" s="4"/>
      <c r="B602" s="9"/>
      <c r="C602" s="52" t="str">
        <f t="shared" si="18"/>
        <v/>
      </c>
      <c r="D602" s="9"/>
      <c r="E602" s="9"/>
      <c r="F602" s="9"/>
      <c r="G602" s="30"/>
      <c r="H602" s="30"/>
      <c r="I602" s="9"/>
      <c r="J602" s="9"/>
      <c r="K602" s="9"/>
      <c r="L602" s="9"/>
      <c r="M602" s="9"/>
      <c r="N602" s="9"/>
      <c r="O602" s="9"/>
    </row>
    <row r="603" spans="1:15" x14ac:dyDescent="0.25">
      <c r="A603" s="4"/>
      <c r="B603" s="9"/>
      <c r="C603" s="52" t="str">
        <f t="shared" si="18"/>
        <v/>
      </c>
      <c r="D603" s="9"/>
      <c r="E603" s="9"/>
      <c r="F603" s="9"/>
      <c r="G603" s="30"/>
      <c r="H603" s="30"/>
      <c r="I603" s="9"/>
      <c r="J603" s="9"/>
      <c r="K603" s="9"/>
      <c r="L603" s="9"/>
      <c r="M603" s="9"/>
      <c r="N603" s="9"/>
      <c r="O603" s="9"/>
    </row>
    <row r="604" spans="1:15" x14ac:dyDescent="0.25">
      <c r="A604" s="4"/>
      <c r="B604" s="9"/>
      <c r="C604" s="52" t="str">
        <f t="shared" si="18"/>
        <v/>
      </c>
      <c r="D604" s="9"/>
      <c r="E604" s="9"/>
      <c r="F604" s="9"/>
      <c r="G604" s="30"/>
      <c r="H604" s="30"/>
      <c r="I604" s="9"/>
      <c r="J604" s="9"/>
      <c r="K604" s="9"/>
      <c r="L604" s="9"/>
      <c r="M604" s="9"/>
      <c r="N604" s="9"/>
      <c r="O604" s="9"/>
    </row>
    <row r="605" spans="1:15" x14ac:dyDescent="0.25">
      <c r="A605" s="4"/>
      <c r="B605" s="9"/>
      <c r="C605" s="52" t="str">
        <f t="shared" si="18"/>
        <v/>
      </c>
      <c r="D605" s="9"/>
      <c r="E605" s="9"/>
      <c r="F605" s="9"/>
      <c r="G605" s="30"/>
      <c r="H605" s="30"/>
      <c r="I605" s="9"/>
      <c r="J605" s="9"/>
      <c r="K605" s="9"/>
      <c r="L605" s="9"/>
      <c r="M605" s="9"/>
      <c r="N605" s="9"/>
      <c r="O605" s="9"/>
    </row>
    <row r="606" spans="1:15" x14ac:dyDescent="0.25">
      <c r="A606" s="4"/>
      <c r="B606" s="9"/>
      <c r="C606" s="52" t="str">
        <f t="shared" si="18"/>
        <v/>
      </c>
      <c r="D606" s="9"/>
      <c r="E606" s="9"/>
      <c r="F606" s="9"/>
      <c r="G606" s="30"/>
      <c r="H606" s="30"/>
      <c r="I606" s="9"/>
      <c r="J606" s="9"/>
      <c r="K606" s="9"/>
      <c r="L606" s="9"/>
      <c r="M606" s="9"/>
      <c r="N606" s="9"/>
      <c r="O606" s="9"/>
    </row>
    <row r="607" spans="1:15" x14ac:dyDescent="0.25">
      <c r="A607" s="4"/>
      <c r="B607" s="9"/>
      <c r="C607" s="52" t="str">
        <f t="shared" si="18"/>
        <v/>
      </c>
      <c r="D607" s="9"/>
      <c r="E607" s="9"/>
      <c r="F607" s="9"/>
      <c r="G607" s="30"/>
      <c r="H607" s="30"/>
      <c r="I607" s="9"/>
      <c r="J607" s="9"/>
      <c r="K607" s="9"/>
      <c r="L607" s="9"/>
      <c r="M607" s="9"/>
      <c r="N607" s="9"/>
      <c r="O607" s="9"/>
    </row>
    <row r="608" spans="1:15" x14ac:dyDescent="0.25">
      <c r="A608" s="4"/>
      <c r="B608" s="9"/>
      <c r="C608" s="52" t="str">
        <f t="shared" si="18"/>
        <v/>
      </c>
      <c r="D608" s="9"/>
      <c r="E608" s="9"/>
      <c r="F608" s="9"/>
      <c r="G608" s="30"/>
      <c r="H608" s="30"/>
      <c r="I608" s="9"/>
      <c r="J608" s="9"/>
      <c r="K608" s="9"/>
      <c r="L608" s="9"/>
      <c r="M608" s="9"/>
      <c r="N608" s="9"/>
      <c r="O608" s="9"/>
    </row>
    <row r="609" spans="1:15" x14ac:dyDescent="0.25">
      <c r="A609" s="4"/>
      <c r="B609" s="9"/>
      <c r="C609" s="52" t="str">
        <f t="shared" si="18"/>
        <v/>
      </c>
      <c r="D609" s="9"/>
      <c r="E609" s="9"/>
      <c r="F609" s="9"/>
      <c r="G609" s="30"/>
      <c r="H609" s="30"/>
      <c r="I609" s="9"/>
      <c r="J609" s="9"/>
      <c r="K609" s="9"/>
      <c r="L609" s="9"/>
      <c r="M609" s="9"/>
      <c r="N609" s="9"/>
      <c r="O609" s="9"/>
    </row>
    <row r="610" spans="1:15" x14ac:dyDescent="0.25">
      <c r="A610" s="4"/>
      <c r="B610" s="9"/>
      <c r="C610" s="52" t="str">
        <f t="shared" si="18"/>
        <v/>
      </c>
      <c r="D610" s="9"/>
      <c r="E610" s="9"/>
      <c r="F610" s="9"/>
      <c r="G610" s="30"/>
      <c r="H610" s="30"/>
      <c r="I610" s="9"/>
      <c r="J610" s="9"/>
      <c r="K610" s="9"/>
      <c r="L610" s="9"/>
      <c r="M610" s="9"/>
      <c r="N610" s="9"/>
      <c r="O610" s="9"/>
    </row>
    <row r="611" spans="1:15" x14ac:dyDescent="0.25">
      <c r="A611" s="4"/>
      <c r="B611" s="9"/>
      <c r="C611" s="52" t="str">
        <f t="shared" si="18"/>
        <v/>
      </c>
      <c r="D611" s="9"/>
      <c r="E611" s="9"/>
      <c r="F611" s="9"/>
      <c r="G611" s="30"/>
      <c r="H611" s="30"/>
      <c r="I611" s="9"/>
      <c r="J611" s="9"/>
      <c r="K611" s="9"/>
      <c r="L611" s="9"/>
      <c r="M611" s="9"/>
      <c r="N611" s="9"/>
      <c r="O611" s="9"/>
    </row>
    <row r="612" spans="1:15" x14ac:dyDescent="0.25">
      <c r="A612" s="4"/>
      <c r="B612" s="9"/>
      <c r="C612" s="52" t="str">
        <f t="shared" si="18"/>
        <v/>
      </c>
      <c r="D612" s="9"/>
      <c r="E612" s="9"/>
      <c r="F612" s="9"/>
      <c r="G612" s="30"/>
      <c r="H612" s="30"/>
      <c r="I612" s="9"/>
      <c r="J612" s="9"/>
      <c r="K612" s="9"/>
      <c r="L612" s="9"/>
      <c r="M612" s="9"/>
      <c r="N612" s="9"/>
      <c r="O612" s="9"/>
    </row>
    <row r="613" spans="1:15" x14ac:dyDescent="0.25">
      <c r="A613" s="4"/>
      <c r="B613" s="9"/>
      <c r="C613" s="52" t="str">
        <f t="shared" si="18"/>
        <v/>
      </c>
      <c r="D613" s="9"/>
      <c r="E613" s="9"/>
      <c r="F613" s="9"/>
      <c r="G613" s="30"/>
      <c r="H613" s="30"/>
      <c r="I613" s="9"/>
      <c r="J613" s="9"/>
      <c r="K613" s="9"/>
      <c r="L613" s="9"/>
      <c r="M613" s="9"/>
      <c r="N613" s="9"/>
      <c r="O613" s="9"/>
    </row>
    <row r="614" spans="1:15" x14ac:dyDescent="0.25">
      <c r="A614" s="4"/>
      <c r="B614" s="9"/>
      <c r="C614" s="52" t="str">
        <f t="shared" si="18"/>
        <v/>
      </c>
      <c r="D614" s="9"/>
      <c r="E614" s="9"/>
      <c r="F614" s="9"/>
      <c r="G614" s="30"/>
      <c r="H614" s="30"/>
      <c r="I614" s="9"/>
      <c r="J614" s="9"/>
      <c r="K614" s="9"/>
      <c r="L614" s="9"/>
      <c r="M614" s="9"/>
      <c r="N614" s="9"/>
      <c r="O614" s="9"/>
    </row>
    <row r="615" spans="1:15" x14ac:dyDescent="0.25">
      <c r="A615" s="4"/>
      <c r="B615" s="9"/>
      <c r="C615" s="52" t="str">
        <f t="shared" si="18"/>
        <v/>
      </c>
      <c r="D615" s="9"/>
      <c r="E615" s="9"/>
      <c r="F615" s="9"/>
      <c r="G615" s="30"/>
      <c r="H615" s="30"/>
      <c r="I615" s="9"/>
      <c r="J615" s="9"/>
      <c r="K615" s="9"/>
      <c r="L615" s="9"/>
      <c r="M615" s="9"/>
      <c r="N615" s="9"/>
      <c r="O615" s="9"/>
    </row>
    <row r="616" spans="1:15" x14ac:dyDescent="0.25">
      <c r="A616" s="4"/>
      <c r="B616" s="9"/>
      <c r="C616" s="52" t="str">
        <f t="shared" si="18"/>
        <v/>
      </c>
      <c r="D616" s="9"/>
      <c r="E616" s="9"/>
      <c r="F616" s="9"/>
      <c r="G616" s="30"/>
      <c r="H616" s="30"/>
      <c r="I616" s="9"/>
      <c r="J616" s="9"/>
      <c r="K616" s="9"/>
      <c r="L616" s="9"/>
      <c r="M616" s="9"/>
      <c r="N616" s="9"/>
      <c r="O616" s="9"/>
    </row>
    <row r="617" spans="1:15" x14ac:dyDescent="0.25">
      <c r="A617" s="4"/>
      <c r="B617" s="9"/>
      <c r="C617" s="52" t="str">
        <f t="shared" si="18"/>
        <v/>
      </c>
      <c r="D617" s="9"/>
      <c r="E617" s="9"/>
      <c r="F617" s="9"/>
      <c r="G617" s="30"/>
      <c r="H617" s="30"/>
      <c r="I617" s="9"/>
      <c r="J617" s="9"/>
      <c r="K617" s="9"/>
      <c r="L617" s="9"/>
      <c r="M617" s="9"/>
      <c r="N617" s="9"/>
      <c r="O617" s="9"/>
    </row>
    <row r="618" spans="1:15" x14ac:dyDescent="0.25">
      <c r="A618" s="4"/>
      <c r="B618" s="9"/>
      <c r="C618" s="52" t="str">
        <f t="shared" si="18"/>
        <v/>
      </c>
      <c r="D618" s="9"/>
      <c r="E618" s="9"/>
      <c r="F618" s="9"/>
      <c r="G618" s="30"/>
      <c r="H618" s="30"/>
      <c r="I618" s="9"/>
      <c r="J618" s="9"/>
      <c r="K618" s="9"/>
      <c r="L618" s="9"/>
      <c r="M618" s="9"/>
      <c r="N618" s="9"/>
      <c r="O618" s="9"/>
    </row>
    <row r="619" spans="1:15" x14ac:dyDescent="0.25">
      <c r="A619" s="4"/>
      <c r="B619" s="9"/>
      <c r="C619" s="52" t="str">
        <f t="shared" si="18"/>
        <v/>
      </c>
      <c r="D619" s="9"/>
      <c r="E619" s="9"/>
      <c r="F619" s="9"/>
      <c r="G619" s="30"/>
      <c r="H619" s="30"/>
      <c r="I619" s="9"/>
      <c r="J619" s="9"/>
      <c r="K619" s="9"/>
      <c r="L619" s="9"/>
      <c r="M619" s="9"/>
      <c r="N619" s="9"/>
      <c r="O619" s="9"/>
    </row>
    <row r="620" spans="1:15" x14ac:dyDescent="0.25">
      <c r="A620" s="4"/>
      <c r="B620" s="9"/>
      <c r="C620" s="52" t="str">
        <f t="shared" si="18"/>
        <v/>
      </c>
      <c r="D620" s="9"/>
      <c r="E620" s="9"/>
      <c r="F620" s="9"/>
      <c r="G620" s="30"/>
      <c r="H620" s="30"/>
      <c r="I620" s="9"/>
      <c r="J620" s="9"/>
      <c r="K620" s="9"/>
      <c r="L620" s="9"/>
      <c r="M620" s="9"/>
      <c r="N620" s="9"/>
      <c r="O620" s="9"/>
    </row>
    <row r="621" spans="1:15" x14ac:dyDescent="0.25">
      <c r="A621" s="4"/>
      <c r="B621" s="9"/>
      <c r="C621" s="52" t="str">
        <f t="shared" si="18"/>
        <v/>
      </c>
      <c r="D621" s="9"/>
      <c r="E621" s="9"/>
      <c r="F621" s="9"/>
      <c r="G621" s="30"/>
      <c r="H621" s="30"/>
      <c r="I621" s="9"/>
      <c r="J621" s="9"/>
      <c r="K621" s="9"/>
      <c r="L621" s="9"/>
      <c r="M621" s="9"/>
      <c r="N621" s="9"/>
      <c r="O621" s="9"/>
    </row>
    <row r="622" spans="1:15" x14ac:dyDescent="0.25">
      <c r="A622" s="4"/>
      <c r="B622" s="9"/>
      <c r="C622" s="52" t="str">
        <f t="shared" si="18"/>
        <v/>
      </c>
      <c r="D622" s="9"/>
      <c r="E622" s="9"/>
      <c r="F622" s="9"/>
      <c r="G622" s="30"/>
      <c r="H622" s="30"/>
      <c r="I622" s="9"/>
      <c r="J622" s="9"/>
      <c r="K622" s="9"/>
      <c r="L622" s="9"/>
      <c r="M622" s="9"/>
      <c r="N622" s="9"/>
      <c r="O622" s="9"/>
    </row>
    <row r="623" spans="1:15" x14ac:dyDescent="0.25">
      <c r="A623" s="4"/>
      <c r="B623" s="9"/>
      <c r="C623" s="52" t="str">
        <f t="shared" si="18"/>
        <v/>
      </c>
      <c r="D623" s="9"/>
      <c r="E623" s="9"/>
      <c r="F623" s="9"/>
      <c r="G623" s="30"/>
      <c r="H623" s="30"/>
      <c r="I623" s="9"/>
      <c r="J623" s="9"/>
      <c r="K623" s="9"/>
      <c r="L623" s="9"/>
      <c r="M623" s="9"/>
      <c r="N623" s="9"/>
      <c r="O623" s="9"/>
    </row>
    <row r="624" spans="1:15" x14ac:dyDescent="0.25">
      <c r="A624" s="4"/>
      <c r="B624" s="9"/>
      <c r="C624" s="52" t="str">
        <f t="shared" si="18"/>
        <v/>
      </c>
      <c r="D624" s="9"/>
      <c r="E624" s="9"/>
      <c r="F624" s="9"/>
      <c r="G624" s="30"/>
      <c r="H624" s="30"/>
      <c r="I624" s="9"/>
      <c r="J624" s="9"/>
      <c r="K624" s="9"/>
      <c r="L624" s="9"/>
      <c r="M624" s="9"/>
      <c r="N624" s="9"/>
      <c r="O624" s="9"/>
    </row>
    <row r="625" spans="1:15" x14ac:dyDescent="0.25">
      <c r="A625" s="4"/>
      <c r="B625" s="9"/>
      <c r="C625" s="52" t="str">
        <f t="shared" si="18"/>
        <v/>
      </c>
      <c r="D625" s="9"/>
      <c r="E625" s="9"/>
      <c r="F625" s="9"/>
      <c r="G625" s="30"/>
      <c r="H625" s="30"/>
      <c r="I625" s="9"/>
      <c r="J625" s="9"/>
      <c r="K625" s="9"/>
      <c r="L625" s="9"/>
      <c r="M625" s="9"/>
      <c r="N625" s="9"/>
      <c r="O625" s="9"/>
    </row>
    <row r="626" spans="1:15" x14ac:dyDescent="0.25">
      <c r="A626" s="4"/>
      <c r="B626" s="9"/>
      <c r="C626" s="52" t="str">
        <f t="shared" si="18"/>
        <v/>
      </c>
      <c r="D626" s="9"/>
      <c r="E626" s="9"/>
      <c r="F626" s="9"/>
      <c r="G626" s="30"/>
      <c r="H626" s="30"/>
      <c r="I626" s="9"/>
      <c r="J626" s="9"/>
      <c r="K626" s="9"/>
      <c r="L626" s="9"/>
      <c r="M626" s="9"/>
      <c r="N626" s="9"/>
      <c r="O626" s="9"/>
    </row>
    <row r="627" spans="1:15" x14ac:dyDescent="0.25">
      <c r="A627" s="4"/>
      <c r="B627" s="9"/>
      <c r="C627" s="52" t="str">
        <f t="shared" si="18"/>
        <v/>
      </c>
      <c r="D627" s="9"/>
      <c r="E627" s="9"/>
      <c r="F627" s="9"/>
      <c r="G627" s="30"/>
      <c r="H627" s="30"/>
      <c r="I627" s="9"/>
      <c r="J627" s="9"/>
      <c r="K627" s="9"/>
      <c r="L627" s="9"/>
      <c r="M627" s="9"/>
      <c r="N627" s="9"/>
      <c r="O627" s="9"/>
    </row>
    <row r="628" spans="1:15" x14ac:dyDescent="0.25">
      <c r="A628" s="4"/>
      <c r="B628" s="9"/>
      <c r="C628" s="52" t="str">
        <f t="shared" si="18"/>
        <v/>
      </c>
      <c r="D628" s="9"/>
      <c r="E628" s="9"/>
      <c r="F628" s="9"/>
      <c r="G628" s="30"/>
      <c r="H628" s="30"/>
      <c r="I628" s="9"/>
      <c r="J628" s="9"/>
      <c r="K628" s="9"/>
      <c r="L628" s="9"/>
      <c r="M628" s="9"/>
      <c r="N628" s="9"/>
      <c r="O628" s="9"/>
    </row>
    <row r="629" spans="1:15" x14ac:dyDescent="0.25">
      <c r="A629" s="4"/>
      <c r="B629" s="9"/>
      <c r="C629" s="52" t="str">
        <f t="shared" si="18"/>
        <v/>
      </c>
      <c r="D629" s="9"/>
      <c r="E629" s="9"/>
      <c r="F629" s="9"/>
      <c r="G629" s="30"/>
      <c r="H629" s="30"/>
      <c r="I629" s="9"/>
      <c r="J629" s="9"/>
      <c r="K629" s="9"/>
      <c r="L629" s="9"/>
      <c r="M629" s="9"/>
      <c r="N629" s="9"/>
      <c r="O629" s="9"/>
    </row>
    <row r="630" spans="1:15" x14ac:dyDescent="0.25">
      <c r="A630" s="4"/>
      <c r="B630" s="9"/>
      <c r="C630" s="52" t="str">
        <f t="shared" si="18"/>
        <v/>
      </c>
      <c r="D630" s="9"/>
      <c r="E630" s="9"/>
      <c r="F630" s="9"/>
      <c r="G630" s="30"/>
      <c r="H630" s="30"/>
      <c r="I630" s="9"/>
      <c r="J630" s="9"/>
      <c r="K630" s="9"/>
      <c r="L630" s="9"/>
      <c r="M630" s="9"/>
      <c r="N630" s="9"/>
      <c r="O630" s="9"/>
    </row>
    <row r="631" spans="1:15" x14ac:dyDescent="0.25">
      <c r="A631" s="4"/>
      <c r="B631" s="9"/>
      <c r="C631" s="52" t="str">
        <f t="shared" si="18"/>
        <v/>
      </c>
      <c r="D631" s="9"/>
      <c r="E631" s="9"/>
      <c r="F631" s="9"/>
      <c r="G631" s="30"/>
      <c r="H631" s="30"/>
      <c r="I631" s="9"/>
      <c r="J631" s="9"/>
      <c r="K631" s="9"/>
      <c r="L631" s="9"/>
      <c r="M631" s="9"/>
      <c r="N631" s="9"/>
      <c r="O631" s="9"/>
    </row>
    <row r="632" spans="1:15" x14ac:dyDescent="0.25">
      <c r="A632" s="4"/>
      <c r="B632" s="9"/>
      <c r="C632" s="52" t="str">
        <f t="shared" si="18"/>
        <v/>
      </c>
      <c r="D632" s="9"/>
      <c r="E632" s="9"/>
      <c r="F632" s="9"/>
      <c r="G632" s="30"/>
      <c r="H632" s="30"/>
      <c r="I632" s="9"/>
      <c r="J632" s="9"/>
      <c r="K632" s="9"/>
      <c r="L632" s="9"/>
      <c r="M632" s="9"/>
      <c r="N632" s="9"/>
      <c r="O632" s="9"/>
    </row>
    <row r="633" spans="1:15" x14ac:dyDescent="0.25">
      <c r="A633" s="4"/>
      <c r="B633" s="9"/>
      <c r="C633" s="52" t="str">
        <f t="shared" si="18"/>
        <v/>
      </c>
      <c r="D633" s="9"/>
      <c r="E633" s="9"/>
      <c r="F633" s="9"/>
      <c r="G633" s="30"/>
      <c r="H633" s="30"/>
      <c r="I633" s="9"/>
      <c r="J633" s="9"/>
      <c r="K633" s="9"/>
      <c r="L633" s="9"/>
      <c r="M633" s="9"/>
      <c r="N633" s="9"/>
      <c r="O633" s="9"/>
    </row>
    <row r="634" spans="1:15" x14ac:dyDescent="0.25">
      <c r="A634" s="4"/>
      <c r="B634" s="9"/>
      <c r="C634" s="52" t="str">
        <f t="shared" si="18"/>
        <v/>
      </c>
      <c r="D634" s="9"/>
      <c r="E634" s="9"/>
      <c r="F634" s="9"/>
      <c r="G634" s="30"/>
      <c r="H634" s="30"/>
      <c r="I634" s="9"/>
      <c r="J634" s="9"/>
      <c r="K634" s="9"/>
      <c r="L634" s="9"/>
      <c r="M634" s="9"/>
      <c r="N634" s="9"/>
      <c r="O634" s="9"/>
    </row>
    <row r="635" spans="1:15" x14ac:dyDescent="0.25">
      <c r="A635" s="4"/>
      <c r="B635" s="9"/>
      <c r="C635" s="52" t="str">
        <f t="shared" si="18"/>
        <v/>
      </c>
      <c r="D635" s="9"/>
      <c r="E635" s="9"/>
      <c r="F635" s="9"/>
      <c r="G635" s="30"/>
      <c r="H635" s="30"/>
      <c r="I635" s="9"/>
      <c r="J635" s="9"/>
      <c r="K635" s="9"/>
      <c r="L635" s="9"/>
      <c r="M635" s="9"/>
      <c r="N635" s="9"/>
      <c r="O635" s="9"/>
    </row>
    <row r="636" spans="1:15" x14ac:dyDescent="0.25">
      <c r="A636" s="4"/>
      <c r="B636" s="9"/>
      <c r="C636" s="52" t="str">
        <f t="shared" si="18"/>
        <v/>
      </c>
      <c r="D636" s="9"/>
      <c r="E636" s="9"/>
      <c r="F636" s="9"/>
      <c r="G636" s="30"/>
      <c r="H636" s="30"/>
      <c r="I636" s="9"/>
      <c r="J636" s="9"/>
      <c r="K636" s="9"/>
      <c r="L636" s="9"/>
      <c r="M636" s="9"/>
      <c r="N636" s="9"/>
      <c r="O636" s="9"/>
    </row>
    <row r="637" spans="1:15" x14ac:dyDescent="0.25">
      <c r="A637" s="4"/>
      <c r="B637" s="9"/>
      <c r="C637" s="52" t="str">
        <f t="shared" si="18"/>
        <v/>
      </c>
      <c r="D637" s="9"/>
      <c r="E637" s="9"/>
      <c r="F637" s="9"/>
      <c r="G637" s="30"/>
      <c r="H637" s="30"/>
      <c r="I637" s="9"/>
      <c r="J637" s="9"/>
      <c r="K637" s="9"/>
      <c r="L637" s="9"/>
      <c r="M637" s="9"/>
      <c r="N637" s="9"/>
      <c r="O637" s="9"/>
    </row>
    <row r="638" spans="1:15" x14ac:dyDescent="0.25">
      <c r="A638" s="4"/>
      <c r="B638" s="9"/>
      <c r="C638" s="52" t="str">
        <f t="shared" si="18"/>
        <v/>
      </c>
      <c r="D638" s="9"/>
      <c r="E638" s="9"/>
      <c r="F638" s="9"/>
      <c r="G638" s="30"/>
      <c r="H638" s="30"/>
      <c r="I638" s="9"/>
      <c r="J638" s="9"/>
      <c r="K638" s="9"/>
      <c r="L638" s="9"/>
      <c r="M638" s="9"/>
      <c r="N638" s="9"/>
      <c r="O638" s="9"/>
    </row>
    <row r="639" spans="1:15" x14ac:dyDescent="0.25">
      <c r="A639" s="4"/>
      <c r="B639" s="9"/>
      <c r="C639" s="52" t="str">
        <f t="shared" si="18"/>
        <v/>
      </c>
      <c r="D639" s="9"/>
      <c r="E639" s="9"/>
      <c r="F639" s="9"/>
      <c r="G639" s="30"/>
      <c r="H639" s="30"/>
      <c r="I639" s="9"/>
      <c r="J639" s="9"/>
      <c r="K639" s="9"/>
      <c r="L639" s="9"/>
      <c r="M639" s="9"/>
      <c r="N639" s="9"/>
      <c r="O639" s="9"/>
    </row>
    <row r="640" spans="1:15" x14ac:dyDescent="0.25">
      <c r="A640" s="4"/>
      <c r="B640" s="9"/>
      <c r="C640" s="52" t="str">
        <f t="shared" si="18"/>
        <v/>
      </c>
      <c r="D640" s="9"/>
      <c r="E640" s="9"/>
      <c r="F640" s="9"/>
      <c r="G640" s="30"/>
      <c r="H640" s="30"/>
      <c r="I640" s="9"/>
      <c r="J640" s="9"/>
      <c r="K640" s="9"/>
      <c r="L640" s="9"/>
      <c r="M640" s="9"/>
      <c r="N640" s="9"/>
      <c r="O640" s="9"/>
    </row>
    <row r="641" spans="1:15" x14ac:dyDescent="0.25">
      <c r="A641" s="4"/>
      <c r="B641" s="9"/>
      <c r="C641" s="52" t="str">
        <f t="shared" si="18"/>
        <v/>
      </c>
      <c r="D641" s="9"/>
      <c r="E641" s="9"/>
      <c r="F641" s="9"/>
      <c r="G641" s="30"/>
      <c r="H641" s="30"/>
      <c r="I641" s="9"/>
      <c r="J641" s="9"/>
      <c r="K641" s="9"/>
      <c r="L641" s="9"/>
      <c r="M641" s="9"/>
      <c r="N641" s="9"/>
      <c r="O641" s="9"/>
    </row>
    <row r="642" spans="1:15" x14ac:dyDescent="0.25">
      <c r="A642" s="4"/>
      <c r="B642" s="9"/>
      <c r="C642" s="52" t="str">
        <f t="shared" si="18"/>
        <v/>
      </c>
      <c r="D642" s="9"/>
      <c r="E642" s="9"/>
      <c r="F642" s="9"/>
      <c r="G642" s="30"/>
      <c r="H642" s="30"/>
      <c r="I642" s="9"/>
      <c r="J642" s="9"/>
      <c r="K642" s="9"/>
      <c r="L642" s="9"/>
      <c r="M642" s="9"/>
      <c r="N642" s="9"/>
      <c r="O642" s="9"/>
    </row>
    <row r="643" spans="1:15" x14ac:dyDescent="0.25">
      <c r="A643" s="4"/>
      <c r="B643" s="9"/>
      <c r="C643" s="52" t="str">
        <f t="shared" si="18"/>
        <v/>
      </c>
      <c r="D643" s="9"/>
      <c r="E643" s="9"/>
      <c r="F643" s="9"/>
      <c r="G643" s="30"/>
      <c r="H643" s="30"/>
      <c r="I643" s="9"/>
      <c r="J643" s="9"/>
      <c r="K643" s="9"/>
      <c r="L643" s="9"/>
      <c r="M643" s="9"/>
      <c r="N643" s="9"/>
      <c r="O643" s="9"/>
    </row>
    <row r="644" spans="1:15" x14ac:dyDescent="0.25">
      <c r="A644" s="4"/>
      <c r="B644" s="9"/>
      <c r="C644" s="52" t="str">
        <f t="shared" si="18"/>
        <v/>
      </c>
      <c r="D644" s="9"/>
      <c r="E644" s="9"/>
      <c r="F644" s="9"/>
      <c r="G644" s="30"/>
      <c r="H644" s="30"/>
      <c r="I644" s="9"/>
      <c r="J644" s="9"/>
      <c r="K644" s="9"/>
      <c r="L644" s="9"/>
      <c r="M644" s="9"/>
      <c r="N644" s="9"/>
      <c r="O644" s="9"/>
    </row>
    <row r="645" spans="1:15" x14ac:dyDescent="0.25">
      <c r="A645" s="4"/>
      <c r="B645" s="9"/>
      <c r="C645" s="52" t="str">
        <f t="shared" si="18"/>
        <v/>
      </c>
      <c r="D645" s="9"/>
      <c r="E645" s="9"/>
      <c r="F645" s="9"/>
      <c r="G645" s="30"/>
      <c r="H645" s="30"/>
      <c r="I645" s="9"/>
      <c r="J645" s="9"/>
      <c r="K645" s="9"/>
      <c r="L645" s="9"/>
      <c r="M645" s="9"/>
      <c r="N645" s="9"/>
      <c r="O645" s="9"/>
    </row>
    <row r="646" spans="1:15" x14ac:dyDescent="0.25">
      <c r="A646" s="4"/>
      <c r="B646" s="9"/>
      <c r="C646" s="52" t="str">
        <f t="shared" si="18"/>
        <v/>
      </c>
      <c r="D646" s="9"/>
      <c r="E646" s="9"/>
      <c r="F646" s="9"/>
      <c r="G646" s="30"/>
      <c r="H646" s="30"/>
      <c r="I646" s="9"/>
      <c r="J646" s="9"/>
      <c r="K646" s="9"/>
      <c r="L646" s="9"/>
      <c r="M646" s="9"/>
      <c r="N646" s="9"/>
      <c r="O646" s="9"/>
    </row>
    <row r="647" spans="1:15" x14ac:dyDescent="0.25">
      <c r="A647" s="4"/>
      <c r="B647" s="9"/>
      <c r="C647" s="52" t="str">
        <f t="shared" si="18"/>
        <v/>
      </c>
      <c r="D647" s="9"/>
      <c r="E647" s="9"/>
      <c r="F647" s="9"/>
      <c r="G647" s="30"/>
      <c r="H647" s="30"/>
      <c r="I647" s="9"/>
      <c r="J647" s="9"/>
      <c r="K647" s="9"/>
      <c r="L647" s="9"/>
      <c r="M647" s="9"/>
      <c r="N647" s="9"/>
      <c r="O647" s="9"/>
    </row>
    <row r="648" spans="1:15" x14ac:dyDescent="0.25">
      <c r="A648" s="4"/>
      <c r="B648" s="9"/>
      <c r="C648" s="52" t="str">
        <f t="shared" si="18"/>
        <v/>
      </c>
      <c r="D648" s="9"/>
      <c r="E648" s="9"/>
      <c r="F648" s="9"/>
      <c r="G648" s="30"/>
      <c r="H648" s="30"/>
      <c r="I648" s="9"/>
      <c r="J648" s="9"/>
      <c r="K648" s="9"/>
      <c r="L648" s="9"/>
      <c r="M648" s="9"/>
      <c r="N648" s="9"/>
      <c r="O648" s="9"/>
    </row>
    <row r="649" spans="1:15" x14ac:dyDescent="0.25">
      <c r="A649" s="4"/>
      <c r="B649" s="9"/>
      <c r="C649" s="52" t="str">
        <f t="shared" si="18"/>
        <v/>
      </c>
      <c r="D649" s="9"/>
      <c r="E649" s="9"/>
      <c r="F649" s="9"/>
      <c r="G649" s="30"/>
      <c r="H649" s="30"/>
      <c r="I649" s="9"/>
      <c r="J649" s="9"/>
      <c r="K649" s="9"/>
      <c r="L649" s="9"/>
      <c r="M649" s="9"/>
      <c r="N649" s="9"/>
      <c r="O649" s="9"/>
    </row>
    <row r="650" spans="1:15" x14ac:dyDescent="0.25">
      <c r="A650" s="4"/>
      <c r="B650" s="9"/>
      <c r="C650" s="52" t="str">
        <f t="shared" si="18"/>
        <v/>
      </c>
      <c r="D650" s="9"/>
      <c r="E650" s="9"/>
      <c r="F650" s="9"/>
      <c r="G650" s="30"/>
      <c r="H650" s="30"/>
      <c r="I650" s="9"/>
      <c r="J650" s="9"/>
      <c r="K650" s="9"/>
      <c r="L650" s="9"/>
      <c r="M650" s="9"/>
      <c r="N650" s="9"/>
      <c r="O650" s="9"/>
    </row>
    <row r="651" spans="1:15" x14ac:dyDescent="0.25">
      <c r="A651" s="4"/>
      <c r="B651" s="9"/>
      <c r="C651" s="52" t="str">
        <f t="shared" si="18"/>
        <v/>
      </c>
      <c r="D651" s="9"/>
      <c r="E651" s="9"/>
      <c r="F651" s="9"/>
      <c r="G651" s="30"/>
      <c r="H651" s="30"/>
      <c r="I651" s="9"/>
      <c r="J651" s="9"/>
      <c r="K651" s="9"/>
      <c r="L651" s="9"/>
      <c r="M651" s="9"/>
      <c r="N651" s="9"/>
      <c r="O651" s="9"/>
    </row>
    <row r="652" spans="1:15" x14ac:dyDescent="0.25">
      <c r="A652" s="4"/>
      <c r="B652" s="9"/>
      <c r="C652" s="52" t="str">
        <f t="shared" si="18"/>
        <v/>
      </c>
      <c r="D652" s="9"/>
      <c r="E652" s="9"/>
      <c r="F652" s="9"/>
      <c r="G652" s="30"/>
      <c r="H652" s="30"/>
      <c r="I652" s="9"/>
      <c r="J652" s="9"/>
      <c r="K652" s="9"/>
      <c r="L652" s="9"/>
      <c r="M652" s="9"/>
      <c r="N652" s="9"/>
      <c r="O652" s="9"/>
    </row>
    <row r="653" spans="1:15" x14ac:dyDescent="0.25">
      <c r="A653" s="4"/>
      <c r="B653" s="9"/>
      <c r="C653" s="52" t="str">
        <f t="shared" si="18"/>
        <v/>
      </c>
      <c r="D653" s="9"/>
      <c r="E653" s="9"/>
      <c r="F653" s="9"/>
      <c r="G653" s="30"/>
      <c r="H653" s="30"/>
      <c r="I653" s="9"/>
      <c r="J653" s="9"/>
      <c r="K653" s="9"/>
      <c r="L653" s="9"/>
      <c r="M653" s="9"/>
      <c r="N653" s="9"/>
      <c r="O653" s="9"/>
    </row>
    <row r="654" spans="1:15" x14ac:dyDescent="0.25">
      <c r="A654" s="4"/>
      <c r="B654" s="9"/>
      <c r="C654" s="52" t="str">
        <f t="shared" si="18"/>
        <v/>
      </c>
      <c r="D654" s="9"/>
      <c r="E654" s="9"/>
      <c r="F654" s="9"/>
      <c r="G654" s="30"/>
      <c r="H654" s="30"/>
      <c r="I654" s="9"/>
      <c r="J654" s="9"/>
      <c r="K654" s="9"/>
      <c r="L654" s="9"/>
      <c r="M654" s="9"/>
      <c r="N654" s="9"/>
      <c r="O654" s="9"/>
    </row>
    <row r="655" spans="1:15" x14ac:dyDescent="0.25">
      <c r="A655" s="4"/>
      <c r="B655" s="9"/>
      <c r="C655" s="52" t="str">
        <f t="shared" si="18"/>
        <v/>
      </c>
      <c r="D655" s="9"/>
      <c r="E655" s="9"/>
      <c r="F655" s="9"/>
      <c r="G655" s="30"/>
      <c r="H655" s="30"/>
      <c r="I655" s="9"/>
      <c r="J655" s="9"/>
      <c r="K655" s="9"/>
      <c r="L655" s="9"/>
      <c r="M655" s="9"/>
      <c r="N655" s="9"/>
      <c r="O655" s="9"/>
    </row>
    <row r="656" spans="1:15" x14ac:dyDescent="0.25">
      <c r="A656" s="4"/>
      <c r="B656" s="9"/>
      <c r="C656" s="52" t="str">
        <f t="shared" si="18"/>
        <v/>
      </c>
      <c r="D656" s="9"/>
      <c r="E656" s="9"/>
      <c r="F656" s="9"/>
      <c r="G656" s="30"/>
      <c r="H656" s="30"/>
      <c r="I656" s="9"/>
      <c r="J656" s="9"/>
      <c r="K656" s="9"/>
      <c r="L656" s="9"/>
      <c r="M656" s="9"/>
      <c r="N656" s="9"/>
      <c r="O656" s="9"/>
    </row>
    <row r="657" spans="1:15" x14ac:dyDescent="0.25">
      <c r="A657" s="4"/>
      <c r="B657" s="9"/>
      <c r="C657" s="52" t="str">
        <f t="shared" si="18"/>
        <v/>
      </c>
      <c r="D657" s="9"/>
      <c r="E657" s="9"/>
      <c r="F657" s="9"/>
      <c r="G657" s="30"/>
      <c r="H657" s="30"/>
      <c r="I657" s="9"/>
      <c r="J657" s="9"/>
      <c r="K657" s="9"/>
      <c r="L657" s="9"/>
      <c r="M657" s="9"/>
      <c r="N657" s="9"/>
      <c r="O657" s="9"/>
    </row>
    <row r="658" spans="1:15" x14ac:dyDescent="0.25">
      <c r="A658" s="4"/>
      <c r="B658" s="9"/>
      <c r="C658" s="52" t="str">
        <f t="shared" si="18"/>
        <v/>
      </c>
      <c r="D658" s="9"/>
      <c r="E658" s="9"/>
      <c r="F658" s="9"/>
      <c r="G658" s="30"/>
      <c r="H658" s="30"/>
      <c r="I658" s="9"/>
      <c r="J658" s="9"/>
      <c r="K658" s="9"/>
      <c r="L658" s="9"/>
      <c r="M658" s="9"/>
      <c r="N658" s="9"/>
      <c r="O658" s="9"/>
    </row>
    <row r="659" spans="1:15" x14ac:dyDescent="0.25">
      <c r="A659" s="4"/>
      <c r="B659" s="9"/>
      <c r="C659" s="52" t="str">
        <f t="shared" ref="C659:C722" si="19">IF(ISBLANK(D659), "", CONCATENATE(D659,E659,"_",F659,"_",L659))</f>
        <v/>
      </c>
      <c r="D659" s="9"/>
      <c r="E659" s="9"/>
      <c r="F659" s="9"/>
      <c r="G659" s="30"/>
      <c r="H659" s="30"/>
      <c r="I659" s="9"/>
      <c r="J659" s="9"/>
      <c r="K659" s="9"/>
      <c r="L659" s="9"/>
      <c r="M659" s="9"/>
      <c r="N659" s="9"/>
      <c r="O659" s="9"/>
    </row>
    <row r="660" spans="1:15" x14ac:dyDescent="0.25">
      <c r="A660" s="4"/>
      <c r="B660" s="9"/>
      <c r="C660" s="52" t="str">
        <f t="shared" si="19"/>
        <v/>
      </c>
      <c r="D660" s="9"/>
      <c r="E660" s="9"/>
      <c r="F660" s="9"/>
      <c r="G660" s="30"/>
      <c r="H660" s="30"/>
      <c r="I660" s="9"/>
      <c r="J660" s="9"/>
      <c r="K660" s="9"/>
      <c r="L660" s="9"/>
      <c r="M660" s="9"/>
      <c r="N660" s="9"/>
      <c r="O660" s="9"/>
    </row>
    <row r="661" spans="1:15" x14ac:dyDescent="0.25">
      <c r="A661" s="4"/>
      <c r="B661" s="9"/>
      <c r="C661" s="52" t="str">
        <f t="shared" si="19"/>
        <v/>
      </c>
      <c r="D661" s="9"/>
      <c r="E661" s="9"/>
      <c r="F661" s="9"/>
      <c r="G661" s="30"/>
      <c r="H661" s="30"/>
      <c r="I661" s="9"/>
      <c r="J661" s="9"/>
      <c r="K661" s="9"/>
      <c r="L661" s="9"/>
      <c r="M661" s="9"/>
      <c r="N661" s="9"/>
      <c r="O661" s="9"/>
    </row>
    <row r="662" spans="1:15" x14ac:dyDescent="0.25">
      <c r="A662" s="4"/>
      <c r="B662" s="9"/>
      <c r="C662" s="52" t="str">
        <f t="shared" si="19"/>
        <v/>
      </c>
      <c r="D662" s="9"/>
      <c r="E662" s="9"/>
      <c r="F662" s="9"/>
      <c r="G662" s="30"/>
      <c r="H662" s="30"/>
      <c r="I662" s="9"/>
      <c r="J662" s="9"/>
      <c r="K662" s="9"/>
      <c r="L662" s="9"/>
      <c r="M662" s="9"/>
      <c r="N662" s="9"/>
      <c r="O662" s="9"/>
    </row>
    <row r="663" spans="1:15" x14ac:dyDescent="0.25">
      <c r="A663" s="4"/>
      <c r="B663" s="9"/>
      <c r="C663" s="52" t="str">
        <f t="shared" si="19"/>
        <v/>
      </c>
      <c r="D663" s="9"/>
      <c r="E663" s="9"/>
      <c r="F663" s="9"/>
      <c r="G663" s="30"/>
      <c r="H663" s="30"/>
      <c r="I663" s="9"/>
      <c r="J663" s="9"/>
      <c r="K663" s="9"/>
      <c r="L663" s="9"/>
      <c r="M663" s="9"/>
      <c r="N663" s="9"/>
      <c r="O663" s="9"/>
    </row>
    <row r="664" spans="1:15" x14ac:dyDescent="0.25">
      <c r="A664" s="4"/>
      <c r="B664" s="9"/>
      <c r="C664" s="52" t="str">
        <f t="shared" si="19"/>
        <v/>
      </c>
      <c r="D664" s="9"/>
      <c r="E664" s="9"/>
      <c r="F664" s="9"/>
      <c r="G664" s="30"/>
      <c r="H664" s="30"/>
      <c r="I664" s="9"/>
      <c r="J664" s="9"/>
      <c r="K664" s="9"/>
      <c r="L664" s="9"/>
      <c r="M664" s="9"/>
      <c r="N664" s="9"/>
      <c r="O664" s="9"/>
    </row>
    <row r="665" spans="1:15" x14ac:dyDescent="0.25">
      <c r="A665" s="4"/>
      <c r="B665" s="9"/>
      <c r="C665" s="52" t="str">
        <f t="shared" si="19"/>
        <v/>
      </c>
      <c r="D665" s="9"/>
      <c r="E665" s="9"/>
      <c r="F665" s="9"/>
      <c r="G665" s="30"/>
      <c r="H665" s="30"/>
      <c r="I665" s="9"/>
      <c r="J665" s="9"/>
      <c r="K665" s="9"/>
      <c r="L665" s="9"/>
      <c r="M665" s="9"/>
      <c r="N665" s="9"/>
      <c r="O665" s="9"/>
    </row>
    <row r="666" spans="1:15" x14ac:dyDescent="0.25">
      <c r="A666" s="4"/>
      <c r="B666" s="9"/>
      <c r="C666" s="52" t="str">
        <f t="shared" si="19"/>
        <v/>
      </c>
      <c r="D666" s="9"/>
      <c r="E666" s="9"/>
      <c r="F666" s="9"/>
      <c r="G666" s="30"/>
      <c r="H666" s="30"/>
      <c r="I666" s="9"/>
      <c r="J666" s="9"/>
      <c r="K666" s="9"/>
      <c r="L666" s="9"/>
      <c r="M666" s="9"/>
      <c r="N666" s="9"/>
      <c r="O666" s="9"/>
    </row>
    <row r="667" spans="1:15" x14ac:dyDescent="0.25">
      <c r="A667" s="4"/>
      <c r="B667" s="9"/>
      <c r="C667" s="52" t="str">
        <f t="shared" si="19"/>
        <v/>
      </c>
      <c r="D667" s="9"/>
      <c r="E667" s="9"/>
      <c r="F667" s="9"/>
      <c r="G667" s="30"/>
      <c r="H667" s="30"/>
      <c r="I667" s="9"/>
      <c r="J667" s="9"/>
      <c r="K667" s="9"/>
      <c r="L667" s="9"/>
      <c r="M667" s="9"/>
      <c r="N667" s="9"/>
      <c r="O667" s="9"/>
    </row>
    <row r="668" spans="1:15" x14ac:dyDescent="0.25">
      <c r="A668" s="4"/>
      <c r="B668" s="9"/>
      <c r="C668" s="52" t="str">
        <f t="shared" si="19"/>
        <v/>
      </c>
      <c r="D668" s="9"/>
      <c r="E668" s="9"/>
      <c r="F668" s="9"/>
      <c r="G668" s="30"/>
      <c r="H668" s="30"/>
      <c r="I668" s="9"/>
      <c r="J668" s="9"/>
      <c r="K668" s="9"/>
      <c r="L668" s="9"/>
      <c r="M668" s="9"/>
      <c r="N668" s="9"/>
      <c r="O668" s="9"/>
    </row>
    <row r="669" spans="1:15" x14ac:dyDescent="0.25">
      <c r="A669" s="4"/>
      <c r="B669" s="9"/>
      <c r="C669" s="52" t="str">
        <f t="shared" si="19"/>
        <v/>
      </c>
      <c r="D669" s="9"/>
      <c r="E669" s="9"/>
      <c r="F669" s="9"/>
      <c r="G669" s="30"/>
      <c r="H669" s="30"/>
      <c r="I669" s="9"/>
      <c r="J669" s="9"/>
      <c r="K669" s="9"/>
      <c r="L669" s="9"/>
      <c r="M669" s="9"/>
      <c r="N669" s="9"/>
      <c r="O669" s="9"/>
    </row>
    <row r="670" spans="1:15" x14ac:dyDescent="0.25">
      <c r="A670" s="4"/>
      <c r="B670" s="9"/>
      <c r="C670" s="52" t="str">
        <f t="shared" si="19"/>
        <v/>
      </c>
      <c r="D670" s="9"/>
      <c r="E670" s="9"/>
      <c r="F670" s="9"/>
      <c r="G670" s="30"/>
      <c r="H670" s="30"/>
      <c r="I670" s="9"/>
      <c r="J670" s="9"/>
      <c r="K670" s="9"/>
      <c r="L670" s="9"/>
      <c r="M670" s="9"/>
      <c r="N670" s="9"/>
      <c r="O670" s="9"/>
    </row>
    <row r="671" spans="1:15" x14ac:dyDescent="0.25">
      <c r="A671" s="4"/>
      <c r="B671" s="9"/>
      <c r="C671" s="52" t="str">
        <f t="shared" si="19"/>
        <v/>
      </c>
      <c r="D671" s="9"/>
      <c r="E671" s="9"/>
      <c r="F671" s="9"/>
      <c r="G671" s="30"/>
      <c r="H671" s="30"/>
      <c r="I671" s="9"/>
      <c r="J671" s="9"/>
      <c r="K671" s="9"/>
      <c r="L671" s="9"/>
      <c r="M671" s="9"/>
      <c r="N671" s="9"/>
      <c r="O671" s="9"/>
    </row>
    <row r="672" spans="1:15" x14ac:dyDescent="0.25">
      <c r="A672" s="4"/>
      <c r="B672" s="9"/>
      <c r="C672" s="52" t="str">
        <f t="shared" si="19"/>
        <v/>
      </c>
      <c r="D672" s="9"/>
      <c r="E672" s="9"/>
      <c r="F672" s="9"/>
      <c r="G672" s="30"/>
      <c r="H672" s="30"/>
      <c r="I672" s="9"/>
      <c r="J672" s="9"/>
      <c r="K672" s="9"/>
      <c r="L672" s="9"/>
      <c r="M672" s="9"/>
      <c r="N672" s="9"/>
      <c r="O672" s="9"/>
    </row>
    <row r="673" spans="1:15" x14ac:dyDescent="0.25">
      <c r="A673" s="4"/>
      <c r="B673" s="9"/>
      <c r="C673" s="52" t="str">
        <f t="shared" si="19"/>
        <v/>
      </c>
      <c r="D673" s="9"/>
      <c r="E673" s="9"/>
      <c r="F673" s="9"/>
      <c r="G673" s="30"/>
      <c r="H673" s="30"/>
      <c r="I673" s="9"/>
      <c r="J673" s="9"/>
      <c r="K673" s="9"/>
      <c r="L673" s="9"/>
      <c r="M673" s="9"/>
      <c r="N673" s="9"/>
      <c r="O673" s="9"/>
    </row>
    <row r="674" spans="1:15" x14ac:dyDescent="0.25">
      <c r="A674" s="4"/>
      <c r="B674" s="9"/>
      <c r="C674" s="52" t="str">
        <f t="shared" si="19"/>
        <v/>
      </c>
      <c r="D674" s="9"/>
      <c r="E674" s="9"/>
      <c r="F674" s="9"/>
      <c r="G674" s="30"/>
      <c r="H674" s="30"/>
      <c r="I674" s="9"/>
      <c r="J674" s="9"/>
      <c r="K674" s="9"/>
      <c r="L674" s="9"/>
      <c r="M674" s="9"/>
      <c r="N674" s="9"/>
      <c r="O674" s="9"/>
    </row>
    <row r="675" spans="1:15" x14ac:dyDescent="0.25">
      <c r="A675" s="4"/>
      <c r="B675" s="9"/>
      <c r="C675" s="52" t="str">
        <f t="shared" si="19"/>
        <v/>
      </c>
      <c r="D675" s="9"/>
      <c r="E675" s="9"/>
      <c r="F675" s="9"/>
      <c r="G675" s="30"/>
      <c r="H675" s="30"/>
      <c r="I675" s="9"/>
      <c r="J675" s="9"/>
      <c r="K675" s="9"/>
      <c r="L675" s="9"/>
      <c r="M675" s="9"/>
      <c r="N675" s="9"/>
      <c r="O675" s="9"/>
    </row>
    <row r="676" spans="1:15" x14ac:dyDescent="0.25">
      <c r="A676" s="4"/>
      <c r="B676" s="9"/>
      <c r="C676" s="52" t="str">
        <f t="shared" si="19"/>
        <v/>
      </c>
      <c r="D676" s="9"/>
      <c r="E676" s="9"/>
      <c r="F676" s="9"/>
      <c r="G676" s="30"/>
      <c r="H676" s="30"/>
      <c r="I676" s="9"/>
      <c r="J676" s="9"/>
      <c r="K676" s="9"/>
      <c r="L676" s="9"/>
      <c r="M676" s="9"/>
      <c r="N676" s="9"/>
      <c r="O676" s="9"/>
    </row>
    <row r="677" spans="1:15" x14ac:dyDescent="0.25">
      <c r="A677" s="4"/>
      <c r="B677" s="9"/>
      <c r="C677" s="52" t="str">
        <f t="shared" si="19"/>
        <v/>
      </c>
      <c r="D677" s="9"/>
      <c r="E677" s="9"/>
      <c r="F677" s="9"/>
      <c r="G677" s="30"/>
      <c r="H677" s="30"/>
      <c r="I677" s="9"/>
      <c r="J677" s="9"/>
      <c r="K677" s="9"/>
      <c r="L677" s="9"/>
      <c r="M677" s="9"/>
      <c r="N677" s="9"/>
      <c r="O677" s="9"/>
    </row>
    <row r="678" spans="1:15" x14ac:dyDescent="0.25">
      <c r="A678" s="4"/>
      <c r="B678" s="9"/>
      <c r="C678" s="52" t="str">
        <f t="shared" si="19"/>
        <v/>
      </c>
      <c r="D678" s="9"/>
      <c r="E678" s="9"/>
      <c r="F678" s="9"/>
      <c r="G678" s="30"/>
      <c r="H678" s="30"/>
      <c r="I678" s="9"/>
      <c r="J678" s="9"/>
      <c r="K678" s="9"/>
      <c r="L678" s="9"/>
      <c r="M678" s="9"/>
      <c r="N678" s="9"/>
      <c r="O678" s="9"/>
    </row>
    <row r="679" spans="1:15" x14ac:dyDescent="0.25">
      <c r="A679" s="4"/>
      <c r="B679" s="9"/>
      <c r="C679" s="52" t="str">
        <f t="shared" si="19"/>
        <v/>
      </c>
      <c r="D679" s="9"/>
      <c r="E679" s="9"/>
      <c r="F679" s="9"/>
      <c r="G679" s="30"/>
      <c r="H679" s="30"/>
      <c r="I679" s="9"/>
      <c r="J679" s="9"/>
      <c r="K679" s="9"/>
      <c r="L679" s="9"/>
      <c r="M679" s="9"/>
      <c r="N679" s="9"/>
      <c r="O679" s="9"/>
    </row>
    <row r="680" spans="1:15" x14ac:dyDescent="0.25">
      <c r="A680" s="4"/>
      <c r="B680" s="9"/>
      <c r="C680" s="52" t="str">
        <f t="shared" si="19"/>
        <v/>
      </c>
      <c r="D680" s="9"/>
      <c r="E680" s="9"/>
      <c r="F680" s="9"/>
      <c r="G680" s="30"/>
      <c r="H680" s="30"/>
      <c r="I680" s="9"/>
      <c r="J680" s="9"/>
      <c r="K680" s="9"/>
      <c r="L680" s="9"/>
      <c r="M680" s="9"/>
      <c r="N680" s="9"/>
      <c r="O680" s="9"/>
    </row>
    <row r="681" spans="1:15" x14ac:dyDescent="0.25">
      <c r="A681" s="4"/>
      <c r="B681" s="9"/>
      <c r="C681" s="52" t="str">
        <f t="shared" si="19"/>
        <v/>
      </c>
      <c r="D681" s="9"/>
      <c r="E681" s="9"/>
      <c r="F681" s="9"/>
      <c r="G681" s="30"/>
      <c r="H681" s="30"/>
      <c r="I681" s="9"/>
      <c r="J681" s="9"/>
      <c r="K681" s="9"/>
      <c r="L681" s="9"/>
      <c r="M681" s="9"/>
      <c r="N681" s="9"/>
      <c r="O681" s="9"/>
    </row>
    <row r="682" spans="1:15" x14ac:dyDescent="0.25">
      <c r="A682" s="4"/>
      <c r="B682" s="9"/>
      <c r="C682" s="52" t="str">
        <f t="shared" si="19"/>
        <v/>
      </c>
      <c r="D682" s="9"/>
      <c r="E682" s="9"/>
      <c r="F682" s="9"/>
      <c r="G682" s="30"/>
      <c r="H682" s="30"/>
      <c r="I682" s="9"/>
      <c r="J682" s="9"/>
      <c r="K682" s="9"/>
      <c r="L682" s="9"/>
      <c r="M682" s="9"/>
      <c r="N682" s="9"/>
      <c r="O682" s="9"/>
    </row>
    <row r="683" spans="1:15" x14ac:dyDescent="0.25">
      <c r="A683" s="4"/>
      <c r="B683" s="9"/>
      <c r="C683" s="52" t="str">
        <f t="shared" si="19"/>
        <v/>
      </c>
      <c r="D683" s="9"/>
      <c r="E683" s="9"/>
      <c r="F683" s="9"/>
      <c r="G683" s="30"/>
      <c r="H683" s="30"/>
      <c r="I683" s="9"/>
      <c r="J683" s="9"/>
      <c r="K683" s="9"/>
      <c r="L683" s="9"/>
      <c r="M683" s="9"/>
      <c r="N683" s="9"/>
      <c r="O683" s="9"/>
    </row>
    <row r="684" spans="1:15" x14ac:dyDescent="0.25">
      <c r="A684" s="4"/>
      <c r="B684" s="9"/>
      <c r="C684" s="52" t="str">
        <f t="shared" si="19"/>
        <v/>
      </c>
      <c r="D684" s="9"/>
      <c r="E684" s="9"/>
      <c r="F684" s="9"/>
      <c r="G684" s="30"/>
      <c r="H684" s="30"/>
      <c r="I684" s="9"/>
      <c r="J684" s="9"/>
      <c r="K684" s="9"/>
      <c r="L684" s="9"/>
      <c r="M684" s="9"/>
      <c r="N684" s="9"/>
      <c r="O684" s="9"/>
    </row>
    <row r="685" spans="1:15" x14ac:dyDescent="0.25">
      <c r="A685" s="4"/>
      <c r="B685" s="9"/>
      <c r="C685" s="52" t="str">
        <f t="shared" si="19"/>
        <v/>
      </c>
      <c r="D685" s="9"/>
      <c r="E685" s="9"/>
      <c r="F685" s="9"/>
      <c r="G685" s="30"/>
      <c r="H685" s="30"/>
      <c r="I685" s="9"/>
      <c r="J685" s="9"/>
      <c r="K685" s="9"/>
      <c r="L685" s="9"/>
      <c r="M685" s="9"/>
      <c r="N685" s="9"/>
      <c r="O685" s="9"/>
    </row>
    <row r="686" spans="1:15" x14ac:dyDescent="0.25">
      <c r="A686" s="4"/>
      <c r="B686" s="9"/>
      <c r="C686" s="52" t="str">
        <f t="shared" si="19"/>
        <v/>
      </c>
      <c r="D686" s="9"/>
      <c r="E686" s="9"/>
      <c r="F686" s="9"/>
      <c r="G686" s="30"/>
      <c r="H686" s="30"/>
      <c r="I686" s="9"/>
      <c r="J686" s="9"/>
      <c r="K686" s="9"/>
      <c r="L686" s="9"/>
      <c r="M686" s="9"/>
      <c r="N686" s="9"/>
      <c r="O686" s="9"/>
    </row>
    <row r="687" spans="1:15" x14ac:dyDescent="0.25">
      <c r="A687" s="4"/>
      <c r="B687" s="9"/>
      <c r="C687" s="52" t="str">
        <f t="shared" si="19"/>
        <v/>
      </c>
      <c r="D687" s="9"/>
      <c r="E687" s="9"/>
      <c r="F687" s="9"/>
      <c r="G687" s="30"/>
      <c r="H687" s="30"/>
      <c r="I687" s="9"/>
      <c r="J687" s="9"/>
      <c r="K687" s="9"/>
      <c r="L687" s="9"/>
      <c r="M687" s="9"/>
      <c r="N687" s="9"/>
      <c r="O687" s="9"/>
    </row>
    <row r="688" spans="1:15" x14ac:dyDescent="0.25">
      <c r="A688" s="4"/>
      <c r="B688" s="9"/>
      <c r="C688" s="52" t="str">
        <f t="shared" si="19"/>
        <v/>
      </c>
      <c r="D688" s="9"/>
      <c r="E688" s="9"/>
      <c r="F688" s="9"/>
      <c r="G688" s="30"/>
      <c r="H688" s="30"/>
      <c r="I688" s="9"/>
      <c r="J688" s="9"/>
      <c r="K688" s="9"/>
      <c r="L688" s="9"/>
      <c r="M688" s="9"/>
      <c r="N688" s="9"/>
      <c r="O688" s="9"/>
    </row>
    <row r="689" spans="1:15" x14ac:dyDescent="0.25">
      <c r="A689" s="4"/>
      <c r="B689" s="9"/>
      <c r="C689" s="52" t="str">
        <f t="shared" si="19"/>
        <v/>
      </c>
      <c r="D689" s="9"/>
      <c r="E689" s="9"/>
      <c r="F689" s="9"/>
      <c r="G689" s="30"/>
      <c r="H689" s="30"/>
      <c r="I689" s="9"/>
      <c r="J689" s="9"/>
      <c r="K689" s="9"/>
      <c r="L689" s="9"/>
      <c r="M689" s="9"/>
      <c r="N689" s="9"/>
      <c r="O689" s="9"/>
    </row>
    <row r="690" spans="1:15" x14ac:dyDescent="0.25">
      <c r="A690" s="4"/>
      <c r="B690" s="9"/>
      <c r="C690" s="52" t="str">
        <f t="shared" si="19"/>
        <v/>
      </c>
      <c r="D690" s="9"/>
      <c r="E690" s="9"/>
      <c r="F690" s="9"/>
      <c r="G690" s="30"/>
      <c r="H690" s="30"/>
      <c r="I690" s="9"/>
      <c r="J690" s="9"/>
      <c r="K690" s="9"/>
      <c r="L690" s="9"/>
      <c r="M690" s="9"/>
      <c r="N690" s="9"/>
      <c r="O690" s="9"/>
    </row>
    <row r="691" spans="1:15" x14ac:dyDescent="0.25">
      <c r="A691" s="4"/>
      <c r="B691" s="9"/>
      <c r="C691" s="52" t="str">
        <f t="shared" si="19"/>
        <v/>
      </c>
      <c r="D691" s="9"/>
      <c r="E691" s="9"/>
      <c r="F691" s="9"/>
      <c r="G691" s="30"/>
      <c r="H691" s="30"/>
      <c r="I691" s="9"/>
      <c r="J691" s="9"/>
      <c r="K691" s="9"/>
      <c r="L691" s="9"/>
      <c r="M691" s="9"/>
      <c r="N691" s="9"/>
      <c r="O691" s="9"/>
    </row>
    <row r="692" spans="1:15" x14ac:dyDescent="0.25">
      <c r="A692" s="4"/>
      <c r="B692" s="9"/>
      <c r="C692" s="52" t="str">
        <f t="shared" si="19"/>
        <v/>
      </c>
      <c r="D692" s="9"/>
      <c r="E692" s="9"/>
      <c r="F692" s="9"/>
      <c r="G692" s="30"/>
      <c r="H692" s="30"/>
      <c r="I692" s="9"/>
      <c r="J692" s="9"/>
      <c r="K692" s="9"/>
      <c r="L692" s="9"/>
      <c r="M692" s="9"/>
      <c r="N692" s="9"/>
      <c r="O692" s="9"/>
    </row>
    <row r="693" spans="1:15" x14ac:dyDescent="0.25">
      <c r="A693" s="4"/>
      <c r="B693" s="9"/>
      <c r="C693" s="52" t="str">
        <f t="shared" si="19"/>
        <v/>
      </c>
      <c r="D693" s="9"/>
      <c r="E693" s="9"/>
      <c r="F693" s="9"/>
      <c r="G693" s="30"/>
      <c r="H693" s="30"/>
      <c r="I693" s="9"/>
      <c r="J693" s="9"/>
      <c r="K693" s="9"/>
      <c r="L693" s="9"/>
      <c r="M693" s="9"/>
      <c r="N693" s="9"/>
      <c r="O693" s="9"/>
    </row>
    <row r="694" spans="1:15" x14ac:dyDescent="0.25">
      <c r="A694" s="4"/>
      <c r="B694" s="9"/>
      <c r="C694" s="52" t="str">
        <f t="shared" si="19"/>
        <v/>
      </c>
      <c r="D694" s="9"/>
      <c r="E694" s="9"/>
      <c r="F694" s="9"/>
      <c r="G694" s="30"/>
      <c r="H694" s="30"/>
      <c r="I694" s="9"/>
      <c r="J694" s="9"/>
      <c r="K694" s="9"/>
      <c r="L694" s="9"/>
      <c r="M694" s="9"/>
      <c r="N694" s="9"/>
      <c r="O694" s="9"/>
    </row>
    <row r="695" spans="1:15" x14ac:dyDescent="0.25">
      <c r="A695" s="4"/>
      <c r="B695" s="9"/>
      <c r="C695" s="52" t="str">
        <f t="shared" si="19"/>
        <v/>
      </c>
      <c r="D695" s="9"/>
      <c r="E695" s="9"/>
      <c r="F695" s="9"/>
      <c r="G695" s="30"/>
      <c r="H695" s="30"/>
      <c r="I695" s="9"/>
      <c r="J695" s="9"/>
      <c r="K695" s="9"/>
      <c r="L695" s="9"/>
      <c r="M695" s="9"/>
      <c r="N695" s="9"/>
      <c r="O695" s="9"/>
    </row>
    <row r="696" spans="1:15" x14ac:dyDescent="0.25">
      <c r="A696" s="4"/>
      <c r="B696" s="9"/>
      <c r="C696" s="52" t="str">
        <f t="shared" si="19"/>
        <v/>
      </c>
      <c r="D696" s="9"/>
      <c r="E696" s="9"/>
      <c r="F696" s="9"/>
      <c r="G696" s="30"/>
      <c r="H696" s="30"/>
      <c r="I696" s="9"/>
      <c r="J696" s="9"/>
      <c r="K696" s="9"/>
      <c r="L696" s="9"/>
      <c r="M696" s="9"/>
      <c r="N696" s="9"/>
      <c r="O696" s="9"/>
    </row>
    <row r="697" spans="1:15" x14ac:dyDescent="0.25">
      <c r="A697" s="4"/>
      <c r="B697" s="9"/>
      <c r="C697" s="52" t="str">
        <f t="shared" si="19"/>
        <v/>
      </c>
      <c r="D697" s="9"/>
      <c r="E697" s="9"/>
      <c r="F697" s="9"/>
      <c r="G697" s="30"/>
      <c r="H697" s="30"/>
      <c r="I697" s="9"/>
      <c r="J697" s="9"/>
      <c r="K697" s="9"/>
      <c r="L697" s="9"/>
      <c r="M697" s="9"/>
      <c r="N697" s="9"/>
      <c r="O697" s="9"/>
    </row>
    <row r="698" spans="1:15" x14ac:dyDescent="0.25">
      <c r="A698" s="4"/>
      <c r="B698" s="9"/>
      <c r="C698" s="52" t="str">
        <f t="shared" si="19"/>
        <v/>
      </c>
      <c r="D698" s="9"/>
      <c r="E698" s="9"/>
      <c r="F698" s="9"/>
      <c r="G698" s="30"/>
      <c r="H698" s="30"/>
      <c r="I698" s="9"/>
      <c r="J698" s="9"/>
      <c r="K698" s="9"/>
      <c r="L698" s="9"/>
      <c r="M698" s="9"/>
      <c r="N698" s="9"/>
      <c r="O698" s="9"/>
    </row>
    <row r="699" spans="1:15" x14ac:dyDescent="0.25">
      <c r="A699" s="4"/>
      <c r="B699" s="9"/>
      <c r="C699" s="52" t="str">
        <f t="shared" si="19"/>
        <v/>
      </c>
      <c r="D699" s="9"/>
      <c r="E699" s="9"/>
      <c r="F699" s="9"/>
      <c r="G699" s="30"/>
      <c r="H699" s="30"/>
      <c r="I699" s="9"/>
      <c r="J699" s="9"/>
      <c r="K699" s="9"/>
      <c r="L699" s="9"/>
      <c r="M699" s="9"/>
      <c r="N699" s="9"/>
      <c r="O699" s="9"/>
    </row>
    <row r="700" spans="1:15" x14ac:dyDescent="0.25">
      <c r="A700" s="4"/>
      <c r="B700" s="9"/>
      <c r="C700" s="52" t="str">
        <f t="shared" si="19"/>
        <v/>
      </c>
      <c r="D700" s="9"/>
      <c r="E700" s="9"/>
      <c r="F700" s="9"/>
      <c r="G700" s="30"/>
      <c r="H700" s="30"/>
      <c r="I700" s="9"/>
      <c r="J700" s="9"/>
      <c r="K700" s="9"/>
      <c r="L700" s="9"/>
      <c r="M700" s="9"/>
      <c r="N700" s="9"/>
      <c r="O700" s="9"/>
    </row>
    <row r="701" spans="1:15" x14ac:dyDescent="0.25">
      <c r="A701" s="4"/>
      <c r="B701" s="9"/>
      <c r="C701" s="52" t="str">
        <f t="shared" si="19"/>
        <v/>
      </c>
      <c r="D701" s="9"/>
      <c r="E701" s="9"/>
      <c r="F701" s="9"/>
      <c r="G701" s="30"/>
      <c r="H701" s="30"/>
      <c r="I701" s="9"/>
      <c r="J701" s="9"/>
      <c r="K701" s="9"/>
      <c r="L701" s="9"/>
      <c r="M701" s="9"/>
      <c r="N701" s="9"/>
      <c r="O701" s="9"/>
    </row>
    <row r="702" spans="1:15" x14ac:dyDescent="0.25">
      <c r="A702" s="4"/>
      <c r="B702" s="9"/>
      <c r="C702" s="52" t="str">
        <f t="shared" si="19"/>
        <v/>
      </c>
      <c r="D702" s="9"/>
      <c r="E702" s="9"/>
      <c r="F702" s="9"/>
      <c r="G702" s="30"/>
      <c r="H702" s="30"/>
      <c r="I702" s="9"/>
      <c r="J702" s="9"/>
      <c r="K702" s="9"/>
      <c r="L702" s="9"/>
      <c r="M702" s="9"/>
      <c r="N702" s="9"/>
      <c r="O702" s="9"/>
    </row>
    <row r="703" spans="1:15" x14ac:dyDescent="0.25">
      <c r="A703" s="4"/>
      <c r="B703" s="9"/>
      <c r="C703" s="52" t="str">
        <f t="shared" si="19"/>
        <v/>
      </c>
      <c r="D703" s="9"/>
      <c r="E703" s="9"/>
      <c r="F703" s="9"/>
      <c r="G703" s="30"/>
      <c r="H703" s="30"/>
      <c r="I703" s="9"/>
      <c r="J703" s="9"/>
      <c r="K703" s="9"/>
      <c r="L703" s="9"/>
      <c r="M703" s="9"/>
      <c r="N703" s="9"/>
      <c r="O703" s="9"/>
    </row>
    <row r="704" spans="1:15" x14ac:dyDescent="0.25">
      <c r="A704" s="4"/>
      <c r="B704" s="9"/>
      <c r="C704" s="52" t="str">
        <f t="shared" si="19"/>
        <v/>
      </c>
      <c r="D704" s="9"/>
      <c r="E704" s="9"/>
      <c r="F704" s="9"/>
      <c r="G704" s="30"/>
      <c r="H704" s="30"/>
      <c r="I704" s="9"/>
      <c r="J704" s="9"/>
      <c r="K704" s="9"/>
      <c r="L704" s="9"/>
      <c r="M704" s="9"/>
      <c r="N704" s="9"/>
      <c r="O704" s="9"/>
    </row>
    <row r="705" spans="1:15" x14ac:dyDescent="0.25">
      <c r="A705" s="4"/>
      <c r="B705" s="9"/>
      <c r="C705" s="52" t="str">
        <f t="shared" si="19"/>
        <v/>
      </c>
      <c r="D705" s="9"/>
      <c r="E705" s="9"/>
      <c r="F705" s="9"/>
      <c r="G705" s="30"/>
      <c r="H705" s="30"/>
      <c r="I705" s="9"/>
      <c r="J705" s="9"/>
      <c r="K705" s="9"/>
      <c r="L705" s="9"/>
      <c r="M705" s="9"/>
      <c r="N705" s="9"/>
      <c r="O705" s="9"/>
    </row>
    <row r="706" spans="1:15" x14ac:dyDescent="0.25">
      <c r="A706" s="4"/>
      <c r="B706" s="9"/>
      <c r="C706" s="52" t="str">
        <f t="shared" si="19"/>
        <v/>
      </c>
      <c r="D706" s="9"/>
      <c r="E706" s="9"/>
      <c r="F706" s="9"/>
      <c r="G706" s="30"/>
      <c r="H706" s="30"/>
      <c r="I706" s="9"/>
      <c r="J706" s="9"/>
      <c r="K706" s="9"/>
      <c r="L706" s="9"/>
      <c r="M706" s="9"/>
      <c r="N706" s="9"/>
      <c r="O706" s="9"/>
    </row>
    <row r="707" spans="1:15" x14ac:dyDescent="0.25">
      <c r="A707" s="4"/>
      <c r="B707" s="9"/>
      <c r="C707" s="52" t="str">
        <f t="shared" si="19"/>
        <v/>
      </c>
      <c r="D707" s="9"/>
      <c r="E707" s="9"/>
      <c r="F707" s="9"/>
      <c r="G707" s="30"/>
      <c r="H707" s="30"/>
      <c r="I707" s="9"/>
      <c r="J707" s="9"/>
      <c r="K707" s="9"/>
      <c r="L707" s="9"/>
      <c r="M707" s="9"/>
      <c r="N707" s="9"/>
      <c r="O707" s="9"/>
    </row>
    <row r="708" spans="1:15" x14ac:dyDescent="0.25">
      <c r="A708" s="4"/>
      <c r="B708" s="9"/>
      <c r="C708" s="52" t="str">
        <f t="shared" si="19"/>
        <v/>
      </c>
      <c r="D708" s="9"/>
      <c r="E708" s="9"/>
      <c r="F708" s="9"/>
      <c r="G708" s="30"/>
      <c r="H708" s="30"/>
      <c r="I708" s="9"/>
      <c r="J708" s="9"/>
      <c r="K708" s="9"/>
      <c r="L708" s="9"/>
      <c r="M708" s="9"/>
      <c r="N708" s="9"/>
      <c r="O708" s="9"/>
    </row>
    <row r="709" spans="1:15" x14ac:dyDescent="0.25">
      <c r="A709" s="4"/>
      <c r="B709" s="9"/>
      <c r="C709" s="52" t="str">
        <f t="shared" si="19"/>
        <v/>
      </c>
      <c r="D709" s="9"/>
      <c r="E709" s="9"/>
      <c r="F709" s="9"/>
      <c r="G709" s="30"/>
      <c r="H709" s="30"/>
      <c r="I709" s="9"/>
      <c r="J709" s="9"/>
      <c r="K709" s="9"/>
      <c r="L709" s="9"/>
      <c r="M709" s="9"/>
      <c r="N709" s="9"/>
      <c r="O709" s="9"/>
    </row>
    <row r="710" spans="1:15" x14ac:dyDescent="0.25">
      <c r="A710" s="4"/>
      <c r="B710" s="9"/>
      <c r="C710" s="52" t="str">
        <f t="shared" si="19"/>
        <v/>
      </c>
      <c r="D710" s="9"/>
      <c r="E710" s="9"/>
      <c r="F710" s="9"/>
      <c r="G710" s="30"/>
      <c r="H710" s="30"/>
      <c r="I710" s="9"/>
      <c r="J710" s="9"/>
      <c r="K710" s="9"/>
      <c r="L710" s="9"/>
      <c r="M710" s="9"/>
      <c r="N710" s="9"/>
      <c r="O710" s="9"/>
    </row>
    <row r="711" spans="1:15" x14ac:dyDescent="0.25">
      <c r="A711" s="4"/>
      <c r="B711" s="9"/>
      <c r="C711" s="52" t="str">
        <f t="shared" si="19"/>
        <v/>
      </c>
      <c r="D711" s="9"/>
      <c r="E711" s="9"/>
      <c r="F711" s="9"/>
      <c r="G711" s="30"/>
      <c r="H711" s="30"/>
      <c r="I711" s="9"/>
      <c r="J711" s="9"/>
      <c r="K711" s="9"/>
      <c r="L711" s="9"/>
      <c r="M711" s="9"/>
      <c r="N711" s="9"/>
      <c r="O711" s="9"/>
    </row>
    <row r="712" spans="1:15" x14ac:dyDescent="0.25">
      <c r="A712" s="4"/>
      <c r="B712" s="9"/>
      <c r="C712" s="52" t="str">
        <f t="shared" si="19"/>
        <v/>
      </c>
      <c r="D712" s="9"/>
      <c r="E712" s="9"/>
      <c r="F712" s="9"/>
      <c r="G712" s="30"/>
      <c r="H712" s="30"/>
      <c r="I712" s="9"/>
      <c r="J712" s="9"/>
      <c r="K712" s="9"/>
      <c r="L712" s="9"/>
      <c r="M712" s="9"/>
      <c r="N712" s="9"/>
      <c r="O712" s="9"/>
    </row>
    <row r="713" spans="1:15" x14ac:dyDescent="0.25">
      <c r="A713" s="4"/>
      <c r="B713" s="9"/>
      <c r="C713" s="52" t="str">
        <f t="shared" si="19"/>
        <v/>
      </c>
      <c r="D713" s="9"/>
      <c r="E713" s="9"/>
      <c r="F713" s="9"/>
      <c r="G713" s="30"/>
      <c r="H713" s="30"/>
      <c r="I713" s="9"/>
      <c r="J713" s="9"/>
      <c r="K713" s="9"/>
      <c r="L713" s="9"/>
      <c r="M713" s="9"/>
      <c r="N713" s="9"/>
      <c r="O713" s="9"/>
    </row>
    <row r="714" spans="1:15" x14ac:dyDescent="0.25">
      <c r="A714" s="4"/>
      <c r="B714" s="9"/>
      <c r="C714" s="52" t="str">
        <f t="shared" si="19"/>
        <v/>
      </c>
      <c r="D714" s="9"/>
      <c r="E714" s="9"/>
      <c r="F714" s="9"/>
      <c r="G714" s="30"/>
      <c r="H714" s="30"/>
      <c r="I714" s="9"/>
      <c r="J714" s="9"/>
      <c r="K714" s="9"/>
      <c r="L714" s="9"/>
      <c r="M714" s="9"/>
      <c r="N714" s="9"/>
      <c r="O714" s="9"/>
    </row>
    <row r="715" spans="1:15" x14ac:dyDescent="0.25">
      <c r="A715" s="4"/>
      <c r="B715" s="9"/>
      <c r="C715" s="52" t="str">
        <f t="shared" si="19"/>
        <v/>
      </c>
      <c r="D715" s="9"/>
      <c r="E715" s="29"/>
      <c r="F715" s="29"/>
      <c r="G715" s="30"/>
      <c r="H715" s="30"/>
      <c r="I715" s="9"/>
      <c r="J715" s="29"/>
      <c r="K715" s="29"/>
      <c r="L715" s="29"/>
      <c r="M715" s="29"/>
      <c r="N715" s="29"/>
      <c r="O715" s="29"/>
    </row>
    <row r="716" spans="1:15" x14ac:dyDescent="0.25">
      <c r="A716" s="4"/>
      <c r="B716" s="9"/>
      <c r="C716" s="52" t="str">
        <f t="shared" si="19"/>
        <v/>
      </c>
      <c r="D716" s="9"/>
      <c r="E716" s="29"/>
      <c r="F716" s="29"/>
      <c r="G716" s="30"/>
      <c r="H716" s="30"/>
      <c r="I716" s="9"/>
      <c r="J716" s="29"/>
      <c r="K716" s="29"/>
      <c r="L716" s="29"/>
      <c r="M716" s="29"/>
      <c r="N716" s="29"/>
      <c r="O716" s="29"/>
    </row>
    <row r="717" spans="1:15" x14ac:dyDescent="0.25">
      <c r="A717" s="4"/>
      <c r="B717" s="9"/>
      <c r="C717" s="52" t="str">
        <f t="shared" si="19"/>
        <v/>
      </c>
      <c r="D717" s="9"/>
      <c r="E717" s="29"/>
      <c r="F717" s="29"/>
      <c r="G717" s="30"/>
      <c r="H717" s="30"/>
      <c r="I717" s="9"/>
      <c r="J717" s="29"/>
      <c r="K717" s="29"/>
      <c r="L717" s="29"/>
      <c r="M717" s="29"/>
      <c r="N717" s="29"/>
      <c r="O717" s="29"/>
    </row>
    <row r="718" spans="1:15" x14ac:dyDescent="0.25">
      <c r="A718" s="4"/>
      <c r="B718" s="9"/>
      <c r="C718" s="52" t="str">
        <f t="shared" si="19"/>
        <v/>
      </c>
      <c r="D718" s="9"/>
      <c r="E718" s="29"/>
      <c r="F718" s="29"/>
      <c r="G718" s="30"/>
      <c r="H718" s="30"/>
      <c r="I718" s="9"/>
      <c r="J718" s="29"/>
      <c r="K718" s="29"/>
      <c r="L718" s="29"/>
      <c r="M718" s="29"/>
      <c r="N718" s="29"/>
      <c r="O718" s="29"/>
    </row>
    <row r="719" spans="1:15" x14ac:dyDescent="0.25">
      <c r="A719" s="4"/>
      <c r="B719" s="9"/>
      <c r="C719" s="52" t="str">
        <f t="shared" si="19"/>
        <v/>
      </c>
      <c r="D719" s="9"/>
      <c r="E719" s="29"/>
      <c r="F719" s="29"/>
      <c r="G719" s="30"/>
      <c r="H719" s="30"/>
      <c r="I719" s="9"/>
      <c r="J719" s="29"/>
      <c r="K719" s="29"/>
      <c r="L719" s="29"/>
      <c r="M719" s="29"/>
      <c r="N719" s="29"/>
      <c r="O719" s="29"/>
    </row>
    <row r="720" spans="1:15" x14ac:dyDescent="0.25">
      <c r="A720" s="4"/>
      <c r="B720" s="9"/>
      <c r="C720" s="52" t="str">
        <f t="shared" si="19"/>
        <v/>
      </c>
      <c r="D720" s="9"/>
      <c r="E720" s="29"/>
      <c r="F720" s="29"/>
      <c r="G720" s="30"/>
      <c r="H720" s="30"/>
      <c r="I720" s="9"/>
      <c r="J720" s="29"/>
      <c r="K720" s="29"/>
      <c r="L720" s="29"/>
      <c r="M720" s="29"/>
      <c r="N720" s="29"/>
      <c r="O720" s="29"/>
    </row>
    <row r="721" spans="1:15" x14ac:dyDescent="0.25">
      <c r="A721" s="4"/>
      <c r="B721" s="9"/>
      <c r="C721" s="52" t="str">
        <f t="shared" si="19"/>
        <v/>
      </c>
      <c r="D721" s="9"/>
      <c r="E721" s="29"/>
      <c r="F721" s="29"/>
      <c r="G721" s="30"/>
      <c r="H721" s="30"/>
      <c r="I721" s="9"/>
      <c r="J721" s="29"/>
      <c r="K721" s="29"/>
      <c r="L721" s="29"/>
      <c r="M721" s="29"/>
      <c r="N721" s="29"/>
      <c r="O721" s="29"/>
    </row>
    <row r="722" spans="1:15" x14ac:dyDescent="0.25">
      <c r="A722" s="4"/>
      <c r="B722" s="9"/>
      <c r="C722" s="52" t="str">
        <f t="shared" si="19"/>
        <v/>
      </c>
      <c r="D722" s="9"/>
      <c r="E722" s="29"/>
      <c r="F722" s="29"/>
      <c r="G722" s="30"/>
      <c r="H722" s="30"/>
      <c r="I722" s="9"/>
      <c r="J722" s="29"/>
      <c r="K722" s="29"/>
      <c r="L722" s="29"/>
      <c r="M722" s="29"/>
      <c r="N722" s="29"/>
      <c r="O722" s="29"/>
    </row>
    <row r="723" spans="1:15" x14ac:dyDescent="0.25">
      <c r="A723" s="4"/>
      <c r="B723" s="9"/>
      <c r="C723" s="52" t="str">
        <f t="shared" ref="C723:C786" si="20">IF(ISBLANK(D723), "", CONCATENATE(D723,E723,"_",F723,"_",L723))</f>
        <v/>
      </c>
      <c r="D723" s="9"/>
      <c r="E723" s="29"/>
      <c r="F723" s="29"/>
      <c r="G723" s="30"/>
      <c r="H723" s="30"/>
      <c r="I723" s="9"/>
      <c r="J723" s="29"/>
      <c r="K723" s="29"/>
      <c r="L723" s="29"/>
      <c r="M723" s="29"/>
      <c r="N723" s="29"/>
      <c r="O723" s="29"/>
    </row>
    <row r="724" spans="1:15" x14ac:dyDescent="0.25">
      <c r="A724" s="4"/>
      <c r="B724" s="9"/>
      <c r="C724" s="52" t="str">
        <f t="shared" si="20"/>
        <v/>
      </c>
      <c r="D724" s="9"/>
      <c r="E724" s="29"/>
      <c r="F724" s="29"/>
      <c r="G724" s="30"/>
      <c r="H724" s="30"/>
      <c r="I724" s="9"/>
      <c r="J724" s="29"/>
      <c r="K724" s="29"/>
      <c r="L724" s="29"/>
      <c r="M724" s="29"/>
      <c r="N724" s="29"/>
      <c r="O724" s="29"/>
    </row>
    <row r="725" spans="1:15" x14ac:dyDescent="0.25">
      <c r="A725" s="4"/>
      <c r="B725" s="9"/>
      <c r="C725" s="52" t="str">
        <f t="shared" si="20"/>
        <v/>
      </c>
      <c r="D725" s="9"/>
      <c r="E725" s="29"/>
      <c r="F725" s="29"/>
      <c r="G725" s="30"/>
      <c r="H725" s="30"/>
      <c r="I725" s="9"/>
      <c r="J725" s="29"/>
      <c r="K725" s="29"/>
      <c r="L725" s="29"/>
      <c r="M725" s="29"/>
      <c r="N725" s="29"/>
      <c r="O725" s="29"/>
    </row>
    <row r="726" spans="1:15" x14ac:dyDescent="0.25">
      <c r="A726" s="4"/>
      <c r="B726" s="9"/>
      <c r="C726" s="52" t="str">
        <f t="shared" si="20"/>
        <v/>
      </c>
      <c r="D726" s="9"/>
      <c r="E726" s="29"/>
      <c r="F726" s="29"/>
      <c r="G726" s="30"/>
      <c r="H726" s="30"/>
      <c r="I726" s="9"/>
      <c r="J726" s="29"/>
      <c r="K726" s="29"/>
      <c r="L726" s="29"/>
      <c r="M726" s="29"/>
      <c r="N726" s="29"/>
      <c r="O726" s="29"/>
    </row>
    <row r="727" spans="1:15" x14ac:dyDescent="0.25">
      <c r="A727" s="4"/>
      <c r="B727" s="9"/>
      <c r="C727" s="52" t="str">
        <f t="shared" si="20"/>
        <v/>
      </c>
      <c r="D727" s="9"/>
      <c r="E727" s="29"/>
      <c r="F727" s="29"/>
      <c r="G727" s="30"/>
      <c r="H727" s="30"/>
      <c r="I727" s="9"/>
      <c r="J727" s="29"/>
      <c r="K727" s="29"/>
      <c r="L727" s="29"/>
      <c r="M727" s="29"/>
      <c r="N727" s="29"/>
      <c r="O727" s="29"/>
    </row>
    <row r="728" spans="1:15" x14ac:dyDescent="0.25">
      <c r="A728" s="4"/>
      <c r="B728" s="9"/>
      <c r="C728" s="52" t="str">
        <f t="shared" si="20"/>
        <v/>
      </c>
      <c r="D728" s="9"/>
      <c r="E728" s="29"/>
      <c r="F728" s="29"/>
      <c r="G728" s="30"/>
      <c r="H728" s="30"/>
      <c r="I728" s="9"/>
      <c r="J728" s="29"/>
      <c r="K728" s="29"/>
      <c r="L728" s="29"/>
      <c r="M728" s="29"/>
      <c r="N728" s="29"/>
      <c r="O728" s="29"/>
    </row>
    <row r="729" spans="1:15" x14ac:dyDescent="0.25">
      <c r="A729" s="4"/>
      <c r="B729" s="9"/>
      <c r="C729" s="52" t="str">
        <f t="shared" si="20"/>
        <v/>
      </c>
      <c r="D729" s="9"/>
      <c r="E729" s="29"/>
      <c r="F729" s="29"/>
      <c r="G729" s="30"/>
      <c r="H729" s="30"/>
      <c r="I729" s="9"/>
      <c r="J729" s="29"/>
      <c r="K729" s="29"/>
      <c r="L729" s="29"/>
      <c r="M729" s="29"/>
      <c r="N729" s="29"/>
      <c r="O729" s="29"/>
    </row>
    <row r="730" spans="1:15" x14ac:dyDescent="0.25">
      <c r="A730" s="4"/>
      <c r="B730" s="9"/>
      <c r="C730" s="52" t="str">
        <f t="shared" si="20"/>
        <v/>
      </c>
      <c r="D730" s="9"/>
      <c r="E730" s="29"/>
      <c r="F730" s="29"/>
      <c r="G730" s="30"/>
      <c r="H730" s="30"/>
      <c r="I730" s="9"/>
      <c r="J730" s="29"/>
      <c r="K730" s="29"/>
      <c r="L730" s="29"/>
      <c r="M730" s="29"/>
      <c r="N730" s="29"/>
      <c r="O730" s="29"/>
    </row>
    <row r="731" spans="1:15" x14ac:dyDescent="0.25">
      <c r="A731" s="4"/>
      <c r="B731" s="9"/>
      <c r="C731" s="52" t="str">
        <f t="shared" si="20"/>
        <v/>
      </c>
      <c r="D731" s="9"/>
      <c r="E731" s="29"/>
      <c r="F731" s="29"/>
      <c r="G731" s="30"/>
      <c r="H731" s="30"/>
      <c r="I731" s="9"/>
      <c r="J731" s="29"/>
      <c r="K731" s="29"/>
      <c r="L731" s="29"/>
      <c r="M731" s="29"/>
      <c r="N731" s="29"/>
      <c r="O731" s="29"/>
    </row>
    <row r="732" spans="1:15" x14ac:dyDescent="0.25">
      <c r="A732" s="4"/>
      <c r="B732" s="9"/>
      <c r="C732" s="52" t="str">
        <f t="shared" si="20"/>
        <v/>
      </c>
      <c r="D732" s="9"/>
      <c r="E732" s="29"/>
      <c r="F732" s="29"/>
      <c r="G732" s="30"/>
      <c r="H732" s="30"/>
      <c r="I732" s="9"/>
      <c r="J732" s="29"/>
      <c r="K732" s="29"/>
      <c r="L732" s="29"/>
      <c r="M732" s="29"/>
      <c r="N732" s="29"/>
      <c r="O732" s="29"/>
    </row>
    <row r="733" spans="1:15" x14ac:dyDescent="0.25">
      <c r="A733" s="4"/>
      <c r="B733" s="9"/>
      <c r="C733" s="52" t="str">
        <f t="shared" si="20"/>
        <v/>
      </c>
      <c r="D733" s="9"/>
      <c r="E733" s="29"/>
      <c r="F733" s="29"/>
      <c r="G733" s="30"/>
      <c r="H733" s="30"/>
      <c r="I733" s="9"/>
      <c r="J733" s="29"/>
      <c r="K733" s="29"/>
      <c r="L733" s="29"/>
      <c r="M733" s="29"/>
      <c r="N733" s="29"/>
      <c r="O733" s="29"/>
    </row>
    <row r="734" spans="1:15" x14ac:dyDescent="0.25">
      <c r="A734" s="4"/>
      <c r="B734" s="9"/>
      <c r="C734" s="52" t="str">
        <f t="shared" si="20"/>
        <v/>
      </c>
      <c r="D734" s="9"/>
      <c r="E734" s="29"/>
      <c r="F734" s="29"/>
      <c r="G734" s="30"/>
      <c r="H734" s="30"/>
      <c r="I734" s="9"/>
      <c r="J734" s="29"/>
      <c r="K734" s="29"/>
      <c r="L734" s="29"/>
      <c r="M734" s="29"/>
      <c r="N734" s="29"/>
      <c r="O734" s="29"/>
    </row>
    <row r="735" spans="1:15" x14ac:dyDescent="0.25">
      <c r="A735" s="4"/>
      <c r="B735" s="9"/>
      <c r="C735" s="52" t="str">
        <f t="shared" si="20"/>
        <v/>
      </c>
      <c r="D735" s="9"/>
      <c r="E735" s="29"/>
      <c r="F735" s="29"/>
      <c r="G735" s="30"/>
      <c r="H735" s="30"/>
      <c r="I735" s="9"/>
      <c r="J735" s="29"/>
      <c r="K735" s="29"/>
      <c r="L735" s="29"/>
      <c r="M735" s="29"/>
      <c r="N735" s="29"/>
      <c r="O735" s="29"/>
    </row>
    <row r="736" spans="1:15" x14ac:dyDescent="0.25">
      <c r="A736" s="4"/>
      <c r="B736" s="9"/>
      <c r="C736" s="52" t="str">
        <f t="shared" si="20"/>
        <v/>
      </c>
      <c r="D736" s="9"/>
      <c r="E736" s="29"/>
      <c r="F736" s="29"/>
      <c r="G736" s="30"/>
      <c r="H736" s="30"/>
      <c r="I736" s="9"/>
      <c r="J736" s="29"/>
      <c r="K736" s="29"/>
      <c r="L736" s="29"/>
      <c r="M736" s="29"/>
      <c r="N736" s="29"/>
      <c r="O736" s="29"/>
    </row>
    <row r="737" spans="1:15" x14ac:dyDescent="0.25">
      <c r="A737" s="4"/>
      <c r="B737" s="9"/>
      <c r="C737" s="52" t="str">
        <f t="shared" si="20"/>
        <v/>
      </c>
      <c r="D737" s="9"/>
      <c r="E737" s="29"/>
      <c r="F737" s="29"/>
      <c r="G737" s="30"/>
      <c r="H737" s="30"/>
      <c r="I737" s="9"/>
      <c r="J737" s="29"/>
      <c r="K737" s="29"/>
      <c r="L737" s="29"/>
      <c r="M737" s="29"/>
      <c r="N737" s="29"/>
      <c r="O737" s="29"/>
    </row>
    <row r="738" spans="1:15" x14ac:dyDescent="0.25">
      <c r="A738" s="4"/>
      <c r="B738" s="9"/>
      <c r="C738" s="52" t="str">
        <f t="shared" si="20"/>
        <v/>
      </c>
      <c r="D738" s="9"/>
      <c r="E738" s="29"/>
      <c r="F738" s="29"/>
      <c r="G738" s="30"/>
      <c r="H738" s="30"/>
      <c r="I738" s="9"/>
      <c r="J738" s="29"/>
      <c r="K738" s="29"/>
      <c r="L738" s="29"/>
      <c r="M738" s="29"/>
      <c r="N738" s="29"/>
      <c r="O738" s="29"/>
    </row>
    <row r="739" spans="1:15" x14ac:dyDescent="0.25">
      <c r="A739" s="4"/>
      <c r="B739" s="9"/>
      <c r="C739" s="52" t="str">
        <f t="shared" si="20"/>
        <v/>
      </c>
      <c r="D739" s="9"/>
      <c r="E739" s="29"/>
      <c r="F739" s="29"/>
      <c r="G739" s="30"/>
      <c r="H739" s="30"/>
      <c r="I739" s="9"/>
      <c r="J739" s="29"/>
      <c r="K739" s="29"/>
      <c r="L739" s="29"/>
      <c r="M739" s="29"/>
      <c r="N739" s="29"/>
      <c r="O739" s="29"/>
    </row>
    <row r="740" spans="1:15" x14ac:dyDescent="0.25">
      <c r="A740" s="4"/>
      <c r="B740" s="9"/>
      <c r="C740" s="52" t="str">
        <f t="shared" si="20"/>
        <v/>
      </c>
      <c r="D740" s="9"/>
      <c r="E740" s="29"/>
      <c r="F740" s="29"/>
      <c r="G740" s="30"/>
      <c r="H740" s="30"/>
      <c r="I740" s="9"/>
      <c r="J740" s="29"/>
      <c r="K740" s="29"/>
      <c r="L740" s="29"/>
      <c r="M740" s="29"/>
      <c r="N740" s="29"/>
      <c r="O740" s="29"/>
    </row>
    <row r="741" spans="1:15" x14ac:dyDescent="0.25">
      <c r="A741" s="4"/>
      <c r="B741" s="9"/>
      <c r="C741" s="52" t="str">
        <f t="shared" si="20"/>
        <v/>
      </c>
      <c r="D741" s="9"/>
      <c r="E741" s="29"/>
      <c r="F741" s="29"/>
      <c r="G741" s="30"/>
      <c r="H741" s="30"/>
      <c r="I741" s="9"/>
      <c r="J741" s="29"/>
      <c r="K741" s="29"/>
      <c r="L741" s="29"/>
      <c r="M741" s="29"/>
      <c r="N741" s="29"/>
      <c r="O741" s="29"/>
    </row>
    <row r="742" spans="1:15" x14ac:dyDescent="0.25">
      <c r="A742" s="4"/>
      <c r="B742" s="9"/>
      <c r="C742" s="52" t="str">
        <f t="shared" si="20"/>
        <v/>
      </c>
      <c r="D742" s="9"/>
      <c r="E742" s="29"/>
      <c r="F742" s="29"/>
      <c r="G742" s="30"/>
      <c r="H742" s="30"/>
      <c r="I742" s="9"/>
      <c r="J742" s="29"/>
      <c r="K742" s="29"/>
      <c r="L742" s="29"/>
      <c r="M742" s="29"/>
      <c r="N742" s="29"/>
      <c r="O742" s="29"/>
    </row>
    <row r="743" spans="1:15" x14ac:dyDescent="0.25">
      <c r="A743" s="4"/>
      <c r="B743" s="9"/>
      <c r="C743" s="52" t="str">
        <f t="shared" si="20"/>
        <v/>
      </c>
      <c r="D743" s="9"/>
      <c r="E743" s="29"/>
      <c r="F743" s="29"/>
      <c r="G743" s="30"/>
      <c r="H743" s="30"/>
      <c r="I743" s="9"/>
      <c r="J743" s="29"/>
      <c r="K743" s="29"/>
      <c r="L743" s="29"/>
      <c r="M743" s="29"/>
      <c r="N743" s="29"/>
      <c r="O743" s="29"/>
    </row>
    <row r="744" spans="1:15" x14ac:dyDescent="0.25">
      <c r="A744" s="4"/>
      <c r="B744" s="9"/>
      <c r="C744" s="52" t="str">
        <f t="shared" si="20"/>
        <v/>
      </c>
      <c r="D744" s="9"/>
      <c r="E744" s="29"/>
      <c r="F744" s="29"/>
      <c r="G744" s="30"/>
      <c r="H744" s="30"/>
      <c r="I744" s="9"/>
      <c r="J744" s="29"/>
      <c r="K744" s="29"/>
      <c r="L744" s="29"/>
      <c r="M744" s="29"/>
      <c r="N744" s="29"/>
      <c r="O744" s="29"/>
    </row>
    <row r="745" spans="1:15" x14ac:dyDescent="0.25">
      <c r="A745" s="4"/>
      <c r="B745" s="9"/>
      <c r="C745" s="52" t="str">
        <f t="shared" si="20"/>
        <v/>
      </c>
      <c r="D745" s="9"/>
      <c r="E745" s="29"/>
      <c r="F745" s="29"/>
      <c r="G745" s="30"/>
      <c r="H745" s="30"/>
      <c r="I745" s="9"/>
      <c r="J745" s="29"/>
      <c r="K745" s="29"/>
      <c r="L745" s="29"/>
      <c r="M745" s="29"/>
      <c r="N745" s="29"/>
      <c r="O745" s="29"/>
    </row>
    <row r="746" spans="1:15" x14ac:dyDescent="0.25">
      <c r="A746" s="4"/>
      <c r="B746" s="9"/>
      <c r="C746" s="52" t="str">
        <f t="shared" si="20"/>
        <v/>
      </c>
      <c r="D746" s="9"/>
      <c r="E746" s="29"/>
      <c r="F746" s="29"/>
      <c r="G746" s="30"/>
      <c r="H746" s="30"/>
      <c r="I746" s="9"/>
      <c r="J746" s="29"/>
      <c r="K746" s="29"/>
      <c r="L746" s="29"/>
      <c r="M746" s="29"/>
      <c r="N746" s="29"/>
      <c r="O746" s="29"/>
    </row>
    <row r="747" spans="1:15" x14ac:dyDescent="0.25">
      <c r="A747" s="4"/>
      <c r="B747" s="9"/>
      <c r="C747" s="52" t="str">
        <f t="shared" si="20"/>
        <v/>
      </c>
      <c r="D747" s="9"/>
      <c r="E747" s="29"/>
      <c r="F747" s="29"/>
      <c r="G747" s="30"/>
      <c r="H747" s="30"/>
      <c r="I747" s="9"/>
      <c r="J747" s="29"/>
      <c r="K747" s="29"/>
      <c r="L747" s="29"/>
      <c r="M747" s="29"/>
      <c r="N747" s="29"/>
      <c r="O747" s="29"/>
    </row>
    <row r="748" spans="1:15" x14ac:dyDescent="0.25">
      <c r="A748" s="4"/>
      <c r="B748" s="9"/>
      <c r="C748" s="52" t="str">
        <f t="shared" si="20"/>
        <v/>
      </c>
      <c r="D748" s="9"/>
      <c r="E748" s="29"/>
      <c r="F748" s="29"/>
      <c r="G748" s="30"/>
      <c r="H748" s="30"/>
      <c r="I748" s="9"/>
      <c r="J748" s="29"/>
      <c r="K748" s="29"/>
      <c r="L748" s="29"/>
      <c r="M748" s="29"/>
      <c r="N748" s="29"/>
      <c r="O748" s="29"/>
    </row>
    <row r="749" spans="1:15" x14ac:dyDescent="0.25">
      <c r="A749" s="4"/>
      <c r="B749" s="9"/>
      <c r="C749" s="52" t="str">
        <f t="shared" si="20"/>
        <v/>
      </c>
      <c r="D749" s="9"/>
      <c r="E749" s="29"/>
      <c r="F749" s="29"/>
      <c r="G749" s="30"/>
      <c r="H749" s="30"/>
      <c r="I749" s="9"/>
      <c r="J749" s="29"/>
      <c r="K749" s="29"/>
      <c r="L749" s="29"/>
      <c r="M749" s="29"/>
      <c r="N749" s="29"/>
      <c r="O749" s="29"/>
    </row>
    <row r="750" spans="1:15" x14ac:dyDescent="0.25">
      <c r="A750" s="4"/>
      <c r="B750" s="9"/>
      <c r="C750" s="52" t="str">
        <f t="shared" si="20"/>
        <v/>
      </c>
      <c r="D750" s="9"/>
      <c r="E750" s="29"/>
      <c r="F750" s="29"/>
      <c r="G750" s="30"/>
      <c r="H750" s="30"/>
      <c r="I750" s="9"/>
      <c r="J750" s="29"/>
      <c r="K750" s="29"/>
      <c r="L750" s="29"/>
      <c r="M750" s="29"/>
      <c r="N750" s="29"/>
      <c r="O750" s="29"/>
    </row>
    <row r="751" spans="1:15" x14ac:dyDescent="0.25">
      <c r="A751" s="4"/>
      <c r="B751" s="9"/>
      <c r="C751" s="52" t="str">
        <f t="shared" si="20"/>
        <v/>
      </c>
      <c r="D751" s="9"/>
      <c r="E751" s="29"/>
      <c r="F751" s="29"/>
      <c r="G751" s="30"/>
      <c r="H751" s="30"/>
      <c r="I751" s="9"/>
      <c r="J751" s="29"/>
      <c r="K751" s="29"/>
      <c r="L751" s="29"/>
      <c r="M751" s="29"/>
      <c r="N751" s="29"/>
      <c r="O751" s="29"/>
    </row>
    <row r="752" spans="1:15" x14ac:dyDescent="0.25">
      <c r="A752" s="4"/>
      <c r="B752" s="9"/>
      <c r="C752" s="52" t="str">
        <f t="shared" si="20"/>
        <v/>
      </c>
      <c r="D752" s="9"/>
      <c r="E752" s="29"/>
      <c r="F752" s="29"/>
      <c r="G752" s="30"/>
      <c r="H752" s="30"/>
      <c r="I752" s="9"/>
      <c r="J752" s="29"/>
      <c r="K752" s="29"/>
      <c r="L752" s="29"/>
      <c r="M752" s="29"/>
      <c r="N752" s="29"/>
      <c r="O752" s="29"/>
    </row>
    <row r="753" spans="1:15" x14ac:dyDescent="0.25">
      <c r="A753" s="4"/>
      <c r="B753" s="9"/>
      <c r="C753" s="52" t="str">
        <f t="shared" si="20"/>
        <v/>
      </c>
      <c r="D753" s="9"/>
      <c r="E753" s="29"/>
      <c r="F753" s="29"/>
      <c r="G753" s="30"/>
      <c r="H753" s="30"/>
      <c r="I753" s="9"/>
      <c r="J753" s="29"/>
      <c r="K753" s="29"/>
      <c r="L753" s="29"/>
      <c r="M753" s="29"/>
      <c r="N753" s="29"/>
      <c r="O753" s="29"/>
    </row>
    <row r="754" spans="1:15" x14ac:dyDescent="0.25">
      <c r="A754" s="4"/>
      <c r="B754" s="9"/>
      <c r="C754" s="52" t="str">
        <f t="shared" si="20"/>
        <v/>
      </c>
      <c r="D754" s="9"/>
      <c r="E754" s="29"/>
      <c r="F754" s="29"/>
      <c r="G754" s="30"/>
      <c r="H754" s="30"/>
      <c r="I754" s="9"/>
      <c r="J754" s="29"/>
      <c r="K754" s="29"/>
      <c r="L754" s="29"/>
      <c r="M754" s="29"/>
      <c r="N754" s="29"/>
      <c r="O754" s="29"/>
    </row>
    <row r="755" spans="1:15" x14ac:dyDescent="0.25">
      <c r="A755" s="4"/>
      <c r="B755" s="9"/>
      <c r="C755" s="52" t="str">
        <f t="shared" si="20"/>
        <v/>
      </c>
      <c r="D755" s="9"/>
      <c r="E755" s="29"/>
      <c r="F755" s="29"/>
      <c r="G755" s="30"/>
      <c r="H755" s="30"/>
      <c r="I755" s="9"/>
      <c r="J755" s="29"/>
      <c r="K755" s="29"/>
      <c r="L755" s="29"/>
      <c r="M755" s="29"/>
      <c r="N755" s="29"/>
      <c r="O755" s="29"/>
    </row>
    <row r="756" spans="1:15" x14ac:dyDescent="0.25">
      <c r="A756" s="4"/>
      <c r="B756" s="9"/>
      <c r="C756" s="52" t="str">
        <f t="shared" si="20"/>
        <v/>
      </c>
      <c r="D756" s="9"/>
      <c r="E756" s="29"/>
      <c r="F756" s="29"/>
      <c r="G756" s="30"/>
      <c r="H756" s="30"/>
      <c r="I756" s="9"/>
      <c r="J756" s="29"/>
      <c r="K756" s="29"/>
      <c r="L756" s="29"/>
      <c r="M756" s="29"/>
      <c r="N756" s="29"/>
      <c r="O756" s="29"/>
    </row>
    <row r="757" spans="1:15" x14ac:dyDescent="0.25">
      <c r="A757" s="4"/>
      <c r="B757" s="9"/>
      <c r="C757" s="52" t="str">
        <f t="shared" si="20"/>
        <v/>
      </c>
      <c r="D757" s="9"/>
      <c r="E757" s="29"/>
      <c r="F757" s="29"/>
      <c r="G757" s="30"/>
      <c r="H757" s="30"/>
      <c r="I757" s="9"/>
      <c r="J757" s="29"/>
      <c r="K757" s="29"/>
      <c r="L757" s="29"/>
      <c r="M757" s="29"/>
      <c r="N757" s="29"/>
      <c r="O757" s="29"/>
    </row>
    <row r="758" spans="1:15" x14ac:dyDescent="0.25">
      <c r="A758" s="4"/>
      <c r="B758" s="9"/>
      <c r="C758" s="52" t="str">
        <f t="shared" si="20"/>
        <v/>
      </c>
      <c r="D758" s="9"/>
      <c r="E758" s="29"/>
      <c r="F758" s="29"/>
      <c r="G758" s="30"/>
      <c r="H758" s="30"/>
      <c r="I758" s="9"/>
      <c r="J758" s="29"/>
      <c r="K758" s="29"/>
      <c r="L758" s="29"/>
      <c r="M758" s="29"/>
      <c r="N758" s="29"/>
      <c r="O758" s="29"/>
    </row>
    <row r="759" spans="1:15" x14ac:dyDescent="0.25">
      <c r="A759" s="4"/>
      <c r="B759" s="9"/>
      <c r="C759" s="52" t="str">
        <f t="shared" si="20"/>
        <v/>
      </c>
      <c r="D759" s="9"/>
      <c r="E759" s="29"/>
      <c r="F759" s="29"/>
      <c r="G759" s="30"/>
      <c r="H759" s="30"/>
      <c r="I759" s="9"/>
      <c r="J759" s="29"/>
      <c r="K759" s="29"/>
      <c r="L759" s="29"/>
      <c r="M759" s="29"/>
      <c r="N759" s="29"/>
      <c r="O759" s="29"/>
    </row>
    <row r="760" spans="1:15" x14ac:dyDescent="0.25">
      <c r="A760" s="4"/>
      <c r="B760" s="9"/>
      <c r="C760" s="52" t="str">
        <f t="shared" si="20"/>
        <v/>
      </c>
      <c r="D760" s="9"/>
      <c r="E760" s="29"/>
      <c r="F760" s="29"/>
      <c r="G760" s="30"/>
      <c r="H760" s="30"/>
      <c r="I760" s="9"/>
      <c r="J760" s="29"/>
      <c r="K760" s="29"/>
      <c r="L760" s="29"/>
      <c r="M760" s="29"/>
      <c r="N760" s="29"/>
      <c r="O760" s="29"/>
    </row>
    <row r="761" spans="1:15" x14ac:dyDescent="0.25">
      <c r="A761" s="4"/>
      <c r="B761" s="9"/>
      <c r="C761" s="52" t="str">
        <f t="shared" si="20"/>
        <v/>
      </c>
      <c r="D761" s="9"/>
      <c r="E761" s="29"/>
      <c r="F761" s="29"/>
      <c r="G761" s="30"/>
      <c r="H761" s="30"/>
      <c r="I761" s="9"/>
      <c r="J761" s="29"/>
      <c r="K761" s="29"/>
      <c r="L761" s="29"/>
      <c r="M761" s="29"/>
      <c r="N761" s="29"/>
      <c r="O761" s="29"/>
    </row>
    <row r="762" spans="1:15" x14ac:dyDescent="0.25">
      <c r="A762" s="4"/>
      <c r="B762" s="9"/>
      <c r="C762" s="52" t="str">
        <f t="shared" si="20"/>
        <v/>
      </c>
      <c r="D762" s="9"/>
      <c r="E762" s="29"/>
      <c r="F762" s="29"/>
      <c r="G762" s="30"/>
      <c r="H762" s="30"/>
      <c r="I762" s="9"/>
      <c r="J762" s="29"/>
      <c r="K762" s="29"/>
      <c r="L762" s="29"/>
      <c r="M762" s="29"/>
      <c r="N762" s="29"/>
      <c r="O762" s="29"/>
    </row>
    <row r="763" spans="1:15" x14ac:dyDescent="0.25">
      <c r="A763" s="4"/>
      <c r="B763" s="9"/>
      <c r="C763" s="52" t="str">
        <f t="shared" si="20"/>
        <v/>
      </c>
      <c r="D763" s="9"/>
      <c r="E763" s="29"/>
      <c r="F763" s="29"/>
      <c r="G763" s="30"/>
      <c r="H763" s="30"/>
      <c r="I763" s="9"/>
      <c r="J763" s="29"/>
      <c r="K763" s="29"/>
      <c r="L763" s="29"/>
      <c r="M763" s="29"/>
      <c r="N763" s="29"/>
      <c r="O763" s="29"/>
    </row>
    <row r="764" spans="1:15" x14ac:dyDescent="0.25">
      <c r="A764" s="4"/>
      <c r="B764" s="9"/>
      <c r="C764" s="52" t="str">
        <f t="shared" si="20"/>
        <v/>
      </c>
      <c r="D764" s="9"/>
      <c r="E764" s="29"/>
      <c r="F764" s="29"/>
      <c r="G764" s="30"/>
      <c r="H764" s="30"/>
      <c r="I764" s="9"/>
      <c r="J764" s="29"/>
      <c r="K764" s="29"/>
      <c r="L764" s="29"/>
      <c r="M764" s="29"/>
      <c r="N764" s="29"/>
      <c r="O764" s="29"/>
    </row>
    <row r="765" spans="1:15" x14ac:dyDescent="0.25">
      <c r="A765" s="4"/>
      <c r="B765" s="9"/>
      <c r="C765" s="52" t="str">
        <f t="shared" si="20"/>
        <v/>
      </c>
      <c r="D765" s="9"/>
      <c r="E765" s="29"/>
      <c r="F765" s="29"/>
      <c r="G765" s="30"/>
      <c r="H765" s="30"/>
      <c r="I765" s="9"/>
      <c r="J765" s="29"/>
      <c r="K765" s="29"/>
      <c r="L765" s="29"/>
      <c r="M765" s="29"/>
      <c r="N765" s="29"/>
      <c r="O765" s="29"/>
    </row>
    <row r="766" spans="1:15" x14ac:dyDescent="0.25">
      <c r="A766" s="4"/>
      <c r="B766" s="9"/>
      <c r="C766" s="52" t="str">
        <f t="shared" si="20"/>
        <v/>
      </c>
      <c r="D766" s="9"/>
      <c r="E766" s="29"/>
      <c r="F766" s="29"/>
      <c r="G766" s="30"/>
      <c r="H766" s="30"/>
      <c r="I766" s="9"/>
      <c r="J766" s="29"/>
      <c r="K766" s="29"/>
      <c r="L766" s="29"/>
      <c r="M766" s="29"/>
      <c r="N766" s="29"/>
      <c r="O766" s="29"/>
    </row>
    <row r="767" spans="1:15" x14ac:dyDescent="0.25">
      <c r="A767" s="4"/>
      <c r="B767" s="9"/>
      <c r="C767" s="52" t="str">
        <f t="shared" si="20"/>
        <v/>
      </c>
      <c r="D767" s="9"/>
      <c r="E767" s="29"/>
      <c r="F767" s="29"/>
      <c r="G767" s="30"/>
      <c r="H767" s="30"/>
      <c r="I767" s="9"/>
      <c r="J767" s="29"/>
      <c r="K767" s="29"/>
      <c r="L767" s="29"/>
      <c r="M767" s="29"/>
      <c r="N767" s="29"/>
      <c r="O767" s="29"/>
    </row>
    <row r="768" spans="1:15" x14ac:dyDescent="0.25">
      <c r="A768" s="4"/>
      <c r="B768" s="9"/>
      <c r="C768" s="52" t="str">
        <f t="shared" si="20"/>
        <v/>
      </c>
      <c r="D768" s="9"/>
      <c r="E768" s="29"/>
      <c r="F768" s="29"/>
      <c r="G768" s="30"/>
      <c r="H768" s="30"/>
      <c r="I768" s="9"/>
      <c r="J768" s="29"/>
      <c r="K768" s="29"/>
      <c r="L768" s="29"/>
      <c r="M768" s="29"/>
      <c r="N768" s="29"/>
      <c r="O768" s="29"/>
    </row>
    <row r="769" spans="1:15" x14ac:dyDescent="0.25">
      <c r="A769" s="4"/>
      <c r="B769" s="9"/>
      <c r="C769" s="52" t="str">
        <f t="shared" si="20"/>
        <v/>
      </c>
      <c r="D769" s="9"/>
      <c r="E769" s="29"/>
      <c r="F769" s="29"/>
      <c r="G769" s="30"/>
      <c r="H769" s="30"/>
      <c r="I769" s="9"/>
      <c r="J769" s="29"/>
      <c r="K769" s="29"/>
      <c r="L769" s="29"/>
      <c r="M769" s="29"/>
      <c r="N769" s="29"/>
      <c r="O769" s="29"/>
    </row>
    <row r="770" spans="1:15" x14ac:dyDescent="0.25">
      <c r="A770" s="4"/>
      <c r="B770" s="9"/>
      <c r="C770" s="52" t="str">
        <f t="shared" si="20"/>
        <v/>
      </c>
      <c r="D770" s="9"/>
      <c r="E770" s="29"/>
      <c r="F770" s="29"/>
      <c r="G770" s="30"/>
      <c r="H770" s="30"/>
      <c r="I770" s="9"/>
      <c r="J770" s="29"/>
      <c r="K770" s="29"/>
      <c r="L770" s="29"/>
      <c r="M770" s="29"/>
      <c r="N770" s="29"/>
      <c r="O770" s="29"/>
    </row>
    <row r="771" spans="1:15" x14ac:dyDescent="0.25">
      <c r="A771" s="4"/>
      <c r="B771" s="9"/>
      <c r="C771" s="52" t="str">
        <f t="shared" si="20"/>
        <v/>
      </c>
      <c r="D771" s="9"/>
      <c r="E771" s="29"/>
      <c r="F771" s="29"/>
      <c r="G771" s="30"/>
      <c r="H771" s="30"/>
      <c r="I771" s="9"/>
      <c r="J771" s="29"/>
      <c r="K771" s="29"/>
      <c r="L771" s="29"/>
      <c r="M771" s="29"/>
      <c r="N771" s="29"/>
      <c r="O771" s="29"/>
    </row>
    <row r="772" spans="1:15" x14ac:dyDescent="0.25">
      <c r="A772" s="4"/>
      <c r="B772" s="9"/>
      <c r="C772" s="52" t="str">
        <f t="shared" si="20"/>
        <v/>
      </c>
      <c r="D772" s="9"/>
      <c r="E772" s="29"/>
      <c r="F772" s="29"/>
      <c r="G772" s="30"/>
      <c r="H772" s="30"/>
      <c r="I772" s="9"/>
      <c r="J772" s="29"/>
      <c r="K772" s="29"/>
      <c r="L772" s="29"/>
      <c r="M772" s="29"/>
      <c r="N772" s="29"/>
      <c r="O772" s="29"/>
    </row>
    <row r="773" spans="1:15" x14ac:dyDescent="0.25">
      <c r="A773" s="4"/>
      <c r="B773" s="9"/>
      <c r="C773" s="52" t="str">
        <f t="shared" si="20"/>
        <v/>
      </c>
      <c r="D773" s="9"/>
      <c r="E773" s="29"/>
      <c r="F773" s="29"/>
      <c r="G773" s="30"/>
      <c r="H773" s="30"/>
      <c r="I773" s="9"/>
      <c r="J773" s="29"/>
      <c r="K773" s="29"/>
      <c r="L773" s="29"/>
      <c r="M773" s="29"/>
      <c r="N773" s="29"/>
      <c r="O773" s="29"/>
    </row>
    <row r="774" spans="1:15" x14ac:dyDescent="0.25">
      <c r="A774" s="4"/>
      <c r="B774" s="9"/>
      <c r="C774" s="52" t="str">
        <f t="shared" si="20"/>
        <v/>
      </c>
      <c r="D774" s="9"/>
      <c r="E774" s="29"/>
      <c r="F774" s="29"/>
      <c r="G774" s="30"/>
      <c r="H774" s="30"/>
      <c r="I774" s="9"/>
      <c r="J774" s="29"/>
      <c r="K774" s="29"/>
      <c r="L774" s="29"/>
      <c r="M774" s="29"/>
      <c r="N774" s="29"/>
      <c r="O774" s="29"/>
    </row>
    <row r="775" spans="1:15" x14ac:dyDescent="0.25">
      <c r="A775" s="4"/>
      <c r="B775" s="9"/>
      <c r="C775" s="52" t="str">
        <f t="shared" si="20"/>
        <v/>
      </c>
      <c r="D775" s="9"/>
      <c r="E775" s="29"/>
      <c r="F775" s="29"/>
      <c r="G775" s="30"/>
      <c r="H775" s="30"/>
      <c r="I775" s="9"/>
      <c r="J775" s="29"/>
      <c r="K775" s="29"/>
      <c r="L775" s="29"/>
      <c r="M775" s="29"/>
      <c r="N775" s="29"/>
      <c r="O775" s="29"/>
    </row>
    <row r="776" spans="1:15" x14ac:dyDescent="0.25">
      <c r="A776" s="4"/>
      <c r="B776" s="9"/>
      <c r="C776" s="52" t="str">
        <f t="shared" si="20"/>
        <v/>
      </c>
      <c r="D776" s="9"/>
      <c r="E776" s="29"/>
      <c r="F776" s="29"/>
      <c r="G776" s="30"/>
      <c r="H776" s="30"/>
      <c r="I776" s="9"/>
      <c r="J776" s="29"/>
      <c r="K776" s="29"/>
      <c r="L776" s="29"/>
      <c r="M776" s="29"/>
      <c r="N776" s="29"/>
      <c r="O776" s="29"/>
    </row>
    <row r="777" spans="1:15" x14ac:dyDescent="0.25">
      <c r="A777" s="4"/>
      <c r="B777" s="9"/>
      <c r="C777" s="52" t="str">
        <f t="shared" si="20"/>
        <v/>
      </c>
      <c r="D777" s="9"/>
      <c r="E777" s="29"/>
      <c r="F777" s="29"/>
      <c r="G777" s="30"/>
      <c r="H777" s="30"/>
      <c r="I777" s="9"/>
      <c r="J777" s="29"/>
      <c r="K777" s="29"/>
      <c r="L777" s="29"/>
      <c r="M777" s="29"/>
      <c r="N777" s="29"/>
      <c r="O777" s="29"/>
    </row>
    <row r="778" spans="1:15" x14ac:dyDescent="0.25">
      <c r="A778" s="4"/>
      <c r="B778" s="9"/>
      <c r="C778" s="52" t="str">
        <f t="shared" si="20"/>
        <v/>
      </c>
      <c r="D778" s="9"/>
      <c r="E778" s="29"/>
      <c r="F778" s="29"/>
      <c r="G778" s="30"/>
      <c r="H778" s="30"/>
      <c r="I778" s="9"/>
      <c r="J778" s="29"/>
      <c r="K778" s="29"/>
      <c r="L778" s="29"/>
      <c r="M778" s="29"/>
      <c r="N778" s="29"/>
      <c r="O778" s="29"/>
    </row>
    <row r="779" spans="1:15" x14ac:dyDescent="0.25">
      <c r="A779" s="4"/>
      <c r="B779" s="9"/>
      <c r="C779" s="52" t="str">
        <f t="shared" si="20"/>
        <v/>
      </c>
      <c r="D779" s="9"/>
      <c r="E779" s="29"/>
      <c r="F779" s="29"/>
      <c r="G779" s="30"/>
      <c r="H779" s="30"/>
      <c r="I779" s="9"/>
      <c r="J779" s="29"/>
      <c r="K779" s="29"/>
      <c r="L779" s="29"/>
      <c r="M779" s="29"/>
      <c r="N779" s="29"/>
      <c r="O779" s="29"/>
    </row>
    <row r="780" spans="1:15" x14ac:dyDescent="0.25">
      <c r="A780" s="4"/>
      <c r="B780" s="9"/>
      <c r="C780" s="52" t="str">
        <f t="shared" si="20"/>
        <v/>
      </c>
      <c r="D780" s="9"/>
      <c r="E780" s="29"/>
      <c r="F780" s="29"/>
      <c r="G780" s="30"/>
      <c r="H780" s="30"/>
      <c r="I780" s="9"/>
      <c r="J780" s="29"/>
      <c r="K780" s="29"/>
      <c r="L780" s="29"/>
      <c r="M780" s="29"/>
      <c r="N780" s="29"/>
      <c r="O780" s="29"/>
    </row>
    <row r="781" spans="1:15" x14ac:dyDescent="0.25">
      <c r="A781" s="4"/>
      <c r="B781" s="9"/>
      <c r="C781" s="52" t="str">
        <f t="shared" si="20"/>
        <v/>
      </c>
      <c r="D781" s="9"/>
      <c r="E781" s="29"/>
      <c r="F781" s="29"/>
      <c r="G781" s="30"/>
      <c r="H781" s="30"/>
      <c r="I781" s="9"/>
      <c r="J781" s="29"/>
      <c r="K781" s="29"/>
      <c r="L781" s="29"/>
      <c r="M781" s="29"/>
      <c r="N781" s="29"/>
      <c r="O781" s="29"/>
    </row>
    <row r="782" spans="1:15" x14ac:dyDescent="0.25">
      <c r="A782" s="4"/>
      <c r="B782" s="9"/>
      <c r="C782" s="52" t="str">
        <f t="shared" si="20"/>
        <v/>
      </c>
      <c r="D782" s="9"/>
      <c r="E782" s="29"/>
      <c r="F782" s="29"/>
      <c r="G782" s="30"/>
      <c r="H782" s="30"/>
      <c r="I782" s="9"/>
      <c r="J782" s="29"/>
      <c r="K782" s="29"/>
      <c r="L782" s="29"/>
      <c r="M782" s="29"/>
      <c r="N782" s="29"/>
      <c r="O782" s="29"/>
    </row>
    <row r="783" spans="1:15" x14ac:dyDescent="0.25">
      <c r="A783" s="4"/>
      <c r="B783" s="9"/>
      <c r="C783" s="52" t="str">
        <f t="shared" si="20"/>
        <v/>
      </c>
      <c r="D783" s="9"/>
      <c r="E783" s="29"/>
      <c r="F783" s="29"/>
      <c r="G783" s="30"/>
      <c r="H783" s="30"/>
      <c r="I783" s="9"/>
      <c r="J783" s="29"/>
      <c r="K783" s="29"/>
      <c r="L783" s="29"/>
      <c r="M783" s="29"/>
      <c r="N783" s="29"/>
      <c r="O783" s="29"/>
    </row>
    <row r="784" spans="1:15" x14ac:dyDescent="0.25">
      <c r="A784" s="4"/>
      <c r="B784" s="9"/>
      <c r="C784" s="52" t="str">
        <f t="shared" si="20"/>
        <v/>
      </c>
      <c r="D784" s="9"/>
      <c r="E784" s="29"/>
      <c r="F784" s="29"/>
      <c r="G784" s="30"/>
      <c r="H784" s="30"/>
      <c r="I784" s="9"/>
      <c r="J784" s="29"/>
      <c r="K784" s="29"/>
      <c r="L784" s="29"/>
      <c r="M784" s="29"/>
      <c r="N784" s="29"/>
      <c r="O784" s="29"/>
    </row>
    <row r="785" spans="1:15" x14ac:dyDescent="0.25">
      <c r="A785" s="4"/>
      <c r="B785" s="9"/>
      <c r="C785" s="52" t="str">
        <f t="shared" si="20"/>
        <v/>
      </c>
      <c r="D785" s="9"/>
      <c r="E785" s="29"/>
      <c r="F785" s="29"/>
      <c r="G785" s="30"/>
      <c r="H785" s="30"/>
      <c r="I785" s="9"/>
      <c r="J785" s="29"/>
      <c r="K785" s="29"/>
      <c r="L785" s="29"/>
      <c r="M785" s="29"/>
      <c r="N785" s="29"/>
      <c r="O785" s="29"/>
    </row>
    <row r="786" spans="1:15" x14ac:dyDescent="0.25">
      <c r="A786" s="4"/>
      <c r="B786" s="9"/>
      <c r="C786" s="52" t="str">
        <f t="shared" si="20"/>
        <v/>
      </c>
      <c r="D786" s="9"/>
      <c r="E786" s="29"/>
      <c r="F786" s="29"/>
      <c r="G786" s="30"/>
      <c r="H786" s="30"/>
      <c r="I786" s="9"/>
      <c r="J786" s="29"/>
      <c r="K786" s="29"/>
      <c r="L786" s="29"/>
      <c r="M786" s="29"/>
      <c r="N786" s="29"/>
      <c r="O786" s="29"/>
    </row>
    <row r="787" spans="1:15" x14ac:dyDescent="0.25">
      <c r="A787" s="4"/>
      <c r="B787" s="9"/>
      <c r="C787" s="52" t="str">
        <f t="shared" ref="C787:C850" si="21">IF(ISBLANK(D787), "", CONCATENATE(D787,E787,"_",F787,"_",L787))</f>
        <v/>
      </c>
      <c r="D787" s="9"/>
      <c r="E787" s="29"/>
      <c r="F787" s="29"/>
      <c r="G787" s="30"/>
      <c r="H787" s="30"/>
      <c r="I787" s="9"/>
      <c r="J787" s="29"/>
      <c r="K787" s="29"/>
      <c r="L787" s="29"/>
      <c r="M787" s="29"/>
      <c r="N787" s="29"/>
      <c r="O787" s="29"/>
    </row>
    <row r="788" spans="1:15" x14ac:dyDescent="0.25">
      <c r="A788" s="4"/>
      <c r="B788" s="9"/>
      <c r="C788" s="52" t="str">
        <f t="shared" si="21"/>
        <v/>
      </c>
      <c r="D788" s="9"/>
      <c r="E788" s="29"/>
      <c r="F788" s="29"/>
      <c r="G788" s="30"/>
      <c r="H788" s="30"/>
      <c r="I788" s="9"/>
      <c r="J788" s="29"/>
      <c r="K788" s="29"/>
      <c r="L788" s="29"/>
      <c r="M788" s="29"/>
      <c r="N788" s="29"/>
      <c r="O788" s="29"/>
    </row>
    <row r="789" spans="1:15" x14ac:dyDescent="0.25">
      <c r="A789" s="4"/>
      <c r="B789" s="9"/>
      <c r="C789" s="52" t="str">
        <f t="shared" si="21"/>
        <v/>
      </c>
      <c r="D789" s="9"/>
      <c r="E789" s="29"/>
      <c r="F789" s="29"/>
      <c r="G789" s="30"/>
      <c r="H789" s="30"/>
      <c r="I789" s="9"/>
      <c r="J789" s="29"/>
      <c r="K789" s="29"/>
      <c r="L789" s="29"/>
      <c r="M789" s="29"/>
      <c r="N789" s="29"/>
      <c r="O789" s="29"/>
    </row>
    <row r="790" spans="1:15" x14ac:dyDescent="0.25">
      <c r="A790" s="4"/>
      <c r="B790" s="9"/>
      <c r="C790" s="52" t="str">
        <f t="shared" si="21"/>
        <v/>
      </c>
      <c r="D790" s="9"/>
      <c r="E790" s="29"/>
      <c r="F790" s="29"/>
      <c r="G790" s="30"/>
      <c r="H790" s="30"/>
      <c r="I790" s="9"/>
      <c r="J790" s="29"/>
      <c r="K790" s="29"/>
      <c r="L790" s="29"/>
      <c r="M790" s="29"/>
      <c r="N790" s="29"/>
      <c r="O790" s="29"/>
    </row>
    <row r="791" spans="1:15" x14ac:dyDescent="0.25">
      <c r="A791" s="4"/>
      <c r="B791" s="9"/>
      <c r="C791" s="52" t="str">
        <f t="shared" si="21"/>
        <v/>
      </c>
      <c r="D791" s="9"/>
      <c r="E791" s="29"/>
      <c r="F791" s="29"/>
      <c r="G791" s="30"/>
      <c r="H791" s="30"/>
      <c r="I791" s="9"/>
      <c r="J791" s="29"/>
      <c r="K791" s="29"/>
      <c r="L791" s="29"/>
      <c r="M791" s="29"/>
      <c r="N791" s="29"/>
      <c r="O791" s="29"/>
    </row>
    <row r="792" spans="1:15" x14ac:dyDescent="0.25">
      <c r="A792" s="4"/>
      <c r="B792" s="9"/>
      <c r="C792" s="52" t="str">
        <f t="shared" si="21"/>
        <v/>
      </c>
      <c r="D792" s="9"/>
      <c r="E792" s="29"/>
      <c r="F792" s="29"/>
      <c r="G792" s="30"/>
      <c r="H792" s="30"/>
      <c r="I792" s="9"/>
      <c r="J792" s="29"/>
      <c r="K792" s="29"/>
      <c r="L792" s="29"/>
      <c r="M792" s="29"/>
      <c r="N792" s="29"/>
      <c r="O792" s="29"/>
    </row>
    <row r="793" spans="1:15" x14ac:dyDescent="0.25">
      <c r="A793" s="4"/>
      <c r="B793" s="9"/>
      <c r="C793" s="52" t="str">
        <f t="shared" si="21"/>
        <v/>
      </c>
      <c r="D793" s="9"/>
      <c r="E793" s="29"/>
      <c r="F793" s="29"/>
      <c r="G793" s="30"/>
      <c r="H793" s="30"/>
      <c r="I793" s="9"/>
      <c r="J793" s="29"/>
      <c r="K793" s="29"/>
      <c r="L793" s="29"/>
      <c r="M793" s="29"/>
      <c r="N793" s="29"/>
      <c r="O793" s="29"/>
    </row>
    <row r="794" spans="1:15" x14ac:dyDescent="0.25">
      <c r="A794" s="4"/>
      <c r="B794" s="9"/>
      <c r="C794" s="52" t="str">
        <f t="shared" si="21"/>
        <v/>
      </c>
      <c r="D794" s="9"/>
      <c r="E794" s="29"/>
      <c r="F794" s="29"/>
      <c r="G794" s="30"/>
      <c r="H794" s="30"/>
      <c r="I794" s="9"/>
      <c r="J794" s="29"/>
      <c r="K794" s="29"/>
      <c r="L794" s="29"/>
      <c r="M794" s="29"/>
      <c r="N794" s="29"/>
      <c r="O794" s="29"/>
    </row>
    <row r="795" spans="1:15" x14ac:dyDescent="0.25">
      <c r="A795" s="4"/>
      <c r="B795" s="9"/>
      <c r="C795" s="52" t="str">
        <f t="shared" si="21"/>
        <v/>
      </c>
      <c r="D795" s="9"/>
      <c r="E795" s="29"/>
      <c r="F795" s="29"/>
      <c r="G795" s="30"/>
      <c r="H795" s="30"/>
      <c r="I795" s="9"/>
      <c r="J795" s="29"/>
      <c r="K795" s="29"/>
      <c r="L795" s="29"/>
      <c r="M795" s="29"/>
      <c r="N795" s="29"/>
      <c r="O795" s="29"/>
    </row>
    <row r="796" spans="1:15" x14ac:dyDescent="0.25">
      <c r="A796" s="4"/>
      <c r="B796" s="9"/>
      <c r="C796" s="52" t="str">
        <f t="shared" si="21"/>
        <v/>
      </c>
      <c r="D796" s="9"/>
      <c r="E796" s="29"/>
      <c r="F796" s="29"/>
      <c r="G796" s="30"/>
      <c r="H796" s="30"/>
      <c r="I796" s="9"/>
      <c r="J796" s="29"/>
      <c r="K796" s="29"/>
      <c r="L796" s="29"/>
      <c r="M796" s="29"/>
      <c r="N796" s="29"/>
      <c r="O796" s="29"/>
    </row>
    <row r="797" spans="1:15" x14ac:dyDescent="0.25">
      <c r="A797" s="4"/>
      <c r="B797" s="9"/>
      <c r="C797" s="52" t="str">
        <f t="shared" si="21"/>
        <v/>
      </c>
      <c r="D797" s="9"/>
      <c r="E797" s="29"/>
      <c r="F797" s="29"/>
      <c r="G797" s="30"/>
      <c r="H797" s="30"/>
      <c r="I797" s="9"/>
      <c r="J797" s="29"/>
      <c r="K797" s="29"/>
      <c r="L797" s="29"/>
      <c r="M797" s="29"/>
      <c r="N797" s="29"/>
      <c r="O797" s="29"/>
    </row>
    <row r="798" spans="1:15" x14ac:dyDescent="0.25">
      <c r="A798" s="4"/>
      <c r="B798" s="9"/>
      <c r="C798" s="52" t="str">
        <f t="shared" si="21"/>
        <v/>
      </c>
      <c r="D798" s="9"/>
      <c r="E798" s="29"/>
      <c r="F798" s="29"/>
      <c r="G798" s="30"/>
      <c r="H798" s="30"/>
      <c r="I798" s="9"/>
      <c r="J798" s="29"/>
      <c r="K798" s="29"/>
      <c r="L798" s="29"/>
      <c r="M798" s="29"/>
      <c r="N798" s="29"/>
      <c r="O798" s="29"/>
    </row>
    <row r="799" spans="1:15" x14ac:dyDescent="0.25">
      <c r="A799" s="4"/>
      <c r="B799" s="9"/>
      <c r="C799" s="52" t="str">
        <f t="shared" si="21"/>
        <v/>
      </c>
      <c r="D799" s="9"/>
      <c r="E799" s="29"/>
      <c r="F799" s="29"/>
      <c r="G799" s="30"/>
      <c r="H799" s="30"/>
      <c r="I799" s="9"/>
      <c r="J799" s="29"/>
      <c r="K799" s="29"/>
      <c r="L799" s="29"/>
      <c r="M799" s="29"/>
      <c r="N799" s="29"/>
      <c r="O799" s="29"/>
    </row>
    <row r="800" spans="1:15" x14ac:dyDescent="0.25">
      <c r="A800" s="4"/>
      <c r="B800" s="9"/>
      <c r="C800" s="52" t="str">
        <f t="shared" si="21"/>
        <v/>
      </c>
      <c r="D800" s="9"/>
      <c r="E800" s="29"/>
      <c r="F800" s="29"/>
      <c r="G800" s="30"/>
      <c r="H800" s="30"/>
      <c r="I800" s="9"/>
      <c r="J800" s="29"/>
      <c r="K800" s="29"/>
      <c r="L800" s="29"/>
      <c r="M800" s="29"/>
      <c r="N800" s="29"/>
      <c r="O800" s="29"/>
    </row>
    <row r="801" spans="1:15" x14ac:dyDescent="0.25">
      <c r="A801" s="4"/>
      <c r="B801" s="9"/>
      <c r="C801" s="52" t="str">
        <f t="shared" si="21"/>
        <v/>
      </c>
      <c r="D801" s="9"/>
      <c r="E801" s="29"/>
      <c r="F801" s="29"/>
      <c r="G801" s="30"/>
      <c r="H801" s="30"/>
      <c r="I801" s="9"/>
      <c r="J801" s="29"/>
      <c r="K801" s="29"/>
      <c r="L801" s="29"/>
      <c r="M801" s="29"/>
      <c r="N801" s="29"/>
      <c r="O801" s="29"/>
    </row>
    <row r="802" spans="1:15" x14ac:dyDescent="0.25">
      <c r="A802" s="4"/>
      <c r="B802" s="9"/>
      <c r="C802" s="52" t="str">
        <f t="shared" si="21"/>
        <v/>
      </c>
      <c r="D802" s="9"/>
      <c r="E802" s="29"/>
      <c r="F802" s="29"/>
      <c r="G802" s="30"/>
      <c r="H802" s="30"/>
      <c r="I802" s="9"/>
      <c r="J802" s="29"/>
      <c r="K802" s="29"/>
      <c r="L802" s="29"/>
      <c r="M802" s="29"/>
      <c r="N802" s="29"/>
      <c r="O802" s="29"/>
    </row>
    <row r="803" spans="1:15" x14ac:dyDescent="0.25">
      <c r="A803" s="4"/>
      <c r="B803" s="9"/>
      <c r="C803" s="52" t="str">
        <f t="shared" si="21"/>
        <v/>
      </c>
      <c r="D803" s="9"/>
      <c r="E803" s="29"/>
      <c r="F803" s="29"/>
      <c r="G803" s="30"/>
      <c r="H803" s="30"/>
      <c r="I803" s="9"/>
      <c r="J803" s="29"/>
      <c r="K803" s="29"/>
      <c r="L803" s="29"/>
      <c r="M803" s="29"/>
      <c r="N803" s="29"/>
      <c r="O803" s="29"/>
    </row>
    <row r="804" spans="1:15" x14ac:dyDescent="0.25">
      <c r="A804" s="4"/>
      <c r="B804" s="9"/>
      <c r="C804" s="52" t="str">
        <f t="shared" si="21"/>
        <v/>
      </c>
      <c r="D804" s="9"/>
      <c r="E804" s="29"/>
      <c r="F804" s="29"/>
      <c r="G804" s="30"/>
      <c r="H804" s="30"/>
      <c r="I804" s="9"/>
      <c r="J804" s="29"/>
      <c r="K804" s="29"/>
      <c r="L804" s="29"/>
      <c r="M804" s="29"/>
      <c r="N804" s="29"/>
      <c r="O804" s="29"/>
    </row>
    <row r="805" spans="1:15" x14ac:dyDescent="0.25">
      <c r="A805" s="4"/>
      <c r="B805" s="9"/>
      <c r="C805" s="52" t="str">
        <f t="shared" si="21"/>
        <v/>
      </c>
      <c r="D805" s="9"/>
      <c r="E805" s="29"/>
      <c r="F805" s="29"/>
      <c r="G805" s="30"/>
      <c r="H805" s="30"/>
      <c r="I805" s="9"/>
      <c r="J805" s="29"/>
      <c r="K805" s="29"/>
      <c r="L805" s="29"/>
      <c r="M805" s="29"/>
      <c r="N805" s="29"/>
      <c r="O805" s="29"/>
    </row>
    <row r="806" spans="1:15" x14ac:dyDescent="0.25">
      <c r="A806" s="4"/>
      <c r="B806" s="9"/>
      <c r="C806" s="52" t="str">
        <f t="shared" si="21"/>
        <v/>
      </c>
      <c r="D806" s="9"/>
      <c r="E806" s="29"/>
      <c r="F806" s="29"/>
      <c r="G806" s="30"/>
      <c r="H806" s="30"/>
      <c r="I806" s="9"/>
      <c r="J806" s="29"/>
      <c r="K806" s="29"/>
      <c r="L806" s="29"/>
      <c r="M806" s="29"/>
      <c r="N806" s="29"/>
      <c r="O806" s="29"/>
    </row>
    <row r="807" spans="1:15" x14ac:dyDescent="0.25">
      <c r="A807" s="4"/>
      <c r="B807" s="9"/>
      <c r="C807" s="52" t="str">
        <f t="shared" si="21"/>
        <v/>
      </c>
      <c r="D807" s="9"/>
      <c r="E807" s="29"/>
      <c r="F807" s="29"/>
      <c r="G807" s="30"/>
      <c r="H807" s="30"/>
      <c r="I807" s="9"/>
      <c r="J807" s="29"/>
      <c r="K807" s="29"/>
      <c r="L807" s="29"/>
      <c r="M807" s="29"/>
      <c r="N807" s="29"/>
      <c r="O807" s="29"/>
    </row>
    <row r="808" spans="1:15" x14ac:dyDescent="0.25">
      <c r="A808" s="4"/>
      <c r="B808" s="9"/>
      <c r="C808" s="52" t="str">
        <f t="shared" si="21"/>
        <v/>
      </c>
      <c r="D808" s="9"/>
      <c r="E808" s="29"/>
      <c r="F808" s="29"/>
      <c r="G808" s="30"/>
      <c r="H808" s="30"/>
      <c r="I808" s="9"/>
      <c r="J808" s="29"/>
      <c r="K808" s="29"/>
      <c r="L808" s="29"/>
      <c r="M808" s="29"/>
      <c r="N808" s="29"/>
      <c r="O808" s="29"/>
    </row>
    <row r="809" spans="1:15" x14ac:dyDescent="0.25">
      <c r="A809" s="4"/>
      <c r="B809" s="9"/>
      <c r="C809" s="52" t="str">
        <f t="shared" si="21"/>
        <v/>
      </c>
      <c r="D809" s="9"/>
      <c r="E809" s="29"/>
      <c r="F809" s="29"/>
      <c r="G809" s="30"/>
      <c r="H809" s="30"/>
      <c r="I809" s="9"/>
      <c r="J809" s="29"/>
      <c r="K809" s="29"/>
      <c r="L809" s="29"/>
      <c r="M809" s="29"/>
      <c r="N809" s="29"/>
      <c r="O809" s="29"/>
    </row>
    <row r="810" spans="1:15" x14ac:dyDescent="0.25">
      <c r="A810" s="4"/>
      <c r="B810" s="9"/>
      <c r="C810" s="52" t="str">
        <f t="shared" si="21"/>
        <v/>
      </c>
      <c r="D810" s="9"/>
      <c r="E810" s="29"/>
      <c r="F810" s="29"/>
      <c r="G810" s="30"/>
      <c r="H810" s="30"/>
      <c r="I810" s="9"/>
      <c r="J810" s="29"/>
      <c r="K810" s="29"/>
      <c r="L810" s="29"/>
      <c r="M810" s="29"/>
      <c r="N810" s="29"/>
      <c r="O810" s="29"/>
    </row>
    <row r="811" spans="1:15" x14ac:dyDescent="0.25">
      <c r="A811" s="4"/>
      <c r="B811" s="9"/>
      <c r="C811" s="52" t="str">
        <f t="shared" si="21"/>
        <v/>
      </c>
      <c r="D811" s="9"/>
      <c r="E811" s="29"/>
      <c r="F811" s="29"/>
      <c r="G811" s="30"/>
      <c r="H811" s="30"/>
      <c r="I811" s="9"/>
      <c r="J811" s="29"/>
      <c r="K811" s="29"/>
      <c r="L811" s="29"/>
      <c r="M811" s="29"/>
      <c r="N811" s="29"/>
      <c r="O811" s="29"/>
    </row>
    <row r="812" spans="1:15" x14ac:dyDescent="0.25">
      <c r="A812" s="4"/>
      <c r="B812" s="9"/>
      <c r="C812" s="52" t="str">
        <f t="shared" si="21"/>
        <v/>
      </c>
      <c r="D812" s="9"/>
      <c r="E812" s="29"/>
      <c r="F812" s="29"/>
      <c r="G812" s="30"/>
      <c r="H812" s="30"/>
      <c r="I812" s="9"/>
      <c r="J812" s="29"/>
      <c r="K812" s="29"/>
      <c r="L812" s="29"/>
      <c r="M812" s="29"/>
      <c r="N812" s="29"/>
      <c r="O812" s="29"/>
    </row>
    <row r="813" spans="1:15" x14ac:dyDescent="0.25">
      <c r="A813" s="4"/>
      <c r="B813" s="9"/>
      <c r="C813" s="52" t="str">
        <f t="shared" si="21"/>
        <v/>
      </c>
      <c r="D813" s="9"/>
      <c r="E813" s="29"/>
      <c r="F813" s="29"/>
      <c r="G813" s="30"/>
      <c r="H813" s="30"/>
      <c r="I813" s="9"/>
      <c r="J813" s="29"/>
      <c r="K813" s="29"/>
      <c r="L813" s="29"/>
      <c r="M813" s="29"/>
      <c r="N813" s="29"/>
      <c r="O813" s="29"/>
    </row>
    <row r="814" spans="1:15" x14ac:dyDescent="0.25">
      <c r="A814" s="4"/>
      <c r="B814" s="9"/>
      <c r="C814" s="52" t="str">
        <f t="shared" si="21"/>
        <v/>
      </c>
      <c r="D814" s="9"/>
      <c r="E814" s="29"/>
      <c r="F814" s="29"/>
      <c r="G814" s="30"/>
      <c r="H814" s="30"/>
      <c r="I814" s="9"/>
      <c r="J814" s="29"/>
      <c r="K814" s="29"/>
      <c r="L814" s="29"/>
      <c r="M814" s="29"/>
      <c r="N814" s="29"/>
      <c r="O814" s="29"/>
    </row>
    <row r="815" spans="1:15" x14ac:dyDescent="0.25">
      <c r="A815" s="4"/>
      <c r="B815" s="9"/>
      <c r="C815" s="52" t="str">
        <f t="shared" si="21"/>
        <v/>
      </c>
      <c r="D815" s="9"/>
      <c r="E815" s="29"/>
      <c r="F815" s="29"/>
      <c r="G815" s="30"/>
      <c r="H815" s="30"/>
      <c r="I815" s="9"/>
      <c r="J815" s="29"/>
      <c r="K815" s="29"/>
      <c r="L815" s="29"/>
      <c r="M815" s="29"/>
      <c r="N815" s="29"/>
      <c r="O815" s="29"/>
    </row>
    <row r="816" spans="1:15" x14ac:dyDescent="0.25">
      <c r="A816" s="4"/>
      <c r="B816" s="9"/>
      <c r="C816" s="52" t="str">
        <f t="shared" si="21"/>
        <v/>
      </c>
      <c r="D816" s="9"/>
      <c r="E816" s="29"/>
      <c r="F816" s="29"/>
      <c r="G816" s="30"/>
      <c r="H816" s="30"/>
      <c r="I816" s="9"/>
      <c r="J816" s="29"/>
      <c r="K816" s="29"/>
      <c r="L816" s="29"/>
      <c r="M816" s="29"/>
      <c r="N816" s="29"/>
      <c r="O816" s="29"/>
    </row>
    <row r="817" spans="1:15" x14ac:dyDescent="0.25">
      <c r="A817" s="4"/>
      <c r="B817" s="9"/>
      <c r="C817" s="52" t="str">
        <f t="shared" si="21"/>
        <v/>
      </c>
      <c r="D817" s="9"/>
      <c r="E817" s="29"/>
      <c r="F817" s="29"/>
      <c r="G817" s="30"/>
      <c r="H817" s="30"/>
      <c r="I817" s="9"/>
      <c r="J817" s="29"/>
      <c r="K817" s="29"/>
      <c r="L817" s="29"/>
      <c r="M817" s="29"/>
      <c r="N817" s="29"/>
      <c r="O817" s="29"/>
    </row>
    <row r="818" spans="1:15" x14ac:dyDescent="0.25">
      <c r="A818" s="4"/>
      <c r="B818" s="9"/>
      <c r="C818" s="52" t="str">
        <f t="shared" si="21"/>
        <v/>
      </c>
      <c r="D818" s="9"/>
      <c r="E818" s="29"/>
      <c r="F818" s="29"/>
      <c r="G818" s="30"/>
      <c r="H818" s="30"/>
      <c r="I818" s="9"/>
      <c r="J818" s="29"/>
      <c r="K818" s="29"/>
      <c r="L818" s="29"/>
      <c r="M818" s="29"/>
      <c r="N818" s="29"/>
      <c r="O818" s="29"/>
    </row>
    <row r="819" spans="1:15" x14ac:dyDescent="0.25">
      <c r="A819" s="4"/>
      <c r="B819" s="9"/>
      <c r="C819" s="52" t="str">
        <f t="shared" si="21"/>
        <v/>
      </c>
      <c r="D819" s="9"/>
      <c r="E819" s="29"/>
      <c r="F819" s="29"/>
      <c r="G819" s="30"/>
      <c r="H819" s="30"/>
      <c r="I819" s="9"/>
      <c r="J819" s="29"/>
      <c r="K819" s="29"/>
      <c r="L819" s="29"/>
      <c r="M819" s="29"/>
      <c r="N819" s="29"/>
      <c r="O819" s="29"/>
    </row>
    <row r="820" spans="1:15" x14ac:dyDescent="0.25">
      <c r="A820" s="4"/>
      <c r="B820" s="9"/>
      <c r="C820" s="52" t="str">
        <f t="shared" si="21"/>
        <v/>
      </c>
      <c r="D820" s="9"/>
      <c r="E820" s="29"/>
      <c r="F820" s="29"/>
      <c r="G820" s="30"/>
      <c r="H820" s="30"/>
      <c r="I820" s="9"/>
      <c r="J820" s="29"/>
      <c r="K820" s="29"/>
      <c r="L820" s="29"/>
      <c r="M820" s="29"/>
      <c r="N820" s="29"/>
      <c r="O820" s="29"/>
    </row>
    <row r="821" spans="1:15" x14ac:dyDescent="0.25">
      <c r="A821" s="4"/>
      <c r="B821" s="9"/>
      <c r="C821" s="52" t="str">
        <f t="shared" si="21"/>
        <v/>
      </c>
      <c r="D821" s="9"/>
      <c r="E821" s="29"/>
      <c r="F821" s="29"/>
      <c r="G821" s="30"/>
      <c r="H821" s="30"/>
      <c r="I821" s="9"/>
      <c r="J821" s="29"/>
      <c r="K821" s="29"/>
      <c r="L821" s="29"/>
      <c r="M821" s="29"/>
      <c r="N821" s="29"/>
      <c r="O821" s="29"/>
    </row>
    <row r="822" spans="1:15" x14ac:dyDescent="0.25">
      <c r="A822" s="4"/>
      <c r="B822" s="9"/>
      <c r="C822" s="52" t="str">
        <f t="shared" si="21"/>
        <v/>
      </c>
      <c r="D822" s="9"/>
      <c r="E822" s="29"/>
      <c r="F822" s="29"/>
      <c r="G822" s="30"/>
      <c r="H822" s="30"/>
      <c r="I822" s="9"/>
      <c r="J822" s="29"/>
      <c r="K822" s="29"/>
      <c r="L822" s="29"/>
      <c r="M822" s="29"/>
      <c r="N822" s="29"/>
      <c r="O822" s="29"/>
    </row>
    <row r="823" spans="1:15" x14ac:dyDescent="0.25">
      <c r="A823" s="4"/>
      <c r="B823" s="9"/>
      <c r="C823" s="52" t="str">
        <f t="shared" si="21"/>
        <v/>
      </c>
      <c r="D823" s="9"/>
      <c r="E823" s="29"/>
      <c r="F823" s="29"/>
      <c r="G823" s="30"/>
      <c r="H823" s="30"/>
      <c r="I823" s="9"/>
      <c r="J823" s="29"/>
      <c r="K823" s="29"/>
      <c r="L823" s="29"/>
      <c r="M823" s="29"/>
      <c r="N823" s="29"/>
      <c r="O823" s="29"/>
    </row>
    <row r="824" spans="1:15" x14ac:dyDescent="0.25">
      <c r="A824" s="4"/>
      <c r="B824" s="9"/>
      <c r="C824" s="52" t="str">
        <f t="shared" si="21"/>
        <v/>
      </c>
      <c r="D824" s="9"/>
      <c r="E824" s="29"/>
      <c r="F824" s="29"/>
      <c r="G824" s="30"/>
      <c r="H824" s="30"/>
      <c r="I824" s="9"/>
      <c r="J824" s="29"/>
      <c r="K824" s="29"/>
      <c r="L824" s="29"/>
      <c r="M824" s="29"/>
      <c r="N824" s="29"/>
      <c r="O824" s="29"/>
    </row>
    <row r="825" spans="1:15" x14ac:dyDescent="0.25">
      <c r="A825" s="4"/>
      <c r="B825" s="9"/>
      <c r="C825" s="52" t="str">
        <f t="shared" si="21"/>
        <v/>
      </c>
      <c r="D825" s="9"/>
      <c r="E825" s="29"/>
      <c r="F825" s="29"/>
      <c r="G825" s="30"/>
      <c r="H825" s="30"/>
      <c r="I825" s="9"/>
      <c r="J825" s="29"/>
      <c r="K825" s="29"/>
      <c r="L825" s="29"/>
      <c r="M825" s="29"/>
      <c r="N825" s="29"/>
      <c r="O825" s="29"/>
    </row>
    <row r="826" spans="1:15" x14ac:dyDescent="0.25">
      <c r="A826" s="4"/>
      <c r="B826" s="9"/>
      <c r="C826" s="52" t="str">
        <f t="shared" si="21"/>
        <v/>
      </c>
      <c r="D826" s="9"/>
      <c r="E826" s="29"/>
      <c r="F826" s="29"/>
      <c r="G826" s="30"/>
      <c r="H826" s="30"/>
      <c r="I826" s="9"/>
      <c r="J826" s="29"/>
      <c r="K826" s="29"/>
      <c r="L826" s="29"/>
      <c r="M826" s="29"/>
      <c r="N826" s="29"/>
      <c r="O826" s="29"/>
    </row>
    <row r="827" spans="1:15" x14ac:dyDescent="0.25">
      <c r="A827" s="4"/>
      <c r="B827" s="9"/>
      <c r="C827" s="52" t="str">
        <f t="shared" si="21"/>
        <v/>
      </c>
      <c r="D827" s="9"/>
      <c r="E827" s="29"/>
      <c r="F827" s="29"/>
      <c r="G827" s="30"/>
      <c r="H827" s="30"/>
      <c r="I827" s="9"/>
      <c r="J827" s="29"/>
      <c r="K827" s="29"/>
      <c r="L827" s="29"/>
      <c r="M827" s="29"/>
      <c r="N827" s="29"/>
      <c r="O827" s="29"/>
    </row>
    <row r="828" spans="1:15" x14ac:dyDescent="0.25">
      <c r="A828" s="4"/>
      <c r="B828" s="9"/>
      <c r="C828" s="52" t="str">
        <f t="shared" si="21"/>
        <v/>
      </c>
      <c r="D828" s="9"/>
      <c r="E828" s="29"/>
      <c r="F828" s="29"/>
      <c r="G828" s="30"/>
      <c r="H828" s="30"/>
      <c r="I828" s="9"/>
      <c r="J828" s="29"/>
      <c r="K828" s="29"/>
      <c r="L828" s="29"/>
      <c r="M828" s="29"/>
      <c r="N828" s="29"/>
      <c r="O828" s="29"/>
    </row>
    <row r="829" spans="1:15" x14ac:dyDescent="0.25">
      <c r="A829" s="4"/>
      <c r="B829" s="9"/>
      <c r="C829" s="52" t="str">
        <f t="shared" si="21"/>
        <v/>
      </c>
      <c r="D829" s="9"/>
      <c r="E829" s="29"/>
      <c r="F829" s="29"/>
      <c r="G829" s="30"/>
      <c r="H829" s="30"/>
      <c r="I829" s="9"/>
      <c r="J829" s="29"/>
      <c r="K829" s="29"/>
      <c r="L829" s="29"/>
      <c r="M829" s="29"/>
      <c r="N829" s="29"/>
      <c r="O829" s="29"/>
    </row>
    <row r="830" spans="1:15" x14ac:dyDescent="0.25">
      <c r="A830" s="4"/>
      <c r="B830" s="9"/>
      <c r="C830" s="52" t="str">
        <f t="shared" si="21"/>
        <v/>
      </c>
      <c r="D830" s="9"/>
      <c r="E830" s="29"/>
      <c r="F830" s="29"/>
      <c r="G830" s="30"/>
      <c r="H830" s="30"/>
      <c r="I830" s="9"/>
      <c r="J830" s="29"/>
      <c r="K830" s="29"/>
      <c r="L830" s="29"/>
      <c r="M830" s="29"/>
      <c r="N830" s="29"/>
      <c r="O830" s="29"/>
    </row>
    <row r="831" spans="1:15" x14ac:dyDescent="0.25">
      <c r="A831" s="4"/>
      <c r="B831" s="9"/>
      <c r="C831" s="52" t="str">
        <f t="shared" si="21"/>
        <v/>
      </c>
      <c r="D831" s="9"/>
      <c r="E831" s="29"/>
      <c r="F831" s="29"/>
      <c r="G831" s="30"/>
      <c r="H831" s="30"/>
      <c r="I831" s="9"/>
      <c r="J831" s="29"/>
      <c r="K831" s="29"/>
      <c r="L831" s="29"/>
      <c r="M831" s="29"/>
      <c r="N831" s="29"/>
      <c r="O831" s="29"/>
    </row>
    <row r="832" spans="1:15" x14ac:dyDescent="0.25">
      <c r="A832" s="4"/>
      <c r="B832" s="9"/>
      <c r="C832" s="52" t="str">
        <f t="shared" si="21"/>
        <v/>
      </c>
      <c r="D832" s="9"/>
      <c r="E832" s="29"/>
      <c r="F832" s="29"/>
      <c r="G832" s="30"/>
      <c r="H832" s="30"/>
      <c r="I832" s="9"/>
      <c r="J832" s="29"/>
      <c r="K832" s="29"/>
      <c r="L832" s="29"/>
      <c r="M832" s="29"/>
      <c r="N832" s="29"/>
      <c r="O832" s="29"/>
    </row>
    <row r="833" spans="1:15" x14ac:dyDescent="0.25">
      <c r="A833" s="4"/>
      <c r="B833" s="9"/>
      <c r="C833" s="52" t="str">
        <f t="shared" si="21"/>
        <v/>
      </c>
      <c r="D833" s="9"/>
      <c r="E833" s="29"/>
      <c r="F833" s="29"/>
      <c r="G833" s="30"/>
      <c r="H833" s="30"/>
      <c r="I833" s="9"/>
      <c r="J833" s="29"/>
      <c r="K833" s="29"/>
      <c r="L833" s="29"/>
      <c r="M833" s="29"/>
      <c r="N833" s="29"/>
      <c r="O833" s="29"/>
    </row>
    <row r="834" spans="1:15" x14ac:dyDescent="0.25">
      <c r="A834" s="4"/>
      <c r="B834" s="9"/>
      <c r="C834" s="52" t="str">
        <f t="shared" si="21"/>
        <v/>
      </c>
      <c r="D834" s="9"/>
      <c r="E834" s="29"/>
      <c r="F834" s="29"/>
      <c r="G834" s="30"/>
      <c r="H834" s="30"/>
      <c r="I834" s="9"/>
      <c r="J834" s="29"/>
      <c r="K834" s="29"/>
      <c r="L834" s="29"/>
      <c r="M834" s="29"/>
      <c r="N834" s="29"/>
      <c r="O834" s="29"/>
    </row>
    <row r="835" spans="1:15" x14ac:dyDescent="0.25">
      <c r="A835" s="4"/>
      <c r="B835" s="9"/>
      <c r="C835" s="52" t="str">
        <f t="shared" si="21"/>
        <v/>
      </c>
      <c r="D835" s="9"/>
      <c r="E835" s="29"/>
      <c r="F835" s="29"/>
      <c r="G835" s="30"/>
      <c r="H835" s="30"/>
      <c r="I835" s="9"/>
      <c r="J835" s="29"/>
      <c r="K835" s="29"/>
      <c r="L835" s="29"/>
      <c r="M835" s="29"/>
      <c r="N835" s="29"/>
      <c r="O835" s="29"/>
    </row>
    <row r="836" spans="1:15" x14ac:dyDescent="0.25">
      <c r="A836" s="4"/>
      <c r="B836" s="9"/>
      <c r="C836" s="52" t="str">
        <f t="shared" si="21"/>
        <v/>
      </c>
      <c r="D836" s="9"/>
      <c r="E836" s="29"/>
      <c r="F836" s="29"/>
      <c r="G836" s="30"/>
      <c r="H836" s="30"/>
      <c r="I836" s="9"/>
      <c r="J836" s="29"/>
      <c r="K836" s="29"/>
      <c r="L836" s="29"/>
      <c r="M836" s="29"/>
      <c r="N836" s="29"/>
      <c r="O836" s="29"/>
    </row>
    <row r="837" spans="1:15" x14ac:dyDescent="0.25">
      <c r="A837" s="4"/>
      <c r="B837" s="9"/>
      <c r="C837" s="52" t="str">
        <f t="shared" si="21"/>
        <v/>
      </c>
      <c r="D837" s="9"/>
      <c r="E837" s="29"/>
      <c r="F837" s="29"/>
      <c r="G837" s="30"/>
      <c r="H837" s="30"/>
      <c r="I837" s="9"/>
      <c r="J837" s="29"/>
      <c r="K837" s="29"/>
      <c r="L837" s="29"/>
      <c r="M837" s="29"/>
      <c r="N837" s="29"/>
      <c r="O837" s="29"/>
    </row>
    <row r="838" spans="1:15" x14ac:dyDescent="0.25">
      <c r="A838" s="4"/>
      <c r="B838" s="9"/>
      <c r="C838" s="52" t="str">
        <f t="shared" si="21"/>
        <v/>
      </c>
      <c r="D838" s="9"/>
      <c r="E838" s="29"/>
      <c r="F838" s="29"/>
      <c r="G838" s="30"/>
      <c r="H838" s="30"/>
      <c r="I838" s="9"/>
      <c r="J838" s="29"/>
      <c r="K838" s="29"/>
      <c r="L838" s="29"/>
      <c r="M838" s="29"/>
      <c r="N838" s="29"/>
      <c r="O838" s="29"/>
    </row>
    <row r="839" spans="1:15" x14ac:dyDescent="0.25">
      <c r="A839" s="4"/>
      <c r="B839" s="9"/>
      <c r="C839" s="52" t="str">
        <f t="shared" si="21"/>
        <v/>
      </c>
      <c r="D839" s="9"/>
      <c r="E839" s="29"/>
      <c r="F839" s="29"/>
      <c r="G839" s="30"/>
      <c r="H839" s="30"/>
      <c r="I839" s="9"/>
      <c r="J839" s="29"/>
      <c r="K839" s="29"/>
      <c r="L839" s="29"/>
      <c r="M839" s="29"/>
      <c r="N839" s="29"/>
      <c r="O839" s="29"/>
    </row>
    <row r="840" spans="1:15" x14ac:dyDescent="0.25">
      <c r="A840" s="4"/>
      <c r="B840" s="9"/>
      <c r="C840" s="52" t="str">
        <f t="shared" si="21"/>
        <v/>
      </c>
      <c r="D840" s="9"/>
      <c r="E840" s="29"/>
      <c r="F840" s="29"/>
      <c r="G840" s="30"/>
      <c r="H840" s="30"/>
      <c r="I840" s="9"/>
      <c r="J840" s="29"/>
      <c r="K840" s="29"/>
      <c r="L840" s="29"/>
      <c r="M840" s="29"/>
      <c r="N840" s="29"/>
      <c r="O840" s="29"/>
    </row>
    <row r="841" spans="1:15" x14ac:dyDescent="0.25">
      <c r="A841" s="4"/>
      <c r="B841" s="9"/>
      <c r="C841" s="52" t="str">
        <f t="shared" si="21"/>
        <v/>
      </c>
      <c r="D841" s="9"/>
      <c r="E841" s="29"/>
      <c r="F841" s="29"/>
      <c r="G841" s="30"/>
      <c r="H841" s="30"/>
      <c r="I841" s="9"/>
      <c r="J841" s="29"/>
      <c r="K841" s="29"/>
      <c r="L841" s="29"/>
      <c r="M841" s="29"/>
      <c r="N841" s="29"/>
      <c r="O841" s="29"/>
    </row>
    <row r="842" spans="1:15" x14ac:dyDescent="0.25">
      <c r="A842" s="4"/>
      <c r="B842" s="9"/>
      <c r="C842" s="52" t="str">
        <f t="shared" si="21"/>
        <v/>
      </c>
      <c r="D842" s="9"/>
      <c r="E842" s="29"/>
      <c r="F842" s="29"/>
      <c r="G842" s="30"/>
      <c r="H842" s="30"/>
      <c r="I842" s="9"/>
      <c r="J842" s="29"/>
      <c r="K842" s="29"/>
      <c r="L842" s="29"/>
      <c r="M842" s="29"/>
      <c r="N842" s="29"/>
      <c r="O842" s="29"/>
    </row>
    <row r="843" spans="1:15" x14ac:dyDescent="0.25">
      <c r="A843" s="4"/>
      <c r="B843" s="9"/>
      <c r="C843" s="52" t="str">
        <f t="shared" si="21"/>
        <v/>
      </c>
      <c r="D843" s="9"/>
      <c r="E843" s="29"/>
      <c r="F843" s="29"/>
      <c r="G843" s="30"/>
      <c r="H843" s="30"/>
      <c r="I843" s="9"/>
      <c r="J843" s="29"/>
      <c r="K843" s="29"/>
      <c r="L843" s="29"/>
      <c r="M843" s="29"/>
      <c r="N843" s="29"/>
      <c r="O843" s="29"/>
    </row>
    <row r="844" spans="1:15" x14ac:dyDescent="0.25">
      <c r="A844" s="4"/>
      <c r="B844" s="9"/>
      <c r="C844" s="52" t="str">
        <f t="shared" si="21"/>
        <v/>
      </c>
      <c r="D844" s="9"/>
      <c r="E844" s="29"/>
      <c r="F844" s="29"/>
      <c r="G844" s="30"/>
      <c r="H844" s="30"/>
      <c r="I844" s="9"/>
      <c r="J844" s="29"/>
      <c r="K844" s="29"/>
      <c r="L844" s="29"/>
      <c r="M844" s="29"/>
      <c r="N844" s="29"/>
      <c r="O844" s="29"/>
    </row>
    <row r="845" spans="1:15" x14ac:dyDescent="0.25">
      <c r="A845" s="4"/>
      <c r="B845" s="9"/>
      <c r="C845" s="52" t="str">
        <f t="shared" si="21"/>
        <v/>
      </c>
      <c r="D845" s="9"/>
      <c r="E845" s="29"/>
      <c r="F845" s="29"/>
      <c r="G845" s="30"/>
      <c r="H845" s="30"/>
      <c r="I845" s="9"/>
      <c r="J845" s="29"/>
      <c r="K845" s="29"/>
      <c r="L845" s="29"/>
      <c r="M845" s="29"/>
      <c r="N845" s="29"/>
      <c r="O845" s="29"/>
    </row>
    <row r="846" spans="1:15" x14ac:dyDescent="0.25">
      <c r="A846" s="4"/>
      <c r="B846" s="9"/>
      <c r="C846" s="52" t="str">
        <f t="shared" si="21"/>
        <v/>
      </c>
      <c r="D846" s="9"/>
      <c r="E846" s="29"/>
      <c r="F846" s="29"/>
      <c r="G846" s="30"/>
      <c r="H846" s="30"/>
      <c r="I846" s="9"/>
      <c r="J846" s="29"/>
      <c r="K846" s="29"/>
      <c r="L846" s="29"/>
      <c r="M846" s="29"/>
      <c r="N846" s="29"/>
      <c r="O846" s="29"/>
    </row>
    <row r="847" spans="1:15" x14ac:dyDescent="0.25">
      <c r="A847" s="4"/>
      <c r="B847" s="9"/>
      <c r="C847" s="52" t="str">
        <f t="shared" si="21"/>
        <v/>
      </c>
      <c r="D847" s="9"/>
      <c r="E847" s="29"/>
      <c r="F847" s="29"/>
      <c r="G847" s="30"/>
      <c r="H847" s="30"/>
      <c r="I847" s="9"/>
      <c r="J847" s="29"/>
      <c r="K847" s="29"/>
      <c r="L847" s="29"/>
      <c r="M847" s="29"/>
      <c r="N847" s="29"/>
      <c r="O847" s="29"/>
    </row>
    <row r="848" spans="1:15" x14ac:dyDescent="0.25">
      <c r="A848" s="4"/>
      <c r="B848" s="9"/>
      <c r="C848" s="52" t="str">
        <f t="shared" si="21"/>
        <v/>
      </c>
      <c r="D848" s="9"/>
      <c r="E848" s="29"/>
      <c r="F848" s="29"/>
      <c r="G848" s="30"/>
      <c r="H848" s="30"/>
      <c r="I848" s="9"/>
      <c r="J848" s="29"/>
      <c r="K848" s="29"/>
      <c r="L848" s="29"/>
      <c r="M848" s="29"/>
      <c r="N848" s="29"/>
      <c r="O848" s="29"/>
    </row>
    <row r="849" spans="1:15" x14ac:dyDescent="0.25">
      <c r="A849" s="4"/>
      <c r="B849" s="9"/>
      <c r="C849" s="52" t="str">
        <f t="shared" si="21"/>
        <v/>
      </c>
      <c r="D849" s="9"/>
      <c r="E849" s="29"/>
      <c r="F849" s="29"/>
      <c r="G849" s="30"/>
      <c r="H849" s="30"/>
      <c r="I849" s="9"/>
      <c r="J849" s="29"/>
      <c r="K849" s="29"/>
      <c r="L849" s="29"/>
      <c r="M849" s="29"/>
      <c r="N849" s="29"/>
      <c r="O849" s="29"/>
    </row>
    <row r="850" spans="1:15" x14ac:dyDescent="0.25">
      <c r="A850" s="4"/>
      <c r="B850" s="9"/>
      <c r="C850" s="52" t="str">
        <f t="shared" si="21"/>
        <v/>
      </c>
      <c r="D850" s="9"/>
      <c r="E850" s="29"/>
      <c r="F850" s="29"/>
      <c r="G850" s="30"/>
      <c r="H850" s="30"/>
      <c r="I850" s="9"/>
      <c r="J850" s="29"/>
      <c r="K850" s="29"/>
      <c r="L850" s="29"/>
      <c r="M850" s="29"/>
      <c r="N850" s="29"/>
      <c r="O850" s="29"/>
    </row>
    <row r="851" spans="1:15" x14ac:dyDescent="0.25">
      <c r="A851" s="4"/>
      <c r="B851" s="9"/>
      <c r="C851" s="52" t="str">
        <f t="shared" ref="C851:C914" si="22">IF(ISBLANK(D851), "", CONCATENATE(D851,E851,"_",F851,"_",L851))</f>
        <v/>
      </c>
      <c r="D851" s="9"/>
      <c r="E851" s="29"/>
      <c r="F851" s="29"/>
      <c r="G851" s="30"/>
      <c r="H851" s="30"/>
      <c r="I851" s="9"/>
      <c r="J851" s="29"/>
      <c r="K851" s="29"/>
      <c r="L851" s="29"/>
      <c r="M851" s="29"/>
      <c r="N851" s="29"/>
      <c r="O851" s="29"/>
    </row>
    <row r="852" spans="1:15" x14ac:dyDescent="0.25">
      <c r="A852" s="4"/>
      <c r="B852" s="9"/>
      <c r="C852" s="52" t="str">
        <f t="shared" si="22"/>
        <v/>
      </c>
      <c r="D852" s="9"/>
      <c r="E852" s="29"/>
      <c r="F852" s="29"/>
      <c r="G852" s="30"/>
      <c r="H852" s="30"/>
      <c r="I852" s="9"/>
      <c r="J852" s="29"/>
      <c r="K852" s="29"/>
      <c r="L852" s="29"/>
      <c r="M852" s="29"/>
      <c r="N852" s="29"/>
      <c r="O852" s="29"/>
    </row>
    <row r="853" spans="1:15" x14ac:dyDescent="0.25">
      <c r="A853" s="4"/>
      <c r="B853" s="9"/>
      <c r="C853" s="52" t="str">
        <f t="shared" si="22"/>
        <v/>
      </c>
      <c r="D853" s="9"/>
      <c r="E853" s="29"/>
      <c r="F853" s="29"/>
      <c r="G853" s="30"/>
      <c r="H853" s="30"/>
      <c r="I853" s="9"/>
      <c r="J853" s="29"/>
      <c r="K853" s="29"/>
      <c r="L853" s="29"/>
      <c r="M853" s="29"/>
      <c r="N853" s="29"/>
      <c r="O853" s="29"/>
    </row>
    <row r="854" spans="1:15" x14ac:dyDescent="0.25">
      <c r="A854" s="4"/>
      <c r="B854" s="9"/>
      <c r="C854" s="52" t="str">
        <f t="shared" si="22"/>
        <v/>
      </c>
      <c r="D854" s="9"/>
      <c r="E854" s="29"/>
      <c r="F854" s="29"/>
      <c r="G854" s="30"/>
      <c r="H854" s="30"/>
      <c r="I854" s="9"/>
      <c r="J854" s="29"/>
      <c r="K854" s="29"/>
      <c r="L854" s="29"/>
      <c r="M854" s="29"/>
      <c r="N854" s="29"/>
      <c r="O854" s="29"/>
    </row>
    <row r="855" spans="1:15" x14ac:dyDescent="0.25">
      <c r="A855" s="4"/>
      <c r="B855" s="9"/>
      <c r="C855" s="52" t="str">
        <f t="shared" si="22"/>
        <v/>
      </c>
      <c r="D855" s="9"/>
      <c r="E855" s="29"/>
      <c r="F855" s="29"/>
      <c r="G855" s="30"/>
      <c r="H855" s="30"/>
      <c r="I855" s="9"/>
      <c r="J855" s="29"/>
      <c r="K855" s="29"/>
      <c r="L855" s="29"/>
      <c r="M855" s="29"/>
      <c r="N855" s="29"/>
      <c r="O855" s="29"/>
    </row>
    <row r="856" spans="1:15" x14ac:dyDescent="0.25">
      <c r="A856" s="4"/>
      <c r="B856" s="9"/>
      <c r="C856" s="52" t="str">
        <f t="shared" si="22"/>
        <v/>
      </c>
      <c r="D856" s="9"/>
      <c r="E856" s="29"/>
      <c r="F856" s="29"/>
      <c r="G856" s="30"/>
      <c r="H856" s="30"/>
      <c r="I856" s="9"/>
      <c r="J856" s="29"/>
      <c r="K856" s="29"/>
      <c r="L856" s="29"/>
      <c r="M856" s="29"/>
      <c r="N856" s="29"/>
      <c r="O856" s="29"/>
    </row>
    <row r="857" spans="1:15" x14ac:dyDescent="0.25">
      <c r="A857" s="4"/>
      <c r="B857" s="9"/>
      <c r="C857" s="52" t="str">
        <f t="shared" si="22"/>
        <v/>
      </c>
      <c r="D857" s="9"/>
      <c r="E857" s="29"/>
      <c r="F857" s="29"/>
      <c r="G857" s="30"/>
      <c r="H857" s="30"/>
      <c r="I857" s="9"/>
      <c r="J857" s="29"/>
      <c r="K857" s="29"/>
      <c r="L857" s="29"/>
      <c r="M857" s="29"/>
      <c r="N857" s="29"/>
      <c r="O857" s="29"/>
    </row>
    <row r="858" spans="1:15" x14ac:dyDescent="0.25">
      <c r="A858" s="4"/>
      <c r="B858" s="9"/>
      <c r="C858" s="52" t="str">
        <f t="shared" si="22"/>
        <v/>
      </c>
      <c r="D858" s="9"/>
      <c r="E858" s="29"/>
      <c r="F858" s="29"/>
      <c r="G858" s="30"/>
      <c r="H858" s="30"/>
      <c r="I858" s="9"/>
      <c r="J858" s="29"/>
      <c r="K858" s="29"/>
      <c r="L858" s="29"/>
      <c r="M858" s="29"/>
      <c r="N858" s="29"/>
      <c r="O858" s="29"/>
    </row>
    <row r="859" spans="1:15" x14ac:dyDescent="0.25">
      <c r="A859" s="4"/>
      <c r="B859" s="9"/>
      <c r="C859" s="52" t="str">
        <f t="shared" si="22"/>
        <v/>
      </c>
      <c r="D859" s="9"/>
      <c r="E859" s="29"/>
      <c r="F859" s="29"/>
      <c r="G859" s="30"/>
      <c r="H859" s="30"/>
      <c r="I859" s="9"/>
      <c r="J859" s="29"/>
      <c r="K859" s="29"/>
      <c r="L859" s="29"/>
      <c r="M859" s="29"/>
      <c r="N859" s="29"/>
      <c r="O859" s="29"/>
    </row>
    <row r="860" spans="1:15" x14ac:dyDescent="0.25">
      <c r="A860" s="4"/>
      <c r="B860" s="9"/>
      <c r="C860" s="52" t="str">
        <f t="shared" si="22"/>
        <v/>
      </c>
      <c r="D860" s="9"/>
      <c r="E860" s="29"/>
      <c r="F860" s="29"/>
      <c r="G860" s="30"/>
      <c r="H860" s="30"/>
      <c r="I860" s="9"/>
      <c r="J860" s="29"/>
      <c r="K860" s="29"/>
      <c r="L860" s="29"/>
      <c r="M860" s="29"/>
      <c r="N860" s="29"/>
      <c r="O860" s="29"/>
    </row>
    <row r="861" spans="1:15" x14ac:dyDescent="0.25">
      <c r="A861" s="4"/>
      <c r="B861" s="9"/>
      <c r="C861" s="52" t="str">
        <f t="shared" si="22"/>
        <v/>
      </c>
      <c r="D861" s="9"/>
      <c r="E861" s="29"/>
      <c r="F861" s="29"/>
      <c r="G861" s="30"/>
      <c r="H861" s="30"/>
      <c r="I861" s="9"/>
      <c r="J861" s="29"/>
      <c r="K861" s="29"/>
      <c r="L861" s="29"/>
      <c r="M861" s="29"/>
      <c r="N861" s="29"/>
      <c r="O861" s="29"/>
    </row>
    <row r="862" spans="1:15" x14ac:dyDescent="0.25">
      <c r="A862" s="4"/>
      <c r="B862" s="9"/>
      <c r="C862" s="52" t="str">
        <f t="shared" si="22"/>
        <v/>
      </c>
      <c r="D862" s="9"/>
      <c r="E862" s="29"/>
      <c r="F862" s="29"/>
      <c r="G862" s="30"/>
      <c r="H862" s="30"/>
      <c r="I862" s="9"/>
      <c r="J862" s="29"/>
      <c r="K862" s="29"/>
      <c r="L862" s="29"/>
      <c r="M862" s="29"/>
      <c r="N862" s="29"/>
      <c r="O862" s="29"/>
    </row>
    <row r="863" spans="1:15" x14ac:dyDescent="0.25">
      <c r="A863" s="4"/>
      <c r="B863" s="9"/>
      <c r="C863" s="52" t="str">
        <f t="shared" si="22"/>
        <v/>
      </c>
      <c r="D863" s="9"/>
      <c r="E863" s="29"/>
      <c r="F863" s="29"/>
      <c r="G863" s="30"/>
      <c r="H863" s="30"/>
      <c r="I863" s="9"/>
      <c r="J863" s="29"/>
      <c r="K863" s="29"/>
      <c r="L863" s="29"/>
      <c r="M863" s="29"/>
      <c r="N863" s="29"/>
      <c r="O863" s="29"/>
    </row>
    <row r="864" spans="1:15" x14ac:dyDescent="0.25">
      <c r="A864" s="4"/>
      <c r="B864" s="9"/>
      <c r="C864" s="52" t="str">
        <f t="shared" si="22"/>
        <v/>
      </c>
      <c r="D864" s="9"/>
      <c r="E864" s="29"/>
      <c r="F864" s="29"/>
      <c r="G864" s="30"/>
      <c r="H864" s="30"/>
      <c r="I864" s="9"/>
      <c r="J864" s="29"/>
      <c r="K864" s="29"/>
      <c r="L864" s="29"/>
      <c r="M864" s="29"/>
      <c r="N864" s="29"/>
      <c r="O864" s="29"/>
    </row>
    <row r="865" spans="1:15" x14ac:dyDescent="0.25">
      <c r="A865" s="4"/>
      <c r="B865" s="9"/>
      <c r="C865" s="52" t="str">
        <f t="shared" si="22"/>
        <v/>
      </c>
      <c r="D865" s="9"/>
      <c r="E865" s="29"/>
      <c r="F865" s="29"/>
      <c r="G865" s="30"/>
      <c r="H865" s="30"/>
      <c r="I865" s="9"/>
      <c r="J865" s="29"/>
      <c r="K865" s="29"/>
      <c r="L865" s="29"/>
      <c r="M865" s="29"/>
      <c r="N865" s="29"/>
      <c r="O865" s="29"/>
    </row>
    <row r="866" spans="1:15" x14ac:dyDescent="0.25">
      <c r="A866" s="4"/>
      <c r="B866" s="9"/>
      <c r="C866" s="52" t="str">
        <f t="shared" si="22"/>
        <v/>
      </c>
      <c r="D866" s="9"/>
      <c r="E866" s="29"/>
      <c r="F866" s="29"/>
      <c r="G866" s="30"/>
      <c r="H866" s="30"/>
      <c r="I866" s="9"/>
      <c r="J866" s="29"/>
      <c r="K866" s="29"/>
      <c r="L866" s="29"/>
      <c r="M866" s="29"/>
      <c r="N866" s="29"/>
      <c r="O866" s="29"/>
    </row>
    <row r="867" spans="1:15" x14ac:dyDescent="0.25">
      <c r="A867" s="4"/>
      <c r="B867" s="9"/>
      <c r="C867" s="52" t="str">
        <f t="shared" si="22"/>
        <v/>
      </c>
      <c r="D867" s="9"/>
      <c r="E867" s="29"/>
      <c r="F867" s="29"/>
      <c r="G867" s="30"/>
      <c r="H867" s="30"/>
      <c r="I867" s="9"/>
      <c r="J867" s="29"/>
      <c r="K867" s="29"/>
      <c r="L867" s="29"/>
      <c r="M867" s="29"/>
      <c r="N867" s="29"/>
      <c r="O867" s="29"/>
    </row>
    <row r="868" spans="1:15" x14ac:dyDescent="0.25">
      <c r="A868" s="4"/>
      <c r="B868" s="9"/>
      <c r="C868" s="52" t="str">
        <f t="shared" si="22"/>
        <v/>
      </c>
      <c r="D868" s="9"/>
      <c r="E868" s="29"/>
      <c r="F868" s="29"/>
      <c r="G868" s="30"/>
      <c r="H868" s="30"/>
      <c r="I868" s="9"/>
      <c r="J868" s="29"/>
      <c r="K868" s="29"/>
      <c r="L868" s="29"/>
      <c r="M868" s="29"/>
      <c r="N868" s="29"/>
      <c r="O868" s="29"/>
    </row>
    <row r="869" spans="1:15" x14ac:dyDescent="0.25">
      <c r="A869" s="4"/>
      <c r="B869" s="9"/>
      <c r="C869" s="52" t="str">
        <f t="shared" si="22"/>
        <v/>
      </c>
      <c r="D869" s="9"/>
      <c r="E869" s="29"/>
      <c r="F869" s="29"/>
      <c r="G869" s="30"/>
      <c r="H869" s="30"/>
      <c r="I869" s="9"/>
      <c r="J869" s="29"/>
      <c r="K869" s="29"/>
      <c r="L869" s="29"/>
      <c r="M869" s="29"/>
      <c r="N869" s="29"/>
      <c r="O869" s="29"/>
    </row>
    <row r="870" spans="1:15" x14ac:dyDescent="0.25">
      <c r="A870" s="4"/>
      <c r="B870" s="9"/>
      <c r="C870" s="52" t="str">
        <f t="shared" si="22"/>
        <v/>
      </c>
      <c r="D870" s="9"/>
      <c r="E870" s="29"/>
      <c r="F870" s="29"/>
      <c r="G870" s="30"/>
      <c r="H870" s="30"/>
      <c r="I870" s="9"/>
      <c r="J870" s="29"/>
      <c r="K870" s="29"/>
      <c r="L870" s="29"/>
      <c r="M870" s="29"/>
      <c r="N870" s="29"/>
      <c r="O870" s="29"/>
    </row>
    <row r="871" spans="1:15" x14ac:dyDescent="0.25">
      <c r="A871" s="4"/>
      <c r="B871" s="9"/>
      <c r="C871" s="52" t="str">
        <f t="shared" si="22"/>
        <v/>
      </c>
      <c r="D871" s="9"/>
      <c r="E871" s="29"/>
      <c r="F871" s="29"/>
      <c r="G871" s="30"/>
      <c r="H871" s="30"/>
      <c r="I871" s="9"/>
      <c r="J871" s="29"/>
      <c r="K871" s="29"/>
      <c r="L871" s="29"/>
      <c r="M871" s="29"/>
      <c r="N871" s="29"/>
      <c r="O871" s="29"/>
    </row>
    <row r="872" spans="1:15" x14ac:dyDescent="0.25">
      <c r="A872" s="4"/>
      <c r="B872" s="9"/>
      <c r="C872" s="52" t="str">
        <f t="shared" si="22"/>
        <v/>
      </c>
      <c r="D872" s="9"/>
      <c r="E872" s="29"/>
      <c r="F872" s="29"/>
      <c r="G872" s="30"/>
      <c r="H872" s="30"/>
      <c r="I872" s="9"/>
      <c r="J872" s="29"/>
      <c r="K872" s="29"/>
      <c r="L872" s="29"/>
      <c r="M872" s="29"/>
      <c r="N872" s="29"/>
      <c r="O872" s="29"/>
    </row>
    <row r="873" spans="1:15" x14ac:dyDescent="0.25">
      <c r="A873" s="4"/>
      <c r="B873" s="9"/>
      <c r="C873" s="52" t="str">
        <f t="shared" si="22"/>
        <v/>
      </c>
      <c r="D873" s="9"/>
      <c r="E873" s="29"/>
      <c r="F873" s="29"/>
      <c r="G873" s="30"/>
      <c r="H873" s="30"/>
      <c r="I873" s="9"/>
      <c r="J873" s="29"/>
      <c r="K873" s="29"/>
      <c r="L873" s="29"/>
      <c r="M873" s="29"/>
      <c r="N873" s="29"/>
      <c r="O873" s="29"/>
    </row>
    <row r="874" spans="1:15" x14ac:dyDescent="0.25">
      <c r="A874" s="4"/>
      <c r="B874" s="9"/>
      <c r="C874" s="52" t="str">
        <f t="shared" si="22"/>
        <v/>
      </c>
      <c r="D874" s="9"/>
      <c r="E874" s="29"/>
      <c r="F874" s="29"/>
      <c r="G874" s="30"/>
      <c r="H874" s="30"/>
      <c r="I874" s="9"/>
      <c r="J874" s="29"/>
      <c r="K874" s="29"/>
      <c r="L874" s="29"/>
      <c r="M874" s="29"/>
      <c r="N874" s="29"/>
      <c r="O874" s="29"/>
    </row>
    <row r="875" spans="1:15" x14ac:dyDescent="0.25">
      <c r="A875" s="4"/>
      <c r="B875" s="9"/>
      <c r="C875" s="52" t="str">
        <f t="shared" si="22"/>
        <v/>
      </c>
      <c r="D875" s="9"/>
      <c r="E875" s="29"/>
      <c r="F875" s="29"/>
      <c r="G875" s="30"/>
      <c r="H875" s="30"/>
      <c r="I875" s="9"/>
      <c r="J875" s="29"/>
      <c r="K875" s="29"/>
      <c r="L875" s="29"/>
      <c r="M875" s="29"/>
      <c r="N875" s="29"/>
      <c r="O875" s="29"/>
    </row>
    <row r="876" spans="1:15" x14ac:dyDescent="0.25">
      <c r="A876" s="4"/>
      <c r="B876" s="9"/>
      <c r="C876" s="52" t="str">
        <f t="shared" si="22"/>
        <v/>
      </c>
      <c r="D876" s="9"/>
      <c r="E876" s="29"/>
      <c r="F876" s="29"/>
      <c r="G876" s="30"/>
      <c r="H876" s="30"/>
      <c r="I876" s="9"/>
      <c r="J876" s="29"/>
      <c r="K876" s="29"/>
      <c r="L876" s="29"/>
      <c r="M876" s="29"/>
      <c r="N876" s="29"/>
      <c r="O876" s="29"/>
    </row>
    <row r="877" spans="1:15" x14ac:dyDescent="0.25">
      <c r="A877" s="4"/>
      <c r="B877" s="9"/>
      <c r="C877" s="52" t="str">
        <f t="shared" si="22"/>
        <v/>
      </c>
      <c r="D877" s="9"/>
      <c r="E877" s="29"/>
      <c r="F877" s="29"/>
      <c r="G877" s="30"/>
      <c r="H877" s="30"/>
      <c r="I877" s="9"/>
      <c r="J877" s="29"/>
      <c r="K877" s="29"/>
      <c r="L877" s="29"/>
      <c r="M877" s="29"/>
      <c r="N877" s="29"/>
      <c r="O877" s="29"/>
    </row>
    <row r="878" spans="1:15" x14ac:dyDescent="0.25">
      <c r="A878" s="4"/>
      <c r="B878" s="9"/>
      <c r="C878" s="52" t="str">
        <f t="shared" si="22"/>
        <v/>
      </c>
      <c r="D878" s="9"/>
      <c r="E878" s="29"/>
      <c r="F878" s="29"/>
      <c r="G878" s="30"/>
      <c r="H878" s="30"/>
      <c r="I878" s="9"/>
      <c r="J878" s="29"/>
      <c r="K878" s="29"/>
      <c r="L878" s="29"/>
      <c r="M878" s="29"/>
      <c r="N878" s="29"/>
      <c r="O878" s="29"/>
    </row>
    <row r="879" spans="1:15" x14ac:dyDescent="0.25">
      <c r="A879" s="4"/>
      <c r="B879" s="9"/>
      <c r="C879" s="52" t="str">
        <f t="shared" si="22"/>
        <v/>
      </c>
      <c r="D879" s="9"/>
      <c r="E879" s="29"/>
      <c r="F879" s="29"/>
      <c r="G879" s="30"/>
      <c r="H879" s="30"/>
      <c r="I879" s="9"/>
      <c r="J879" s="29"/>
      <c r="K879" s="29"/>
      <c r="L879" s="29"/>
      <c r="M879" s="29"/>
      <c r="N879" s="29"/>
      <c r="O879" s="29"/>
    </row>
    <row r="880" spans="1:15" x14ac:dyDescent="0.25">
      <c r="A880" s="4"/>
      <c r="B880" s="9"/>
      <c r="C880" s="52" t="str">
        <f t="shared" si="22"/>
        <v/>
      </c>
      <c r="D880" s="9"/>
      <c r="E880" s="29"/>
      <c r="F880" s="29"/>
      <c r="G880" s="30"/>
      <c r="H880" s="30"/>
      <c r="I880" s="9"/>
      <c r="J880" s="29"/>
      <c r="K880" s="29"/>
      <c r="L880" s="29"/>
      <c r="M880" s="29"/>
      <c r="N880" s="29"/>
      <c r="O880" s="29"/>
    </row>
    <row r="881" spans="1:15" x14ac:dyDescent="0.25">
      <c r="A881" s="4"/>
      <c r="B881" s="9"/>
      <c r="C881" s="52" t="str">
        <f t="shared" si="22"/>
        <v/>
      </c>
      <c r="D881" s="9"/>
      <c r="E881" s="29"/>
      <c r="F881" s="29"/>
      <c r="G881" s="30"/>
      <c r="H881" s="30"/>
      <c r="I881" s="9"/>
      <c r="J881" s="29"/>
      <c r="K881" s="29"/>
      <c r="L881" s="29"/>
      <c r="M881" s="29"/>
      <c r="N881" s="29"/>
      <c r="O881" s="29"/>
    </row>
    <row r="882" spans="1:15" x14ac:dyDescent="0.25">
      <c r="A882" s="4"/>
      <c r="B882" s="9"/>
      <c r="C882" s="52" t="str">
        <f t="shared" si="22"/>
        <v/>
      </c>
      <c r="D882" s="9"/>
      <c r="E882" s="29"/>
      <c r="F882" s="29"/>
      <c r="G882" s="30"/>
      <c r="H882" s="30"/>
      <c r="I882" s="9"/>
      <c r="J882" s="29"/>
      <c r="K882" s="29"/>
      <c r="L882" s="29"/>
      <c r="M882" s="29"/>
      <c r="N882" s="29"/>
      <c r="O882" s="29"/>
    </row>
    <row r="883" spans="1:15" x14ac:dyDescent="0.25">
      <c r="A883" s="4"/>
      <c r="B883" s="9"/>
      <c r="C883" s="52" t="str">
        <f t="shared" si="22"/>
        <v/>
      </c>
      <c r="D883" s="9"/>
      <c r="E883" s="29"/>
      <c r="F883" s="29"/>
      <c r="G883" s="30"/>
      <c r="H883" s="30"/>
      <c r="I883" s="9"/>
      <c r="J883" s="29"/>
      <c r="K883" s="29"/>
      <c r="L883" s="29"/>
      <c r="M883" s="29"/>
      <c r="N883" s="29"/>
      <c r="O883" s="29"/>
    </row>
    <row r="884" spans="1:15" x14ac:dyDescent="0.25">
      <c r="A884" s="4"/>
      <c r="B884" s="9"/>
      <c r="C884" s="52" t="str">
        <f t="shared" si="22"/>
        <v/>
      </c>
      <c r="D884" s="9"/>
      <c r="E884" s="29"/>
      <c r="F884" s="29"/>
      <c r="G884" s="30"/>
      <c r="H884" s="30"/>
      <c r="I884" s="9"/>
      <c r="J884" s="29"/>
      <c r="K884" s="29"/>
      <c r="L884" s="29"/>
      <c r="M884" s="29"/>
      <c r="N884" s="29"/>
      <c r="O884" s="29"/>
    </row>
    <row r="885" spans="1:15" x14ac:dyDescent="0.25">
      <c r="A885" s="4"/>
      <c r="B885" s="9"/>
      <c r="C885" s="52" t="str">
        <f t="shared" si="22"/>
        <v/>
      </c>
      <c r="D885" s="9"/>
      <c r="E885" s="29"/>
      <c r="F885" s="29"/>
      <c r="G885" s="30"/>
      <c r="H885" s="30"/>
      <c r="I885" s="9"/>
      <c r="J885" s="29"/>
      <c r="K885" s="29"/>
      <c r="L885" s="29"/>
      <c r="M885" s="29"/>
      <c r="N885" s="29"/>
      <c r="O885" s="29"/>
    </row>
    <row r="886" spans="1:15" x14ac:dyDescent="0.25">
      <c r="A886" s="4"/>
      <c r="B886" s="9"/>
      <c r="C886" s="52" t="str">
        <f t="shared" si="22"/>
        <v/>
      </c>
      <c r="D886" s="9"/>
      <c r="E886" s="29"/>
      <c r="F886" s="29"/>
      <c r="G886" s="30"/>
      <c r="H886" s="30"/>
      <c r="I886" s="9"/>
      <c r="J886" s="29"/>
      <c r="K886" s="29"/>
      <c r="L886" s="29"/>
      <c r="M886" s="29"/>
      <c r="N886" s="29"/>
      <c r="O886" s="29"/>
    </row>
    <row r="887" spans="1:15" x14ac:dyDescent="0.25">
      <c r="A887" s="4"/>
      <c r="B887" s="9"/>
      <c r="C887" s="52" t="str">
        <f t="shared" si="22"/>
        <v/>
      </c>
      <c r="D887" s="9"/>
      <c r="E887" s="29"/>
      <c r="F887" s="29"/>
      <c r="G887" s="30"/>
      <c r="H887" s="30"/>
      <c r="I887" s="9"/>
      <c r="J887" s="29"/>
      <c r="K887" s="29"/>
      <c r="L887" s="29"/>
      <c r="M887" s="29"/>
      <c r="N887" s="29"/>
      <c r="O887" s="29"/>
    </row>
    <row r="888" spans="1:15" x14ac:dyDescent="0.25">
      <c r="A888" s="4"/>
      <c r="B888" s="9"/>
      <c r="C888" s="52" t="str">
        <f t="shared" si="22"/>
        <v/>
      </c>
      <c r="D888" s="9"/>
      <c r="E888" s="29"/>
      <c r="F888" s="29"/>
      <c r="G888" s="30"/>
      <c r="H888" s="30"/>
      <c r="I888" s="9"/>
      <c r="J888" s="29"/>
      <c r="K888" s="29"/>
      <c r="L888" s="29"/>
      <c r="M888" s="29"/>
      <c r="N888" s="29"/>
      <c r="O888" s="29"/>
    </row>
    <row r="889" spans="1:15" x14ac:dyDescent="0.25">
      <c r="A889" s="4"/>
      <c r="B889" s="9"/>
      <c r="C889" s="52" t="str">
        <f t="shared" si="22"/>
        <v/>
      </c>
      <c r="D889" s="9"/>
      <c r="E889" s="29"/>
      <c r="F889" s="29"/>
      <c r="G889" s="30"/>
      <c r="H889" s="30"/>
      <c r="I889" s="9"/>
      <c r="J889" s="29"/>
      <c r="K889" s="29"/>
      <c r="L889" s="29"/>
      <c r="M889" s="29"/>
      <c r="N889" s="29"/>
      <c r="O889" s="29"/>
    </row>
    <row r="890" spans="1:15" x14ac:dyDescent="0.25">
      <c r="A890" s="4"/>
      <c r="B890" s="9"/>
      <c r="C890" s="52" t="str">
        <f t="shared" si="22"/>
        <v/>
      </c>
      <c r="D890" s="9"/>
      <c r="E890" s="29"/>
      <c r="F890" s="29"/>
      <c r="G890" s="30"/>
      <c r="H890" s="30"/>
      <c r="I890" s="9"/>
      <c r="J890" s="29"/>
      <c r="K890" s="29"/>
      <c r="L890" s="29"/>
      <c r="M890" s="29"/>
      <c r="N890" s="29"/>
      <c r="O890" s="29"/>
    </row>
    <row r="891" spans="1:15" x14ac:dyDescent="0.25">
      <c r="A891" s="4"/>
      <c r="B891" s="9"/>
      <c r="C891" s="52" t="str">
        <f t="shared" si="22"/>
        <v/>
      </c>
      <c r="D891" s="9"/>
      <c r="E891" s="29"/>
      <c r="F891" s="29"/>
      <c r="G891" s="30"/>
      <c r="H891" s="30"/>
      <c r="I891" s="9"/>
      <c r="J891" s="29"/>
      <c r="K891" s="29"/>
      <c r="L891" s="29"/>
      <c r="M891" s="29"/>
      <c r="N891" s="29"/>
      <c r="O891" s="29"/>
    </row>
    <row r="892" spans="1:15" x14ac:dyDescent="0.25">
      <c r="A892" s="4"/>
      <c r="B892" s="9"/>
      <c r="C892" s="52" t="str">
        <f t="shared" si="22"/>
        <v/>
      </c>
      <c r="D892" s="9"/>
      <c r="E892" s="29"/>
      <c r="F892" s="29"/>
      <c r="G892" s="30"/>
      <c r="H892" s="30"/>
      <c r="I892" s="9"/>
      <c r="J892" s="29"/>
      <c r="K892" s="29"/>
      <c r="L892" s="29"/>
      <c r="M892" s="29"/>
      <c r="N892" s="29"/>
      <c r="O892" s="29"/>
    </row>
    <row r="893" spans="1:15" x14ac:dyDescent="0.25">
      <c r="A893" s="4"/>
      <c r="B893" s="9"/>
      <c r="C893" s="52" t="str">
        <f t="shared" si="22"/>
        <v/>
      </c>
      <c r="D893" s="9"/>
      <c r="E893" s="29"/>
      <c r="F893" s="29"/>
      <c r="G893" s="30"/>
      <c r="H893" s="30"/>
      <c r="I893" s="9"/>
      <c r="J893" s="29"/>
      <c r="K893" s="29"/>
      <c r="L893" s="29"/>
      <c r="M893" s="29"/>
      <c r="N893" s="29"/>
      <c r="O893" s="29"/>
    </row>
    <row r="894" spans="1:15" x14ac:dyDescent="0.25">
      <c r="A894" s="4"/>
      <c r="B894" s="9"/>
      <c r="C894" s="52" t="str">
        <f t="shared" si="22"/>
        <v/>
      </c>
      <c r="D894" s="9"/>
      <c r="E894" s="29"/>
      <c r="F894" s="29"/>
      <c r="G894" s="30"/>
      <c r="H894" s="30"/>
      <c r="I894" s="9"/>
      <c r="J894" s="29"/>
      <c r="K894" s="29"/>
      <c r="L894" s="29"/>
      <c r="M894" s="29"/>
      <c r="N894" s="29"/>
      <c r="O894" s="29"/>
    </row>
    <row r="895" spans="1:15" x14ac:dyDescent="0.25">
      <c r="A895" s="4"/>
      <c r="B895" s="9"/>
      <c r="C895" s="52" t="str">
        <f t="shared" si="22"/>
        <v/>
      </c>
      <c r="D895" s="9"/>
      <c r="E895" s="29"/>
      <c r="F895" s="29"/>
      <c r="G895" s="30"/>
      <c r="H895" s="30"/>
      <c r="I895" s="9"/>
      <c r="J895" s="29"/>
      <c r="K895" s="29"/>
      <c r="L895" s="29"/>
      <c r="M895" s="29"/>
      <c r="N895" s="29"/>
      <c r="O895" s="29"/>
    </row>
    <row r="896" spans="1:15" x14ac:dyDescent="0.25">
      <c r="A896" s="4"/>
      <c r="B896" s="9"/>
      <c r="C896" s="52" t="str">
        <f t="shared" si="22"/>
        <v/>
      </c>
      <c r="D896" s="9"/>
      <c r="E896" s="29"/>
      <c r="F896" s="29"/>
      <c r="G896" s="30"/>
      <c r="H896" s="30"/>
      <c r="I896" s="9"/>
      <c r="J896" s="29"/>
      <c r="K896" s="29"/>
      <c r="L896" s="29"/>
      <c r="M896" s="29"/>
      <c r="N896" s="29"/>
      <c r="O896" s="29"/>
    </row>
    <row r="897" spans="1:15" x14ac:dyDescent="0.25">
      <c r="A897" s="4"/>
      <c r="B897" s="9"/>
      <c r="C897" s="52" t="str">
        <f t="shared" si="22"/>
        <v/>
      </c>
      <c r="D897" s="9"/>
      <c r="E897" s="29"/>
      <c r="F897" s="29"/>
      <c r="G897" s="30"/>
      <c r="H897" s="30"/>
      <c r="I897" s="9"/>
      <c r="J897" s="29"/>
      <c r="K897" s="29"/>
      <c r="L897" s="29"/>
      <c r="M897" s="29"/>
      <c r="N897" s="29"/>
      <c r="O897" s="29"/>
    </row>
    <row r="898" spans="1:15" x14ac:dyDescent="0.25">
      <c r="A898" s="4"/>
      <c r="B898" s="9"/>
      <c r="C898" s="52" t="str">
        <f t="shared" si="22"/>
        <v/>
      </c>
      <c r="D898" s="9"/>
      <c r="E898" s="29"/>
      <c r="F898" s="29"/>
      <c r="G898" s="30"/>
      <c r="H898" s="30"/>
      <c r="I898" s="9"/>
      <c r="J898" s="29"/>
      <c r="K898" s="29"/>
      <c r="L898" s="29"/>
      <c r="M898" s="29"/>
      <c r="N898" s="29"/>
      <c r="O898" s="29"/>
    </row>
    <row r="899" spans="1:15" x14ac:dyDescent="0.25">
      <c r="A899" s="4"/>
      <c r="B899" s="9"/>
      <c r="C899" s="52" t="str">
        <f t="shared" si="22"/>
        <v/>
      </c>
      <c r="D899" s="9"/>
      <c r="E899" s="29"/>
      <c r="F899" s="29"/>
      <c r="G899" s="30"/>
      <c r="H899" s="30"/>
      <c r="I899" s="9"/>
      <c r="J899" s="29"/>
      <c r="K899" s="29"/>
      <c r="L899" s="29"/>
      <c r="M899" s="29"/>
      <c r="N899" s="29"/>
      <c r="O899" s="29"/>
    </row>
    <row r="900" spans="1:15" x14ac:dyDescent="0.25">
      <c r="A900" s="4"/>
      <c r="B900" s="9"/>
      <c r="C900" s="52" t="str">
        <f t="shared" si="22"/>
        <v/>
      </c>
      <c r="D900" s="9"/>
      <c r="E900" s="29"/>
      <c r="F900" s="29"/>
      <c r="G900" s="30"/>
      <c r="H900" s="30"/>
      <c r="I900" s="9"/>
      <c r="J900" s="29"/>
      <c r="K900" s="29"/>
      <c r="L900" s="29"/>
      <c r="M900" s="29"/>
      <c r="N900" s="29"/>
      <c r="O900" s="29"/>
    </row>
    <row r="901" spans="1:15" x14ac:dyDescent="0.25">
      <c r="A901" s="4"/>
      <c r="B901" s="9"/>
      <c r="C901" s="52" t="str">
        <f t="shared" si="22"/>
        <v/>
      </c>
      <c r="D901" s="9"/>
      <c r="E901" s="29"/>
      <c r="F901" s="29"/>
      <c r="G901" s="30"/>
      <c r="H901" s="30"/>
      <c r="I901" s="9"/>
      <c r="J901" s="29"/>
      <c r="K901" s="29"/>
      <c r="L901" s="29"/>
      <c r="M901" s="29"/>
      <c r="N901" s="29"/>
      <c r="O901" s="29"/>
    </row>
    <row r="902" spans="1:15" x14ac:dyDescent="0.25">
      <c r="A902" s="4"/>
      <c r="B902" s="9"/>
      <c r="C902" s="52" t="str">
        <f t="shared" si="22"/>
        <v/>
      </c>
      <c r="D902" s="9"/>
      <c r="E902" s="29"/>
      <c r="F902" s="29"/>
      <c r="G902" s="30"/>
      <c r="H902" s="30"/>
      <c r="I902" s="9"/>
      <c r="J902" s="29"/>
      <c r="K902" s="29"/>
      <c r="L902" s="29"/>
      <c r="M902" s="29"/>
      <c r="N902" s="29"/>
      <c r="O902" s="29"/>
    </row>
    <row r="903" spans="1:15" x14ac:dyDescent="0.25">
      <c r="A903" s="4"/>
      <c r="B903" s="9"/>
      <c r="C903" s="52" t="str">
        <f t="shared" si="22"/>
        <v/>
      </c>
      <c r="D903" s="9"/>
      <c r="E903" s="29"/>
      <c r="F903" s="29"/>
      <c r="G903" s="30"/>
      <c r="H903" s="30"/>
      <c r="I903" s="9"/>
      <c r="J903" s="29"/>
      <c r="K903" s="29"/>
      <c r="L903" s="29"/>
      <c r="M903" s="29"/>
      <c r="N903" s="29"/>
      <c r="O903" s="29"/>
    </row>
    <row r="904" spans="1:15" x14ac:dyDescent="0.25">
      <c r="A904" s="4"/>
      <c r="B904" s="9"/>
      <c r="C904" s="52" t="str">
        <f t="shared" si="22"/>
        <v/>
      </c>
      <c r="D904" s="9"/>
      <c r="E904" s="29"/>
      <c r="F904" s="29"/>
      <c r="G904" s="30"/>
      <c r="H904" s="30"/>
      <c r="I904" s="9"/>
      <c r="J904" s="29"/>
      <c r="K904" s="29"/>
      <c r="L904" s="29"/>
      <c r="M904" s="29"/>
      <c r="N904" s="29"/>
      <c r="O904" s="29"/>
    </row>
    <row r="905" spans="1:15" x14ac:dyDescent="0.25">
      <c r="A905" s="4"/>
      <c r="B905" s="9"/>
      <c r="C905" s="52" t="str">
        <f t="shared" si="22"/>
        <v/>
      </c>
      <c r="D905" s="9"/>
      <c r="E905" s="29"/>
      <c r="F905" s="29"/>
      <c r="G905" s="30"/>
      <c r="H905" s="30"/>
      <c r="I905" s="9"/>
      <c r="J905" s="29"/>
      <c r="K905" s="29"/>
      <c r="L905" s="29"/>
      <c r="M905" s="29"/>
      <c r="N905" s="29"/>
      <c r="O905" s="29"/>
    </row>
    <row r="906" spans="1:15" x14ac:dyDescent="0.25">
      <c r="A906" s="4"/>
      <c r="B906" s="9"/>
      <c r="C906" s="52" t="str">
        <f t="shared" si="22"/>
        <v/>
      </c>
      <c r="D906" s="9"/>
      <c r="E906" s="29"/>
      <c r="F906" s="29"/>
      <c r="G906" s="30"/>
      <c r="H906" s="30"/>
      <c r="I906" s="9"/>
      <c r="J906" s="29"/>
      <c r="K906" s="29"/>
      <c r="L906" s="29"/>
      <c r="M906" s="29"/>
      <c r="N906" s="29"/>
      <c r="O906" s="29"/>
    </row>
    <row r="907" spans="1:15" x14ac:dyDescent="0.25">
      <c r="A907" s="4"/>
      <c r="B907" s="9"/>
      <c r="C907" s="52" t="str">
        <f t="shared" si="22"/>
        <v/>
      </c>
      <c r="D907" s="9"/>
      <c r="E907" s="29"/>
      <c r="F907" s="29"/>
      <c r="G907" s="30"/>
      <c r="H907" s="30"/>
      <c r="I907" s="9"/>
      <c r="J907" s="29"/>
      <c r="K907" s="29"/>
      <c r="L907" s="29"/>
      <c r="M907" s="29"/>
      <c r="N907" s="29"/>
      <c r="O907" s="29"/>
    </row>
    <row r="908" spans="1:15" x14ac:dyDescent="0.25">
      <c r="A908" s="4"/>
      <c r="B908" s="9"/>
      <c r="C908" s="52" t="str">
        <f t="shared" si="22"/>
        <v/>
      </c>
      <c r="D908" s="9"/>
      <c r="E908" s="29"/>
      <c r="F908" s="29"/>
      <c r="G908" s="30"/>
      <c r="H908" s="30"/>
      <c r="I908" s="9"/>
      <c r="J908" s="29"/>
      <c r="K908" s="29"/>
      <c r="L908" s="29"/>
      <c r="M908" s="29"/>
      <c r="N908" s="29"/>
      <c r="O908" s="29"/>
    </row>
    <row r="909" spans="1:15" x14ac:dyDescent="0.25">
      <c r="A909" s="4"/>
      <c r="B909" s="9"/>
      <c r="C909" s="52" t="str">
        <f t="shared" si="22"/>
        <v/>
      </c>
      <c r="D909" s="9"/>
      <c r="E909" s="29"/>
      <c r="F909" s="29"/>
      <c r="G909" s="30"/>
      <c r="H909" s="30"/>
      <c r="I909" s="9"/>
      <c r="J909" s="29"/>
      <c r="K909" s="29"/>
      <c r="L909" s="29"/>
      <c r="M909" s="29"/>
      <c r="N909" s="29"/>
      <c r="O909" s="29"/>
    </row>
    <row r="910" spans="1:15" x14ac:dyDescent="0.25">
      <c r="A910" s="4"/>
      <c r="B910" s="9"/>
      <c r="C910" s="52" t="str">
        <f t="shared" si="22"/>
        <v/>
      </c>
      <c r="D910" s="9"/>
      <c r="E910" s="29"/>
      <c r="F910" s="29"/>
      <c r="G910" s="30"/>
      <c r="H910" s="30"/>
      <c r="I910" s="9"/>
      <c r="J910" s="29"/>
      <c r="K910" s="29"/>
      <c r="L910" s="29"/>
      <c r="M910" s="29"/>
      <c r="N910" s="29"/>
      <c r="O910" s="29"/>
    </row>
    <row r="911" spans="1:15" x14ac:dyDescent="0.25">
      <c r="A911" s="4"/>
      <c r="B911" s="9"/>
      <c r="C911" s="52" t="str">
        <f t="shared" si="22"/>
        <v/>
      </c>
      <c r="D911" s="9"/>
      <c r="E911" s="29"/>
      <c r="F911" s="29"/>
      <c r="G911" s="30"/>
      <c r="H911" s="30"/>
      <c r="I911" s="9"/>
      <c r="J911" s="29"/>
      <c r="K911" s="29"/>
      <c r="L911" s="29"/>
      <c r="M911" s="29"/>
      <c r="N911" s="29"/>
      <c r="O911" s="29"/>
    </row>
    <row r="912" spans="1:15" x14ac:dyDescent="0.25">
      <c r="A912" s="4"/>
      <c r="B912" s="9"/>
      <c r="C912" s="52" t="str">
        <f t="shared" si="22"/>
        <v/>
      </c>
      <c r="D912" s="9"/>
      <c r="E912" s="29"/>
      <c r="F912" s="29"/>
      <c r="G912" s="30"/>
      <c r="H912" s="30"/>
      <c r="I912" s="9"/>
      <c r="J912" s="29"/>
      <c r="K912" s="29"/>
      <c r="L912" s="29"/>
      <c r="M912" s="29"/>
      <c r="N912" s="29"/>
      <c r="O912" s="29"/>
    </row>
    <row r="913" spans="1:15" x14ac:dyDescent="0.25">
      <c r="A913" s="4"/>
      <c r="B913" s="9"/>
      <c r="C913" s="52" t="str">
        <f t="shared" si="22"/>
        <v/>
      </c>
      <c r="D913" s="9"/>
      <c r="E913" s="29"/>
      <c r="F913" s="29"/>
      <c r="G913" s="30"/>
      <c r="H913" s="30"/>
      <c r="I913" s="9"/>
      <c r="J913" s="29"/>
      <c r="K913" s="29"/>
      <c r="L913" s="29"/>
      <c r="M913" s="29"/>
      <c r="N913" s="29"/>
      <c r="O913" s="29"/>
    </row>
    <row r="914" spans="1:15" x14ac:dyDescent="0.25">
      <c r="A914" s="4"/>
      <c r="B914" s="9"/>
      <c r="C914" s="52" t="str">
        <f t="shared" si="22"/>
        <v/>
      </c>
      <c r="D914" s="9"/>
      <c r="E914" s="29"/>
      <c r="F914" s="29"/>
      <c r="G914" s="30"/>
      <c r="H914" s="30"/>
      <c r="I914" s="9"/>
      <c r="J914" s="29"/>
      <c r="K914" s="29"/>
      <c r="L914" s="29"/>
      <c r="M914" s="29"/>
      <c r="N914" s="29"/>
      <c r="O914" s="29"/>
    </row>
    <row r="915" spans="1:15" x14ac:dyDescent="0.25">
      <c r="A915" s="4"/>
      <c r="B915" s="9"/>
      <c r="C915" s="52" t="str">
        <f t="shared" ref="C915:C978" si="23">IF(ISBLANK(D915), "", CONCATENATE(D915,E915,"_",F915,"_",L915))</f>
        <v/>
      </c>
      <c r="D915" s="9"/>
      <c r="E915" s="29"/>
      <c r="F915" s="29"/>
      <c r="G915" s="30"/>
      <c r="H915" s="30"/>
      <c r="I915" s="9"/>
      <c r="J915" s="29"/>
      <c r="K915" s="29"/>
      <c r="L915" s="29"/>
      <c r="M915" s="29"/>
      <c r="N915" s="29"/>
      <c r="O915" s="29"/>
    </row>
    <row r="916" spans="1:15" x14ac:dyDescent="0.25">
      <c r="A916" s="4"/>
      <c r="B916" s="9"/>
      <c r="C916" s="52" t="str">
        <f t="shared" si="23"/>
        <v/>
      </c>
      <c r="D916" s="9"/>
      <c r="E916" s="29"/>
      <c r="F916" s="29"/>
      <c r="G916" s="30"/>
      <c r="H916" s="30"/>
      <c r="I916" s="9"/>
      <c r="J916" s="29"/>
      <c r="K916" s="29"/>
      <c r="L916" s="29"/>
      <c r="M916" s="29"/>
      <c r="N916" s="29"/>
      <c r="O916" s="29"/>
    </row>
    <row r="917" spans="1:15" x14ac:dyDescent="0.25">
      <c r="A917" s="4"/>
      <c r="B917" s="9"/>
      <c r="C917" s="52" t="str">
        <f t="shared" si="23"/>
        <v/>
      </c>
      <c r="D917" s="9"/>
      <c r="E917" s="29"/>
      <c r="F917" s="29"/>
      <c r="G917" s="30"/>
      <c r="H917" s="30"/>
      <c r="I917" s="9"/>
      <c r="J917" s="29"/>
      <c r="K917" s="29"/>
      <c r="L917" s="29"/>
      <c r="M917" s="29"/>
      <c r="N917" s="29"/>
      <c r="O917" s="29"/>
    </row>
    <row r="918" spans="1:15" x14ac:dyDescent="0.25">
      <c r="A918" s="4"/>
      <c r="B918" s="9"/>
      <c r="C918" s="52" t="str">
        <f t="shared" si="23"/>
        <v/>
      </c>
      <c r="D918" s="9"/>
      <c r="E918" s="29"/>
      <c r="F918" s="29"/>
      <c r="G918" s="30"/>
      <c r="H918" s="30"/>
      <c r="I918" s="9"/>
      <c r="J918" s="29"/>
      <c r="K918" s="29"/>
      <c r="L918" s="29"/>
      <c r="M918" s="29"/>
      <c r="N918" s="29"/>
      <c r="O918" s="29"/>
    </row>
    <row r="919" spans="1:15" x14ac:dyDescent="0.25">
      <c r="A919" s="4"/>
      <c r="B919" s="9"/>
      <c r="C919" s="52" t="str">
        <f t="shared" si="23"/>
        <v/>
      </c>
      <c r="D919" s="9"/>
      <c r="E919" s="29"/>
      <c r="F919" s="29"/>
      <c r="G919" s="30"/>
      <c r="H919" s="30"/>
      <c r="I919" s="9"/>
      <c r="J919" s="29"/>
      <c r="K919" s="29"/>
      <c r="L919" s="29"/>
      <c r="M919" s="29"/>
      <c r="N919" s="29"/>
      <c r="O919" s="29"/>
    </row>
    <row r="920" spans="1:15" x14ac:dyDescent="0.25">
      <c r="A920" s="4"/>
      <c r="B920" s="9"/>
      <c r="C920" s="52" t="str">
        <f t="shared" si="23"/>
        <v/>
      </c>
      <c r="D920" s="9"/>
      <c r="E920" s="29"/>
      <c r="F920" s="29"/>
      <c r="G920" s="30"/>
      <c r="H920" s="30"/>
      <c r="I920" s="9"/>
      <c r="J920" s="29"/>
      <c r="K920" s="29"/>
      <c r="L920" s="29"/>
      <c r="M920" s="29"/>
      <c r="N920" s="29"/>
      <c r="O920" s="29"/>
    </row>
    <row r="921" spans="1:15" x14ac:dyDescent="0.25">
      <c r="A921" s="4"/>
      <c r="B921" s="9"/>
      <c r="C921" s="52" t="str">
        <f t="shared" si="23"/>
        <v/>
      </c>
      <c r="D921" s="9"/>
      <c r="E921" s="29"/>
      <c r="F921" s="29"/>
      <c r="G921" s="30"/>
      <c r="H921" s="30"/>
      <c r="I921" s="9"/>
      <c r="J921" s="29"/>
      <c r="K921" s="29"/>
      <c r="L921" s="29"/>
      <c r="M921" s="29"/>
      <c r="N921" s="29"/>
      <c r="O921" s="29"/>
    </row>
    <row r="922" spans="1:15" x14ac:dyDescent="0.25">
      <c r="A922" s="4"/>
      <c r="B922" s="9"/>
      <c r="C922" s="52" t="str">
        <f t="shared" si="23"/>
        <v/>
      </c>
      <c r="D922" s="9"/>
      <c r="E922" s="29"/>
      <c r="F922" s="29"/>
      <c r="G922" s="30"/>
      <c r="H922" s="30"/>
      <c r="I922" s="9"/>
      <c r="J922" s="29"/>
      <c r="K922" s="29"/>
      <c r="L922" s="29"/>
      <c r="M922" s="29"/>
      <c r="N922" s="29"/>
      <c r="O922" s="29"/>
    </row>
    <row r="923" spans="1:15" x14ac:dyDescent="0.25">
      <c r="A923" s="4"/>
      <c r="B923" s="9"/>
      <c r="C923" s="52" t="str">
        <f t="shared" si="23"/>
        <v/>
      </c>
      <c r="D923" s="9"/>
      <c r="E923" s="29"/>
      <c r="F923" s="29"/>
      <c r="G923" s="30"/>
      <c r="H923" s="30"/>
      <c r="I923" s="9"/>
      <c r="J923" s="29"/>
      <c r="K923" s="29"/>
      <c r="L923" s="29"/>
      <c r="M923" s="29"/>
      <c r="N923" s="29"/>
      <c r="O923" s="29"/>
    </row>
    <row r="924" spans="1:15" x14ac:dyDescent="0.25">
      <c r="A924" s="4"/>
      <c r="B924" s="9"/>
      <c r="C924" s="52" t="str">
        <f t="shared" si="23"/>
        <v/>
      </c>
      <c r="D924" s="9"/>
      <c r="E924" s="29"/>
      <c r="F924" s="29"/>
      <c r="G924" s="30"/>
      <c r="H924" s="30"/>
      <c r="I924" s="9"/>
      <c r="J924" s="29"/>
      <c r="K924" s="29"/>
      <c r="L924" s="29"/>
      <c r="M924" s="29"/>
      <c r="N924" s="29"/>
      <c r="O924" s="29"/>
    </row>
    <row r="925" spans="1:15" x14ac:dyDescent="0.25">
      <c r="A925" s="4"/>
      <c r="B925" s="9"/>
      <c r="C925" s="52" t="str">
        <f t="shared" si="23"/>
        <v/>
      </c>
      <c r="D925" s="9"/>
      <c r="E925" s="29"/>
      <c r="F925" s="29"/>
      <c r="G925" s="30"/>
      <c r="H925" s="30"/>
      <c r="I925" s="9"/>
      <c r="J925" s="29"/>
      <c r="K925" s="29"/>
      <c r="L925" s="29"/>
      <c r="M925" s="29"/>
      <c r="N925" s="29"/>
      <c r="O925" s="29"/>
    </row>
    <row r="926" spans="1:15" x14ac:dyDescent="0.25">
      <c r="A926" s="4"/>
      <c r="B926" s="9"/>
      <c r="C926" s="52" t="str">
        <f t="shared" si="23"/>
        <v/>
      </c>
      <c r="D926" s="9"/>
      <c r="E926" s="29"/>
      <c r="F926" s="29"/>
      <c r="G926" s="30"/>
      <c r="H926" s="30"/>
      <c r="I926" s="9"/>
      <c r="J926" s="29"/>
      <c r="K926" s="29"/>
      <c r="L926" s="29"/>
      <c r="M926" s="29"/>
      <c r="N926" s="29"/>
      <c r="O926" s="29"/>
    </row>
    <row r="927" spans="1:15" x14ac:dyDescent="0.25">
      <c r="A927" s="4"/>
      <c r="B927" s="9"/>
      <c r="C927" s="52" t="str">
        <f t="shared" si="23"/>
        <v/>
      </c>
      <c r="D927" s="9"/>
      <c r="E927" s="29"/>
      <c r="F927" s="29"/>
      <c r="G927" s="30"/>
      <c r="H927" s="30"/>
      <c r="I927" s="9"/>
      <c r="J927" s="29"/>
      <c r="K927" s="29"/>
      <c r="L927" s="29"/>
      <c r="M927" s="29"/>
      <c r="N927" s="29"/>
      <c r="O927" s="29"/>
    </row>
    <row r="928" spans="1:15" x14ac:dyDescent="0.25">
      <c r="A928" s="4"/>
      <c r="B928" s="9"/>
      <c r="C928" s="52" t="str">
        <f t="shared" si="23"/>
        <v/>
      </c>
      <c r="D928" s="9"/>
      <c r="E928" s="29"/>
      <c r="F928" s="29"/>
      <c r="G928" s="30"/>
      <c r="H928" s="30"/>
      <c r="I928" s="9"/>
      <c r="J928" s="29"/>
      <c r="K928" s="29"/>
      <c r="L928" s="29"/>
      <c r="M928" s="29"/>
      <c r="N928" s="29"/>
      <c r="O928" s="29"/>
    </row>
    <row r="929" spans="1:15" x14ac:dyDescent="0.25">
      <c r="A929" s="4"/>
      <c r="B929" s="9"/>
      <c r="C929" s="52" t="str">
        <f t="shared" si="23"/>
        <v/>
      </c>
      <c r="D929" s="9"/>
      <c r="E929" s="29"/>
      <c r="F929" s="29"/>
      <c r="G929" s="30"/>
      <c r="H929" s="30"/>
      <c r="I929" s="9"/>
      <c r="J929" s="29"/>
      <c r="K929" s="29"/>
      <c r="L929" s="29"/>
      <c r="M929" s="29"/>
      <c r="N929" s="29"/>
      <c r="O929" s="29"/>
    </row>
    <row r="930" spans="1:15" x14ac:dyDescent="0.25">
      <c r="A930" s="4"/>
      <c r="B930" s="9"/>
      <c r="C930" s="52" t="str">
        <f t="shared" si="23"/>
        <v/>
      </c>
      <c r="D930" s="9"/>
      <c r="E930" s="29"/>
      <c r="F930" s="29"/>
      <c r="G930" s="30"/>
      <c r="H930" s="30"/>
      <c r="I930" s="9"/>
      <c r="J930" s="29"/>
      <c r="K930" s="29"/>
      <c r="L930" s="29"/>
      <c r="M930" s="29"/>
      <c r="N930" s="29"/>
      <c r="O930" s="29"/>
    </row>
    <row r="931" spans="1:15" x14ac:dyDescent="0.25">
      <c r="A931" s="4"/>
      <c r="B931" s="9"/>
      <c r="C931" s="52" t="str">
        <f t="shared" si="23"/>
        <v/>
      </c>
      <c r="D931" s="9"/>
      <c r="E931" s="29"/>
      <c r="F931" s="29"/>
      <c r="G931" s="30"/>
      <c r="H931" s="30"/>
      <c r="I931" s="9"/>
      <c r="J931" s="29"/>
      <c r="K931" s="29"/>
      <c r="L931" s="29"/>
      <c r="M931" s="29"/>
      <c r="N931" s="29"/>
      <c r="O931" s="29"/>
    </row>
    <row r="932" spans="1:15" x14ac:dyDescent="0.25">
      <c r="A932" s="4"/>
      <c r="B932" s="9"/>
      <c r="C932" s="52" t="str">
        <f t="shared" si="23"/>
        <v/>
      </c>
      <c r="D932" s="9"/>
      <c r="E932" s="29"/>
      <c r="F932" s="29"/>
      <c r="G932" s="30"/>
      <c r="H932" s="30"/>
      <c r="I932" s="9"/>
      <c r="J932" s="29"/>
      <c r="K932" s="29"/>
      <c r="L932" s="29"/>
      <c r="M932" s="29"/>
      <c r="N932" s="29"/>
      <c r="O932" s="29"/>
    </row>
    <row r="933" spans="1:15" x14ac:dyDescent="0.25">
      <c r="A933" s="4"/>
      <c r="B933" s="9"/>
      <c r="C933" s="52" t="str">
        <f t="shared" si="23"/>
        <v/>
      </c>
      <c r="D933" s="9"/>
      <c r="E933" s="29"/>
      <c r="F933" s="29"/>
      <c r="G933" s="30"/>
      <c r="H933" s="30"/>
      <c r="I933" s="9"/>
      <c r="J933" s="29"/>
      <c r="K933" s="29"/>
      <c r="L933" s="29"/>
      <c r="M933" s="29"/>
      <c r="N933" s="29"/>
      <c r="O933" s="29"/>
    </row>
    <row r="934" spans="1:15" x14ac:dyDescent="0.25">
      <c r="A934" s="4"/>
      <c r="B934" s="9"/>
      <c r="C934" s="52" t="str">
        <f t="shared" si="23"/>
        <v/>
      </c>
      <c r="D934" s="9"/>
      <c r="E934" s="29"/>
      <c r="F934" s="29"/>
      <c r="G934" s="30"/>
      <c r="H934" s="30"/>
      <c r="I934" s="9"/>
      <c r="J934" s="29"/>
      <c r="K934" s="29"/>
      <c r="L934" s="29"/>
      <c r="M934" s="29"/>
      <c r="N934" s="29"/>
      <c r="O934" s="29"/>
    </row>
    <row r="935" spans="1:15" x14ac:dyDescent="0.25">
      <c r="A935" s="4"/>
      <c r="B935" s="9"/>
      <c r="C935" s="52" t="str">
        <f t="shared" si="23"/>
        <v/>
      </c>
      <c r="D935" s="9"/>
      <c r="E935" s="29"/>
      <c r="F935" s="29"/>
      <c r="G935" s="30"/>
      <c r="H935" s="30"/>
      <c r="I935" s="9"/>
      <c r="J935" s="29"/>
      <c r="K935" s="29"/>
      <c r="L935" s="29"/>
      <c r="M935" s="29"/>
      <c r="N935" s="29"/>
      <c r="O935" s="29"/>
    </row>
    <row r="936" spans="1:15" x14ac:dyDescent="0.25">
      <c r="A936" s="4"/>
      <c r="B936" s="9"/>
      <c r="C936" s="52" t="str">
        <f t="shared" si="23"/>
        <v/>
      </c>
      <c r="D936" s="9"/>
      <c r="E936" s="29"/>
      <c r="F936" s="29"/>
      <c r="G936" s="30"/>
      <c r="H936" s="30"/>
      <c r="I936" s="9"/>
      <c r="J936" s="29"/>
      <c r="K936" s="29"/>
      <c r="L936" s="29"/>
      <c r="M936" s="29"/>
      <c r="N936" s="29"/>
      <c r="O936" s="29"/>
    </row>
    <row r="937" spans="1:15" x14ac:dyDescent="0.25">
      <c r="A937" s="4"/>
      <c r="B937" s="9"/>
      <c r="C937" s="52" t="str">
        <f t="shared" si="23"/>
        <v/>
      </c>
      <c r="D937" s="9"/>
      <c r="E937" s="29"/>
      <c r="F937" s="29"/>
      <c r="G937" s="30"/>
      <c r="H937" s="30"/>
      <c r="I937" s="9"/>
      <c r="J937" s="29"/>
      <c r="K937" s="29"/>
      <c r="L937" s="29"/>
      <c r="M937" s="29"/>
      <c r="N937" s="29"/>
      <c r="O937" s="29"/>
    </row>
    <row r="938" spans="1:15" x14ac:dyDescent="0.25">
      <c r="A938" s="4"/>
      <c r="B938" s="9"/>
      <c r="C938" s="52" t="str">
        <f t="shared" si="23"/>
        <v/>
      </c>
      <c r="D938" s="9"/>
      <c r="E938" s="29"/>
      <c r="F938" s="29"/>
      <c r="G938" s="30"/>
      <c r="H938" s="30"/>
      <c r="I938" s="9"/>
      <c r="J938" s="29"/>
      <c r="K938" s="29"/>
      <c r="L938" s="29"/>
      <c r="M938" s="29"/>
      <c r="N938" s="29"/>
      <c r="O938" s="29"/>
    </row>
    <row r="939" spans="1:15" x14ac:dyDescent="0.25">
      <c r="A939" s="4"/>
      <c r="B939" s="9"/>
      <c r="C939" s="52" t="str">
        <f t="shared" si="23"/>
        <v/>
      </c>
      <c r="D939" s="9"/>
      <c r="E939" s="29"/>
      <c r="F939" s="29"/>
      <c r="G939" s="30"/>
      <c r="H939" s="30"/>
      <c r="I939" s="9"/>
      <c r="J939" s="29"/>
      <c r="K939" s="29"/>
      <c r="L939" s="29"/>
      <c r="M939" s="29"/>
      <c r="N939" s="29"/>
      <c r="O939" s="29"/>
    </row>
    <row r="940" spans="1:15" x14ac:dyDescent="0.25">
      <c r="A940" s="4"/>
      <c r="B940" s="9"/>
      <c r="C940" s="52" t="str">
        <f t="shared" si="23"/>
        <v/>
      </c>
      <c r="D940" s="9"/>
      <c r="E940" s="29"/>
      <c r="F940" s="29"/>
      <c r="G940" s="30"/>
      <c r="H940" s="30"/>
      <c r="I940" s="9"/>
      <c r="J940" s="29"/>
      <c r="K940" s="29"/>
      <c r="L940" s="29"/>
      <c r="M940" s="29"/>
      <c r="N940" s="29"/>
      <c r="O940" s="29"/>
    </row>
    <row r="941" spans="1:15" x14ac:dyDescent="0.25">
      <c r="A941" s="4"/>
      <c r="B941" s="9"/>
      <c r="C941" s="52" t="str">
        <f t="shared" si="23"/>
        <v/>
      </c>
      <c r="D941" s="9"/>
      <c r="E941" s="29"/>
      <c r="F941" s="29"/>
      <c r="G941" s="30"/>
      <c r="H941" s="30"/>
      <c r="I941" s="9"/>
      <c r="J941" s="29"/>
      <c r="K941" s="29"/>
      <c r="L941" s="29"/>
      <c r="M941" s="29"/>
      <c r="N941" s="29"/>
      <c r="O941" s="29"/>
    </row>
    <row r="942" spans="1:15" x14ac:dyDescent="0.25">
      <c r="A942" s="4"/>
      <c r="B942" s="9"/>
      <c r="C942" s="52" t="str">
        <f t="shared" si="23"/>
        <v/>
      </c>
      <c r="D942" s="9"/>
      <c r="E942" s="29"/>
      <c r="F942" s="29"/>
      <c r="G942" s="30"/>
      <c r="H942" s="30"/>
      <c r="I942" s="9"/>
      <c r="J942" s="29"/>
      <c r="K942" s="29"/>
      <c r="L942" s="29"/>
      <c r="M942" s="29"/>
      <c r="N942" s="29"/>
      <c r="O942" s="29"/>
    </row>
    <row r="943" spans="1:15" x14ac:dyDescent="0.25">
      <c r="A943" s="4"/>
      <c r="B943" s="9"/>
      <c r="C943" s="52" t="str">
        <f t="shared" si="23"/>
        <v/>
      </c>
      <c r="D943" s="9"/>
      <c r="E943" s="29"/>
      <c r="F943" s="29"/>
      <c r="G943" s="30"/>
      <c r="H943" s="30"/>
      <c r="I943" s="9"/>
      <c r="J943" s="29"/>
      <c r="K943" s="29"/>
      <c r="L943" s="29"/>
      <c r="M943" s="29"/>
      <c r="N943" s="29"/>
      <c r="O943" s="29"/>
    </row>
    <row r="944" spans="1:15" x14ac:dyDescent="0.25">
      <c r="A944" s="4"/>
      <c r="B944" s="9"/>
      <c r="C944" s="52" t="str">
        <f t="shared" si="23"/>
        <v/>
      </c>
      <c r="D944" s="9"/>
      <c r="E944" s="29"/>
      <c r="F944" s="29"/>
      <c r="G944" s="30"/>
      <c r="H944" s="30"/>
      <c r="I944" s="9"/>
      <c r="J944" s="29"/>
      <c r="K944" s="29"/>
      <c r="L944" s="29"/>
      <c r="M944" s="29"/>
      <c r="N944" s="29"/>
      <c r="O944" s="29"/>
    </row>
    <row r="945" spans="1:15" x14ac:dyDescent="0.25">
      <c r="A945" s="4"/>
      <c r="B945" s="9"/>
      <c r="C945" s="52" t="str">
        <f t="shared" si="23"/>
        <v/>
      </c>
      <c r="D945" s="9"/>
      <c r="E945" s="29"/>
      <c r="F945" s="29"/>
      <c r="G945" s="30"/>
      <c r="H945" s="30"/>
      <c r="I945" s="9"/>
      <c r="J945" s="29"/>
      <c r="K945" s="29"/>
      <c r="L945" s="29"/>
      <c r="M945" s="29"/>
      <c r="N945" s="29"/>
      <c r="O945" s="29"/>
    </row>
    <row r="946" spans="1:15" x14ac:dyDescent="0.25">
      <c r="A946" s="4"/>
      <c r="B946" s="9"/>
      <c r="C946" s="52" t="str">
        <f t="shared" si="23"/>
        <v/>
      </c>
      <c r="D946" s="9"/>
      <c r="E946" s="29"/>
      <c r="F946" s="29"/>
      <c r="G946" s="30"/>
      <c r="H946" s="30"/>
      <c r="I946" s="9"/>
      <c r="J946" s="29"/>
      <c r="K946" s="29"/>
      <c r="L946" s="29"/>
      <c r="M946" s="29"/>
      <c r="N946" s="29"/>
      <c r="O946" s="29"/>
    </row>
    <row r="947" spans="1:15" x14ac:dyDescent="0.25">
      <c r="A947" s="4"/>
      <c r="B947" s="9"/>
      <c r="C947" s="52" t="str">
        <f t="shared" si="23"/>
        <v/>
      </c>
      <c r="D947" s="9"/>
      <c r="E947" s="29"/>
      <c r="F947" s="29"/>
      <c r="G947" s="30"/>
      <c r="H947" s="30"/>
      <c r="I947" s="9"/>
      <c r="J947" s="29"/>
      <c r="K947" s="29"/>
      <c r="L947" s="29"/>
      <c r="M947" s="29"/>
      <c r="N947" s="29"/>
      <c r="O947" s="29"/>
    </row>
    <row r="948" spans="1:15" x14ac:dyDescent="0.25">
      <c r="A948" s="4"/>
      <c r="B948" s="9"/>
      <c r="C948" s="52" t="str">
        <f t="shared" si="23"/>
        <v/>
      </c>
      <c r="D948" s="9"/>
      <c r="E948" s="29"/>
      <c r="F948" s="29"/>
      <c r="G948" s="30"/>
      <c r="H948" s="30"/>
      <c r="I948" s="9"/>
      <c r="J948" s="29"/>
      <c r="K948" s="29"/>
      <c r="L948" s="29"/>
      <c r="M948" s="29"/>
      <c r="N948" s="29"/>
      <c r="O948" s="29"/>
    </row>
    <row r="949" spans="1:15" x14ac:dyDescent="0.25">
      <c r="A949" s="4"/>
      <c r="B949" s="9"/>
      <c r="C949" s="52" t="str">
        <f t="shared" si="23"/>
        <v/>
      </c>
      <c r="D949" s="9"/>
      <c r="E949" s="29"/>
      <c r="F949" s="29"/>
      <c r="G949" s="30"/>
      <c r="H949" s="30"/>
      <c r="I949" s="9"/>
      <c r="J949" s="29"/>
      <c r="K949" s="29"/>
      <c r="L949" s="29"/>
      <c r="M949" s="29"/>
      <c r="N949" s="29"/>
      <c r="O949" s="29"/>
    </row>
    <row r="950" spans="1:15" x14ac:dyDescent="0.25">
      <c r="A950" s="4"/>
      <c r="B950" s="9"/>
      <c r="C950" s="52" t="str">
        <f t="shared" si="23"/>
        <v/>
      </c>
      <c r="D950" s="9"/>
      <c r="E950" s="29"/>
      <c r="F950" s="29"/>
      <c r="G950" s="30"/>
      <c r="H950" s="30"/>
      <c r="I950" s="9"/>
      <c r="J950" s="29"/>
      <c r="K950" s="29"/>
      <c r="L950" s="29"/>
      <c r="M950" s="29"/>
      <c r="N950" s="29"/>
      <c r="O950" s="29"/>
    </row>
    <row r="951" spans="1:15" x14ac:dyDescent="0.25">
      <c r="A951" s="4"/>
      <c r="B951" s="9"/>
      <c r="C951" s="52" t="str">
        <f t="shared" si="23"/>
        <v/>
      </c>
      <c r="D951" s="9"/>
      <c r="E951" s="29"/>
      <c r="F951" s="29"/>
      <c r="G951" s="30"/>
      <c r="H951" s="30"/>
      <c r="I951" s="9"/>
      <c r="J951" s="29"/>
      <c r="K951" s="29"/>
      <c r="L951" s="29"/>
      <c r="M951" s="29"/>
      <c r="N951" s="29"/>
      <c r="O951" s="29"/>
    </row>
    <row r="952" spans="1:15" x14ac:dyDescent="0.25">
      <c r="A952" s="4"/>
      <c r="B952" s="9"/>
      <c r="C952" s="52" t="str">
        <f t="shared" si="23"/>
        <v/>
      </c>
      <c r="D952" s="9"/>
      <c r="E952" s="29"/>
      <c r="F952" s="29"/>
      <c r="G952" s="30"/>
      <c r="H952" s="30"/>
      <c r="I952" s="9"/>
      <c r="J952" s="29"/>
      <c r="K952" s="29"/>
      <c r="L952" s="29"/>
      <c r="M952" s="29"/>
      <c r="N952" s="29"/>
      <c r="O952" s="29"/>
    </row>
    <row r="953" spans="1:15" x14ac:dyDescent="0.25">
      <c r="A953" s="4"/>
      <c r="B953" s="9"/>
      <c r="C953" s="52" t="str">
        <f t="shared" si="23"/>
        <v/>
      </c>
      <c r="D953" s="9"/>
      <c r="E953" s="29"/>
      <c r="F953" s="29"/>
      <c r="G953" s="30"/>
      <c r="H953" s="30"/>
      <c r="I953" s="9"/>
      <c r="J953" s="29"/>
      <c r="K953" s="29"/>
      <c r="L953" s="29"/>
      <c r="M953" s="29"/>
      <c r="N953" s="29"/>
      <c r="O953" s="29"/>
    </row>
    <row r="954" spans="1:15" x14ac:dyDescent="0.25">
      <c r="A954" s="4"/>
      <c r="B954" s="9"/>
      <c r="C954" s="52" t="str">
        <f t="shared" si="23"/>
        <v/>
      </c>
      <c r="D954" s="9"/>
      <c r="E954" s="29"/>
      <c r="F954" s="29"/>
      <c r="G954" s="30"/>
      <c r="H954" s="30"/>
      <c r="I954" s="9"/>
      <c r="J954" s="29"/>
      <c r="K954" s="29"/>
      <c r="L954" s="29"/>
      <c r="M954" s="29"/>
      <c r="N954" s="29"/>
      <c r="O954" s="29"/>
    </row>
    <row r="955" spans="1:15" x14ac:dyDescent="0.25">
      <c r="A955" s="4"/>
      <c r="B955" s="9"/>
      <c r="C955" s="52" t="str">
        <f t="shared" si="23"/>
        <v/>
      </c>
      <c r="D955" s="9"/>
      <c r="E955" s="29"/>
      <c r="F955" s="29"/>
      <c r="G955" s="30"/>
      <c r="H955" s="30"/>
      <c r="I955" s="9"/>
      <c r="J955" s="29"/>
      <c r="K955" s="29"/>
      <c r="L955" s="29"/>
      <c r="M955" s="29"/>
      <c r="N955" s="29"/>
      <c r="O955" s="29"/>
    </row>
    <row r="956" spans="1:15" x14ac:dyDescent="0.25">
      <c r="A956" s="4"/>
      <c r="B956" s="9"/>
      <c r="C956" s="52" t="str">
        <f t="shared" si="23"/>
        <v/>
      </c>
      <c r="D956" s="9"/>
      <c r="E956" s="29"/>
      <c r="F956" s="29"/>
      <c r="G956" s="30"/>
      <c r="H956" s="30"/>
      <c r="I956" s="9"/>
      <c r="J956" s="29"/>
      <c r="K956" s="29"/>
      <c r="L956" s="29"/>
      <c r="M956" s="29"/>
      <c r="N956" s="29"/>
      <c r="O956" s="29"/>
    </row>
    <row r="957" spans="1:15" x14ac:dyDescent="0.25">
      <c r="A957" s="4"/>
      <c r="B957" s="9"/>
      <c r="C957" s="52" t="str">
        <f t="shared" si="23"/>
        <v/>
      </c>
      <c r="D957" s="9"/>
      <c r="E957" s="29"/>
      <c r="F957" s="29"/>
      <c r="G957" s="30"/>
      <c r="H957" s="30"/>
      <c r="I957" s="9"/>
      <c r="J957" s="29"/>
      <c r="K957" s="29"/>
      <c r="L957" s="29"/>
      <c r="M957" s="29"/>
      <c r="N957" s="29"/>
      <c r="O957" s="29"/>
    </row>
    <row r="958" spans="1:15" x14ac:dyDescent="0.25">
      <c r="A958" s="4"/>
      <c r="B958" s="9"/>
      <c r="C958" s="52" t="str">
        <f t="shared" si="23"/>
        <v/>
      </c>
      <c r="D958" s="9"/>
      <c r="E958" s="29"/>
      <c r="F958" s="29"/>
      <c r="G958" s="30"/>
      <c r="H958" s="30"/>
      <c r="I958" s="9"/>
      <c r="J958" s="29"/>
      <c r="K958" s="29"/>
      <c r="L958" s="29"/>
      <c r="M958" s="29"/>
      <c r="N958" s="29"/>
      <c r="O958" s="29"/>
    </row>
    <row r="959" spans="1:15" x14ac:dyDescent="0.25">
      <c r="A959" s="4"/>
      <c r="B959" s="9"/>
      <c r="C959" s="52" t="str">
        <f t="shared" si="23"/>
        <v/>
      </c>
      <c r="D959" s="9"/>
      <c r="E959" s="29"/>
      <c r="F959" s="29"/>
      <c r="G959" s="30"/>
      <c r="H959" s="30"/>
      <c r="I959" s="9"/>
      <c r="J959" s="29"/>
      <c r="K959" s="29"/>
      <c r="L959" s="29"/>
      <c r="M959" s="29"/>
      <c r="N959" s="29"/>
      <c r="O959" s="29"/>
    </row>
    <row r="960" spans="1:15" x14ac:dyDescent="0.25">
      <c r="A960" s="4"/>
      <c r="B960" s="9"/>
      <c r="C960" s="52" t="str">
        <f t="shared" si="23"/>
        <v/>
      </c>
      <c r="D960" s="9"/>
      <c r="E960" s="29"/>
      <c r="F960" s="29"/>
      <c r="G960" s="30"/>
      <c r="H960" s="30"/>
      <c r="I960" s="9"/>
      <c r="J960" s="29"/>
      <c r="K960" s="29"/>
      <c r="L960" s="29"/>
      <c r="M960" s="29"/>
      <c r="N960" s="29"/>
      <c r="O960" s="29"/>
    </row>
    <row r="961" spans="1:15" x14ac:dyDescent="0.25">
      <c r="A961" s="4"/>
      <c r="B961" s="9"/>
      <c r="C961" s="52" t="str">
        <f t="shared" si="23"/>
        <v/>
      </c>
      <c r="D961" s="9"/>
      <c r="E961" s="29"/>
      <c r="F961" s="29"/>
      <c r="G961" s="30"/>
      <c r="H961" s="30"/>
      <c r="I961" s="9"/>
      <c r="J961" s="29"/>
      <c r="K961" s="29"/>
      <c r="L961" s="29"/>
      <c r="M961" s="29"/>
      <c r="N961" s="29"/>
      <c r="O961" s="29"/>
    </row>
    <row r="962" spans="1:15" x14ac:dyDescent="0.25">
      <c r="A962" s="4"/>
      <c r="B962" s="9"/>
      <c r="C962" s="52" t="str">
        <f t="shared" si="23"/>
        <v/>
      </c>
      <c r="D962" s="9"/>
      <c r="E962" s="29"/>
      <c r="F962" s="29"/>
      <c r="G962" s="30"/>
      <c r="H962" s="30"/>
      <c r="I962" s="9"/>
      <c r="J962" s="29"/>
      <c r="K962" s="29"/>
      <c r="L962" s="29"/>
      <c r="M962" s="29"/>
      <c r="N962" s="29"/>
      <c r="O962" s="29"/>
    </row>
    <row r="963" spans="1:15" x14ac:dyDescent="0.25">
      <c r="A963" s="4"/>
      <c r="B963" s="9"/>
      <c r="C963" s="52" t="str">
        <f t="shared" si="23"/>
        <v/>
      </c>
      <c r="D963" s="9"/>
      <c r="E963" s="29"/>
      <c r="F963" s="29"/>
      <c r="G963" s="30"/>
      <c r="H963" s="30"/>
      <c r="I963" s="9"/>
      <c r="J963" s="29"/>
      <c r="K963" s="29"/>
      <c r="L963" s="29"/>
      <c r="M963" s="29"/>
      <c r="N963" s="29"/>
      <c r="O963" s="29"/>
    </row>
    <row r="964" spans="1:15" x14ac:dyDescent="0.25">
      <c r="A964" s="4"/>
      <c r="B964" s="9"/>
      <c r="C964" s="52" t="str">
        <f t="shared" si="23"/>
        <v/>
      </c>
      <c r="D964" s="9"/>
      <c r="E964" s="29"/>
      <c r="F964" s="29"/>
      <c r="G964" s="30"/>
      <c r="H964" s="30"/>
      <c r="I964" s="9"/>
      <c r="J964" s="29"/>
      <c r="K964" s="29"/>
      <c r="L964" s="29"/>
      <c r="M964" s="29"/>
      <c r="N964" s="29"/>
      <c r="O964" s="29"/>
    </row>
    <row r="965" spans="1:15" x14ac:dyDescent="0.25">
      <c r="A965" s="4"/>
      <c r="B965" s="9"/>
      <c r="C965" s="52" t="str">
        <f t="shared" si="23"/>
        <v/>
      </c>
      <c r="D965" s="9"/>
      <c r="E965" s="29"/>
      <c r="F965" s="29"/>
      <c r="G965" s="30"/>
      <c r="H965" s="30"/>
      <c r="I965" s="9"/>
      <c r="J965" s="29"/>
      <c r="K965" s="29"/>
      <c r="L965" s="29"/>
      <c r="M965" s="29"/>
      <c r="N965" s="29"/>
      <c r="O965" s="29"/>
    </row>
    <row r="966" spans="1:15" x14ac:dyDescent="0.25">
      <c r="A966" s="4"/>
      <c r="B966" s="9"/>
      <c r="C966" s="52" t="str">
        <f t="shared" si="23"/>
        <v/>
      </c>
      <c r="D966" s="9"/>
      <c r="E966" s="29"/>
      <c r="F966" s="29"/>
      <c r="G966" s="30"/>
      <c r="H966" s="30"/>
      <c r="I966" s="9"/>
      <c r="J966" s="29"/>
      <c r="K966" s="29"/>
      <c r="L966" s="29"/>
      <c r="M966" s="29"/>
      <c r="N966" s="29"/>
      <c r="O966" s="29"/>
    </row>
    <row r="967" spans="1:15" x14ac:dyDescent="0.25">
      <c r="A967" s="4"/>
      <c r="B967" s="9"/>
      <c r="C967" s="52" t="str">
        <f t="shared" si="23"/>
        <v/>
      </c>
      <c r="D967" s="9"/>
      <c r="E967" s="29"/>
      <c r="F967" s="29"/>
      <c r="G967" s="30"/>
      <c r="H967" s="30"/>
      <c r="I967" s="9"/>
      <c r="J967" s="29"/>
      <c r="K967" s="29"/>
      <c r="L967" s="29"/>
      <c r="M967" s="29"/>
      <c r="N967" s="29"/>
      <c r="O967" s="29"/>
    </row>
    <row r="968" spans="1:15" x14ac:dyDescent="0.25">
      <c r="A968" s="4"/>
      <c r="B968" s="9"/>
      <c r="C968" s="52" t="str">
        <f t="shared" si="23"/>
        <v/>
      </c>
      <c r="D968" s="9"/>
      <c r="E968" s="29"/>
      <c r="F968" s="29"/>
      <c r="G968" s="30"/>
      <c r="H968" s="30"/>
      <c r="I968" s="9"/>
      <c r="J968" s="29"/>
      <c r="K968" s="29"/>
      <c r="L968" s="29"/>
      <c r="M968" s="29"/>
      <c r="N968" s="29"/>
      <c r="O968" s="29"/>
    </row>
    <row r="969" spans="1:15" x14ac:dyDescent="0.25">
      <c r="A969" s="4"/>
      <c r="B969" s="9"/>
      <c r="C969" s="52" t="str">
        <f t="shared" si="23"/>
        <v/>
      </c>
      <c r="D969" s="9"/>
      <c r="E969" s="29"/>
      <c r="F969" s="29"/>
      <c r="G969" s="30"/>
      <c r="H969" s="30"/>
      <c r="I969" s="9"/>
      <c r="J969" s="29"/>
      <c r="K969" s="29"/>
      <c r="L969" s="29"/>
      <c r="M969" s="29"/>
      <c r="N969" s="29"/>
      <c r="O969" s="29"/>
    </row>
    <row r="970" spans="1:15" x14ac:dyDescent="0.25">
      <c r="A970" s="4"/>
      <c r="B970" s="9"/>
      <c r="C970" s="52" t="str">
        <f t="shared" si="23"/>
        <v/>
      </c>
      <c r="D970" s="9"/>
      <c r="E970" s="29"/>
      <c r="F970" s="29"/>
      <c r="G970" s="30"/>
      <c r="H970" s="30"/>
      <c r="I970" s="9"/>
      <c r="J970" s="29"/>
      <c r="K970" s="29"/>
      <c r="L970" s="29"/>
      <c r="M970" s="29"/>
      <c r="N970" s="29"/>
      <c r="O970" s="29"/>
    </row>
    <row r="971" spans="1:15" x14ac:dyDescent="0.25">
      <c r="A971" s="4"/>
      <c r="B971" s="9"/>
      <c r="C971" s="52" t="str">
        <f t="shared" si="23"/>
        <v/>
      </c>
      <c r="D971" s="9"/>
      <c r="E971" s="29"/>
      <c r="F971" s="29"/>
      <c r="G971" s="30"/>
      <c r="H971" s="30"/>
      <c r="I971" s="9"/>
      <c r="J971" s="29"/>
      <c r="K971" s="29"/>
      <c r="L971" s="29"/>
      <c r="M971" s="29"/>
      <c r="N971" s="29"/>
      <c r="O971" s="29"/>
    </row>
    <row r="972" spans="1:15" x14ac:dyDescent="0.25">
      <c r="A972" s="4"/>
      <c r="B972" s="9"/>
      <c r="C972" s="52" t="str">
        <f t="shared" si="23"/>
        <v/>
      </c>
      <c r="D972" s="9"/>
      <c r="E972" s="29"/>
      <c r="F972" s="29"/>
      <c r="G972" s="30"/>
      <c r="H972" s="30"/>
      <c r="I972" s="9"/>
      <c r="J972" s="29"/>
      <c r="K972" s="29"/>
      <c r="L972" s="29"/>
      <c r="M972" s="29"/>
      <c r="N972" s="29"/>
      <c r="O972" s="29"/>
    </row>
    <row r="973" spans="1:15" x14ac:dyDescent="0.25">
      <c r="A973" s="4"/>
      <c r="B973" s="9"/>
      <c r="C973" s="52" t="str">
        <f t="shared" si="23"/>
        <v/>
      </c>
      <c r="D973" s="9"/>
      <c r="E973" s="29"/>
      <c r="F973" s="29"/>
      <c r="G973" s="30"/>
      <c r="H973" s="30"/>
      <c r="I973" s="9"/>
      <c r="J973" s="29"/>
      <c r="K973" s="29"/>
      <c r="L973" s="29"/>
      <c r="M973" s="29"/>
      <c r="N973" s="29"/>
      <c r="O973" s="29"/>
    </row>
    <row r="974" spans="1:15" x14ac:dyDescent="0.25">
      <c r="A974" s="4"/>
      <c r="B974" s="9"/>
      <c r="C974" s="52" t="str">
        <f t="shared" si="23"/>
        <v/>
      </c>
      <c r="D974" s="9"/>
      <c r="E974" s="29"/>
      <c r="F974" s="29"/>
      <c r="G974" s="30"/>
      <c r="H974" s="30"/>
      <c r="I974" s="9"/>
      <c r="J974" s="29"/>
      <c r="K974" s="29"/>
      <c r="L974" s="29"/>
      <c r="M974" s="29"/>
      <c r="N974" s="29"/>
      <c r="O974" s="29"/>
    </row>
    <row r="975" spans="1:15" x14ac:dyDescent="0.25">
      <c r="A975" s="4"/>
      <c r="B975" s="9"/>
      <c r="C975" s="52" t="str">
        <f t="shared" si="23"/>
        <v/>
      </c>
      <c r="D975" s="9"/>
      <c r="E975" s="29"/>
      <c r="F975" s="29"/>
      <c r="G975" s="30"/>
      <c r="H975" s="30"/>
      <c r="I975" s="9"/>
      <c r="J975" s="29"/>
      <c r="K975" s="29"/>
      <c r="L975" s="29"/>
      <c r="M975" s="29"/>
      <c r="N975" s="29"/>
      <c r="O975" s="29"/>
    </row>
    <row r="976" spans="1:15" x14ac:dyDescent="0.25">
      <c r="A976" s="4"/>
      <c r="B976" s="9"/>
      <c r="C976" s="52" t="str">
        <f t="shared" si="23"/>
        <v/>
      </c>
      <c r="D976" s="9"/>
      <c r="E976" s="29"/>
      <c r="F976" s="29"/>
      <c r="G976" s="30"/>
      <c r="H976" s="30"/>
      <c r="I976" s="9"/>
      <c r="J976" s="29"/>
      <c r="K976" s="29"/>
      <c r="L976" s="29"/>
      <c r="M976" s="29"/>
      <c r="N976" s="29"/>
      <c r="O976" s="29"/>
    </row>
    <row r="977" spans="1:15" x14ac:dyDescent="0.25">
      <c r="A977" s="4"/>
      <c r="B977" s="9"/>
      <c r="C977" s="52" t="str">
        <f t="shared" si="23"/>
        <v/>
      </c>
      <c r="D977" s="9"/>
      <c r="E977" s="29"/>
      <c r="F977" s="29"/>
      <c r="G977" s="30"/>
      <c r="H977" s="30"/>
      <c r="I977" s="9"/>
      <c r="J977" s="29"/>
      <c r="K977" s="29"/>
      <c r="L977" s="29"/>
      <c r="M977" s="29"/>
      <c r="N977" s="29"/>
      <c r="O977" s="29"/>
    </row>
    <row r="978" spans="1:15" x14ac:dyDescent="0.25">
      <c r="A978" s="4"/>
      <c r="B978" s="9"/>
      <c r="C978" s="52" t="str">
        <f t="shared" si="23"/>
        <v/>
      </c>
      <c r="D978" s="9"/>
      <c r="E978" s="29"/>
      <c r="F978" s="29"/>
      <c r="G978" s="30"/>
      <c r="H978" s="30"/>
      <c r="I978" s="9"/>
      <c r="J978" s="29"/>
      <c r="K978" s="29"/>
      <c r="L978" s="29"/>
      <c r="M978" s="29"/>
      <c r="N978" s="29"/>
      <c r="O978" s="29"/>
    </row>
    <row r="979" spans="1:15" x14ac:dyDescent="0.25">
      <c r="A979" s="4"/>
      <c r="B979" s="9"/>
      <c r="C979" s="52" t="str">
        <f t="shared" ref="C979:C1018" si="24">IF(ISBLANK(D979), "", CONCATENATE(D979,E979,"_",F979,"_",L979))</f>
        <v/>
      </c>
      <c r="D979" s="9"/>
      <c r="E979" s="29"/>
      <c r="F979" s="29"/>
      <c r="G979" s="30"/>
      <c r="H979" s="30"/>
      <c r="I979" s="9"/>
      <c r="J979" s="29"/>
      <c r="K979" s="29"/>
      <c r="L979" s="29"/>
      <c r="M979" s="29"/>
      <c r="N979" s="29"/>
      <c r="O979" s="29"/>
    </row>
    <row r="980" spans="1:15" x14ac:dyDescent="0.25">
      <c r="A980" s="4"/>
      <c r="B980" s="9"/>
      <c r="C980" s="52" t="str">
        <f t="shared" si="24"/>
        <v/>
      </c>
      <c r="D980" s="9"/>
      <c r="E980" s="29"/>
      <c r="F980" s="29"/>
      <c r="G980" s="30"/>
      <c r="H980" s="30"/>
      <c r="I980" s="9"/>
      <c r="J980" s="29"/>
      <c r="K980" s="29"/>
      <c r="L980" s="29"/>
      <c r="M980" s="29"/>
      <c r="N980" s="29"/>
      <c r="O980" s="29"/>
    </row>
    <row r="981" spans="1:15" x14ac:dyDescent="0.25">
      <c r="A981" s="4"/>
      <c r="B981" s="9"/>
      <c r="C981" s="52" t="str">
        <f t="shared" si="24"/>
        <v/>
      </c>
      <c r="D981" s="9"/>
      <c r="E981" s="29"/>
      <c r="F981" s="29"/>
      <c r="G981" s="30"/>
      <c r="H981" s="30"/>
      <c r="I981" s="9"/>
      <c r="J981" s="29"/>
      <c r="K981" s="29"/>
      <c r="L981" s="29"/>
      <c r="M981" s="29"/>
      <c r="N981" s="29"/>
      <c r="O981" s="29"/>
    </row>
    <row r="982" spans="1:15" x14ac:dyDescent="0.25">
      <c r="A982" s="4"/>
      <c r="B982" s="9"/>
      <c r="C982" s="52" t="str">
        <f t="shared" si="24"/>
        <v/>
      </c>
      <c r="D982" s="9"/>
      <c r="E982" s="29"/>
      <c r="F982" s="29"/>
      <c r="G982" s="30"/>
      <c r="H982" s="30"/>
      <c r="I982" s="9"/>
      <c r="J982" s="29"/>
      <c r="K982" s="29"/>
      <c r="L982" s="29"/>
      <c r="M982" s="29"/>
      <c r="N982" s="29"/>
      <c r="O982" s="29"/>
    </row>
    <row r="983" spans="1:15" x14ac:dyDescent="0.25">
      <c r="A983" s="4"/>
      <c r="B983" s="9"/>
      <c r="C983" s="52" t="str">
        <f t="shared" si="24"/>
        <v/>
      </c>
      <c r="D983" s="9"/>
      <c r="E983" s="29"/>
      <c r="F983" s="29"/>
      <c r="G983" s="30"/>
      <c r="H983" s="30"/>
      <c r="I983" s="9"/>
      <c r="J983" s="29"/>
      <c r="K983" s="29"/>
      <c r="L983" s="29"/>
      <c r="M983" s="29"/>
      <c r="N983" s="29"/>
      <c r="O983" s="29"/>
    </row>
    <row r="984" spans="1:15" x14ac:dyDescent="0.25">
      <c r="A984" s="4"/>
      <c r="B984" s="9"/>
      <c r="C984" s="52" t="str">
        <f t="shared" si="24"/>
        <v/>
      </c>
      <c r="D984" s="9"/>
      <c r="E984" s="29"/>
      <c r="F984" s="29"/>
      <c r="G984" s="30"/>
      <c r="H984" s="30"/>
      <c r="I984" s="9"/>
      <c r="J984" s="29"/>
      <c r="K984" s="29"/>
      <c r="L984" s="29"/>
      <c r="M984" s="29"/>
      <c r="N984" s="29"/>
      <c r="O984" s="29"/>
    </row>
    <row r="985" spans="1:15" x14ac:dyDescent="0.25">
      <c r="A985" s="4"/>
      <c r="B985" s="9"/>
      <c r="C985" s="52" t="str">
        <f t="shared" si="24"/>
        <v/>
      </c>
      <c r="D985" s="9"/>
      <c r="E985" s="29"/>
      <c r="F985" s="29"/>
      <c r="G985" s="30"/>
      <c r="H985" s="30"/>
      <c r="I985" s="9"/>
      <c r="J985" s="29"/>
      <c r="K985" s="29"/>
      <c r="L985" s="29"/>
      <c r="M985" s="29"/>
      <c r="N985" s="29"/>
      <c r="O985" s="29"/>
    </row>
    <row r="986" spans="1:15" x14ac:dyDescent="0.25">
      <c r="A986" s="4"/>
      <c r="B986" s="9"/>
      <c r="C986" s="52" t="str">
        <f t="shared" si="24"/>
        <v/>
      </c>
      <c r="D986" s="9"/>
      <c r="E986" s="29"/>
      <c r="F986" s="29"/>
      <c r="G986" s="30"/>
      <c r="H986" s="30"/>
      <c r="I986" s="9"/>
      <c r="J986" s="29"/>
      <c r="K986" s="29"/>
      <c r="L986" s="29"/>
      <c r="M986" s="29"/>
      <c r="N986" s="29"/>
      <c r="O986" s="29"/>
    </row>
    <row r="987" spans="1:15" x14ac:dyDescent="0.25">
      <c r="A987" s="4"/>
      <c r="B987" s="9"/>
      <c r="C987" s="52" t="str">
        <f t="shared" si="24"/>
        <v/>
      </c>
      <c r="D987" s="9"/>
      <c r="E987" s="29"/>
      <c r="F987" s="29"/>
      <c r="G987" s="30"/>
      <c r="H987" s="30"/>
      <c r="I987" s="9"/>
      <c r="J987" s="29"/>
      <c r="K987" s="29"/>
      <c r="L987" s="29"/>
      <c r="M987" s="29"/>
      <c r="N987" s="29"/>
      <c r="O987" s="29"/>
    </row>
    <row r="988" spans="1:15" x14ac:dyDescent="0.25">
      <c r="A988" s="4"/>
      <c r="B988" s="9"/>
      <c r="C988" s="52" t="str">
        <f t="shared" si="24"/>
        <v/>
      </c>
      <c r="D988" s="9"/>
      <c r="E988" s="29"/>
      <c r="F988" s="29"/>
      <c r="G988" s="30"/>
      <c r="H988" s="30"/>
      <c r="I988" s="9"/>
      <c r="J988" s="29"/>
      <c r="K988" s="29"/>
      <c r="L988" s="29"/>
      <c r="M988" s="29"/>
      <c r="N988" s="29"/>
      <c r="O988" s="29"/>
    </row>
    <row r="989" spans="1:15" x14ac:dyDescent="0.25">
      <c r="A989" s="4"/>
      <c r="B989" s="9"/>
      <c r="C989" s="52" t="str">
        <f t="shared" si="24"/>
        <v/>
      </c>
      <c r="D989" s="9"/>
      <c r="E989" s="29"/>
      <c r="F989" s="29"/>
      <c r="G989" s="30"/>
      <c r="H989" s="30"/>
      <c r="I989" s="9"/>
      <c r="J989" s="29"/>
      <c r="K989" s="29"/>
      <c r="L989" s="29"/>
      <c r="M989" s="29"/>
      <c r="N989" s="29"/>
      <c r="O989" s="29"/>
    </row>
    <row r="990" spans="1:15" x14ac:dyDescent="0.25">
      <c r="A990" s="4"/>
      <c r="B990" s="9"/>
      <c r="C990" s="52" t="str">
        <f t="shared" si="24"/>
        <v/>
      </c>
      <c r="D990" s="9"/>
      <c r="E990" s="29"/>
      <c r="F990" s="29"/>
      <c r="G990" s="30"/>
      <c r="H990" s="30"/>
      <c r="I990" s="9"/>
      <c r="J990" s="29"/>
      <c r="K990" s="29"/>
      <c r="L990" s="29"/>
      <c r="M990" s="29"/>
      <c r="N990" s="29"/>
      <c r="O990" s="29"/>
    </row>
    <row r="991" spans="1:15" x14ac:dyDescent="0.25">
      <c r="A991" s="4"/>
      <c r="B991" s="9"/>
      <c r="C991" s="52" t="str">
        <f t="shared" si="24"/>
        <v/>
      </c>
      <c r="D991" s="9"/>
      <c r="E991" s="29"/>
      <c r="F991" s="29"/>
      <c r="G991" s="30"/>
      <c r="H991" s="30"/>
      <c r="I991" s="9"/>
      <c r="J991" s="29"/>
      <c r="K991" s="29"/>
      <c r="L991" s="29"/>
      <c r="M991" s="29"/>
      <c r="N991" s="29"/>
      <c r="O991" s="29"/>
    </row>
    <row r="992" spans="1:15" x14ac:dyDescent="0.25">
      <c r="A992" s="4"/>
      <c r="B992" s="9"/>
      <c r="C992" s="52" t="str">
        <f t="shared" si="24"/>
        <v/>
      </c>
      <c r="D992" s="9"/>
      <c r="E992" s="29"/>
      <c r="F992" s="29"/>
      <c r="G992" s="30"/>
      <c r="H992" s="30"/>
      <c r="I992" s="9"/>
      <c r="J992" s="29"/>
      <c r="K992" s="29"/>
      <c r="L992" s="29"/>
      <c r="M992" s="29"/>
      <c r="N992" s="29"/>
      <c r="O992" s="29"/>
    </row>
    <row r="993" spans="1:15" x14ac:dyDescent="0.25">
      <c r="A993" s="4"/>
      <c r="B993" s="9"/>
      <c r="C993" s="52" t="str">
        <f t="shared" si="24"/>
        <v/>
      </c>
      <c r="D993" s="9"/>
      <c r="E993" s="29"/>
      <c r="F993" s="29"/>
      <c r="G993" s="30"/>
      <c r="H993" s="30"/>
      <c r="I993" s="9"/>
      <c r="J993" s="29"/>
      <c r="K993" s="29"/>
      <c r="L993" s="29"/>
      <c r="M993" s="29"/>
      <c r="N993" s="29"/>
      <c r="O993" s="29"/>
    </row>
    <row r="994" spans="1:15" x14ac:dyDescent="0.25">
      <c r="A994" s="4"/>
      <c r="B994" s="9"/>
      <c r="C994" s="52" t="str">
        <f t="shared" si="24"/>
        <v/>
      </c>
      <c r="D994" s="9"/>
      <c r="E994" s="29"/>
      <c r="F994" s="29"/>
      <c r="G994" s="30"/>
      <c r="H994" s="30"/>
      <c r="I994" s="9"/>
      <c r="J994" s="29"/>
      <c r="K994" s="29"/>
      <c r="L994" s="29"/>
      <c r="M994" s="29"/>
      <c r="N994" s="29"/>
      <c r="O994" s="29"/>
    </row>
    <row r="995" spans="1:15" x14ac:dyDescent="0.25">
      <c r="A995" s="4"/>
      <c r="B995" s="9"/>
      <c r="C995" s="52" t="str">
        <f t="shared" si="24"/>
        <v/>
      </c>
      <c r="D995" s="9"/>
      <c r="E995" s="29"/>
      <c r="F995" s="29"/>
      <c r="G995" s="30"/>
      <c r="H995" s="30"/>
      <c r="I995" s="9"/>
      <c r="J995" s="29"/>
      <c r="K995" s="29"/>
      <c r="L995" s="29"/>
      <c r="M995" s="29"/>
      <c r="N995" s="29"/>
      <c r="O995" s="29"/>
    </row>
    <row r="996" spans="1:15" x14ac:dyDescent="0.25">
      <c r="A996" s="4"/>
      <c r="B996" s="9"/>
      <c r="C996" s="52" t="str">
        <f t="shared" si="24"/>
        <v/>
      </c>
      <c r="D996" s="9"/>
      <c r="E996" s="29"/>
      <c r="F996" s="29"/>
      <c r="G996" s="30"/>
      <c r="H996" s="30"/>
      <c r="I996" s="9"/>
      <c r="J996" s="29"/>
      <c r="K996" s="29"/>
      <c r="L996" s="29"/>
      <c r="M996" s="29"/>
      <c r="N996" s="29"/>
      <c r="O996" s="29"/>
    </row>
    <row r="997" spans="1:15" x14ac:dyDescent="0.25">
      <c r="A997" s="4"/>
      <c r="B997" s="9"/>
      <c r="C997" s="52" t="str">
        <f t="shared" si="24"/>
        <v/>
      </c>
      <c r="D997" s="9"/>
      <c r="E997" s="29"/>
      <c r="F997" s="29"/>
      <c r="G997" s="30"/>
      <c r="H997" s="30"/>
      <c r="I997" s="9"/>
      <c r="J997" s="29"/>
      <c r="K997" s="29"/>
      <c r="L997" s="29"/>
      <c r="M997" s="29"/>
      <c r="N997" s="29"/>
      <c r="O997" s="29"/>
    </row>
    <row r="998" spans="1:15" x14ac:dyDescent="0.25">
      <c r="A998" s="4"/>
      <c r="B998" s="9"/>
      <c r="C998" s="52" t="str">
        <f t="shared" si="24"/>
        <v/>
      </c>
      <c r="D998" s="9"/>
      <c r="E998" s="29"/>
      <c r="F998" s="29"/>
      <c r="G998" s="30"/>
      <c r="H998" s="30"/>
      <c r="I998" s="9"/>
      <c r="J998" s="29"/>
      <c r="K998" s="29"/>
      <c r="L998" s="29"/>
      <c r="M998" s="29"/>
      <c r="N998" s="29"/>
      <c r="O998" s="29"/>
    </row>
    <row r="999" spans="1:15" x14ac:dyDescent="0.25">
      <c r="A999" s="4"/>
      <c r="B999" s="9"/>
      <c r="C999" s="52" t="str">
        <f t="shared" si="24"/>
        <v/>
      </c>
      <c r="D999" s="9"/>
      <c r="E999" s="29"/>
      <c r="F999" s="29"/>
      <c r="G999" s="30"/>
      <c r="H999" s="30"/>
      <c r="I999" s="9"/>
      <c r="J999" s="29"/>
      <c r="K999" s="29"/>
      <c r="L999" s="29"/>
      <c r="M999" s="29"/>
      <c r="N999" s="29"/>
      <c r="O999" s="29"/>
    </row>
    <row r="1000" spans="1:15" x14ac:dyDescent="0.25">
      <c r="A1000" s="4"/>
      <c r="B1000" s="9"/>
      <c r="C1000" s="52" t="str">
        <f t="shared" si="24"/>
        <v/>
      </c>
      <c r="D1000" s="9"/>
      <c r="E1000" s="29"/>
      <c r="F1000" s="29"/>
      <c r="G1000" s="30"/>
      <c r="H1000" s="30"/>
      <c r="I1000" s="9"/>
      <c r="J1000" s="29"/>
      <c r="K1000" s="29"/>
      <c r="L1000" s="29"/>
      <c r="M1000" s="29"/>
      <c r="N1000" s="29"/>
      <c r="O1000" s="29"/>
    </row>
    <row r="1001" spans="1:15" x14ac:dyDescent="0.25">
      <c r="A1001" s="4"/>
      <c r="B1001" s="9"/>
      <c r="C1001" s="52" t="str">
        <f t="shared" si="24"/>
        <v/>
      </c>
      <c r="D1001" s="9"/>
      <c r="E1001" s="29"/>
      <c r="F1001" s="29"/>
      <c r="G1001" s="30"/>
      <c r="H1001" s="30"/>
      <c r="I1001" s="9"/>
      <c r="J1001" s="29"/>
      <c r="K1001" s="29"/>
      <c r="L1001" s="29"/>
      <c r="M1001" s="29"/>
      <c r="N1001" s="29"/>
      <c r="O1001" s="29"/>
    </row>
    <row r="1002" spans="1:15" x14ac:dyDescent="0.25">
      <c r="A1002" s="4"/>
      <c r="B1002" s="9"/>
      <c r="C1002" s="52" t="str">
        <f t="shared" si="24"/>
        <v/>
      </c>
      <c r="D1002" s="9"/>
      <c r="E1002" s="29"/>
      <c r="F1002" s="29"/>
      <c r="G1002" s="30"/>
      <c r="H1002" s="30"/>
      <c r="I1002" s="9"/>
      <c r="J1002" s="29"/>
      <c r="K1002" s="29"/>
      <c r="L1002" s="29"/>
      <c r="M1002" s="29"/>
      <c r="N1002" s="29"/>
      <c r="O1002" s="29"/>
    </row>
    <row r="1003" spans="1:15" x14ac:dyDescent="0.25">
      <c r="A1003" s="4"/>
      <c r="B1003" s="9"/>
      <c r="C1003" s="52" t="str">
        <f t="shared" si="24"/>
        <v/>
      </c>
      <c r="D1003" s="9"/>
      <c r="E1003" s="29"/>
      <c r="F1003" s="29"/>
      <c r="G1003" s="30"/>
      <c r="H1003" s="30"/>
      <c r="I1003" s="9"/>
      <c r="J1003" s="29"/>
      <c r="K1003" s="29"/>
      <c r="L1003" s="29"/>
      <c r="M1003" s="29"/>
      <c r="N1003" s="29"/>
      <c r="O1003" s="29"/>
    </row>
    <row r="1004" spans="1:15" x14ac:dyDescent="0.25">
      <c r="A1004" s="4"/>
      <c r="B1004" s="9"/>
      <c r="C1004" s="52" t="str">
        <f t="shared" si="24"/>
        <v/>
      </c>
      <c r="D1004" s="9"/>
      <c r="E1004" s="29"/>
      <c r="F1004" s="29"/>
      <c r="G1004" s="30"/>
      <c r="H1004" s="30"/>
      <c r="I1004" s="9"/>
      <c r="J1004" s="29"/>
      <c r="K1004" s="29"/>
      <c r="L1004" s="29"/>
      <c r="M1004" s="29"/>
      <c r="N1004" s="29"/>
      <c r="O1004" s="29"/>
    </row>
    <row r="1005" spans="1:15" x14ac:dyDescent="0.25">
      <c r="A1005" s="4"/>
      <c r="B1005" s="9"/>
      <c r="C1005" s="52" t="str">
        <f t="shared" si="24"/>
        <v/>
      </c>
      <c r="D1005" s="9"/>
      <c r="E1005" s="29"/>
      <c r="F1005" s="29"/>
      <c r="G1005" s="30"/>
      <c r="H1005" s="30"/>
      <c r="I1005" s="9"/>
      <c r="J1005" s="29"/>
      <c r="K1005" s="29"/>
      <c r="L1005" s="29"/>
      <c r="M1005" s="29"/>
      <c r="N1005" s="29"/>
      <c r="O1005" s="29"/>
    </row>
    <row r="1006" spans="1:15" x14ac:dyDescent="0.25">
      <c r="A1006" s="4"/>
      <c r="B1006" s="9"/>
      <c r="C1006" s="52" t="str">
        <f t="shared" si="24"/>
        <v/>
      </c>
      <c r="D1006" s="9"/>
      <c r="E1006" s="29"/>
      <c r="F1006" s="29"/>
      <c r="G1006" s="30"/>
      <c r="H1006" s="30"/>
      <c r="I1006" s="9"/>
      <c r="J1006" s="29"/>
      <c r="K1006" s="29"/>
      <c r="L1006" s="29"/>
      <c r="M1006" s="29"/>
      <c r="N1006" s="29"/>
      <c r="O1006" s="29"/>
    </row>
    <row r="1007" spans="1:15" x14ac:dyDescent="0.25">
      <c r="A1007" s="4"/>
      <c r="B1007" s="9"/>
      <c r="C1007" s="52" t="str">
        <f t="shared" si="24"/>
        <v/>
      </c>
      <c r="D1007" s="9"/>
      <c r="E1007" s="29"/>
      <c r="F1007" s="29"/>
      <c r="G1007" s="30"/>
      <c r="H1007" s="30"/>
      <c r="I1007" s="9"/>
      <c r="J1007" s="29"/>
      <c r="K1007" s="29"/>
      <c r="L1007" s="29"/>
      <c r="M1007" s="29"/>
      <c r="N1007" s="29"/>
      <c r="O1007" s="29"/>
    </row>
    <row r="1008" spans="1:15" x14ac:dyDescent="0.25">
      <c r="A1008" s="4"/>
      <c r="B1008" s="9"/>
      <c r="C1008" s="52" t="str">
        <f t="shared" si="24"/>
        <v/>
      </c>
      <c r="D1008" s="9"/>
      <c r="E1008" s="29"/>
      <c r="F1008" s="29"/>
      <c r="G1008" s="30"/>
      <c r="H1008" s="30"/>
      <c r="I1008" s="9"/>
      <c r="J1008" s="29"/>
      <c r="K1008" s="29"/>
      <c r="L1008" s="29"/>
      <c r="M1008" s="29"/>
      <c r="N1008" s="29"/>
      <c r="O1008" s="29"/>
    </row>
    <row r="1009" spans="1:15" x14ac:dyDescent="0.25">
      <c r="A1009" s="4"/>
      <c r="B1009" s="9"/>
      <c r="C1009" s="52" t="str">
        <f t="shared" si="24"/>
        <v/>
      </c>
      <c r="D1009" s="9"/>
      <c r="E1009" s="29"/>
      <c r="F1009" s="29"/>
      <c r="G1009" s="30"/>
      <c r="H1009" s="30"/>
      <c r="I1009" s="9"/>
      <c r="J1009" s="29"/>
      <c r="K1009" s="29"/>
      <c r="L1009" s="29"/>
      <c r="M1009" s="29"/>
      <c r="N1009" s="29"/>
      <c r="O1009" s="29"/>
    </row>
    <row r="1010" spans="1:15" x14ac:dyDescent="0.25">
      <c r="A1010" s="4"/>
      <c r="B1010" s="9"/>
      <c r="C1010" s="52" t="str">
        <f t="shared" si="24"/>
        <v/>
      </c>
      <c r="D1010" s="9"/>
      <c r="E1010" s="29"/>
      <c r="F1010" s="29"/>
      <c r="G1010" s="30"/>
      <c r="H1010" s="30"/>
      <c r="I1010" s="9"/>
      <c r="J1010" s="29"/>
      <c r="K1010" s="29"/>
      <c r="L1010" s="29"/>
      <c r="M1010" s="29"/>
      <c r="N1010" s="29"/>
      <c r="O1010" s="29"/>
    </row>
    <row r="1011" spans="1:15" x14ac:dyDescent="0.25">
      <c r="A1011" s="4"/>
      <c r="B1011" s="9"/>
      <c r="C1011" s="52" t="str">
        <f t="shared" si="24"/>
        <v/>
      </c>
      <c r="D1011" s="9"/>
      <c r="E1011" s="29"/>
      <c r="F1011" s="29"/>
      <c r="G1011" s="30"/>
      <c r="H1011" s="30"/>
      <c r="I1011" s="9"/>
      <c r="J1011" s="29"/>
      <c r="K1011" s="29"/>
      <c r="L1011" s="29"/>
      <c r="M1011" s="29"/>
      <c r="N1011" s="29"/>
      <c r="O1011" s="29"/>
    </row>
    <row r="1012" spans="1:15" x14ac:dyDescent="0.25">
      <c r="A1012" s="4"/>
      <c r="B1012" s="9"/>
      <c r="C1012" s="52" t="str">
        <f t="shared" si="24"/>
        <v/>
      </c>
      <c r="D1012" s="9"/>
      <c r="E1012" s="29"/>
      <c r="F1012" s="29"/>
      <c r="G1012" s="30"/>
      <c r="H1012" s="30"/>
      <c r="I1012" s="9"/>
      <c r="J1012" s="29"/>
      <c r="K1012" s="29"/>
      <c r="L1012" s="29"/>
      <c r="M1012" s="29"/>
      <c r="N1012" s="29"/>
      <c r="O1012" s="29"/>
    </row>
    <row r="1013" spans="1:15" x14ac:dyDescent="0.25">
      <c r="A1013" s="4"/>
      <c r="B1013" s="9"/>
      <c r="C1013" s="52" t="str">
        <f t="shared" si="24"/>
        <v/>
      </c>
      <c r="D1013" s="9"/>
      <c r="E1013" s="29"/>
      <c r="F1013" s="29"/>
      <c r="G1013" s="30"/>
      <c r="H1013" s="30"/>
      <c r="I1013" s="9"/>
      <c r="J1013" s="29"/>
      <c r="K1013" s="29"/>
      <c r="L1013" s="29"/>
      <c r="M1013" s="29"/>
      <c r="N1013" s="29"/>
      <c r="O1013" s="29"/>
    </row>
    <row r="1014" spans="1:15" x14ac:dyDescent="0.25">
      <c r="A1014" s="4"/>
      <c r="B1014" s="9"/>
      <c r="C1014" s="52" t="str">
        <f t="shared" si="24"/>
        <v/>
      </c>
      <c r="D1014" s="9"/>
      <c r="E1014" s="29"/>
      <c r="F1014" s="29"/>
      <c r="G1014" s="30"/>
      <c r="H1014" s="30"/>
      <c r="I1014" s="9"/>
      <c r="J1014" s="29"/>
      <c r="K1014" s="29"/>
      <c r="L1014" s="29"/>
      <c r="M1014" s="29"/>
      <c r="N1014" s="29"/>
      <c r="O1014" s="29"/>
    </row>
    <row r="1015" spans="1:15" x14ac:dyDescent="0.25">
      <c r="A1015" s="4"/>
      <c r="B1015" s="9"/>
      <c r="C1015" s="52" t="str">
        <f t="shared" si="24"/>
        <v/>
      </c>
      <c r="D1015" s="9"/>
      <c r="E1015" s="29"/>
      <c r="F1015" s="29"/>
      <c r="G1015" s="30"/>
      <c r="H1015" s="30"/>
      <c r="I1015" s="9"/>
      <c r="J1015" s="29"/>
      <c r="K1015" s="29"/>
      <c r="L1015" s="29"/>
      <c r="M1015" s="29"/>
      <c r="N1015" s="29"/>
      <c r="O1015" s="29"/>
    </row>
    <row r="1016" spans="1:15" x14ac:dyDescent="0.25">
      <c r="A1016" s="4"/>
      <c r="B1016" s="9"/>
      <c r="C1016" s="52" t="str">
        <f t="shared" si="24"/>
        <v/>
      </c>
      <c r="D1016" s="9"/>
      <c r="E1016" s="29"/>
      <c r="F1016" s="29"/>
      <c r="G1016" s="30"/>
      <c r="H1016" s="30"/>
      <c r="I1016" s="9"/>
      <c r="J1016" s="29"/>
      <c r="K1016" s="29"/>
      <c r="L1016" s="29"/>
      <c r="M1016" s="29"/>
      <c r="N1016" s="29"/>
      <c r="O1016" s="29"/>
    </row>
    <row r="1017" spans="1:15" x14ac:dyDescent="0.25">
      <c r="A1017" s="4"/>
      <c r="B1017" s="9"/>
      <c r="C1017" s="52" t="str">
        <f t="shared" si="24"/>
        <v/>
      </c>
      <c r="D1017" s="9"/>
      <c r="E1017" s="29"/>
      <c r="F1017" s="29"/>
      <c r="G1017" s="30"/>
      <c r="H1017" s="30"/>
      <c r="I1017" s="9"/>
      <c r="J1017" s="29"/>
      <c r="K1017" s="29"/>
      <c r="L1017" s="29"/>
      <c r="M1017" s="29"/>
      <c r="N1017" s="29"/>
      <c r="O1017" s="29"/>
    </row>
    <row r="1018" spans="1:15" x14ac:dyDescent="0.25">
      <c r="A1018" s="14"/>
      <c r="B1018" s="9"/>
      <c r="C1018" s="52" t="str">
        <f t="shared" si="24"/>
        <v/>
      </c>
      <c r="D1018" s="9"/>
      <c r="E1018" s="29"/>
      <c r="F1018" s="29"/>
      <c r="G1018" s="30"/>
      <c r="H1018" s="30"/>
      <c r="I1018" s="9"/>
      <c r="J1018" s="29"/>
      <c r="K1018" s="29"/>
      <c r="L1018" s="29"/>
      <c r="M1018" s="29"/>
      <c r="N1018" s="29"/>
      <c r="O1018" s="29"/>
    </row>
    <row r="1019" spans="1:15" s="17" customFormat="1" x14ac:dyDescent="0.25">
      <c r="A1019"/>
      <c r="C1019" s="31"/>
    </row>
    <row r="1020" spans="1:15" x14ac:dyDescent="0.25">
      <c r="E1020" s="17"/>
      <c r="F1020" s="17"/>
      <c r="G1020" s="17"/>
      <c r="H1020" s="17"/>
      <c r="J1020" s="17"/>
      <c r="K1020" s="17"/>
      <c r="L1020" s="17"/>
      <c r="M1020" s="17"/>
      <c r="N1020" s="17"/>
      <c r="O1020" s="17"/>
    </row>
    <row r="1021" spans="1:15" x14ac:dyDescent="0.25">
      <c r="E1021" s="17"/>
      <c r="F1021" s="17"/>
      <c r="G1021" s="17"/>
      <c r="H1021" s="17"/>
      <c r="J1021" s="17"/>
      <c r="K1021" s="17"/>
      <c r="L1021" s="17"/>
      <c r="M1021" s="17"/>
      <c r="N1021" s="17"/>
      <c r="O1021" s="17"/>
    </row>
    <row r="1022" spans="1:15" x14ac:dyDescent="0.25">
      <c r="E1022" s="17"/>
      <c r="F1022" s="17"/>
      <c r="G1022" s="17"/>
      <c r="H1022" s="17"/>
      <c r="J1022" s="17"/>
      <c r="K1022" s="17"/>
      <c r="L1022" s="17"/>
      <c r="M1022" s="17"/>
      <c r="N1022" s="17"/>
      <c r="O1022" s="17"/>
    </row>
    <row r="1023" spans="1:15" x14ac:dyDescent="0.25">
      <c r="E1023" s="17"/>
      <c r="F1023" s="17"/>
      <c r="G1023" s="17"/>
      <c r="H1023" s="17"/>
      <c r="J1023" s="17"/>
      <c r="K1023" s="17"/>
      <c r="L1023" s="17"/>
      <c r="M1023" s="17"/>
      <c r="N1023" s="17"/>
      <c r="O1023" s="17"/>
    </row>
    <row r="1024" spans="1:15" x14ac:dyDescent="0.25">
      <c r="E1024" s="17"/>
      <c r="F1024" s="17"/>
      <c r="G1024" s="17"/>
      <c r="H1024" s="17"/>
      <c r="J1024" s="17"/>
      <c r="K1024" s="17"/>
      <c r="L1024" s="17"/>
      <c r="M1024" s="17"/>
      <c r="N1024" s="17"/>
      <c r="O1024" s="17"/>
    </row>
    <row r="1025" spans="5:15" x14ac:dyDescent="0.25">
      <c r="E1025" s="17"/>
      <c r="F1025" s="17"/>
      <c r="G1025" s="17"/>
      <c r="H1025" s="17"/>
      <c r="J1025" s="17"/>
      <c r="K1025" s="17"/>
      <c r="L1025" s="17"/>
      <c r="M1025" s="17"/>
      <c r="N1025" s="17"/>
      <c r="O1025" s="17"/>
    </row>
    <row r="1026" spans="5:15" x14ac:dyDescent="0.25">
      <c r="E1026" s="17"/>
      <c r="F1026" s="17"/>
      <c r="G1026" s="17"/>
      <c r="H1026" s="17"/>
      <c r="J1026" s="17"/>
      <c r="K1026" s="17"/>
      <c r="L1026" s="17"/>
      <c r="M1026" s="17"/>
      <c r="N1026" s="17"/>
      <c r="O1026" s="17"/>
    </row>
    <row r="1027" spans="5:15" x14ac:dyDescent="0.25">
      <c r="E1027" s="17"/>
      <c r="F1027" s="17"/>
      <c r="G1027" s="17"/>
      <c r="H1027" s="17"/>
      <c r="J1027" s="17"/>
      <c r="K1027" s="17"/>
      <c r="L1027" s="17"/>
      <c r="M1027" s="17"/>
      <c r="N1027" s="17"/>
      <c r="O1027" s="17"/>
    </row>
    <row r="1028" spans="5:15" x14ac:dyDescent="0.25">
      <c r="E1028" s="17"/>
      <c r="F1028" s="17"/>
      <c r="G1028" s="17"/>
      <c r="H1028" s="17"/>
      <c r="J1028" s="17"/>
      <c r="K1028" s="17"/>
      <c r="L1028" s="17"/>
      <c r="M1028" s="17"/>
      <c r="N1028" s="17"/>
      <c r="O1028" s="17"/>
    </row>
    <row r="1029" spans="5:15" x14ac:dyDescent="0.25">
      <c r="E1029" s="17"/>
      <c r="F1029" s="17"/>
      <c r="G1029" s="17"/>
      <c r="H1029" s="17"/>
      <c r="J1029" s="17"/>
      <c r="K1029" s="17"/>
      <c r="L1029" s="17"/>
      <c r="M1029" s="17"/>
      <c r="N1029" s="17"/>
      <c r="O1029" s="17"/>
    </row>
    <row r="1030" spans="5:15" x14ac:dyDescent="0.25">
      <c r="E1030" s="17"/>
      <c r="F1030" s="17"/>
      <c r="G1030" s="17"/>
      <c r="H1030" s="17"/>
      <c r="J1030" s="17"/>
      <c r="K1030" s="17"/>
      <c r="L1030" s="17"/>
      <c r="M1030" s="17"/>
      <c r="N1030" s="17"/>
      <c r="O1030" s="17"/>
    </row>
    <row r="1031" spans="5:15" x14ac:dyDescent="0.25">
      <c r="E1031" s="17"/>
      <c r="F1031" s="17"/>
      <c r="G1031" s="17"/>
      <c r="H1031" s="17"/>
      <c r="J1031" s="17"/>
      <c r="K1031" s="17"/>
      <c r="L1031" s="17"/>
      <c r="M1031" s="17"/>
      <c r="N1031" s="17"/>
      <c r="O1031" s="17"/>
    </row>
    <row r="1032" spans="5:15" x14ac:dyDescent="0.25">
      <c r="E1032" s="17"/>
      <c r="F1032" s="17"/>
      <c r="G1032" s="17"/>
      <c r="H1032" s="17"/>
      <c r="J1032" s="17"/>
      <c r="K1032" s="17"/>
      <c r="L1032" s="17"/>
      <c r="M1032" s="17"/>
      <c r="N1032" s="17"/>
      <c r="O1032" s="17"/>
    </row>
    <row r="1033" spans="5:15" x14ac:dyDescent="0.25">
      <c r="E1033" s="17"/>
      <c r="F1033" s="17"/>
      <c r="G1033" s="17"/>
      <c r="H1033" s="17"/>
      <c r="J1033" s="17"/>
      <c r="K1033" s="17"/>
      <c r="L1033" s="17"/>
      <c r="M1033" s="17"/>
      <c r="N1033" s="17"/>
      <c r="O1033" s="17"/>
    </row>
    <row r="1034" spans="5:15" x14ac:dyDescent="0.25">
      <c r="E1034" s="17"/>
      <c r="F1034" s="17"/>
      <c r="G1034" s="17"/>
      <c r="H1034" s="17"/>
      <c r="J1034" s="17"/>
      <c r="K1034" s="17"/>
      <c r="L1034" s="17"/>
      <c r="M1034" s="17"/>
      <c r="N1034" s="17"/>
      <c r="O1034" s="17"/>
    </row>
    <row r="1035" spans="5:15" x14ac:dyDescent="0.25">
      <c r="E1035" s="17"/>
      <c r="F1035" s="17"/>
      <c r="G1035" s="17"/>
      <c r="H1035" s="17"/>
      <c r="J1035" s="17"/>
      <c r="K1035" s="17"/>
      <c r="L1035" s="17"/>
      <c r="M1035" s="17"/>
      <c r="N1035" s="17"/>
      <c r="O1035" s="17"/>
    </row>
    <row r="1036" spans="5:15" x14ac:dyDescent="0.25">
      <c r="E1036" s="17"/>
      <c r="F1036" s="17"/>
      <c r="G1036" s="17"/>
      <c r="H1036" s="17"/>
      <c r="J1036" s="17"/>
      <c r="K1036" s="17"/>
      <c r="L1036" s="17"/>
      <c r="M1036" s="17"/>
      <c r="N1036" s="17"/>
      <c r="O1036" s="17"/>
    </row>
    <row r="1037" spans="5:15" x14ac:dyDescent="0.25">
      <c r="E1037" s="17"/>
      <c r="F1037" s="17"/>
      <c r="G1037" s="17"/>
      <c r="H1037" s="17"/>
      <c r="J1037" s="17"/>
      <c r="K1037" s="17"/>
      <c r="L1037" s="17"/>
      <c r="M1037" s="17"/>
      <c r="N1037" s="17"/>
      <c r="O1037" s="17"/>
    </row>
    <row r="1038" spans="5:15" x14ac:dyDescent="0.25">
      <c r="E1038" s="17"/>
      <c r="F1038" s="17"/>
      <c r="G1038" s="17"/>
      <c r="H1038" s="17"/>
      <c r="J1038" s="17"/>
      <c r="K1038" s="17"/>
      <c r="L1038" s="17"/>
      <c r="M1038" s="17"/>
      <c r="N1038" s="17"/>
      <c r="O1038" s="17"/>
    </row>
    <row r="1039" spans="5:15" x14ac:dyDescent="0.25">
      <c r="E1039" s="17"/>
      <c r="F1039" s="17"/>
      <c r="G1039" s="17"/>
      <c r="H1039" s="17"/>
      <c r="J1039" s="17"/>
      <c r="K1039" s="17"/>
      <c r="L1039" s="17"/>
      <c r="M1039" s="17"/>
      <c r="N1039" s="17"/>
      <c r="O1039" s="17"/>
    </row>
    <row r="1040" spans="5:15" x14ac:dyDescent="0.25">
      <c r="E1040" s="17"/>
      <c r="F1040" s="17"/>
      <c r="G1040" s="17"/>
      <c r="H1040" s="17"/>
      <c r="J1040" s="17"/>
      <c r="K1040" s="17"/>
      <c r="L1040" s="17"/>
      <c r="M1040" s="17"/>
      <c r="N1040" s="17"/>
      <c r="O1040" s="17"/>
    </row>
    <row r="1041" spans="5:15" x14ac:dyDescent="0.25">
      <c r="E1041" s="17"/>
      <c r="F1041" s="17"/>
      <c r="G1041" s="17"/>
      <c r="H1041" s="17"/>
      <c r="J1041" s="17"/>
      <c r="K1041" s="17"/>
      <c r="L1041" s="17"/>
      <c r="M1041" s="17"/>
      <c r="N1041" s="17"/>
      <c r="O1041" s="17"/>
    </row>
    <row r="1042" spans="5:15" x14ac:dyDescent="0.25">
      <c r="E1042" s="17"/>
      <c r="F1042" s="17"/>
      <c r="G1042" s="17"/>
      <c r="H1042" s="17"/>
      <c r="J1042" s="17"/>
      <c r="K1042" s="17"/>
      <c r="L1042" s="17"/>
      <c r="M1042" s="17"/>
      <c r="N1042" s="17"/>
      <c r="O1042" s="17"/>
    </row>
    <row r="1043" spans="5:15" x14ac:dyDescent="0.25">
      <c r="E1043" s="17"/>
      <c r="F1043" s="17"/>
      <c r="G1043" s="17"/>
      <c r="H1043" s="17"/>
      <c r="J1043" s="17"/>
      <c r="K1043" s="17"/>
      <c r="L1043" s="17"/>
      <c r="M1043" s="17"/>
      <c r="N1043" s="17"/>
      <c r="O1043" s="17"/>
    </row>
    <row r="1044" spans="5:15" x14ac:dyDescent="0.25">
      <c r="E1044" s="17"/>
      <c r="F1044" s="17"/>
      <c r="G1044" s="17"/>
      <c r="H1044" s="17"/>
      <c r="J1044" s="17"/>
      <c r="K1044" s="17"/>
      <c r="L1044" s="17"/>
      <c r="M1044" s="17"/>
      <c r="N1044" s="17"/>
      <c r="O1044" s="17"/>
    </row>
    <row r="1045" spans="5:15" x14ac:dyDescent="0.25">
      <c r="E1045" s="17"/>
      <c r="F1045" s="17"/>
      <c r="G1045" s="17"/>
      <c r="H1045" s="17"/>
      <c r="J1045" s="17"/>
      <c r="K1045" s="17"/>
      <c r="L1045" s="17"/>
      <c r="M1045" s="17"/>
      <c r="N1045" s="17"/>
      <c r="O1045" s="17"/>
    </row>
    <row r="1046" spans="5:15" x14ac:dyDescent="0.25">
      <c r="E1046" s="17"/>
      <c r="F1046" s="17"/>
      <c r="G1046" s="17"/>
      <c r="H1046" s="17"/>
      <c r="J1046" s="17"/>
      <c r="K1046" s="17"/>
      <c r="L1046" s="17"/>
      <c r="M1046" s="17"/>
      <c r="N1046" s="17"/>
      <c r="O1046" s="17"/>
    </row>
    <row r="1047" spans="5:15" x14ac:dyDescent="0.25">
      <c r="E1047" s="17"/>
      <c r="F1047" s="17"/>
      <c r="G1047" s="17"/>
      <c r="H1047" s="17"/>
      <c r="J1047" s="17"/>
      <c r="K1047" s="17"/>
      <c r="L1047" s="17"/>
      <c r="M1047" s="17"/>
      <c r="N1047" s="17"/>
      <c r="O1047" s="17"/>
    </row>
    <row r="1048" spans="5:15" x14ac:dyDescent="0.25">
      <c r="E1048" s="17"/>
      <c r="F1048" s="17"/>
      <c r="G1048" s="17"/>
      <c r="H1048" s="17"/>
      <c r="J1048" s="17"/>
      <c r="K1048" s="17"/>
      <c r="L1048" s="17"/>
      <c r="M1048" s="17"/>
      <c r="N1048" s="17"/>
      <c r="O1048" s="17"/>
    </row>
    <row r="1049" spans="5:15" x14ac:dyDescent="0.25">
      <c r="E1049" s="17"/>
      <c r="F1049" s="17"/>
      <c r="G1049" s="17"/>
      <c r="H1049" s="17"/>
      <c r="J1049" s="17"/>
      <c r="K1049" s="17"/>
      <c r="L1049" s="17"/>
      <c r="M1049" s="17"/>
      <c r="N1049" s="17"/>
      <c r="O1049" s="17"/>
    </row>
    <row r="1050" spans="5:15" x14ac:dyDescent="0.25">
      <c r="E1050" s="17"/>
      <c r="F1050" s="17"/>
      <c r="G1050" s="17"/>
      <c r="H1050" s="17"/>
      <c r="J1050" s="17"/>
      <c r="K1050" s="17"/>
      <c r="L1050" s="17"/>
      <c r="M1050" s="17"/>
      <c r="N1050" s="17"/>
      <c r="O1050" s="17"/>
    </row>
    <row r="1051" spans="5:15" x14ac:dyDescent="0.25">
      <c r="E1051" s="17"/>
      <c r="F1051" s="17"/>
      <c r="G1051" s="17"/>
      <c r="H1051" s="17"/>
      <c r="J1051" s="17"/>
      <c r="K1051" s="17"/>
      <c r="L1051" s="17"/>
      <c r="M1051" s="17"/>
      <c r="N1051" s="17"/>
      <c r="O1051" s="17"/>
    </row>
    <row r="1052" spans="5:15" x14ac:dyDescent="0.25">
      <c r="E1052" s="17"/>
      <c r="F1052" s="17"/>
      <c r="G1052" s="17"/>
      <c r="H1052" s="17"/>
      <c r="J1052" s="17"/>
      <c r="K1052" s="17"/>
      <c r="L1052" s="17"/>
      <c r="M1052" s="17"/>
      <c r="N1052" s="17"/>
      <c r="O1052" s="17"/>
    </row>
    <row r="1053" spans="5:15" x14ac:dyDescent="0.25">
      <c r="E1053" s="17"/>
      <c r="F1053" s="17"/>
      <c r="G1053" s="17"/>
      <c r="H1053" s="17"/>
      <c r="J1053" s="17"/>
      <c r="K1053" s="17"/>
      <c r="L1053" s="17"/>
      <c r="M1053" s="17"/>
      <c r="N1053" s="17"/>
      <c r="O1053" s="17"/>
    </row>
    <row r="1054" spans="5:15" x14ac:dyDescent="0.25">
      <c r="E1054" s="17"/>
      <c r="F1054" s="17"/>
      <c r="G1054" s="17"/>
      <c r="H1054" s="17"/>
      <c r="J1054" s="17"/>
      <c r="K1054" s="17"/>
      <c r="L1054" s="17"/>
      <c r="M1054" s="17"/>
      <c r="N1054" s="17"/>
      <c r="O1054" s="17"/>
    </row>
    <row r="1055" spans="5:15" x14ac:dyDescent="0.25">
      <c r="E1055" s="17"/>
      <c r="F1055" s="17"/>
      <c r="G1055" s="17"/>
      <c r="H1055" s="17"/>
      <c r="J1055" s="17"/>
      <c r="K1055" s="17"/>
      <c r="L1055" s="17"/>
      <c r="M1055" s="17"/>
      <c r="N1055" s="17"/>
      <c r="O1055" s="17"/>
    </row>
    <row r="1056" spans="5:15" x14ac:dyDescent="0.25">
      <c r="E1056" s="17"/>
      <c r="F1056" s="17"/>
      <c r="G1056" s="17"/>
      <c r="H1056" s="17"/>
      <c r="J1056" s="17"/>
      <c r="K1056" s="17"/>
      <c r="L1056" s="17"/>
      <c r="M1056" s="17"/>
      <c r="N1056" s="17"/>
      <c r="O1056" s="17"/>
    </row>
    <row r="1057" spans="5:15" x14ac:dyDescent="0.25">
      <c r="E1057" s="17"/>
      <c r="F1057" s="17"/>
      <c r="G1057" s="17"/>
      <c r="H1057" s="17"/>
      <c r="J1057" s="17"/>
      <c r="K1057" s="17"/>
      <c r="L1057" s="17"/>
      <c r="M1057" s="17"/>
      <c r="N1057" s="17"/>
      <c r="O1057" s="17"/>
    </row>
    <row r="1058" spans="5:15" x14ac:dyDescent="0.25">
      <c r="E1058" s="17"/>
      <c r="F1058" s="17"/>
      <c r="G1058" s="17"/>
      <c r="H1058" s="17"/>
      <c r="J1058" s="17"/>
      <c r="K1058" s="17"/>
      <c r="L1058" s="17"/>
      <c r="M1058" s="17"/>
      <c r="N1058" s="17"/>
      <c r="O1058" s="17"/>
    </row>
    <row r="1059" spans="5:15" x14ac:dyDescent="0.25">
      <c r="E1059" s="17"/>
      <c r="F1059" s="17"/>
      <c r="G1059" s="17"/>
      <c r="H1059" s="17"/>
      <c r="J1059" s="17"/>
      <c r="K1059" s="17"/>
      <c r="L1059" s="17"/>
      <c r="M1059" s="17"/>
      <c r="N1059" s="17"/>
      <c r="O1059" s="17"/>
    </row>
    <row r="1060" spans="5:15" x14ac:dyDescent="0.25">
      <c r="E1060" s="17"/>
      <c r="F1060" s="17"/>
      <c r="G1060" s="17"/>
      <c r="H1060" s="17"/>
      <c r="J1060" s="17"/>
      <c r="K1060" s="17"/>
      <c r="L1060" s="17"/>
      <c r="M1060" s="17"/>
      <c r="N1060" s="17"/>
      <c r="O1060" s="17"/>
    </row>
    <row r="1061" spans="5:15" x14ac:dyDescent="0.25">
      <c r="E1061" s="17"/>
      <c r="F1061" s="17"/>
      <c r="G1061" s="17"/>
      <c r="H1061" s="17"/>
      <c r="J1061" s="17"/>
      <c r="K1061" s="17"/>
      <c r="L1061" s="17"/>
      <c r="M1061" s="17"/>
      <c r="N1061" s="17"/>
      <c r="O1061" s="17"/>
    </row>
    <row r="1062" spans="5:15" x14ac:dyDescent="0.25">
      <c r="E1062" s="17"/>
      <c r="F1062" s="17"/>
      <c r="G1062" s="17"/>
      <c r="H1062" s="17"/>
      <c r="J1062" s="17"/>
      <c r="K1062" s="17"/>
      <c r="L1062" s="17"/>
      <c r="M1062" s="17"/>
      <c r="N1062" s="17"/>
      <c r="O1062" s="17"/>
    </row>
    <row r="1063" spans="5:15" x14ac:dyDescent="0.25">
      <c r="E1063" s="17"/>
      <c r="F1063" s="17"/>
      <c r="G1063" s="17"/>
      <c r="H1063" s="17"/>
      <c r="J1063" s="17"/>
      <c r="K1063" s="17"/>
      <c r="L1063" s="17"/>
      <c r="M1063" s="17"/>
      <c r="N1063" s="17"/>
      <c r="O1063" s="17"/>
    </row>
    <row r="1064" spans="5:15" x14ac:dyDescent="0.25">
      <c r="E1064" s="17"/>
      <c r="F1064" s="17"/>
      <c r="G1064" s="17"/>
      <c r="H1064" s="17"/>
      <c r="J1064" s="17"/>
      <c r="K1064" s="17"/>
      <c r="L1064" s="17"/>
      <c r="M1064" s="17"/>
      <c r="N1064" s="17"/>
      <c r="O1064" s="17"/>
    </row>
    <row r="1065" spans="5:15" x14ac:dyDescent="0.25">
      <c r="E1065" s="17"/>
      <c r="F1065" s="17"/>
      <c r="G1065" s="17"/>
      <c r="H1065" s="17"/>
      <c r="J1065" s="17"/>
      <c r="K1065" s="17"/>
      <c r="L1065" s="17"/>
      <c r="M1065" s="17"/>
      <c r="N1065" s="17"/>
      <c r="O1065" s="17"/>
    </row>
    <row r="1066" spans="5:15" x14ac:dyDescent="0.25">
      <c r="E1066" s="17"/>
      <c r="F1066" s="17"/>
      <c r="G1066" s="17"/>
      <c r="H1066" s="17"/>
      <c r="J1066" s="17"/>
      <c r="K1066" s="17"/>
      <c r="L1066" s="17"/>
      <c r="M1066" s="17"/>
      <c r="N1066" s="17"/>
      <c r="O1066" s="17"/>
    </row>
    <row r="1067" spans="5:15" x14ac:dyDescent="0.25">
      <c r="E1067" s="17"/>
      <c r="F1067" s="17"/>
      <c r="G1067" s="17"/>
      <c r="H1067" s="17"/>
      <c r="J1067" s="17"/>
      <c r="K1067" s="17"/>
      <c r="L1067" s="17"/>
      <c r="M1067" s="17"/>
      <c r="N1067" s="17"/>
      <c r="O1067" s="17"/>
    </row>
    <row r="1068" spans="5:15" x14ac:dyDescent="0.25">
      <c r="E1068" s="17"/>
      <c r="F1068" s="17"/>
      <c r="G1068" s="17"/>
      <c r="H1068" s="17"/>
      <c r="J1068" s="17"/>
      <c r="K1068" s="17"/>
      <c r="L1068" s="17"/>
      <c r="M1068" s="17"/>
      <c r="N1068" s="17"/>
      <c r="O1068" s="17"/>
    </row>
    <row r="1069" spans="5:15" x14ac:dyDescent="0.25">
      <c r="E1069" s="17"/>
      <c r="F1069" s="17"/>
      <c r="G1069" s="17"/>
      <c r="H1069" s="17"/>
      <c r="J1069" s="17"/>
      <c r="K1069" s="17"/>
      <c r="L1069" s="17"/>
      <c r="M1069" s="17"/>
      <c r="N1069" s="17"/>
      <c r="O1069" s="17"/>
    </row>
    <row r="1070" spans="5:15" x14ac:dyDescent="0.25">
      <c r="E1070" s="17"/>
      <c r="F1070" s="17"/>
      <c r="G1070" s="17"/>
      <c r="H1070" s="17"/>
      <c r="J1070" s="17"/>
      <c r="K1070" s="17"/>
      <c r="L1070" s="17"/>
      <c r="M1070" s="17"/>
      <c r="N1070" s="17"/>
      <c r="O1070" s="17"/>
    </row>
    <row r="1071" spans="5:15" x14ac:dyDescent="0.25">
      <c r="E1071" s="17"/>
      <c r="F1071" s="17"/>
      <c r="G1071" s="17"/>
      <c r="H1071" s="17"/>
      <c r="J1071" s="17"/>
      <c r="K1071" s="17"/>
      <c r="L1071" s="17"/>
      <c r="M1071" s="17"/>
      <c r="N1071" s="17"/>
      <c r="O1071" s="17"/>
    </row>
    <row r="1072" spans="5:15" x14ac:dyDescent="0.25">
      <c r="E1072" s="17"/>
      <c r="F1072" s="17"/>
      <c r="G1072" s="17"/>
      <c r="H1072" s="17"/>
      <c r="J1072" s="17"/>
      <c r="K1072" s="17"/>
      <c r="L1072" s="17"/>
      <c r="M1072" s="17"/>
      <c r="N1072" s="17"/>
      <c r="O1072" s="17"/>
    </row>
    <row r="1073" spans="5:15" x14ac:dyDescent="0.25">
      <c r="E1073" s="17"/>
      <c r="F1073" s="17"/>
      <c r="G1073" s="17"/>
      <c r="H1073" s="17"/>
      <c r="J1073" s="17"/>
      <c r="K1073" s="17"/>
      <c r="L1073" s="17"/>
      <c r="M1073" s="17"/>
      <c r="N1073" s="17"/>
      <c r="O1073" s="17"/>
    </row>
    <row r="1074" spans="5:15" x14ac:dyDescent="0.25">
      <c r="E1074" s="17"/>
      <c r="F1074" s="17"/>
      <c r="G1074" s="17"/>
      <c r="H1074" s="17"/>
      <c r="J1074" s="17"/>
      <c r="K1074" s="17"/>
      <c r="L1074" s="17"/>
      <c r="M1074" s="17"/>
      <c r="N1074" s="17"/>
      <c r="O1074" s="17"/>
    </row>
    <row r="1075" spans="5:15" x14ac:dyDescent="0.25">
      <c r="E1075" s="17"/>
      <c r="F1075" s="17"/>
      <c r="G1075" s="17"/>
      <c r="H1075" s="17"/>
      <c r="J1075" s="17"/>
      <c r="K1075" s="17"/>
      <c r="L1075" s="17"/>
      <c r="M1075" s="17"/>
      <c r="N1075" s="17"/>
      <c r="O1075" s="17"/>
    </row>
    <row r="1076" spans="5:15" x14ac:dyDescent="0.25">
      <c r="E1076" s="17"/>
      <c r="F1076" s="17"/>
      <c r="G1076" s="17"/>
      <c r="H1076" s="17"/>
      <c r="J1076" s="17"/>
      <c r="K1076" s="17"/>
      <c r="L1076" s="17"/>
      <c r="M1076" s="17"/>
      <c r="N1076" s="17"/>
      <c r="O1076" s="17"/>
    </row>
    <row r="1077" spans="5:15" x14ac:dyDescent="0.25">
      <c r="E1077" s="17"/>
      <c r="F1077" s="17"/>
      <c r="G1077" s="17"/>
      <c r="H1077" s="17"/>
      <c r="J1077" s="17"/>
      <c r="K1077" s="17"/>
      <c r="L1077" s="17"/>
      <c r="M1077" s="17"/>
      <c r="N1077" s="17"/>
      <c r="O1077" s="17"/>
    </row>
    <row r="1078" spans="5:15" x14ac:dyDescent="0.25">
      <c r="E1078" s="17"/>
      <c r="F1078" s="17"/>
      <c r="G1078" s="17"/>
      <c r="H1078" s="17"/>
      <c r="J1078" s="17"/>
      <c r="K1078" s="17"/>
      <c r="L1078" s="17"/>
      <c r="M1078" s="17"/>
      <c r="N1078" s="17"/>
      <c r="O1078" s="17"/>
    </row>
    <row r="1079" spans="5:15" x14ac:dyDescent="0.25">
      <c r="E1079" s="17"/>
      <c r="F1079" s="17"/>
      <c r="G1079" s="17"/>
      <c r="H1079" s="17"/>
      <c r="J1079" s="17"/>
      <c r="K1079" s="17"/>
      <c r="L1079" s="17"/>
      <c r="M1079" s="17"/>
      <c r="N1079" s="17"/>
      <c r="O1079" s="17"/>
    </row>
    <row r="1080" spans="5:15" x14ac:dyDescent="0.25">
      <c r="E1080" s="17"/>
      <c r="F1080" s="17"/>
      <c r="G1080" s="17"/>
      <c r="H1080" s="17"/>
      <c r="J1080" s="17"/>
      <c r="K1080" s="17"/>
      <c r="L1080" s="17"/>
      <c r="M1080" s="17"/>
      <c r="N1080" s="17"/>
      <c r="O1080" s="17"/>
    </row>
    <row r="1081" spans="5:15" x14ac:dyDescent="0.25">
      <c r="E1081" s="17"/>
      <c r="F1081" s="17"/>
      <c r="G1081" s="17"/>
      <c r="H1081" s="17"/>
      <c r="J1081" s="17"/>
      <c r="K1081" s="17"/>
      <c r="L1081" s="17"/>
      <c r="M1081" s="17"/>
      <c r="N1081" s="17"/>
      <c r="O1081" s="17"/>
    </row>
    <row r="1082" spans="5:15" x14ac:dyDescent="0.25">
      <c r="E1082" s="17"/>
      <c r="F1082" s="17"/>
      <c r="G1082" s="17"/>
      <c r="H1082" s="17"/>
      <c r="J1082" s="17"/>
      <c r="K1082" s="17"/>
      <c r="L1082" s="17"/>
      <c r="M1082" s="17"/>
      <c r="N1082" s="17"/>
      <c r="O1082" s="17"/>
    </row>
    <row r="1083" spans="5:15" x14ac:dyDescent="0.25">
      <c r="E1083" s="17"/>
      <c r="F1083" s="17"/>
      <c r="G1083" s="17"/>
      <c r="H1083" s="17"/>
      <c r="J1083" s="17"/>
      <c r="K1083" s="17"/>
      <c r="L1083" s="17"/>
      <c r="M1083" s="17"/>
      <c r="N1083" s="17"/>
      <c r="O1083" s="17"/>
    </row>
    <row r="1084" spans="5:15" x14ac:dyDescent="0.25">
      <c r="E1084" s="17"/>
      <c r="F1084" s="17"/>
      <c r="G1084" s="17"/>
      <c r="H1084" s="17"/>
      <c r="J1084" s="17"/>
      <c r="K1084" s="17"/>
      <c r="L1084" s="17"/>
      <c r="M1084" s="17"/>
      <c r="N1084" s="17"/>
      <c r="O1084" s="17"/>
    </row>
    <row r="1085" spans="5:15" x14ac:dyDescent="0.25">
      <c r="E1085" s="17"/>
      <c r="F1085" s="17"/>
      <c r="G1085" s="17"/>
      <c r="H1085" s="17"/>
      <c r="J1085" s="17"/>
      <c r="K1085" s="17"/>
      <c r="L1085" s="17"/>
      <c r="M1085" s="17"/>
      <c r="N1085" s="17"/>
      <c r="O1085" s="17"/>
    </row>
    <row r="1086" spans="5:15" x14ac:dyDescent="0.25">
      <c r="E1086" s="17"/>
      <c r="F1086" s="17"/>
      <c r="G1086" s="17"/>
      <c r="H1086" s="17"/>
      <c r="J1086" s="17"/>
      <c r="K1086" s="17"/>
      <c r="L1086" s="17"/>
      <c r="M1086" s="17"/>
      <c r="N1086" s="17"/>
      <c r="O1086" s="17"/>
    </row>
    <row r="1087" spans="5:15" x14ac:dyDescent="0.25">
      <c r="E1087" s="17"/>
      <c r="F1087" s="17"/>
      <c r="G1087" s="17"/>
      <c r="H1087" s="17"/>
      <c r="J1087" s="17"/>
      <c r="K1087" s="17"/>
      <c r="L1087" s="17"/>
      <c r="M1087" s="17"/>
      <c r="N1087" s="17"/>
      <c r="O1087" s="17"/>
    </row>
    <row r="1088" spans="5:15" x14ac:dyDescent="0.25">
      <c r="E1088" s="17"/>
      <c r="F1088" s="17"/>
      <c r="G1088" s="17"/>
      <c r="H1088" s="17"/>
      <c r="J1088" s="17"/>
      <c r="K1088" s="17"/>
      <c r="L1088" s="17"/>
      <c r="M1088" s="17"/>
      <c r="N1088" s="17"/>
      <c r="O1088" s="17"/>
    </row>
    <row r="1089" spans="5:15" x14ac:dyDescent="0.25">
      <c r="E1089" s="17"/>
      <c r="F1089" s="17"/>
      <c r="G1089" s="17"/>
      <c r="H1089" s="17"/>
      <c r="J1089" s="17"/>
      <c r="K1089" s="17"/>
      <c r="L1089" s="17"/>
      <c r="M1089" s="17"/>
      <c r="N1089" s="17"/>
      <c r="O1089" s="17"/>
    </row>
    <row r="1090" spans="5:15" x14ac:dyDescent="0.25">
      <c r="E1090" s="17"/>
      <c r="F1090" s="17"/>
      <c r="G1090" s="17"/>
      <c r="H1090" s="17"/>
      <c r="J1090" s="17"/>
      <c r="K1090" s="17"/>
      <c r="L1090" s="17"/>
      <c r="M1090" s="17"/>
      <c r="N1090" s="17"/>
      <c r="O1090" s="17"/>
    </row>
    <row r="1091" spans="5:15" x14ac:dyDescent="0.25">
      <c r="E1091" s="17"/>
      <c r="F1091" s="17"/>
      <c r="G1091" s="17"/>
      <c r="H1091" s="17"/>
      <c r="J1091" s="17"/>
      <c r="K1091" s="17"/>
      <c r="L1091" s="17"/>
      <c r="M1091" s="17"/>
      <c r="N1091" s="17"/>
      <c r="O1091" s="17"/>
    </row>
    <row r="1092" spans="5:15" x14ac:dyDescent="0.25">
      <c r="E1092" s="17"/>
      <c r="F1092" s="17"/>
      <c r="G1092" s="17"/>
      <c r="H1092" s="17"/>
      <c r="J1092" s="17"/>
      <c r="K1092" s="17"/>
      <c r="L1092" s="17"/>
      <c r="M1092" s="17"/>
      <c r="N1092" s="17"/>
      <c r="O1092" s="17"/>
    </row>
    <row r="1093" spans="5:15" x14ac:dyDescent="0.25">
      <c r="E1093" s="17"/>
      <c r="F1093" s="17"/>
      <c r="G1093" s="17"/>
      <c r="H1093" s="17"/>
      <c r="J1093" s="17"/>
      <c r="K1093" s="17"/>
      <c r="L1093" s="17"/>
      <c r="M1093" s="17"/>
      <c r="N1093" s="17"/>
      <c r="O1093" s="17"/>
    </row>
    <row r="1094" spans="5:15" x14ac:dyDescent="0.25">
      <c r="E1094" s="17"/>
      <c r="F1094" s="17"/>
      <c r="G1094" s="17"/>
      <c r="H1094" s="17"/>
      <c r="J1094" s="17"/>
      <c r="K1094" s="17"/>
      <c r="L1094" s="17"/>
      <c r="M1094" s="17"/>
      <c r="N1094" s="17"/>
      <c r="O1094" s="17"/>
    </row>
    <row r="1095" spans="5:15" x14ac:dyDescent="0.25">
      <c r="E1095" s="17"/>
      <c r="F1095" s="17"/>
      <c r="G1095" s="17"/>
      <c r="H1095" s="17"/>
      <c r="J1095" s="17"/>
      <c r="K1095" s="17"/>
      <c r="L1095" s="17"/>
      <c r="M1095" s="17"/>
      <c r="N1095" s="17"/>
      <c r="O1095" s="17"/>
    </row>
    <row r="1096" spans="5:15" x14ac:dyDescent="0.25">
      <c r="E1096" s="17"/>
      <c r="F1096" s="17"/>
      <c r="G1096" s="17"/>
      <c r="H1096" s="17"/>
      <c r="J1096" s="17"/>
      <c r="K1096" s="17"/>
      <c r="L1096" s="17"/>
      <c r="M1096" s="17"/>
      <c r="N1096" s="17"/>
      <c r="O1096" s="17"/>
    </row>
    <row r="1097" spans="5:15" x14ac:dyDescent="0.25">
      <c r="E1097" s="17"/>
      <c r="F1097" s="17"/>
      <c r="G1097" s="17"/>
      <c r="H1097" s="17"/>
      <c r="J1097" s="17"/>
      <c r="K1097" s="17"/>
      <c r="L1097" s="17"/>
      <c r="M1097" s="17"/>
      <c r="N1097" s="17"/>
      <c r="O1097" s="17"/>
    </row>
    <row r="1098" spans="5:15" x14ac:dyDescent="0.25">
      <c r="E1098" s="17"/>
      <c r="F1098" s="17"/>
      <c r="G1098" s="17"/>
      <c r="H1098" s="17"/>
      <c r="J1098" s="17"/>
      <c r="K1098" s="17"/>
      <c r="L1098" s="17"/>
      <c r="M1098" s="17"/>
      <c r="N1098" s="17"/>
      <c r="O1098" s="17"/>
    </row>
    <row r="1099" spans="5:15" x14ac:dyDescent="0.25">
      <c r="E1099" s="17"/>
      <c r="F1099" s="17"/>
      <c r="G1099" s="17"/>
      <c r="H1099" s="17"/>
      <c r="J1099" s="17"/>
      <c r="K1099" s="17"/>
      <c r="L1099" s="17"/>
      <c r="M1099" s="17"/>
      <c r="N1099" s="17"/>
      <c r="O1099" s="17"/>
    </row>
    <row r="1100" spans="5:15" x14ac:dyDescent="0.25">
      <c r="E1100" s="17"/>
      <c r="F1100" s="17"/>
      <c r="G1100" s="17"/>
      <c r="H1100" s="17"/>
      <c r="J1100" s="17"/>
      <c r="K1100" s="17"/>
      <c r="L1100" s="17"/>
      <c r="M1100" s="17"/>
      <c r="N1100" s="17"/>
      <c r="O1100" s="17"/>
    </row>
    <row r="1101" spans="5:15" x14ac:dyDescent="0.25">
      <c r="E1101" s="17"/>
      <c r="F1101" s="17"/>
      <c r="G1101" s="17"/>
      <c r="H1101" s="17"/>
      <c r="J1101" s="17"/>
      <c r="K1101" s="17"/>
      <c r="L1101" s="17"/>
      <c r="M1101" s="17"/>
      <c r="N1101" s="17"/>
      <c r="O1101" s="17"/>
    </row>
    <row r="1102" spans="5:15" x14ac:dyDescent="0.25">
      <c r="E1102" s="17"/>
      <c r="F1102" s="17"/>
      <c r="G1102" s="17"/>
      <c r="H1102" s="17"/>
      <c r="J1102" s="17"/>
      <c r="K1102" s="17"/>
      <c r="L1102" s="17"/>
      <c r="M1102" s="17"/>
      <c r="N1102" s="17"/>
      <c r="O1102" s="17"/>
    </row>
    <row r="1103" spans="5:15" x14ac:dyDescent="0.25">
      <c r="E1103" s="17"/>
      <c r="F1103" s="17"/>
      <c r="G1103" s="17"/>
      <c r="H1103" s="17"/>
      <c r="J1103" s="17"/>
      <c r="K1103" s="17"/>
      <c r="L1103" s="17"/>
      <c r="M1103" s="17"/>
      <c r="N1103" s="17"/>
      <c r="O1103" s="17"/>
    </row>
    <row r="1104" spans="5:15" x14ac:dyDescent="0.25">
      <c r="E1104" s="17"/>
      <c r="F1104" s="17"/>
      <c r="G1104" s="17"/>
      <c r="H1104" s="17"/>
      <c r="J1104" s="17"/>
      <c r="K1104" s="17"/>
      <c r="L1104" s="17"/>
      <c r="M1104" s="17"/>
      <c r="N1104" s="17"/>
      <c r="O1104" s="17"/>
    </row>
    <row r="1105" spans="5:15" x14ac:dyDescent="0.25">
      <c r="E1105" s="17"/>
      <c r="F1105" s="17"/>
      <c r="G1105" s="17"/>
      <c r="H1105" s="17"/>
      <c r="J1105" s="17"/>
      <c r="K1105" s="17"/>
      <c r="L1105" s="17"/>
      <c r="M1105" s="17"/>
      <c r="N1105" s="17"/>
      <c r="O1105" s="17"/>
    </row>
    <row r="1106" spans="5:15" x14ac:dyDescent="0.25">
      <c r="E1106" s="17"/>
      <c r="F1106" s="17"/>
      <c r="G1106" s="17"/>
      <c r="H1106" s="17"/>
      <c r="J1106" s="17"/>
      <c r="K1106" s="17"/>
      <c r="L1106" s="17"/>
      <c r="M1106" s="17"/>
      <c r="N1106" s="17"/>
      <c r="O1106" s="17"/>
    </row>
    <row r="1107" spans="5:15" x14ac:dyDescent="0.25">
      <c r="E1107" s="17"/>
      <c r="F1107" s="17"/>
      <c r="G1107" s="17"/>
      <c r="H1107" s="17"/>
      <c r="J1107" s="17"/>
      <c r="K1107" s="17"/>
      <c r="L1107" s="17"/>
      <c r="M1107" s="17"/>
      <c r="N1107" s="17"/>
      <c r="O1107" s="17"/>
    </row>
    <row r="1108" spans="5:15" x14ac:dyDescent="0.25">
      <c r="E1108" s="17"/>
      <c r="F1108" s="17"/>
      <c r="G1108" s="17"/>
      <c r="H1108" s="17"/>
      <c r="J1108" s="17"/>
      <c r="K1108" s="17"/>
      <c r="L1108" s="17"/>
      <c r="M1108" s="17"/>
      <c r="N1108" s="17"/>
      <c r="O1108" s="17"/>
    </row>
    <row r="1109" spans="5:15" x14ac:dyDescent="0.25">
      <c r="E1109" s="17"/>
      <c r="F1109" s="17"/>
      <c r="G1109" s="17"/>
      <c r="H1109" s="17"/>
      <c r="J1109" s="17"/>
      <c r="K1109" s="17"/>
      <c r="L1109" s="17"/>
      <c r="M1109" s="17"/>
      <c r="N1109" s="17"/>
      <c r="O1109" s="17"/>
    </row>
    <row r="1110" spans="5:15" x14ac:dyDescent="0.25">
      <c r="E1110" s="17"/>
      <c r="F1110" s="17"/>
      <c r="G1110" s="17"/>
      <c r="H1110" s="17"/>
      <c r="J1110" s="17"/>
      <c r="K1110" s="17"/>
      <c r="L1110" s="17"/>
      <c r="M1110" s="17"/>
      <c r="N1110" s="17"/>
      <c r="O1110" s="17"/>
    </row>
    <row r="1111" spans="5:15" x14ac:dyDescent="0.25">
      <c r="E1111" s="17"/>
      <c r="F1111" s="17"/>
      <c r="G1111" s="17"/>
      <c r="H1111" s="17"/>
      <c r="J1111" s="17"/>
      <c r="K1111" s="17"/>
      <c r="L1111" s="17"/>
      <c r="M1111" s="17"/>
      <c r="N1111" s="17"/>
      <c r="O1111" s="17"/>
    </row>
    <row r="1112" spans="5:15" x14ac:dyDescent="0.25">
      <c r="E1112" s="17"/>
      <c r="F1112" s="17"/>
      <c r="G1112" s="17"/>
      <c r="H1112" s="17"/>
      <c r="J1112" s="17"/>
      <c r="K1112" s="17"/>
      <c r="L1112" s="17"/>
      <c r="M1112" s="17"/>
      <c r="N1112" s="17"/>
      <c r="O1112" s="17"/>
    </row>
    <row r="1113" spans="5:15" x14ac:dyDescent="0.25">
      <c r="E1113" s="17"/>
      <c r="F1113" s="17"/>
      <c r="G1113" s="17"/>
      <c r="H1113" s="17"/>
      <c r="J1113" s="17"/>
      <c r="K1113" s="17"/>
      <c r="L1113" s="17"/>
      <c r="M1113" s="17"/>
      <c r="N1113" s="17"/>
      <c r="O1113" s="17"/>
    </row>
    <row r="1114" spans="5:15" x14ac:dyDescent="0.25">
      <c r="E1114" s="17"/>
      <c r="F1114" s="17"/>
      <c r="G1114" s="17"/>
      <c r="H1114" s="17"/>
      <c r="J1114" s="17"/>
      <c r="K1114" s="17"/>
      <c r="L1114" s="17"/>
      <c r="M1114" s="17"/>
      <c r="N1114" s="17"/>
      <c r="O1114" s="17"/>
    </row>
    <row r="1115" spans="5:15" x14ac:dyDescent="0.25">
      <c r="E1115" s="17"/>
      <c r="F1115" s="17"/>
      <c r="G1115" s="17"/>
      <c r="H1115" s="17"/>
      <c r="J1115" s="17"/>
      <c r="K1115" s="17"/>
      <c r="L1115" s="17"/>
      <c r="M1115" s="17"/>
      <c r="N1115" s="17"/>
      <c r="O1115" s="17"/>
    </row>
    <row r="1116" spans="5:15" x14ac:dyDescent="0.25">
      <c r="E1116" s="17"/>
      <c r="F1116" s="17"/>
      <c r="G1116" s="17"/>
      <c r="H1116" s="17"/>
      <c r="J1116" s="17"/>
      <c r="K1116" s="17"/>
      <c r="L1116" s="17"/>
      <c r="M1116" s="17"/>
      <c r="N1116" s="17"/>
      <c r="O1116" s="17"/>
    </row>
    <row r="1117" spans="5:15" x14ac:dyDescent="0.25">
      <c r="E1117" s="17"/>
      <c r="F1117" s="17"/>
      <c r="G1117" s="17"/>
      <c r="H1117" s="17"/>
      <c r="J1117" s="17"/>
      <c r="K1117" s="17"/>
      <c r="L1117" s="17"/>
      <c r="M1117" s="17"/>
      <c r="N1117" s="17"/>
      <c r="O1117" s="17"/>
    </row>
    <row r="1118" spans="5:15" x14ac:dyDescent="0.25">
      <c r="E1118" s="17"/>
      <c r="F1118" s="17"/>
      <c r="G1118" s="17"/>
      <c r="H1118" s="17"/>
      <c r="J1118" s="17"/>
      <c r="K1118" s="17"/>
      <c r="L1118" s="17"/>
      <c r="M1118" s="17"/>
      <c r="N1118" s="17"/>
      <c r="O1118" s="17"/>
    </row>
    <row r="1119" spans="5:15" x14ac:dyDescent="0.25">
      <c r="E1119" s="17"/>
      <c r="F1119" s="17"/>
      <c r="G1119" s="17"/>
      <c r="H1119" s="17"/>
      <c r="J1119" s="17"/>
      <c r="K1119" s="17"/>
      <c r="L1119" s="17"/>
      <c r="M1119" s="17"/>
      <c r="N1119" s="17"/>
      <c r="O1119" s="17"/>
    </row>
    <row r="1120" spans="5:15" x14ac:dyDescent="0.25">
      <c r="E1120" s="17"/>
      <c r="F1120" s="17"/>
      <c r="G1120" s="17"/>
      <c r="H1120" s="17"/>
      <c r="J1120" s="17"/>
      <c r="K1120" s="17"/>
      <c r="L1120" s="17"/>
      <c r="M1120" s="17"/>
      <c r="N1120" s="17"/>
      <c r="O1120" s="17"/>
    </row>
    <row r="1121" spans="5:15" x14ac:dyDescent="0.25">
      <c r="E1121" s="17"/>
      <c r="F1121" s="17"/>
      <c r="G1121" s="17"/>
      <c r="H1121" s="17"/>
      <c r="J1121" s="17"/>
      <c r="K1121" s="17"/>
      <c r="L1121" s="17"/>
      <c r="M1121" s="17"/>
      <c r="N1121" s="17"/>
      <c r="O1121" s="17"/>
    </row>
    <row r="1122" spans="5:15" x14ac:dyDescent="0.25">
      <c r="E1122" s="17"/>
      <c r="F1122" s="17"/>
      <c r="G1122" s="17"/>
      <c r="H1122" s="17"/>
      <c r="J1122" s="17"/>
      <c r="K1122" s="17"/>
      <c r="L1122" s="17"/>
      <c r="M1122" s="17"/>
      <c r="N1122" s="17"/>
      <c r="O1122" s="17"/>
    </row>
    <row r="1123" spans="5:15" x14ac:dyDescent="0.25">
      <c r="E1123" s="17"/>
      <c r="F1123" s="17"/>
      <c r="G1123" s="17"/>
      <c r="H1123" s="17"/>
      <c r="J1123" s="17"/>
      <c r="K1123" s="17"/>
      <c r="L1123" s="17"/>
      <c r="M1123" s="17"/>
      <c r="N1123" s="17"/>
      <c r="O1123" s="17"/>
    </row>
    <row r="1124" spans="5:15" x14ac:dyDescent="0.25">
      <c r="E1124" s="17"/>
      <c r="F1124" s="17"/>
      <c r="G1124" s="17"/>
      <c r="H1124" s="17"/>
      <c r="J1124" s="17"/>
      <c r="K1124" s="17"/>
      <c r="L1124" s="17"/>
      <c r="M1124" s="17"/>
      <c r="N1124" s="17"/>
      <c r="O1124" s="17"/>
    </row>
    <row r="1125" spans="5:15" x14ac:dyDescent="0.25">
      <c r="E1125" s="17"/>
      <c r="F1125" s="17"/>
      <c r="G1125" s="17"/>
      <c r="H1125" s="17"/>
      <c r="J1125" s="17"/>
      <c r="K1125" s="17"/>
      <c r="L1125" s="17"/>
      <c r="M1125" s="17"/>
      <c r="N1125" s="17"/>
      <c r="O1125" s="17"/>
    </row>
    <row r="1126" spans="5:15" x14ac:dyDescent="0.25">
      <c r="E1126" s="17"/>
      <c r="F1126" s="17"/>
      <c r="G1126" s="17"/>
      <c r="H1126" s="17"/>
      <c r="J1126" s="17"/>
      <c r="K1126" s="17"/>
      <c r="L1126" s="17"/>
      <c r="M1126" s="17"/>
      <c r="N1126" s="17"/>
      <c r="O1126" s="17"/>
    </row>
    <row r="1127" spans="5:15" x14ac:dyDescent="0.25">
      <c r="E1127" s="17"/>
      <c r="F1127" s="17"/>
      <c r="G1127" s="17"/>
      <c r="H1127" s="17"/>
      <c r="J1127" s="17"/>
      <c r="K1127" s="17"/>
      <c r="L1127" s="17"/>
      <c r="M1127" s="17"/>
      <c r="N1127" s="17"/>
      <c r="O1127" s="17"/>
    </row>
    <row r="1128" spans="5:15" x14ac:dyDescent="0.25">
      <c r="E1128" s="17"/>
      <c r="F1128" s="17"/>
      <c r="G1128" s="17"/>
      <c r="H1128" s="17"/>
      <c r="J1128" s="17"/>
      <c r="K1128" s="17"/>
      <c r="L1128" s="17"/>
      <c r="M1128" s="17"/>
      <c r="N1128" s="17"/>
      <c r="O1128" s="17"/>
    </row>
    <row r="1129" spans="5:15" x14ac:dyDescent="0.25">
      <c r="E1129" s="17"/>
      <c r="F1129" s="17"/>
      <c r="G1129" s="17"/>
      <c r="H1129" s="17"/>
      <c r="J1129" s="17"/>
      <c r="K1129" s="17"/>
      <c r="L1129" s="17"/>
      <c r="M1129" s="17"/>
      <c r="N1129" s="17"/>
      <c r="O1129" s="17"/>
    </row>
    <row r="1130" spans="5:15" x14ac:dyDescent="0.25">
      <c r="E1130" s="17"/>
      <c r="F1130" s="17"/>
      <c r="G1130" s="17"/>
      <c r="H1130" s="17"/>
      <c r="J1130" s="17"/>
      <c r="K1130" s="17"/>
      <c r="L1130" s="17"/>
      <c r="M1130" s="17"/>
      <c r="N1130" s="17"/>
      <c r="O1130" s="17"/>
    </row>
    <row r="1131" spans="5:15" x14ac:dyDescent="0.25">
      <c r="E1131" s="17"/>
      <c r="F1131" s="17"/>
      <c r="G1131" s="17"/>
      <c r="H1131" s="17"/>
      <c r="J1131" s="17"/>
      <c r="K1131" s="17"/>
      <c r="L1131" s="17"/>
      <c r="M1131" s="17"/>
      <c r="N1131" s="17"/>
      <c r="O1131" s="17"/>
    </row>
    <row r="1132" spans="5:15" x14ac:dyDescent="0.25">
      <c r="E1132" s="17"/>
      <c r="F1132" s="17"/>
      <c r="G1132" s="17"/>
      <c r="H1132" s="17"/>
      <c r="J1132" s="17"/>
      <c r="K1132" s="17"/>
      <c r="L1132" s="17"/>
      <c r="M1132" s="17"/>
      <c r="N1132" s="17"/>
      <c r="O1132" s="17"/>
    </row>
    <row r="1133" spans="5:15" x14ac:dyDescent="0.25">
      <c r="E1133" s="17"/>
      <c r="F1133" s="17"/>
      <c r="G1133" s="17"/>
      <c r="H1133" s="17"/>
      <c r="J1133" s="17"/>
      <c r="K1133" s="17"/>
      <c r="L1133" s="17"/>
      <c r="M1133" s="17"/>
      <c r="N1133" s="17"/>
      <c r="O1133" s="17"/>
    </row>
    <row r="1134" spans="5:15" x14ac:dyDescent="0.25">
      <c r="E1134" s="17"/>
      <c r="F1134" s="17"/>
      <c r="G1134" s="17"/>
      <c r="H1134" s="17"/>
      <c r="J1134" s="17"/>
      <c r="K1134" s="17"/>
      <c r="L1134" s="17"/>
      <c r="M1134" s="17"/>
      <c r="N1134" s="17"/>
      <c r="O1134" s="17"/>
    </row>
    <row r="1135" spans="5:15" x14ac:dyDescent="0.25">
      <c r="E1135" s="17"/>
      <c r="F1135" s="17"/>
      <c r="G1135" s="17"/>
      <c r="H1135" s="17"/>
      <c r="J1135" s="17"/>
      <c r="K1135" s="17"/>
      <c r="L1135" s="17"/>
      <c r="M1135" s="17"/>
      <c r="N1135" s="17"/>
      <c r="O1135" s="17"/>
    </row>
    <row r="1136" spans="5:15" x14ac:dyDescent="0.25">
      <c r="E1136" s="17"/>
      <c r="F1136" s="17"/>
      <c r="G1136" s="17"/>
      <c r="H1136" s="17"/>
      <c r="J1136" s="17"/>
      <c r="K1136" s="17"/>
      <c r="L1136" s="17"/>
      <c r="M1136" s="17"/>
      <c r="N1136" s="17"/>
      <c r="O1136" s="17"/>
    </row>
    <row r="1137" spans="5:15" x14ac:dyDescent="0.25">
      <c r="E1137" s="17"/>
      <c r="F1137" s="17"/>
      <c r="G1137" s="17"/>
      <c r="H1137" s="17"/>
      <c r="J1137" s="17"/>
      <c r="K1137" s="17"/>
      <c r="L1137" s="17"/>
      <c r="M1137" s="17"/>
      <c r="N1137" s="17"/>
      <c r="O1137" s="17"/>
    </row>
    <row r="1138" spans="5:15" x14ac:dyDescent="0.25">
      <c r="E1138" s="17"/>
      <c r="F1138" s="17"/>
      <c r="G1138" s="17"/>
      <c r="H1138" s="17"/>
      <c r="J1138" s="17"/>
      <c r="K1138" s="17"/>
      <c r="L1138" s="17"/>
      <c r="M1138" s="17"/>
      <c r="N1138" s="17"/>
      <c r="O1138" s="17"/>
    </row>
    <row r="1139" spans="5:15" x14ac:dyDescent="0.25">
      <c r="E1139" s="17"/>
      <c r="F1139" s="17"/>
      <c r="G1139" s="17"/>
      <c r="H1139" s="17"/>
      <c r="J1139" s="17"/>
      <c r="K1139" s="17"/>
      <c r="L1139" s="17"/>
      <c r="M1139" s="17"/>
      <c r="N1139" s="17"/>
      <c r="O1139" s="17"/>
    </row>
    <row r="1140" spans="5:15" x14ac:dyDescent="0.25">
      <c r="E1140" s="17"/>
      <c r="F1140" s="17"/>
      <c r="G1140" s="17"/>
      <c r="H1140" s="17"/>
      <c r="J1140" s="17"/>
      <c r="K1140" s="17"/>
      <c r="L1140" s="17"/>
      <c r="M1140" s="17"/>
      <c r="N1140" s="17"/>
      <c r="O1140" s="17"/>
    </row>
    <row r="1141" spans="5:15" x14ac:dyDescent="0.25">
      <c r="E1141" s="17"/>
      <c r="F1141" s="17"/>
      <c r="G1141" s="17"/>
      <c r="H1141" s="17"/>
      <c r="J1141" s="17"/>
      <c r="K1141" s="17"/>
      <c r="L1141" s="17"/>
      <c r="M1141" s="17"/>
      <c r="N1141" s="17"/>
      <c r="O1141" s="17"/>
    </row>
    <row r="1142" spans="5:15" x14ac:dyDescent="0.25">
      <c r="E1142" s="17"/>
      <c r="F1142" s="17"/>
      <c r="G1142" s="17"/>
      <c r="H1142" s="17"/>
      <c r="J1142" s="17"/>
      <c r="K1142" s="17"/>
      <c r="L1142" s="17"/>
      <c r="M1142" s="17"/>
      <c r="N1142" s="17"/>
      <c r="O1142" s="17"/>
    </row>
    <row r="1143" spans="5:15" x14ac:dyDescent="0.25">
      <c r="E1143" s="17"/>
      <c r="F1143" s="17"/>
      <c r="G1143" s="17"/>
      <c r="H1143" s="17"/>
      <c r="J1143" s="17"/>
      <c r="K1143" s="17"/>
      <c r="L1143" s="17"/>
      <c r="M1143" s="17"/>
      <c r="N1143" s="17"/>
      <c r="O1143" s="17"/>
    </row>
    <row r="1144" spans="5:15" x14ac:dyDescent="0.25">
      <c r="E1144" s="17"/>
      <c r="F1144" s="17"/>
      <c r="G1144" s="17"/>
      <c r="H1144" s="17"/>
      <c r="J1144" s="17"/>
      <c r="K1144" s="17"/>
      <c r="L1144" s="17"/>
      <c r="M1144" s="17"/>
      <c r="N1144" s="17"/>
      <c r="O1144" s="17"/>
    </row>
    <row r="1145" spans="5:15" x14ac:dyDescent="0.25">
      <c r="E1145" s="17"/>
      <c r="F1145" s="17"/>
      <c r="G1145" s="17"/>
      <c r="H1145" s="17"/>
      <c r="J1145" s="17"/>
      <c r="K1145" s="17"/>
      <c r="L1145" s="17"/>
      <c r="M1145" s="17"/>
      <c r="N1145" s="17"/>
      <c r="O1145" s="17"/>
    </row>
    <row r="1146" spans="5:15" x14ac:dyDescent="0.25">
      <c r="E1146" s="17"/>
      <c r="F1146" s="17"/>
      <c r="G1146" s="17"/>
      <c r="H1146" s="17"/>
      <c r="J1146" s="17"/>
      <c r="K1146" s="17"/>
      <c r="L1146" s="17"/>
      <c r="M1146" s="17"/>
      <c r="N1146" s="17"/>
      <c r="O1146" s="17"/>
    </row>
    <row r="1147" spans="5:15" x14ac:dyDescent="0.25">
      <c r="E1147" s="17"/>
      <c r="F1147" s="17"/>
      <c r="G1147" s="17"/>
      <c r="H1147" s="17"/>
      <c r="J1147" s="17"/>
      <c r="K1147" s="17"/>
      <c r="L1147" s="17"/>
      <c r="M1147" s="17"/>
      <c r="N1147" s="17"/>
      <c r="O1147" s="17"/>
    </row>
    <row r="1148" spans="5:15" x14ac:dyDescent="0.25">
      <c r="E1148" s="17"/>
      <c r="F1148" s="17"/>
      <c r="G1148" s="17"/>
      <c r="H1148" s="17"/>
      <c r="J1148" s="17"/>
      <c r="K1148" s="17"/>
      <c r="L1148" s="17"/>
      <c r="M1148" s="17"/>
      <c r="N1148" s="17"/>
      <c r="O1148" s="17"/>
    </row>
    <row r="1149" spans="5:15" x14ac:dyDescent="0.25">
      <c r="E1149" s="17"/>
      <c r="F1149" s="17"/>
      <c r="G1149" s="17"/>
      <c r="H1149" s="17"/>
      <c r="J1149" s="17"/>
      <c r="K1149" s="17"/>
      <c r="L1149" s="17"/>
      <c r="M1149" s="17"/>
      <c r="N1149" s="17"/>
      <c r="O1149" s="17"/>
    </row>
    <row r="1150" spans="5:15" x14ac:dyDescent="0.25">
      <c r="E1150" s="17"/>
      <c r="F1150" s="17"/>
      <c r="G1150" s="17"/>
      <c r="H1150" s="17"/>
      <c r="J1150" s="17"/>
      <c r="K1150" s="17"/>
      <c r="L1150" s="17"/>
      <c r="M1150" s="17"/>
      <c r="N1150" s="17"/>
      <c r="O1150" s="17"/>
    </row>
    <row r="1151" spans="5:15" x14ac:dyDescent="0.25">
      <c r="E1151" s="17"/>
      <c r="F1151" s="17"/>
      <c r="G1151" s="17"/>
      <c r="H1151" s="17"/>
      <c r="J1151" s="17"/>
      <c r="K1151" s="17"/>
      <c r="L1151" s="17"/>
      <c r="M1151" s="17"/>
      <c r="N1151" s="17"/>
      <c r="O1151" s="17"/>
    </row>
    <row r="1152" spans="5:15" x14ac:dyDescent="0.25">
      <c r="E1152" s="17"/>
      <c r="F1152" s="17"/>
      <c r="G1152" s="17"/>
      <c r="H1152" s="17"/>
      <c r="J1152" s="17"/>
      <c r="K1152" s="17"/>
      <c r="L1152" s="17"/>
      <c r="M1152" s="17"/>
      <c r="N1152" s="17"/>
      <c r="O1152" s="17"/>
    </row>
    <row r="1153" spans="5:15" x14ac:dyDescent="0.25">
      <c r="E1153" s="17"/>
      <c r="F1153" s="17"/>
      <c r="G1153" s="17"/>
      <c r="H1153" s="17"/>
      <c r="J1153" s="17"/>
      <c r="K1153" s="17"/>
      <c r="L1153" s="17"/>
      <c r="M1153" s="17"/>
      <c r="N1153" s="17"/>
      <c r="O1153" s="17"/>
    </row>
    <row r="1154" spans="5:15" x14ac:dyDescent="0.25">
      <c r="E1154" s="17"/>
      <c r="F1154" s="17"/>
      <c r="G1154" s="17"/>
      <c r="H1154" s="17"/>
      <c r="J1154" s="17"/>
      <c r="K1154" s="17"/>
      <c r="L1154" s="17"/>
      <c r="M1154" s="17"/>
      <c r="N1154" s="17"/>
      <c r="O1154" s="17"/>
    </row>
    <row r="1155" spans="5:15" x14ac:dyDescent="0.25">
      <c r="E1155" s="17"/>
      <c r="F1155" s="17"/>
      <c r="G1155" s="17"/>
      <c r="H1155" s="17"/>
      <c r="J1155" s="17"/>
      <c r="K1155" s="17"/>
      <c r="L1155" s="17"/>
      <c r="M1155" s="17"/>
      <c r="N1155" s="17"/>
      <c r="O1155" s="17"/>
    </row>
    <row r="1156" spans="5:15" x14ac:dyDescent="0.25">
      <c r="E1156" s="17"/>
      <c r="F1156" s="17"/>
      <c r="G1156" s="17"/>
      <c r="H1156" s="17"/>
      <c r="J1156" s="17"/>
      <c r="K1156" s="17"/>
      <c r="L1156" s="17"/>
      <c r="M1156" s="17"/>
      <c r="N1156" s="17"/>
      <c r="O1156" s="17"/>
    </row>
    <row r="1157" spans="5:15" x14ac:dyDescent="0.25">
      <c r="E1157" s="17"/>
      <c r="F1157" s="17"/>
      <c r="G1157" s="17"/>
      <c r="H1157" s="17"/>
      <c r="J1157" s="17"/>
      <c r="K1157" s="17"/>
      <c r="L1157" s="17"/>
      <c r="M1157" s="17"/>
      <c r="N1157" s="17"/>
      <c r="O1157" s="17"/>
    </row>
    <row r="1158" spans="5:15" x14ac:dyDescent="0.25">
      <c r="E1158" s="17"/>
      <c r="F1158" s="17"/>
      <c r="G1158" s="17"/>
      <c r="H1158" s="17"/>
      <c r="J1158" s="17"/>
      <c r="K1158" s="17"/>
      <c r="L1158" s="17"/>
      <c r="M1158" s="17"/>
      <c r="N1158" s="17"/>
      <c r="O1158" s="17"/>
    </row>
    <row r="1159" spans="5:15" x14ac:dyDescent="0.25">
      <c r="E1159" s="17"/>
      <c r="F1159" s="17"/>
      <c r="G1159" s="17"/>
      <c r="H1159" s="17"/>
      <c r="J1159" s="17"/>
      <c r="K1159" s="17"/>
      <c r="L1159" s="17"/>
      <c r="M1159" s="17"/>
      <c r="N1159" s="17"/>
      <c r="O1159" s="17"/>
    </row>
    <row r="1160" spans="5:15" x14ac:dyDescent="0.25">
      <c r="E1160" s="17"/>
      <c r="F1160" s="17"/>
      <c r="G1160" s="17"/>
      <c r="H1160" s="17"/>
      <c r="J1160" s="17"/>
      <c r="K1160" s="17"/>
      <c r="L1160" s="17"/>
      <c r="M1160" s="17"/>
      <c r="N1160" s="17"/>
      <c r="O1160" s="17"/>
    </row>
    <row r="1161" spans="5:15" x14ac:dyDescent="0.25">
      <c r="E1161" s="17"/>
      <c r="F1161" s="17"/>
      <c r="G1161" s="17"/>
      <c r="H1161" s="17"/>
      <c r="J1161" s="17"/>
      <c r="K1161" s="17"/>
      <c r="L1161" s="17"/>
      <c r="M1161" s="17"/>
      <c r="N1161" s="17"/>
      <c r="O1161" s="17"/>
    </row>
    <row r="1162" spans="5:15" x14ac:dyDescent="0.25">
      <c r="E1162" s="17"/>
      <c r="F1162" s="17"/>
      <c r="G1162" s="17"/>
      <c r="H1162" s="17"/>
      <c r="J1162" s="17"/>
      <c r="K1162" s="17"/>
      <c r="L1162" s="17"/>
      <c r="M1162" s="17"/>
      <c r="N1162" s="17"/>
      <c r="O1162" s="17"/>
    </row>
    <row r="1163" spans="5:15" x14ac:dyDescent="0.25">
      <c r="E1163" s="17"/>
      <c r="F1163" s="17"/>
      <c r="G1163" s="17"/>
      <c r="H1163" s="17"/>
      <c r="J1163" s="17"/>
      <c r="K1163" s="17"/>
      <c r="L1163" s="17"/>
      <c r="M1163" s="17"/>
      <c r="N1163" s="17"/>
      <c r="O1163" s="17"/>
    </row>
    <row r="1164" spans="5:15" x14ac:dyDescent="0.25">
      <c r="E1164" s="17"/>
      <c r="F1164" s="17"/>
      <c r="G1164" s="17"/>
      <c r="H1164" s="17"/>
      <c r="J1164" s="17"/>
      <c r="K1164" s="17"/>
      <c r="L1164" s="17"/>
      <c r="M1164" s="17"/>
      <c r="N1164" s="17"/>
      <c r="O1164" s="17"/>
    </row>
    <row r="1165" spans="5:15" x14ac:dyDescent="0.25">
      <c r="E1165" s="17"/>
      <c r="F1165" s="17"/>
      <c r="G1165" s="17"/>
      <c r="H1165" s="17"/>
      <c r="J1165" s="17"/>
      <c r="K1165" s="17"/>
      <c r="L1165" s="17"/>
      <c r="M1165" s="17"/>
      <c r="N1165" s="17"/>
      <c r="O1165" s="17"/>
    </row>
    <row r="1166" spans="5:15" x14ac:dyDescent="0.25">
      <c r="E1166" s="17"/>
      <c r="F1166" s="17"/>
      <c r="G1166" s="17"/>
      <c r="H1166" s="17"/>
      <c r="J1166" s="17"/>
      <c r="K1166" s="17"/>
      <c r="L1166" s="17"/>
      <c r="M1166" s="17"/>
      <c r="N1166" s="17"/>
      <c r="O1166" s="17"/>
    </row>
    <row r="1167" spans="5:15" x14ac:dyDescent="0.25">
      <c r="E1167" s="17"/>
      <c r="F1167" s="17"/>
      <c r="G1167" s="17"/>
      <c r="H1167" s="17"/>
      <c r="J1167" s="17"/>
      <c r="K1167" s="17"/>
      <c r="L1167" s="17"/>
      <c r="M1167" s="17"/>
      <c r="N1167" s="17"/>
      <c r="O1167" s="17"/>
    </row>
    <row r="1168" spans="5:15" x14ac:dyDescent="0.25">
      <c r="E1168" s="17"/>
      <c r="F1168" s="17"/>
      <c r="G1168" s="17"/>
      <c r="H1168" s="17"/>
      <c r="J1168" s="17"/>
      <c r="K1168" s="17"/>
      <c r="L1168" s="17"/>
      <c r="M1168" s="17"/>
      <c r="N1168" s="17"/>
      <c r="O1168" s="17"/>
    </row>
    <row r="1169" spans="5:15" x14ac:dyDescent="0.25">
      <c r="E1169" s="17"/>
      <c r="F1169" s="17"/>
      <c r="G1169" s="17"/>
      <c r="H1169" s="17"/>
      <c r="J1169" s="17"/>
      <c r="K1169" s="17"/>
      <c r="L1169" s="17"/>
      <c r="M1169" s="17"/>
      <c r="N1169" s="17"/>
      <c r="O1169" s="17"/>
    </row>
    <row r="1170" spans="5:15" x14ac:dyDescent="0.25">
      <c r="E1170" s="17"/>
      <c r="F1170" s="17"/>
      <c r="G1170" s="17"/>
      <c r="H1170" s="17"/>
      <c r="J1170" s="17"/>
      <c r="K1170" s="17"/>
      <c r="L1170" s="17"/>
      <c r="M1170" s="17"/>
      <c r="N1170" s="17"/>
      <c r="O1170" s="17"/>
    </row>
    <row r="1171" spans="5:15" x14ac:dyDescent="0.25">
      <c r="E1171" s="17"/>
      <c r="F1171" s="17"/>
      <c r="G1171" s="17"/>
      <c r="H1171" s="17"/>
      <c r="J1171" s="17"/>
      <c r="K1171" s="17"/>
      <c r="L1171" s="17"/>
      <c r="M1171" s="17"/>
      <c r="N1171" s="17"/>
      <c r="O1171" s="17"/>
    </row>
    <row r="1172" spans="5:15" x14ac:dyDescent="0.25">
      <c r="E1172" s="17"/>
      <c r="F1172" s="17"/>
      <c r="G1172" s="17"/>
      <c r="H1172" s="17"/>
      <c r="J1172" s="17"/>
      <c r="K1172" s="17"/>
      <c r="L1172" s="17"/>
      <c r="M1172" s="17"/>
      <c r="N1172" s="17"/>
      <c r="O1172" s="17"/>
    </row>
    <row r="1173" spans="5:15" x14ac:dyDescent="0.25">
      <c r="E1173" s="17"/>
      <c r="F1173" s="17"/>
      <c r="G1173" s="17"/>
      <c r="H1173" s="17"/>
      <c r="J1173" s="17"/>
      <c r="K1173" s="17"/>
      <c r="L1173" s="17"/>
      <c r="M1173" s="17"/>
      <c r="N1173" s="17"/>
      <c r="O1173" s="17"/>
    </row>
    <row r="1174" spans="5:15" x14ac:dyDescent="0.25">
      <c r="E1174" s="17"/>
      <c r="F1174" s="17"/>
      <c r="G1174" s="17"/>
      <c r="H1174" s="17"/>
      <c r="J1174" s="17"/>
      <c r="K1174" s="17"/>
      <c r="L1174" s="17"/>
      <c r="M1174" s="17"/>
      <c r="N1174" s="17"/>
      <c r="O1174" s="17"/>
    </row>
    <row r="1175" spans="5:15" x14ac:dyDescent="0.25">
      <c r="E1175" s="17"/>
      <c r="F1175" s="17"/>
      <c r="G1175" s="17"/>
      <c r="H1175" s="17"/>
      <c r="J1175" s="17"/>
      <c r="K1175" s="17"/>
      <c r="L1175" s="17"/>
      <c r="M1175" s="17"/>
      <c r="N1175" s="17"/>
      <c r="O1175" s="17"/>
    </row>
    <row r="1176" spans="5:15" x14ac:dyDescent="0.25">
      <c r="E1176" s="17"/>
      <c r="F1176" s="17"/>
      <c r="G1176" s="17"/>
      <c r="H1176" s="17"/>
      <c r="J1176" s="17"/>
      <c r="K1176" s="17"/>
      <c r="L1176" s="17"/>
      <c r="M1176" s="17"/>
      <c r="N1176" s="17"/>
      <c r="O1176" s="17"/>
    </row>
    <row r="1177" spans="5:15" x14ac:dyDescent="0.25">
      <c r="E1177" s="17"/>
      <c r="F1177" s="17"/>
      <c r="G1177" s="17"/>
      <c r="H1177" s="17"/>
      <c r="J1177" s="17"/>
      <c r="K1177" s="17"/>
      <c r="L1177" s="17"/>
      <c r="M1177" s="17"/>
      <c r="N1177" s="17"/>
      <c r="O1177" s="17"/>
    </row>
    <row r="1178" spans="5:15" x14ac:dyDescent="0.25">
      <c r="E1178" s="17"/>
      <c r="F1178" s="17"/>
      <c r="G1178" s="17"/>
      <c r="H1178" s="17"/>
      <c r="J1178" s="17"/>
      <c r="K1178" s="17"/>
      <c r="L1178" s="17"/>
      <c r="M1178" s="17"/>
      <c r="N1178" s="17"/>
      <c r="O1178" s="17"/>
    </row>
    <row r="1179" spans="5:15" x14ac:dyDescent="0.25">
      <c r="E1179" s="17"/>
      <c r="F1179" s="17"/>
      <c r="G1179" s="17"/>
      <c r="H1179" s="17"/>
      <c r="J1179" s="17"/>
      <c r="K1179" s="17"/>
      <c r="L1179" s="17"/>
      <c r="M1179" s="17"/>
      <c r="N1179" s="17"/>
      <c r="O1179" s="17"/>
    </row>
    <row r="1180" spans="5:15" x14ac:dyDescent="0.25">
      <c r="E1180" s="17"/>
      <c r="F1180" s="17"/>
      <c r="G1180" s="17"/>
      <c r="H1180" s="17"/>
      <c r="J1180" s="17"/>
      <c r="K1180" s="17"/>
      <c r="L1180" s="17"/>
      <c r="M1180" s="17"/>
      <c r="N1180" s="17"/>
      <c r="O1180" s="17"/>
    </row>
    <row r="1181" spans="5:15" x14ac:dyDescent="0.25">
      <c r="E1181" s="17"/>
      <c r="F1181" s="17"/>
      <c r="G1181" s="17"/>
      <c r="H1181" s="17"/>
      <c r="J1181" s="17"/>
      <c r="K1181" s="17"/>
      <c r="L1181" s="17"/>
      <c r="M1181" s="17"/>
      <c r="N1181" s="17"/>
      <c r="O1181" s="17"/>
    </row>
    <row r="1182" spans="5:15" x14ac:dyDescent="0.25">
      <c r="E1182" s="17"/>
      <c r="F1182" s="17"/>
      <c r="G1182" s="17"/>
      <c r="H1182" s="17"/>
      <c r="J1182" s="17"/>
      <c r="K1182" s="17"/>
      <c r="L1182" s="17"/>
      <c r="M1182" s="17"/>
      <c r="N1182" s="17"/>
      <c r="O1182" s="17"/>
    </row>
    <row r="1183" spans="5:15" x14ac:dyDescent="0.25">
      <c r="E1183" s="17"/>
      <c r="F1183" s="17"/>
      <c r="G1183" s="17"/>
      <c r="H1183" s="17"/>
      <c r="J1183" s="17"/>
      <c r="K1183" s="17"/>
      <c r="L1183" s="17"/>
      <c r="M1183" s="17"/>
      <c r="N1183" s="17"/>
      <c r="O1183" s="17"/>
    </row>
    <row r="1184" spans="5:15" x14ac:dyDescent="0.25">
      <c r="E1184" s="17"/>
      <c r="F1184" s="17"/>
      <c r="G1184" s="17"/>
      <c r="H1184" s="17"/>
      <c r="J1184" s="17"/>
      <c r="K1184" s="17"/>
      <c r="L1184" s="17"/>
      <c r="M1184" s="17"/>
      <c r="N1184" s="17"/>
      <c r="O1184" s="17"/>
    </row>
    <row r="1185" spans="5:15" x14ac:dyDescent="0.25">
      <c r="E1185" s="17"/>
      <c r="F1185" s="17"/>
      <c r="G1185" s="17"/>
      <c r="H1185" s="17"/>
      <c r="J1185" s="17"/>
      <c r="K1185" s="17"/>
      <c r="L1185" s="17"/>
      <c r="M1185" s="17"/>
      <c r="N1185" s="17"/>
      <c r="O1185" s="17"/>
    </row>
    <row r="1186" spans="5:15" x14ac:dyDescent="0.25">
      <c r="E1186" s="17"/>
      <c r="F1186" s="17"/>
      <c r="G1186" s="17"/>
      <c r="H1186" s="17"/>
      <c r="J1186" s="17"/>
      <c r="K1186" s="17"/>
      <c r="L1186" s="17"/>
      <c r="M1186" s="17"/>
      <c r="N1186" s="17"/>
      <c r="O1186" s="17"/>
    </row>
    <row r="1187" spans="5:15" x14ac:dyDescent="0.25">
      <c r="E1187" s="17"/>
      <c r="F1187" s="17"/>
      <c r="G1187" s="17"/>
      <c r="H1187" s="17"/>
      <c r="J1187" s="17"/>
      <c r="K1187" s="17"/>
      <c r="L1187" s="17"/>
      <c r="M1187" s="17"/>
      <c r="N1187" s="17"/>
      <c r="O1187" s="17"/>
    </row>
    <row r="1188" spans="5:15" x14ac:dyDescent="0.25">
      <c r="E1188" s="17"/>
      <c r="F1188" s="17"/>
      <c r="G1188" s="17"/>
      <c r="H1188" s="17"/>
      <c r="J1188" s="17"/>
      <c r="K1188" s="17"/>
      <c r="L1188" s="17"/>
      <c r="M1188" s="17"/>
      <c r="N1188" s="17"/>
      <c r="O1188" s="17"/>
    </row>
    <row r="1189" spans="5:15" x14ac:dyDescent="0.25">
      <c r="E1189" s="17"/>
      <c r="F1189" s="17"/>
      <c r="G1189" s="17"/>
      <c r="H1189" s="17"/>
      <c r="J1189" s="17"/>
      <c r="K1189" s="17"/>
      <c r="L1189" s="17"/>
      <c r="M1189" s="17"/>
      <c r="N1189" s="17"/>
      <c r="O1189" s="17"/>
    </row>
    <row r="1190" spans="5:15" x14ac:dyDescent="0.25">
      <c r="E1190" s="17"/>
      <c r="F1190" s="17"/>
      <c r="G1190" s="17"/>
      <c r="H1190" s="17"/>
      <c r="J1190" s="17"/>
      <c r="K1190" s="17"/>
      <c r="L1190" s="17"/>
      <c r="M1190" s="17"/>
      <c r="N1190" s="17"/>
      <c r="O1190" s="17"/>
    </row>
    <row r="1191" spans="5:15" x14ac:dyDescent="0.25">
      <c r="E1191" s="17"/>
      <c r="F1191" s="17"/>
      <c r="G1191" s="17"/>
      <c r="H1191" s="17"/>
      <c r="J1191" s="17"/>
      <c r="K1191" s="17"/>
      <c r="L1191" s="17"/>
      <c r="M1191" s="17"/>
      <c r="N1191" s="17"/>
      <c r="O1191" s="17"/>
    </row>
    <row r="1192" spans="5:15" x14ac:dyDescent="0.25">
      <c r="E1192" s="17"/>
      <c r="F1192" s="17"/>
      <c r="G1192" s="17"/>
      <c r="H1192" s="17"/>
      <c r="J1192" s="17"/>
      <c r="K1192" s="17"/>
      <c r="L1192" s="17"/>
      <c r="M1192" s="17"/>
      <c r="N1192" s="17"/>
      <c r="O1192" s="17"/>
    </row>
    <row r="1193" spans="5:15" x14ac:dyDescent="0.25">
      <c r="E1193" s="17"/>
      <c r="F1193" s="17"/>
      <c r="G1193" s="17"/>
      <c r="H1193" s="17"/>
      <c r="J1193" s="17"/>
      <c r="K1193" s="17"/>
      <c r="L1193" s="17"/>
      <c r="M1193" s="17"/>
      <c r="N1193" s="17"/>
      <c r="O1193" s="17"/>
    </row>
    <row r="1194" spans="5:15" x14ac:dyDescent="0.25">
      <c r="E1194" s="17"/>
      <c r="F1194" s="17"/>
      <c r="G1194" s="17"/>
      <c r="H1194" s="17"/>
      <c r="J1194" s="17"/>
      <c r="K1194" s="17"/>
      <c r="L1194" s="17"/>
      <c r="M1194" s="17"/>
      <c r="N1194" s="17"/>
      <c r="O1194" s="17"/>
    </row>
    <row r="1195" spans="5:15" x14ac:dyDescent="0.25">
      <c r="E1195" s="17"/>
      <c r="F1195" s="17"/>
      <c r="G1195" s="17"/>
      <c r="H1195" s="17"/>
      <c r="J1195" s="17"/>
      <c r="K1195" s="17"/>
      <c r="L1195" s="17"/>
      <c r="M1195" s="17"/>
      <c r="N1195" s="17"/>
      <c r="O1195" s="17"/>
    </row>
    <row r="1196" spans="5:15" x14ac:dyDescent="0.25">
      <c r="E1196" s="17"/>
      <c r="F1196" s="17"/>
      <c r="G1196" s="17"/>
      <c r="H1196" s="17"/>
      <c r="J1196" s="17"/>
      <c r="K1196" s="17"/>
      <c r="L1196" s="17"/>
      <c r="M1196" s="17"/>
      <c r="N1196" s="17"/>
      <c r="O1196" s="17"/>
    </row>
    <row r="1197" spans="5:15" x14ac:dyDescent="0.25">
      <c r="E1197" s="17"/>
      <c r="F1197" s="17"/>
      <c r="G1197" s="17"/>
      <c r="H1197" s="17"/>
      <c r="J1197" s="17"/>
      <c r="K1197" s="17"/>
      <c r="L1197" s="17"/>
      <c r="M1197" s="17"/>
      <c r="N1197" s="17"/>
      <c r="O1197" s="17"/>
    </row>
    <row r="1198" spans="5:15" x14ac:dyDescent="0.25">
      <c r="E1198" s="17"/>
      <c r="F1198" s="17"/>
      <c r="G1198" s="17"/>
      <c r="H1198" s="17"/>
      <c r="J1198" s="17"/>
      <c r="K1198" s="17"/>
      <c r="L1198" s="17"/>
      <c r="M1198" s="17"/>
      <c r="N1198" s="17"/>
      <c r="O1198" s="17"/>
    </row>
    <row r="1199" spans="5:15" x14ac:dyDescent="0.25">
      <c r="E1199" s="17"/>
      <c r="F1199" s="17"/>
      <c r="G1199" s="17"/>
      <c r="H1199" s="17"/>
      <c r="J1199" s="17"/>
      <c r="K1199" s="17"/>
      <c r="L1199" s="17"/>
      <c r="M1199" s="17"/>
      <c r="N1199" s="17"/>
      <c r="O1199" s="17"/>
    </row>
    <row r="1200" spans="5:15" x14ac:dyDescent="0.25">
      <c r="E1200" s="17"/>
      <c r="F1200" s="17"/>
      <c r="G1200" s="17"/>
      <c r="H1200" s="17"/>
      <c r="J1200" s="17"/>
      <c r="K1200" s="17"/>
      <c r="L1200" s="17"/>
      <c r="M1200" s="17"/>
      <c r="N1200" s="17"/>
      <c r="O1200" s="17"/>
    </row>
    <row r="1201" spans="5:15" x14ac:dyDescent="0.25">
      <c r="E1201" s="17"/>
      <c r="F1201" s="17"/>
      <c r="G1201" s="17"/>
      <c r="H1201" s="17"/>
      <c r="J1201" s="17"/>
      <c r="K1201" s="17"/>
      <c r="L1201" s="17"/>
      <c r="M1201" s="17"/>
      <c r="N1201" s="17"/>
      <c r="O1201" s="17"/>
    </row>
    <row r="1202" spans="5:15" x14ac:dyDescent="0.25">
      <c r="E1202" s="17"/>
      <c r="F1202" s="17"/>
      <c r="G1202" s="17"/>
      <c r="H1202" s="17"/>
      <c r="J1202" s="17"/>
      <c r="K1202" s="17"/>
      <c r="L1202" s="17"/>
      <c r="M1202" s="17"/>
      <c r="N1202" s="17"/>
      <c r="O1202" s="17"/>
    </row>
    <row r="1203" spans="5:15" x14ac:dyDescent="0.25">
      <c r="E1203" s="17"/>
      <c r="F1203" s="17"/>
      <c r="G1203" s="17"/>
      <c r="H1203" s="17"/>
      <c r="J1203" s="17"/>
      <c r="K1203" s="17"/>
      <c r="L1203" s="17"/>
      <c r="M1203" s="17"/>
      <c r="N1203" s="17"/>
      <c r="O1203" s="17"/>
    </row>
    <row r="1204" spans="5:15" x14ac:dyDescent="0.25">
      <c r="E1204" s="17"/>
      <c r="F1204" s="17"/>
      <c r="G1204" s="17"/>
      <c r="H1204" s="17"/>
      <c r="J1204" s="17"/>
      <c r="K1204" s="17"/>
      <c r="L1204" s="17"/>
      <c r="M1204" s="17"/>
      <c r="N1204" s="17"/>
      <c r="O1204" s="17"/>
    </row>
    <row r="1205" spans="5:15" x14ac:dyDescent="0.25">
      <c r="E1205" s="17"/>
      <c r="F1205" s="17"/>
      <c r="G1205" s="17"/>
      <c r="H1205" s="17"/>
      <c r="J1205" s="17"/>
      <c r="K1205" s="17"/>
      <c r="L1205" s="17"/>
      <c r="M1205" s="17"/>
      <c r="N1205" s="17"/>
      <c r="O1205" s="17"/>
    </row>
    <row r="1206" spans="5:15" x14ac:dyDescent="0.25">
      <c r="E1206" s="17"/>
      <c r="F1206" s="17"/>
      <c r="G1206" s="17"/>
      <c r="H1206" s="17"/>
      <c r="J1206" s="17"/>
      <c r="K1206" s="17"/>
      <c r="L1206" s="17"/>
      <c r="M1206" s="17"/>
      <c r="N1206" s="17"/>
      <c r="O1206" s="17"/>
    </row>
    <row r="1207" spans="5:15" x14ac:dyDescent="0.25">
      <c r="E1207" s="17"/>
      <c r="F1207" s="17"/>
      <c r="G1207" s="17"/>
      <c r="H1207" s="17"/>
      <c r="J1207" s="17"/>
      <c r="K1207" s="17"/>
      <c r="L1207" s="17"/>
      <c r="M1207" s="17"/>
      <c r="N1207" s="17"/>
      <c r="O1207" s="17"/>
    </row>
    <row r="1208" spans="5:15" x14ac:dyDescent="0.25">
      <c r="E1208" s="17"/>
      <c r="F1208" s="17"/>
      <c r="G1208" s="17"/>
      <c r="H1208" s="17"/>
      <c r="J1208" s="17"/>
      <c r="K1208" s="17"/>
      <c r="L1208" s="17"/>
      <c r="M1208" s="17"/>
      <c r="N1208" s="17"/>
      <c r="O1208" s="17"/>
    </row>
    <row r="1209" spans="5:15" x14ac:dyDescent="0.25">
      <c r="E1209" s="17"/>
      <c r="F1209" s="17"/>
      <c r="G1209" s="17"/>
      <c r="H1209" s="17"/>
      <c r="J1209" s="17"/>
      <c r="K1209" s="17"/>
      <c r="L1209" s="17"/>
      <c r="M1209" s="17"/>
      <c r="N1209" s="17"/>
      <c r="O1209" s="17"/>
    </row>
    <row r="1210" spans="5:15" x14ac:dyDescent="0.25">
      <c r="E1210" s="17"/>
      <c r="F1210" s="17"/>
      <c r="G1210" s="17"/>
      <c r="H1210" s="17"/>
      <c r="J1210" s="17"/>
      <c r="K1210" s="17"/>
      <c r="L1210" s="17"/>
      <c r="M1210" s="17"/>
      <c r="N1210" s="17"/>
      <c r="O1210" s="17"/>
    </row>
    <row r="1211" spans="5:15" x14ac:dyDescent="0.25">
      <c r="E1211" s="17"/>
      <c r="F1211" s="17"/>
      <c r="G1211" s="17"/>
      <c r="H1211" s="17"/>
      <c r="J1211" s="17"/>
      <c r="K1211" s="17"/>
      <c r="L1211" s="17"/>
      <c r="M1211" s="17"/>
      <c r="N1211" s="17"/>
      <c r="O1211" s="17"/>
    </row>
    <row r="1212" spans="5:15" x14ac:dyDescent="0.25">
      <c r="E1212" s="17"/>
      <c r="F1212" s="17"/>
      <c r="G1212" s="17"/>
      <c r="H1212" s="17"/>
      <c r="J1212" s="17"/>
      <c r="K1212" s="17"/>
      <c r="L1212" s="17"/>
      <c r="M1212" s="17"/>
      <c r="N1212" s="17"/>
      <c r="O1212" s="17"/>
    </row>
    <row r="1213" spans="5:15" x14ac:dyDescent="0.25">
      <c r="E1213" s="17"/>
      <c r="F1213" s="17"/>
      <c r="G1213" s="17"/>
      <c r="H1213" s="17"/>
      <c r="J1213" s="17"/>
      <c r="K1213" s="17"/>
      <c r="L1213" s="17"/>
      <c r="M1213" s="17"/>
      <c r="N1213" s="17"/>
      <c r="O1213" s="17"/>
    </row>
    <row r="1214" spans="5:15" x14ac:dyDescent="0.25">
      <c r="E1214" s="17"/>
      <c r="F1214" s="17"/>
      <c r="G1214" s="17"/>
      <c r="H1214" s="17"/>
      <c r="J1214" s="17"/>
      <c r="K1214" s="17"/>
      <c r="L1214" s="17"/>
      <c r="M1214" s="17"/>
      <c r="N1214" s="17"/>
      <c r="O1214" s="17"/>
    </row>
    <row r="1215" spans="5:15" x14ac:dyDescent="0.25">
      <c r="E1215" s="17"/>
      <c r="F1215" s="17"/>
      <c r="G1215" s="17"/>
      <c r="H1215" s="17"/>
      <c r="J1215" s="17"/>
      <c r="K1215" s="17"/>
      <c r="L1215" s="17"/>
      <c r="M1215" s="17"/>
      <c r="N1215" s="17"/>
      <c r="O1215" s="17"/>
    </row>
    <row r="1216" spans="5:15" x14ac:dyDescent="0.25">
      <c r="E1216" s="17"/>
      <c r="F1216" s="17"/>
      <c r="G1216" s="17"/>
      <c r="H1216" s="17"/>
      <c r="J1216" s="17"/>
      <c r="K1216" s="17"/>
      <c r="L1216" s="17"/>
      <c r="M1216" s="17"/>
      <c r="N1216" s="17"/>
      <c r="O1216" s="17"/>
    </row>
    <row r="1217" spans="5:15" x14ac:dyDescent="0.25">
      <c r="E1217" s="17"/>
      <c r="F1217" s="17"/>
      <c r="G1217" s="17"/>
      <c r="H1217" s="17"/>
      <c r="J1217" s="17"/>
      <c r="K1217" s="17"/>
      <c r="L1217" s="17"/>
      <c r="M1217" s="17"/>
      <c r="N1217" s="17"/>
      <c r="O1217" s="17"/>
    </row>
    <row r="1218" spans="5:15" x14ac:dyDescent="0.25">
      <c r="E1218" s="17"/>
      <c r="F1218" s="17"/>
      <c r="G1218" s="17"/>
      <c r="H1218" s="17"/>
      <c r="J1218" s="17"/>
      <c r="K1218" s="17"/>
      <c r="L1218" s="17"/>
      <c r="M1218" s="17"/>
      <c r="N1218" s="17"/>
      <c r="O1218" s="17"/>
    </row>
    <row r="1219" spans="5:15" x14ac:dyDescent="0.25">
      <c r="E1219" s="17"/>
      <c r="F1219" s="17"/>
      <c r="G1219" s="17"/>
      <c r="H1219" s="17"/>
      <c r="J1219" s="17"/>
      <c r="K1219" s="17"/>
      <c r="L1219" s="17"/>
      <c r="M1219" s="17"/>
      <c r="N1219" s="17"/>
      <c r="O1219" s="17"/>
    </row>
    <row r="1220" spans="5:15" x14ac:dyDescent="0.25">
      <c r="E1220" s="17"/>
      <c r="F1220" s="17"/>
      <c r="G1220" s="17"/>
      <c r="H1220" s="17"/>
      <c r="J1220" s="17"/>
      <c r="K1220" s="17"/>
      <c r="L1220" s="17"/>
      <c r="M1220" s="17"/>
      <c r="N1220" s="17"/>
      <c r="O1220" s="17"/>
    </row>
    <row r="1221" spans="5:15" x14ac:dyDescent="0.25">
      <c r="E1221" s="17"/>
      <c r="F1221" s="17"/>
      <c r="G1221" s="17"/>
      <c r="H1221" s="17"/>
      <c r="J1221" s="17"/>
      <c r="K1221" s="17"/>
      <c r="L1221" s="17"/>
      <c r="M1221" s="17"/>
      <c r="N1221" s="17"/>
      <c r="O1221" s="17"/>
    </row>
    <row r="1222" spans="5:15" x14ac:dyDescent="0.25">
      <c r="E1222" s="17"/>
      <c r="F1222" s="17"/>
      <c r="G1222" s="17"/>
      <c r="H1222" s="17"/>
      <c r="J1222" s="17"/>
      <c r="K1222" s="17"/>
      <c r="L1222" s="17"/>
      <c r="M1222" s="17"/>
      <c r="N1222" s="17"/>
      <c r="O1222" s="17"/>
    </row>
    <row r="1223" spans="5:15" x14ac:dyDescent="0.25">
      <c r="E1223" s="17"/>
      <c r="F1223" s="17"/>
      <c r="G1223" s="17"/>
      <c r="H1223" s="17"/>
      <c r="J1223" s="17"/>
      <c r="K1223" s="17"/>
      <c r="L1223" s="17"/>
      <c r="M1223" s="17"/>
      <c r="N1223" s="17"/>
      <c r="O1223" s="17"/>
    </row>
    <row r="1224" spans="5:15" x14ac:dyDescent="0.25">
      <c r="E1224" s="17"/>
      <c r="F1224" s="17"/>
      <c r="G1224" s="17"/>
      <c r="H1224" s="17"/>
      <c r="J1224" s="17"/>
      <c r="K1224" s="17"/>
      <c r="L1224" s="17"/>
      <c r="M1224" s="17"/>
      <c r="N1224" s="17"/>
      <c r="O1224" s="17"/>
    </row>
    <row r="1225" spans="5:15" x14ac:dyDescent="0.25">
      <c r="E1225" s="17"/>
      <c r="F1225" s="17"/>
      <c r="G1225" s="17"/>
      <c r="H1225" s="17"/>
      <c r="J1225" s="17"/>
      <c r="K1225" s="17"/>
      <c r="L1225" s="17"/>
      <c r="M1225" s="17"/>
      <c r="N1225" s="17"/>
      <c r="O1225" s="17"/>
    </row>
    <row r="1226" spans="5:15" x14ac:dyDescent="0.25">
      <c r="E1226" s="17"/>
      <c r="F1226" s="17"/>
      <c r="G1226" s="17"/>
      <c r="H1226" s="17"/>
      <c r="J1226" s="17"/>
      <c r="K1226" s="17"/>
      <c r="L1226" s="17"/>
      <c r="M1226" s="17"/>
      <c r="N1226" s="17"/>
      <c r="O1226" s="17"/>
    </row>
    <row r="1227" spans="5:15" x14ac:dyDescent="0.25">
      <c r="E1227" s="17"/>
      <c r="F1227" s="17"/>
      <c r="G1227" s="17"/>
      <c r="H1227" s="17"/>
      <c r="J1227" s="17"/>
      <c r="K1227" s="17"/>
      <c r="L1227" s="17"/>
      <c r="M1227" s="17"/>
      <c r="N1227" s="17"/>
      <c r="O1227" s="17"/>
    </row>
    <row r="1228" spans="5:15" x14ac:dyDescent="0.25">
      <c r="E1228" s="17"/>
      <c r="F1228" s="17"/>
      <c r="G1228" s="17"/>
      <c r="H1228" s="17"/>
      <c r="J1228" s="17"/>
      <c r="K1228" s="17"/>
      <c r="L1228" s="17"/>
      <c r="M1228" s="17"/>
      <c r="N1228" s="17"/>
      <c r="O1228" s="17"/>
    </row>
    <row r="1229" spans="5:15" x14ac:dyDescent="0.25">
      <c r="E1229" s="17"/>
      <c r="F1229" s="17"/>
      <c r="G1229" s="17"/>
      <c r="H1229" s="17"/>
      <c r="J1229" s="17"/>
      <c r="K1229" s="17"/>
      <c r="L1229" s="17"/>
      <c r="M1229" s="17"/>
      <c r="N1229" s="17"/>
      <c r="O1229" s="17"/>
    </row>
    <row r="1230" spans="5:15" x14ac:dyDescent="0.25">
      <c r="E1230" s="17"/>
      <c r="F1230" s="17"/>
      <c r="G1230" s="17"/>
      <c r="H1230" s="17"/>
      <c r="J1230" s="17"/>
      <c r="K1230" s="17"/>
      <c r="L1230" s="17"/>
      <c r="M1230" s="17"/>
      <c r="N1230" s="17"/>
      <c r="O1230" s="17"/>
    </row>
    <row r="1231" spans="5:15" x14ac:dyDescent="0.25">
      <c r="E1231" s="17"/>
      <c r="F1231" s="17"/>
      <c r="G1231" s="17"/>
      <c r="H1231" s="17"/>
      <c r="J1231" s="17"/>
      <c r="K1231" s="17"/>
      <c r="L1231" s="17"/>
      <c r="M1231" s="17"/>
      <c r="N1231" s="17"/>
      <c r="O1231" s="17"/>
    </row>
    <row r="1232" spans="5:15" x14ac:dyDescent="0.25">
      <c r="E1232" s="17"/>
      <c r="F1232" s="17"/>
      <c r="G1232" s="17"/>
      <c r="H1232" s="17"/>
      <c r="J1232" s="17"/>
      <c r="K1232" s="17"/>
      <c r="L1232" s="17"/>
      <c r="M1232" s="17"/>
      <c r="N1232" s="17"/>
      <c r="O1232" s="17"/>
    </row>
    <row r="1233" spans="5:15" x14ac:dyDescent="0.25">
      <c r="E1233" s="17"/>
      <c r="F1233" s="17"/>
      <c r="G1233" s="17"/>
      <c r="H1233" s="17"/>
      <c r="J1233" s="17"/>
      <c r="K1233" s="17"/>
      <c r="L1233" s="17"/>
      <c r="M1233" s="17"/>
      <c r="N1233" s="17"/>
      <c r="O1233" s="17"/>
    </row>
    <row r="1234" spans="5:15" x14ac:dyDescent="0.25">
      <c r="E1234" s="17"/>
      <c r="F1234" s="17"/>
      <c r="G1234" s="17"/>
      <c r="H1234" s="17"/>
      <c r="J1234" s="17"/>
      <c r="K1234" s="17"/>
      <c r="L1234" s="17"/>
      <c r="M1234" s="17"/>
      <c r="N1234" s="17"/>
      <c r="O1234" s="17"/>
    </row>
    <row r="1235" spans="5:15" x14ac:dyDescent="0.25">
      <c r="E1235" s="17"/>
      <c r="F1235" s="17"/>
      <c r="G1235" s="17"/>
      <c r="H1235" s="17"/>
      <c r="J1235" s="17"/>
      <c r="K1235" s="17"/>
      <c r="L1235" s="17"/>
      <c r="M1235" s="17"/>
      <c r="N1235" s="17"/>
      <c r="O1235" s="17"/>
    </row>
    <row r="1236" spans="5:15" x14ac:dyDescent="0.25">
      <c r="E1236" s="17"/>
      <c r="F1236" s="17"/>
      <c r="G1236" s="17"/>
      <c r="H1236" s="17"/>
      <c r="J1236" s="17"/>
      <c r="K1236" s="17"/>
      <c r="L1236" s="17"/>
      <c r="M1236" s="17"/>
      <c r="N1236" s="17"/>
      <c r="O1236" s="17"/>
    </row>
    <row r="1237" spans="5:15" x14ac:dyDescent="0.25">
      <c r="E1237" s="17"/>
      <c r="F1237" s="17"/>
      <c r="G1237" s="17"/>
      <c r="H1237" s="17"/>
      <c r="J1237" s="17"/>
      <c r="K1237" s="17"/>
      <c r="L1237" s="17"/>
      <c r="M1237" s="17"/>
      <c r="N1237" s="17"/>
      <c r="O1237" s="17"/>
    </row>
    <row r="1238" spans="5:15" x14ac:dyDescent="0.25">
      <c r="E1238" s="17"/>
      <c r="F1238" s="17"/>
      <c r="G1238" s="17"/>
      <c r="H1238" s="17"/>
      <c r="J1238" s="17"/>
      <c r="K1238" s="17"/>
      <c r="L1238" s="17"/>
      <c r="M1238" s="17"/>
      <c r="N1238" s="17"/>
      <c r="O1238" s="17"/>
    </row>
    <row r="1239" spans="5:15" x14ac:dyDescent="0.25">
      <c r="E1239" s="17"/>
      <c r="F1239" s="17"/>
      <c r="G1239" s="17"/>
      <c r="H1239" s="17"/>
      <c r="J1239" s="17"/>
      <c r="K1239" s="17"/>
      <c r="L1239" s="17"/>
      <c r="M1239" s="17"/>
      <c r="N1239" s="17"/>
      <c r="O1239" s="17"/>
    </row>
    <row r="1240" spans="5:15" x14ac:dyDescent="0.25">
      <c r="E1240" s="17"/>
      <c r="F1240" s="17"/>
      <c r="G1240" s="17"/>
      <c r="H1240" s="17"/>
      <c r="J1240" s="17"/>
      <c r="K1240" s="17"/>
      <c r="L1240" s="17"/>
      <c r="M1240" s="17"/>
      <c r="N1240" s="17"/>
      <c r="O1240" s="17"/>
    </row>
    <row r="1241" spans="5:15" x14ac:dyDescent="0.25">
      <c r="E1241" s="17"/>
      <c r="F1241" s="17"/>
      <c r="G1241" s="17"/>
      <c r="H1241" s="17"/>
      <c r="J1241" s="17"/>
      <c r="K1241" s="17"/>
      <c r="L1241" s="17"/>
      <c r="M1241" s="17"/>
      <c r="N1241" s="17"/>
      <c r="O1241" s="17"/>
    </row>
    <row r="1242" spans="5:15" x14ac:dyDescent="0.25">
      <c r="E1242" s="17"/>
      <c r="F1242" s="17"/>
      <c r="G1242" s="17"/>
      <c r="H1242" s="17"/>
      <c r="J1242" s="17"/>
      <c r="K1242" s="17"/>
      <c r="L1242" s="17"/>
      <c r="M1242" s="17"/>
      <c r="N1242" s="17"/>
      <c r="O1242" s="17"/>
    </row>
    <row r="1243" spans="5:15" x14ac:dyDescent="0.25">
      <c r="E1243" s="17"/>
      <c r="F1243" s="17"/>
      <c r="G1243" s="17"/>
      <c r="H1243" s="17"/>
      <c r="J1243" s="17"/>
      <c r="K1243" s="17"/>
      <c r="L1243" s="17"/>
      <c r="M1243" s="17"/>
      <c r="N1243" s="17"/>
      <c r="O1243" s="17"/>
    </row>
    <row r="1244" spans="5:15" x14ac:dyDescent="0.25">
      <c r="E1244" s="17"/>
      <c r="F1244" s="17"/>
      <c r="G1244" s="17"/>
      <c r="H1244" s="17"/>
      <c r="J1244" s="17"/>
      <c r="K1244" s="17"/>
      <c r="L1244" s="17"/>
      <c r="M1244" s="17"/>
      <c r="N1244" s="17"/>
      <c r="O1244" s="17"/>
    </row>
    <row r="1245" spans="5:15" x14ac:dyDescent="0.25">
      <c r="E1245" s="17"/>
      <c r="F1245" s="17"/>
      <c r="G1245" s="17"/>
      <c r="H1245" s="17"/>
      <c r="J1245" s="17"/>
      <c r="K1245" s="17"/>
      <c r="L1245" s="17"/>
      <c r="M1245" s="17"/>
      <c r="N1245" s="17"/>
      <c r="O1245" s="17"/>
    </row>
    <row r="1246" spans="5:15" x14ac:dyDescent="0.25">
      <c r="E1246" s="17"/>
      <c r="F1246" s="17"/>
      <c r="G1246" s="17"/>
      <c r="H1246" s="17"/>
      <c r="J1246" s="17"/>
      <c r="K1246" s="17"/>
      <c r="L1246" s="17"/>
      <c r="M1246" s="17"/>
      <c r="N1246" s="17"/>
      <c r="O1246" s="17"/>
    </row>
    <row r="1247" spans="5:15" x14ac:dyDescent="0.25">
      <c r="E1247" s="17"/>
      <c r="F1247" s="17"/>
      <c r="G1247" s="17"/>
      <c r="H1247" s="17"/>
      <c r="J1247" s="17"/>
      <c r="K1247" s="17"/>
      <c r="L1247" s="17"/>
      <c r="M1247" s="17"/>
      <c r="N1247" s="17"/>
      <c r="O1247" s="17"/>
    </row>
    <row r="1248" spans="5:15" x14ac:dyDescent="0.25">
      <c r="E1248" s="17"/>
      <c r="F1248" s="17"/>
      <c r="G1248" s="17"/>
      <c r="H1248" s="17"/>
      <c r="J1248" s="17"/>
      <c r="K1248" s="17"/>
      <c r="L1248" s="17"/>
      <c r="M1248" s="17"/>
      <c r="N1248" s="17"/>
      <c r="O1248" s="17"/>
    </row>
    <row r="1249" spans="5:15" x14ac:dyDescent="0.25">
      <c r="E1249" s="17"/>
      <c r="F1249" s="17"/>
      <c r="G1249" s="17"/>
      <c r="H1249" s="17"/>
      <c r="J1249" s="17"/>
      <c r="K1249" s="17"/>
      <c r="L1249" s="17"/>
      <c r="M1249" s="17"/>
      <c r="N1249" s="17"/>
      <c r="O1249" s="17"/>
    </row>
    <row r="1250" spans="5:15" x14ac:dyDescent="0.25">
      <c r="E1250" s="17"/>
      <c r="F1250" s="17"/>
      <c r="G1250" s="17"/>
      <c r="H1250" s="17"/>
      <c r="J1250" s="17"/>
      <c r="K1250" s="17"/>
      <c r="L1250" s="17"/>
      <c r="M1250" s="17"/>
      <c r="N1250" s="17"/>
      <c r="O1250" s="17"/>
    </row>
    <row r="1251" spans="5:15" x14ac:dyDescent="0.25">
      <c r="E1251" s="17"/>
      <c r="F1251" s="17"/>
      <c r="G1251" s="17"/>
      <c r="H1251" s="17"/>
      <c r="J1251" s="17"/>
      <c r="K1251" s="17"/>
      <c r="L1251" s="17"/>
      <c r="M1251" s="17"/>
      <c r="N1251" s="17"/>
      <c r="O1251" s="17"/>
    </row>
    <row r="1252" spans="5:15" x14ac:dyDescent="0.25">
      <c r="E1252" s="17"/>
      <c r="F1252" s="17"/>
      <c r="G1252" s="17"/>
      <c r="H1252" s="17"/>
      <c r="J1252" s="17"/>
      <c r="K1252" s="17"/>
      <c r="L1252" s="17"/>
      <c r="M1252" s="17"/>
      <c r="N1252" s="17"/>
      <c r="O1252" s="17"/>
    </row>
    <row r="1253" spans="5:15" x14ac:dyDescent="0.25">
      <c r="E1253" s="17"/>
      <c r="F1253" s="17"/>
      <c r="G1253" s="17"/>
      <c r="H1253" s="17"/>
      <c r="J1253" s="17"/>
      <c r="K1253" s="17"/>
      <c r="L1253" s="17"/>
      <c r="M1253" s="17"/>
      <c r="N1253" s="17"/>
      <c r="O1253" s="17"/>
    </row>
    <row r="1254" spans="5:15" x14ac:dyDescent="0.25">
      <c r="E1254" s="17"/>
      <c r="F1254" s="17"/>
      <c r="G1254" s="17"/>
      <c r="H1254" s="17"/>
      <c r="J1254" s="17"/>
      <c r="K1254" s="17"/>
      <c r="L1254" s="17"/>
      <c r="M1254" s="17"/>
      <c r="N1254" s="17"/>
      <c r="O1254" s="17"/>
    </row>
    <row r="1255" spans="5:15" x14ac:dyDescent="0.25">
      <c r="E1255" s="17"/>
      <c r="F1255" s="17"/>
      <c r="G1255" s="17"/>
      <c r="H1255" s="17"/>
      <c r="J1255" s="17"/>
      <c r="K1255" s="17"/>
      <c r="L1255" s="17"/>
      <c r="M1255" s="17"/>
      <c r="N1255" s="17"/>
      <c r="O1255" s="17"/>
    </row>
    <row r="1256" spans="5:15" x14ac:dyDescent="0.25">
      <c r="E1256" s="17"/>
      <c r="F1256" s="17"/>
      <c r="G1256" s="17"/>
      <c r="H1256" s="17"/>
      <c r="J1256" s="17"/>
      <c r="K1256" s="17"/>
      <c r="L1256" s="17"/>
      <c r="M1256" s="17"/>
      <c r="N1256" s="17"/>
      <c r="O1256" s="17"/>
    </row>
    <row r="1257" spans="5:15" x14ac:dyDescent="0.25">
      <c r="E1257" s="17"/>
      <c r="F1257" s="17"/>
      <c r="G1257" s="17"/>
      <c r="H1257" s="17"/>
      <c r="J1257" s="17"/>
      <c r="K1257" s="17"/>
      <c r="L1257" s="17"/>
      <c r="M1257" s="17"/>
      <c r="N1257" s="17"/>
      <c r="O1257" s="17"/>
    </row>
    <row r="1258" spans="5:15" x14ac:dyDescent="0.25">
      <c r="E1258" s="17"/>
      <c r="F1258" s="17"/>
      <c r="G1258" s="17"/>
      <c r="H1258" s="17"/>
      <c r="J1258" s="17"/>
      <c r="K1258" s="17"/>
      <c r="L1258" s="17"/>
      <c r="M1258" s="17"/>
      <c r="N1258" s="17"/>
      <c r="O1258" s="17"/>
    </row>
    <row r="1259" spans="5:15" x14ac:dyDescent="0.25">
      <c r="E1259" s="17"/>
      <c r="F1259" s="17"/>
      <c r="G1259" s="17"/>
      <c r="H1259" s="17"/>
      <c r="J1259" s="17"/>
      <c r="K1259" s="17"/>
      <c r="L1259" s="17"/>
      <c r="M1259" s="17"/>
      <c r="N1259" s="17"/>
      <c r="O1259" s="17"/>
    </row>
    <row r="1260" spans="5:15" x14ac:dyDescent="0.25">
      <c r="E1260" s="17"/>
      <c r="F1260" s="17"/>
      <c r="G1260" s="17"/>
      <c r="H1260" s="17"/>
      <c r="J1260" s="17"/>
      <c r="K1260" s="17"/>
      <c r="L1260" s="17"/>
      <c r="M1260" s="17"/>
      <c r="N1260" s="17"/>
      <c r="O1260" s="17"/>
    </row>
    <row r="1261" spans="5:15" x14ac:dyDescent="0.25">
      <c r="E1261" s="17"/>
      <c r="F1261" s="17"/>
      <c r="G1261" s="17"/>
      <c r="H1261" s="17"/>
      <c r="J1261" s="17"/>
      <c r="K1261" s="17"/>
      <c r="L1261" s="17"/>
      <c r="M1261" s="17"/>
      <c r="N1261" s="17"/>
      <c r="O1261" s="17"/>
    </row>
    <row r="1262" spans="5:15" x14ac:dyDescent="0.25">
      <c r="E1262" s="17"/>
      <c r="F1262" s="17"/>
      <c r="G1262" s="17"/>
      <c r="H1262" s="17"/>
      <c r="J1262" s="17"/>
      <c r="K1262" s="17"/>
      <c r="L1262" s="17"/>
      <c r="M1262" s="17"/>
      <c r="N1262" s="17"/>
      <c r="O1262" s="17"/>
    </row>
    <row r="1263" spans="5:15" x14ac:dyDescent="0.25">
      <c r="E1263" s="17"/>
      <c r="F1263" s="17"/>
      <c r="G1263" s="17"/>
      <c r="H1263" s="17"/>
      <c r="J1263" s="17"/>
      <c r="K1263" s="17"/>
      <c r="L1263" s="17"/>
      <c r="M1263" s="17"/>
      <c r="N1263" s="17"/>
      <c r="O1263" s="17"/>
    </row>
    <row r="1264" spans="5:15" x14ac:dyDescent="0.25">
      <c r="E1264" s="17"/>
      <c r="F1264" s="17"/>
      <c r="G1264" s="17"/>
      <c r="H1264" s="17"/>
      <c r="J1264" s="17"/>
      <c r="K1264" s="17"/>
      <c r="L1264" s="17"/>
      <c r="M1264" s="17"/>
      <c r="N1264" s="17"/>
      <c r="O1264" s="17"/>
    </row>
    <row r="1265" spans="5:15" x14ac:dyDescent="0.25">
      <c r="E1265" s="17"/>
      <c r="F1265" s="17"/>
      <c r="G1265" s="17"/>
      <c r="H1265" s="17"/>
      <c r="J1265" s="17"/>
      <c r="K1265" s="17"/>
      <c r="L1265" s="17"/>
      <c r="M1265" s="17"/>
      <c r="N1265" s="17"/>
      <c r="O1265" s="17"/>
    </row>
    <row r="1266" spans="5:15" x14ac:dyDescent="0.25">
      <c r="E1266" s="17"/>
      <c r="F1266" s="17"/>
      <c r="G1266" s="17"/>
      <c r="H1266" s="17"/>
      <c r="J1266" s="17"/>
      <c r="K1266" s="17"/>
      <c r="L1266" s="17"/>
      <c r="M1266" s="17"/>
      <c r="N1266" s="17"/>
      <c r="O1266" s="17"/>
    </row>
    <row r="1267" spans="5:15" x14ac:dyDescent="0.25">
      <c r="E1267" s="17"/>
      <c r="F1267" s="17"/>
      <c r="G1267" s="17"/>
      <c r="H1267" s="17"/>
      <c r="J1267" s="17"/>
      <c r="K1267" s="17"/>
      <c r="L1267" s="17"/>
      <c r="M1267" s="17"/>
      <c r="N1267" s="17"/>
      <c r="O1267" s="17"/>
    </row>
    <row r="1268" spans="5:15" x14ac:dyDescent="0.25">
      <c r="E1268" s="17"/>
      <c r="F1268" s="17"/>
      <c r="G1268" s="17"/>
      <c r="H1268" s="17"/>
      <c r="J1268" s="17"/>
      <c r="K1268" s="17"/>
      <c r="L1268" s="17"/>
      <c r="M1268" s="17"/>
      <c r="N1268" s="17"/>
      <c r="O1268" s="17"/>
    </row>
    <row r="1269" spans="5:15" x14ac:dyDescent="0.25">
      <c r="E1269" s="17"/>
      <c r="F1269" s="17"/>
      <c r="G1269" s="17"/>
      <c r="H1269" s="17"/>
      <c r="J1269" s="17"/>
      <c r="K1269" s="17"/>
      <c r="L1269" s="17"/>
      <c r="M1269" s="17"/>
      <c r="N1269" s="17"/>
      <c r="O1269" s="17"/>
    </row>
    <row r="1270" spans="5:15" x14ac:dyDescent="0.25">
      <c r="E1270" s="17"/>
      <c r="F1270" s="17"/>
      <c r="G1270" s="17"/>
      <c r="H1270" s="17"/>
      <c r="J1270" s="17"/>
      <c r="K1270" s="17"/>
      <c r="L1270" s="17"/>
      <c r="M1270" s="17"/>
      <c r="N1270" s="17"/>
      <c r="O1270" s="17"/>
    </row>
    <row r="1271" spans="5:15" x14ac:dyDescent="0.25">
      <c r="E1271" s="17"/>
      <c r="F1271" s="17"/>
      <c r="G1271" s="17"/>
      <c r="H1271" s="17"/>
      <c r="J1271" s="17"/>
      <c r="K1271" s="17"/>
      <c r="L1271" s="17"/>
      <c r="M1271" s="17"/>
      <c r="N1271" s="17"/>
      <c r="O1271" s="17"/>
    </row>
    <row r="1272" spans="5:15" x14ac:dyDescent="0.25">
      <c r="E1272" s="17"/>
      <c r="F1272" s="17"/>
      <c r="G1272" s="17"/>
      <c r="H1272" s="17"/>
      <c r="J1272" s="17"/>
      <c r="K1272" s="17"/>
      <c r="L1272" s="17"/>
      <c r="M1272" s="17"/>
      <c r="N1272" s="17"/>
      <c r="O1272" s="17"/>
    </row>
    <row r="1273" spans="5:15" x14ac:dyDescent="0.25">
      <c r="E1273" s="17"/>
      <c r="F1273" s="17"/>
      <c r="G1273" s="17"/>
      <c r="H1273" s="17"/>
      <c r="J1273" s="17"/>
      <c r="K1273" s="17"/>
      <c r="L1273" s="17"/>
      <c r="M1273" s="17"/>
      <c r="N1273" s="17"/>
      <c r="O1273" s="17"/>
    </row>
    <row r="1274" spans="5:15" x14ac:dyDescent="0.25">
      <c r="E1274" s="17"/>
      <c r="F1274" s="17"/>
      <c r="G1274" s="17"/>
      <c r="H1274" s="17"/>
      <c r="J1274" s="17"/>
      <c r="K1274" s="17"/>
      <c r="L1274" s="17"/>
      <c r="M1274" s="17"/>
      <c r="N1274" s="17"/>
      <c r="O1274" s="17"/>
    </row>
    <row r="1275" spans="5:15" x14ac:dyDescent="0.25">
      <c r="E1275" s="17"/>
      <c r="F1275" s="17"/>
      <c r="G1275" s="17"/>
      <c r="H1275" s="17"/>
      <c r="J1275" s="17"/>
      <c r="K1275" s="17"/>
      <c r="L1275" s="17"/>
      <c r="M1275" s="17"/>
      <c r="N1275" s="17"/>
      <c r="O1275" s="17"/>
    </row>
    <row r="1276" spans="5:15" x14ac:dyDescent="0.25">
      <c r="E1276" s="17"/>
      <c r="F1276" s="17"/>
      <c r="G1276" s="17"/>
      <c r="H1276" s="17"/>
      <c r="J1276" s="17"/>
      <c r="K1276" s="17"/>
      <c r="L1276" s="17"/>
      <c r="M1276" s="17"/>
      <c r="N1276" s="17"/>
      <c r="O1276" s="17"/>
    </row>
    <row r="1277" spans="5:15" x14ac:dyDescent="0.25">
      <c r="E1277" s="17"/>
      <c r="F1277" s="17"/>
      <c r="G1277" s="17"/>
      <c r="H1277" s="17"/>
      <c r="J1277" s="17"/>
      <c r="K1277" s="17"/>
      <c r="L1277" s="17"/>
      <c r="M1277" s="17"/>
      <c r="N1277" s="17"/>
      <c r="O1277" s="17"/>
    </row>
    <row r="1278" spans="5:15" x14ac:dyDescent="0.25">
      <c r="E1278" s="17"/>
      <c r="F1278" s="17"/>
      <c r="G1278" s="17"/>
      <c r="H1278" s="17"/>
      <c r="J1278" s="17"/>
      <c r="K1278" s="17"/>
      <c r="L1278" s="17"/>
      <c r="M1278" s="17"/>
      <c r="N1278" s="17"/>
      <c r="O1278" s="17"/>
    </row>
    <row r="1279" spans="5:15" x14ac:dyDescent="0.25">
      <c r="E1279" s="17"/>
      <c r="F1279" s="17"/>
      <c r="G1279" s="17"/>
      <c r="H1279" s="17"/>
      <c r="J1279" s="17"/>
      <c r="K1279" s="17"/>
      <c r="L1279" s="17"/>
      <c r="M1279" s="17"/>
      <c r="N1279" s="17"/>
      <c r="O1279" s="17"/>
    </row>
    <row r="1280" spans="5:15" x14ac:dyDescent="0.25">
      <c r="E1280" s="17"/>
      <c r="F1280" s="17"/>
      <c r="G1280" s="17"/>
      <c r="H1280" s="17"/>
      <c r="J1280" s="17"/>
      <c r="K1280" s="17"/>
      <c r="L1280" s="17"/>
      <c r="M1280" s="17"/>
      <c r="N1280" s="17"/>
      <c r="O1280" s="17"/>
    </row>
    <row r="1281" spans="5:15" x14ac:dyDescent="0.25">
      <c r="E1281" s="17"/>
      <c r="F1281" s="17"/>
      <c r="G1281" s="17"/>
      <c r="H1281" s="17"/>
      <c r="J1281" s="17"/>
      <c r="K1281" s="17"/>
      <c r="L1281" s="17"/>
      <c r="M1281" s="17"/>
      <c r="N1281" s="17"/>
      <c r="O1281" s="17"/>
    </row>
    <row r="1282" spans="5:15" x14ac:dyDescent="0.25">
      <c r="E1282" s="17"/>
      <c r="F1282" s="17"/>
      <c r="G1282" s="17"/>
      <c r="H1282" s="17"/>
      <c r="J1282" s="17"/>
      <c r="K1282" s="17"/>
      <c r="L1282" s="17"/>
      <c r="M1282" s="17"/>
      <c r="N1282" s="17"/>
      <c r="O1282" s="17"/>
    </row>
    <row r="1283" spans="5:15" x14ac:dyDescent="0.25">
      <c r="E1283" s="17"/>
      <c r="F1283" s="17"/>
      <c r="G1283" s="17"/>
      <c r="H1283" s="17"/>
      <c r="J1283" s="17"/>
      <c r="K1283" s="17"/>
      <c r="L1283" s="17"/>
      <c r="M1283" s="17"/>
      <c r="N1283" s="17"/>
      <c r="O1283" s="17"/>
    </row>
    <row r="1284" spans="5:15" x14ac:dyDescent="0.25">
      <c r="E1284" s="17"/>
      <c r="F1284" s="17"/>
      <c r="G1284" s="17"/>
      <c r="H1284" s="17"/>
      <c r="J1284" s="17"/>
      <c r="K1284" s="17"/>
      <c r="L1284" s="17"/>
      <c r="M1284" s="17"/>
      <c r="N1284" s="17"/>
      <c r="O1284" s="17"/>
    </row>
    <row r="1285" spans="5:15" x14ac:dyDescent="0.25">
      <c r="E1285" s="17"/>
      <c r="F1285" s="17"/>
      <c r="G1285" s="17"/>
      <c r="H1285" s="17"/>
      <c r="J1285" s="17"/>
      <c r="K1285" s="17"/>
      <c r="L1285" s="17"/>
      <c r="M1285" s="17"/>
      <c r="N1285" s="17"/>
      <c r="O1285" s="17"/>
    </row>
    <row r="1286" spans="5:15" x14ac:dyDescent="0.25">
      <c r="E1286" s="17"/>
      <c r="F1286" s="17"/>
      <c r="G1286" s="17"/>
      <c r="H1286" s="17"/>
      <c r="J1286" s="17"/>
      <c r="K1286" s="17"/>
      <c r="L1286" s="17"/>
      <c r="M1286" s="17"/>
      <c r="N1286" s="17"/>
      <c r="O1286" s="17"/>
    </row>
    <row r="1287" spans="5:15" x14ac:dyDescent="0.25">
      <c r="E1287" s="17"/>
      <c r="F1287" s="17"/>
      <c r="G1287" s="17"/>
      <c r="H1287" s="17"/>
      <c r="J1287" s="17"/>
      <c r="K1287" s="17"/>
      <c r="L1287" s="17"/>
      <c r="M1287" s="17"/>
      <c r="N1287" s="17"/>
      <c r="O1287" s="17"/>
    </row>
    <row r="1288" spans="5:15" x14ac:dyDescent="0.25">
      <c r="E1288" s="17"/>
      <c r="F1288" s="17"/>
      <c r="G1288" s="17"/>
      <c r="H1288" s="17"/>
      <c r="J1288" s="17"/>
      <c r="K1288" s="17"/>
      <c r="L1288" s="17"/>
      <c r="M1288" s="17"/>
      <c r="N1288" s="17"/>
      <c r="O1288" s="17"/>
    </row>
    <row r="1289" spans="5:15" x14ac:dyDescent="0.25">
      <c r="E1289" s="17"/>
      <c r="F1289" s="17"/>
      <c r="G1289" s="17"/>
      <c r="H1289" s="17"/>
      <c r="J1289" s="17"/>
      <c r="K1289" s="17"/>
      <c r="L1289" s="17"/>
      <c r="M1289" s="17"/>
      <c r="N1289" s="17"/>
      <c r="O1289" s="17"/>
    </row>
    <row r="1290" spans="5:15" x14ac:dyDescent="0.25">
      <c r="E1290" s="17"/>
      <c r="F1290" s="17"/>
      <c r="G1290" s="17"/>
      <c r="H1290" s="17"/>
      <c r="J1290" s="17"/>
      <c r="K1290" s="17"/>
      <c r="L1290" s="17"/>
      <c r="M1290" s="17"/>
      <c r="N1290" s="17"/>
      <c r="O1290" s="17"/>
    </row>
    <row r="1291" spans="5:15" x14ac:dyDescent="0.25">
      <c r="E1291" s="17"/>
      <c r="F1291" s="17"/>
      <c r="G1291" s="17"/>
      <c r="H1291" s="17"/>
      <c r="J1291" s="17"/>
      <c r="K1291" s="17"/>
      <c r="L1291" s="17"/>
      <c r="M1291" s="17"/>
      <c r="N1291" s="17"/>
      <c r="O1291" s="17"/>
    </row>
    <row r="1292" spans="5:15" x14ac:dyDescent="0.25">
      <c r="E1292" s="17"/>
      <c r="F1292" s="17"/>
      <c r="G1292" s="17"/>
      <c r="H1292" s="17"/>
      <c r="J1292" s="17"/>
      <c r="K1292" s="17"/>
      <c r="L1292" s="17"/>
      <c r="M1292" s="17"/>
      <c r="N1292" s="17"/>
      <c r="O1292" s="17"/>
    </row>
    <row r="1293" spans="5:15" x14ac:dyDescent="0.25">
      <c r="E1293" s="17"/>
      <c r="F1293" s="17"/>
      <c r="G1293" s="17"/>
      <c r="H1293" s="17"/>
      <c r="J1293" s="17"/>
      <c r="K1293" s="17"/>
      <c r="L1293" s="17"/>
      <c r="M1293" s="17"/>
      <c r="N1293" s="17"/>
      <c r="O1293" s="17"/>
    </row>
    <row r="1294" spans="5:15" x14ac:dyDescent="0.25">
      <c r="E1294" s="17"/>
      <c r="F1294" s="17"/>
      <c r="G1294" s="17"/>
      <c r="H1294" s="17"/>
      <c r="J1294" s="17"/>
      <c r="K1294" s="17"/>
      <c r="L1294" s="17"/>
      <c r="M1294" s="17"/>
      <c r="N1294" s="17"/>
      <c r="O1294" s="17"/>
    </row>
    <row r="1295" spans="5:15" x14ac:dyDescent="0.25">
      <c r="E1295" s="17"/>
      <c r="F1295" s="17"/>
      <c r="G1295" s="17"/>
      <c r="H1295" s="17"/>
      <c r="J1295" s="17"/>
      <c r="K1295" s="17"/>
      <c r="L1295" s="17"/>
      <c r="M1295" s="17"/>
      <c r="N1295" s="17"/>
      <c r="O1295" s="17"/>
    </row>
    <row r="1296" spans="5:15" x14ac:dyDescent="0.25">
      <c r="E1296" s="17"/>
      <c r="F1296" s="17"/>
      <c r="G1296" s="17"/>
      <c r="H1296" s="17"/>
      <c r="J1296" s="17"/>
      <c r="K1296" s="17"/>
      <c r="L1296" s="17"/>
      <c r="M1296" s="17"/>
      <c r="N1296" s="17"/>
      <c r="O1296" s="17"/>
    </row>
    <row r="1297" spans="5:15" x14ac:dyDescent="0.25">
      <c r="E1297" s="17"/>
      <c r="F1297" s="17"/>
      <c r="G1297" s="17"/>
      <c r="H1297" s="17"/>
      <c r="J1297" s="17"/>
      <c r="K1297" s="17"/>
      <c r="L1297" s="17"/>
      <c r="M1297" s="17"/>
      <c r="N1297" s="17"/>
      <c r="O1297" s="17"/>
    </row>
    <row r="1298" spans="5:15" x14ac:dyDescent="0.25">
      <c r="E1298" s="17"/>
      <c r="F1298" s="17"/>
      <c r="G1298" s="17"/>
      <c r="H1298" s="17"/>
      <c r="J1298" s="17"/>
      <c r="K1298" s="17"/>
      <c r="L1298" s="17"/>
      <c r="M1298" s="17"/>
      <c r="N1298" s="17"/>
      <c r="O1298" s="17"/>
    </row>
    <row r="1299" spans="5:15" x14ac:dyDescent="0.25">
      <c r="E1299" s="17"/>
      <c r="F1299" s="17"/>
      <c r="G1299" s="17"/>
      <c r="H1299" s="17"/>
      <c r="J1299" s="17"/>
      <c r="K1299" s="17"/>
      <c r="L1299" s="17"/>
      <c r="M1299" s="17"/>
      <c r="N1299" s="17"/>
      <c r="O1299" s="17"/>
    </row>
    <row r="1300" spans="5:15" x14ac:dyDescent="0.25">
      <c r="E1300" s="17"/>
      <c r="F1300" s="17"/>
      <c r="G1300" s="17"/>
      <c r="H1300" s="17"/>
      <c r="J1300" s="17"/>
      <c r="K1300" s="17"/>
      <c r="L1300" s="17"/>
      <c r="M1300" s="17"/>
      <c r="N1300" s="17"/>
      <c r="O1300" s="17"/>
    </row>
    <row r="1301" spans="5:15" x14ac:dyDescent="0.25">
      <c r="E1301" s="17"/>
      <c r="F1301" s="17"/>
      <c r="G1301" s="17"/>
      <c r="H1301" s="17"/>
      <c r="J1301" s="17"/>
      <c r="K1301" s="17"/>
      <c r="L1301" s="17"/>
      <c r="M1301" s="17"/>
      <c r="N1301" s="17"/>
      <c r="O1301" s="17"/>
    </row>
    <row r="1302" spans="5:15" x14ac:dyDescent="0.25">
      <c r="E1302" s="17"/>
      <c r="F1302" s="17"/>
      <c r="G1302" s="17"/>
      <c r="H1302" s="17"/>
      <c r="J1302" s="17"/>
      <c r="K1302" s="17"/>
      <c r="L1302" s="17"/>
      <c r="M1302" s="17"/>
      <c r="N1302" s="17"/>
      <c r="O1302" s="17"/>
    </row>
    <row r="1303" spans="5:15" x14ac:dyDescent="0.25">
      <c r="E1303" s="17"/>
      <c r="F1303" s="17"/>
      <c r="G1303" s="17"/>
      <c r="H1303" s="17"/>
      <c r="J1303" s="17"/>
      <c r="K1303" s="17"/>
      <c r="L1303" s="17"/>
      <c r="M1303" s="17"/>
      <c r="N1303" s="17"/>
      <c r="O1303" s="17"/>
    </row>
    <row r="1304" spans="5:15" x14ac:dyDescent="0.25">
      <c r="E1304" s="17"/>
      <c r="F1304" s="17"/>
      <c r="G1304" s="17"/>
      <c r="H1304" s="17"/>
      <c r="J1304" s="17"/>
      <c r="K1304" s="17"/>
      <c r="L1304" s="17"/>
      <c r="M1304" s="17"/>
      <c r="N1304" s="17"/>
      <c r="O1304" s="17"/>
    </row>
    <row r="1305" spans="5:15" x14ac:dyDescent="0.25">
      <c r="E1305" s="17"/>
      <c r="F1305" s="17"/>
      <c r="G1305" s="17"/>
      <c r="H1305" s="17"/>
      <c r="J1305" s="17"/>
      <c r="K1305" s="17"/>
      <c r="L1305" s="17"/>
      <c r="M1305" s="17"/>
      <c r="N1305" s="17"/>
      <c r="O1305" s="17"/>
    </row>
    <row r="1306" spans="5:15" x14ac:dyDescent="0.25">
      <c r="E1306" s="17"/>
      <c r="F1306" s="17"/>
      <c r="G1306" s="17"/>
      <c r="H1306" s="17"/>
      <c r="J1306" s="17"/>
      <c r="K1306" s="17"/>
      <c r="L1306" s="17"/>
      <c r="M1306" s="17"/>
      <c r="N1306" s="17"/>
      <c r="O1306" s="17"/>
    </row>
    <row r="1307" spans="5:15" x14ac:dyDescent="0.25">
      <c r="E1307" s="17"/>
      <c r="F1307" s="17"/>
      <c r="G1307" s="17"/>
      <c r="H1307" s="17"/>
      <c r="J1307" s="17"/>
      <c r="K1307" s="17"/>
      <c r="L1307" s="17"/>
      <c r="M1307" s="17"/>
      <c r="N1307" s="17"/>
      <c r="O1307" s="17"/>
    </row>
    <row r="1308" spans="5:15" x14ac:dyDescent="0.25">
      <c r="E1308" s="17"/>
      <c r="F1308" s="17"/>
      <c r="G1308" s="17"/>
      <c r="H1308" s="17"/>
      <c r="J1308" s="17"/>
      <c r="K1308" s="17"/>
      <c r="L1308" s="17"/>
      <c r="M1308" s="17"/>
      <c r="N1308" s="17"/>
      <c r="O1308" s="17"/>
    </row>
    <row r="1309" spans="5:15" x14ac:dyDescent="0.25">
      <c r="E1309" s="17"/>
      <c r="F1309" s="17"/>
      <c r="G1309" s="17"/>
      <c r="H1309" s="17"/>
      <c r="J1309" s="17"/>
      <c r="K1309" s="17"/>
      <c r="L1309" s="17"/>
      <c r="M1309" s="17"/>
      <c r="N1309" s="17"/>
      <c r="O1309" s="17"/>
    </row>
    <row r="1310" spans="5:15" x14ac:dyDescent="0.25">
      <c r="E1310" s="17"/>
      <c r="F1310" s="17"/>
      <c r="G1310" s="17"/>
      <c r="H1310" s="17"/>
      <c r="J1310" s="17"/>
      <c r="K1310" s="17"/>
      <c r="L1310" s="17"/>
      <c r="M1310" s="17"/>
      <c r="N1310" s="17"/>
      <c r="O1310" s="17"/>
    </row>
    <row r="1311" spans="5:15" x14ac:dyDescent="0.25">
      <c r="E1311" s="17"/>
      <c r="F1311" s="17"/>
      <c r="G1311" s="17"/>
      <c r="H1311" s="17"/>
      <c r="J1311" s="17"/>
      <c r="K1311" s="17"/>
      <c r="L1311" s="17"/>
      <c r="M1311" s="17"/>
      <c r="N1311" s="17"/>
      <c r="O1311" s="17"/>
    </row>
    <row r="1312" spans="5:15" x14ac:dyDescent="0.25">
      <c r="E1312" s="17"/>
      <c r="F1312" s="17"/>
      <c r="G1312" s="17"/>
      <c r="H1312" s="17"/>
      <c r="J1312" s="17"/>
      <c r="K1312" s="17"/>
      <c r="L1312" s="17"/>
      <c r="M1312" s="17"/>
      <c r="N1312" s="17"/>
      <c r="O1312" s="17"/>
    </row>
    <row r="1313" spans="5:15" x14ac:dyDescent="0.25">
      <c r="E1313" s="17"/>
      <c r="F1313" s="17"/>
      <c r="G1313" s="17"/>
      <c r="H1313" s="17"/>
      <c r="J1313" s="17"/>
      <c r="K1313" s="17"/>
      <c r="L1313" s="17"/>
      <c r="M1313" s="17"/>
      <c r="N1313" s="17"/>
      <c r="O1313" s="17"/>
    </row>
    <row r="1314" spans="5:15" x14ac:dyDescent="0.25">
      <c r="E1314" s="17"/>
      <c r="F1314" s="17"/>
      <c r="G1314" s="17"/>
      <c r="H1314" s="17"/>
      <c r="J1314" s="17"/>
      <c r="K1314" s="17"/>
      <c r="L1314" s="17"/>
      <c r="M1314" s="17"/>
      <c r="N1314" s="17"/>
      <c r="O1314" s="17"/>
    </row>
    <row r="1315" spans="5:15" x14ac:dyDescent="0.25">
      <c r="E1315" s="17"/>
      <c r="F1315" s="17"/>
      <c r="G1315" s="17"/>
      <c r="H1315" s="17"/>
      <c r="J1315" s="17"/>
      <c r="K1315" s="17"/>
      <c r="L1315" s="17"/>
      <c r="M1315" s="17"/>
      <c r="N1315" s="17"/>
      <c r="O1315" s="17"/>
    </row>
    <row r="1316" spans="5:15" x14ac:dyDescent="0.25">
      <c r="E1316" s="17"/>
      <c r="F1316" s="17"/>
      <c r="G1316" s="17"/>
      <c r="H1316" s="17"/>
      <c r="J1316" s="17"/>
      <c r="K1316" s="17"/>
      <c r="L1316" s="17"/>
      <c r="M1316" s="17"/>
      <c r="N1316" s="17"/>
      <c r="O1316" s="17"/>
    </row>
    <row r="1317" spans="5:15" x14ac:dyDescent="0.25">
      <c r="E1317" s="17"/>
      <c r="F1317" s="17"/>
      <c r="G1317" s="17"/>
      <c r="H1317" s="17"/>
      <c r="J1317" s="17"/>
      <c r="K1317" s="17"/>
      <c r="L1317" s="17"/>
      <c r="M1317" s="17"/>
      <c r="N1317" s="17"/>
      <c r="O1317" s="17"/>
    </row>
    <row r="1318" spans="5:15" x14ac:dyDescent="0.25">
      <c r="E1318" s="17"/>
      <c r="F1318" s="17"/>
      <c r="G1318" s="17"/>
      <c r="H1318" s="17"/>
      <c r="J1318" s="17"/>
      <c r="K1318" s="17"/>
      <c r="L1318" s="17"/>
      <c r="M1318" s="17"/>
      <c r="N1318" s="17"/>
      <c r="O1318" s="17"/>
    </row>
    <row r="1319" spans="5:15" x14ac:dyDescent="0.25">
      <c r="E1319" s="17"/>
      <c r="F1319" s="17"/>
      <c r="G1319" s="17"/>
      <c r="H1319" s="17"/>
      <c r="J1319" s="17"/>
      <c r="K1319" s="17"/>
      <c r="L1319" s="17"/>
      <c r="M1319" s="17"/>
      <c r="N1319" s="17"/>
      <c r="O1319" s="17"/>
    </row>
    <row r="1320" spans="5:15" x14ac:dyDescent="0.25">
      <c r="E1320" s="17"/>
      <c r="F1320" s="17"/>
      <c r="G1320" s="17"/>
      <c r="H1320" s="17"/>
      <c r="J1320" s="17"/>
      <c r="K1320" s="17"/>
      <c r="L1320" s="17"/>
      <c r="M1320" s="17"/>
      <c r="N1320" s="17"/>
      <c r="O1320" s="17"/>
    </row>
    <row r="1321" spans="5:15" x14ac:dyDescent="0.25">
      <c r="E1321" s="17"/>
      <c r="F1321" s="17"/>
      <c r="G1321" s="17"/>
      <c r="H1321" s="17"/>
      <c r="J1321" s="17"/>
      <c r="K1321" s="17"/>
      <c r="L1321" s="17"/>
      <c r="M1321" s="17"/>
      <c r="N1321" s="17"/>
      <c r="O1321" s="17"/>
    </row>
    <row r="1322" spans="5:15" x14ac:dyDescent="0.25">
      <c r="E1322" s="17"/>
      <c r="F1322" s="17"/>
      <c r="G1322" s="17"/>
      <c r="H1322" s="17"/>
      <c r="J1322" s="17"/>
      <c r="K1322" s="17"/>
      <c r="L1322" s="17"/>
      <c r="M1322" s="17"/>
      <c r="N1322" s="17"/>
      <c r="O1322" s="17"/>
    </row>
    <row r="1323" spans="5:15" x14ac:dyDescent="0.25">
      <c r="E1323" s="17"/>
      <c r="F1323" s="17"/>
      <c r="G1323" s="17"/>
      <c r="H1323" s="17"/>
      <c r="J1323" s="17"/>
      <c r="K1323" s="17"/>
      <c r="L1323" s="17"/>
      <c r="M1323" s="17"/>
      <c r="N1323" s="17"/>
      <c r="O1323" s="17"/>
    </row>
    <row r="1324" spans="5:15" x14ac:dyDescent="0.25">
      <c r="E1324" s="17"/>
      <c r="F1324" s="17"/>
      <c r="G1324" s="17"/>
      <c r="H1324" s="17"/>
      <c r="J1324" s="17"/>
      <c r="K1324" s="17"/>
      <c r="L1324" s="17"/>
      <c r="M1324" s="17"/>
      <c r="N1324" s="17"/>
      <c r="O1324" s="17"/>
    </row>
    <row r="1325" spans="5:15" x14ac:dyDescent="0.25">
      <c r="E1325" s="17"/>
      <c r="F1325" s="17"/>
      <c r="G1325" s="17"/>
      <c r="H1325" s="17"/>
      <c r="J1325" s="17"/>
      <c r="K1325" s="17"/>
      <c r="L1325" s="17"/>
      <c r="M1325" s="17"/>
      <c r="N1325" s="17"/>
      <c r="O1325" s="17"/>
    </row>
    <row r="1326" spans="5:15" x14ac:dyDescent="0.25">
      <c r="E1326" s="17"/>
      <c r="F1326" s="17"/>
      <c r="G1326" s="17"/>
      <c r="H1326" s="17"/>
      <c r="J1326" s="17"/>
      <c r="K1326" s="17"/>
      <c r="L1326" s="17"/>
      <c r="M1326" s="17"/>
      <c r="N1326" s="17"/>
      <c r="O1326" s="17"/>
    </row>
    <row r="1327" spans="5:15" x14ac:dyDescent="0.25">
      <c r="E1327" s="17"/>
      <c r="F1327" s="17"/>
      <c r="G1327" s="17"/>
      <c r="H1327" s="17"/>
      <c r="J1327" s="17"/>
      <c r="K1327" s="17"/>
      <c r="L1327" s="17"/>
      <c r="M1327" s="17"/>
      <c r="N1327" s="17"/>
      <c r="O1327" s="17"/>
    </row>
    <row r="1328" spans="5:15" x14ac:dyDescent="0.25">
      <c r="E1328" s="17"/>
      <c r="F1328" s="17"/>
      <c r="G1328" s="17"/>
      <c r="H1328" s="17"/>
      <c r="J1328" s="17"/>
      <c r="K1328" s="17"/>
      <c r="L1328" s="17"/>
      <c r="M1328" s="17"/>
      <c r="N1328" s="17"/>
      <c r="O1328" s="17"/>
    </row>
    <row r="1329" spans="5:15" x14ac:dyDescent="0.25">
      <c r="E1329" s="17"/>
      <c r="F1329" s="17"/>
      <c r="G1329" s="17"/>
      <c r="H1329" s="17"/>
      <c r="J1329" s="17"/>
      <c r="K1329" s="17"/>
      <c r="L1329" s="17"/>
      <c r="M1329" s="17"/>
      <c r="N1329" s="17"/>
      <c r="O1329" s="17"/>
    </row>
    <row r="1330" spans="5:15" x14ac:dyDescent="0.25">
      <c r="E1330" s="17"/>
      <c r="F1330" s="17"/>
      <c r="G1330" s="17"/>
      <c r="H1330" s="17"/>
      <c r="J1330" s="17"/>
      <c r="K1330" s="17"/>
      <c r="L1330" s="17"/>
      <c r="M1330" s="17"/>
      <c r="N1330" s="17"/>
      <c r="O1330" s="17"/>
    </row>
    <row r="1331" spans="5:15" x14ac:dyDescent="0.25">
      <c r="E1331" s="17"/>
      <c r="F1331" s="17"/>
      <c r="G1331" s="17"/>
      <c r="H1331" s="17"/>
      <c r="J1331" s="17"/>
      <c r="K1331" s="17"/>
      <c r="L1331" s="17"/>
      <c r="M1331" s="17"/>
      <c r="N1331" s="17"/>
      <c r="O1331" s="17"/>
    </row>
    <row r="1332" spans="5:15" x14ac:dyDescent="0.25">
      <c r="E1332" s="17"/>
      <c r="F1332" s="17"/>
      <c r="G1332" s="17"/>
      <c r="H1332" s="17"/>
      <c r="J1332" s="17"/>
      <c r="K1332" s="17"/>
      <c r="L1332" s="17"/>
      <c r="M1332" s="17"/>
      <c r="N1332" s="17"/>
      <c r="O1332" s="17"/>
    </row>
    <row r="1333" spans="5:15" x14ac:dyDescent="0.25">
      <c r="E1333" s="17"/>
      <c r="F1333" s="17"/>
      <c r="G1333" s="17"/>
      <c r="H1333" s="17"/>
      <c r="J1333" s="17"/>
      <c r="K1333" s="17"/>
      <c r="L1333" s="17"/>
      <c r="M1333" s="17"/>
      <c r="N1333" s="17"/>
      <c r="O1333" s="17"/>
    </row>
    <row r="1334" spans="5:15" x14ac:dyDescent="0.25">
      <c r="E1334" s="17"/>
      <c r="F1334" s="17"/>
      <c r="G1334" s="17"/>
      <c r="H1334" s="17"/>
      <c r="J1334" s="17"/>
      <c r="K1334" s="17"/>
      <c r="L1334" s="17"/>
      <c r="M1334" s="17"/>
      <c r="N1334" s="17"/>
      <c r="O1334" s="17"/>
    </row>
    <row r="1335" spans="5:15" x14ac:dyDescent="0.25">
      <c r="E1335" s="17"/>
      <c r="F1335" s="17"/>
      <c r="G1335" s="17"/>
      <c r="H1335" s="17"/>
      <c r="J1335" s="17"/>
      <c r="K1335" s="17"/>
      <c r="L1335" s="17"/>
      <c r="M1335" s="17"/>
      <c r="N1335" s="17"/>
      <c r="O1335" s="17"/>
    </row>
    <row r="1336" spans="5:15" x14ac:dyDescent="0.25">
      <c r="E1336" s="17"/>
      <c r="F1336" s="17"/>
      <c r="G1336" s="17"/>
      <c r="H1336" s="17"/>
      <c r="J1336" s="17"/>
      <c r="K1336" s="17"/>
      <c r="L1336" s="17"/>
      <c r="M1336" s="17"/>
      <c r="N1336" s="17"/>
      <c r="O1336" s="17"/>
    </row>
    <row r="1337" spans="5:15" x14ac:dyDescent="0.25">
      <c r="E1337" s="17"/>
      <c r="F1337" s="17"/>
      <c r="G1337" s="17"/>
      <c r="H1337" s="17"/>
      <c r="J1337" s="17"/>
      <c r="K1337" s="17"/>
      <c r="L1337" s="17"/>
      <c r="M1337" s="17"/>
      <c r="N1337" s="17"/>
      <c r="O1337" s="17"/>
    </row>
    <row r="1338" spans="5:15" x14ac:dyDescent="0.25">
      <c r="E1338" s="17"/>
      <c r="F1338" s="17"/>
      <c r="G1338" s="17"/>
      <c r="H1338" s="17"/>
      <c r="J1338" s="17"/>
      <c r="K1338" s="17"/>
      <c r="L1338" s="17"/>
      <c r="M1338" s="17"/>
      <c r="N1338" s="17"/>
      <c r="O1338" s="17"/>
    </row>
    <row r="1339" spans="5:15" x14ac:dyDescent="0.25">
      <c r="E1339" s="17"/>
      <c r="F1339" s="17"/>
      <c r="G1339" s="17"/>
      <c r="H1339" s="17"/>
      <c r="J1339" s="17"/>
      <c r="K1339" s="17"/>
      <c r="L1339" s="17"/>
      <c r="M1339" s="17"/>
      <c r="N1339" s="17"/>
      <c r="O1339" s="17"/>
    </row>
    <row r="1340" spans="5:15" x14ac:dyDescent="0.25">
      <c r="E1340" s="17"/>
      <c r="F1340" s="17"/>
      <c r="G1340" s="17"/>
      <c r="H1340" s="17"/>
      <c r="J1340" s="17"/>
      <c r="K1340" s="17"/>
      <c r="L1340" s="17"/>
      <c r="M1340" s="17"/>
      <c r="N1340" s="17"/>
      <c r="O1340" s="17"/>
    </row>
    <row r="1341" spans="5:15" x14ac:dyDescent="0.25">
      <c r="E1341" s="17"/>
      <c r="F1341" s="17"/>
      <c r="G1341" s="17"/>
      <c r="H1341" s="17"/>
      <c r="J1341" s="17"/>
      <c r="K1341" s="17"/>
      <c r="L1341" s="17"/>
      <c r="M1341" s="17"/>
      <c r="N1341" s="17"/>
      <c r="O1341" s="17"/>
    </row>
    <row r="1342" spans="5:15" x14ac:dyDescent="0.25">
      <c r="E1342" s="17"/>
      <c r="F1342" s="17"/>
      <c r="G1342" s="17"/>
      <c r="H1342" s="17"/>
      <c r="J1342" s="17"/>
      <c r="K1342" s="17"/>
      <c r="L1342" s="17"/>
      <c r="M1342" s="17"/>
      <c r="N1342" s="17"/>
      <c r="O1342" s="17"/>
    </row>
    <row r="1343" spans="5:15" x14ac:dyDescent="0.25">
      <c r="E1343" s="17"/>
      <c r="F1343" s="17"/>
      <c r="G1343" s="17"/>
      <c r="H1343" s="17"/>
      <c r="J1343" s="17"/>
      <c r="K1343" s="17"/>
      <c r="L1343" s="17"/>
      <c r="M1343" s="17"/>
      <c r="N1343" s="17"/>
      <c r="O1343" s="17"/>
    </row>
    <row r="1344" spans="5:15" x14ac:dyDescent="0.25">
      <c r="E1344" s="17"/>
      <c r="F1344" s="17"/>
      <c r="G1344" s="17"/>
      <c r="H1344" s="17"/>
      <c r="J1344" s="17"/>
      <c r="K1344" s="17"/>
      <c r="L1344" s="17"/>
      <c r="M1344" s="17"/>
      <c r="N1344" s="17"/>
      <c r="O1344" s="17"/>
    </row>
    <row r="1345" spans="5:15" x14ac:dyDescent="0.25">
      <c r="E1345" s="17"/>
      <c r="F1345" s="17"/>
      <c r="G1345" s="17"/>
      <c r="H1345" s="17"/>
      <c r="J1345" s="17"/>
      <c r="K1345" s="17"/>
      <c r="L1345" s="17"/>
      <c r="M1345" s="17"/>
      <c r="N1345" s="17"/>
      <c r="O1345" s="17"/>
    </row>
    <row r="1346" spans="5:15" x14ac:dyDescent="0.25">
      <c r="E1346" s="17"/>
      <c r="F1346" s="17"/>
      <c r="G1346" s="17"/>
      <c r="H1346" s="17"/>
      <c r="J1346" s="17"/>
      <c r="K1346" s="17"/>
      <c r="L1346" s="17"/>
      <c r="M1346" s="17"/>
      <c r="N1346" s="17"/>
      <c r="O1346" s="17"/>
    </row>
    <row r="1347" spans="5:15" x14ac:dyDescent="0.25">
      <c r="E1347" s="17"/>
      <c r="F1347" s="17"/>
      <c r="G1347" s="17"/>
      <c r="H1347" s="17"/>
      <c r="J1347" s="17"/>
      <c r="K1347" s="17"/>
      <c r="L1347" s="17"/>
      <c r="M1347" s="17"/>
      <c r="N1347" s="17"/>
      <c r="O1347" s="17"/>
    </row>
    <row r="1348" spans="5:15" x14ac:dyDescent="0.25">
      <c r="E1348" s="17"/>
      <c r="F1348" s="17"/>
      <c r="G1348" s="17"/>
      <c r="H1348" s="17"/>
      <c r="J1348" s="17"/>
      <c r="K1348" s="17"/>
      <c r="L1348" s="17"/>
      <c r="M1348" s="17"/>
      <c r="N1348" s="17"/>
      <c r="O1348" s="17"/>
    </row>
    <row r="1349" spans="5:15" x14ac:dyDescent="0.25">
      <c r="E1349" s="17"/>
      <c r="F1349" s="17"/>
      <c r="G1349" s="17"/>
      <c r="H1349" s="17"/>
      <c r="J1349" s="17"/>
      <c r="K1349" s="17"/>
      <c r="L1349" s="17"/>
      <c r="M1349" s="17"/>
      <c r="N1349" s="17"/>
      <c r="O1349" s="17"/>
    </row>
    <row r="1350" spans="5:15" x14ac:dyDescent="0.25">
      <c r="E1350" s="17"/>
      <c r="F1350" s="17"/>
      <c r="G1350" s="17"/>
      <c r="H1350" s="17"/>
      <c r="J1350" s="17"/>
      <c r="K1350" s="17"/>
      <c r="L1350" s="17"/>
      <c r="M1350" s="17"/>
      <c r="N1350" s="17"/>
      <c r="O1350" s="17"/>
    </row>
    <row r="1351" spans="5:15" x14ac:dyDescent="0.25">
      <c r="E1351" s="17"/>
      <c r="F1351" s="17"/>
      <c r="G1351" s="17"/>
      <c r="H1351" s="17"/>
      <c r="J1351" s="17"/>
      <c r="K1351" s="17"/>
      <c r="L1351" s="17"/>
      <c r="M1351" s="17"/>
      <c r="N1351" s="17"/>
      <c r="O1351" s="17"/>
    </row>
    <row r="1352" spans="5:15" x14ac:dyDescent="0.25">
      <c r="E1352" s="17"/>
      <c r="F1352" s="17"/>
      <c r="G1352" s="17"/>
      <c r="H1352" s="17"/>
      <c r="J1352" s="17"/>
      <c r="K1352" s="17"/>
      <c r="L1352" s="17"/>
      <c r="M1352" s="17"/>
      <c r="N1352" s="17"/>
      <c r="O1352" s="17"/>
    </row>
    <row r="1353" spans="5:15" x14ac:dyDescent="0.25">
      <c r="E1353" s="17"/>
      <c r="F1353" s="17"/>
      <c r="G1353" s="17"/>
      <c r="H1353" s="17"/>
      <c r="J1353" s="17"/>
      <c r="K1353" s="17"/>
      <c r="L1353" s="17"/>
      <c r="M1353" s="17"/>
      <c r="N1353" s="17"/>
      <c r="O1353" s="17"/>
    </row>
    <row r="1354" spans="5:15" x14ac:dyDescent="0.25">
      <c r="E1354" s="17"/>
      <c r="F1354" s="17"/>
      <c r="G1354" s="17"/>
      <c r="H1354" s="17"/>
      <c r="J1354" s="17"/>
      <c r="K1354" s="17"/>
      <c r="L1354" s="17"/>
      <c r="M1354" s="17"/>
      <c r="N1354" s="17"/>
      <c r="O1354" s="17"/>
    </row>
    <row r="1355" spans="5:15" x14ac:dyDescent="0.25">
      <c r="E1355" s="17"/>
      <c r="F1355" s="17"/>
      <c r="G1355" s="17"/>
      <c r="H1355" s="17"/>
      <c r="J1355" s="17"/>
      <c r="K1355" s="17"/>
      <c r="L1355" s="17"/>
      <c r="M1355" s="17"/>
      <c r="N1355" s="17"/>
      <c r="O1355" s="17"/>
    </row>
    <row r="1356" spans="5:15" x14ac:dyDescent="0.25">
      <c r="E1356" s="17"/>
      <c r="F1356" s="17"/>
      <c r="G1356" s="17"/>
      <c r="H1356" s="17"/>
      <c r="J1356" s="17"/>
      <c r="K1356" s="17"/>
      <c r="L1356" s="17"/>
      <c r="M1356" s="17"/>
      <c r="N1356" s="17"/>
      <c r="O1356" s="17"/>
    </row>
    <row r="1357" spans="5:15" x14ac:dyDescent="0.25">
      <c r="E1357" s="17"/>
      <c r="F1357" s="17"/>
      <c r="G1357" s="17"/>
      <c r="H1357" s="17"/>
      <c r="J1357" s="17"/>
      <c r="K1357" s="17"/>
      <c r="L1357" s="17"/>
      <c r="M1357" s="17"/>
      <c r="N1357" s="17"/>
      <c r="O1357" s="17"/>
    </row>
    <row r="1358" spans="5:15" x14ac:dyDescent="0.25">
      <c r="E1358" s="17"/>
      <c r="F1358" s="17"/>
      <c r="G1358" s="17"/>
      <c r="H1358" s="17"/>
      <c r="J1358" s="17"/>
      <c r="K1358" s="17"/>
      <c r="L1358" s="17"/>
      <c r="M1358" s="17"/>
      <c r="N1358" s="17"/>
      <c r="O1358" s="17"/>
    </row>
    <row r="1359" spans="5:15" x14ac:dyDescent="0.25">
      <c r="E1359" s="17"/>
      <c r="F1359" s="17"/>
      <c r="G1359" s="17"/>
      <c r="H1359" s="17"/>
      <c r="J1359" s="17"/>
      <c r="K1359" s="17"/>
      <c r="L1359" s="17"/>
      <c r="M1359" s="17"/>
      <c r="N1359" s="17"/>
      <c r="O1359" s="17"/>
    </row>
    <row r="1360" spans="5:15" x14ac:dyDescent="0.25">
      <c r="E1360" s="17"/>
      <c r="F1360" s="17"/>
      <c r="G1360" s="17"/>
      <c r="H1360" s="17"/>
      <c r="J1360" s="17"/>
      <c r="K1360" s="17"/>
      <c r="L1360" s="17"/>
      <c r="M1360" s="17"/>
      <c r="N1360" s="17"/>
      <c r="O1360" s="17"/>
    </row>
    <row r="1361" spans="5:15" x14ac:dyDescent="0.25">
      <c r="E1361" s="17"/>
      <c r="F1361" s="17"/>
      <c r="G1361" s="17"/>
      <c r="H1361" s="17"/>
      <c r="J1361" s="17"/>
      <c r="K1361" s="17"/>
      <c r="L1361" s="17"/>
      <c r="M1361" s="17"/>
      <c r="N1361" s="17"/>
      <c r="O1361" s="17"/>
    </row>
    <row r="1362" spans="5:15" x14ac:dyDescent="0.25">
      <c r="E1362" s="17"/>
      <c r="F1362" s="17"/>
      <c r="G1362" s="17"/>
      <c r="H1362" s="17"/>
      <c r="J1362" s="17"/>
      <c r="K1362" s="17"/>
      <c r="L1362" s="17"/>
      <c r="M1362" s="17"/>
      <c r="N1362" s="17"/>
      <c r="O1362" s="17"/>
    </row>
    <row r="1363" spans="5:15" x14ac:dyDescent="0.25">
      <c r="E1363" s="17"/>
      <c r="F1363" s="17"/>
      <c r="G1363" s="17"/>
      <c r="H1363" s="17"/>
      <c r="J1363" s="17"/>
      <c r="K1363" s="17"/>
      <c r="L1363" s="17"/>
      <c r="M1363" s="17"/>
      <c r="N1363" s="17"/>
      <c r="O1363" s="17"/>
    </row>
    <row r="1364" spans="5:15" x14ac:dyDescent="0.25">
      <c r="E1364" s="17"/>
      <c r="F1364" s="17"/>
      <c r="G1364" s="17"/>
      <c r="H1364" s="17"/>
      <c r="J1364" s="17"/>
      <c r="K1364" s="17"/>
      <c r="L1364" s="17"/>
      <c r="M1364" s="17"/>
      <c r="N1364" s="17"/>
      <c r="O1364" s="17"/>
    </row>
    <row r="1365" spans="5:15" x14ac:dyDescent="0.25">
      <c r="E1365" s="17"/>
      <c r="F1365" s="17"/>
      <c r="G1365" s="17"/>
      <c r="H1365" s="17"/>
      <c r="J1365" s="17"/>
      <c r="K1365" s="17"/>
      <c r="L1365" s="17"/>
      <c r="M1365" s="17"/>
      <c r="N1365" s="17"/>
      <c r="O1365" s="17"/>
    </row>
    <row r="1366" spans="5:15" x14ac:dyDescent="0.25">
      <c r="E1366" s="17"/>
      <c r="F1366" s="17"/>
      <c r="G1366" s="17"/>
      <c r="H1366" s="17"/>
      <c r="J1366" s="17"/>
      <c r="K1366" s="17"/>
      <c r="L1366" s="17"/>
      <c r="M1366" s="17"/>
      <c r="N1366" s="17"/>
      <c r="O1366" s="17"/>
    </row>
    <row r="1367" spans="5:15" x14ac:dyDescent="0.25">
      <c r="E1367" s="17"/>
      <c r="F1367" s="17"/>
      <c r="G1367" s="17"/>
      <c r="H1367" s="17"/>
      <c r="J1367" s="17"/>
      <c r="K1367" s="17"/>
      <c r="L1367" s="17"/>
      <c r="M1367" s="17"/>
      <c r="N1367" s="17"/>
      <c r="O1367" s="17"/>
    </row>
    <row r="1368" spans="5:15" x14ac:dyDescent="0.25">
      <c r="E1368" s="17"/>
      <c r="F1368" s="17"/>
      <c r="G1368" s="17"/>
      <c r="H1368" s="17"/>
      <c r="J1368" s="17"/>
      <c r="K1368" s="17"/>
      <c r="L1368" s="17"/>
      <c r="M1368" s="17"/>
      <c r="N1368" s="17"/>
      <c r="O1368" s="17"/>
    </row>
    <row r="1369" spans="5:15" x14ac:dyDescent="0.25">
      <c r="E1369" s="17"/>
      <c r="F1369" s="17"/>
      <c r="G1369" s="17"/>
      <c r="H1369" s="17"/>
      <c r="J1369" s="17"/>
      <c r="K1369" s="17"/>
      <c r="L1369" s="17"/>
      <c r="M1369" s="17"/>
      <c r="N1369" s="17"/>
      <c r="O1369" s="17"/>
    </row>
    <row r="1370" spans="5:15" x14ac:dyDescent="0.25">
      <c r="E1370" s="17"/>
      <c r="F1370" s="17"/>
      <c r="G1370" s="17"/>
      <c r="H1370" s="17"/>
      <c r="J1370" s="17"/>
      <c r="K1370" s="17"/>
      <c r="L1370" s="17"/>
      <c r="M1370" s="17"/>
      <c r="N1370" s="17"/>
      <c r="O1370" s="17"/>
    </row>
    <row r="1371" spans="5:15" x14ac:dyDescent="0.25">
      <c r="E1371" s="17"/>
      <c r="F1371" s="17"/>
      <c r="G1371" s="17"/>
      <c r="H1371" s="17"/>
      <c r="J1371" s="17"/>
      <c r="K1371" s="17"/>
      <c r="L1371" s="17"/>
      <c r="M1371" s="17"/>
      <c r="N1371" s="17"/>
      <c r="O1371" s="17"/>
    </row>
    <row r="1372" spans="5:15" x14ac:dyDescent="0.25">
      <c r="E1372" s="17"/>
      <c r="F1372" s="17"/>
      <c r="G1372" s="17"/>
      <c r="H1372" s="17"/>
      <c r="J1372" s="17"/>
      <c r="K1372" s="17"/>
      <c r="L1372" s="17"/>
      <c r="M1372" s="17"/>
      <c r="N1372" s="17"/>
      <c r="O1372" s="17"/>
    </row>
    <row r="1373" spans="5:15" x14ac:dyDescent="0.25">
      <c r="E1373" s="17"/>
      <c r="F1373" s="17"/>
      <c r="G1373" s="17"/>
      <c r="H1373" s="17"/>
      <c r="J1373" s="17"/>
      <c r="K1373" s="17"/>
      <c r="L1373" s="17"/>
      <c r="M1373" s="17"/>
      <c r="N1373" s="17"/>
      <c r="O1373" s="17"/>
    </row>
    <row r="1374" spans="5:15" x14ac:dyDescent="0.25">
      <c r="E1374" s="17"/>
      <c r="F1374" s="17"/>
      <c r="G1374" s="17"/>
      <c r="H1374" s="17"/>
      <c r="J1374" s="17"/>
      <c r="K1374" s="17"/>
      <c r="L1374" s="17"/>
      <c r="M1374" s="17"/>
      <c r="N1374" s="17"/>
      <c r="O1374" s="17"/>
    </row>
    <row r="1375" spans="5:15" x14ac:dyDescent="0.25">
      <c r="E1375" s="17"/>
      <c r="F1375" s="17"/>
      <c r="G1375" s="17"/>
      <c r="H1375" s="17"/>
      <c r="J1375" s="17"/>
      <c r="K1375" s="17"/>
      <c r="L1375" s="17"/>
      <c r="M1375" s="17"/>
      <c r="N1375" s="17"/>
      <c r="O1375" s="17"/>
    </row>
    <row r="1376" spans="5:15" x14ac:dyDescent="0.25">
      <c r="E1376" s="17"/>
      <c r="F1376" s="17"/>
      <c r="G1376" s="17"/>
      <c r="H1376" s="17"/>
      <c r="J1376" s="17"/>
      <c r="K1376" s="17"/>
      <c r="L1376" s="17"/>
      <c r="M1376" s="17"/>
      <c r="N1376" s="17"/>
      <c r="O1376" s="17"/>
    </row>
    <row r="1377" spans="5:15" x14ac:dyDescent="0.25">
      <c r="E1377" s="17"/>
      <c r="F1377" s="17"/>
      <c r="G1377" s="17"/>
      <c r="H1377" s="17"/>
      <c r="J1377" s="17"/>
      <c r="K1377" s="17"/>
      <c r="L1377" s="17"/>
      <c r="M1377" s="17"/>
      <c r="N1377" s="17"/>
      <c r="O1377" s="17"/>
    </row>
    <row r="1378" spans="5:15" x14ac:dyDescent="0.25">
      <c r="E1378" s="17"/>
      <c r="F1378" s="17"/>
      <c r="G1378" s="17"/>
      <c r="H1378" s="17"/>
      <c r="J1378" s="17"/>
      <c r="K1378" s="17"/>
      <c r="L1378" s="17"/>
      <c r="M1378" s="17"/>
      <c r="N1378" s="17"/>
      <c r="O1378" s="17"/>
    </row>
    <row r="1379" spans="5:15" x14ac:dyDescent="0.25">
      <c r="E1379" s="17"/>
      <c r="F1379" s="17"/>
      <c r="G1379" s="17"/>
      <c r="H1379" s="17"/>
      <c r="J1379" s="17"/>
      <c r="K1379" s="17"/>
      <c r="L1379" s="17"/>
      <c r="M1379" s="17"/>
      <c r="N1379" s="17"/>
      <c r="O1379" s="17"/>
    </row>
    <row r="1380" spans="5:15" x14ac:dyDescent="0.25">
      <c r="E1380" s="17"/>
      <c r="F1380" s="17"/>
      <c r="G1380" s="17"/>
      <c r="H1380" s="17"/>
      <c r="J1380" s="17"/>
      <c r="K1380" s="17"/>
      <c r="L1380" s="17"/>
      <c r="M1380" s="17"/>
      <c r="N1380" s="17"/>
      <c r="O1380" s="17"/>
    </row>
    <row r="1381" spans="5:15" x14ac:dyDescent="0.25">
      <c r="E1381" s="17"/>
      <c r="F1381" s="17"/>
      <c r="G1381" s="17"/>
      <c r="H1381" s="17"/>
      <c r="J1381" s="17"/>
      <c r="K1381" s="17"/>
      <c r="L1381" s="17"/>
      <c r="M1381" s="17"/>
      <c r="N1381" s="17"/>
      <c r="O1381" s="17"/>
    </row>
    <row r="1382" spans="5:15" x14ac:dyDescent="0.25">
      <c r="E1382" s="17"/>
      <c r="F1382" s="17"/>
      <c r="G1382" s="17"/>
      <c r="H1382" s="17"/>
      <c r="J1382" s="17"/>
      <c r="K1382" s="17"/>
      <c r="L1382" s="17"/>
      <c r="M1382" s="17"/>
      <c r="N1382" s="17"/>
      <c r="O1382" s="17"/>
    </row>
    <row r="1383" spans="5:15" x14ac:dyDescent="0.25">
      <c r="E1383" s="17"/>
      <c r="F1383" s="17"/>
      <c r="G1383" s="17"/>
      <c r="H1383" s="17"/>
      <c r="J1383" s="17"/>
      <c r="K1383" s="17"/>
      <c r="L1383" s="17"/>
      <c r="M1383" s="17"/>
      <c r="N1383" s="17"/>
      <c r="O1383" s="17"/>
    </row>
    <row r="1384" spans="5:15" x14ac:dyDescent="0.25">
      <c r="E1384" s="17"/>
      <c r="F1384" s="17"/>
      <c r="G1384" s="17"/>
      <c r="H1384" s="17"/>
      <c r="J1384" s="17"/>
      <c r="K1384" s="17"/>
      <c r="L1384" s="17"/>
      <c r="M1384" s="17"/>
      <c r="N1384" s="17"/>
      <c r="O1384" s="17"/>
    </row>
    <row r="1385" spans="5:15" x14ac:dyDescent="0.25">
      <c r="E1385" s="17"/>
      <c r="F1385" s="17"/>
      <c r="G1385" s="17"/>
      <c r="H1385" s="17"/>
      <c r="J1385" s="17"/>
      <c r="K1385" s="17"/>
      <c r="L1385" s="17"/>
      <c r="M1385" s="17"/>
      <c r="N1385" s="17"/>
      <c r="O1385" s="17"/>
    </row>
    <row r="1386" spans="5:15" x14ac:dyDescent="0.25">
      <c r="E1386" s="17"/>
      <c r="F1386" s="17"/>
      <c r="G1386" s="17"/>
      <c r="H1386" s="17"/>
      <c r="J1386" s="17"/>
      <c r="K1386" s="17"/>
      <c r="L1386" s="17"/>
      <c r="M1386" s="17"/>
      <c r="N1386" s="17"/>
      <c r="O1386" s="17"/>
    </row>
    <row r="1387" spans="5:15" x14ac:dyDescent="0.25">
      <c r="E1387" s="17"/>
      <c r="F1387" s="17"/>
      <c r="G1387" s="17"/>
      <c r="H1387" s="17"/>
      <c r="J1387" s="17"/>
      <c r="K1387" s="17"/>
      <c r="L1387" s="17"/>
      <c r="M1387" s="17"/>
      <c r="N1387" s="17"/>
      <c r="O1387" s="17"/>
    </row>
    <row r="1388" spans="5:15" x14ac:dyDescent="0.25">
      <c r="E1388" s="17"/>
      <c r="F1388" s="17"/>
      <c r="G1388" s="17"/>
      <c r="H1388" s="17"/>
      <c r="J1388" s="17"/>
      <c r="K1388" s="17"/>
      <c r="L1388" s="17"/>
      <c r="M1388" s="17"/>
      <c r="N1388" s="17"/>
      <c r="O1388" s="17"/>
    </row>
    <row r="1389" spans="5:15" x14ac:dyDescent="0.25">
      <c r="E1389" s="17"/>
      <c r="F1389" s="17"/>
      <c r="G1389" s="17"/>
      <c r="H1389" s="17"/>
      <c r="J1389" s="17"/>
      <c r="K1389" s="17"/>
      <c r="L1389" s="17"/>
      <c r="M1389" s="17"/>
      <c r="N1389" s="17"/>
      <c r="O1389" s="17"/>
    </row>
    <row r="1390" spans="5:15" x14ac:dyDescent="0.25">
      <c r="E1390" s="17"/>
      <c r="F1390" s="17"/>
      <c r="G1390" s="17"/>
      <c r="H1390" s="17"/>
      <c r="J1390" s="17"/>
      <c r="K1390" s="17"/>
      <c r="L1390" s="17"/>
      <c r="M1390" s="17"/>
      <c r="N1390" s="17"/>
      <c r="O1390" s="17"/>
    </row>
    <row r="1391" spans="5:15" x14ac:dyDescent="0.25">
      <c r="E1391" s="17"/>
      <c r="F1391" s="17"/>
      <c r="G1391" s="17"/>
      <c r="H1391" s="17"/>
      <c r="J1391" s="17"/>
      <c r="K1391" s="17"/>
      <c r="L1391" s="17"/>
      <c r="M1391" s="17"/>
      <c r="N1391" s="17"/>
      <c r="O1391" s="17"/>
    </row>
    <row r="1392" spans="5:15" x14ac:dyDescent="0.25">
      <c r="E1392" s="17"/>
      <c r="F1392" s="17"/>
      <c r="G1392" s="17"/>
      <c r="H1392" s="17"/>
      <c r="J1392" s="17"/>
      <c r="K1392" s="17"/>
      <c r="L1392" s="17"/>
      <c r="M1392" s="17"/>
      <c r="N1392" s="17"/>
      <c r="O1392" s="17"/>
    </row>
    <row r="1393" spans="5:15" x14ac:dyDescent="0.25">
      <c r="E1393" s="17"/>
      <c r="F1393" s="17"/>
      <c r="G1393" s="17"/>
      <c r="H1393" s="17"/>
      <c r="J1393" s="17"/>
      <c r="K1393" s="17"/>
      <c r="L1393" s="17"/>
      <c r="M1393" s="17"/>
      <c r="N1393" s="17"/>
      <c r="O1393" s="17"/>
    </row>
    <row r="1394" spans="5:15" x14ac:dyDescent="0.25">
      <c r="E1394" s="17"/>
      <c r="F1394" s="17"/>
      <c r="G1394" s="17"/>
      <c r="H1394" s="17"/>
      <c r="J1394" s="17"/>
      <c r="K1394" s="17"/>
      <c r="L1394" s="17"/>
      <c r="M1394" s="17"/>
      <c r="N1394" s="17"/>
      <c r="O1394" s="17"/>
    </row>
    <row r="1395" spans="5:15" x14ac:dyDescent="0.25">
      <c r="E1395" s="17"/>
      <c r="F1395" s="17"/>
      <c r="G1395" s="17"/>
      <c r="H1395" s="17"/>
      <c r="J1395" s="17"/>
      <c r="K1395" s="17"/>
      <c r="L1395" s="17"/>
      <c r="M1395" s="17"/>
      <c r="N1395" s="17"/>
      <c r="O1395" s="17"/>
    </row>
    <row r="1396" spans="5:15" x14ac:dyDescent="0.25">
      <c r="E1396" s="17"/>
      <c r="F1396" s="17"/>
      <c r="G1396" s="17"/>
      <c r="H1396" s="17"/>
      <c r="J1396" s="17"/>
      <c r="K1396" s="17"/>
      <c r="L1396" s="17"/>
      <c r="M1396" s="17"/>
      <c r="N1396" s="17"/>
      <c r="O1396" s="17"/>
    </row>
    <row r="1397" spans="5:15" x14ac:dyDescent="0.25">
      <c r="E1397" s="17"/>
      <c r="F1397" s="17"/>
      <c r="G1397" s="17"/>
      <c r="H1397" s="17"/>
      <c r="J1397" s="17"/>
      <c r="K1397" s="17"/>
      <c r="L1397" s="17"/>
      <c r="M1397" s="17"/>
      <c r="N1397" s="17"/>
      <c r="O1397" s="17"/>
    </row>
    <row r="1398" spans="5:15" x14ac:dyDescent="0.25">
      <c r="E1398" s="17"/>
      <c r="F1398" s="17"/>
      <c r="G1398" s="17"/>
      <c r="H1398" s="17"/>
      <c r="J1398" s="17"/>
      <c r="K1398" s="17"/>
      <c r="L1398" s="17"/>
      <c r="M1398" s="17"/>
      <c r="N1398" s="17"/>
      <c r="O1398" s="17"/>
    </row>
    <row r="1399" spans="5:15" x14ac:dyDescent="0.25">
      <c r="E1399" s="17"/>
      <c r="F1399" s="17"/>
      <c r="G1399" s="17"/>
      <c r="H1399" s="17"/>
      <c r="J1399" s="17"/>
      <c r="K1399" s="17"/>
      <c r="L1399" s="17"/>
      <c r="M1399" s="17"/>
      <c r="N1399" s="17"/>
      <c r="O1399" s="17"/>
    </row>
    <row r="1400" spans="5:15" x14ac:dyDescent="0.25">
      <c r="E1400" s="17"/>
      <c r="F1400" s="17"/>
      <c r="G1400" s="17"/>
      <c r="H1400" s="17"/>
      <c r="J1400" s="17"/>
      <c r="K1400" s="17"/>
      <c r="L1400" s="17"/>
      <c r="M1400" s="17"/>
      <c r="N1400" s="17"/>
      <c r="O1400" s="17"/>
    </row>
    <row r="1401" spans="5:15" x14ac:dyDescent="0.25">
      <c r="E1401" s="17"/>
      <c r="F1401" s="17"/>
      <c r="G1401" s="17"/>
      <c r="H1401" s="17"/>
      <c r="J1401" s="17"/>
      <c r="K1401" s="17"/>
      <c r="L1401" s="17"/>
      <c r="M1401" s="17"/>
      <c r="N1401" s="17"/>
      <c r="O1401" s="17"/>
    </row>
    <row r="1402" spans="5:15" x14ac:dyDescent="0.25">
      <c r="E1402" s="17"/>
      <c r="F1402" s="17"/>
      <c r="G1402" s="17"/>
      <c r="H1402" s="17"/>
      <c r="J1402" s="17"/>
      <c r="K1402" s="17"/>
      <c r="L1402" s="17"/>
      <c r="M1402" s="17"/>
      <c r="N1402" s="17"/>
      <c r="O1402" s="17"/>
    </row>
    <row r="1403" spans="5:15" x14ac:dyDescent="0.25">
      <c r="E1403" s="17"/>
      <c r="F1403" s="17"/>
      <c r="G1403" s="17"/>
      <c r="H1403" s="17"/>
      <c r="J1403" s="17"/>
      <c r="K1403" s="17"/>
      <c r="L1403" s="17"/>
      <c r="M1403" s="17"/>
      <c r="N1403" s="17"/>
      <c r="O1403" s="17"/>
    </row>
    <row r="1404" spans="5:15" x14ac:dyDescent="0.25">
      <c r="E1404" s="17"/>
      <c r="F1404" s="17"/>
      <c r="G1404" s="17"/>
      <c r="H1404" s="17"/>
      <c r="J1404" s="17"/>
      <c r="K1404" s="17"/>
      <c r="L1404" s="17"/>
      <c r="M1404" s="17"/>
      <c r="N1404" s="17"/>
      <c r="O1404" s="17"/>
    </row>
    <row r="1405" spans="5:15" x14ac:dyDescent="0.25">
      <c r="E1405" s="17"/>
      <c r="F1405" s="17"/>
      <c r="G1405" s="17"/>
      <c r="H1405" s="17"/>
      <c r="J1405" s="17"/>
      <c r="K1405" s="17"/>
      <c r="L1405" s="17"/>
      <c r="M1405" s="17"/>
      <c r="N1405" s="17"/>
      <c r="O1405" s="17"/>
    </row>
    <row r="1406" spans="5:15" x14ac:dyDescent="0.25">
      <c r="E1406" s="17"/>
      <c r="F1406" s="17"/>
      <c r="G1406" s="17"/>
      <c r="H1406" s="17"/>
      <c r="J1406" s="17"/>
      <c r="K1406" s="17"/>
      <c r="L1406" s="17"/>
      <c r="M1406" s="17"/>
      <c r="N1406" s="17"/>
      <c r="O1406" s="17"/>
    </row>
    <row r="1407" spans="5:15" x14ac:dyDescent="0.25">
      <c r="E1407" s="17"/>
      <c r="F1407" s="17"/>
      <c r="G1407" s="17"/>
      <c r="H1407" s="17"/>
      <c r="J1407" s="17"/>
      <c r="K1407" s="17"/>
      <c r="L1407" s="17"/>
      <c r="M1407" s="17"/>
      <c r="N1407" s="17"/>
      <c r="O1407" s="17"/>
    </row>
    <row r="1408" spans="5:15" x14ac:dyDescent="0.25">
      <c r="E1408" s="17"/>
      <c r="F1408" s="17"/>
      <c r="G1408" s="17"/>
      <c r="H1408" s="17"/>
      <c r="J1408" s="17"/>
      <c r="K1408" s="17"/>
      <c r="L1408" s="17"/>
      <c r="M1408" s="17"/>
      <c r="N1408" s="17"/>
      <c r="O1408" s="17"/>
    </row>
    <row r="1409" spans="5:15" x14ac:dyDescent="0.25">
      <c r="E1409" s="17"/>
      <c r="F1409" s="17"/>
      <c r="G1409" s="17"/>
      <c r="H1409" s="17"/>
      <c r="J1409" s="17"/>
      <c r="K1409" s="17"/>
      <c r="L1409" s="17"/>
      <c r="M1409" s="17"/>
      <c r="N1409" s="17"/>
      <c r="O1409" s="17"/>
    </row>
    <row r="1410" spans="5:15" x14ac:dyDescent="0.25">
      <c r="E1410" s="17"/>
      <c r="F1410" s="17"/>
      <c r="G1410" s="17"/>
      <c r="H1410" s="17"/>
      <c r="J1410" s="17"/>
      <c r="K1410" s="17"/>
      <c r="L1410" s="17"/>
      <c r="M1410" s="17"/>
      <c r="N1410" s="17"/>
      <c r="O1410" s="17"/>
    </row>
    <row r="1411" spans="5:15" x14ac:dyDescent="0.25">
      <c r="E1411" s="17"/>
      <c r="F1411" s="17"/>
      <c r="G1411" s="17"/>
      <c r="H1411" s="17"/>
      <c r="J1411" s="17"/>
      <c r="K1411" s="17"/>
      <c r="L1411" s="17"/>
      <c r="M1411" s="17"/>
      <c r="N1411" s="17"/>
      <c r="O1411" s="17"/>
    </row>
    <row r="1412" spans="5:15" x14ac:dyDescent="0.25">
      <c r="E1412" s="17"/>
      <c r="F1412" s="17"/>
      <c r="G1412" s="17"/>
      <c r="H1412" s="17"/>
      <c r="J1412" s="17"/>
      <c r="K1412" s="17"/>
      <c r="L1412" s="17"/>
      <c r="M1412" s="17"/>
      <c r="N1412" s="17"/>
      <c r="O1412" s="17"/>
    </row>
    <row r="1413" spans="5:15" x14ac:dyDescent="0.25">
      <c r="E1413" s="17"/>
      <c r="F1413" s="17"/>
      <c r="G1413" s="17"/>
      <c r="H1413" s="17"/>
      <c r="J1413" s="17"/>
      <c r="K1413" s="17"/>
      <c r="L1413" s="17"/>
      <c r="M1413" s="17"/>
      <c r="N1413" s="17"/>
      <c r="O1413" s="17"/>
    </row>
    <row r="1414" spans="5:15" x14ac:dyDescent="0.25">
      <c r="E1414" s="17"/>
      <c r="F1414" s="17"/>
      <c r="G1414" s="17"/>
      <c r="H1414" s="17"/>
      <c r="J1414" s="17"/>
      <c r="K1414" s="17"/>
      <c r="L1414" s="17"/>
      <c r="M1414" s="17"/>
      <c r="N1414" s="17"/>
      <c r="O1414" s="17"/>
    </row>
    <row r="1415" spans="5:15" x14ac:dyDescent="0.25">
      <c r="E1415" s="17"/>
      <c r="F1415" s="17"/>
      <c r="G1415" s="17"/>
      <c r="H1415" s="17"/>
      <c r="J1415" s="17"/>
      <c r="K1415" s="17"/>
      <c r="L1415" s="17"/>
      <c r="M1415" s="17"/>
      <c r="N1415" s="17"/>
      <c r="O1415" s="17"/>
    </row>
    <row r="1416" spans="5:15" x14ac:dyDescent="0.25">
      <c r="E1416" s="17"/>
      <c r="F1416" s="17"/>
      <c r="G1416" s="17"/>
      <c r="H1416" s="17"/>
      <c r="J1416" s="17"/>
      <c r="K1416" s="17"/>
      <c r="L1416" s="17"/>
      <c r="M1416" s="17"/>
      <c r="N1416" s="17"/>
      <c r="O1416" s="17"/>
    </row>
    <row r="1417" spans="5:15" x14ac:dyDescent="0.25">
      <c r="E1417" s="17"/>
      <c r="F1417" s="17"/>
      <c r="G1417" s="17"/>
      <c r="H1417" s="17"/>
      <c r="J1417" s="17"/>
      <c r="K1417" s="17"/>
      <c r="L1417" s="17"/>
      <c r="M1417" s="17"/>
      <c r="N1417" s="17"/>
      <c r="O1417" s="17"/>
    </row>
    <row r="1418" spans="5:15" x14ac:dyDescent="0.25">
      <c r="E1418" s="17"/>
      <c r="F1418" s="17"/>
      <c r="G1418" s="17"/>
      <c r="H1418" s="17"/>
      <c r="J1418" s="17"/>
      <c r="K1418" s="17"/>
      <c r="L1418" s="17"/>
      <c r="M1418" s="17"/>
      <c r="N1418" s="17"/>
      <c r="O1418" s="17"/>
    </row>
    <row r="1419" spans="5:15" x14ac:dyDescent="0.25">
      <c r="E1419" s="17"/>
      <c r="F1419" s="17"/>
      <c r="G1419" s="17"/>
      <c r="H1419" s="17"/>
      <c r="J1419" s="17"/>
      <c r="K1419" s="17"/>
      <c r="L1419" s="17"/>
      <c r="M1419" s="17"/>
      <c r="N1419" s="17"/>
      <c r="O1419" s="17"/>
    </row>
    <row r="1420" spans="5:15" x14ac:dyDescent="0.25">
      <c r="E1420" s="17"/>
      <c r="F1420" s="17"/>
      <c r="G1420" s="17"/>
      <c r="H1420" s="17"/>
      <c r="J1420" s="17"/>
      <c r="K1420" s="17"/>
      <c r="L1420" s="17"/>
      <c r="M1420" s="17"/>
      <c r="N1420" s="17"/>
      <c r="O1420" s="17"/>
    </row>
    <row r="1421" spans="5:15" x14ac:dyDescent="0.25">
      <c r="E1421" s="17"/>
      <c r="F1421" s="17"/>
      <c r="G1421" s="17"/>
      <c r="H1421" s="17"/>
      <c r="J1421" s="17"/>
      <c r="K1421" s="17"/>
      <c r="L1421" s="17"/>
      <c r="M1421" s="17"/>
      <c r="N1421" s="17"/>
      <c r="O1421" s="17"/>
    </row>
    <row r="1422" spans="5:15" x14ac:dyDescent="0.25">
      <c r="E1422" s="17"/>
      <c r="F1422" s="17"/>
      <c r="G1422" s="17"/>
      <c r="H1422" s="17"/>
      <c r="J1422" s="17"/>
      <c r="K1422" s="17"/>
      <c r="L1422" s="17"/>
      <c r="M1422" s="17"/>
      <c r="N1422" s="17"/>
      <c r="O1422" s="17"/>
    </row>
    <row r="1423" spans="5:15" x14ac:dyDescent="0.25">
      <c r="E1423" s="17"/>
      <c r="F1423" s="17"/>
      <c r="G1423" s="17"/>
      <c r="H1423" s="17"/>
      <c r="J1423" s="17"/>
      <c r="K1423" s="17"/>
      <c r="L1423" s="17"/>
      <c r="M1423" s="17"/>
      <c r="N1423" s="17"/>
      <c r="O1423" s="17"/>
    </row>
    <row r="1424" spans="5:15" x14ac:dyDescent="0.25">
      <c r="E1424" s="17"/>
      <c r="F1424" s="17"/>
      <c r="G1424" s="17"/>
      <c r="H1424" s="17"/>
      <c r="J1424" s="17"/>
      <c r="K1424" s="17"/>
      <c r="L1424" s="17"/>
      <c r="M1424" s="17"/>
      <c r="N1424" s="17"/>
      <c r="O1424" s="17"/>
    </row>
    <row r="1425" spans="5:15" x14ac:dyDescent="0.25">
      <c r="E1425" s="17"/>
      <c r="F1425" s="17"/>
      <c r="G1425" s="17"/>
      <c r="H1425" s="17"/>
      <c r="J1425" s="17"/>
      <c r="K1425" s="17"/>
      <c r="L1425" s="17"/>
      <c r="M1425" s="17"/>
      <c r="N1425" s="17"/>
      <c r="O1425" s="17"/>
    </row>
    <row r="1426" spans="5:15" x14ac:dyDescent="0.25">
      <c r="E1426" s="17"/>
      <c r="F1426" s="17"/>
      <c r="G1426" s="17"/>
      <c r="H1426" s="17"/>
      <c r="J1426" s="17"/>
      <c r="K1426" s="17"/>
      <c r="L1426" s="17"/>
      <c r="M1426" s="17"/>
      <c r="N1426" s="17"/>
      <c r="O1426" s="17"/>
    </row>
    <row r="1427" spans="5:15" x14ac:dyDescent="0.25">
      <c r="E1427" s="17"/>
      <c r="F1427" s="17"/>
      <c r="G1427" s="17"/>
      <c r="H1427" s="17"/>
      <c r="J1427" s="17"/>
      <c r="K1427" s="17"/>
      <c r="L1427" s="17"/>
      <c r="M1427" s="17"/>
      <c r="N1427" s="17"/>
      <c r="O1427" s="17"/>
    </row>
    <row r="1428" spans="5:15" x14ac:dyDescent="0.25">
      <c r="E1428" s="17"/>
      <c r="F1428" s="17"/>
      <c r="G1428" s="17"/>
      <c r="H1428" s="17"/>
      <c r="J1428" s="17"/>
      <c r="K1428" s="17"/>
      <c r="L1428" s="17"/>
      <c r="M1428" s="17"/>
      <c r="N1428" s="17"/>
      <c r="O1428" s="17"/>
    </row>
    <row r="1429" spans="5:15" x14ac:dyDescent="0.25">
      <c r="E1429" s="17"/>
      <c r="F1429" s="17"/>
      <c r="G1429" s="17"/>
      <c r="H1429" s="17"/>
      <c r="J1429" s="17"/>
      <c r="K1429" s="17"/>
      <c r="L1429" s="17"/>
      <c r="M1429" s="17"/>
      <c r="N1429" s="17"/>
      <c r="O1429" s="17"/>
    </row>
    <row r="1430" spans="5:15" x14ac:dyDescent="0.25">
      <c r="E1430" s="17"/>
      <c r="F1430" s="17"/>
      <c r="G1430" s="17"/>
      <c r="H1430" s="17"/>
      <c r="J1430" s="17"/>
      <c r="K1430" s="17"/>
      <c r="L1430" s="17"/>
      <c r="M1430" s="17"/>
      <c r="N1430" s="17"/>
      <c r="O1430" s="17"/>
    </row>
    <row r="1431" spans="5:15" x14ac:dyDescent="0.25">
      <c r="E1431" s="17"/>
      <c r="F1431" s="17"/>
      <c r="G1431" s="17"/>
      <c r="H1431" s="17"/>
      <c r="J1431" s="17"/>
      <c r="K1431" s="17"/>
      <c r="L1431" s="17"/>
      <c r="M1431" s="17"/>
      <c r="N1431" s="17"/>
      <c r="O1431" s="17"/>
    </row>
    <row r="1432" spans="5:15" x14ac:dyDescent="0.25">
      <c r="E1432" s="17"/>
      <c r="F1432" s="17"/>
      <c r="G1432" s="17"/>
      <c r="H1432" s="17"/>
      <c r="J1432" s="17"/>
      <c r="K1432" s="17"/>
      <c r="L1432" s="17"/>
      <c r="M1432" s="17"/>
      <c r="N1432" s="17"/>
      <c r="O1432" s="17"/>
    </row>
    <row r="1433" spans="5:15" x14ac:dyDescent="0.25">
      <c r="E1433" s="17"/>
      <c r="F1433" s="17"/>
      <c r="G1433" s="17"/>
      <c r="H1433" s="17"/>
      <c r="J1433" s="17"/>
      <c r="K1433" s="17"/>
      <c r="L1433" s="17"/>
      <c r="M1433" s="17"/>
      <c r="N1433" s="17"/>
      <c r="O1433" s="17"/>
    </row>
    <row r="1434" spans="5:15" x14ac:dyDescent="0.25">
      <c r="E1434" s="17"/>
      <c r="F1434" s="17"/>
      <c r="G1434" s="17"/>
      <c r="H1434" s="17"/>
      <c r="J1434" s="17"/>
      <c r="K1434" s="17"/>
      <c r="L1434" s="17"/>
      <c r="M1434" s="17"/>
      <c r="N1434" s="17"/>
      <c r="O1434" s="17"/>
    </row>
    <row r="1435" spans="5:15" x14ac:dyDescent="0.25">
      <c r="E1435" s="17"/>
      <c r="F1435" s="17"/>
      <c r="G1435" s="17"/>
      <c r="H1435" s="17"/>
      <c r="J1435" s="17"/>
      <c r="K1435" s="17"/>
      <c r="L1435" s="17"/>
      <c r="M1435" s="17"/>
      <c r="N1435" s="17"/>
      <c r="O1435" s="17"/>
    </row>
    <row r="1436" spans="5:15" x14ac:dyDescent="0.25">
      <c r="E1436" s="17"/>
      <c r="F1436" s="17"/>
      <c r="G1436" s="17"/>
      <c r="H1436" s="17"/>
      <c r="J1436" s="17"/>
      <c r="K1436" s="17"/>
      <c r="L1436" s="17"/>
      <c r="M1436" s="17"/>
      <c r="N1436" s="17"/>
      <c r="O1436" s="17"/>
    </row>
    <row r="1437" spans="5:15" x14ac:dyDescent="0.25">
      <c r="E1437" s="17"/>
      <c r="F1437" s="17"/>
      <c r="G1437" s="17"/>
      <c r="H1437" s="17"/>
      <c r="J1437" s="17"/>
      <c r="K1437" s="17"/>
      <c r="L1437" s="17"/>
      <c r="M1437" s="17"/>
      <c r="N1437" s="17"/>
      <c r="O1437" s="17"/>
    </row>
    <row r="1438" spans="5:15" x14ac:dyDescent="0.25">
      <c r="E1438" s="17"/>
      <c r="F1438" s="17"/>
      <c r="G1438" s="17"/>
      <c r="H1438" s="17"/>
      <c r="J1438" s="17"/>
      <c r="K1438" s="17"/>
      <c r="L1438" s="17"/>
      <c r="M1438" s="17"/>
      <c r="N1438" s="17"/>
      <c r="O1438" s="17"/>
    </row>
    <row r="1439" spans="5:15" x14ac:dyDescent="0.25">
      <c r="E1439" s="17"/>
      <c r="F1439" s="17"/>
      <c r="G1439" s="17"/>
      <c r="H1439" s="17"/>
      <c r="J1439" s="17"/>
      <c r="K1439" s="17"/>
      <c r="L1439" s="17"/>
      <c r="M1439" s="17"/>
      <c r="N1439" s="17"/>
      <c r="O1439" s="17"/>
    </row>
    <row r="1440" spans="5:15" x14ac:dyDescent="0.25">
      <c r="E1440" s="17"/>
      <c r="F1440" s="17"/>
      <c r="G1440" s="17"/>
      <c r="H1440" s="17"/>
      <c r="J1440" s="17"/>
      <c r="K1440" s="17"/>
      <c r="L1440" s="17"/>
      <c r="M1440" s="17"/>
      <c r="N1440" s="17"/>
      <c r="O1440" s="17"/>
    </row>
    <row r="1441" spans="5:15" x14ac:dyDescent="0.25">
      <c r="E1441" s="17"/>
      <c r="F1441" s="17"/>
      <c r="G1441" s="17"/>
      <c r="H1441" s="17"/>
      <c r="J1441" s="17"/>
      <c r="K1441" s="17"/>
      <c r="L1441" s="17"/>
      <c r="M1441" s="17"/>
      <c r="N1441" s="17"/>
      <c r="O1441" s="17"/>
    </row>
    <row r="1442" spans="5:15" x14ac:dyDescent="0.25">
      <c r="E1442" s="17"/>
      <c r="F1442" s="17"/>
      <c r="G1442" s="17"/>
      <c r="H1442" s="17"/>
      <c r="J1442" s="17"/>
      <c r="K1442" s="17"/>
      <c r="L1442" s="17"/>
      <c r="M1442" s="17"/>
      <c r="N1442" s="17"/>
      <c r="O1442" s="17"/>
    </row>
    <row r="1443" spans="5:15" x14ac:dyDescent="0.25">
      <c r="E1443" s="17"/>
      <c r="F1443" s="17"/>
      <c r="G1443" s="17"/>
      <c r="H1443" s="17"/>
      <c r="J1443" s="17"/>
      <c r="K1443" s="17"/>
      <c r="L1443" s="17"/>
      <c r="M1443" s="17"/>
      <c r="N1443" s="17"/>
      <c r="O1443" s="17"/>
    </row>
    <row r="1444" spans="5:15" x14ac:dyDescent="0.25">
      <c r="E1444" s="17"/>
      <c r="F1444" s="17"/>
      <c r="G1444" s="17"/>
      <c r="H1444" s="17"/>
      <c r="J1444" s="17"/>
      <c r="K1444" s="17"/>
      <c r="L1444" s="17"/>
      <c r="M1444" s="17"/>
      <c r="N1444" s="17"/>
      <c r="O1444" s="17"/>
    </row>
    <row r="1445" spans="5:15" x14ac:dyDescent="0.25">
      <c r="E1445" s="17"/>
      <c r="F1445" s="17"/>
      <c r="G1445" s="17"/>
      <c r="H1445" s="17"/>
      <c r="J1445" s="17"/>
      <c r="K1445" s="17"/>
      <c r="L1445" s="17"/>
      <c r="M1445" s="17"/>
      <c r="N1445" s="17"/>
      <c r="O1445" s="17"/>
    </row>
    <row r="1446" spans="5:15" x14ac:dyDescent="0.25">
      <c r="E1446" s="17"/>
      <c r="F1446" s="17"/>
      <c r="G1446" s="17"/>
      <c r="H1446" s="17"/>
      <c r="J1446" s="17"/>
      <c r="K1446" s="17"/>
      <c r="L1446" s="17"/>
      <c r="M1446" s="17"/>
      <c r="N1446" s="17"/>
      <c r="O1446" s="17"/>
    </row>
    <row r="1447" spans="5:15" x14ac:dyDescent="0.25">
      <c r="E1447" s="17"/>
      <c r="F1447" s="17"/>
      <c r="G1447" s="17"/>
      <c r="H1447" s="17"/>
      <c r="J1447" s="17"/>
      <c r="K1447" s="17"/>
      <c r="L1447" s="17"/>
      <c r="M1447" s="17"/>
      <c r="N1447" s="17"/>
      <c r="O1447" s="17"/>
    </row>
    <row r="1448" spans="5:15" x14ac:dyDescent="0.25">
      <c r="E1448" s="17"/>
      <c r="F1448" s="17"/>
      <c r="G1448" s="17"/>
      <c r="H1448" s="17"/>
      <c r="J1448" s="17"/>
      <c r="K1448" s="17"/>
      <c r="L1448" s="17"/>
      <c r="M1448" s="17"/>
      <c r="N1448" s="17"/>
      <c r="O1448" s="17"/>
    </row>
    <row r="1449" spans="5:15" x14ac:dyDescent="0.25">
      <c r="E1449" s="17"/>
      <c r="F1449" s="17"/>
      <c r="G1449" s="17"/>
      <c r="H1449" s="17"/>
      <c r="J1449" s="17"/>
      <c r="K1449" s="17"/>
      <c r="L1449" s="17"/>
      <c r="M1449" s="17"/>
      <c r="N1449" s="17"/>
      <c r="O1449" s="17"/>
    </row>
    <row r="1450" spans="5:15" x14ac:dyDescent="0.25">
      <c r="E1450" s="17"/>
      <c r="F1450" s="17"/>
      <c r="G1450" s="17"/>
      <c r="H1450" s="17"/>
      <c r="J1450" s="17"/>
      <c r="K1450" s="17"/>
      <c r="L1450" s="17"/>
      <c r="M1450" s="17"/>
      <c r="N1450" s="17"/>
      <c r="O1450" s="17"/>
    </row>
    <row r="1451" spans="5:15" x14ac:dyDescent="0.25">
      <c r="E1451" s="17"/>
      <c r="F1451" s="17"/>
      <c r="G1451" s="17"/>
      <c r="H1451" s="17"/>
      <c r="J1451" s="17"/>
      <c r="K1451" s="17"/>
      <c r="L1451" s="17"/>
      <c r="M1451" s="17"/>
      <c r="N1451" s="17"/>
      <c r="O1451" s="17"/>
    </row>
    <row r="1452" spans="5:15" x14ac:dyDescent="0.25">
      <c r="E1452" s="17"/>
      <c r="F1452" s="17"/>
      <c r="G1452" s="17"/>
      <c r="H1452" s="17"/>
      <c r="J1452" s="17"/>
      <c r="K1452" s="17"/>
      <c r="L1452" s="17"/>
      <c r="M1452" s="17"/>
      <c r="N1452" s="17"/>
      <c r="O1452" s="17"/>
    </row>
    <row r="1453" spans="5:15" x14ac:dyDescent="0.25">
      <c r="E1453" s="17"/>
      <c r="F1453" s="17"/>
      <c r="G1453" s="17"/>
      <c r="H1453" s="17"/>
      <c r="J1453" s="17"/>
      <c r="K1453" s="17"/>
      <c r="L1453" s="17"/>
      <c r="M1453" s="17"/>
      <c r="N1453" s="17"/>
      <c r="O1453" s="17"/>
    </row>
    <row r="1454" spans="5:15" x14ac:dyDescent="0.25">
      <c r="E1454" s="17"/>
      <c r="F1454" s="17"/>
      <c r="G1454" s="17"/>
      <c r="H1454" s="17"/>
      <c r="J1454" s="17"/>
      <c r="K1454" s="17"/>
      <c r="L1454" s="17"/>
      <c r="M1454" s="17"/>
      <c r="N1454" s="17"/>
      <c r="O1454" s="17"/>
    </row>
    <row r="1455" spans="5:15" x14ac:dyDescent="0.25">
      <c r="E1455" s="17"/>
      <c r="F1455" s="17"/>
      <c r="G1455" s="17"/>
      <c r="H1455" s="17"/>
      <c r="J1455" s="17"/>
      <c r="K1455" s="17"/>
      <c r="L1455" s="17"/>
      <c r="M1455" s="17"/>
      <c r="N1455" s="17"/>
      <c r="O1455" s="17"/>
    </row>
    <row r="1456" spans="5:15" x14ac:dyDescent="0.25">
      <c r="E1456" s="17"/>
      <c r="F1456" s="17"/>
      <c r="G1456" s="17"/>
      <c r="H1456" s="17"/>
      <c r="J1456" s="17"/>
      <c r="K1456" s="17"/>
      <c r="L1456" s="17"/>
      <c r="M1456" s="17"/>
      <c r="N1456" s="17"/>
      <c r="O1456" s="17"/>
    </row>
    <row r="1457" spans="5:15" x14ac:dyDescent="0.25">
      <c r="E1457" s="17"/>
      <c r="F1457" s="17"/>
      <c r="G1457" s="17"/>
      <c r="H1457" s="17"/>
      <c r="J1457" s="17"/>
      <c r="K1457" s="17"/>
      <c r="L1457" s="17"/>
      <c r="M1457" s="17"/>
      <c r="N1457" s="17"/>
      <c r="O1457" s="17"/>
    </row>
    <row r="1458" spans="5:15" x14ac:dyDescent="0.25">
      <c r="E1458" s="17"/>
      <c r="F1458" s="17"/>
      <c r="G1458" s="17"/>
      <c r="H1458" s="17"/>
      <c r="J1458" s="17"/>
      <c r="K1458" s="17"/>
      <c r="L1458" s="17"/>
      <c r="M1458" s="17"/>
      <c r="N1458" s="17"/>
      <c r="O1458" s="17"/>
    </row>
    <row r="1459" spans="5:15" x14ac:dyDescent="0.25">
      <c r="E1459" s="17"/>
      <c r="F1459" s="17"/>
      <c r="G1459" s="17"/>
      <c r="H1459" s="17"/>
      <c r="J1459" s="17"/>
      <c r="K1459" s="17"/>
      <c r="L1459" s="17"/>
      <c r="M1459" s="17"/>
      <c r="N1459" s="17"/>
      <c r="O1459" s="17"/>
    </row>
    <row r="1460" spans="5:15" x14ac:dyDescent="0.25">
      <c r="E1460" s="17"/>
      <c r="F1460" s="17"/>
      <c r="G1460" s="17"/>
      <c r="H1460" s="17"/>
      <c r="J1460" s="17"/>
      <c r="K1460" s="17"/>
      <c r="L1460" s="17"/>
      <c r="M1460" s="17"/>
      <c r="N1460" s="17"/>
      <c r="O1460" s="17"/>
    </row>
    <row r="1461" spans="5:15" x14ac:dyDescent="0.25">
      <c r="E1461" s="17"/>
      <c r="F1461" s="17"/>
      <c r="G1461" s="17"/>
      <c r="H1461" s="17"/>
      <c r="J1461" s="17"/>
      <c r="K1461" s="17"/>
      <c r="L1461" s="17"/>
      <c r="M1461" s="17"/>
      <c r="N1461" s="17"/>
      <c r="O1461" s="17"/>
    </row>
    <row r="1462" spans="5:15" x14ac:dyDescent="0.25">
      <c r="E1462" s="17"/>
      <c r="F1462" s="17"/>
      <c r="G1462" s="17"/>
      <c r="H1462" s="17"/>
      <c r="J1462" s="17"/>
      <c r="K1462" s="17"/>
      <c r="L1462" s="17"/>
      <c r="M1462" s="17"/>
      <c r="N1462" s="17"/>
      <c r="O1462" s="17"/>
    </row>
    <row r="1463" spans="5:15" x14ac:dyDescent="0.25">
      <c r="E1463" s="17"/>
      <c r="F1463" s="17"/>
      <c r="G1463" s="17"/>
      <c r="H1463" s="17"/>
      <c r="J1463" s="17"/>
      <c r="K1463" s="17"/>
      <c r="L1463" s="17"/>
      <c r="M1463" s="17"/>
      <c r="N1463" s="17"/>
      <c r="O1463" s="17"/>
    </row>
    <row r="1464" spans="5:15" x14ac:dyDescent="0.25">
      <c r="E1464" s="17"/>
      <c r="F1464" s="17"/>
      <c r="G1464" s="17"/>
      <c r="H1464" s="17"/>
      <c r="J1464" s="17"/>
      <c r="K1464" s="17"/>
      <c r="L1464" s="17"/>
      <c r="M1464" s="17"/>
      <c r="N1464" s="17"/>
      <c r="O1464" s="17"/>
    </row>
    <row r="1465" spans="5:15" x14ac:dyDescent="0.25">
      <c r="E1465" s="17"/>
      <c r="F1465" s="17"/>
      <c r="G1465" s="17"/>
      <c r="H1465" s="17"/>
      <c r="J1465" s="17"/>
      <c r="K1465" s="17"/>
      <c r="L1465" s="17"/>
      <c r="M1465" s="17"/>
      <c r="N1465" s="17"/>
      <c r="O1465" s="17"/>
    </row>
    <row r="1466" spans="5:15" x14ac:dyDescent="0.25">
      <c r="E1466" s="17"/>
      <c r="F1466" s="17"/>
      <c r="G1466" s="17"/>
      <c r="H1466" s="17"/>
      <c r="J1466" s="17"/>
      <c r="K1466" s="17"/>
      <c r="L1466" s="17"/>
      <c r="M1466" s="17"/>
      <c r="N1466" s="17"/>
      <c r="O1466" s="17"/>
    </row>
    <row r="1467" spans="5:15" x14ac:dyDescent="0.25">
      <c r="E1467" s="17"/>
      <c r="F1467" s="17"/>
      <c r="G1467" s="17"/>
      <c r="H1467" s="17"/>
      <c r="J1467" s="17"/>
      <c r="K1467" s="17"/>
      <c r="L1467" s="17"/>
      <c r="M1467" s="17"/>
      <c r="N1467" s="17"/>
      <c r="O1467" s="17"/>
    </row>
    <row r="1468" spans="5:15" x14ac:dyDescent="0.25">
      <c r="E1468" s="17"/>
      <c r="F1468" s="17"/>
      <c r="G1468" s="17"/>
      <c r="H1468" s="17"/>
      <c r="J1468" s="17"/>
      <c r="K1468" s="17"/>
      <c r="L1468" s="17"/>
      <c r="M1468" s="17"/>
      <c r="N1468" s="17"/>
      <c r="O1468" s="17"/>
    </row>
    <row r="1469" spans="5:15" x14ac:dyDescent="0.25">
      <c r="E1469" s="17"/>
      <c r="F1469" s="17"/>
      <c r="G1469" s="17"/>
      <c r="H1469" s="17"/>
      <c r="J1469" s="17"/>
      <c r="K1469" s="17"/>
      <c r="L1469" s="17"/>
      <c r="M1469" s="17"/>
      <c r="N1469" s="17"/>
      <c r="O1469" s="17"/>
    </row>
    <row r="1470" spans="5:15" x14ac:dyDescent="0.25">
      <c r="E1470" s="17"/>
      <c r="F1470" s="17"/>
      <c r="G1470" s="17"/>
      <c r="H1470" s="17"/>
      <c r="J1470" s="17"/>
      <c r="K1470" s="17"/>
      <c r="L1470" s="17"/>
      <c r="M1470" s="17"/>
      <c r="N1470" s="17"/>
      <c r="O1470" s="17"/>
    </row>
    <row r="1471" spans="5:15" x14ac:dyDescent="0.25">
      <c r="E1471" s="17"/>
      <c r="F1471" s="17"/>
      <c r="G1471" s="17"/>
      <c r="H1471" s="17"/>
      <c r="J1471" s="17"/>
      <c r="K1471" s="17"/>
      <c r="L1471" s="17"/>
      <c r="M1471" s="17"/>
      <c r="N1471" s="17"/>
      <c r="O1471" s="17"/>
    </row>
    <row r="1472" spans="5:15" x14ac:dyDescent="0.25">
      <c r="E1472" s="17"/>
      <c r="F1472" s="17"/>
      <c r="G1472" s="17"/>
      <c r="H1472" s="17"/>
      <c r="J1472" s="17"/>
      <c r="K1472" s="17"/>
      <c r="L1472" s="17"/>
      <c r="M1472" s="17"/>
      <c r="N1472" s="17"/>
      <c r="O1472" s="17"/>
    </row>
    <row r="1473" spans="5:15" x14ac:dyDescent="0.25">
      <c r="E1473" s="17"/>
      <c r="F1473" s="17"/>
      <c r="G1473" s="17"/>
      <c r="H1473" s="17"/>
      <c r="J1473" s="17"/>
      <c r="K1473" s="17"/>
      <c r="L1473" s="17"/>
      <c r="M1473" s="17"/>
      <c r="N1473" s="17"/>
      <c r="O1473" s="17"/>
    </row>
    <row r="1474" spans="5:15" x14ac:dyDescent="0.25">
      <c r="E1474" s="17"/>
      <c r="F1474" s="17"/>
      <c r="G1474" s="17"/>
      <c r="H1474" s="17"/>
      <c r="J1474" s="17"/>
      <c r="K1474" s="17"/>
      <c r="L1474" s="17"/>
      <c r="M1474" s="17"/>
      <c r="N1474" s="17"/>
      <c r="O1474" s="17"/>
    </row>
    <row r="1475" spans="5:15" x14ac:dyDescent="0.25">
      <c r="E1475" s="17"/>
      <c r="F1475" s="17"/>
      <c r="G1475" s="17"/>
      <c r="H1475" s="17"/>
      <c r="J1475" s="17"/>
      <c r="K1475" s="17"/>
      <c r="L1475" s="17"/>
      <c r="M1475" s="17"/>
      <c r="N1475" s="17"/>
      <c r="O1475" s="17"/>
    </row>
    <row r="1476" spans="5:15" x14ac:dyDescent="0.25">
      <c r="E1476" s="17"/>
      <c r="F1476" s="17"/>
      <c r="G1476" s="17"/>
      <c r="H1476" s="17"/>
      <c r="J1476" s="17"/>
      <c r="K1476" s="17"/>
      <c r="L1476" s="17"/>
      <c r="M1476" s="17"/>
      <c r="N1476" s="17"/>
      <c r="O1476" s="17"/>
    </row>
    <row r="1477" spans="5:15" x14ac:dyDescent="0.25">
      <c r="E1477" s="17"/>
      <c r="F1477" s="17"/>
      <c r="G1477" s="17"/>
      <c r="H1477" s="17"/>
      <c r="J1477" s="17"/>
      <c r="K1477" s="17"/>
      <c r="L1477" s="17"/>
      <c r="M1477" s="17"/>
      <c r="N1477" s="17"/>
      <c r="O1477" s="17"/>
    </row>
    <row r="1478" spans="5:15" x14ac:dyDescent="0.25">
      <c r="E1478" s="17"/>
      <c r="F1478" s="17"/>
      <c r="G1478" s="17"/>
      <c r="H1478" s="17"/>
      <c r="J1478" s="17"/>
      <c r="K1478" s="17"/>
      <c r="L1478" s="17"/>
      <c r="M1478" s="17"/>
      <c r="N1478" s="17"/>
      <c r="O1478" s="17"/>
    </row>
    <row r="1479" spans="5:15" x14ac:dyDescent="0.25">
      <c r="E1479" s="17"/>
      <c r="F1479" s="17"/>
      <c r="G1479" s="17"/>
      <c r="H1479" s="17"/>
      <c r="J1479" s="17"/>
      <c r="K1479" s="17"/>
      <c r="L1479" s="17"/>
      <c r="M1479" s="17"/>
      <c r="N1479" s="17"/>
      <c r="O1479" s="17"/>
    </row>
    <row r="1480" spans="5:15" x14ac:dyDescent="0.25">
      <c r="E1480" s="17"/>
      <c r="F1480" s="17"/>
      <c r="G1480" s="17"/>
      <c r="H1480" s="17"/>
      <c r="J1480" s="17"/>
      <c r="K1480" s="17"/>
      <c r="L1480" s="17"/>
      <c r="M1480" s="17"/>
      <c r="N1480" s="17"/>
      <c r="O1480" s="17"/>
    </row>
    <row r="1481" spans="5:15" x14ac:dyDescent="0.25">
      <c r="E1481" s="17"/>
      <c r="F1481" s="17"/>
      <c r="G1481" s="17"/>
      <c r="H1481" s="17"/>
      <c r="J1481" s="17"/>
      <c r="K1481" s="17"/>
      <c r="L1481" s="17"/>
      <c r="M1481" s="17"/>
      <c r="N1481" s="17"/>
      <c r="O1481" s="17"/>
    </row>
    <row r="1482" spans="5:15" x14ac:dyDescent="0.25">
      <c r="E1482" s="17"/>
      <c r="F1482" s="17"/>
      <c r="G1482" s="17"/>
      <c r="H1482" s="17"/>
      <c r="J1482" s="17"/>
      <c r="K1482" s="17"/>
      <c r="L1482" s="17"/>
      <c r="M1482" s="17"/>
      <c r="N1482" s="17"/>
      <c r="O1482" s="17"/>
    </row>
    <row r="1483" spans="5:15" x14ac:dyDescent="0.25">
      <c r="E1483" s="17"/>
      <c r="F1483" s="17"/>
      <c r="G1483" s="17"/>
      <c r="H1483" s="17"/>
      <c r="J1483" s="17"/>
      <c r="K1483" s="17"/>
      <c r="L1483" s="17"/>
      <c r="M1483" s="17"/>
      <c r="N1483" s="17"/>
      <c r="O1483" s="17"/>
    </row>
    <row r="1484" spans="5:15" x14ac:dyDescent="0.25">
      <c r="E1484" s="17"/>
      <c r="F1484" s="17"/>
      <c r="G1484" s="17"/>
      <c r="H1484" s="17"/>
      <c r="J1484" s="17"/>
      <c r="K1484" s="17"/>
      <c r="L1484" s="17"/>
      <c r="M1484" s="17"/>
      <c r="N1484" s="17"/>
      <c r="O1484" s="17"/>
    </row>
    <row r="1485" spans="5:15" x14ac:dyDescent="0.25">
      <c r="E1485" s="17"/>
      <c r="F1485" s="17"/>
      <c r="G1485" s="17"/>
      <c r="H1485" s="17"/>
      <c r="J1485" s="17"/>
      <c r="K1485" s="17"/>
      <c r="L1485" s="17"/>
      <c r="M1485" s="17"/>
      <c r="N1485" s="17"/>
      <c r="O1485" s="17"/>
    </row>
    <row r="1486" spans="5:15" x14ac:dyDescent="0.25">
      <c r="E1486" s="17"/>
      <c r="F1486" s="17"/>
      <c r="G1486" s="17"/>
      <c r="H1486" s="17"/>
      <c r="J1486" s="17"/>
      <c r="K1486" s="17"/>
      <c r="L1486" s="17"/>
      <c r="M1486" s="17"/>
      <c r="N1486" s="17"/>
      <c r="O1486" s="17"/>
    </row>
    <row r="1487" spans="5:15" x14ac:dyDescent="0.25">
      <c r="E1487" s="17"/>
      <c r="F1487" s="17"/>
      <c r="G1487" s="17"/>
      <c r="H1487" s="17"/>
      <c r="J1487" s="17"/>
      <c r="K1487" s="17"/>
      <c r="L1487" s="17"/>
      <c r="M1487" s="17"/>
      <c r="N1487" s="17"/>
      <c r="O1487" s="17"/>
    </row>
    <row r="1488" spans="5:15" x14ac:dyDescent="0.25">
      <c r="E1488" s="17"/>
      <c r="F1488" s="17"/>
      <c r="G1488" s="17"/>
      <c r="H1488" s="17"/>
      <c r="J1488" s="17"/>
      <c r="K1488" s="17"/>
      <c r="L1488" s="17"/>
      <c r="M1488" s="17"/>
      <c r="N1488" s="17"/>
      <c r="O1488" s="17"/>
    </row>
    <row r="1489" spans="5:15" x14ac:dyDescent="0.25">
      <c r="E1489" s="17"/>
      <c r="F1489" s="17"/>
      <c r="G1489" s="17"/>
      <c r="H1489" s="17"/>
      <c r="J1489" s="17"/>
      <c r="K1489" s="17"/>
      <c r="L1489" s="17"/>
      <c r="M1489" s="17"/>
      <c r="N1489" s="17"/>
      <c r="O1489" s="17"/>
    </row>
    <row r="1490" spans="5:15" x14ac:dyDescent="0.25">
      <c r="E1490" s="17"/>
      <c r="F1490" s="17"/>
      <c r="G1490" s="17"/>
      <c r="H1490" s="17"/>
      <c r="J1490" s="17"/>
      <c r="K1490" s="17"/>
      <c r="L1490" s="17"/>
      <c r="M1490" s="17"/>
      <c r="N1490" s="17"/>
      <c r="O1490" s="17"/>
    </row>
    <row r="1491" spans="5:15" x14ac:dyDescent="0.25">
      <c r="E1491" s="17"/>
      <c r="F1491" s="17"/>
      <c r="G1491" s="17"/>
      <c r="H1491" s="17"/>
      <c r="J1491" s="17"/>
      <c r="K1491" s="17"/>
      <c r="L1491" s="17"/>
      <c r="M1491" s="17"/>
      <c r="N1491" s="17"/>
      <c r="O1491" s="17"/>
    </row>
    <row r="1492" spans="5:15" x14ac:dyDescent="0.25">
      <c r="E1492" s="17"/>
      <c r="F1492" s="17"/>
      <c r="G1492" s="17"/>
      <c r="H1492" s="17"/>
      <c r="J1492" s="17"/>
      <c r="K1492" s="17"/>
      <c r="L1492" s="17"/>
      <c r="M1492" s="17"/>
      <c r="N1492" s="17"/>
      <c r="O1492" s="17"/>
    </row>
    <row r="1493" spans="5:15" x14ac:dyDescent="0.25">
      <c r="E1493" s="17"/>
      <c r="F1493" s="17"/>
      <c r="G1493" s="17"/>
      <c r="H1493" s="17"/>
      <c r="J1493" s="17"/>
      <c r="K1493" s="17"/>
      <c r="L1493" s="17"/>
      <c r="M1493" s="17"/>
      <c r="N1493" s="17"/>
      <c r="O1493" s="17"/>
    </row>
    <row r="1494" spans="5:15" x14ac:dyDescent="0.25">
      <c r="E1494" s="17"/>
      <c r="F1494" s="17"/>
      <c r="G1494" s="17"/>
      <c r="H1494" s="17"/>
      <c r="J1494" s="17"/>
      <c r="K1494" s="17"/>
      <c r="L1494" s="17"/>
      <c r="M1494" s="17"/>
      <c r="N1494" s="17"/>
      <c r="O1494" s="17"/>
    </row>
    <row r="1495" spans="5:15" x14ac:dyDescent="0.25">
      <c r="E1495" s="17"/>
      <c r="F1495" s="17"/>
      <c r="G1495" s="17"/>
      <c r="H1495" s="17"/>
      <c r="J1495" s="17"/>
      <c r="K1495" s="17"/>
      <c r="L1495" s="17"/>
      <c r="M1495" s="17"/>
      <c r="N1495" s="17"/>
      <c r="O1495" s="17"/>
    </row>
    <row r="1496" spans="5:15" x14ac:dyDescent="0.25">
      <c r="E1496" s="17"/>
      <c r="F1496" s="17"/>
      <c r="G1496" s="17"/>
      <c r="H1496" s="17"/>
      <c r="J1496" s="17"/>
      <c r="K1496" s="17"/>
      <c r="L1496" s="17"/>
      <c r="M1496" s="17"/>
      <c r="N1496" s="17"/>
      <c r="O1496" s="17"/>
    </row>
    <row r="1497" spans="5:15" x14ac:dyDescent="0.25">
      <c r="E1497" s="17"/>
      <c r="F1497" s="17"/>
      <c r="G1497" s="17"/>
      <c r="H1497" s="17"/>
      <c r="J1497" s="17"/>
      <c r="K1497" s="17"/>
      <c r="L1497" s="17"/>
      <c r="M1497" s="17"/>
      <c r="N1497" s="17"/>
      <c r="O1497" s="17"/>
    </row>
    <row r="1498" spans="5:15" x14ac:dyDescent="0.25">
      <c r="E1498" s="17"/>
      <c r="F1498" s="17"/>
      <c r="G1498" s="17"/>
      <c r="H1498" s="17"/>
      <c r="J1498" s="17"/>
      <c r="K1498" s="17"/>
      <c r="L1498" s="17"/>
      <c r="M1498" s="17"/>
      <c r="N1498" s="17"/>
      <c r="O1498" s="17"/>
    </row>
    <row r="1499" spans="5:15" x14ac:dyDescent="0.25">
      <c r="E1499" s="17"/>
      <c r="F1499" s="17"/>
      <c r="G1499" s="17"/>
      <c r="H1499" s="17"/>
      <c r="J1499" s="17"/>
      <c r="K1499" s="17"/>
      <c r="L1499" s="17"/>
      <c r="M1499" s="17"/>
      <c r="N1499" s="17"/>
      <c r="O1499" s="17"/>
    </row>
    <row r="1500" spans="5:15" x14ac:dyDescent="0.25">
      <c r="E1500" s="17"/>
      <c r="F1500" s="17"/>
      <c r="G1500" s="17"/>
      <c r="H1500" s="17"/>
      <c r="J1500" s="17"/>
      <c r="K1500" s="17"/>
      <c r="L1500" s="17"/>
      <c r="M1500" s="17"/>
      <c r="N1500" s="17"/>
      <c r="O1500" s="17"/>
    </row>
    <row r="1501" spans="5:15" x14ac:dyDescent="0.25">
      <c r="E1501" s="17"/>
      <c r="F1501" s="17"/>
      <c r="G1501" s="17"/>
      <c r="H1501" s="17"/>
      <c r="J1501" s="17"/>
      <c r="K1501" s="17"/>
      <c r="L1501" s="17"/>
      <c r="M1501" s="17"/>
      <c r="N1501" s="17"/>
      <c r="O1501" s="17"/>
    </row>
    <row r="1502" spans="5:15" x14ac:dyDescent="0.25">
      <c r="E1502" s="17"/>
      <c r="F1502" s="17"/>
      <c r="G1502" s="17"/>
      <c r="H1502" s="17"/>
      <c r="J1502" s="17"/>
      <c r="K1502" s="17"/>
      <c r="L1502" s="17"/>
      <c r="M1502" s="17"/>
      <c r="N1502" s="17"/>
      <c r="O1502" s="17"/>
    </row>
    <row r="1503" spans="5:15" x14ac:dyDescent="0.25">
      <c r="E1503" s="17"/>
      <c r="F1503" s="17"/>
      <c r="G1503" s="17"/>
      <c r="H1503" s="17"/>
      <c r="J1503" s="17"/>
      <c r="K1503" s="17"/>
      <c r="L1503" s="17"/>
      <c r="M1503" s="17"/>
      <c r="N1503" s="17"/>
      <c r="O1503" s="17"/>
    </row>
    <row r="1504" spans="5:15" x14ac:dyDescent="0.25">
      <c r="E1504" s="17"/>
      <c r="F1504" s="17"/>
      <c r="G1504" s="17"/>
      <c r="H1504" s="17"/>
      <c r="J1504" s="17"/>
      <c r="K1504" s="17"/>
      <c r="L1504" s="17"/>
      <c r="M1504" s="17"/>
      <c r="N1504" s="17"/>
      <c r="O1504" s="17"/>
    </row>
    <row r="1505" spans="5:15" x14ac:dyDescent="0.25">
      <c r="E1505" s="17"/>
      <c r="F1505" s="17"/>
      <c r="G1505" s="17"/>
      <c r="H1505" s="17"/>
      <c r="J1505" s="17"/>
      <c r="K1505" s="17"/>
      <c r="L1505" s="17"/>
      <c r="M1505" s="17"/>
      <c r="N1505" s="17"/>
      <c r="O1505" s="17"/>
    </row>
    <row r="1506" spans="5:15" x14ac:dyDescent="0.25">
      <c r="E1506" s="17"/>
      <c r="F1506" s="17"/>
      <c r="G1506" s="17"/>
      <c r="H1506" s="17"/>
      <c r="J1506" s="17"/>
      <c r="K1506" s="17"/>
      <c r="L1506" s="17"/>
      <c r="M1506" s="17"/>
      <c r="N1506" s="17"/>
      <c r="O1506" s="17"/>
    </row>
    <row r="1507" spans="5:15" x14ac:dyDescent="0.25">
      <c r="E1507" s="17"/>
      <c r="F1507" s="17"/>
      <c r="G1507" s="17"/>
      <c r="H1507" s="17"/>
      <c r="J1507" s="17"/>
      <c r="K1507" s="17"/>
      <c r="L1507" s="17"/>
      <c r="M1507" s="17"/>
      <c r="N1507" s="17"/>
      <c r="O1507" s="17"/>
    </row>
    <row r="1508" spans="5:15" x14ac:dyDescent="0.25">
      <c r="E1508" s="17"/>
      <c r="F1508" s="17"/>
      <c r="G1508" s="17"/>
      <c r="H1508" s="17"/>
      <c r="J1508" s="17"/>
      <c r="K1508" s="17"/>
      <c r="L1508" s="17"/>
      <c r="M1508" s="17"/>
      <c r="N1508" s="17"/>
      <c r="O1508" s="17"/>
    </row>
    <row r="1509" spans="5:15" x14ac:dyDescent="0.25">
      <c r="E1509" s="17"/>
      <c r="F1509" s="17"/>
      <c r="G1509" s="17"/>
      <c r="H1509" s="17"/>
      <c r="J1509" s="17"/>
      <c r="K1509" s="17"/>
      <c r="L1509" s="17"/>
      <c r="M1509" s="17"/>
      <c r="N1509" s="17"/>
      <c r="O1509" s="17"/>
    </row>
    <row r="1510" spans="5:15" x14ac:dyDescent="0.25">
      <c r="E1510" s="17"/>
      <c r="F1510" s="17"/>
      <c r="G1510" s="17"/>
      <c r="H1510" s="17"/>
      <c r="J1510" s="17"/>
      <c r="K1510" s="17"/>
      <c r="L1510" s="17"/>
      <c r="M1510" s="17"/>
      <c r="N1510" s="17"/>
      <c r="O1510" s="17"/>
    </row>
    <row r="1511" spans="5:15" x14ac:dyDescent="0.25">
      <c r="E1511" s="17"/>
      <c r="F1511" s="17"/>
      <c r="G1511" s="17"/>
      <c r="H1511" s="17"/>
      <c r="J1511" s="17"/>
      <c r="K1511" s="17"/>
      <c r="L1511" s="17"/>
      <c r="M1511" s="17"/>
      <c r="N1511" s="17"/>
      <c r="O1511" s="17"/>
    </row>
    <row r="1512" spans="5:15" x14ac:dyDescent="0.25">
      <c r="E1512" s="17"/>
      <c r="F1512" s="17"/>
      <c r="G1512" s="17"/>
      <c r="H1512" s="17"/>
      <c r="J1512" s="17"/>
      <c r="K1512" s="17"/>
      <c r="L1512" s="17"/>
      <c r="M1512" s="17"/>
      <c r="N1512" s="17"/>
      <c r="O1512" s="17"/>
    </row>
    <row r="1513" spans="5:15" x14ac:dyDescent="0.25">
      <c r="E1513" s="17"/>
      <c r="F1513" s="17"/>
      <c r="G1513" s="17"/>
      <c r="H1513" s="17"/>
      <c r="J1513" s="17"/>
      <c r="K1513" s="17"/>
      <c r="L1513" s="17"/>
      <c r="M1513" s="17"/>
      <c r="N1513" s="17"/>
      <c r="O1513" s="17"/>
    </row>
    <row r="1514" spans="5:15" x14ac:dyDescent="0.25">
      <c r="E1514" s="17"/>
      <c r="F1514" s="17"/>
      <c r="G1514" s="17"/>
      <c r="H1514" s="17"/>
      <c r="J1514" s="17"/>
      <c r="K1514" s="17"/>
      <c r="L1514" s="17"/>
      <c r="M1514" s="17"/>
      <c r="N1514" s="17"/>
      <c r="O1514" s="17"/>
    </row>
    <row r="1515" spans="5:15" x14ac:dyDescent="0.25">
      <c r="E1515" s="17"/>
      <c r="F1515" s="17"/>
      <c r="G1515" s="17"/>
      <c r="H1515" s="17"/>
      <c r="J1515" s="17"/>
      <c r="K1515" s="17"/>
      <c r="L1515" s="17"/>
      <c r="M1515" s="17"/>
      <c r="N1515" s="17"/>
      <c r="O1515" s="17"/>
    </row>
    <row r="1516" spans="5:15" x14ac:dyDescent="0.25">
      <c r="E1516" s="17"/>
      <c r="F1516" s="17"/>
      <c r="G1516" s="17"/>
      <c r="H1516" s="17"/>
      <c r="J1516" s="17"/>
      <c r="K1516" s="17"/>
      <c r="L1516" s="17"/>
      <c r="M1516" s="17"/>
      <c r="N1516" s="17"/>
      <c r="O1516" s="17"/>
    </row>
    <row r="1517" spans="5:15" x14ac:dyDescent="0.25">
      <c r="E1517" s="17"/>
      <c r="F1517" s="17"/>
      <c r="G1517" s="17"/>
      <c r="H1517" s="17"/>
      <c r="J1517" s="17"/>
      <c r="K1517" s="17"/>
      <c r="L1517" s="17"/>
      <c r="M1517" s="17"/>
      <c r="N1517" s="17"/>
      <c r="O1517" s="17"/>
    </row>
    <row r="1518" spans="5:15" x14ac:dyDescent="0.25">
      <c r="E1518" s="17"/>
      <c r="F1518" s="17"/>
      <c r="G1518" s="17"/>
      <c r="H1518" s="17"/>
      <c r="J1518" s="17"/>
      <c r="K1518" s="17"/>
      <c r="L1518" s="17"/>
      <c r="M1518" s="17"/>
      <c r="N1518" s="17"/>
      <c r="O1518" s="17"/>
    </row>
    <row r="1519" spans="5:15" x14ac:dyDescent="0.25">
      <c r="E1519" s="17"/>
      <c r="F1519" s="17"/>
      <c r="G1519" s="17"/>
      <c r="H1519" s="17"/>
      <c r="J1519" s="17"/>
      <c r="K1519" s="17"/>
      <c r="L1519" s="17"/>
      <c r="M1519" s="17"/>
      <c r="N1519" s="17"/>
      <c r="O1519" s="17"/>
    </row>
    <row r="1520" spans="5:15" x14ac:dyDescent="0.25">
      <c r="E1520" s="17"/>
      <c r="F1520" s="17"/>
      <c r="G1520" s="17"/>
      <c r="H1520" s="17"/>
      <c r="J1520" s="17"/>
      <c r="K1520" s="17"/>
      <c r="L1520" s="17"/>
      <c r="M1520" s="17"/>
      <c r="N1520" s="17"/>
      <c r="O1520" s="17"/>
    </row>
    <row r="1521" spans="5:15" x14ac:dyDescent="0.25">
      <c r="E1521" s="17"/>
      <c r="F1521" s="17"/>
      <c r="G1521" s="17"/>
      <c r="H1521" s="17"/>
      <c r="J1521" s="17"/>
      <c r="K1521" s="17"/>
      <c r="L1521" s="17"/>
      <c r="M1521" s="17"/>
      <c r="N1521" s="17"/>
      <c r="O1521" s="17"/>
    </row>
    <row r="1522" spans="5:15" x14ac:dyDescent="0.25">
      <c r="E1522" s="17"/>
      <c r="F1522" s="17"/>
      <c r="G1522" s="17"/>
      <c r="H1522" s="17"/>
      <c r="J1522" s="17"/>
      <c r="K1522" s="17"/>
      <c r="L1522" s="17"/>
      <c r="M1522" s="17"/>
      <c r="N1522" s="17"/>
      <c r="O1522" s="17"/>
    </row>
    <row r="1523" spans="5:15" x14ac:dyDescent="0.25">
      <c r="E1523" s="17"/>
      <c r="F1523" s="17"/>
      <c r="G1523" s="17"/>
      <c r="H1523" s="17"/>
      <c r="J1523" s="17"/>
      <c r="K1523" s="17"/>
      <c r="L1523" s="17"/>
      <c r="M1523" s="17"/>
      <c r="N1523" s="17"/>
      <c r="O1523" s="17"/>
    </row>
    <row r="1524" spans="5:15" x14ac:dyDescent="0.25">
      <c r="E1524" s="17"/>
      <c r="F1524" s="17"/>
      <c r="G1524" s="17"/>
      <c r="H1524" s="17"/>
      <c r="J1524" s="17"/>
      <c r="K1524" s="17"/>
      <c r="L1524" s="17"/>
      <c r="M1524" s="17"/>
      <c r="N1524" s="17"/>
      <c r="O1524" s="17"/>
    </row>
    <row r="1525" spans="5:15" x14ac:dyDescent="0.25">
      <c r="E1525" s="17"/>
      <c r="F1525" s="17"/>
      <c r="G1525" s="17"/>
      <c r="H1525" s="17"/>
      <c r="J1525" s="17"/>
      <c r="K1525" s="17"/>
      <c r="L1525" s="17"/>
      <c r="M1525" s="17"/>
      <c r="N1525" s="17"/>
      <c r="O1525" s="17"/>
    </row>
    <row r="1526" spans="5:15" x14ac:dyDescent="0.25">
      <c r="E1526" s="17"/>
      <c r="F1526" s="17"/>
      <c r="G1526" s="17"/>
      <c r="H1526" s="17"/>
      <c r="J1526" s="17"/>
      <c r="K1526" s="17"/>
      <c r="L1526" s="17"/>
      <c r="M1526" s="17"/>
      <c r="N1526" s="17"/>
      <c r="O1526" s="17"/>
    </row>
    <row r="1527" spans="5:15" x14ac:dyDescent="0.25">
      <c r="E1527" s="17"/>
      <c r="F1527" s="17"/>
      <c r="G1527" s="17"/>
      <c r="H1527" s="17"/>
      <c r="J1527" s="17"/>
      <c r="K1527" s="17"/>
      <c r="L1527" s="17"/>
      <c r="M1527" s="17"/>
      <c r="N1527" s="17"/>
      <c r="O1527" s="17"/>
    </row>
    <row r="1528" spans="5:15" x14ac:dyDescent="0.25">
      <c r="E1528" s="17"/>
      <c r="F1528" s="17"/>
      <c r="G1528" s="17"/>
      <c r="H1528" s="17"/>
      <c r="J1528" s="17"/>
      <c r="K1528" s="17"/>
      <c r="L1528" s="17"/>
      <c r="M1528" s="17"/>
      <c r="N1528" s="17"/>
      <c r="O1528" s="17"/>
    </row>
    <row r="1529" spans="5:15" x14ac:dyDescent="0.25">
      <c r="E1529" s="17"/>
      <c r="F1529" s="17"/>
      <c r="G1529" s="17"/>
      <c r="H1529" s="17"/>
      <c r="J1529" s="17"/>
      <c r="K1529" s="17"/>
      <c r="L1529" s="17"/>
      <c r="M1529" s="17"/>
      <c r="N1529" s="17"/>
      <c r="O1529" s="17"/>
    </row>
    <row r="1530" spans="5:15" x14ac:dyDescent="0.25">
      <c r="E1530" s="17"/>
      <c r="F1530" s="17"/>
      <c r="G1530" s="17"/>
      <c r="H1530" s="17"/>
      <c r="J1530" s="17"/>
      <c r="K1530" s="17"/>
      <c r="L1530" s="17"/>
      <c r="M1530" s="17"/>
      <c r="N1530" s="17"/>
      <c r="O1530" s="17"/>
    </row>
    <row r="1531" spans="5:15" x14ac:dyDescent="0.25">
      <c r="E1531" s="17"/>
      <c r="F1531" s="17"/>
      <c r="G1531" s="17"/>
      <c r="H1531" s="17"/>
      <c r="J1531" s="17"/>
      <c r="K1531" s="17"/>
      <c r="L1531" s="17"/>
      <c r="M1531" s="17"/>
      <c r="N1531" s="17"/>
      <c r="O1531" s="17"/>
    </row>
    <row r="1532" spans="5:15" x14ac:dyDescent="0.25">
      <c r="E1532" s="17"/>
      <c r="F1532" s="17"/>
      <c r="G1532" s="17"/>
      <c r="H1532" s="17"/>
      <c r="J1532" s="17"/>
      <c r="K1532" s="17"/>
      <c r="L1532" s="17"/>
      <c r="M1532" s="17"/>
      <c r="N1532" s="17"/>
      <c r="O1532" s="17"/>
    </row>
    <row r="1533" spans="5:15" x14ac:dyDescent="0.25">
      <c r="E1533" s="17"/>
      <c r="F1533" s="17"/>
      <c r="G1533" s="17"/>
      <c r="H1533" s="17"/>
      <c r="J1533" s="17"/>
      <c r="K1533" s="17"/>
      <c r="L1533" s="17"/>
      <c r="M1533" s="17"/>
      <c r="N1533" s="17"/>
      <c r="O1533" s="17"/>
    </row>
    <row r="1534" spans="5:15" x14ac:dyDescent="0.25">
      <c r="E1534" s="17"/>
      <c r="F1534" s="17"/>
      <c r="G1534" s="17"/>
      <c r="H1534" s="17"/>
      <c r="J1534" s="17"/>
      <c r="K1534" s="17"/>
      <c r="L1534" s="17"/>
      <c r="M1534" s="17"/>
      <c r="N1534" s="17"/>
      <c r="O1534" s="17"/>
    </row>
    <row r="1535" spans="5:15" x14ac:dyDescent="0.25">
      <c r="E1535" s="17"/>
      <c r="F1535" s="17"/>
      <c r="G1535" s="17"/>
      <c r="H1535" s="17"/>
      <c r="J1535" s="17"/>
      <c r="K1535" s="17"/>
      <c r="L1535" s="17"/>
      <c r="M1535" s="17"/>
      <c r="N1535" s="17"/>
      <c r="O1535" s="17"/>
    </row>
    <row r="1536" spans="5:15" x14ac:dyDescent="0.25">
      <c r="E1536" s="17"/>
      <c r="F1536" s="17"/>
      <c r="G1536" s="17"/>
      <c r="H1536" s="17"/>
      <c r="J1536" s="17"/>
      <c r="K1536" s="17"/>
      <c r="L1536" s="17"/>
      <c r="M1536" s="17"/>
      <c r="N1536" s="17"/>
      <c r="O1536" s="17"/>
    </row>
    <row r="1537" spans="5:15" x14ac:dyDescent="0.25">
      <c r="E1537" s="17"/>
      <c r="F1537" s="17"/>
      <c r="G1537" s="17"/>
      <c r="H1537" s="17"/>
      <c r="J1537" s="17"/>
      <c r="K1537" s="17"/>
      <c r="L1537" s="17"/>
      <c r="M1537" s="17"/>
      <c r="N1537" s="17"/>
      <c r="O1537" s="17"/>
    </row>
    <row r="1538" spans="5:15" x14ac:dyDescent="0.25">
      <c r="E1538" s="17"/>
      <c r="F1538" s="17"/>
      <c r="G1538" s="17"/>
      <c r="H1538" s="17"/>
      <c r="J1538" s="17"/>
      <c r="K1538" s="17"/>
      <c r="L1538" s="17"/>
      <c r="M1538" s="17"/>
      <c r="N1538" s="17"/>
      <c r="O1538" s="17"/>
    </row>
    <row r="1539" spans="5:15" x14ac:dyDescent="0.25">
      <c r="E1539" s="17"/>
      <c r="F1539" s="17"/>
      <c r="G1539" s="17"/>
      <c r="H1539" s="17"/>
      <c r="J1539" s="17"/>
      <c r="K1539" s="17"/>
      <c r="L1539" s="17"/>
      <c r="M1539" s="17"/>
      <c r="N1539" s="17"/>
      <c r="O1539" s="17"/>
    </row>
    <row r="1540" spans="5:15" x14ac:dyDescent="0.25">
      <c r="E1540" s="17"/>
      <c r="F1540" s="17"/>
      <c r="G1540" s="17"/>
      <c r="H1540" s="17"/>
      <c r="J1540" s="17"/>
      <c r="K1540" s="17"/>
      <c r="L1540" s="17"/>
      <c r="M1540" s="17"/>
      <c r="N1540" s="17"/>
      <c r="O1540" s="17"/>
    </row>
    <row r="1541" spans="5:15" x14ac:dyDescent="0.25">
      <c r="E1541" s="17"/>
      <c r="F1541" s="17"/>
      <c r="G1541" s="17"/>
      <c r="H1541" s="17"/>
      <c r="J1541" s="17"/>
      <c r="K1541" s="17"/>
      <c r="L1541" s="17"/>
      <c r="M1541" s="17"/>
      <c r="N1541" s="17"/>
      <c r="O1541" s="17"/>
    </row>
    <row r="1542" spans="5:15" x14ac:dyDescent="0.25">
      <c r="E1542" s="17"/>
      <c r="F1542" s="17"/>
      <c r="G1542" s="17"/>
      <c r="H1542" s="17"/>
      <c r="J1542" s="17"/>
      <c r="K1542" s="17"/>
      <c r="L1542" s="17"/>
      <c r="M1542" s="17"/>
      <c r="N1542" s="17"/>
      <c r="O1542" s="17"/>
    </row>
    <row r="1543" spans="5:15" x14ac:dyDescent="0.25">
      <c r="E1543" s="17"/>
      <c r="F1543" s="17"/>
      <c r="G1543" s="17"/>
      <c r="H1543" s="17"/>
      <c r="J1543" s="17"/>
      <c r="K1543" s="17"/>
      <c r="L1543" s="17"/>
      <c r="M1543" s="17"/>
      <c r="N1543" s="17"/>
      <c r="O1543" s="17"/>
    </row>
    <row r="1544" spans="5:15" x14ac:dyDescent="0.25">
      <c r="E1544" s="17"/>
      <c r="F1544" s="17"/>
      <c r="G1544" s="17"/>
      <c r="H1544" s="17"/>
      <c r="J1544" s="17"/>
      <c r="K1544" s="17"/>
      <c r="L1544" s="17"/>
      <c r="M1544" s="17"/>
      <c r="N1544" s="17"/>
      <c r="O1544" s="17"/>
    </row>
    <row r="1545" spans="5:15" x14ac:dyDescent="0.25">
      <c r="E1545" s="17"/>
      <c r="F1545" s="17"/>
      <c r="G1545" s="17"/>
      <c r="H1545" s="17"/>
      <c r="J1545" s="17"/>
      <c r="K1545" s="17"/>
      <c r="L1545" s="17"/>
      <c r="M1545" s="17"/>
      <c r="N1545" s="17"/>
      <c r="O1545" s="17"/>
    </row>
    <row r="1546" spans="5:15" x14ac:dyDescent="0.25">
      <c r="E1546" s="17"/>
      <c r="F1546" s="17"/>
      <c r="G1546" s="17"/>
      <c r="H1546" s="17"/>
      <c r="J1546" s="17"/>
      <c r="K1546" s="17"/>
      <c r="L1546" s="17"/>
      <c r="M1546" s="17"/>
      <c r="N1546" s="17"/>
      <c r="O1546" s="17"/>
    </row>
    <row r="1547" spans="5:15" x14ac:dyDescent="0.25">
      <c r="E1547" s="17"/>
      <c r="F1547" s="17"/>
      <c r="G1547" s="17"/>
      <c r="H1547" s="17"/>
      <c r="J1547" s="17"/>
      <c r="K1547" s="17"/>
      <c r="L1547" s="17"/>
      <c r="M1547" s="17"/>
      <c r="N1547" s="17"/>
      <c r="O1547" s="17"/>
    </row>
    <row r="1548" spans="5:15" x14ac:dyDescent="0.25">
      <c r="E1548" s="17"/>
      <c r="F1548" s="17"/>
      <c r="G1548" s="17"/>
      <c r="H1548" s="17"/>
      <c r="J1548" s="17"/>
      <c r="K1548" s="17"/>
      <c r="L1548" s="17"/>
      <c r="M1548" s="17"/>
      <c r="N1548" s="17"/>
      <c r="O1548" s="17"/>
    </row>
    <row r="1549" spans="5:15" x14ac:dyDescent="0.25">
      <c r="E1549" s="17"/>
      <c r="F1549" s="17"/>
      <c r="G1549" s="17"/>
      <c r="H1549" s="17"/>
      <c r="J1549" s="17"/>
      <c r="K1549" s="17"/>
      <c r="L1549" s="17"/>
      <c r="M1549" s="17"/>
      <c r="N1549" s="17"/>
      <c r="O1549" s="17"/>
    </row>
    <row r="1550" spans="5:15" x14ac:dyDescent="0.25">
      <c r="E1550" s="17"/>
      <c r="F1550" s="17"/>
      <c r="G1550" s="17"/>
      <c r="H1550" s="17"/>
      <c r="J1550" s="17"/>
      <c r="K1550" s="17"/>
      <c r="L1550" s="17"/>
      <c r="M1550" s="17"/>
      <c r="N1550" s="17"/>
      <c r="O1550" s="17"/>
    </row>
    <row r="1551" spans="5:15" x14ac:dyDescent="0.25">
      <c r="E1551" s="17"/>
      <c r="F1551" s="17"/>
      <c r="G1551" s="17"/>
      <c r="H1551" s="17"/>
      <c r="J1551" s="17"/>
      <c r="K1551" s="17"/>
      <c r="L1551" s="17"/>
      <c r="M1551" s="17"/>
      <c r="N1551" s="17"/>
      <c r="O1551" s="17"/>
    </row>
    <row r="1552" spans="5:15" x14ac:dyDescent="0.25">
      <c r="E1552" s="17"/>
      <c r="F1552" s="17"/>
      <c r="G1552" s="17"/>
      <c r="H1552" s="17"/>
      <c r="J1552" s="17"/>
      <c r="K1552" s="17"/>
      <c r="L1552" s="17"/>
      <c r="M1552" s="17"/>
      <c r="N1552" s="17"/>
      <c r="O1552" s="17"/>
    </row>
    <row r="1553" spans="5:15" x14ac:dyDescent="0.25">
      <c r="E1553" s="17"/>
      <c r="F1553" s="17"/>
      <c r="G1553" s="17"/>
      <c r="H1553" s="17"/>
      <c r="J1553" s="17"/>
      <c r="K1553" s="17"/>
      <c r="L1553" s="17"/>
      <c r="M1553" s="17"/>
      <c r="N1553" s="17"/>
      <c r="O1553" s="17"/>
    </row>
    <row r="1554" spans="5:15" x14ac:dyDescent="0.25">
      <c r="E1554" s="17"/>
      <c r="F1554" s="17"/>
      <c r="G1554" s="17"/>
      <c r="H1554" s="17"/>
      <c r="J1554" s="17"/>
      <c r="K1554" s="17"/>
      <c r="L1554" s="17"/>
      <c r="M1554" s="17"/>
      <c r="N1554" s="17"/>
      <c r="O1554" s="17"/>
    </row>
    <row r="1555" spans="5:15" x14ac:dyDescent="0.25">
      <c r="E1555" s="17"/>
      <c r="F1555" s="17"/>
      <c r="G1555" s="17"/>
      <c r="H1555" s="17"/>
      <c r="J1555" s="17"/>
      <c r="K1555" s="17"/>
      <c r="L1555" s="17"/>
      <c r="M1555" s="17"/>
      <c r="N1555" s="17"/>
      <c r="O1555" s="17"/>
    </row>
    <row r="1556" spans="5:15" x14ac:dyDescent="0.25">
      <c r="E1556" s="17"/>
      <c r="F1556" s="17"/>
      <c r="G1556" s="17"/>
      <c r="H1556" s="17"/>
      <c r="J1556" s="17"/>
      <c r="K1556" s="17"/>
      <c r="L1556" s="17"/>
      <c r="M1556" s="17"/>
      <c r="N1556" s="17"/>
      <c r="O1556" s="17"/>
    </row>
    <row r="1557" spans="5:15" x14ac:dyDescent="0.25">
      <c r="E1557" s="17"/>
      <c r="F1557" s="17"/>
      <c r="G1557" s="17"/>
      <c r="H1557" s="17"/>
      <c r="J1557" s="17"/>
      <c r="K1557" s="17"/>
      <c r="L1557" s="17"/>
      <c r="M1557" s="17"/>
      <c r="N1557" s="17"/>
      <c r="O1557" s="17"/>
    </row>
    <row r="1558" spans="5:15" x14ac:dyDescent="0.25">
      <c r="E1558" s="17"/>
      <c r="F1558" s="17"/>
      <c r="G1558" s="17"/>
      <c r="H1558" s="17"/>
      <c r="J1558" s="17"/>
      <c r="K1558" s="17"/>
      <c r="L1558" s="17"/>
      <c r="M1558" s="17"/>
      <c r="N1558" s="17"/>
      <c r="O1558" s="17"/>
    </row>
    <row r="1559" spans="5:15" x14ac:dyDescent="0.25">
      <c r="E1559" s="17"/>
      <c r="F1559" s="17"/>
      <c r="G1559" s="17"/>
      <c r="H1559" s="17"/>
      <c r="J1559" s="17"/>
      <c r="K1559" s="17"/>
      <c r="L1559" s="17"/>
      <c r="M1559" s="17"/>
      <c r="N1559" s="17"/>
      <c r="O1559" s="17"/>
    </row>
    <row r="1560" spans="5:15" x14ac:dyDescent="0.25">
      <c r="E1560" s="17"/>
      <c r="F1560" s="17"/>
      <c r="G1560" s="17"/>
      <c r="H1560" s="17"/>
      <c r="J1560" s="17"/>
      <c r="K1560" s="17"/>
      <c r="L1560" s="17"/>
      <c r="M1560" s="17"/>
      <c r="N1560" s="17"/>
      <c r="O1560" s="17"/>
    </row>
    <row r="1561" spans="5:15" x14ac:dyDescent="0.25">
      <c r="E1561" s="17"/>
      <c r="F1561" s="17"/>
      <c r="G1561" s="17"/>
      <c r="H1561" s="17"/>
      <c r="J1561" s="17"/>
      <c r="K1561" s="17"/>
      <c r="L1561" s="17"/>
      <c r="M1561" s="17"/>
      <c r="N1561" s="17"/>
      <c r="O1561" s="17"/>
    </row>
    <row r="1562" spans="5:15" x14ac:dyDescent="0.25">
      <c r="E1562" s="17"/>
      <c r="F1562" s="17"/>
      <c r="G1562" s="17"/>
      <c r="H1562" s="17"/>
      <c r="J1562" s="17"/>
      <c r="K1562" s="17"/>
      <c r="L1562" s="17"/>
      <c r="M1562" s="17"/>
      <c r="N1562" s="17"/>
      <c r="O1562" s="17"/>
    </row>
    <row r="1563" spans="5:15" x14ac:dyDescent="0.25">
      <c r="E1563" s="17"/>
      <c r="F1563" s="17"/>
      <c r="G1563" s="17"/>
      <c r="H1563" s="17"/>
      <c r="J1563" s="17"/>
      <c r="K1563" s="17"/>
      <c r="L1563" s="17"/>
      <c r="M1563" s="17"/>
      <c r="N1563" s="17"/>
      <c r="O1563" s="17"/>
    </row>
    <row r="1564" spans="5:15" x14ac:dyDescent="0.25">
      <c r="E1564" s="17"/>
      <c r="F1564" s="17"/>
      <c r="G1564" s="17"/>
      <c r="H1564" s="17"/>
      <c r="J1564" s="17"/>
      <c r="K1564" s="17"/>
      <c r="L1564" s="17"/>
      <c r="M1564" s="17"/>
      <c r="N1564" s="17"/>
      <c r="O1564" s="17"/>
    </row>
    <row r="1565" spans="5:15" x14ac:dyDescent="0.25">
      <c r="E1565" s="17"/>
      <c r="F1565" s="17"/>
      <c r="G1565" s="17"/>
      <c r="H1565" s="17"/>
      <c r="J1565" s="17"/>
      <c r="K1565" s="17"/>
      <c r="L1565" s="17"/>
      <c r="M1565" s="17"/>
      <c r="N1565" s="17"/>
      <c r="O1565" s="17"/>
    </row>
    <row r="1566" spans="5:15" x14ac:dyDescent="0.25">
      <c r="E1566" s="17"/>
      <c r="F1566" s="17"/>
      <c r="G1566" s="17"/>
      <c r="H1566" s="17"/>
      <c r="J1566" s="17"/>
      <c r="K1566" s="17"/>
      <c r="L1566" s="17"/>
      <c r="M1566" s="17"/>
      <c r="N1566" s="17"/>
      <c r="O1566" s="17"/>
    </row>
    <row r="1567" spans="5:15" x14ac:dyDescent="0.25">
      <c r="E1567" s="17"/>
      <c r="F1567" s="17"/>
      <c r="G1567" s="17"/>
      <c r="H1567" s="17"/>
      <c r="J1567" s="17"/>
      <c r="K1567" s="17"/>
      <c r="L1567" s="17"/>
      <c r="M1567" s="17"/>
      <c r="N1567" s="17"/>
      <c r="O1567" s="17"/>
    </row>
    <row r="1568" spans="5:15" x14ac:dyDescent="0.25">
      <c r="E1568" s="17"/>
      <c r="F1568" s="17"/>
      <c r="G1568" s="17"/>
      <c r="H1568" s="17"/>
      <c r="J1568" s="17"/>
      <c r="K1568" s="17"/>
      <c r="L1568" s="17"/>
      <c r="M1568" s="17"/>
      <c r="N1568" s="17"/>
      <c r="O1568" s="17"/>
    </row>
    <row r="1569" spans="5:15" x14ac:dyDescent="0.25">
      <c r="E1569" s="17"/>
      <c r="F1569" s="17"/>
      <c r="G1569" s="17"/>
      <c r="H1569" s="17"/>
      <c r="J1569" s="17"/>
      <c r="K1569" s="17"/>
      <c r="L1569" s="17"/>
      <c r="M1569" s="17"/>
      <c r="N1569" s="17"/>
      <c r="O1569" s="17"/>
    </row>
    <row r="1570" spans="5:15" x14ac:dyDescent="0.25">
      <c r="E1570" s="17"/>
      <c r="F1570" s="17"/>
      <c r="G1570" s="17"/>
      <c r="H1570" s="17"/>
      <c r="J1570" s="17"/>
      <c r="K1570" s="17"/>
      <c r="L1570" s="17"/>
      <c r="M1570" s="17"/>
      <c r="N1570" s="17"/>
      <c r="O1570" s="17"/>
    </row>
    <row r="1571" spans="5:15" x14ac:dyDescent="0.25">
      <c r="E1571" s="17"/>
      <c r="F1571" s="17"/>
      <c r="G1571" s="17"/>
      <c r="H1571" s="17"/>
      <c r="J1571" s="17"/>
      <c r="K1571" s="17"/>
      <c r="L1571" s="17"/>
      <c r="M1571" s="17"/>
      <c r="N1571" s="17"/>
      <c r="O1571" s="17"/>
    </row>
    <row r="1572" spans="5:15" x14ac:dyDescent="0.25">
      <c r="E1572" s="17"/>
      <c r="F1572" s="17"/>
      <c r="G1572" s="17"/>
      <c r="H1572" s="17"/>
      <c r="J1572" s="17"/>
      <c r="K1572" s="17"/>
      <c r="L1572" s="17"/>
      <c r="M1572" s="17"/>
      <c r="N1572" s="17"/>
      <c r="O1572" s="17"/>
    </row>
    <row r="1573" spans="5:15" x14ac:dyDescent="0.25">
      <c r="E1573" s="17"/>
      <c r="F1573" s="17"/>
      <c r="G1573" s="17"/>
      <c r="H1573" s="17"/>
      <c r="J1573" s="17"/>
      <c r="K1573" s="17"/>
      <c r="L1573" s="17"/>
      <c r="M1573" s="17"/>
      <c r="N1573" s="17"/>
      <c r="O1573" s="17"/>
    </row>
    <row r="1574" spans="5:15" x14ac:dyDescent="0.25">
      <c r="E1574" s="17"/>
      <c r="F1574" s="17"/>
      <c r="G1574" s="17"/>
      <c r="H1574" s="17"/>
      <c r="J1574" s="17"/>
      <c r="K1574" s="17"/>
      <c r="L1574" s="17"/>
      <c r="M1574" s="17"/>
      <c r="N1574" s="17"/>
      <c r="O1574" s="17"/>
    </row>
    <row r="1575" spans="5:15" x14ac:dyDescent="0.25">
      <c r="E1575" s="17"/>
      <c r="F1575" s="17"/>
      <c r="G1575" s="17"/>
      <c r="H1575" s="17"/>
      <c r="J1575" s="17"/>
      <c r="K1575" s="17"/>
      <c r="L1575" s="17"/>
      <c r="M1575" s="17"/>
      <c r="N1575" s="17"/>
      <c r="O1575" s="17"/>
    </row>
    <row r="1576" spans="5:15" x14ac:dyDescent="0.25">
      <c r="E1576" s="17"/>
      <c r="F1576" s="17"/>
      <c r="G1576" s="17"/>
      <c r="H1576" s="17"/>
      <c r="J1576" s="17"/>
      <c r="K1576" s="17"/>
      <c r="L1576" s="17"/>
      <c r="M1576" s="17"/>
      <c r="N1576" s="17"/>
      <c r="O1576" s="17"/>
    </row>
    <row r="1577" spans="5:15" x14ac:dyDescent="0.25">
      <c r="E1577" s="17"/>
      <c r="F1577" s="17"/>
      <c r="G1577" s="17"/>
      <c r="H1577" s="17"/>
      <c r="J1577" s="17"/>
      <c r="K1577" s="17"/>
      <c r="L1577" s="17"/>
      <c r="M1577" s="17"/>
      <c r="N1577" s="17"/>
      <c r="O1577" s="17"/>
    </row>
    <row r="1578" spans="5:15" x14ac:dyDescent="0.25">
      <c r="E1578" s="17"/>
      <c r="F1578" s="17"/>
      <c r="G1578" s="17"/>
      <c r="H1578" s="17"/>
      <c r="J1578" s="17"/>
      <c r="K1578" s="17"/>
      <c r="L1578" s="17"/>
      <c r="M1578" s="17"/>
      <c r="N1578" s="17"/>
      <c r="O1578" s="17"/>
    </row>
    <row r="1579" spans="5:15" x14ac:dyDescent="0.25">
      <c r="E1579" s="17"/>
      <c r="F1579" s="17"/>
      <c r="G1579" s="17"/>
      <c r="H1579" s="17"/>
      <c r="J1579" s="17"/>
      <c r="K1579" s="17"/>
      <c r="L1579" s="17"/>
      <c r="M1579" s="17"/>
      <c r="N1579" s="17"/>
      <c r="O1579" s="17"/>
    </row>
    <row r="1580" spans="5:15" x14ac:dyDescent="0.25">
      <c r="E1580" s="17"/>
      <c r="F1580" s="17"/>
      <c r="G1580" s="17"/>
      <c r="H1580" s="17"/>
      <c r="J1580" s="17"/>
      <c r="K1580" s="17"/>
      <c r="L1580" s="17"/>
      <c r="M1580" s="17"/>
      <c r="N1580" s="17"/>
      <c r="O1580" s="17"/>
    </row>
    <row r="1581" spans="5:15" x14ac:dyDescent="0.25">
      <c r="E1581" s="17"/>
      <c r="F1581" s="17"/>
      <c r="G1581" s="17"/>
      <c r="H1581" s="17"/>
      <c r="J1581" s="17"/>
      <c r="K1581" s="17"/>
      <c r="L1581" s="17"/>
      <c r="M1581" s="17"/>
      <c r="N1581" s="17"/>
      <c r="O1581" s="17"/>
    </row>
    <row r="1582" spans="5:15" x14ac:dyDescent="0.25">
      <c r="E1582" s="17"/>
      <c r="F1582" s="17"/>
      <c r="G1582" s="17"/>
      <c r="H1582" s="17"/>
      <c r="J1582" s="17"/>
      <c r="K1582" s="17"/>
      <c r="L1582" s="17"/>
      <c r="M1582" s="17"/>
      <c r="N1582" s="17"/>
      <c r="O1582" s="17"/>
    </row>
    <row r="1583" spans="5:15" x14ac:dyDescent="0.25">
      <c r="E1583" s="17"/>
      <c r="F1583" s="17"/>
      <c r="G1583" s="17"/>
      <c r="H1583" s="17"/>
      <c r="J1583" s="17"/>
      <c r="K1583" s="17"/>
      <c r="L1583" s="17"/>
      <c r="M1583" s="17"/>
      <c r="N1583" s="17"/>
      <c r="O1583" s="17"/>
    </row>
    <row r="1584" spans="5:15" x14ac:dyDescent="0.25">
      <c r="E1584" s="17"/>
      <c r="F1584" s="17"/>
      <c r="G1584" s="17"/>
      <c r="H1584" s="17"/>
      <c r="J1584" s="17"/>
      <c r="K1584" s="17"/>
      <c r="L1584" s="17"/>
      <c r="M1584" s="17"/>
      <c r="N1584" s="17"/>
      <c r="O1584" s="17"/>
    </row>
    <row r="1585" spans="5:15" x14ac:dyDescent="0.25">
      <c r="E1585" s="17"/>
      <c r="F1585" s="17"/>
      <c r="G1585" s="17"/>
      <c r="H1585" s="17"/>
      <c r="J1585" s="17"/>
      <c r="K1585" s="17"/>
      <c r="L1585" s="17"/>
      <c r="M1585" s="17"/>
      <c r="N1585" s="17"/>
      <c r="O1585" s="17"/>
    </row>
    <row r="1586" spans="5:15" x14ac:dyDescent="0.25">
      <c r="E1586" s="17"/>
      <c r="F1586" s="17"/>
      <c r="G1586" s="17"/>
      <c r="H1586" s="17"/>
      <c r="J1586" s="17"/>
      <c r="K1586" s="17"/>
      <c r="L1586" s="17"/>
      <c r="M1586" s="17"/>
      <c r="N1586" s="17"/>
      <c r="O1586" s="17"/>
    </row>
    <row r="1587" spans="5:15" x14ac:dyDescent="0.25">
      <c r="E1587" s="17"/>
      <c r="F1587" s="17"/>
      <c r="G1587" s="17"/>
      <c r="H1587" s="17"/>
      <c r="J1587" s="17"/>
      <c r="K1587" s="17"/>
      <c r="L1587" s="17"/>
      <c r="M1587" s="17"/>
      <c r="N1587" s="17"/>
      <c r="O1587" s="17"/>
    </row>
    <row r="1588" spans="5:15" x14ac:dyDescent="0.25">
      <c r="E1588" s="17"/>
      <c r="F1588" s="17"/>
      <c r="G1588" s="17"/>
      <c r="H1588" s="17"/>
      <c r="J1588" s="17"/>
      <c r="K1588" s="17"/>
      <c r="L1588" s="17"/>
      <c r="M1588" s="17"/>
      <c r="N1588" s="17"/>
      <c r="O1588" s="17"/>
    </row>
    <row r="1589" spans="5:15" x14ac:dyDescent="0.25">
      <c r="E1589" s="17"/>
      <c r="F1589" s="17"/>
      <c r="G1589" s="17"/>
      <c r="H1589" s="17"/>
      <c r="J1589" s="17"/>
      <c r="K1589" s="17"/>
      <c r="L1589" s="17"/>
      <c r="M1589" s="17"/>
      <c r="N1589" s="17"/>
      <c r="O1589" s="17"/>
    </row>
    <row r="1590" spans="5:15" x14ac:dyDescent="0.25">
      <c r="E1590" s="17"/>
      <c r="F1590" s="17"/>
      <c r="G1590" s="17"/>
      <c r="H1590" s="17"/>
      <c r="J1590" s="17"/>
      <c r="K1590" s="17"/>
      <c r="L1590" s="17"/>
      <c r="M1590" s="17"/>
      <c r="N1590" s="17"/>
      <c r="O1590" s="17"/>
    </row>
    <row r="1591" spans="5:15" x14ac:dyDescent="0.25">
      <c r="E1591" s="17"/>
      <c r="F1591" s="17"/>
      <c r="G1591" s="17"/>
      <c r="H1591" s="17"/>
      <c r="J1591" s="17"/>
      <c r="K1591" s="17"/>
      <c r="L1591" s="17"/>
      <c r="M1591" s="17"/>
      <c r="N1591" s="17"/>
      <c r="O1591" s="17"/>
    </row>
    <row r="1592" spans="5:15" x14ac:dyDescent="0.25">
      <c r="E1592" s="17"/>
      <c r="F1592" s="17"/>
      <c r="G1592" s="17"/>
      <c r="H1592" s="17"/>
      <c r="J1592" s="17"/>
      <c r="K1592" s="17"/>
      <c r="L1592" s="17"/>
      <c r="M1592" s="17"/>
      <c r="N1592" s="17"/>
      <c r="O1592" s="17"/>
    </row>
    <row r="1593" spans="5:15" x14ac:dyDescent="0.25">
      <c r="E1593" s="17"/>
      <c r="F1593" s="17"/>
      <c r="G1593" s="17"/>
      <c r="H1593" s="17"/>
      <c r="J1593" s="17"/>
      <c r="K1593" s="17"/>
      <c r="L1593" s="17"/>
      <c r="M1593" s="17"/>
      <c r="N1593" s="17"/>
      <c r="O1593" s="17"/>
    </row>
    <row r="1594" spans="5:15" x14ac:dyDescent="0.25">
      <c r="E1594" s="17"/>
      <c r="F1594" s="17"/>
      <c r="G1594" s="17"/>
      <c r="H1594" s="17"/>
      <c r="J1594" s="17"/>
      <c r="K1594" s="17"/>
      <c r="L1594" s="17"/>
      <c r="M1594" s="17"/>
      <c r="N1594" s="17"/>
      <c r="O1594" s="17"/>
    </row>
    <row r="1595" spans="5:15" x14ac:dyDescent="0.25">
      <c r="E1595" s="17"/>
      <c r="F1595" s="17"/>
      <c r="G1595" s="17"/>
      <c r="H1595" s="17"/>
      <c r="J1595" s="17"/>
      <c r="K1595" s="17"/>
      <c r="L1595" s="17"/>
      <c r="M1595" s="17"/>
      <c r="N1595" s="17"/>
      <c r="O1595" s="17"/>
    </row>
    <row r="1596" spans="5:15" x14ac:dyDescent="0.25">
      <c r="E1596" s="17"/>
      <c r="F1596" s="17"/>
      <c r="G1596" s="17"/>
      <c r="H1596" s="17"/>
      <c r="J1596" s="17"/>
      <c r="K1596" s="17"/>
      <c r="L1596" s="17"/>
      <c r="M1596" s="17"/>
      <c r="N1596" s="17"/>
      <c r="O1596" s="17"/>
    </row>
    <row r="1597" spans="5:15" x14ac:dyDescent="0.25">
      <c r="E1597" s="17"/>
      <c r="F1597" s="17"/>
      <c r="G1597" s="17"/>
      <c r="H1597" s="17"/>
      <c r="J1597" s="17"/>
      <c r="K1597" s="17"/>
      <c r="L1597" s="17"/>
      <c r="M1597" s="17"/>
      <c r="N1597" s="17"/>
      <c r="O1597" s="17"/>
    </row>
    <row r="1598" spans="5:15" x14ac:dyDescent="0.25">
      <c r="E1598" s="17"/>
      <c r="F1598" s="17"/>
      <c r="G1598" s="17"/>
      <c r="H1598" s="17"/>
      <c r="J1598" s="17"/>
      <c r="K1598" s="17"/>
      <c r="L1598" s="17"/>
      <c r="M1598" s="17"/>
      <c r="N1598" s="17"/>
      <c r="O1598" s="17"/>
    </row>
    <row r="1599" spans="5:15" x14ac:dyDescent="0.25">
      <c r="E1599" s="17"/>
      <c r="F1599" s="17"/>
      <c r="G1599" s="17"/>
      <c r="H1599" s="17"/>
      <c r="J1599" s="17"/>
      <c r="K1599" s="17"/>
      <c r="L1599" s="17"/>
      <c r="M1599" s="17"/>
      <c r="N1599" s="17"/>
      <c r="O1599" s="17"/>
    </row>
    <row r="1600" spans="5:15" x14ac:dyDescent="0.25">
      <c r="E1600" s="17"/>
      <c r="F1600" s="17"/>
      <c r="G1600" s="17"/>
      <c r="H1600" s="17"/>
      <c r="J1600" s="17"/>
      <c r="K1600" s="17"/>
      <c r="L1600" s="17"/>
      <c r="M1600" s="17"/>
      <c r="N1600" s="17"/>
      <c r="O1600" s="17"/>
    </row>
    <row r="1601" spans="5:15" x14ac:dyDescent="0.25">
      <c r="E1601" s="17"/>
      <c r="F1601" s="17"/>
      <c r="G1601" s="17"/>
      <c r="H1601" s="17"/>
      <c r="J1601" s="17"/>
      <c r="K1601" s="17"/>
      <c r="L1601" s="17"/>
      <c r="M1601" s="17"/>
      <c r="N1601" s="17"/>
      <c r="O1601" s="17"/>
    </row>
    <row r="1602" spans="5:15" x14ac:dyDescent="0.25">
      <c r="E1602" s="17"/>
      <c r="F1602" s="17"/>
      <c r="G1602" s="17"/>
      <c r="H1602" s="17"/>
      <c r="J1602" s="17"/>
      <c r="K1602" s="17"/>
      <c r="L1602" s="17"/>
      <c r="M1602" s="17"/>
      <c r="N1602" s="17"/>
      <c r="O1602" s="17"/>
    </row>
    <row r="1603" spans="5:15" x14ac:dyDescent="0.25">
      <c r="E1603" s="17"/>
      <c r="F1603" s="17"/>
      <c r="G1603" s="17"/>
      <c r="H1603" s="17"/>
      <c r="J1603" s="17"/>
      <c r="K1603" s="17"/>
      <c r="L1603" s="17"/>
      <c r="M1603" s="17"/>
      <c r="N1603" s="17"/>
      <c r="O1603" s="17"/>
    </row>
    <row r="1604" spans="5:15" x14ac:dyDescent="0.25">
      <c r="E1604" s="17"/>
      <c r="F1604" s="17"/>
      <c r="G1604" s="17"/>
      <c r="H1604" s="17"/>
      <c r="J1604" s="17"/>
      <c r="K1604" s="17"/>
      <c r="L1604" s="17"/>
      <c r="M1604" s="17"/>
      <c r="N1604" s="17"/>
      <c r="O1604" s="17"/>
    </row>
    <row r="1605" spans="5:15" x14ac:dyDescent="0.25">
      <c r="E1605" s="17"/>
      <c r="F1605" s="17"/>
      <c r="G1605" s="17"/>
      <c r="H1605" s="17"/>
      <c r="J1605" s="17"/>
      <c r="K1605" s="17"/>
      <c r="L1605" s="17"/>
      <c r="M1605" s="17"/>
      <c r="N1605" s="17"/>
      <c r="O1605" s="17"/>
    </row>
    <row r="1606" spans="5:15" x14ac:dyDescent="0.25">
      <c r="E1606" s="17"/>
      <c r="F1606" s="17"/>
      <c r="G1606" s="17"/>
      <c r="H1606" s="17"/>
      <c r="J1606" s="17"/>
      <c r="K1606" s="17"/>
      <c r="L1606" s="17"/>
      <c r="M1606" s="17"/>
      <c r="N1606" s="17"/>
      <c r="O1606" s="17"/>
    </row>
    <row r="1607" spans="5:15" x14ac:dyDescent="0.25">
      <c r="E1607" s="17"/>
      <c r="F1607" s="17"/>
      <c r="G1607" s="17"/>
      <c r="H1607" s="17"/>
      <c r="J1607" s="17"/>
      <c r="K1607" s="17"/>
      <c r="L1607" s="17"/>
      <c r="M1607" s="17"/>
      <c r="N1607" s="17"/>
      <c r="O1607" s="17"/>
    </row>
    <row r="1608" spans="5:15" x14ac:dyDescent="0.25">
      <c r="E1608" s="17"/>
      <c r="F1608" s="17"/>
      <c r="G1608" s="17"/>
      <c r="H1608" s="17"/>
      <c r="J1608" s="17"/>
      <c r="K1608" s="17"/>
      <c r="L1608" s="17"/>
      <c r="M1608" s="17"/>
      <c r="N1608" s="17"/>
      <c r="O1608" s="17"/>
    </row>
    <row r="1609" spans="5:15" x14ac:dyDescent="0.25">
      <c r="E1609" s="17"/>
      <c r="F1609" s="17"/>
      <c r="G1609" s="17"/>
      <c r="H1609" s="17"/>
      <c r="J1609" s="17"/>
      <c r="K1609" s="17"/>
      <c r="L1609" s="17"/>
      <c r="M1609" s="17"/>
      <c r="N1609" s="17"/>
      <c r="O1609" s="17"/>
    </row>
    <row r="1610" spans="5:15" x14ac:dyDescent="0.25">
      <c r="E1610" s="17"/>
      <c r="F1610" s="17"/>
      <c r="G1610" s="17"/>
      <c r="H1610" s="17"/>
      <c r="J1610" s="17"/>
      <c r="K1610" s="17"/>
      <c r="L1610" s="17"/>
      <c r="M1610" s="17"/>
      <c r="N1610" s="17"/>
      <c r="O1610" s="17"/>
    </row>
    <row r="1611" spans="5:15" x14ac:dyDescent="0.25">
      <c r="E1611" s="17"/>
      <c r="F1611" s="17"/>
      <c r="G1611" s="17"/>
      <c r="H1611" s="17"/>
      <c r="J1611" s="17"/>
      <c r="K1611" s="17"/>
      <c r="L1611" s="17"/>
      <c r="M1611" s="17"/>
      <c r="N1611" s="17"/>
      <c r="O1611" s="17"/>
    </row>
    <row r="1612" spans="5:15" x14ac:dyDescent="0.25">
      <c r="E1612" s="17"/>
      <c r="F1612" s="17"/>
      <c r="G1612" s="17"/>
      <c r="H1612" s="17"/>
      <c r="J1612" s="17"/>
      <c r="K1612" s="17"/>
      <c r="L1612" s="17"/>
      <c r="M1612" s="17"/>
      <c r="N1612" s="17"/>
      <c r="O1612" s="17"/>
    </row>
    <row r="1613" spans="5:15" x14ac:dyDescent="0.25">
      <c r="E1613" s="17"/>
      <c r="F1613" s="17"/>
      <c r="G1613" s="17"/>
      <c r="H1613" s="17"/>
      <c r="J1613" s="17"/>
      <c r="K1613" s="17"/>
      <c r="L1613" s="17"/>
      <c r="M1613" s="17"/>
      <c r="N1613" s="17"/>
      <c r="O1613" s="17"/>
    </row>
    <row r="1614" spans="5:15" x14ac:dyDescent="0.25">
      <c r="E1614" s="17"/>
      <c r="F1614" s="17"/>
      <c r="G1614" s="17"/>
      <c r="H1614" s="17"/>
      <c r="J1614" s="17"/>
      <c r="K1614" s="17"/>
      <c r="L1614" s="17"/>
      <c r="M1614" s="17"/>
      <c r="N1614" s="17"/>
      <c r="O1614" s="17"/>
    </row>
    <row r="1615" spans="5:15" x14ac:dyDescent="0.25">
      <c r="E1615" s="17"/>
      <c r="F1615" s="17"/>
      <c r="G1615" s="17"/>
      <c r="H1615" s="17"/>
      <c r="J1615" s="17"/>
      <c r="K1615" s="17"/>
      <c r="L1615" s="17"/>
      <c r="M1615" s="17"/>
      <c r="N1615" s="17"/>
      <c r="O1615" s="17"/>
    </row>
    <row r="1616" spans="5:15" x14ac:dyDescent="0.25">
      <c r="E1616" s="17"/>
      <c r="F1616" s="17"/>
      <c r="G1616" s="17"/>
      <c r="H1616" s="17"/>
      <c r="J1616" s="17"/>
      <c r="K1616" s="17"/>
      <c r="L1616" s="17"/>
      <c r="M1616" s="17"/>
      <c r="N1616" s="17"/>
      <c r="O1616" s="17"/>
    </row>
    <row r="1617" spans="5:15" x14ac:dyDescent="0.25">
      <c r="E1617" s="17"/>
      <c r="F1617" s="17"/>
      <c r="G1617" s="17"/>
      <c r="H1617" s="17"/>
      <c r="J1617" s="17"/>
      <c r="K1617" s="17"/>
      <c r="L1617" s="17"/>
      <c r="M1617" s="17"/>
      <c r="N1617" s="17"/>
      <c r="O1617" s="17"/>
    </row>
    <row r="1618" spans="5:15" x14ac:dyDescent="0.25">
      <c r="E1618" s="17"/>
      <c r="F1618" s="17"/>
      <c r="G1618" s="17"/>
      <c r="H1618" s="17"/>
      <c r="J1618" s="17"/>
      <c r="K1618" s="17"/>
      <c r="L1618" s="17"/>
      <c r="M1618" s="17"/>
      <c r="N1618" s="17"/>
      <c r="O1618" s="17"/>
    </row>
    <row r="1619" spans="5:15" x14ac:dyDescent="0.25">
      <c r="E1619" s="17"/>
      <c r="F1619" s="17"/>
      <c r="G1619" s="17"/>
      <c r="H1619" s="17"/>
      <c r="J1619" s="17"/>
      <c r="K1619" s="17"/>
      <c r="L1619" s="17"/>
      <c r="M1619" s="17"/>
      <c r="N1619" s="17"/>
      <c r="O1619" s="17"/>
    </row>
    <row r="1620" spans="5:15" x14ac:dyDescent="0.25">
      <c r="E1620" s="17"/>
      <c r="F1620" s="17"/>
      <c r="G1620" s="17"/>
      <c r="H1620" s="17"/>
      <c r="J1620" s="17"/>
      <c r="K1620" s="17"/>
      <c r="L1620" s="17"/>
      <c r="M1620" s="17"/>
      <c r="N1620" s="17"/>
      <c r="O1620" s="17"/>
    </row>
    <row r="1621" spans="5:15" x14ac:dyDescent="0.25">
      <c r="E1621" s="17"/>
      <c r="F1621" s="17"/>
      <c r="G1621" s="17"/>
      <c r="H1621" s="17"/>
      <c r="J1621" s="17"/>
      <c r="K1621" s="17"/>
      <c r="L1621" s="17"/>
      <c r="M1621" s="17"/>
      <c r="N1621" s="17"/>
      <c r="O1621" s="17"/>
    </row>
    <row r="1622" spans="5:15" x14ac:dyDescent="0.25">
      <c r="E1622" s="17"/>
      <c r="F1622" s="17"/>
      <c r="G1622" s="17"/>
      <c r="H1622" s="17"/>
      <c r="J1622" s="17"/>
      <c r="K1622" s="17"/>
      <c r="L1622" s="17"/>
      <c r="M1622" s="17"/>
      <c r="N1622" s="17"/>
      <c r="O1622" s="17"/>
    </row>
    <row r="1623" spans="5:15" x14ac:dyDescent="0.25">
      <c r="E1623" s="17"/>
      <c r="F1623" s="17"/>
      <c r="G1623" s="17"/>
      <c r="H1623" s="17"/>
      <c r="J1623" s="17"/>
      <c r="K1623" s="17"/>
      <c r="L1623" s="17"/>
      <c r="M1623" s="17"/>
      <c r="N1623" s="17"/>
      <c r="O1623" s="17"/>
    </row>
    <row r="1624" spans="5:15" x14ac:dyDescent="0.25">
      <c r="E1624" s="17"/>
      <c r="F1624" s="17"/>
      <c r="G1624" s="17"/>
      <c r="H1624" s="17"/>
      <c r="J1624" s="17"/>
      <c r="K1624" s="17"/>
      <c r="L1624" s="17"/>
      <c r="M1624" s="17"/>
      <c r="N1624" s="17"/>
      <c r="O1624" s="17"/>
    </row>
    <row r="1625" spans="5:15" x14ac:dyDescent="0.25">
      <c r="E1625" s="17"/>
      <c r="F1625" s="17"/>
      <c r="G1625" s="17"/>
      <c r="H1625" s="17"/>
      <c r="J1625" s="17"/>
      <c r="K1625" s="17"/>
      <c r="L1625" s="17"/>
      <c r="M1625" s="17"/>
      <c r="N1625" s="17"/>
      <c r="O1625" s="17"/>
    </row>
    <row r="1626" spans="5:15" x14ac:dyDescent="0.25">
      <c r="E1626" s="17"/>
      <c r="F1626" s="17"/>
      <c r="G1626" s="17"/>
      <c r="H1626" s="17"/>
      <c r="J1626" s="17"/>
      <c r="K1626" s="17"/>
      <c r="L1626" s="17"/>
      <c r="M1626" s="17"/>
      <c r="N1626" s="17"/>
      <c r="O1626" s="17"/>
    </row>
    <row r="1627" spans="5:15" x14ac:dyDescent="0.25">
      <c r="E1627" s="17"/>
      <c r="F1627" s="17"/>
      <c r="G1627" s="17"/>
      <c r="H1627" s="17"/>
      <c r="J1627" s="17"/>
      <c r="K1627" s="17"/>
      <c r="L1627" s="17"/>
      <c r="M1627" s="17"/>
      <c r="N1627" s="17"/>
      <c r="O1627" s="17"/>
    </row>
    <row r="1628" spans="5:15" x14ac:dyDescent="0.25">
      <c r="E1628" s="17"/>
      <c r="F1628" s="17"/>
      <c r="G1628" s="17"/>
      <c r="H1628" s="17"/>
      <c r="J1628" s="17"/>
      <c r="K1628" s="17"/>
      <c r="L1628" s="17"/>
      <c r="M1628" s="17"/>
      <c r="N1628" s="17"/>
      <c r="O1628" s="17"/>
    </row>
    <row r="1629" spans="5:15" x14ac:dyDescent="0.25">
      <c r="E1629" s="17"/>
      <c r="F1629" s="17"/>
      <c r="G1629" s="17"/>
      <c r="H1629" s="17"/>
      <c r="J1629" s="17"/>
      <c r="K1629" s="17"/>
      <c r="L1629" s="17"/>
      <c r="M1629" s="17"/>
      <c r="N1629" s="17"/>
      <c r="O1629" s="17"/>
    </row>
    <row r="1630" spans="5:15" x14ac:dyDescent="0.25">
      <c r="E1630" s="17"/>
      <c r="F1630" s="17"/>
      <c r="G1630" s="17"/>
      <c r="H1630" s="17"/>
      <c r="J1630" s="17"/>
      <c r="K1630" s="17"/>
      <c r="L1630" s="17"/>
      <c r="M1630" s="17"/>
      <c r="N1630" s="17"/>
      <c r="O1630" s="17"/>
    </row>
    <row r="1631" spans="5:15" x14ac:dyDescent="0.25">
      <c r="E1631" s="17"/>
      <c r="F1631" s="17"/>
      <c r="G1631" s="17"/>
      <c r="H1631" s="17"/>
      <c r="J1631" s="17"/>
      <c r="K1631" s="17"/>
      <c r="L1631" s="17"/>
      <c r="M1631" s="17"/>
      <c r="N1631" s="17"/>
      <c r="O1631" s="17"/>
    </row>
    <row r="1632" spans="5:15" x14ac:dyDescent="0.25">
      <c r="E1632" s="17"/>
      <c r="F1632" s="17"/>
      <c r="G1632" s="17"/>
      <c r="H1632" s="17"/>
      <c r="J1632" s="17"/>
      <c r="K1632" s="17"/>
      <c r="L1632" s="17"/>
      <c r="M1632" s="17"/>
      <c r="N1632" s="17"/>
      <c r="O1632" s="17"/>
    </row>
    <row r="1633" spans="5:15" x14ac:dyDescent="0.25">
      <c r="E1633" s="17"/>
      <c r="F1633" s="17"/>
      <c r="G1633" s="17"/>
      <c r="H1633" s="17"/>
      <c r="J1633" s="17"/>
      <c r="K1633" s="17"/>
      <c r="L1633" s="17"/>
      <c r="M1633" s="17"/>
      <c r="N1633" s="17"/>
      <c r="O1633" s="17"/>
    </row>
    <row r="1634" spans="5:15" x14ac:dyDescent="0.25">
      <c r="E1634" s="17"/>
      <c r="F1634" s="17"/>
      <c r="G1634" s="17"/>
      <c r="H1634" s="17"/>
      <c r="J1634" s="17"/>
      <c r="K1634" s="17"/>
      <c r="L1634" s="17"/>
      <c r="M1634" s="17"/>
      <c r="N1634" s="17"/>
      <c r="O1634" s="17"/>
    </row>
    <row r="1635" spans="5:15" x14ac:dyDescent="0.25">
      <c r="E1635" s="17"/>
      <c r="F1635" s="17"/>
      <c r="G1635" s="17"/>
      <c r="H1635" s="17"/>
      <c r="J1635" s="17"/>
      <c r="K1635" s="17"/>
      <c r="L1635" s="17"/>
      <c r="M1635" s="17"/>
      <c r="N1635" s="17"/>
      <c r="O1635" s="17"/>
    </row>
    <row r="1636" spans="5:15" x14ac:dyDescent="0.25">
      <c r="E1636" s="17"/>
      <c r="F1636" s="17"/>
      <c r="G1636" s="17"/>
      <c r="H1636" s="17"/>
      <c r="J1636" s="17"/>
      <c r="K1636" s="17"/>
      <c r="L1636" s="17"/>
      <c r="M1636" s="17"/>
      <c r="N1636" s="17"/>
      <c r="O1636" s="17"/>
    </row>
    <row r="1637" spans="5:15" x14ac:dyDescent="0.25">
      <c r="E1637" s="17"/>
      <c r="F1637" s="17"/>
      <c r="G1637" s="17"/>
      <c r="H1637" s="17"/>
      <c r="J1637" s="17"/>
      <c r="K1637" s="17"/>
      <c r="L1637" s="17"/>
      <c r="M1637" s="17"/>
      <c r="N1637" s="17"/>
      <c r="O1637" s="17"/>
    </row>
    <row r="1638" spans="5:15" x14ac:dyDescent="0.25">
      <c r="E1638" s="17"/>
      <c r="F1638" s="17"/>
      <c r="G1638" s="17"/>
      <c r="H1638" s="17"/>
      <c r="J1638" s="17"/>
      <c r="K1638" s="17"/>
      <c r="L1638" s="17"/>
      <c r="M1638" s="17"/>
      <c r="N1638" s="17"/>
      <c r="O1638" s="17"/>
    </row>
    <row r="1639" spans="5:15" x14ac:dyDescent="0.25">
      <c r="E1639" s="17"/>
      <c r="F1639" s="17"/>
      <c r="G1639" s="17"/>
      <c r="H1639" s="17"/>
      <c r="J1639" s="17"/>
      <c r="K1639" s="17"/>
      <c r="L1639" s="17"/>
      <c r="M1639" s="17"/>
      <c r="N1639" s="17"/>
      <c r="O1639" s="17"/>
    </row>
    <row r="1640" spans="5:15" x14ac:dyDescent="0.25">
      <c r="E1640" s="17"/>
      <c r="F1640" s="17"/>
      <c r="G1640" s="17"/>
      <c r="H1640" s="17"/>
      <c r="J1640" s="17"/>
      <c r="K1640" s="17"/>
      <c r="L1640" s="17"/>
      <c r="M1640" s="17"/>
      <c r="N1640" s="17"/>
      <c r="O1640" s="17"/>
    </row>
    <row r="1641" spans="5:15" x14ac:dyDescent="0.25">
      <c r="E1641" s="17"/>
      <c r="F1641" s="17"/>
      <c r="G1641" s="17"/>
      <c r="H1641" s="17"/>
      <c r="J1641" s="17"/>
      <c r="K1641" s="17"/>
      <c r="L1641" s="17"/>
      <c r="M1641" s="17"/>
      <c r="N1641" s="17"/>
      <c r="O1641" s="17"/>
    </row>
    <row r="1642" spans="5:15" x14ac:dyDescent="0.25">
      <c r="E1642" s="17"/>
      <c r="F1642" s="17"/>
      <c r="G1642" s="17"/>
      <c r="H1642" s="17"/>
      <c r="J1642" s="17"/>
      <c r="K1642" s="17"/>
      <c r="L1642" s="17"/>
      <c r="M1642" s="17"/>
      <c r="N1642" s="17"/>
      <c r="O1642" s="17"/>
    </row>
    <row r="1643" spans="5:15" x14ac:dyDescent="0.25">
      <c r="E1643" s="17"/>
      <c r="F1643" s="17"/>
      <c r="G1643" s="17"/>
      <c r="H1643" s="17"/>
      <c r="J1643" s="17"/>
      <c r="K1643" s="17"/>
      <c r="L1643" s="17"/>
      <c r="M1643" s="17"/>
      <c r="N1643" s="17"/>
      <c r="O1643" s="17"/>
    </row>
    <row r="1644" spans="5:15" x14ac:dyDescent="0.25">
      <c r="E1644" s="17"/>
      <c r="F1644" s="17"/>
      <c r="G1644" s="17"/>
      <c r="H1644" s="17"/>
      <c r="J1644" s="17"/>
      <c r="K1644" s="17"/>
      <c r="L1644" s="17"/>
      <c r="M1644" s="17"/>
      <c r="N1644" s="17"/>
      <c r="O1644" s="17"/>
    </row>
    <row r="1645" spans="5:15" x14ac:dyDescent="0.25">
      <c r="E1645" s="17"/>
      <c r="F1645" s="17"/>
      <c r="G1645" s="17"/>
      <c r="H1645" s="17"/>
      <c r="J1645" s="17"/>
      <c r="K1645" s="17"/>
      <c r="L1645" s="17"/>
      <c r="M1645" s="17"/>
      <c r="N1645" s="17"/>
      <c r="O1645" s="17"/>
    </row>
    <row r="1646" spans="5:15" x14ac:dyDescent="0.25">
      <c r="E1646" s="17"/>
      <c r="F1646" s="17"/>
      <c r="G1646" s="17"/>
      <c r="H1646" s="17"/>
      <c r="J1646" s="17"/>
      <c r="K1646" s="17"/>
      <c r="L1646" s="17"/>
      <c r="M1646" s="17"/>
      <c r="N1646" s="17"/>
      <c r="O1646" s="17"/>
    </row>
    <row r="1647" spans="5:15" x14ac:dyDescent="0.25">
      <c r="E1647" s="17"/>
      <c r="F1647" s="17"/>
      <c r="G1647" s="17"/>
      <c r="H1647" s="17"/>
      <c r="J1647" s="17"/>
      <c r="K1647" s="17"/>
      <c r="L1647" s="17"/>
      <c r="M1647" s="17"/>
      <c r="N1647" s="17"/>
      <c r="O1647" s="17"/>
    </row>
    <row r="1648" spans="5:15" x14ac:dyDescent="0.25">
      <c r="E1648" s="17"/>
      <c r="F1648" s="17"/>
      <c r="G1648" s="17"/>
      <c r="H1648" s="17"/>
      <c r="J1648" s="17"/>
      <c r="K1648" s="17"/>
      <c r="L1648" s="17"/>
      <c r="M1648" s="17"/>
      <c r="N1648" s="17"/>
      <c r="O1648" s="17"/>
    </row>
    <row r="1649" spans="5:15" x14ac:dyDescent="0.25">
      <c r="E1649" s="17"/>
      <c r="F1649" s="17"/>
      <c r="G1649" s="17"/>
      <c r="H1649" s="17"/>
      <c r="J1649" s="17"/>
      <c r="K1649" s="17"/>
      <c r="L1649" s="17"/>
      <c r="M1649" s="17"/>
      <c r="N1649" s="17"/>
      <c r="O1649" s="17"/>
    </row>
    <row r="1650" spans="5:15" x14ac:dyDescent="0.25">
      <c r="E1650" s="17"/>
      <c r="F1650" s="17"/>
      <c r="G1650" s="17"/>
      <c r="H1650" s="17"/>
      <c r="J1650" s="17"/>
      <c r="K1650" s="17"/>
      <c r="L1650" s="17"/>
      <c r="M1650" s="17"/>
      <c r="N1650" s="17"/>
      <c r="O1650" s="17"/>
    </row>
    <row r="1651" spans="5:15" x14ac:dyDescent="0.25">
      <c r="E1651" s="17"/>
      <c r="F1651" s="17"/>
      <c r="G1651" s="17"/>
      <c r="H1651" s="17"/>
      <c r="J1651" s="17"/>
      <c r="K1651" s="17"/>
      <c r="L1651" s="17"/>
      <c r="M1651" s="17"/>
      <c r="N1651" s="17"/>
      <c r="O1651" s="17"/>
    </row>
    <row r="1652" spans="5:15" x14ac:dyDescent="0.25">
      <c r="E1652" s="17"/>
      <c r="F1652" s="17"/>
      <c r="G1652" s="17"/>
      <c r="H1652" s="17"/>
      <c r="J1652" s="17"/>
      <c r="K1652" s="17"/>
      <c r="L1652" s="17"/>
      <c r="M1652" s="17"/>
      <c r="N1652" s="17"/>
      <c r="O1652" s="17"/>
    </row>
    <row r="1653" spans="5:15" x14ac:dyDescent="0.25">
      <c r="E1653" s="17"/>
      <c r="F1653" s="17"/>
      <c r="G1653" s="17"/>
      <c r="H1653" s="17"/>
      <c r="J1653" s="17"/>
      <c r="K1653" s="17"/>
      <c r="L1653" s="17"/>
      <c r="M1653" s="17"/>
      <c r="N1653" s="17"/>
      <c r="O1653" s="17"/>
    </row>
    <row r="1654" spans="5:15" x14ac:dyDescent="0.25">
      <c r="E1654" s="17"/>
      <c r="F1654" s="17"/>
      <c r="G1654" s="17"/>
      <c r="H1654" s="17"/>
      <c r="J1654" s="17"/>
      <c r="K1654" s="17"/>
      <c r="L1654" s="17"/>
      <c r="M1654" s="17"/>
      <c r="N1654" s="17"/>
      <c r="O1654" s="17"/>
    </row>
    <row r="1655" spans="5:15" x14ac:dyDescent="0.25">
      <c r="E1655" s="17"/>
      <c r="F1655" s="17"/>
      <c r="G1655" s="17"/>
      <c r="H1655" s="17"/>
      <c r="J1655" s="17"/>
      <c r="K1655" s="17"/>
      <c r="L1655" s="17"/>
      <c r="M1655" s="17"/>
      <c r="N1655" s="17"/>
      <c r="O1655" s="17"/>
    </row>
    <row r="1656" spans="5:15" x14ac:dyDescent="0.25">
      <c r="E1656" s="17"/>
      <c r="F1656" s="17"/>
      <c r="G1656" s="17"/>
      <c r="H1656" s="17"/>
      <c r="J1656" s="17"/>
      <c r="K1656" s="17"/>
      <c r="L1656" s="17"/>
      <c r="M1656" s="17"/>
      <c r="N1656" s="17"/>
      <c r="O1656" s="17"/>
    </row>
    <row r="1657" spans="5:15" x14ac:dyDescent="0.25">
      <c r="E1657" s="17"/>
      <c r="F1657" s="17"/>
      <c r="G1657" s="17"/>
      <c r="H1657" s="17"/>
      <c r="J1657" s="17"/>
      <c r="K1657" s="17"/>
      <c r="L1657" s="17"/>
      <c r="M1657" s="17"/>
      <c r="N1657" s="17"/>
      <c r="O1657" s="17"/>
    </row>
    <row r="1658" spans="5:15" x14ac:dyDescent="0.25">
      <c r="E1658" s="17"/>
      <c r="F1658" s="17"/>
      <c r="G1658" s="17"/>
      <c r="H1658" s="17"/>
      <c r="J1658" s="17"/>
      <c r="K1658" s="17"/>
      <c r="L1658" s="17"/>
      <c r="M1658" s="17"/>
      <c r="N1658" s="17"/>
      <c r="O1658" s="17"/>
    </row>
    <row r="1659" spans="5:15" x14ac:dyDescent="0.25">
      <c r="E1659" s="17"/>
      <c r="F1659" s="17"/>
      <c r="G1659" s="17"/>
      <c r="H1659" s="17"/>
      <c r="J1659" s="17"/>
      <c r="K1659" s="17"/>
      <c r="L1659" s="17"/>
      <c r="M1659" s="17"/>
      <c r="N1659" s="17"/>
      <c r="O1659" s="17"/>
    </row>
    <row r="1660" spans="5:15" x14ac:dyDescent="0.25">
      <c r="E1660" s="17"/>
      <c r="F1660" s="17"/>
      <c r="G1660" s="17"/>
      <c r="H1660" s="17"/>
      <c r="J1660" s="17"/>
      <c r="K1660" s="17"/>
      <c r="L1660" s="17"/>
      <c r="M1660" s="17"/>
      <c r="N1660" s="17"/>
      <c r="O1660" s="17"/>
    </row>
    <row r="1661" spans="5:15" x14ac:dyDescent="0.25">
      <c r="E1661" s="17"/>
      <c r="F1661" s="17"/>
      <c r="G1661" s="17"/>
      <c r="H1661" s="17"/>
      <c r="J1661" s="17"/>
      <c r="K1661" s="17"/>
      <c r="L1661" s="17"/>
      <c r="M1661" s="17"/>
      <c r="N1661" s="17"/>
      <c r="O1661" s="17"/>
    </row>
    <row r="1662" spans="5:15" x14ac:dyDescent="0.25">
      <c r="E1662" s="17"/>
      <c r="F1662" s="17"/>
      <c r="G1662" s="17"/>
      <c r="H1662" s="17"/>
      <c r="J1662" s="17"/>
      <c r="K1662" s="17"/>
      <c r="L1662" s="17"/>
      <c r="M1662" s="17"/>
      <c r="N1662" s="17"/>
      <c r="O1662" s="17"/>
    </row>
    <row r="1663" spans="5:15" x14ac:dyDescent="0.25">
      <c r="E1663" s="17"/>
      <c r="F1663" s="17"/>
      <c r="G1663" s="17"/>
      <c r="H1663" s="17"/>
      <c r="J1663" s="17"/>
      <c r="K1663" s="17"/>
      <c r="L1663" s="17"/>
      <c r="M1663" s="17"/>
      <c r="N1663" s="17"/>
      <c r="O1663" s="17"/>
    </row>
    <row r="1664" spans="5:15" x14ac:dyDescent="0.25">
      <c r="E1664" s="17"/>
      <c r="F1664" s="17"/>
      <c r="G1664" s="17"/>
      <c r="H1664" s="17"/>
      <c r="J1664" s="17"/>
      <c r="K1664" s="17"/>
      <c r="L1664" s="17"/>
      <c r="M1664" s="17"/>
      <c r="N1664" s="17"/>
      <c r="O1664" s="17"/>
    </row>
    <row r="1665" spans="5:15" x14ac:dyDescent="0.25">
      <c r="E1665" s="17"/>
      <c r="F1665" s="17"/>
      <c r="G1665" s="17"/>
      <c r="H1665" s="17"/>
      <c r="J1665" s="17"/>
      <c r="K1665" s="17"/>
      <c r="L1665" s="17"/>
      <c r="M1665" s="17"/>
      <c r="N1665" s="17"/>
      <c r="O1665" s="17"/>
    </row>
    <row r="1666" spans="5:15" x14ac:dyDescent="0.25">
      <c r="E1666" s="17"/>
      <c r="F1666" s="17"/>
      <c r="G1666" s="17"/>
      <c r="H1666" s="17"/>
      <c r="J1666" s="17"/>
      <c r="K1666" s="17"/>
      <c r="L1666" s="17"/>
      <c r="M1666" s="17"/>
      <c r="N1666" s="17"/>
      <c r="O1666" s="17"/>
    </row>
    <row r="1667" spans="5:15" x14ac:dyDescent="0.25">
      <c r="E1667" s="17"/>
      <c r="F1667" s="17"/>
      <c r="G1667" s="17"/>
      <c r="H1667" s="17"/>
      <c r="J1667" s="17"/>
      <c r="K1667" s="17"/>
      <c r="L1667" s="17"/>
      <c r="M1667" s="17"/>
      <c r="N1667" s="17"/>
      <c r="O1667" s="17"/>
    </row>
    <row r="1668" spans="5:15" x14ac:dyDescent="0.25">
      <c r="E1668" s="17"/>
      <c r="F1668" s="17"/>
      <c r="G1668" s="17"/>
      <c r="H1668" s="17"/>
      <c r="J1668" s="17"/>
      <c r="K1668" s="17"/>
      <c r="L1668" s="17"/>
      <c r="M1668" s="17"/>
      <c r="N1668" s="17"/>
      <c r="O1668" s="17"/>
    </row>
    <row r="1669" spans="5:15" x14ac:dyDescent="0.25">
      <c r="E1669" s="17"/>
      <c r="F1669" s="17"/>
      <c r="G1669" s="17"/>
      <c r="H1669" s="17"/>
      <c r="J1669" s="17"/>
      <c r="K1669" s="17"/>
      <c r="L1669" s="17"/>
      <c r="M1669" s="17"/>
      <c r="N1669" s="17"/>
      <c r="O1669" s="17"/>
    </row>
    <row r="1670" spans="5:15" x14ac:dyDescent="0.25">
      <c r="E1670" s="17"/>
      <c r="F1670" s="17"/>
      <c r="G1670" s="17"/>
      <c r="H1670" s="17"/>
      <c r="J1670" s="17"/>
      <c r="K1670" s="17"/>
      <c r="L1670" s="17"/>
      <c r="M1670" s="17"/>
      <c r="N1670" s="17"/>
      <c r="O1670" s="17"/>
    </row>
    <row r="1671" spans="5:15" x14ac:dyDescent="0.25">
      <c r="E1671" s="17"/>
      <c r="F1671" s="17"/>
      <c r="G1671" s="17"/>
      <c r="H1671" s="17"/>
      <c r="J1671" s="17"/>
      <c r="K1671" s="17"/>
      <c r="L1671" s="17"/>
      <c r="M1671" s="17"/>
      <c r="N1671" s="17"/>
      <c r="O1671" s="17"/>
    </row>
    <row r="1672" spans="5:15" x14ac:dyDescent="0.25">
      <c r="E1672" s="17"/>
      <c r="F1672" s="17"/>
      <c r="G1672" s="17"/>
      <c r="H1672" s="17"/>
      <c r="J1672" s="17"/>
      <c r="K1672" s="17"/>
      <c r="L1672" s="17"/>
      <c r="M1672" s="17"/>
      <c r="N1672" s="17"/>
      <c r="O1672" s="17"/>
    </row>
    <row r="1673" spans="5:15" x14ac:dyDescent="0.25">
      <c r="E1673" s="17"/>
      <c r="F1673" s="17"/>
      <c r="G1673" s="17"/>
      <c r="H1673" s="17"/>
      <c r="J1673" s="17"/>
      <c r="K1673" s="17"/>
      <c r="L1673" s="17"/>
      <c r="M1673" s="17"/>
      <c r="N1673" s="17"/>
      <c r="O1673" s="17"/>
    </row>
    <row r="1674" spans="5:15" x14ac:dyDescent="0.25">
      <c r="E1674" s="17"/>
      <c r="F1674" s="17"/>
      <c r="G1674" s="17"/>
      <c r="H1674" s="17"/>
      <c r="J1674" s="17"/>
      <c r="K1674" s="17"/>
      <c r="L1674" s="17"/>
      <c r="M1674" s="17"/>
      <c r="N1674" s="17"/>
      <c r="O1674" s="17"/>
    </row>
    <row r="1675" spans="5:15" x14ac:dyDescent="0.25">
      <c r="E1675" s="17"/>
      <c r="F1675" s="17"/>
      <c r="G1675" s="17"/>
      <c r="H1675" s="17"/>
      <c r="J1675" s="17"/>
      <c r="K1675" s="17"/>
      <c r="L1675" s="17"/>
      <c r="M1675" s="17"/>
      <c r="N1675" s="17"/>
      <c r="O1675" s="17"/>
    </row>
    <row r="1676" spans="5:15" x14ac:dyDescent="0.25">
      <c r="E1676" s="17"/>
      <c r="F1676" s="17"/>
      <c r="G1676" s="17"/>
      <c r="H1676" s="17"/>
      <c r="J1676" s="17"/>
      <c r="K1676" s="17"/>
      <c r="L1676" s="17"/>
      <c r="M1676" s="17"/>
      <c r="N1676" s="17"/>
      <c r="O1676" s="17"/>
    </row>
    <row r="1677" spans="5:15" x14ac:dyDescent="0.25">
      <c r="E1677" s="17"/>
      <c r="F1677" s="17"/>
      <c r="G1677" s="17"/>
      <c r="H1677" s="17"/>
      <c r="J1677" s="17"/>
      <c r="K1677" s="17"/>
      <c r="L1677" s="17"/>
      <c r="M1677" s="17"/>
      <c r="N1677" s="17"/>
      <c r="O1677" s="17"/>
    </row>
    <row r="1678" spans="5:15" x14ac:dyDescent="0.25">
      <c r="E1678" s="17"/>
      <c r="F1678" s="17"/>
      <c r="G1678" s="17"/>
      <c r="H1678" s="17"/>
      <c r="J1678" s="17"/>
      <c r="K1678" s="17"/>
      <c r="L1678" s="17"/>
      <c r="M1678" s="17"/>
      <c r="N1678" s="17"/>
      <c r="O1678" s="17"/>
    </row>
    <row r="1679" spans="5:15" x14ac:dyDescent="0.25">
      <c r="E1679" s="17"/>
      <c r="F1679" s="17"/>
      <c r="G1679" s="17"/>
      <c r="H1679" s="17"/>
      <c r="J1679" s="17"/>
      <c r="K1679" s="17"/>
      <c r="L1679" s="17"/>
      <c r="M1679" s="17"/>
      <c r="N1679" s="17"/>
      <c r="O1679" s="17"/>
    </row>
    <row r="1680" spans="5:15" x14ac:dyDescent="0.25">
      <c r="E1680" s="17"/>
      <c r="F1680" s="17"/>
      <c r="G1680" s="17"/>
      <c r="H1680" s="17"/>
      <c r="J1680" s="17"/>
      <c r="K1680" s="17"/>
      <c r="L1680" s="17"/>
      <c r="M1680" s="17"/>
      <c r="N1680" s="17"/>
      <c r="O1680" s="17"/>
    </row>
    <row r="1681" spans="5:15" x14ac:dyDescent="0.25">
      <c r="E1681" s="17"/>
      <c r="F1681" s="17"/>
      <c r="G1681" s="17"/>
      <c r="H1681" s="17"/>
      <c r="J1681" s="17"/>
      <c r="K1681" s="17"/>
      <c r="L1681" s="17"/>
      <c r="M1681" s="17"/>
      <c r="N1681" s="17"/>
      <c r="O1681" s="17"/>
    </row>
    <row r="1682" spans="5:15" x14ac:dyDescent="0.25">
      <c r="E1682" s="17"/>
      <c r="F1682" s="17"/>
      <c r="G1682" s="17"/>
      <c r="H1682" s="17"/>
      <c r="J1682" s="17"/>
      <c r="K1682" s="17"/>
      <c r="L1682" s="17"/>
      <c r="M1682" s="17"/>
      <c r="N1682" s="17"/>
      <c r="O1682" s="17"/>
    </row>
    <row r="1683" spans="5:15" x14ac:dyDescent="0.25">
      <c r="E1683" s="17"/>
      <c r="F1683" s="17"/>
      <c r="G1683" s="17"/>
      <c r="H1683" s="17"/>
      <c r="J1683" s="17"/>
      <c r="K1683" s="17"/>
      <c r="L1683" s="17"/>
      <c r="M1683" s="17"/>
      <c r="N1683" s="17"/>
      <c r="O1683" s="17"/>
    </row>
    <row r="1684" spans="5:15" x14ac:dyDescent="0.25">
      <c r="E1684" s="17"/>
      <c r="F1684" s="17"/>
      <c r="G1684" s="17"/>
      <c r="H1684" s="17"/>
      <c r="J1684" s="17"/>
      <c r="K1684" s="17"/>
      <c r="L1684" s="17"/>
      <c r="M1684" s="17"/>
      <c r="N1684" s="17"/>
      <c r="O1684" s="17"/>
    </row>
    <row r="1685" spans="5:15" x14ac:dyDescent="0.25">
      <c r="E1685" s="17"/>
      <c r="F1685" s="17"/>
      <c r="G1685" s="17"/>
      <c r="H1685" s="17"/>
      <c r="J1685" s="17"/>
      <c r="K1685" s="17"/>
      <c r="L1685" s="17"/>
      <c r="M1685" s="17"/>
      <c r="N1685" s="17"/>
      <c r="O1685" s="17"/>
    </row>
    <row r="1686" spans="5:15" x14ac:dyDescent="0.25">
      <c r="E1686" s="17"/>
      <c r="F1686" s="17"/>
      <c r="G1686" s="17"/>
      <c r="H1686" s="17"/>
      <c r="J1686" s="17"/>
      <c r="K1686" s="17"/>
      <c r="L1686" s="17"/>
      <c r="M1686" s="17"/>
      <c r="N1686" s="17"/>
      <c r="O1686" s="17"/>
    </row>
    <row r="1687" spans="5:15" x14ac:dyDescent="0.25">
      <c r="E1687" s="17"/>
      <c r="F1687" s="17"/>
      <c r="G1687" s="17"/>
      <c r="H1687" s="17"/>
      <c r="J1687" s="17"/>
      <c r="K1687" s="17"/>
      <c r="L1687" s="17"/>
      <c r="M1687" s="17"/>
      <c r="N1687" s="17"/>
      <c r="O1687" s="17"/>
    </row>
    <row r="1688" spans="5:15" x14ac:dyDescent="0.25">
      <c r="E1688" s="17"/>
      <c r="F1688" s="17"/>
      <c r="G1688" s="17"/>
      <c r="H1688" s="17"/>
      <c r="J1688" s="17"/>
      <c r="K1688" s="17"/>
      <c r="L1688" s="17"/>
      <c r="M1688" s="17"/>
      <c r="N1688" s="17"/>
      <c r="O1688" s="17"/>
    </row>
    <row r="1689" spans="5:15" x14ac:dyDescent="0.25">
      <c r="E1689" s="17"/>
      <c r="F1689" s="17"/>
      <c r="G1689" s="17"/>
      <c r="H1689" s="17"/>
      <c r="J1689" s="17"/>
      <c r="K1689" s="17"/>
      <c r="L1689" s="17"/>
      <c r="M1689" s="17"/>
      <c r="N1689" s="17"/>
      <c r="O1689" s="17"/>
    </row>
    <row r="1690" spans="5:15" x14ac:dyDescent="0.25">
      <c r="E1690" s="17"/>
      <c r="F1690" s="17"/>
      <c r="G1690" s="17"/>
      <c r="H1690" s="17"/>
      <c r="J1690" s="17"/>
      <c r="K1690" s="17"/>
      <c r="L1690" s="17"/>
      <c r="M1690" s="17"/>
      <c r="N1690" s="17"/>
      <c r="O1690" s="17"/>
    </row>
    <row r="1691" spans="5:15" x14ac:dyDescent="0.25">
      <c r="E1691" s="17"/>
      <c r="F1691" s="17"/>
      <c r="G1691" s="17"/>
      <c r="H1691" s="17"/>
      <c r="J1691" s="17"/>
      <c r="K1691" s="17"/>
      <c r="L1691" s="17"/>
      <c r="M1691" s="17"/>
      <c r="N1691" s="17"/>
      <c r="O1691" s="17"/>
    </row>
    <row r="1692" spans="5:15" x14ac:dyDescent="0.25">
      <c r="E1692" s="17"/>
      <c r="F1692" s="17"/>
      <c r="G1692" s="17"/>
      <c r="H1692" s="17"/>
      <c r="J1692" s="17"/>
      <c r="K1692" s="17"/>
      <c r="L1692" s="17"/>
      <c r="M1692" s="17"/>
      <c r="N1692" s="17"/>
      <c r="O1692" s="17"/>
    </row>
    <row r="1693" spans="5:15" x14ac:dyDescent="0.25">
      <c r="E1693" s="17"/>
      <c r="F1693" s="17"/>
      <c r="G1693" s="17"/>
      <c r="H1693" s="17"/>
      <c r="J1693" s="17"/>
      <c r="K1693" s="17"/>
      <c r="L1693" s="17"/>
      <c r="M1693" s="17"/>
      <c r="N1693" s="17"/>
      <c r="O1693" s="17"/>
    </row>
    <row r="1694" spans="5:15" x14ac:dyDescent="0.25">
      <c r="E1694" s="17"/>
      <c r="F1694" s="17"/>
      <c r="G1694" s="17"/>
      <c r="H1694" s="17"/>
      <c r="J1694" s="17"/>
      <c r="K1694" s="17"/>
      <c r="L1694" s="17"/>
      <c r="M1694" s="17"/>
      <c r="N1694" s="17"/>
      <c r="O1694" s="17"/>
    </row>
    <row r="1695" spans="5:15" x14ac:dyDescent="0.25">
      <c r="E1695" s="17"/>
      <c r="F1695" s="17"/>
      <c r="G1695" s="17"/>
      <c r="H1695" s="17"/>
      <c r="J1695" s="17"/>
      <c r="K1695" s="17"/>
      <c r="L1695" s="17"/>
      <c r="M1695" s="17"/>
      <c r="N1695" s="17"/>
      <c r="O1695" s="17"/>
    </row>
    <row r="1696" spans="5:15" x14ac:dyDescent="0.25">
      <c r="E1696" s="17"/>
      <c r="F1696" s="17"/>
      <c r="G1696" s="17"/>
      <c r="H1696" s="17"/>
      <c r="J1696" s="17"/>
      <c r="K1696" s="17"/>
      <c r="L1696" s="17"/>
      <c r="M1696" s="17"/>
      <c r="N1696" s="17"/>
      <c r="O1696" s="17"/>
    </row>
    <row r="1697" spans="5:15" x14ac:dyDescent="0.25">
      <c r="E1697" s="17"/>
      <c r="F1697" s="17"/>
      <c r="G1697" s="17"/>
      <c r="H1697" s="17"/>
      <c r="J1697" s="17"/>
      <c r="K1697" s="17"/>
      <c r="L1697" s="17"/>
      <c r="M1697" s="17"/>
      <c r="N1697" s="17"/>
      <c r="O1697" s="17"/>
    </row>
    <row r="1698" spans="5:15" x14ac:dyDescent="0.25">
      <c r="E1698" s="17"/>
      <c r="F1698" s="17"/>
      <c r="G1698" s="17"/>
      <c r="H1698" s="17"/>
      <c r="J1698" s="17"/>
      <c r="K1698" s="17"/>
      <c r="L1698" s="17"/>
      <c r="M1698" s="17"/>
      <c r="N1698" s="17"/>
      <c r="O1698" s="17"/>
    </row>
    <row r="1699" spans="5:15" x14ac:dyDescent="0.25">
      <c r="E1699" s="17"/>
      <c r="F1699" s="17"/>
      <c r="G1699" s="17"/>
      <c r="H1699" s="17"/>
      <c r="J1699" s="17"/>
      <c r="K1699" s="17"/>
      <c r="L1699" s="17"/>
      <c r="M1699" s="17"/>
      <c r="N1699" s="17"/>
      <c r="O1699" s="17"/>
    </row>
    <row r="1700" spans="5:15" x14ac:dyDescent="0.25">
      <c r="E1700" s="17"/>
      <c r="F1700" s="17"/>
      <c r="G1700" s="17"/>
      <c r="H1700" s="17"/>
      <c r="J1700" s="17"/>
      <c r="K1700" s="17"/>
      <c r="L1700" s="17"/>
      <c r="M1700" s="17"/>
      <c r="N1700" s="17"/>
      <c r="O1700" s="17"/>
    </row>
    <row r="1701" spans="5:15" x14ac:dyDescent="0.25">
      <c r="E1701" s="17"/>
      <c r="F1701" s="17"/>
      <c r="G1701" s="17"/>
      <c r="H1701" s="17"/>
      <c r="J1701" s="17"/>
      <c r="K1701" s="17"/>
      <c r="L1701" s="17"/>
      <c r="M1701" s="17"/>
      <c r="N1701" s="17"/>
      <c r="O1701" s="17"/>
    </row>
    <row r="1702" spans="5:15" x14ac:dyDescent="0.25">
      <c r="E1702" s="17"/>
      <c r="F1702" s="17"/>
      <c r="G1702" s="17"/>
      <c r="H1702" s="17"/>
      <c r="J1702" s="17"/>
      <c r="K1702" s="17"/>
      <c r="L1702" s="17"/>
      <c r="M1702" s="17"/>
      <c r="N1702" s="17"/>
      <c r="O1702" s="17"/>
    </row>
    <row r="1703" spans="5:15" x14ac:dyDescent="0.25">
      <c r="E1703" s="17"/>
      <c r="F1703" s="17"/>
      <c r="G1703" s="17"/>
      <c r="H1703" s="17"/>
      <c r="J1703" s="17"/>
      <c r="K1703" s="17"/>
      <c r="L1703" s="17"/>
      <c r="M1703" s="17"/>
      <c r="N1703" s="17"/>
      <c r="O1703" s="17"/>
    </row>
    <row r="1704" spans="5:15" x14ac:dyDescent="0.25">
      <c r="E1704" s="17"/>
      <c r="F1704" s="17"/>
      <c r="G1704" s="17"/>
      <c r="H1704" s="17"/>
      <c r="J1704" s="17"/>
      <c r="K1704" s="17"/>
      <c r="L1704" s="17"/>
      <c r="M1704" s="17"/>
      <c r="N1704" s="17"/>
      <c r="O1704" s="17"/>
    </row>
    <row r="1705" spans="5:15" x14ac:dyDescent="0.25">
      <c r="E1705" s="17"/>
      <c r="F1705" s="17"/>
      <c r="G1705" s="17"/>
      <c r="H1705" s="17"/>
      <c r="J1705" s="17"/>
      <c r="K1705" s="17"/>
      <c r="L1705" s="17"/>
      <c r="M1705" s="17"/>
      <c r="N1705" s="17"/>
      <c r="O1705" s="17"/>
    </row>
    <row r="1706" spans="5:15" x14ac:dyDescent="0.25">
      <c r="E1706" s="17"/>
      <c r="F1706" s="17"/>
      <c r="G1706" s="17"/>
      <c r="H1706" s="17"/>
      <c r="J1706" s="17"/>
      <c r="K1706" s="17"/>
      <c r="L1706" s="17"/>
      <c r="M1706" s="17"/>
      <c r="N1706" s="17"/>
      <c r="O1706" s="17"/>
    </row>
    <row r="1707" spans="5:15" x14ac:dyDescent="0.25">
      <c r="E1707" s="17"/>
      <c r="F1707" s="17"/>
      <c r="G1707" s="17"/>
      <c r="H1707" s="17"/>
      <c r="J1707" s="17"/>
      <c r="K1707" s="17"/>
      <c r="L1707" s="17"/>
      <c r="M1707" s="17"/>
      <c r="N1707" s="17"/>
      <c r="O1707" s="17"/>
    </row>
    <row r="1708" spans="5:15" x14ac:dyDescent="0.25">
      <c r="E1708" s="17"/>
      <c r="F1708" s="17"/>
      <c r="G1708" s="17"/>
      <c r="H1708" s="17"/>
      <c r="J1708" s="17"/>
      <c r="K1708" s="17"/>
      <c r="L1708" s="17"/>
      <c r="M1708" s="17"/>
      <c r="N1708" s="17"/>
      <c r="O1708" s="17"/>
    </row>
    <row r="1709" spans="5:15" x14ac:dyDescent="0.25">
      <c r="E1709" s="17"/>
      <c r="F1709" s="17"/>
      <c r="G1709" s="17"/>
      <c r="H1709" s="17"/>
      <c r="J1709" s="17"/>
      <c r="K1709" s="17"/>
      <c r="L1709" s="17"/>
      <c r="M1709" s="17"/>
      <c r="N1709" s="17"/>
      <c r="O1709" s="17"/>
    </row>
    <row r="1710" spans="5:15" x14ac:dyDescent="0.25">
      <c r="E1710" s="17"/>
      <c r="F1710" s="17"/>
      <c r="G1710" s="17"/>
      <c r="H1710" s="17"/>
      <c r="J1710" s="17"/>
      <c r="K1710" s="17"/>
      <c r="L1710" s="17"/>
      <c r="M1710" s="17"/>
      <c r="N1710" s="17"/>
      <c r="O1710" s="17"/>
    </row>
    <row r="1711" spans="5:15" x14ac:dyDescent="0.25">
      <c r="E1711" s="17"/>
      <c r="F1711" s="17"/>
      <c r="G1711" s="17"/>
      <c r="H1711" s="17"/>
      <c r="J1711" s="17"/>
      <c r="K1711" s="17"/>
      <c r="L1711" s="17"/>
      <c r="M1711" s="17"/>
      <c r="N1711" s="17"/>
      <c r="O1711" s="17"/>
    </row>
    <row r="1712" spans="5:15" x14ac:dyDescent="0.25">
      <c r="E1712" s="17"/>
      <c r="F1712" s="17"/>
      <c r="G1712" s="17"/>
      <c r="H1712" s="17"/>
      <c r="J1712" s="17"/>
      <c r="K1712" s="17"/>
      <c r="L1712" s="17"/>
      <c r="M1712" s="17"/>
      <c r="N1712" s="17"/>
      <c r="O1712" s="17"/>
    </row>
    <row r="1713" spans="5:15" x14ac:dyDescent="0.25">
      <c r="E1713" s="17"/>
      <c r="F1713" s="17"/>
      <c r="G1713" s="17"/>
      <c r="H1713" s="17"/>
      <c r="J1713" s="17"/>
      <c r="K1713" s="17"/>
      <c r="L1713" s="17"/>
      <c r="M1713" s="17"/>
      <c r="N1713" s="17"/>
      <c r="O1713" s="17"/>
    </row>
    <row r="1714" spans="5:15" x14ac:dyDescent="0.25">
      <c r="E1714" s="17"/>
      <c r="F1714" s="17"/>
      <c r="G1714" s="17"/>
      <c r="H1714" s="17"/>
      <c r="J1714" s="17"/>
      <c r="K1714" s="17"/>
      <c r="L1714" s="17"/>
      <c r="M1714" s="17"/>
      <c r="N1714" s="17"/>
      <c r="O1714" s="17"/>
    </row>
    <row r="1715" spans="5:15" x14ac:dyDescent="0.25">
      <c r="E1715" s="17"/>
      <c r="F1715" s="17"/>
      <c r="G1715" s="17"/>
      <c r="H1715" s="17"/>
      <c r="J1715" s="17"/>
      <c r="K1715" s="17"/>
      <c r="L1715" s="17"/>
      <c r="M1715" s="17"/>
      <c r="N1715" s="17"/>
      <c r="O1715" s="17"/>
    </row>
    <row r="1716" spans="5:15" x14ac:dyDescent="0.25">
      <c r="E1716" s="17"/>
      <c r="F1716" s="17"/>
      <c r="G1716" s="17"/>
      <c r="H1716" s="17"/>
      <c r="J1716" s="17"/>
      <c r="K1716" s="17"/>
      <c r="L1716" s="17"/>
      <c r="M1716" s="17"/>
      <c r="N1716" s="17"/>
      <c r="O1716" s="17"/>
    </row>
    <row r="1717" spans="5:15" x14ac:dyDescent="0.25">
      <c r="E1717" s="17"/>
      <c r="F1717" s="17"/>
      <c r="G1717" s="17"/>
      <c r="H1717" s="17"/>
      <c r="J1717" s="17"/>
      <c r="K1717" s="17"/>
      <c r="L1717" s="17"/>
      <c r="M1717" s="17"/>
      <c r="N1717" s="17"/>
      <c r="O1717" s="17"/>
    </row>
    <row r="1718" spans="5:15" x14ac:dyDescent="0.25">
      <c r="E1718" s="17"/>
      <c r="F1718" s="17"/>
      <c r="G1718" s="17"/>
      <c r="H1718" s="17"/>
      <c r="J1718" s="17"/>
      <c r="K1718" s="17"/>
      <c r="L1718" s="17"/>
      <c r="M1718" s="17"/>
      <c r="N1718" s="17"/>
      <c r="O1718" s="17"/>
    </row>
    <row r="1719" spans="5:15" x14ac:dyDescent="0.25">
      <c r="E1719" s="17"/>
      <c r="F1719" s="17"/>
      <c r="G1719" s="17"/>
      <c r="H1719" s="17"/>
      <c r="J1719" s="17"/>
      <c r="K1719" s="17"/>
      <c r="L1719" s="17"/>
      <c r="M1719" s="17"/>
      <c r="N1719" s="17"/>
      <c r="O1719" s="17"/>
    </row>
    <row r="1720" spans="5:15" x14ac:dyDescent="0.25">
      <c r="E1720" s="17"/>
      <c r="F1720" s="17"/>
      <c r="G1720" s="17"/>
      <c r="H1720" s="17"/>
      <c r="J1720" s="17"/>
      <c r="K1720" s="17"/>
      <c r="L1720" s="17"/>
      <c r="M1720" s="17"/>
      <c r="N1720" s="17"/>
      <c r="O1720" s="17"/>
    </row>
    <row r="1721" spans="5:15" x14ac:dyDescent="0.25">
      <c r="E1721" s="17"/>
      <c r="F1721" s="17"/>
      <c r="G1721" s="17"/>
      <c r="H1721" s="17"/>
      <c r="J1721" s="17"/>
      <c r="K1721" s="17"/>
      <c r="L1721" s="17"/>
      <c r="M1721" s="17"/>
      <c r="N1721" s="17"/>
      <c r="O1721" s="17"/>
    </row>
    <row r="1722" spans="5:15" x14ac:dyDescent="0.25">
      <c r="E1722" s="17"/>
      <c r="F1722" s="17"/>
      <c r="G1722" s="17"/>
      <c r="H1722" s="17"/>
      <c r="J1722" s="17"/>
      <c r="K1722" s="17"/>
      <c r="L1722" s="17"/>
      <c r="M1722" s="17"/>
      <c r="N1722" s="17"/>
      <c r="O1722" s="17"/>
    </row>
    <row r="1723" spans="5:15" x14ac:dyDescent="0.25">
      <c r="E1723" s="17"/>
      <c r="F1723" s="17"/>
      <c r="G1723" s="17"/>
      <c r="H1723" s="17"/>
      <c r="J1723" s="17"/>
      <c r="K1723" s="17"/>
      <c r="L1723" s="17"/>
      <c r="M1723" s="17"/>
      <c r="N1723" s="17"/>
      <c r="O1723" s="17"/>
    </row>
    <row r="1724" spans="5:15" x14ac:dyDescent="0.25">
      <c r="E1724" s="17"/>
      <c r="F1724" s="17"/>
      <c r="G1724" s="17"/>
      <c r="H1724" s="17"/>
      <c r="J1724" s="17"/>
      <c r="K1724" s="17"/>
      <c r="L1724" s="17"/>
      <c r="M1724" s="17"/>
      <c r="N1724" s="17"/>
      <c r="O1724" s="17"/>
    </row>
    <row r="1725" spans="5:15" x14ac:dyDescent="0.25">
      <c r="E1725" s="17"/>
      <c r="F1725" s="17"/>
      <c r="G1725" s="17"/>
      <c r="H1725" s="17"/>
      <c r="J1725" s="17"/>
      <c r="K1725" s="17"/>
      <c r="L1725" s="17"/>
      <c r="M1725" s="17"/>
      <c r="N1725" s="17"/>
      <c r="O1725" s="17"/>
    </row>
    <row r="1726" spans="5:15" x14ac:dyDescent="0.25">
      <c r="E1726" s="17"/>
      <c r="F1726" s="17"/>
      <c r="G1726" s="17"/>
      <c r="H1726" s="17"/>
      <c r="J1726" s="17"/>
      <c r="K1726" s="17"/>
      <c r="L1726" s="17"/>
      <c r="M1726" s="17"/>
      <c r="N1726" s="17"/>
      <c r="O1726" s="17"/>
    </row>
    <row r="1727" spans="5:15" x14ac:dyDescent="0.25">
      <c r="E1727" s="17"/>
      <c r="F1727" s="17"/>
      <c r="G1727" s="17"/>
      <c r="H1727" s="17"/>
      <c r="J1727" s="17"/>
      <c r="K1727" s="17"/>
      <c r="L1727" s="17"/>
      <c r="M1727" s="17"/>
      <c r="N1727" s="17"/>
      <c r="O1727" s="17"/>
    </row>
    <row r="1728" spans="5:15" x14ac:dyDescent="0.25">
      <c r="E1728" s="17"/>
      <c r="F1728" s="17"/>
      <c r="G1728" s="17"/>
      <c r="H1728" s="17"/>
      <c r="J1728" s="17"/>
      <c r="K1728" s="17"/>
      <c r="L1728" s="17"/>
      <c r="M1728" s="17"/>
      <c r="N1728" s="17"/>
      <c r="O1728" s="17"/>
    </row>
    <row r="1729" spans="5:15" x14ac:dyDescent="0.25">
      <c r="E1729" s="17"/>
      <c r="F1729" s="17"/>
      <c r="G1729" s="17"/>
      <c r="H1729" s="17"/>
      <c r="J1729" s="17"/>
      <c r="K1729" s="17"/>
      <c r="L1729" s="17"/>
      <c r="M1729" s="17"/>
      <c r="N1729" s="17"/>
      <c r="O1729" s="17"/>
    </row>
    <row r="1730" spans="5:15" x14ac:dyDescent="0.25">
      <c r="E1730" s="17"/>
      <c r="F1730" s="17"/>
      <c r="G1730" s="17"/>
      <c r="H1730" s="17"/>
      <c r="J1730" s="17"/>
      <c r="K1730" s="17"/>
      <c r="L1730" s="17"/>
      <c r="M1730" s="17"/>
      <c r="N1730" s="17"/>
      <c r="O1730" s="17"/>
    </row>
    <row r="1731" spans="5:15" x14ac:dyDescent="0.25">
      <c r="E1731" s="17"/>
      <c r="F1731" s="17"/>
      <c r="G1731" s="17"/>
      <c r="H1731" s="17"/>
      <c r="J1731" s="17"/>
      <c r="K1731" s="17"/>
      <c r="L1731" s="17"/>
      <c r="M1731" s="17"/>
      <c r="N1731" s="17"/>
      <c r="O1731" s="17"/>
    </row>
    <row r="1732" spans="5:15" x14ac:dyDescent="0.25">
      <c r="E1732" s="17"/>
      <c r="F1732" s="17"/>
      <c r="G1732" s="17"/>
      <c r="H1732" s="17"/>
      <c r="J1732" s="17"/>
      <c r="K1732" s="17"/>
      <c r="L1732" s="17"/>
      <c r="M1732" s="17"/>
      <c r="N1732" s="17"/>
      <c r="O1732" s="17"/>
    </row>
    <row r="1733" spans="5:15" x14ac:dyDescent="0.25">
      <c r="E1733" s="17"/>
      <c r="F1733" s="17"/>
      <c r="G1733" s="17"/>
      <c r="H1733" s="17"/>
      <c r="J1733" s="17"/>
      <c r="K1733" s="17"/>
      <c r="L1733" s="17"/>
      <c r="M1733" s="17"/>
      <c r="N1733" s="17"/>
      <c r="O1733" s="17"/>
    </row>
    <row r="1734" spans="5:15" x14ac:dyDescent="0.25">
      <c r="E1734" s="17"/>
      <c r="F1734" s="17"/>
      <c r="G1734" s="17"/>
      <c r="H1734" s="17"/>
      <c r="J1734" s="17"/>
      <c r="K1734" s="17"/>
      <c r="L1734" s="17"/>
      <c r="M1734" s="17"/>
      <c r="N1734" s="17"/>
      <c r="O1734" s="17"/>
    </row>
    <row r="1735" spans="5:15" x14ac:dyDescent="0.25">
      <c r="E1735" s="17"/>
      <c r="F1735" s="17"/>
      <c r="G1735" s="17"/>
      <c r="H1735" s="17"/>
      <c r="J1735" s="17"/>
      <c r="K1735" s="17"/>
      <c r="L1735" s="17"/>
      <c r="M1735" s="17"/>
      <c r="N1735" s="17"/>
      <c r="O1735" s="17"/>
    </row>
    <row r="1736" spans="5:15" x14ac:dyDescent="0.25">
      <c r="E1736" s="17"/>
      <c r="F1736" s="17"/>
      <c r="G1736" s="17"/>
      <c r="H1736" s="17"/>
      <c r="J1736" s="17"/>
      <c r="K1736" s="17"/>
      <c r="L1736" s="17"/>
      <c r="M1736" s="17"/>
      <c r="N1736" s="17"/>
      <c r="O1736" s="17"/>
    </row>
    <row r="1737" spans="5:15" x14ac:dyDescent="0.25">
      <c r="E1737" s="17"/>
      <c r="F1737" s="17"/>
      <c r="G1737" s="17"/>
      <c r="H1737" s="17"/>
      <c r="J1737" s="17"/>
      <c r="K1737" s="17"/>
      <c r="L1737" s="17"/>
      <c r="M1737" s="17"/>
      <c r="N1737" s="17"/>
      <c r="O1737" s="17"/>
    </row>
    <row r="1738" spans="5:15" x14ac:dyDescent="0.25">
      <c r="E1738" s="17"/>
      <c r="F1738" s="17"/>
      <c r="G1738" s="17"/>
      <c r="H1738" s="17"/>
      <c r="J1738" s="17"/>
      <c r="K1738" s="17"/>
      <c r="L1738" s="17"/>
      <c r="M1738" s="17"/>
      <c r="N1738" s="17"/>
      <c r="O1738" s="17"/>
    </row>
    <row r="1739" spans="5:15" x14ac:dyDescent="0.25">
      <c r="E1739" s="17"/>
      <c r="F1739" s="17"/>
      <c r="G1739" s="17"/>
      <c r="H1739" s="17"/>
      <c r="J1739" s="17"/>
      <c r="K1739" s="17"/>
      <c r="L1739" s="17"/>
      <c r="M1739" s="17"/>
      <c r="N1739" s="17"/>
      <c r="O1739" s="17"/>
    </row>
    <row r="1740" spans="5:15" x14ac:dyDescent="0.25">
      <c r="E1740" s="17"/>
      <c r="F1740" s="17"/>
      <c r="G1740" s="17"/>
      <c r="H1740" s="17"/>
      <c r="J1740" s="17"/>
      <c r="K1740" s="17"/>
      <c r="L1740" s="17"/>
      <c r="M1740" s="17"/>
      <c r="N1740" s="17"/>
      <c r="O1740" s="17"/>
    </row>
    <row r="1741" spans="5:15" x14ac:dyDescent="0.25">
      <c r="E1741" s="17"/>
      <c r="F1741" s="17"/>
      <c r="G1741" s="17"/>
      <c r="H1741" s="17"/>
      <c r="J1741" s="17"/>
      <c r="K1741" s="17"/>
      <c r="L1741" s="17"/>
      <c r="M1741" s="17"/>
      <c r="N1741" s="17"/>
      <c r="O1741" s="17"/>
    </row>
    <row r="1742" spans="5:15" x14ac:dyDescent="0.25">
      <c r="E1742" s="17"/>
      <c r="F1742" s="17"/>
      <c r="G1742" s="17"/>
      <c r="H1742" s="17"/>
      <c r="J1742" s="17"/>
      <c r="K1742" s="17"/>
      <c r="L1742" s="17"/>
      <c r="M1742" s="17"/>
      <c r="N1742" s="17"/>
      <c r="O1742" s="17"/>
    </row>
    <row r="1743" spans="5:15" x14ac:dyDescent="0.25">
      <c r="E1743" s="17"/>
      <c r="F1743" s="17"/>
      <c r="G1743" s="17"/>
      <c r="H1743" s="17"/>
      <c r="J1743" s="17"/>
      <c r="K1743" s="17"/>
      <c r="L1743" s="17"/>
      <c r="M1743" s="17"/>
      <c r="N1743" s="17"/>
      <c r="O1743" s="17"/>
    </row>
    <row r="1744" spans="5:15" x14ac:dyDescent="0.25">
      <c r="E1744" s="17"/>
      <c r="F1744" s="17"/>
      <c r="G1744" s="17"/>
      <c r="H1744" s="17"/>
      <c r="J1744" s="17"/>
      <c r="K1744" s="17"/>
      <c r="L1744" s="17"/>
      <c r="M1744" s="17"/>
      <c r="N1744" s="17"/>
      <c r="O1744" s="17"/>
    </row>
    <row r="1745" spans="5:15" x14ac:dyDescent="0.25">
      <c r="E1745" s="17"/>
      <c r="F1745" s="17"/>
      <c r="G1745" s="17"/>
      <c r="H1745" s="17"/>
      <c r="J1745" s="17"/>
      <c r="K1745" s="17"/>
      <c r="L1745" s="17"/>
      <c r="M1745" s="17"/>
      <c r="N1745" s="17"/>
      <c r="O1745" s="17"/>
    </row>
    <row r="1746" spans="5:15" x14ac:dyDescent="0.25">
      <c r="E1746" s="17"/>
      <c r="F1746" s="17"/>
      <c r="G1746" s="17"/>
      <c r="H1746" s="17"/>
      <c r="J1746" s="17"/>
      <c r="K1746" s="17"/>
      <c r="L1746" s="17"/>
      <c r="M1746" s="17"/>
      <c r="N1746" s="17"/>
      <c r="O1746" s="17"/>
    </row>
    <row r="1747" spans="5:15" x14ac:dyDescent="0.25">
      <c r="E1747" s="17"/>
      <c r="F1747" s="17"/>
      <c r="G1747" s="17"/>
      <c r="H1747" s="17"/>
      <c r="J1747" s="17"/>
      <c r="K1747" s="17"/>
      <c r="L1747" s="17"/>
      <c r="M1747" s="17"/>
      <c r="N1747" s="17"/>
      <c r="O1747" s="17"/>
    </row>
    <row r="1748" spans="5:15" x14ac:dyDescent="0.25">
      <c r="E1748" s="17"/>
      <c r="F1748" s="17"/>
      <c r="G1748" s="17"/>
      <c r="H1748" s="17"/>
      <c r="J1748" s="17"/>
      <c r="K1748" s="17"/>
      <c r="L1748" s="17"/>
      <c r="M1748" s="17"/>
      <c r="N1748" s="17"/>
      <c r="O1748" s="17"/>
    </row>
    <row r="1749" spans="5:15" x14ac:dyDescent="0.25">
      <c r="E1749" s="17"/>
      <c r="F1749" s="17"/>
      <c r="G1749" s="17"/>
      <c r="H1749" s="17"/>
      <c r="J1749" s="17"/>
      <c r="K1749" s="17"/>
      <c r="L1749" s="17"/>
      <c r="M1749" s="17"/>
      <c r="N1749" s="17"/>
      <c r="O1749" s="17"/>
    </row>
    <row r="1750" spans="5:15" x14ac:dyDescent="0.25">
      <c r="E1750" s="17"/>
      <c r="F1750" s="17"/>
      <c r="G1750" s="17"/>
      <c r="H1750" s="17"/>
      <c r="J1750" s="17"/>
      <c r="K1750" s="17"/>
      <c r="L1750" s="17"/>
      <c r="M1750" s="17"/>
      <c r="N1750" s="17"/>
      <c r="O1750" s="17"/>
    </row>
    <row r="1751" spans="5:15" x14ac:dyDescent="0.25">
      <c r="E1751" s="17"/>
      <c r="F1751" s="17"/>
      <c r="G1751" s="17"/>
      <c r="H1751" s="17"/>
      <c r="J1751" s="17"/>
      <c r="K1751" s="17"/>
      <c r="L1751" s="17"/>
      <c r="M1751" s="17"/>
      <c r="N1751" s="17"/>
      <c r="O1751" s="17"/>
    </row>
    <row r="1752" spans="5:15" x14ac:dyDescent="0.25">
      <c r="E1752" s="17"/>
      <c r="F1752" s="17"/>
      <c r="G1752" s="17"/>
      <c r="H1752" s="17"/>
      <c r="J1752" s="17"/>
      <c r="K1752" s="17"/>
      <c r="L1752" s="17"/>
      <c r="M1752" s="17"/>
      <c r="N1752" s="17"/>
      <c r="O1752" s="17"/>
    </row>
    <row r="1753" spans="5:15" x14ac:dyDescent="0.25">
      <c r="E1753" s="17"/>
      <c r="F1753" s="17"/>
      <c r="G1753" s="17"/>
      <c r="H1753" s="17"/>
      <c r="J1753" s="17"/>
      <c r="K1753" s="17"/>
      <c r="L1753" s="17"/>
      <c r="M1753" s="17"/>
      <c r="N1753" s="17"/>
      <c r="O1753" s="17"/>
    </row>
    <row r="1754" spans="5:15" x14ac:dyDescent="0.25">
      <c r="E1754" s="17"/>
      <c r="F1754" s="17"/>
      <c r="G1754" s="17"/>
      <c r="H1754" s="17"/>
      <c r="J1754" s="17"/>
      <c r="K1754" s="17"/>
      <c r="L1754" s="17"/>
      <c r="M1754" s="17"/>
      <c r="N1754" s="17"/>
      <c r="O1754" s="17"/>
    </row>
    <row r="1755" spans="5:15" x14ac:dyDescent="0.25">
      <c r="E1755" s="17"/>
      <c r="F1755" s="17"/>
      <c r="G1755" s="17"/>
      <c r="H1755" s="17"/>
      <c r="J1755" s="17"/>
      <c r="K1755" s="17"/>
      <c r="L1755" s="17"/>
      <c r="M1755" s="17"/>
      <c r="N1755" s="17"/>
      <c r="O1755" s="17"/>
    </row>
    <row r="1756" spans="5:15" x14ac:dyDescent="0.25">
      <c r="E1756" s="17"/>
      <c r="F1756" s="17"/>
      <c r="G1756" s="17"/>
      <c r="H1756" s="17"/>
      <c r="J1756" s="17"/>
      <c r="K1756" s="17"/>
      <c r="L1756" s="17"/>
      <c r="M1756" s="17"/>
      <c r="N1756" s="17"/>
      <c r="O1756" s="17"/>
    </row>
    <row r="1757" spans="5:15" x14ac:dyDescent="0.25">
      <c r="E1757" s="17"/>
      <c r="F1757" s="17"/>
      <c r="G1757" s="17"/>
      <c r="H1757" s="17"/>
      <c r="J1757" s="17"/>
      <c r="K1757" s="17"/>
      <c r="L1757" s="17"/>
      <c r="M1757" s="17"/>
      <c r="N1757" s="17"/>
      <c r="O1757" s="17"/>
    </row>
    <row r="1758" spans="5:15" x14ac:dyDescent="0.25">
      <c r="E1758" s="17"/>
      <c r="F1758" s="17"/>
      <c r="G1758" s="17"/>
      <c r="H1758" s="17"/>
      <c r="J1758" s="17"/>
      <c r="K1758" s="17"/>
      <c r="L1758" s="17"/>
      <c r="M1758" s="17"/>
      <c r="N1758" s="17"/>
      <c r="O1758" s="17"/>
    </row>
    <row r="1759" spans="5:15" x14ac:dyDescent="0.25">
      <c r="E1759" s="17"/>
      <c r="F1759" s="17"/>
      <c r="G1759" s="17"/>
      <c r="H1759" s="17"/>
      <c r="J1759" s="17"/>
      <c r="K1759" s="17"/>
      <c r="L1759" s="17"/>
      <c r="M1759" s="17"/>
      <c r="N1759" s="17"/>
      <c r="O1759" s="17"/>
    </row>
    <row r="1760" spans="5:15" x14ac:dyDescent="0.25">
      <c r="E1760" s="17"/>
      <c r="F1760" s="17"/>
      <c r="G1760" s="17"/>
      <c r="H1760" s="17"/>
      <c r="J1760" s="17"/>
      <c r="K1760" s="17"/>
      <c r="L1760" s="17"/>
      <c r="M1760" s="17"/>
      <c r="N1760" s="17"/>
      <c r="O1760" s="17"/>
    </row>
    <row r="1761" spans="5:15" x14ac:dyDescent="0.25">
      <c r="E1761" s="17"/>
      <c r="F1761" s="17"/>
      <c r="G1761" s="17"/>
      <c r="H1761" s="17"/>
      <c r="J1761" s="17"/>
      <c r="K1761" s="17"/>
      <c r="L1761" s="17"/>
      <c r="M1761" s="17"/>
      <c r="N1761" s="17"/>
      <c r="O1761" s="17"/>
    </row>
    <row r="1762" spans="5:15" x14ac:dyDescent="0.25">
      <c r="E1762" s="17"/>
      <c r="F1762" s="17"/>
      <c r="G1762" s="17"/>
      <c r="H1762" s="17"/>
      <c r="J1762" s="17"/>
      <c r="K1762" s="17"/>
      <c r="L1762" s="17"/>
      <c r="M1762" s="17"/>
      <c r="N1762" s="17"/>
      <c r="O1762" s="17"/>
    </row>
    <row r="1763" spans="5:15" x14ac:dyDescent="0.25">
      <c r="E1763" s="17"/>
      <c r="F1763" s="17"/>
      <c r="G1763" s="17"/>
      <c r="H1763" s="17"/>
      <c r="J1763" s="17"/>
      <c r="K1763" s="17"/>
      <c r="L1763" s="17"/>
      <c r="M1763" s="17"/>
      <c r="N1763" s="17"/>
      <c r="O1763" s="17"/>
    </row>
    <row r="1764" spans="5:15" x14ac:dyDescent="0.25">
      <c r="E1764" s="17"/>
      <c r="F1764" s="17"/>
      <c r="G1764" s="17"/>
      <c r="H1764" s="17"/>
      <c r="J1764" s="17"/>
      <c r="K1764" s="17"/>
      <c r="L1764" s="17"/>
      <c r="M1764" s="17"/>
      <c r="N1764" s="17"/>
      <c r="O1764" s="17"/>
    </row>
    <row r="1765" spans="5:15" x14ac:dyDescent="0.25">
      <c r="E1765" s="17"/>
      <c r="F1765" s="17"/>
      <c r="G1765" s="17"/>
      <c r="H1765" s="17"/>
      <c r="J1765" s="17"/>
      <c r="K1765" s="17"/>
      <c r="L1765" s="17"/>
      <c r="M1765" s="17"/>
      <c r="N1765" s="17"/>
      <c r="O1765" s="17"/>
    </row>
    <row r="1766" spans="5:15" x14ac:dyDescent="0.25">
      <c r="E1766" s="17"/>
      <c r="F1766" s="17"/>
      <c r="G1766" s="17"/>
      <c r="H1766" s="17"/>
      <c r="J1766" s="17"/>
      <c r="K1766" s="17"/>
      <c r="L1766" s="17"/>
      <c r="M1766" s="17"/>
      <c r="N1766" s="17"/>
      <c r="O1766" s="17"/>
    </row>
    <row r="1767" spans="5:15" x14ac:dyDescent="0.25">
      <c r="E1767" s="17"/>
      <c r="F1767" s="17"/>
      <c r="G1767" s="17"/>
      <c r="H1767" s="17"/>
      <c r="J1767" s="17"/>
      <c r="K1767" s="17"/>
      <c r="L1767" s="17"/>
      <c r="M1767" s="17"/>
      <c r="N1767" s="17"/>
      <c r="O1767" s="17"/>
    </row>
    <row r="1768" spans="5:15" x14ac:dyDescent="0.25">
      <c r="E1768" s="17"/>
      <c r="F1768" s="17"/>
      <c r="G1768" s="17"/>
      <c r="H1768" s="17"/>
      <c r="J1768" s="17"/>
      <c r="K1768" s="17"/>
      <c r="L1768" s="17"/>
      <c r="M1768" s="17"/>
      <c r="N1768" s="17"/>
      <c r="O1768" s="17"/>
    </row>
    <row r="1769" spans="5:15" x14ac:dyDescent="0.25">
      <c r="E1769" s="17"/>
      <c r="F1769" s="17"/>
      <c r="G1769" s="17"/>
      <c r="H1769" s="17"/>
      <c r="J1769" s="17"/>
      <c r="K1769" s="17"/>
      <c r="L1769" s="17"/>
      <c r="M1769" s="17"/>
      <c r="N1769" s="17"/>
      <c r="O1769" s="17"/>
    </row>
    <row r="1770" spans="5:15" x14ac:dyDescent="0.25">
      <c r="E1770" s="17"/>
      <c r="F1770" s="17"/>
      <c r="G1770" s="17"/>
      <c r="H1770" s="17"/>
      <c r="J1770" s="17"/>
      <c r="K1770" s="17"/>
      <c r="L1770" s="17"/>
      <c r="M1770" s="17"/>
      <c r="N1770" s="17"/>
      <c r="O1770" s="17"/>
    </row>
    <row r="1771" spans="5:15" x14ac:dyDescent="0.25">
      <c r="E1771" s="17"/>
      <c r="F1771" s="17"/>
      <c r="G1771" s="17"/>
      <c r="H1771" s="17"/>
      <c r="J1771" s="17"/>
      <c r="K1771" s="17"/>
      <c r="L1771" s="17"/>
      <c r="M1771" s="17"/>
      <c r="N1771" s="17"/>
      <c r="O1771" s="17"/>
    </row>
    <row r="1772" spans="5:15" x14ac:dyDescent="0.25">
      <c r="E1772" s="17"/>
      <c r="F1772" s="17"/>
      <c r="G1772" s="17"/>
      <c r="H1772" s="17"/>
      <c r="J1772" s="17"/>
      <c r="K1772" s="17"/>
      <c r="L1772" s="17"/>
      <c r="M1772" s="17"/>
      <c r="N1772" s="17"/>
      <c r="O1772" s="17"/>
    </row>
    <row r="1773" spans="5:15" x14ac:dyDescent="0.25">
      <c r="E1773" s="17"/>
      <c r="F1773" s="17"/>
      <c r="G1773" s="17"/>
      <c r="H1773" s="17"/>
      <c r="J1773" s="17"/>
      <c r="K1773" s="17"/>
      <c r="L1773" s="17"/>
      <c r="M1773" s="17"/>
      <c r="N1773" s="17"/>
      <c r="O1773" s="17"/>
    </row>
    <row r="1774" spans="5:15" x14ac:dyDescent="0.25">
      <c r="E1774" s="17"/>
      <c r="F1774" s="17"/>
      <c r="G1774" s="17"/>
      <c r="H1774" s="17"/>
      <c r="J1774" s="17"/>
      <c r="K1774" s="17"/>
      <c r="L1774" s="17"/>
      <c r="M1774" s="17"/>
      <c r="N1774" s="17"/>
      <c r="O1774" s="17"/>
    </row>
    <row r="1775" spans="5:15" x14ac:dyDescent="0.25">
      <c r="E1775" s="17"/>
      <c r="F1775" s="17"/>
      <c r="G1775" s="17"/>
      <c r="H1775" s="17"/>
      <c r="J1775" s="17"/>
      <c r="K1775" s="17"/>
      <c r="L1775" s="17"/>
      <c r="M1775" s="17"/>
      <c r="N1775" s="17"/>
      <c r="O1775" s="17"/>
    </row>
    <row r="1776" spans="5:15" x14ac:dyDescent="0.25">
      <c r="E1776" s="17"/>
      <c r="F1776" s="17"/>
      <c r="G1776" s="17"/>
      <c r="H1776" s="17"/>
      <c r="J1776" s="17"/>
      <c r="K1776" s="17"/>
      <c r="L1776" s="17"/>
      <c r="M1776" s="17"/>
      <c r="N1776" s="17"/>
      <c r="O1776" s="17"/>
    </row>
    <row r="1777" spans="5:15" x14ac:dyDescent="0.25">
      <c r="E1777" s="17"/>
      <c r="F1777" s="17"/>
      <c r="G1777" s="17"/>
      <c r="H1777" s="17"/>
      <c r="J1777" s="17"/>
      <c r="K1777" s="17"/>
      <c r="L1777" s="17"/>
      <c r="M1777" s="17"/>
      <c r="N1777" s="17"/>
      <c r="O1777" s="17"/>
    </row>
    <row r="1778" spans="5:15" x14ac:dyDescent="0.25">
      <c r="E1778" s="17"/>
      <c r="F1778" s="17"/>
      <c r="G1778" s="17"/>
      <c r="H1778" s="17"/>
      <c r="J1778" s="17"/>
      <c r="K1778" s="17"/>
      <c r="L1778" s="17"/>
      <c r="M1778" s="17"/>
      <c r="N1778" s="17"/>
      <c r="O1778" s="17"/>
    </row>
    <row r="1779" spans="5:15" x14ac:dyDescent="0.25">
      <c r="E1779" s="17"/>
      <c r="F1779" s="17"/>
      <c r="G1779" s="17"/>
      <c r="H1779" s="17"/>
      <c r="J1779" s="17"/>
      <c r="K1779" s="17"/>
      <c r="L1779" s="17"/>
      <c r="M1779" s="17"/>
      <c r="N1779" s="17"/>
      <c r="O1779" s="17"/>
    </row>
    <row r="1780" spans="5:15" x14ac:dyDescent="0.25">
      <c r="E1780" s="17"/>
      <c r="F1780" s="17"/>
      <c r="G1780" s="17"/>
      <c r="H1780" s="17"/>
      <c r="J1780" s="17"/>
      <c r="K1780" s="17"/>
      <c r="L1780" s="17"/>
      <c r="M1780" s="17"/>
      <c r="N1780" s="17"/>
      <c r="O1780" s="17"/>
    </row>
    <row r="1781" spans="5:15" x14ac:dyDescent="0.25">
      <c r="E1781" s="17"/>
      <c r="F1781" s="17"/>
      <c r="G1781" s="17"/>
      <c r="H1781" s="17"/>
      <c r="J1781" s="17"/>
      <c r="K1781" s="17"/>
      <c r="L1781" s="17"/>
      <c r="M1781" s="17"/>
      <c r="N1781" s="17"/>
      <c r="O1781" s="17"/>
    </row>
    <row r="1782" spans="5:15" x14ac:dyDescent="0.25">
      <c r="E1782" s="17"/>
      <c r="F1782" s="17"/>
      <c r="G1782" s="17"/>
      <c r="H1782" s="17"/>
      <c r="J1782" s="17"/>
      <c r="K1782" s="17"/>
      <c r="L1782" s="17"/>
      <c r="M1782" s="17"/>
      <c r="N1782" s="17"/>
      <c r="O1782" s="17"/>
    </row>
    <row r="1783" spans="5:15" x14ac:dyDescent="0.25">
      <c r="E1783" s="17"/>
      <c r="F1783" s="17"/>
      <c r="G1783" s="17"/>
      <c r="H1783" s="17"/>
      <c r="J1783" s="17"/>
      <c r="K1783" s="17"/>
      <c r="L1783" s="17"/>
      <c r="M1783" s="17"/>
      <c r="N1783" s="17"/>
      <c r="O1783" s="17"/>
    </row>
    <row r="1784" spans="5:15" x14ac:dyDescent="0.25">
      <c r="E1784" s="17"/>
      <c r="F1784" s="17"/>
      <c r="G1784" s="17"/>
      <c r="H1784" s="17"/>
      <c r="J1784" s="17"/>
      <c r="K1784" s="17"/>
      <c r="L1784" s="17"/>
      <c r="M1784" s="17"/>
      <c r="N1784" s="17"/>
      <c r="O1784" s="17"/>
    </row>
    <row r="1785" spans="5:15" x14ac:dyDescent="0.25">
      <c r="E1785" s="17"/>
      <c r="F1785" s="17"/>
      <c r="G1785" s="17"/>
      <c r="H1785" s="17"/>
      <c r="J1785" s="17"/>
      <c r="K1785" s="17"/>
      <c r="L1785" s="17"/>
      <c r="M1785" s="17"/>
      <c r="N1785" s="17"/>
      <c r="O1785" s="17"/>
    </row>
    <row r="1786" spans="5:15" x14ac:dyDescent="0.25">
      <c r="E1786" s="17"/>
      <c r="F1786" s="17"/>
      <c r="G1786" s="17"/>
      <c r="H1786" s="17"/>
      <c r="J1786" s="17"/>
      <c r="K1786" s="17"/>
      <c r="L1786" s="17"/>
      <c r="M1786" s="17"/>
      <c r="N1786" s="17"/>
      <c r="O1786" s="17"/>
    </row>
    <row r="1787" spans="5:15" x14ac:dyDescent="0.25">
      <c r="E1787" s="17"/>
      <c r="F1787" s="17"/>
      <c r="G1787" s="17"/>
      <c r="H1787" s="17"/>
      <c r="J1787" s="17"/>
      <c r="K1787" s="17"/>
      <c r="L1787" s="17"/>
      <c r="M1787" s="17"/>
      <c r="N1787" s="17"/>
      <c r="O1787" s="17"/>
    </row>
    <row r="1788" spans="5:15" x14ac:dyDescent="0.25">
      <c r="E1788" s="17"/>
      <c r="F1788" s="17"/>
      <c r="G1788" s="17"/>
      <c r="H1788" s="17"/>
      <c r="J1788" s="17"/>
      <c r="K1788" s="17"/>
      <c r="L1788" s="17"/>
      <c r="M1788" s="17"/>
      <c r="N1788" s="17"/>
      <c r="O1788" s="17"/>
    </row>
    <row r="1789" spans="5:15" x14ac:dyDescent="0.25">
      <c r="E1789" s="17"/>
      <c r="F1789" s="17"/>
      <c r="G1789" s="17"/>
      <c r="H1789" s="17"/>
      <c r="J1789" s="17"/>
      <c r="K1789" s="17"/>
      <c r="L1789" s="17"/>
      <c r="M1789" s="17"/>
      <c r="N1789" s="17"/>
      <c r="O1789" s="17"/>
    </row>
    <row r="1790" spans="5:15" x14ac:dyDescent="0.25">
      <c r="E1790" s="17"/>
      <c r="F1790" s="17"/>
      <c r="G1790" s="17"/>
      <c r="H1790" s="17"/>
      <c r="J1790" s="17"/>
      <c r="K1790" s="17"/>
      <c r="L1790" s="17"/>
      <c r="M1790" s="17"/>
      <c r="N1790" s="17"/>
      <c r="O1790" s="17"/>
    </row>
    <row r="1791" spans="5:15" x14ac:dyDescent="0.25">
      <c r="E1791" s="17"/>
      <c r="F1791" s="17"/>
      <c r="G1791" s="17"/>
      <c r="H1791" s="17"/>
      <c r="J1791" s="17"/>
      <c r="K1791" s="17"/>
      <c r="L1791" s="17"/>
      <c r="M1791" s="17"/>
      <c r="N1791" s="17"/>
      <c r="O1791" s="17"/>
    </row>
    <row r="1792" spans="5:15" x14ac:dyDescent="0.25">
      <c r="E1792" s="17"/>
      <c r="F1792" s="17"/>
      <c r="G1792" s="17"/>
      <c r="H1792" s="17"/>
      <c r="J1792" s="17"/>
      <c r="K1792" s="17"/>
      <c r="L1792" s="17"/>
      <c r="M1792" s="17"/>
      <c r="N1792" s="17"/>
      <c r="O1792" s="17"/>
    </row>
    <row r="1793" spans="5:15" x14ac:dyDescent="0.25">
      <c r="E1793" s="17"/>
      <c r="F1793" s="17"/>
      <c r="G1793" s="17"/>
      <c r="H1793" s="17"/>
      <c r="J1793" s="17"/>
      <c r="K1793" s="17"/>
      <c r="L1793" s="17"/>
      <c r="M1793" s="17"/>
      <c r="N1793" s="17"/>
      <c r="O1793" s="17"/>
    </row>
    <row r="1794" spans="5:15" x14ac:dyDescent="0.25">
      <c r="E1794" s="17"/>
      <c r="F1794" s="17"/>
      <c r="G1794" s="17"/>
      <c r="H1794" s="17"/>
      <c r="J1794" s="17"/>
      <c r="K1794" s="17"/>
      <c r="L1794" s="17"/>
      <c r="M1794" s="17"/>
      <c r="N1794" s="17"/>
      <c r="O1794" s="17"/>
    </row>
    <row r="1795" spans="5:15" x14ac:dyDescent="0.25">
      <c r="E1795" s="17"/>
      <c r="F1795" s="17"/>
      <c r="G1795" s="17"/>
      <c r="H1795" s="17"/>
      <c r="J1795" s="17"/>
      <c r="K1795" s="17"/>
      <c r="L1795" s="17"/>
      <c r="M1795" s="17"/>
      <c r="N1795" s="17"/>
      <c r="O1795" s="17"/>
    </row>
    <row r="1796" spans="5:15" x14ac:dyDescent="0.25">
      <c r="E1796" s="17"/>
      <c r="F1796" s="17"/>
      <c r="G1796" s="17"/>
      <c r="H1796" s="17"/>
      <c r="J1796" s="17"/>
      <c r="K1796" s="17"/>
      <c r="L1796" s="17"/>
      <c r="M1796" s="17"/>
      <c r="N1796" s="17"/>
      <c r="O1796" s="17"/>
    </row>
    <row r="1797" spans="5:15" x14ac:dyDescent="0.25">
      <c r="E1797" s="17"/>
      <c r="F1797" s="17"/>
      <c r="G1797" s="17"/>
      <c r="H1797" s="17"/>
      <c r="J1797" s="17"/>
      <c r="K1797" s="17"/>
      <c r="L1797" s="17"/>
      <c r="M1797" s="17"/>
      <c r="N1797" s="17"/>
      <c r="O1797" s="17"/>
    </row>
    <row r="1798" spans="5:15" x14ac:dyDescent="0.25">
      <c r="E1798" s="17"/>
      <c r="F1798" s="17"/>
      <c r="G1798" s="17"/>
      <c r="H1798" s="17"/>
      <c r="J1798" s="17"/>
      <c r="K1798" s="17"/>
      <c r="L1798" s="17"/>
      <c r="M1798" s="17"/>
      <c r="N1798" s="17"/>
      <c r="O1798" s="17"/>
    </row>
    <row r="1799" spans="5:15" x14ac:dyDescent="0.25">
      <c r="E1799" s="17"/>
      <c r="F1799" s="17"/>
      <c r="G1799" s="17"/>
      <c r="H1799" s="17"/>
      <c r="J1799" s="17"/>
      <c r="K1799" s="17"/>
      <c r="L1799" s="17"/>
      <c r="M1799" s="17"/>
      <c r="N1799" s="17"/>
      <c r="O1799" s="17"/>
    </row>
    <row r="1800" spans="5:15" x14ac:dyDescent="0.25">
      <c r="E1800" s="17"/>
      <c r="F1800" s="17"/>
      <c r="G1800" s="17"/>
      <c r="H1800" s="17"/>
      <c r="J1800" s="17"/>
      <c r="K1800" s="17"/>
      <c r="L1800" s="17"/>
      <c r="M1800" s="17"/>
      <c r="N1800" s="17"/>
      <c r="O1800" s="17"/>
    </row>
    <row r="1801" spans="5:15" x14ac:dyDescent="0.25">
      <c r="E1801" s="17"/>
      <c r="F1801" s="17"/>
      <c r="G1801" s="17"/>
      <c r="H1801" s="17"/>
      <c r="J1801" s="17"/>
      <c r="K1801" s="17"/>
      <c r="L1801" s="17"/>
      <c r="M1801" s="17"/>
      <c r="N1801" s="17"/>
      <c r="O1801" s="17"/>
    </row>
    <row r="1802" spans="5:15" x14ac:dyDescent="0.25">
      <c r="E1802" s="17"/>
      <c r="F1802" s="17"/>
      <c r="G1802" s="17"/>
      <c r="H1802" s="17"/>
      <c r="J1802" s="17"/>
      <c r="K1802" s="17"/>
      <c r="L1802" s="17"/>
      <c r="M1802" s="17"/>
      <c r="N1802" s="17"/>
      <c r="O1802" s="17"/>
    </row>
    <row r="1803" spans="5:15" x14ac:dyDescent="0.25">
      <c r="E1803" s="17"/>
      <c r="F1803" s="17"/>
      <c r="G1803" s="17"/>
      <c r="H1803" s="17"/>
      <c r="J1803" s="17"/>
      <c r="K1803" s="17"/>
      <c r="L1803" s="17"/>
      <c r="M1803" s="17"/>
      <c r="N1803" s="17"/>
      <c r="O1803" s="17"/>
    </row>
    <row r="1804" spans="5:15" x14ac:dyDescent="0.25">
      <c r="E1804" s="17"/>
      <c r="F1804" s="17"/>
      <c r="G1804" s="17"/>
      <c r="H1804" s="17"/>
      <c r="J1804" s="17"/>
      <c r="K1804" s="17"/>
      <c r="L1804" s="17"/>
      <c r="M1804" s="17"/>
      <c r="N1804" s="17"/>
      <c r="O1804" s="17"/>
    </row>
    <row r="1805" spans="5:15" x14ac:dyDescent="0.25">
      <c r="E1805" s="17"/>
      <c r="F1805" s="17"/>
      <c r="G1805" s="17"/>
      <c r="H1805" s="17"/>
      <c r="J1805" s="17"/>
      <c r="K1805" s="17"/>
      <c r="L1805" s="17"/>
      <c r="M1805" s="17"/>
      <c r="N1805" s="17"/>
      <c r="O1805" s="17"/>
    </row>
    <row r="1806" spans="5:15" x14ac:dyDescent="0.25">
      <c r="E1806" s="17"/>
      <c r="F1806" s="17"/>
      <c r="G1806" s="17"/>
      <c r="H1806" s="17"/>
      <c r="J1806" s="17"/>
      <c r="K1806" s="17"/>
      <c r="L1806" s="17"/>
      <c r="M1806" s="17"/>
      <c r="N1806" s="17"/>
      <c r="O1806" s="17"/>
    </row>
    <row r="1807" spans="5:15" x14ac:dyDescent="0.25">
      <c r="E1807" s="17"/>
      <c r="F1807" s="17"/>
      <c r="G1807" s="17"/>
      <c r="H1807" s="17"/>
      <c r="J1807" s="17"/>
      <c r="K1807" s="17"/>
      <c r="L1807" s="17"/>
      <c r="M1807" s="17"/>
      <c r="N1807" s="17"/>
      <c r="O1807" s="17"/>
    </row>
    <row r="1808" spans="5:15" x14ac:dyDescent="0.25">
      <c r="E1808" s="17"/>
      <c r="F1808" s="17"/>
      <c r="G1808" s="17"/>
      <c r="H1808" s="17"/>
      <c r="J1808" s="17"/>
      <c r="K1808" s="17"/>
      <c r="L1808" s="17"/>
      <c r="M1808" s="17"/>
      <c r="N1808" s="17"/>
      <c r="O1808" s="17"/>
    </row>
    <row r="1809" spans="5:15" x14ac:dyDescent="0.25">
      <c r="E1809" s="17"/>
      <c r="F1809" s="17"/>
      <c r="G1809" s="17"/>
      <c r="H1809" s="17"/>
      <c r="J1809" s="17"/>
      <c r="K1809" s="17"/>
      <c r="L1809" s="17"/>
      <c r="M1809" s="17"/>
      <c r="N1809" s="17"/>
      <c r="O1809" s="17"/>
    </row>
    <row r="1810" spans="5:15" x14ac:dyDescent="0.25">
      <c r="E1810" s="17"/>
      <c r="F1810" s="17"/>
      <c r="G1810" s="17"/>
      <c r="H1810" s="17"/>
      <c r="J1810" s="17"/>
      <c r="K1810" s="17"/>
      <c r="L1810" s="17"/>
      <c r="M1810" s="17"/>
      <c r="N1810" s="17"/>
      <c r="O1810" s="17"/>
    </row>
    <row r="1811" spans="5:15" x14ac:dyDescent="0.25">
      <c r="E1811" s="17"/>
      <c r="F1811" s="17"/>
      <c r="G1811" s="17"/>
      <c r="H1811" s="17"/>
      <c r="J1811" s="17"/>
      <c r="K1811" s="17"/>
      <c r="L1811" s="17"/>
      <c r="M1811" s="17"/>
      <c r="N1811" s="17"/>
      <c r="O1811" s="17"/>
    </row>
    <row r="1812" spans="5:15" x14ac:dyDescent="0.25">
      <c r="E1812" s="17"/>
      <c r="F1812" s="17"/>
      <c r="G1812" s="17"/>
      <c r="H1812" s="17"/>
      <c r="J1812" s="17"/>
      <c r="K1812" s="17"/>
      <c r="L1812" s="17"/>
      <c r="M1812" s="17"/>
      <c r="N1812" s="17"/>
      <c r="O1812" s="17"/>
    </row>
    <row r="1813" spans="5:15" x14ac:dyDescent="0.25">
      <c r="E1813" s="17"/>
      <c r="F1813" s="17"/>
      <c r="G1813" s="17"/>
      <c r="H1813" s="17"/>
      <c r="J1813" s="17"/>
      <c r="K1813" s="17"/>
      <c r="L1813" s="17"/>
      <c r="M1813" s="17"/>
      <c r="N1813" s="17"/>
      <c r="O1813" s="17"/>
    </row>
    <row r="1814" spans="5:15" x14ac:dyDescent="0.25">
      <c r="E1814" s="17"/>
      <c r="F1814" s="17"/>
      <c r="G1814" s="17"/>
      <c r="H1814" s="17"/>
      <c r="J1814" s="17"/>
      <c r="K1814" s="17"/>
      <c r="L1814" s="17"/>
      <c r="M1814" s="17"/>
      <c r="N1814" s="17"/>
      <c r="O1814" s="17"/>
    </row>
    <row r="1815" spans="5:15" x14ac:dyDescent="0.25">
      <c r="E1815" s="17"/>
      <c r="F1815" s="17"/>
      <c r="G1815" s="17"/>
      <c r="H1815" s="17"/>
      <c r="J1815" s="17"/>
      <c r="K1815" s="17"/>
      <c r="L1815" s="17"/>
      <c r="M1815" s="17"/>
      <c r="N1815" s="17"/>
      <c r="O1815" s="17"/>
    </row>
    <row r="1816" spans="5:15" x14ac:dyDescent="0.25">
      <c r="E1816" s="17"/>
      <c r="F1816" s="17"/>
      <c r="G1816" s="17"/>
      <c r="H1816" s="17"/>
      <c r="J1816" s="17"/>
      <c r="K1816" s="17"/>
      <c r="L1816" s="17"/>
      <c r="M1816" s="17"/>
      <c r="N1816" s="17"/>
      <c r="O1816" s="17"/>
    </row>
    <row r="1817" spans="5:15" x14ac:dyDescent="0.25">
      <c r="E1817" s="17"/>
      <c r="F1817" s="17"/>
      <c r="G1817" s="17"/>
      <c r="H1817" s="17"/>
      <c r="J1817" s="17"/>
      <c r="K1817" s="17"/>
      <c r="L1817" s="17"/>
      <c r="M1817" s="17"/>
      <c r="N1817" s="17"/>
      <c r="O1817" s="17"/>
    </row>
    <row r="1818" spans="5:15" x14ac:dyDescent="0.25">
      <c r="E1818" s="17"/>
      <c r="F1818" s="17"/>
      <c r="G1818" s="17"/>
      <c r="H1818" s="17"/>
      <c r="J1818" s="17"/>
      <c r="K1818" s="17"/>
      <c r="L1818" s="17"/>
      <c r="M1818" s="17"/>
      <c r="N1818" s="17"/>
      <c r="O1818" s="17"/>
    </row>
    <row r="1819" spans="5:15" x14ac:dyDescent="0.25">
      <c r="E1819" s="17"/>
      <c r="F1819" s="17"/>
      <c r="G1819" s="17"/>
      <c r="H1819" s="17"/>
      <c r="J1819" s="17"/>
      <c r="K1819" s="17"/>
      <c r="L1819" s="17"/>
      <c r="M1819" s="17"/>
      <c r="N1819" s="17"/>
      <c r="O1819" s="17"/>
    </row>
    <row r="1820" spans="5:15" x14ac:dyDescent="0.25">
      <c r="E1820" s="17"/>
      <c r="F1820" s="17"/>
      <c r="G1820" s="17"/>
      <c r="H1820" s="17"/>
      <c r="J1820" s="17"/>
      <c r="K1820" s="17"/>
      <c r="L1820" s="17"/>
      <c r="M1820" s="17"/>
      <c r="N1820" s="17"/>
      <c r="O1820" s="17"/>
    </row>
    <row r="1821" spans="5:15" x14ac:dyDescent="0.25">
      <c r="E1821" s="17"/>
      <c r="F1821" s="17"/>
      <c r="G1821" s="17"/>
      <c r="H1821" s="17"/>
      <c r="J1821" s="17"/>
      <c r="K1821" s="17"/>
      <c r="L1821" s="17"/>
      <c r="M1821" s="17"/>
      <c r="N1821" s="17"/>
      <c r="O1821" s="17"/>
    </row>
    <row r="1822" spans="5:15" x14ac:dyDescent="0.25">
      <c r="E1822" s="17"/>
      <c r="F1822" s="17"/>
      <c r="G1822" s="17"/>
      <c r="H1822" s="17"/>
      <c r="J1822" s="17"/>
      <c r="K1822" s="17"/>
      <c r="L1822" s="17"/>
      <c r="M1822" s="17"/>
      <c r="N1822" s="17"/>
      <c r="O1822" s="17"/>
    </row>
    <row r="1823" spans="5:15" x14ac:dyDescent="0.25">
      <c r="E1823" s="17"/>
      <c r="F1823" s="17"/>
      <c r="G1823" s="17"/>
      <c r="H1823" s="17"/>
      <c r="J1823" s="17"/>
      <c r="K1823" s="17"/>
      <c r="L1823" s="17"/>
      <c r="M1823" s="17"/>
      <c r="N1823" s="17"/>
      <c r="O1823" s="17"/>
    </row>
    <row r="1824" spans="5:15" x14ac:dyDescent="0.25">
      <c r="E1824" s="17"/>
      <c r="F1824" s="17"/>
      <c r="G1824" s="17"/>
      <c r="H1824" s="17"/>
      <c r="J1824" s="17"/>
      <c r="K1824" s="17"/>
      <c r="L1824" s="17"/>
      <c r="M1824" s="17"/>
      <c r="N1824" s="17"/>
      <c r="O1824" s="17"/>
    </row>
    <row r="1825" spans="5:15" x14ac:dyDescent="0.25">
      <c r="E1825" s="17"/>
      <c r="F1825" s="17"/>
      <c r="G1825" s="17"/>
      <c r="H1825" s="17"/>
      <c r="J1825" s="17"/>
      <c r="K1825" s="17"/>
      <c r="L1825" s="17"/>
      <c r="M1825" s="17"/>
      <c r="N1825" s="17"/>
      <c r="O1825" s="17"/>
    </row>
    <row r="1826" spans="5:15" x14ac:dyDescent="0.25">
      <c r="E1826" s="17"/>
      <c r="F1826" s="17"/>
      <c r="G1826" s="17"/>
      <c r="H1826" s="17"/>
      <c r="J1826" s="17"/>
      <c r="K1826" s="17"/>
      <c r="L1826" s="17"/>
      <c r="M1826" s="17"/>
      <c r="N1826" s="17"/>
      <c r="O1826" s="17"/>
    </row>
    <row r="1827" spans="5:15" x14ac:dyDescent="0.25">
      <c r="E1827" s="17"/>
      <c r="F1827" s="17"/>
      <c r="G1827" s="17"/>
      <c r="H1827" s="17"/>
      <c r="J1827" s="17"/>
      <c r="K1827" s="17"/>
      <c r="L1827" s="17"/>
      <c r="M1827" s="17"/>
      <c r="N1827" s="17"/>
      <c r="O1827" s="17"/>
    </row>
    <row r="1828" spans="5:15" x14ac:dyDescent="0.25">
      <c r="E1828" s="17"/>
      <c r="F1828" s="17"/>
      <c r="G1828" s="17"/>
      <c r="H1828" s="17"/>
      <c r="J1828" s="17"/>
      <c r="K1828" s="17"/>
      <c r="L1828" s="17"/>
      <c r="M1828" s="17"/>
      <c r="N1828" s="17"/>
      <c r="O1828" s="17"/>
    </row>
    <row r="1829" spans="5:15" x14ac:dyDescent="0.25">
      <c r="E1829" s="17"/>
      <c r="F1829" s="17"/>
      <c r="G1829" s="17"/>
      <c r="H1829" s="17"/>
      <c r="J1829" s="17"/>
      <c r="K1829" s="17"/>
      <c r="L1829" s="17"/>
      <c r="M1829" s="17"/>
      <c r="N1829" s="17"/>
      <c r="O1829" s="17"/>
    </row>
    <row r="1830" spans="5:15" x14ac:dyDescent="0.25">
      <c r="E1830" s="17"/>
      <c r="F1830" s="17"/>
      <c r="G1830" s="17"/>
      <c r="H1830" s="17"/>
      <c r="J1830" s="17"/>
      <c r="K1830" s="17"/>
      <c r="L1830" s="17"/>
      <c r="M1830" s="17"/>
      <c r="N1830" s="17"/>
      <c r="O1830" s="17"/>
    </row>
    <row r="1831" spans="5:15" x14ac:dyDescent="0.25">
      <c r="E1831" s="17"/>
      <c r="F1831" s="17"/>
      <c r="G1831" s="17"/>
      <c r="H1831" s="17"/>
      <c r="J1831" s="17"/>
      <c r="K1831" s="17"/>
      <c r="L1831" s="17"/>
      <c r="M1831" s="17"/>
      <c r="N1831" s="17"/>
      <c r="O1831" s="17"/>
    </row>
    <row r="1832" spans="5:15" x14ac:dyDescent="0.25">
      <c r="E1832" s="17"/>
      <c r="F1832" s="17"/>
      <c r="G1832" s="17"/>
      <c r="H1832" s="17"/>
      <c r="J1832" s="17"/>
      <c r="K1832" s="17"/>
      <c r="L1832" s="17"/>
      <c r="M1832" s="17"/>
      <c r="N1832" s="17"/>
      <c r="O1832" s="17"/>
    </row>
    <row r="1833" spans="5:15" x14ac:dyDescent="0.25">
      <c r="E1833" s="17"/>
      <c r="F1833" s="17"/>
      <c r="G1833" s="17"/>
      <c r="H1833" s="17"/>
      <c r="J1833" s="17"/>
      <c r="K1833" s="17"/>
      <c r="L1833" s="17"/>
      <c r="M1833" s="17"/>
      <c r="N1833" s="17"/>
      <c r="O1833" s="17"/>
    </row>
    <row r="1834" spans="5:15" x14ac:dyDescent="0.25">
      <c r="E1834" s="17"/>
      <c r="F1834" s="17"/>
      <c r="G1834" s="17"/>
      <c r="H1834" s="17"/>
      <c r="J1834" s="17"/>
      <c r="K1834" s="17"/>
      <c r="L1834" s="17"/>
      <c r="M1834" s="17"/>
      <c r="N1834" s="17"/>
      <c r="O1834" s="17"/>
    </row>
    <row r="1835" spans="5:15" x14ac:dyDescent="0.25">
      <c r="E1835" s="17"/>
      <c r="F1835" s="17"/>
      <c r="G1835" s="17"/>
      <c r="H1835" s="17"/>
      <c r="J1835" s="17"/>
      <c r="K1835" s="17"/>
      <c r="L1835" s="17"/>
      <c r="M1835" s="17"/>
      <c r="N1835" s="17"/>
      <c r="O1835" s="17"/>
    </row>
    <row r="1836" spans="5:15" x14ac:dyDescent="0.25">
      <c r="E1836" s="17"/>
      <c r="F1836" s="17"/>
      <c r="G1836" s="17"/>
      <c r="H1836" s="17"/>
      <c r="J1836" s="17"/>
      <c r="K1836" s="17"/>
      <c r="L1836" s="17"/>
      <c r="M1836" s="17"/>
      <c r="N1836" s="17"/>
      <c r="O1836" s="17"/>
    </row>
    <row r="1837" spans="5:15" x14ac:dyDescent="0.25">
      <c r="E1837" s="17"/>
      <c r="F1837" s="17"/>
      <c r="G1837" s="17"/>
      <c r="H1837" s="17"/>
      <c r="J1837" s="17"/>
      <c r="K1837" s="17"/>
      <c r="L1837" s="17"/>
      <c r="M1837" s="17"/>
      <c r="N1837" s="17"/>
      <c r="O1837" s="17"/>
    </row>
    <row r="1838" spans="5:15" x14ac:dyDescent="0.25">
      <c r="E1838" s="17"/>
      <c r="F1838" s="17"/>
      <c r="G1838" s="17"/>
      <c r="H1838" s="17"/>
      <c r="J1838" s="17"/>
      <c r="K1838" s="17"/>
      <c r="L1838" s="17"/>
      <c r="M1838" s="17"/>
      <c r="N1838" s="17"/>
      <c r="O1838" s="17"/>
    </row>
    <row r="1839" spans="5:15" x14ac:dyDescent="0.25">
      <c r="E1839" s="17"/>
      <c r="F1839" s="17"/>
      <c r="G1839" s="17"/>
      <c r="H1839" s="17"/>
      <c r="J1839" s="17"/>
      <c r="K1839" s="17"/>
      <c r="L1839" s="17"/>
      <c r="M1839" s="17"/>
      <c r="N1839" s="17"/>
      <c r="O1839" s="17"/>
    </row>
    <row r="1840" spans="5:15" x14ac:dyDescent="0.25">
      <c r="E1840" s="17"/>
      <c r="F1840" s="17"/>
      <c r="G1840" s="17"/>
      <c r="H1840" s="17"/>
      <c r="J1840" s="17"/>
      <c r="K1840" s="17"/>
      <c r="L1840" s="17"/>
      <c r="M1840" s="17"/>
      <c r="N1840" s="17"/>
      <c r="O1840" s="17"/>
    </row>
    <row r="1841" spans="5:15" x14ac:dyDescent="0.25">
      <c r="E1841" s="17"/>
      <c r="F1841" s="17"/>
      <c r="G1841" s="17"/>
      <c r="H1841" s="17"/>
      <c r="J1841" s="17"/>
      <c r="K1841" s="17"/>
      <c r="L1841" s="17"/>
      <c r="M1841" s="17"/>
      <c r="N1841" s="17"/>
      <c r="O1841" s="17"/>
    </row>
    <row r="1842" spans="5:15" x14ac:dyDescent="0.25">
      <c r="E1842" s="17"/>
      <c r="F1842" s="17"/>
      <c r="G1842" s="17"/>
      <c r="H1842" s="17"/>
      <c r="J1842" s="17"/>
      <c r="K1842" s="17"/>
      <c r="L1842" s="17"/>
      <c r="M1842" s="17"/>
      <c r="N1842" s="17"/>
      <c r="O1842" s="17"/>
    </row>
    <row r="1843" spans="5:15" x14ac:dyDescent="0.25">
      <c r="E1843" s="17"/>
      <c r="F1843" s="17"/>
      <c r="G1843" s="17"/>
      <c r="H1843" s="17"/>
      <c r="J1843" s="17"/>
      <c r="K1843" s="17"/>
      <c r="L1843" s="17"/>
      <c r="M1843" s="17"/>
      <c r="N1843" s="17"/>
      <c r="O1843" s="17"/>
    </row>
    <row r="1844" spans="5:15" x14ac:dyDescent="0.25">
      <c r="E1844" s="17"/>
      <c r="F1844" s="17"/>
      <c r="G1844" s="17"/>
      <c r="H1844" s="17"/>
      <c r="J1844" s="17"/>
      <c r="K1844" s="17"/>
      <c r="L1844" s="17"/>
      <c r="M1844" s="17"/>
      <c r="N1844" s="17"/>
      <c r="O1844" s="17"/>
    </row>
    <row r="1845" spans="5:15" x14ac:dyDescent="0.25">
      <c r="E1845" s="17"/>
      <c r="F1845" s="17"/>
      <c r="G1845" s="17"/>
      <c r="H1845" s="17"/>
      <c r="J1845" s="17"/>
      <c r="K1845" s="17"/>
      <c r="L1845" s="17"/>
      <c r="M1845" s="17"/>
      <c r="N1845" s="17"/>
      <c r="O1845" s="17"/>
    </row>
    <row r="1846" spans="5:15" x14ac:dyDescent="0.25">
      <c r="E1846" s="17"/>
      <c r="F1846" s="17"/>
      <c r="G1846" s="17"/>
      <c r="H1846" s="17"/>
      <c r="J1846" s="17"/>
      <c r="K1846" s="17"/>
      <c r="L1846" s="17"/>
      <c r="M1846" s="17"/>
      <c r="N1846" s="17"/>
      <c r="O1846" s="17"/>
    </row>
    <row r="1847" spans="5:15" x14ac:dyDescent="0.25">
      <c r="E1847" s="17"/>
      <c r="F1847" s="17"/>
      <c r="G1847" s="17"/>
      <c r="H1847" s="17"/>
      <c r="J1847" s="17"/>
      <c r="K1847" s="17"/>
      <c r="L1847" s="17"/>
      <c r="M1847" s="17"/>
      <c r="N1847" s="17"/>
      <c r="O1847" s="17"/>
    </row>
    <row r="1848" spans="5:15" x14ac:dyDescent="0.25">
      <c r="E1848" s="17"/>
      <c r="F1848" s="17"/>
      <c r="G1848" s="17"/>
      <c r="H1848" s="17"/>
      <c r="J1848" s="17"/>
      <c r="K1848" s="17"/>
      <c r="L1848" s="17"/>
      <c r="M1848" s="17"/>
      <c r="N1848" s="17"/>
      <c r="O1848" s="17"/>
    </row>
    <row r="1849" spans="5:15" x14ac:dyDescent="0.25">
      <c r="E1849" s="17"/>
      <c r="F1849" s="17"/>
      <c r="G1849" s="17"/>
      <c r="H1849" s="17"/>
      <c r="J1849" s="17"/>
      <c r="K1849" s="17"/>
      <c r="L1849" s="17"/>
      <c r="M1849" s="17"/>
      <c r="N1849" s="17"/>
      <c r="O1849" s="17"/>
    </row>
    <row r="1850" spans="5:15" x14ac:dyDescent="0.25">
      <c r="E1850" s="17"/>
      <c r="F1850" s="17"/>
      <c r="G1850" s="17"/>
      <c r="H1850" s="17"/>
      <c r="J1850" s="17"/>
      <c r="K1850" s="17"/>
      <c r="L1850" s="17"/>
      <c r="M1850" s="17"/>
      <c r="N1850" s="17"/>
      <c r="O1850" s="17"/>
    </row>
    <row r="1851" spans="5:15" x14ac:dyDescent="0.25">
      <c r="E1851" s="17"/>
      <c r="F1851" s="17"/>
      <c r="G1851" s="17"/>
      <c r="H1851" s="17"/>
      <c r="J1851" s="17"/>
      <c r="K1851" s="17"/>
      <c r="L1851" s="17"/>
      <c r="M1851" s="17"/>
      <c r="N1851" s="17"/>
      <c r="O1851" s="17"/>
    </row>
    <row r="1852" spans="5:15" x14ac:dyDescent="0.25">
      <c r="E1852" s="17"/>
      <c r="F1852" s="17"/>
      <c r="G1852" s="17"/>
      <c r="H1852" s="17"/>
      <c r="J1852" s="17"/>
      <c r="K1852" s="17"/>
      <c r="L1852" s="17"/>
      <c r="M1852" s="17"/>
      <c r="N1852" s="17"/>
      <c r="O1852" s="17"/>
    </row>
    <row r="1853" spans="5:15" x14ac:dyDescent="0.25">
      <c r="E1853" s="17"/>
      <c r="F1853" s="17"/>
      <c r="G1853" s="17"/>
      <c r="H1853" s="17"/>
      <c r="J1853" s="17"/>
      <c r="K1853" s="17"/>
      <c r="L1853" s="17"/>
      <c r="M1853" s="17"/>
      <c r="N1853" s="17"/>
      <c r="O1853" s="17"/>
    </row>
    <row r="1854" spans="5:15" x14ac:dyDescent="0.25">
      <c r="E1854" s="17"/>
      <c r="F1854" s="17"/>
      <c r="G1854" s="17"/>
      <c r="H1854" s="17"/>
      <c r="J1854" s="17"/>
      <c r="K1854" s="17"/>
      <c r="L1854" s="17"/>
      <c r="M1854" s="17"/>
      <c r="N1854" s="17"/>
      <c r="O1854" s="17"/>
    </row>
    <row r="1855" spans="5:15" x14ac:dyDescent="0.25">
      <c r="E1855" s="17"/>
      <c r="F1855" s="17"/>
      <c r="G1855" s="17"/>
      <c r="H1855" s="17"/>
      <c r="J1855" s="17"/>
      <c r="K1855" s="17"/>
      <c r="L1855" s="17"/>
      <c r="M1855" s="17"/>
      <c r="N1855" s="17"/>
      <c r="O1855" s="17"/>
    </row>
    <row r="1856" spans="5:15" x14ac:dyDescent="0.25">
      <c r="E1856" s="17"/>
      <c r="F1856" s="17"/>
      <c r="G1856" s="17"/>
      <c r="H1856" s="17"/>
      <c r="J1856" s="17"/>
      <c r="K1856" s="17"/>
      <c r="L1856" s="17"/>
      <c r="M1856" s="17"/>
      <c r="N1856" s="17"/>
      <c r="O1856" s="17"/>
    </row>
    <row r="1857" spans="5:15" x14ac:dyDescent="0.25">
      <c r="E1857" s="17"/>
      <c r="F1857" s="17"/>
      <c r="G1857" s="17"/>
      <c r="H1857" s="17"/>
      <c r="J1857" s="17"/>
      <c r="K1857" s="17"/>
      <c r="L1857" s="17"/>
      <c r="M1857" s="17"/>
      <c r="N1857" s="17"/>
      <c r="O1857" s="17"/>
    </row>
    <row r="1858" spans="5:15" x14ac:dyDescent="0.25">
      <c r="E1858" s="17"/>
      <c r="F1858" s="17"/>
      <c r="G1858" s="17"/>
      <c r="H1858" s="17"/>
      <c r="J1858" s="17"/>
      <c r="K1858" s="17"/>
      <c r="L1858" s="17"/>
      <c r="M1858" s="17"/>
      <c r="N1858" s="17"/>
      <c r="O1858" s="17"/>
    </row>
    <row r="1859" spans="5:15" x14ac:dyDescent="0.25">
      <c r="E1859" s="17"/>
      <c r="F1859" s="17"/>
      <c r="G1859" s="17"/>
      <c r="H1859" s="17"/>
      <c r="J1859" s="17"/>
      <c r="K1859" s="17"/>
      <c r="L1859" s="17"/>
      <c r="M1859" s="17"/>
      <c r="N1859" s="17"/>
      <c r="O1859" s="17"/>
    </row>
    <row r="1860" spans="5:15" x14ac:dyDescent="0.25">
      <c r="E1860" s="17"/>
      <c r="F1860" s="17"/>
      <c r="G1860" s="17"/>
      <c r="H1860" s="17"/>
      <c r="J1860" s="17"/>
      <c r="K1860" s="17"/>
      <c r="L1860" s="17"/>
      <c r="M1860" s="17"/>
      <c r="N1860" s="17"/>
      <c r="O1860" s="17"/>
    </row>
    <row r="1861" spans="5:15" x14ac:dyDescent="0.25">
      <c r="E1861" s="17"/>
      <c r="F1861" s="17"/>
      <c r="G1861" s="17"/>
      <c r="H1861" s="17"/>
      <c r="J1861" s="17"/>
      <c r="K1861" s="17"/>
      <c r="L1861" s="17"/>
      <c r="M1861" s="17"/>
      <c r="N1861" s="17"/>
      <c r="O1861" s="17"/>
    </row>
    <row r="1862" spans="5:15" x14ac:dyDescent="0.25">
      <c r="E1862" s="17"/>
      <c r="F1862" s="17"/>
      <c r="G1862" s="17"/>
      <c r="H1862" s="17"/>
      <c r="J1862" s="17"/>
      <c r="K1862" s="17"/>
      <c r="L1862" s="17"/>
      <c r="M1862" s="17"/>
      <c r="N1862" s="17"/>
      <c r="O1862" s="17"/>
    </row>
    <row r="1863" spans="5:15" x14ac:dyDescent="0.25">
      <c r="E1863" s="17"/>
      <c r="F1863" s="17"/>
      <c r="G1863" s="17"/>
      <c r="H1863" s="17"/>
      <c r="J1863" s="17"/>
      <c r="K1863" s="17"/>
      <c r="L1863" s="17"/>
      <c r="M1863" s="17"/>
      <c r="N1863" s="17"/>
      <c r="O1863" s="17"/>
    </row>
    <row r="1864" spans="5:15" x14ac:dyDescent="0.25">
      <c r="E1864" s="17"/>
      <c r="F1864" s="17"/>
      <c r="G1864" s="17"/>
      <c r="H1864" s="17"/>
      <c r="J1864" s="17"/>
      <c r="K1864" s="17"/>
      <c r="L1864" s="17"/>
      <c r="M1864" s="17"/>
      <c r="N1864" s="17"/>
      <c r="O1864" s="17"/>
    </row>
    <row r="1865" spans="5:15" x14ac:dyDescent="0.25">
      <c r="E1865" s="17"/>
      <c r="F1865" s="17"/>
      <c r="G1865" s="17"/>
      <c r="H1865" s="17"/>
      <c r="J1865" s="17"/>
      <c r="K1865" s="17"/>
      <c r="L1865" s="17"/>
      <c r="M1865" s="17"/>
      <c r="N1865" s="17"/>
      <c r="O1865" s="17"/>
    </row>
    <row r="1866" spans="5:15" x14ac:dyDescent="0.25">
      <c r="E1866" s="17"/>
      <c r="F1866" s="17"/>
      <c r="G1866" s="17"/>
      <c r="H1866" s="17"/>
      <c r="J1866" s="17"/>
      <c r="K1866" s="17"/>
      <c r="L1866" s="17"/>
      <c r="M1866" s="17"/>
      <c r="N1866" s="17"/>
      <c r="O1866" s="17"/>
    </row>
    <row r="1867" spans="5:15" x14ac:dyDescent="0.25">
      <c r="E1867" s="17"/>
      <c r="F1867" s="17"/>
      <c r="G1867" s="17"/>
      <c r="H1867" s="17"/>
      <c r="J1867" s="17"/>
      <c r="K1867" s="17"/>
      <c r="L1867" s="17"/>
      <c r="M1867" s="17"/>
      <c r="N1867" s="17"/>
      <c r="O1867" s="17"/>
    </row>
    <row r="1868" spans="5:15" x14ac:dyDescent="0.25">
      <c r="E1868" s="17"/>
      <c r="F1868" s="17"/>
      <c r="G1868" s="17"/>
      <c r="H1868" s="17"/>
      <c r="J1868" s="17"/>
      <c r="K1868" s="17"/>
      <c r="L1868" s="17"/>
      <c r="M1868" s="17"/>
      <c r="N1868" s="17"/>
      <c r="O1868" s="17"/>
    </row>
    <row r="1869" spans="5:15" x14ac:dyDescent="0.25">
      <c r="E1869" s="17"/>
      <c r="F1869" s="17"/>
      <c r="G1869" s="17"/>
      <c r="H1869" s="17"/>
      <c r="J1869" s="17"/>
      <c r="K1869" s="17"/>
      <c r="L1869" s="17"/>
      <c r="M1869" s="17"/>
      <c r="N1869" s="17"/>
      <c r="O1869" s="17"/>
    </row>
    <row r="1870" spans="5:15" x14ac:dyDescent="0.25">
      <c r="E1870" s="17"/>
      <c r="F1870" s="17"/>
      <c r="G1870" s="17"/>
      <c r="H1870" s="17"/>
      <c r="J1870" s="17"/>
      <c r="K1870" s="17"/>
      <c r="L1870" s="17"/>
      <c r="M1870" s="17"/>
      <c r="N1870" s="17"/>
      <c r="O1870" s="17"/>
    </row>
    <row r="1871" spans="5:15" x14ac:dyDescent="0.25">
      <c r="E1871" s="17"/>
      <c r="F1871" s="17"/>
      <c r="G1871" s="17"/>
      <c r="H1871" s="17"/>
      <c r="J1871" s="17"/>
      <c r="K1871" s="17"/>
      <c r="L1871" s="17"/>
      <c r="M1871" s="17"/>
      <c r="N1871" s="17"/>
      <c r="O1871" s="17"/>
    </row>
    <row r="1872" spans="5:15" x14ac:dyDescent="0.25">
      <c r="E1872" s="17"/>
      <c r="F1872" s="17"/>
      <c r="G1872" s="17"/>
      <c r="H1872" s="17"/>
      <c r="J1872" s="17"/>
      <c r="K1872" s="17"/>
      <c r="L1872" s="17"/>
      <c r="M1872" s="17"/>
      <c r="N1872" s="17"/>
      <c r="O1872" s="17"/>
    </row>
    <row r="1873" spans="5:15" x14ac:dyDescent="0.25">
      <c r="E1873" s="17"/>
      <c r="F1873" s="17"/>
      <c r="G1873" s="17"/>
      <c r="H1873" s="17"/>
      <c r="J1873" s="17"/>
      <c r="K1873" s="17"/>
      <c r="L1873" s="17"/>
      <c r="M1873" s="17"/>
      <c r="N1873" s="17"/>
      <c r="O1873" s="17"/>
    </row>
    <row r="1874" spans="5:15" x14ac:dyDescent="0.25">
      <c r="E1874" s="17"/>
      <c r="F1874" s="17"/>
      <c r="G1874" s="17"/>
      <c r="H1874" s="17"/>
      <c r="J1874" s="17"/>
      <c r="K1874" s="17"/>
      <c r="L1874" s="17"/>
      <c r="M1874" s="17"/>
      <c r="N1874" s="17"/>
      <c r="O1874" s="17"/>
    </row>
    <row r="1875" spans="5:15" x14ac:dyDescent="0.25">
      <c r="E1875" s="17"/>
      <c r="F1875" s="17"/>
      <c r="G1875" s="17"/>
      <c r="H1875" s="17"/>
      <c r="J1875" s="17"/>
      <c r="K1875" s="17"/>
      <c r="L1875" s="17"/>
      <c r="M1875" s="17"/>
      <c r="N1875" s="17"/>
      <c r="O1875" s="17"/>
    </row>
    <row r="1876" spans="5:15" x14ac:dyDescent="0.25">
      <c r="E1876" s="17"/>
      <c r="F1876" s="17"/>
      <c r="G1876" s="17"/>
      <c r="H1876" s="17"/>
      <c r="J1876" s="17"/>
      <c r="K1876" s="17"/>
      <c r="L1876" s="17"/>
      <c r="M1876" s="17"/>
      <c r="N1876" s="17"/>
      <c r="O1876" s="17"/>
    </row>
    <row r="1877" spans="5:15" x14ac:dyDescent="0.25">
      <c r="E1877" s="17"/>
      <c r="F1877" s="17"/>
      <c r="G1877" s="17"/>
      <c r="H1877" s="17"/>
      <c r="J1877" s="17"/>
      <c r="K1877" s="17"/>
      <c r="L1877" s="17"/>
      <c r="M1877" s="17"/>
      <c r="N1877" s="17"/>
      <c r="O1877" s="17"/>
    </row>
    <row r="1878" spans="5:15" x14ac:dyDescent="0.25">
      <c r="E1878" s="17"/>
      <c r="F1878" s="17"/>
      <c r="G1878" s="17"/>
      <c r="H1878" s="17"/>
      <c r="J1878" s="17"/>
      <c r="K1878" s="17"/>
      <c r="L1878" s="17"/>
      <c r="M1878" s="17"/>
      <c r="N1878" s="17"/>
      <c r="O1878" s="17"/>
    </row>
    <row r="1879" spans="5:15" x14ac:dyDescent="0.25">
      <c r="E1879" s="17"/>
      <c r="F1879" s="17"/>
      <c r="G1879" s="17"/>
      <c r="H1879" s="17"/>
      <c r="J1879" s="17"/>
      <c r="K1879" s="17"/>
      <c r="L1879" s="17"/>
      <c r="M1879" s="17"/>
      <c r="N1879" s="17"/>
      <c r="O1879" s="17"/>
    </row>
    <row r="1880" spans="5:15" x14ac:dyDescent="0.25">
      <c r="E1880" s="17"/>
      <c r="F1880" s="17"/>
      <c r="G1880" s="17"/>
      <c r="H1880" s="17"/>
      <c r="J1880" s="17"/>
      <c r="K1880" s="17"/>
      <c r="L1880" s="17"/>
      <c r="M1880" s="17"/>
      <c r="N1880" s="17"/>
      <c r="O1880" s="17"/>
    </row>
    <row r="1881" spans="5:15" x14ac:dyDescent="0.25">
      <c r="E1881" s="17"/>
      <c r="F1881" s="17"/>
      <c r="G1881" s="17"/>
      <c r="H1881" s="17"/>
      <c r="J1881" s="17"/>
      <c r="K1881" s="17"/>
      <c r="L1881" s="17"/>
      <c r="M1881" s="17"/>
      <c r="N1881" s="17"/>
      <c r="O1881" s="17"/>
    </row>
    <row r="1882" spans="5:15" x14ac:dyDescent="0.25">
      <c r="E1882" s="17"/>
      <c r="F1882" s="17"/>
      <c r="G1882" s="17"/>
      <c r="H1882" s="17"/>
      <c r="J1882" s="17"/>
      <c r="K1882" s="17"/>
      <c r="L1882" s="17"/>
      <c r="M1882" s="17"/>
      <c r="N1882" s="17"/>
      <c r="O1882" s="17"/>
    </row>
    <row r="1883" spans="5:15" x14ac:dyDescent="0.25">
      <c r="E1883" s="17"/>
      <c r="F1883" s="17"/>
      <c r="G1883" s="17"/>
      <c r="H1883" s="17"/>
      <c r="J1883" s="17"/>
      <c r="K1883" s="17"/>
      <c r="L1883" s="17"/>
      <c r="M1883" s="17"/>
      <c r="N1883" s="17"/>
      <c r="O1883" s="17"/>
    </row>
    <row r="1884" spans="5:15" x14ac:dyDescent="0.25">
      <c r="E1884" s="17"/>
      <c r="F1884" s="17"/>
      <c r="G1884" s="17"/>
      <c r="H1884" s="17"/>
      <c r="J1884" s="17"/>
      <c r="K1884" s="17"/>
      <c r="L1884" s="17"/>
      <c r="M1884" s="17"/>
      <c r="N1884" s="17"/>
      <c r="O1884" s="17"/>
    </row>
    <row r="1885" spans="5:15" x14ac:dyDescent="0.25">
      <c r="E1885" s="17"/>
      <c r="F1885" s="17"/>
      <c r="G1885" s="17"/>
      <c r="H1885" s="17"/>
      <c r="J1885" s="17"/>
      <c r="K1885" s="17"/>
      <c r="L1885" s="17"/>
      <c r="M1885" s="17"/>
      <c r="N1885" s="17"/>
      <c r="O1885" s="17"/>
    </row>
    <row r="1886" spans="5:15" x14ac:dyDescent="0.25">
      <c r="E1886" s="17"/>
      <c r="F1886" s="17"/>
      <c r="G1886" s="17"/>
      <c r="H1886" s="17"/>
      <c r="J1886" s="17"/>
      <c r="K1886" s="17"/>
      <c r="L1886" s="17"/>
      <c r="M1886" s="17"/>
      <c r="N1886" s="17"/>
      <c r="O1886" s="17"/>
    </row>
    <row r="1887" spans="5:15" x14ac:dyDescent="0.25">
      <c r="E1887" s="17"/>
      <c r="F1887" s="17"/>
      <c r="G1887" s="17"/>
      <c r="H1887" s="17"/>
      <c r="J1887" s="17"/>
      <c r="K1887" s="17"/>
      <c r="L1887" s="17"/>
      <c r="M1887" s="17"/>
      <c r="N1887" s="17"/>
      <c r="O1887" s="17"/>
    </row>
    <row r="1888" spans="5:15" x14ac:dyDescent="0.25">
      <c r="E1888" s="17"/>
      <c r="F1888" s="17"/>
      <c r="G1888" s="17"/>
      <c r="H1888" s="17"/>
      <c r="J1888" s="17"/>
      <c r="K1888" s="17"/>
      <c r="L1888" s="17"/>
      <c r="M1888" s="17"/>
      <c r="N1888" s="17"/>
      <c r="O1888" s="17"/>
    </row>
    <row r="1889" spans="5:15" x14ac:dyDescent="0.25">
      <c r="E1889" s="17"/>
      <c r="F1889" s="17"/>
      <c r="G1889" s="17"/>
      <c r="H1889" s="17"/>
      <c r="J1889" s="17"/>
      <c r="K1889" s="17"/>
      <c r="L1889" s="17"/>
      <c r="M1889" s="17"/>
      <c r="N1889" s="17"/>
      <c r="O1889" s="17"/>
    </row>
    <row r="1890" spans="5:15" x14ac:dyDescent="0.25">
      <c r="E1890" s="17"/>
      <c r="F1890" s="17"/>
      <c r="G1890" s="17"/>
      <c r="H1890" s="17"/>
      <c r="J1890" s="17"/>
      <c r="K1890" s="17"/>
      <c r="L1890" s="17"/>
      <c r="M1890" s="17"/>
      <c r="N1890" s="17"/>
      <c r="O1890" s="17"/>
    </row>
    <row r="1891" spans="5:15" x14ac:dyDescent="0.25">
      <c r="E1891" s="17"/>
      <c r="F1891" s="17"/>
      <c r="G1891" s="17"/>
      <c r="H1891" s="17"/>
      <c r="J1891" s="17"/>
      <c r="K1891" s="17"/>
      <c r="L1891" s="17"/>
      <c r="M1891" s="17"/>
      <c r="N1891" s="17"/>
      <c r="O1891" s="17"/>
    </row>
    <row r="1892" spans="5:15" x14ac:dyDescent="0.25">
      <c r="E1892" s="17"/>
      <c r="F1892" s="17"/>
      <c r="G1892" s="17"/>
      <c r="H1892" s="17"/>
      <c r="J1892" s="17"/>
      <c r="K1892" s="17"/>
      <c r="L1892" s="17"/>
      <c r="M1892" s="17"/>
      <c r="N1892" s="17"/>
      <c r="O1892" s="17"/>
    </row>
    <row r="1893" spans="5:15" x14ac:dyDescent="0.25">
      <c r="E1893" s="17"/>
      <c r="F1893" s="17"/>
      <c r="G1893" s="17"/>
      <c r="H1893" s="17"/>
      <c r="J1893" s="17"/>
      <c r="K1893" s="17"/>
      <c r="L1893" s="17"/>
      <c r="M1893" s="17"/>
      <c r="N1893" s="17"/>
      <c r="O1893" s="17"/>
    </row>
    <row r="1894" spans="5:15" x14ac:dyDescent="0.25">
      <c r="E1894" s="17"/>
      <c r="F1894" s="17"/>
      <c r="G1894" s="17"/>
      <c r="H1894" s="17"/>
      <c r="J1894" s="17"/>
      <c r="K1894" s="17"/>
      <c r="L1894" s="17"/>
      <c r="M1894" s="17"/>
      <c r="N1894" s="17"/>
      <c r="O1894" s="17"/>
    </row>
    <row r="1895" spans="5:15" x14ac:dyDescent="0.25">
      <c r="E1895" s="17"/>
      <c r="F1895" s="17"/>
      <c r="G1895" s="17"/>
      <c r="H1895" s="17"/>
      <c r="J1895" s="17"/>
      <c r="K1895" s="17"/>
      <c r="L1895" s="17"/>
      <c r="M1895" s="17"/>
      <c r="N1895" s="17"/>
      <c r="O1895" s="17"/>
    </row>
    <row r="1896" spans="5:15" x14ac:dyDescent="0.25">
      <c r="E1896" s="17"/>
      <c r="F1896" s="17"/>
      <c r="G1896" s="17"/>
      <c r="H1896" s="17"/>
      <c r="J1896" s="17"/>
      <c r="K1896" s="17"/>
      <c r="L1896" s="17"/>
      <c r="M1896" s="17"/>
      <c r="N1896" s="17"/>
      <c r="O1896" s="17"/>
    </row>
    <row r="1897" spans="5:15" x14ac:dyDescent="0.25">
      <c r="E1897" s="17"/>
      <c r="F1897" s="17"/>
      <c r="G1897" s="17"/>
      <c r="H1897" s="17"/>
      <c r="J1897" s="17"/>
      <c r="K1897" s="17"/>
      <c r="L1897" s="17"/>
      <c r="M1897" s="17"/>
      <c r="N1897" s="17"/>
      <c r="O1897" s="17"/>
    </row>
    <row r="1898" spans="5:15" x14ac:dyDescent="0.25">
      <c r="E1898" s="17"/>
      <c r="F1898" s="17"/>
      <c r="G1898" s="17"/>
      <c r="H1898" s="17"/>
      <c r="J1898" s="17"/>
      <c r="K1898" s="17"/>
      <c r="L1898" s="17"/>
      <c r="M1898" s="17"/>
      <c r="N1898" s="17"/>
      <c r="O1898" s="17"/>
    </row>
    <row r="1899" spans="5:15" x14ac:dyDescent="0.25">
      <c r="E1899" s="17"/>
      <c r="F1899" s="17"/>
      <c r="G1899" s="17"/>
      <c r="H1899" s="17"/>
      <c r="J1899" s="17"/>
      <c r="K1899" s="17"/>
      <c r="L1899" s="17"/>
      <c r="M1899" s="17"/>
      <c r="N1899" s="17"/>
      <c r="O1899" s="17"/>
    </row>
    <row r="1900" spans="5:15" x14ac:dyDescent="0.25">
      <c r="E1900" s="17"/>
      <c r="F1900" s="17"/>
      <c r="G1900" s="17"/>
      <c r="H1900" s="17"/>
      <c r="J1900" s="17"/>
      <c r="K1900" s="17"/>
      <c r="L1900" s="17"/>
      <c r="M1900" s="17"/>
      <c r="N1900" s="17"/>
      <c r="O1900" s="17"/>
    </row>
    <row r="1901" spans="5:15" x14ac:dyDescent="0.25">
      <c r="E1901" s="17"/>
      <c r="F1901" s="17"/>
      <c r="G1901" s="17"/>
      <c r="H1901" s="17"/>
      <c r="J1901" s="17"/>
      <c r="K1901" s="17"/>
      <c r="L1901" s="17"/>
      <c r="M1901" s="17"/>
      <c r="N1901" s="17"/>
      <c r="O1901" s="17"/>
    </row>
    <row r="1902" spans="5:15" x14ac:dyDescent="0.25">
      <c r="E1902" s="17"/>
      <c r="F1902" s="17"/>
      <c r="G1902" s="17"/>
      <c r="H1902" s="17"/>
      <c r="J1902" s="17"/>
      <c r="K1902" s="17"/>
      <c r="L1902" s="17"/>
      <c r="M1902" s="17"/>
      <c r="N1902" s="17"/>
      <c r="O1902" s="17"/>
    </row>
    <row r="1903" spans="5:15" x14ac:dyDescent="0.25">
      <c r="E1903" s="17"/>
      <c r="F1903" s="17"/>
      <c r="G1903" s="17"/>
      <c r="H1903" s="17"/>
      <c r="J1903" s="17"/>
      <c r="K1903" s="17"/>
      <c r="L1903" s="17"/>
      <c r="M1903" s="17"/>
      <c r="N1903" s="17"/>
      <c r="O1903" s="17"/>
    </row>
    <row r="1904" spans="5:15" x14ac:dyDescent="0.25">
      <c r="E1904" s="17"/>
      <c r="F1904" s="17"/>
      <c r="G1904" s="17"/>
      <c r="H1904" s="17"/>
      <c r="J1904" s="17"/>
      <c r="K1904" s="17"/>
      <c r="L1904" s="17"/>
      <c r="M1904" s="17"/>
      <c r="N1904" s="17"/>
      <c r="O1904" s="17"/>
    </row>
    <row r="1905" spans="5:15" x14ac:dyDescent="0.25">
      <c r="E1905" s="17"/>
      <c r="F1905" s="17"/>
      <c r="G1905" s="17"/>
      <c r="H1905" s="17"/>
      <c r="J1905" s="17"/>
      <c r="K1905" s="17"/>
      <c r="L1905" s="17"/>
      <c r="M1905" s="17"/>
      <c r="N1905" s="17"/>
      <c r="O1905" s="17"/>
    </row>
    <row r="1906" spans="5:15" x14ac:dyDescent="0.25">
      <c r="E1906" s="17"/>
      <c r="F1906" s="17"/>
      <c r="G1906" s="17"/>
      <c r="H1906" s="17"/>
      <c r="J1906" s="17"/>
      <c r="K1906" s="17"/>
      <c r="L1906" s="17"/>
      <c r="M1906" s="17"/>
      <c r="N1906" s="17"/>
      <c r="O1906" s="17"/>
    </row>
    <row r="1907" spans="5:15" x14ac:dyDescent="0.25">
      <c r="E1907" s="17"/>
      <c r="F1907" s="17"/>
      <c r="G1907" s="17"/>
      <c r="H1907" s="17"/>
      <c r="J1907" s="17"/>
      <c r="K1907" s="17"/>
      <c r="L1907" s="17"/>
      <c r="M1907" s="17"/>
      <c r="N1907" s="17"/>
      <c r="O1907" s="17"/>
    </row>
    <row r="1908" spans="5:15" x14ac:dyDescent="0.25">
      <c r="E1908" s="17"/>
      <c r="F1908" s="17"/>
      <c r="G1908" s="17"/>
      <c r="H1908" s="17"/>
      <c r="J1908" s="17"/>
      <c r="K1908" s="17"/>
      <c r="L1908" s="17"/>
      <c r="M1908" s="17"/>
      <c r="N1908" s="17"/>
      <c r="O1908" s="17"/>
    </row>
    <row r="1909" spans="5:15" x14ac:dyDescent="0.25">
      <c r="E1909" s="17"/>
      <c r="F1909" s="17"/>
      <c r="G1909" s="17"/>
      <c r="H1909" s="17"/>
      <c r="J1909" s="17"/>
      <c r="K1909" s="17"/>
      <c r="L1909" s="17"/>
      <c r="M1909" s="17"/>
      <c r="N1909" s="17"/>
      <c r="O1909" s="17"/>
    </row>
    <row r="1910" spans="5:15" x14ac:dyDescent="0.25">
      <c r="E1910" s="17"/>
      <c r="F1910" s="17"/>
      <c r="G1910" s="17"/>
      <c r="H1910" s="17"/>
      <c r="J1910" s="17"/>
      <c r="K1910" s="17"/>
      <c r="L1910" s="17"/>
      <c r="M1910" s="17"/>
      <c r="N1910" s="17"/>
      <c r="O1910" s="17"/>
    </row>
    <row r="1911" spans="5:15" x14ac:dyDescent="0.25">
      <c r="E1911" s="17"/>
      <c r="F1911" s="17"/>
      <c r="G1911" s="17"/>
      <c r="H1911" s="17"/>
      <c r="J1911" s="17"/>
      <c r="K1911" s="17"/>
      <c r="L1911" s="17"/>
      <c r="M1911" s="17"/>
      <c r="N1911" s="17"/>
      <c r="O1911" s="17"/>
    </row>
    <row r="1912" spans="5:15" x14ac:dyDescent="0.25">
      <c r="E1912" s="17"/>
      <c r="F1912" s="17"/>
      <c r="G1912" s="17"/>
      <c r="H1912" s="17"/>
      <c r="J1912" s="17"/>
      <c r="K1912" s="17"/>
      <c r="L1912" s="17"/>
      <c r="M1912" s="17"/>
      <c r="N1912" s="17"/>
      <c r="O1912" s="17"/>
    </row>
    <row r="1913" spans="5:15" x14ac:dyDescent="0.25">
      <c r="E1913" s="17"/>
      <c r="F1913" s="17"/>
      <c r="G1913" s="17"/>
      <c r="H1913" s="17"/>
      <c r="J1913" s="17"/>
      <c r="K1913" s="17"/>
      <c r="L1913" s="17"/>
      <c r="M1913" s="17"/>
      <c r="N1913" s="17"/>
      <c r="O1913" s="17"/>
    </row>
    <row r="1914" spans="5:15" x14ac:dyDescent="0.25">
      <c r="E1914" s="17"/>
      <c r="F1914" s="17"/>
      <c r="G1914" s="17"/>
      <c r="H1914" s="17"/>
      <c r="J1914" s="17"/>
      <c r="K1914" s="17"/>
      <c r="L1914" s="17"/>
      <c r="M1914" s="17"/>
      <c r="N1914" s="17"/>
      <c r="O1914" s="17"/>
    </row>
    <row r="1915" spans="5:15" x14ac:dyDescent="0.25">
      <c r="E1915" s="17"/>
      <c r="F1915" s="17"/>
      <c r="G1915" s="17"/>
      <c r="H1915" s="17"/>
      <c r="J1915" s="17"/>
      <c r="K1915" s="17"/>
      <c r="L1915" s="17"/>
      <c r="M1915" s="17"/>
      <c r="N1915" s="17"/>
      <c r="O1915" s="17"/>
    </row>
    <row r="1916" spans="5:15" x14ac:dyDescent="0.25">
      <c r="E1916" s="17"/>
      <c r="F1916" s="17"/>
      <c r="G1916" s="17"/>
      <c r="H1916" s="17"/>
      <c r="J1916" s="17"/>
      <c r="K1916" s="17"/>
      <c r="L1916" s="17"/>
      <c r="M1916" s="17"/>
      <c r="N1916" s="17"/>
      <c r="O1916" s="17"/>
    </row>
    <row r="1917" spans="5:15" x14ac:dyDescent="0.25">
      <c r="E1917" s="17"/>
      <c r="F1917" s="17"/>
      <c r="G1917" s="17"/>
      <c r="H1917" s="17"/>
      <c r="J1917" s="17"/>
      <c r="K1917" s="17"/>
      <c r="L1917" s="17"/>
      <c r="M1917" s="17"/>
      <c r="N1917" s="17"/>
      <c r="O1917" s="17"/>
    </row>
    <row r="1918" spans="5:15" x14ac:dyDescent="0.25">
      <c r="E1918" s="17"/>
      <c r="F1918" s="17"/>
      <c r="G1918" s="17"/>
      <c r="H1918" s="17"/>
      <c r="J1918" s="17"/>
      <c r="K1918" s="17"/>
      <c r="L1918" s="17"/>
      <c r="M1918" s="17"/>
      <c r="N1918" s="17"/>
      <c r="O1918" s="17"/>
    </row>
    <row r="1919" spans="5:15" x14ac:dyDescent="0.25">
      <c r="E1919" s="17"/>
      <c r="F1919" s="17"/>
      <c r="G1919" s="17"/>
      <c r="H1919" s="17"/>
      <c r="J1919" s="17"/>
      <c r="K1919" s="17"/>
      <c r="L1919" s="17"/>
      <c r="M1919" s="17"/>
      <c r="N1919" s="17"/>
      <c r="O1919" s="17"/>
    </row>
    <row r="1920" spans="5:15" x14ac:dyDescent="0.25">
      <c r="E1920" s="17"/>
      <c r="F1920" s="17"/>
      <c r="G1920" s="17"/>
      <c r="H1920" s="17"/>
      <c r="J1920" s="17"/>
      <c r="K1920" s="17"/>
      <c r="L1920" s="17"/>
      <c r="M1920" s="17"/>
      <c r="N1920" s="17"/>
      <c r="O1920" s="17"/>
    </row>
    <row r="1921" spans="5:15" x14ac:dyDescent="0.25">
      <c r="E1921" s="17"/>
      <c r="F1921" s="17"/>
      <c r="G1921" s="17"/>
      <c r="H1921" s="17"/>
      <c r="J1921" s="17"/>
      <c r="K1921" s="17"/>
      <c r="L1921" s="17"/>
      <c r="M1921" s="17"/>
      <c r="N1921" s="17"/>
      <c r="O1921" s="17"/>
    </row>
    <row r="1922" spans="5:15" x14ac:dyDescent="0.25">
      <c r="E1922" s="17"/>
      <c r="F1922" s="17"/>
      <c r="G1922" s="17"/>
      <c r="H1922" s="17"/>
      <c r="J1922" s="17"/>
      <c r="K1922" s="17"/>
      <c r="L1922" s="17"/>
      <c r="M1922" s="17"/>
      <c r="N1922" s="17"/>
      <c r="O1922" s="17"/>
    </row>
    <row r="1923" spans="5:15" x14ac:dyDescent="0.25">
      <c r="E1923" s="17"/>
      <c r="F1923" s="17"/>
      <c r="G1923" s="17"/>
      <c r="H1923" s="17"/>
      <c r="J1923" s="17"/>
      <c r="K1923" s="17"/>
      <c r="L1923" s="17"/>
      <c r="M1923" s="17"/>
      <c r="N1923" s="17"/>
      <c r="O1923" s="17"/>
    </row>
    <row r="1924" spans="5:15" x14ac:dyDescent="0.25">
      <c r="E1924" s="17"/>
      <c r="F1924" s="17"/>
      <c r="G1924" s="17"/>
      <c r="H1924" s="17"/>
      <c r="J1924" s="17"/>
      <c r="K1924" s="17"/>
      <c r="L1924" s="17"/>
      <c r="M1924" s="17"/>
      <c r="N1924" s="17"/>
      <c r="O1924" s="17"/>
    </row>
    <row r="1925" spans="5:15" x14ac:dyDescent="0.25">
      <c r="E1925" s="17"/>
      <c r="F1925" s="17"/>
      <c r="G1925" s="17"/>
      <c r="H1925" s="17"/>
      <c r="J1925" s="17"/>
      <c r="K1925" s="17"/>
      <c r="L1925" s="17"/>
      <c r="M1925" s="17"/>
      <c r="N1925" s="17"/>
      <c r="O1925" s="17"/>
    </row>
    <row r="1926" spans="5:15" x14ac:dyDescent="0.25">
      <c r="E1926" s="17"/>
      <c r="F1926" s="17"/>
      <c r="G1926" s="17"/>
      <c r="H1926" s="17"/>
      <c r="J1926" s="17"/>
      <c r="K1926" s="17"/>
      <c r="L1926" s="17"/>
      <c r="M1926" s="17"/>
      <c r="N1926" s="17"/>
      <c r="O1926" s="17"/>
    </row>
    <row r="1927" spans="5:15" x14ac:dyDescent="0.25">
      <c r="E1927" s="17"/>
      <c r="F1927" s="17"/>
      <c r="G1927" s="17"/>
      <c r="H1927" s="17"/>
      <c r="J1927" s="17"/>
      <c r="K1927" s="17"/>
      <c r="L1927" s="17"/>
      <c r="M1927" s="17"/>
      <c r="N1927" s="17"/>
      <c r="O1927" s="17"/>
    </row>
    <row r="1928" spans="5:15" x14ac:dyDescent="0.25">
      <c r="E1928" s="17"/>
      <c r="F1928" s="17"/>
      <c r="G1928" s="17"/>
      <c r="H1928" s="17"/>
      <c r="J1928" s="17"/>
      <c r="K1928" s="17"/>
      <c r="L1928" s="17"/>
      <c r="M1928" s="17"/>
      <c r="N1928" s="17"/>
      <c r="O1928" s="17"/>
    </row>
    <row r="1929" spans="5:15" x14ac:dyDescent="0.25">
      <c r="E1929" s="17"/>
      <c r="F1929" s="17"/>
      <c r="G1929" s="17"/>
      <c r="H1929" s="17"/>
      <c r="J1929" s="17"/>
      <c r="K1929" s="17"/>
      <c r="L1929" s="17"/>
      <c r="M1929" s="17"/>
      <c r="N1929" s="17"/>
      <c r="O1929" s="17"/>
    </row>
    <row r="1930" spans="5:15" x14ac:dyDescent="0.25">
      <c r="E1930" s="17"/>
      <c r="F1930" s="17"/>
      <c r="G1930" s="17"/>
      <c r="H1930" s="17"/>
      <c r="J1930" s="17"/>
      <c r="K1930" s="17"/>
      <c r="L1930" s="17"/>
      <c r="M1930" s="17"/>
      <c r="N1930" s="17"/>
      <c r="O1930" s="17"/>
    </row>
    <row r="1931" spans="5:15" x14ac:dyDescent="0.25">
      <c r="E1931" s="17"/>
      <c r="F1931" s="17"/>
      <c r="G1931" s="17"/>
      <c r="H1931" s="17"/>
      <c r="J1931" s="17"/>
      <c r="K1931" s="17"/>
      <c r="L1931" s="17"/>
      <c r="M1931" s="17"/>
      <c r="N1931" s="17"/>
      <c r="O1931" s="17"/>
    </row>
    <row r="1932" spans="5:15" x14ac:dyDescent="0.25">
      <c r="E1932" s="17"/>
      <c r="F1932" s="17"/>
      <c r="G1932" s="17"/>
      <c r="H1932" s="17"/>
      <c r="J1932" s="17"/>
      <c r="K1932" s="17"/>
      <c r="L1932" s="17"/>
      <c r="M1932" s="17"/>
      <c r="N1932" s="17"/>
      <c r="O1932" s="17"/>
    </row>
    <row r="1933" spans="5:15" x14ac:dyDescent="0.25">
      <c r="E1933" s="17"/>
      <c r="F1933" s="17"/>
      <c r="G1933" s="17"/>
      <c r="H1933" s="17"/>
      <c r="J1933" s="17"/>
      <c r="K1933" s="17"/>
      <c r="L1933" s="17"/>
      <c r="M1933" s="17"/>
      <c r="N1933" s="17"/>
      <c r="O1933" s="17"/>
    </row>
    <row r="1934" spans="5:15" x14ac:dyDescent="0.25">
      <c r="E1934" s="17"/>
      <c r="F1934" s="17"/>
      <c r="G1934" s="17"/>
      <c r="H1934" s="17"/>
      <c r="J1934" s="17"/>
      <c r="K1934" s="17"/>
      <c r="L1934" s="17"/>
      <c r="M1934" s="17"/>
      <c r="N1934" s="17"/>
      <c r="O1934" s="17"/>
    </row>
    <row r="1935" spans="5:15" x14ac:dyDescent="0.25">
      <c r="E1935" s="17"/>
      <c r="F1935" s="17"/>
      <c r="G1935" s="17"/>
      <c r="H1935" s="17"/>
      <c r="J1935" s="17"/>
      <c r="K1935" s="17"/>
      <c r="L1935" s="17"/>
      <c r="M1935" s="17"/>
      <c r="N1935" s="17"/>
      <c r="O1935" s="17"/>
    </row>
    <row r="1936" spans="5:15" x14ac:dyDescent="0.25">
      <c r="E1936" s="17"/>
      <c r="F1936" s="17"/>
      <c r="G1936" s="17"/>
      <c r="H1936" s="17"/>
      <c r="J1936" s="17"/>
      <c r="K1936" s="17"/>
      <c r="L1936" s="17"/>
      <c r="M1936" s="17"/>
      <c r="N1936" s="17"/>
      <c r="O1936" s="17"/>
    </row>
    <row r="1937" spans="5:15" x14ac:dyDescent="0.25">
      <c r="E1937" s="17"/>
      <c r="F1937" s="17"/>
      <c r="G1937" s="17"/>
      <c r="H1937" s="17"/>
      <c r="J1937" s="17"/>
      <c r="K1937" s="17"/>
      <c r="L1937" s="17"/>
      <c r="M1937" s="17"/>
      <c r="N1937" s="17"/>
      <c r="O1937" s="17"/>
    </row>
    <row r="1938" spans="5:15" x14ac:dyDescent="0.25">
      <c r="E1938" s="17"/>
      <c r="F1938" s="17"/>
      <c r="G1938" s="17"/>
      <c r="H1938" s="17"/>
      <c r="J1938" s="17"/>
      <c r="K1938" s="17"/>
      <c r="L1938" s="17"/>
      <c r="M1938" s="17"/>
      <c r="N1938" s="17"/>
      <c r="O1938" s="17"/>
    </row>
    <row r="1939" spans="5:15" x14ac:dyDescent="0.25">
      <c r="E1939" s="17"/>
      <c r="F1939" s="17"/>
      <c r="G1939" s="17"/>
      <c r="H1939" s="17"/>
      <c r="J1939" s="17"/>
      <c r="K1939" s="17"/>
      <c r="L1939" s="17"/>
      <c r="M1939" s="17"/>
      <c r="N1939" s="17"/>
      <c r="O1939" s="17"/>
    </row>
    <row r="1940" spans="5:15" x14ac:dyDescent="0.25">
      <c r="E1940" s="17"/>
      <c r="F1940" s="17"/>
      <c r="G1940" s="17"/>
      <c r="H1940" s="17"/>
      <c r="J1940" s="17"/>
      <c r="K1940" s="17"/>
      <c r="L1940" s="17"/>
      <c r="M1940" s="17"/>
      <c r="N1940" s="17"/>
      <c r="O1940" s="17"/>
    </row>
    <row r="1941" spans="5:15" x14ac:dyDescent="0.25">
      <c r="E1941" s="17"/>
      <c r="F1941" s="17"/>
      <c r="G1941" s="17"/>
      <c r="H1941" s="17"/>
      <c r="J1941" s="17"/>
      <c r="K1941" s="17"/>
      <c r="L1941" s="17"/>
      <c r="M1941" s="17"/>
      <c r="N1941" s="17"/>
      <c r="O1941" s="17"/>
    </row>
    <row r="1942" spans="5:15" x14ac:dyDescent="0.25">
      <c r="E1942" s="17"/>
      <c r="F1942" s="17"/>
      <c r="G1942" s="17"/>
      <c r="H1942" s="17"/>
      <c r="J1942" s="17"/>
      <c r="K1942" s="17"/>
      <c r="L1942" s="17"/>
      <c r="M1942" s="17"/>
      <c r="N1942" s="17"/>
      <c r="O1942" s="17"/>
    </row>
    <row r="1943" spans="5:15" x14ac:dyDescent="0.25">
      <c r="E1943" s="17"/>
      <c r="F1943" s="17"/>
      <c r="G1943" s="17"/>
      <c r="H1943" s="17"/>
      <c r="J1943" s="17"/>
      <c r="K1943" s="17"/>
      <c r="L1943" s="17"/>
      <c r="M1943" s="17"/>
      <c r="N1943" s="17"/>
      <c r="O1943" s="17"/>
    </row>
    <row r="1944" spans="5:15" x14ac:dyDescent="0.25">
      <c r="E1944" s="17"/>
      <c r="F1944" s="17"/>
      <c r="G1944" s="17"/>
      <c r="H1944" s="17"/>
      <c r="J1944" s="17"/>
      <c r="K1944" s="17"/>
      <c r="L1944" s="17"/>
      <c r="M1944" s="17"/>
      <c r="N1944" s="17"/>
      <c r="O1944" s="17"/>
    </row>
    <row r="1945" spans="5:15" x14ac:dyDescent="0.25">
      <c r="E1945" s="17"/>
      <c r="F1945" s="17"/>
      <c r="G1945" s="17"/>
      <c r="H1945" s="17"/>
      <c r="J1945" s="17"/>
      <c r="K1945" s="17"/>
      <c r="L1945" s="17"/>
      <c r="M1945" s="17"/>
      <c r="N1945" s="17"/>
      <c r="O1945" s="17"/>
    </row>
    <row r="1946" spans="5:15" x14ac:dyDescent="0.25">
      <c r="E1946" s="17"/>
      <c r="F1946" s="17"/>
      <c r="G1946" s="17"/>
      <c r="H1946" s="17"/>
      <c r="J1946" s="17"/>
      <c r="K1946" s="17"/>
      <c r="L1946" s="17"/>
      <c r="M1946" s="17"/>
      <c r="N1946" s="17"/>
      <c r="O1946" s="17"/>
    </row>
    <row r="1947" spans="5:15" x14ac:dyDescent="0.25">
      <c r="E1947" s="17"/>
      <c r="F1947" s="17"/>
      <c r="G1947" s="17"/>
      <c r="H1947" s="17"/>
      <c r="J1947" s="17"/>
      <c r="K1947" s="17"/>
      <c r="L1947" s="17"/>
      <c r="M1947" s="17"/>
      <c r="N1947" s="17"/>
      <c r="O1947" s="17"/>
    </row>
    <row r="1948" spans="5:15" x14ac:dyDescent="0.25">
      <c r="E1948" s="17"/>
      <c r="F1948" s="17"/>
      <c r="G1948" s="17"/>
      <c r="H1948" s="17"/>
      <c r="J1948" s="17"/>
      <c r="K1948" s="17"/>
      <c r="L1948" s="17"/>
      <c r="M1948" s="17"/>
      <c r="N1948" s="17"/>
      <c r="O1948" s="17"/>
    </row>
    <row r="1949" spans="5:15" x14ac:dyDescent="0.25">
      <c r="E1949" s="17"/>
      <c r="F1949" s="17"/>
      <c r="G1949" s="17"/>
      <c r="H1949" s="17"/>
      <c r="J1949" s="17"/>
      <c r="K1949" s="17"/>
      <c r="L1949" s="17"/>
      <c r="M1949" s="17"/>
      <c r="N1949" s="17"/>
      <c r="O1949" s="17"/>
    </row>
    <row r="1950" spans="5:15" x14ac:dyDescent="0.25">
      <c r="E1950" s="17"/>
      <c r="F1950" s="17"/>
      <c r="G1950" s="17"/>
      <c r="H1950" s="17"/>
      <c r="J1950" s="17"/>
      <c r="K1950" s="17"/>
      <c r="L1950" s="17"/>
      <c r="M1950" s="17"/>
      <c r="N1950" s="17"/>
      <c r="O1950" s="17"/>
    </row>
    <row r="1951" spans="5:15" x14ac:dyDescent="0.25">
      <c r="E1951" s="17"/>
      <c r="F1951" s="17"/>
      <c r="G1951" s="17"/>
      <c r="H1951" s="17"/>
      <c r="J1951" s="17"/>
      <c r="K1951" s="17"/>
      <c r="L1951" s="17"/>
      <c r="M1951" s="17"/>
      <c r="N1951" s="17"/>
      <c r="O1951" s="17"/>
    </row>
    <row r="1952" spans="5:15" x14ac:dyDescent="0.25">
      <c r="E1952" s="17"/>
      <c r="F1952" s="17"/>
      <c r="G1952" s="17"/>
      <c r="H1952" s="17"/>
      <c r="J1952" s="17"/>
      <c r="K1952" s="17"/>
      <c r="L1952" s="17"/>
      <c r="M1952" s="17"/>
      <c r="N1952" s="17"/>
      <c r="O1952" s="17"/>
    </row>
    <row r="1953" spans="5:15" x14ac:dyDescent="0.25">
      <c r="E1953" s="17"/>
      <c r="F1953" s="17"/>
      <c r="G1953" s="17"/>
      <c r="H1953" s="17"/>
      <c r="J1953" s="17"/>
      <c r="K1953" s="17"/>
      <c r="L1953" s="17"/>
      <c r="M1953" s="17"/>
      <c r="N1953" s="17"/>
      <c r="O1953" s="17"/>
    </row>
    <row r="1954" spans="5:15" x14ac:dyDescent="0.25">
      <c r="E1954" s="17"/>
      <c r="F1954" s="17"/>
      <c r="G1954" s="17"/>
      <c r="H1954" s="17"/>
      <c r="J1954" s="17"/>
      <c r="K1954" s="17"/>
      <c r="L1954" s="17"/>
      <c r="M1954" s="17"/>
      <c r="N1954" s="17"/>
      <c r="O1954" s="17"/>
    </row>
    <row r="1955" spans="5:15" x14ac:dyDescent="0.25">
      <c r="E1955" s="17"/>
      <c r="F1955" s="17"/>
      <c r="G1955" s="17"/>
      <c r="H1955" s="17"/>
      <c r="J1955" s="17"/>
      <c r="K1955" s="17"/>
      <c r="L1955" s="17"/>
      <c r="M1955" s="17"/>
      <c r="N1955" s="17"/>
      <c r="O1955" s="17"/>
    </row>
    <row r="1956" spans="5:15" x14ac:dyDescent="0.25">
      <c r="E1956" s="17"/>
      <c r="F1956" s="17"/>
      <c r="G1956" s="17"/>
      <c r="H1956" s="17"/>
      <c r="J1956" s="17"/>
      <c r="K1956" s="17"/>
      <c r="L1956" s="17"/>
      <c r="M1956" s="17"/>
      <c r="N1956" s="17"/>
      <c r="O1956" s="17"/>
    </row>
    <row r="1957" spans="5:15" x14ac:dyDescent="0.25">
      <c r="E1957" s="17"/>
      <c r="F1957" s="17"/>
      <c r="G1957" s="17"/>
      <c r="H1957" s="17"/>
      <c r="J1957" s="17"/>
      <c r="K1957" s="17"/>
      <c r="L1957" s="17"/>
      <c r="M1957" s="17"/>
      <c r="N1957" s="17"/>
      <c r="O1957" s="17"/>
    </row>
    <row r="1958" spans="5:15" x14ac:dyDescent="0.25">
      <c r="E1958" s="17"/>
      <c r="F1958" s="17"/>
      <c r="G1958" s="17"/>
      <c r="H1958" s="17"/>
      <c r="J1958" s="17"/>
      <c r="K1958" s="17"/>
      <c r="L1958" s="17"/>
      <c r="M1958" s="17"/>
      <c r="N1958" s="17"/>
      <c r="O1958" s="17"/>
    </row>
    <row r="1959" spans="5:15" x14ac:dyDescent="0.25">
      <c r="E1959" s="17"/>
      <c r="F1959" s="17"/>
      <c r="G1959" s="17"/>
      <c r="H1959" s="17"/>
      <c r="J1959" s="17"/>
      <c r="K1959" s="17"/>
      <c r="L1959" s="17"/>
      <c r="M1959" s="17"/>
      <c r="N1959" s="17"/>
      <c r="O1959" s="17"/>
    </row>
    <row r="1960" spans="5:15" x14ac:dyDescent="0.25">
      <c r="E1960" s="17"/>
      <c r="F1960" s="17"/>
      <c r="G1960" s="17"/>
      <c r="H1960" s="17"/>
      <c r="J1960" s="17"/>
      <c r="K1960" s="17"/>
      <c r="L1960" s="17"/>
      <c r="M1960" s="17"/>
      <c r="N1960" s="17"/>
      <c r="O1960" s="17"/>
    </row>
    <row r="1961" spans="5:15" x14ac:dyDescent="0.25">
      <c r="E1961" s="17"/>
      <c r="F1961" s="17"/>
      <c r="G1961" s="17"/>
      <c r="H1961" s="17"/>
      <c r="J1961" s="17"/>
      <c r="K1961" s="17"/>
      <c r="L1961" s="17"/>
      <c r="M1961" s="17"/>
      <c r="N1961" s="17"/>
      <c r="O1961" s="17"/>
    </row>
    <row r="1962" spans="5:15" x14ac:dyDescent="0.25">
      <c r="E1962" s="17"/>
      <c r="F1962" s="17"/>
      <c r="G1962" s="17"/>
      <c r="H1962" s="17"/>
      <c r="J1962" s="17"/>
      <c r="K1962" s="17"/>
      <c r="L1962" s="17"/>
      <c r="M1962" s="17"/>
      <c r="N1962" s="17"/>
      <c r="O1962" s="17"/>
    </row>
    <row r="1963" spans="5:15" x14ac:dyDescent="0.25">
      <c r="E1963" s="17"/>
      <c r="F1963" s="17"/>
      <c r="G1963" s="17"/>
      <c r="H1963" s="17"/>
      <c r="J1963" s="17"/>
      <c r="K1963" s="17"/>
      <c r="L1963" s="17"/>
      <c r="M1963" s="17"/>
      <c r="N1963" s="17"/>
      <c r="O1963" s="17"/>
    </row>
    <row r="1964" spans="5:15" x14ac:dyDescent="0.25">
      <c r="E1964" s="17"/>
      <c r="F1964" s="17"/>
      <c r="G1964" s="17"/>
      <c r="H1964" s="17"/>
      <c r="J1964" s="17"/>
      <c r="K1964" s="17"/>
      <c r="L1964" s="17"/>
      <c r="M1964" s="17"/>
      <c r="N1964" s="17"/>
      <c r="O1964" s="17"/>
    </row>
    <row r="1965" spans="5:15" x14ac:dyDescent="0.25">
      <c r="E1965" s="17"/>
      <c r="F1965" s="17"/>
      <c r="G1965" s="17"/>
      <c r="H1965" s="17"/>
      <c r="J1965" s="17"/>
      <c r="K1965" s="17"/>
      <c r="L1965" s="17"/>
      <c r="M1965" s="17"/>
      <c r="N1965" s="17"/>
      <c r="O1965" s="17"/>
    </row>
    <row r="1966" spans="5:15" x14ac:dyDescent="0.25">
      <c r="E1966" s="17"/>
      <c r="F1966" s="17"/>
      <c r="G1966" s="17"/>
      <c r="H1966" s="17"/>
      <c r="J1966" s="17"/>
      <c r="K1966" s="17"/>
      <c r="L1966" s="17"/>
      <c r="M1966" s="17"/>
      <c r="N1966" s="17"/>
      <c r="O1966" s="17"/>
    </row>
    <row r="1967" spans="5:15" x14ac:dyDescent="0.25">
      <c r="E1967" s="17"/>
      <c r="F1967" s="17"/>
      <c r="G1967" s="17"/>
      <c r="H1967" s="17"/>
      <c r="J1967" s="17"/>
      <c r="K1967" s="17"/>
      <c r="L1967" s="17"/>
      <c r="M1967" s="17"/>
      <c r="N1967" s="17"/>
      <c r="O1967" s="17"/>
    </row>
    <row r="1968" spans="5:15" x14ac:dyDescent="0.25">
      <c r="E1968" s="17"/>
      <c r="F1968" s="17"/>
      <c r="G1968" s="17"/>
      <c r="H1968" s="17"/>
      <c r="J1968" s="17"/>
      <c r="K1968" s="17"/>
      <c r="L1968" s="17"/>
      <c r="M1968" s="17"/>
      <c r="N1968" s="17"/>
      <c r="O1968" s="17"/>
    </row>
    <row r="1969" spans="5:15" x14ac:dyDescent="0.25">
      <c r="E1969" s="17"/>
      <c r="F1969" s="17"/>
      <c r="G1969" s="17"/>
      <c r="H1969" s="17"/>
      <c r="J1969" s="17"/>
      <c r="K1969" s="17"/>
      <c r="L1969" s="17"/>
      <c r="M1969" s="17"/>
      <c r="N1969" s="17"/>
      <c r="O1969" s="17"/>
    </row>
    <row r="1970" spans="5:15" x14ac:dyDescent="0.25">
      <c r="E1970" s="17"/>
      <c r="F1970" s="17"/>
      <c r="G1970" s="17"/>
      <c r="H1970" s="17"/>
      <c r="J1970" s="17"/>
      <c r="K1970" s="17"/>
      <c r="L1970" s="17"/>
      <c r="M1970" s="17"/>
      <c r="N1970" s="17"/>
      <c r="O1970" s="17"/>
    </row>
    <row r="1971" spans="5:15" x14ac:dyDescent="0.25">
      <c r="E1971" s="17"/>
      <c r="F1971" s="17"/>
      <c r="G1971" s="17"/>
      <c r="H1971" s="17"/>
      <c r="J1971" s="17"/>
      <c r="K1971" s="17"/>
      <c r="L1971" s="17"/>
      <c r="M1971" s="17"/>
      <c r="N1971" s="17"/>
      <c r="O1971" s="17"/>
    </row>
    <row r="1972" spans="5:15" x14ac:dyDescent="0.25">
      <c r="E1972" s="17"/>
      <c r="F1972" s="17"/>
      <c r="G1972" s="17"/>
      <c r="H1972" s="17"/>
      <c r="J1972" s="17"/>
      <c r="K1972" s="17"/>
      <c r="L1972" s="17"/>
      <c r="M1972" s="17"/>
      <c r="N1972" s="17"/>
      <c r="O1972" s="17"/>
    </row>
    <row r="1973" spans="5:15" x14ac:dyDescent="0.25">
      <c r="E1973" s="17"/>
      <c r="F1973" s="17"/>
      <c r="G1973" s="17"/>
      <c r="H1973" s="17"/>
      <c r="J1973" s="17"/>
      <c r="K1973" s="17"/>
      <c r="L1973" s="17"/>
      <c r="M1973" s="17"/>
      <c r="N1973" s="17"/>
      <c r="O1973" s="17"/>
    </row>
    <row r="1974" spans="5:15" x14ac:dyDescent="0.25">
      <c r="E1974" s="17"/>
      <c r="F1974" s="17"/>
      <c r="G1974" s="17"/>
      <c r="H1974" s="17"/>
      <c r="J1974" s="17"/>
      <c r="K1974" s="17"/>
      <c r="L1974" s="17"/>
      <c r="M1974" s="17"/>
      <c r="N1974" s="17"/>
      <c r="O1974" s="17"/>
    </row>
    <row r="1975" spans="5:15" x14ac:dyDescent="0.25">
      <c r="E1975" s="17"/>
      <c r="F1975" s="17"/>
      <c r="G1975" s="17"/>
      <c r="H1975" s="17"/>
      <c r="J1975" s="17"/>
      <c r="K1975" s="17"/>
      <c r="L1975" s="17"/>
      <c r="M1975" s="17"/>
      <c r="N1975" s="17"/>
      <c r="O1975" s="17"/>
    </row>
    <row r="1976" spans="5:15" x14ac:dyDescent="0.25">
      <c r="E1976" s="17"/>
      <c r="F1976" s="17"/>
      <c r="G1976" s="17"/>
      <c r="H1976" s="17"/>
      <c r="J1976" s="17"/>
      <c r="K1976" s="17"/>
      <c r="L1976" s="17"/>
      <c r="M1976" s="17"/>
      <c r="N1976" s="17"/>
      <c r="O1976" s="17"/>
    </row>
    <row r="1977" spans="5:15" x14ac:dyDescent="0.25">
      <c r="E1977" s="17"/>
      <c r="F1977" s="17"/>
      <c r="G1977" s="17"/>
      <c r="H1977" s="17"/>
      <c r="J1977" s="17"/>
      <c r="K1977" s="17"/>
      <c r="L1977" s="17"/>
      <c r="M1977" s="17"/>
      <c r="N1977" s="17"/>
      <c r="O1977" s="17"/>
    </row>
    <row r="1978" spans="5:15" x14ac:dyDescent="0.25">
      <c r="E1978" s="17"/>
      <c r="F1978" s="17"/>
      <c r="G1978" s="17"/>
      <c r="H1978" s="17"/>
      <c r="J1978" s="17"/>
      <c r="K1978" s="17"/>
      <c r="L1978" s="17"/>
      <c r="M1978" s="17"/>
      <c r="N1978" s="17"/>
      <c r="O1978" s="17"/>
    </row>
    <row r="1979" spans="5:15" x14ac:dyDescent="0.25">
      <c r="E1979" s="17"/>
      <c r="F1979" s="17"/>
      <c r="G1979" s="17"/>
      <c r="H1979" s="17"/>
      <c r="J1979" s="17"/>
      <c r="K1979" s="17"/>
      <c r="L1979" s="17"/>
      <c r="M1979" s="17"/>
      <c r="N1979" s="17"/>
      <c r="O1979" s="17"/>
    </row>
    <row r="1980" spans="5:15" x14ac:dyDescent="0.25">
      <c r="E1980" s="17"/>
      <c r="F1980" s="17"/>
      <c r="G1980" s="17"/>
      <c r="H1980" s="17"/>
      <c r="J1980" s="17"/>
      <c r="K1980" s="17"/>
      <c r="L1980" s="17"/>
      <c r="M1980" s="17"/>
      <c r="N1980" s="17"/>
      <c r="O1980" s="17"/>
    </row>
    <row r="1981" spans="5:15" x14ac:dyDescent="0.25">
      <c r="E1981" s="17"/>
      <c r="F1981" s="17"/>
      <c r="G1981" s="17"/>
      <c r="H1981" s="17"/>
      <c r="J1981" s="17"/>
      <c r="K1981" s="17"/>
      <c r="L1981" s="17"/>
      <c r="M1981" s="17"/>
      <c r="N1981" s="17"/>
      <c r="O1981" s="17"/>
    </row>
    <row r="1982" spans="5:15" x14ac:dyDescent="0.25">
      <c r="E1982" s="17"/>
      <c r="F1982" s="17"/>
      <c r="G1982" s="17"/>
      <c r="H1982" s="17"/>
      <c r="J1982" s="17"/>
      <c r="K1982" s="17"/>
      <c r="L1982" s="17"/>
      <c r="M1982" s="17"/>
      <c r="N1982" s="17"/>
      <c r="O1982" s="17"/>
    </row>
    <row r="1983" spans="5:15" x14ac:dyDescent="0.25">
      <c r="E1983" s="17"/>
      <c r="F1983" s="17"/>
      <c r="G1983" s="17"/>
      <c r="H1983" s="17"/>
      <c r="J1983" s="17"/>
      <c r="K1983" s="17"/>
      <c r="L1983" s="17"/>
      <c r="M1983" s="17"/>
      <c r="N1983" s="17"/>
      <c r="O1983" s="17"/>
    </row>
    <row r="1984" spans="5:15" x14ac:dyDescent="0.25">
      <c r="E1984" s="17"/>
      <c r="F1984" s="17"/>
      <c r="G1984" s="17"/>
      <c r="H1984" s="17"/>
      <c r="J1984" s="17"/>
      <c r="K1984" s="17"/>
      <c r="L1984" s="17"/>
      <c r="M1984" s="17"/>
      <c r="N1984" s="17"/>
      <c r="O1984" s="17"/>
    </row>
    <row r="1985" spans="5:15" x14ac:dyDescent="0.25">
      <c r="E1985" s="17"/>
      <c r="F1985" s="17"/>
      <c r="G1985" s="17"/>
      <c r="H1985" s="17"/>
      <c r="J1985" s="17"/>
      <c r="K1985" s="17"/>
      <c r="L1985" s="17"/>
      <c r="M1985" s="17"/>
      <c r="N1985" s="17"/>
      <c r="O1985" s="17"/>
    </row>
    <row r="1986" spans="5:15" x14ac:dyDescent="0.25">
      <c r="E1986" s="17"/>
      <c r="F1986" s="17"/>
      <c r="G1986" s="17"/>
      <c r="H1986" s="17"/>
      <c r="J1986" s="17"/>
      <c r="K1986" s="17"/>
      <c r="L1986" s="17"/>
      <c r="M1986" s="17"/>
      <c r="N1986" s="17"/>
      <c r="O1986" s="17"/>
    </row>
    <row r="1987" spans="5:15" x14ac:dyDescent="0.25">
      <c r="E1987" s="17"/>
      <c r="F1987" s="17"/>
      <c r="G1987" s="17"/>
      <c r="H1987" s="17"/>
      <c r="J1987" s="17"/>
      <c r="K1987" s="17"/>
      <c r="L1987" s="17"/>
      <c r="M1987" s="17"/>
      <c r="N1987" s="17"/>
      <c r="O1987" s="17"/>
    </row>
    <row r="1988" spans="5:15" x14ac:dyDescent="0.25">
      <c r="E1988" s="17"/>
      <c r="F1988" s="17"/>
      <c r="G1988" s="17"/>
      <c r="H1988" s="17"/>
      <c r="J1988" s="17"/>
      <c r="K1988" s="17"/>
      <c r="L1988" s="17"/>
      <c r="M1988" s="17"/>
      <c r="N1988" s="17"/>
      <c r="O1988" s="17"/>
    </row>
    <row r="1989" spans="5:15" x14ac:dyDescent="0.25">
      <c r="E1989" s="17"/>
      <c r="F1989" s="17"/>
      <c r="G1989" s="17"/>
      <c r="H1989" s="17"/>
      <c r="J1989" s="17"/>
      <c r="K1989" s="17"/>
      <c r="L1989" s="17"/>
      <c r="M1989" s="17"/>
      <c r="N1989" s="17"/>
      <c r="O1989" s="17"/>
    </row>
    <row r="1990" spans="5:15" x14ac:dyDescent="0.25">
      <c r="E1990" s="17"/>
      <c r="F1990" s="17"/>
      <c r="G1990" s="17"/>
      <c r="H1990" s="17"/>
      <c r="J1990" s="17"/>
      <c r="K1990" s="17"/>
      <c r="L1990" s="17"/>
      <c r="M1990" s="17"/>
      <c r="N1990" s="17"/>
      <c r="O1990" s="17"/>
    </row>
    <row r="1991" spans="5:15" x14ac:dyDescent="0.25">
      <c r="E1991" s="17"/>
      <c r="F1991" s="17"/>
      <c r="G1991" s="17"/>
      <c r="H1991" s="17"/>
      <c r="J1991" s="17"/>
      <c r="K1991" s="17"/>
      <c r="L1991" s="17"/>
      <c r="M1991" s="17"/>
      <c r="N1991" s="17"/>
      <c r="O1991" s="17"/>
    </row>
    <row r="1992" spans="5:15" x14ac:dyDescent="0.25">
      <c r="E1992" s="17"/>
      <c r="F1992" s="17"/>
      <c r="G1992" s="17"/>
      <c r="H1992" s="17"/>
      <c r="J1992" s="17"/>
      <c r="K1992" s="17"/>
      <c r="L1992" s="17"/>
      <c r="M1992" s="17"/>
      <c r="N1992" s="17"/>
      <c r="O1992" s="17"/>
    </row>
    <row r="1993" spans="5:15" x14ac:dyDescent="0.25">
      <c r="E1993" s="17"/>
      <c r="F1993" s="17"/>
      <c r="G1993" s="17"/>
      <c r="H1993" s="17"/>
      <c r="J1993" s="17"/>
      <c r="K1993" s="17"/>
      <c r="L1993" s="17"/>
      <c r="M1993" s="17"/>
      <c r="N1993" s="17"/>
      <c r="O1993" s="17"/>
    </row>
    <row r="1994" spans="5:15" x14ac:dyDescent="0.25">
      <c r="E1994" s="17"/>
      <c r="F1994" s="17"/>
      <c r="G1994" s="17"/>
      <c r="H1994" s="17"/>
      <c r="J1994" s="17"/>
      <c r="K1994" s="17"/>
      <c r="L1994" s="17"/>
      <c r="M1994" s="17"/>
      <c r="N1994" s="17"/>
      <c r="O1994" s="17"/>
    </row>
    <row r="1995" spans="5:15" x14ac:dyDescent="0.25">
      <c r="E1995" s="17"/>
      <c r="F1995" s="17"/>
      <c r="G1995" s="17"/>
      <c r="H1995" s="17"/>
      <c r="J1995" s="17"/>
      <c r="K1995" s="17"/>
      <c r="L1995" s="17"/>
      <c r="M1995" s="17"/>
      <c r="N1995" s="17"/>
      <c r="O1995" s="17"/>
    </row>
    <row r="1996" spans="5:15" x14ac:dyDescent="0.25">
      <c r="E1996" s="17"/>
      <c r="F1996" s="17"/>
      <c r="G1996" s="17"/>
      <c r="H1996" s="17"/>
      <c r="J1996" s="17"/>
      <c r="K1996" s="17"/>
      <c r="L1996" s="17"/>
      <c r="M1996" s="17"/>
      <c r="N1996" s="17"/>
      <c r="O1996" s="17"/>
    </row>
    <row r="1997" spans="5:15" x14ac:dyDescent="0.25">
      <c r="E1997" s="17"/>
      <c r="F1997" s="17"/>
      <c r="G1997" s="17"/>
      <c r="H1997" s="17"/>
      <c r="J1997" s="17"/>
      <c r="K1997" s="17"/>
      <c r="L1997" s="17"/>
      <c r="M1997" s="17"/>
      <c r="N1997" s="17"/>
      <c r="O1997" s="17"/>
    </row>
    <row r="1998" spans="5:15" x14ac:dyDescent="0.25">
      <c r="E1998" s="17"/>
      <c r="F1998" s="17"/>
      <c r="G1998" s="17"/>
      <c r="H1998" s="17"/>
      <c r="J1998" s="17"/>
      <c r="K1998" s="17"/>
      <c r="L1998" s="17"/>
      <c r="M1998" s="17"/>
      <c r="N1998" s="17"/>
      <c r="O1998" s="17"/>
    </row>
    <row r="1999" spans="5:15" x14ac:dyDescent="0.25">
      <c r="E1999" s="17"/>
      <c r="F1999" s="17"/>
      <c r="G1999" s="17"/>
      <c r="H1999" s="17"/>
      <c r="J1999" s="17"/>
      <c r="K1999" s="17"/>
      <c r="L1999" s="17"/>
      <c r="M1999" s="17"/>
      <c r="N1999" s="17"/>
      <c r="O1999" s="17"/>
    </row>
    <row r="2000" spans="5:15" x14ac:dyDescent="0.25">
      <c r="E2000" s="17"/>
      <c r="F2000" s="17"/>
      <c r="G2000" s="17"/>
      <c r="H2000" s="17"/>
      <c r="J2000" s="17"/>
      <c r="K2000" s="17"/>
      <c r="L2000" s="17"/>
      <c r="M2000" s="17"/>
      <c r="N2000" s="17"/>
      <c r="O2000" s="17"/>
    </row>
    <row r="2001" spans="5:15" x14ac:dyDescent="0.25">
      <c r="E2001" s="17"/>
      <c r="F2001" s="17"/>
      <c r="G2001" s="17"/>
      <c r="H2001" s="17"/>
      <c r="J2001" s="17"/>
      <c r="K2001" s="17"/>
      <c r="L2001" s="17"/>
      <c r="M2001" s="17"/>
      <c r="N2001" s="17"/>
      <c r="O2001" s="17"/>
    </row>
    <row r="2002" spans="5:15" x14ac:dyDescent="0.25">
      <c r="E2002" s="17"/>
      <c r="F2002" s="17"/>
      <c r="G2002" s="17"/>
      <c r="H2002" s="17"/>
      <c r="J2002" s="17"/>
      <c r="K2002" s="17"/>
      <c r="L2002" s="17"/>
      <c r="M2002" s="17"/>
      <c r="N2002" s="17"/>
      <c r="O2002" s="17"/>
    </row>
    <row r="2003" spans="5:15" x14ac:dyDescent="0.25">
      <c r="E2003" s="17"/>
      <c r="F2003" s="17"/>
      <c r="G2003" s="17"/>
      <c r="H2003" s="17"/>
      <c r="J2003" s="17"/>
      <c r="K2003" s="17"/>
      <c r="L2003" s="17"/>
      <c r="M2003" s="17"/>
      <c r="N2003" s="17"/>
      <c r="O2003" s="17"/>
    </row>
    <row r="2004" spans="5:15" x14ac:dyDescent="0.25">
      <c r="E2004" s="17"/>
      <c r="F2004" s="17"/>
      <c r="G2004" s="17"/>
      <c r="H2004" s="17"/>
      <c r="J2004" s="17"/>
      <c r="K2004" s="17"/>
      <c r="L2004" s="17"/>
      <c r="M2004" s="17"/>
      <c r="N2004" s="17"/>
      <c r="O2004" s="17"/>
    </row>
    <row r="2005" spans="5:15" x14ac:dyDescent="0.25">
      <c r="E2005" s="17"/>
      <c r="F2005" s="17"/>
      <c r="G2005" s="17"/>
      <c r="H2005" s="17"/>
      <c r="J2005" s="17"/>
      <c r="K2005" s="17"/>
      <c r="L2005" s="17"/>
      <c r="M2005" s="17"/>
      <c r="N2005" s="17"/>
      <c r="O2005" s="17"/>
    </row>
    <row r="2006" spans="5:15" x14ac:dyDescent="0.25">
      <c r="E2006" s="17"/>
      <c r="F2006" s="17"/>
      <c r="G2006" s="17"/>
      <c r="H2006" s="17"/>
      <c r="J2006" s="17"/>
      <c r="K2006" s="17"/>
      <c r="L2006" s="17"/>
      <c r="M2006" s="17"/>
      <c r="N2006" s="17"/>
      <c r="O2006" s="17"/>
    </row>
    <row r="2007" spans="5:15" x14ac:dyDescent="0.25">
      <c r="E2007" s="17"/>
      <c r="F2007" s="17"/>
      <c r="G2007" s="17"/>
      <c r="H2007" s="17"/>
      <c r="J2007" s="17"/>
      <c r="K2007" s="17"/>
      <c r="L2007" s="17"/>
      <c r="M2007" s="17"/>
      <c r="N2007" s="17"/>
      <c r="O2007" s="17"/>
    </row>
    <row r="2008" spans="5:15" x14ac:dyDescent="0.25">
      <c r="E2008" s="17"/>
      <c r="F2008" s="17"/>
      <c r="G2008" s="17"/>
      <c r="H2008" s="17"/>
      <c r="J2008" s="17"/>
      <c r="K2008" s="17"/>
      <c r="L2008" s="17"/>
      <c r="M2008" s="17"/>
      <c r="N2008" s="17"/>
      <c r="O2008" s="17"/>
    </row>
    <row r="2009" spans="5:15" x14ac:dyDescent="0.25">
      <c r="E2009" s="17"/>
      <c r="F2009" s="17"/>
      <c r="G2009" s="17"/>
      <c r="H2009" s="17"/>
      <c r="J2009" s="17"/>
      <c r="K2009" s="17"/>
      <c r="L2009" s="17"/>
      <c r="M2009" s="17"/>
      <c r="N2009" s="17"/>
      <c r="O2009" s="17"/>
    </row>
    <row r="2010" spans="5:15" x14ac:dyDescent="0.25">
      <c r="E2010" s="17"/>
      <c r="F2010" s="17"/>
      <c r="G2010" s="17"/>
      <c r="H2010" s="17"/>
      <c r="J2010" s="17"/>
      <c r="K2010" s="17"/>
      <c r="L2010" s="17"/>
      <c r="M2010" s="17"/>
      <c r="N2010" s="17"/>
      <c r="O2010" s="17"/>
    </row>
    <row r="2011" spans="5:15" x14ac:dyDescent="0.25">
      <c r="E2011" s="17"/>
      <c r="F2011" s="17"/>
      <c r="G2011" s="17"/>
      <c r="H2011" s="17"/>
      <c r="J2011" s="17"/>
      <c r="K2011" s="17"/>
      <c r="L2011" s="17"/>
      <c r="M2011" s="17"/>
      <c r="N2011" s="17"/>
      <c r="O2011" s="17"/>
    </row>
    <row r="2012" spans="5:15" x14ac:dyDescent="0.25">
      <c r="E2012" s="17"/>
      <c r="F2012" s="17"/>
      <c r="G2012" s="17"/>
      <c r="H2012" s="17"/>
      <c r="J2012" s="17"/>
      <c r="K2012" s="17"/>
      <c r="L2012" s="17"/>
      <c r="M2012" s="17"/>
      <c r="N2012" s="17"/>
      <c r="O2012" s="17"/>
    </row>
    <row r="2013" spans="5:15" x14ac:dyDescent="0.25">
      <c r="E2013" s="17"/>
      <c r="F2013" s="17"/>
      <c r="G2013" s="17"/>
      <c r="H2013" s="17"/>
      <c r="J2013" s="17"/>
      <c r="K2013" s="17"/>
      <c r="L2013" s="17"/>
      <c r="M2013" s="17"/>
      <c r="N2013" s="17"/>
      <c r="O2013" s="17"/>
    </row>
    <row r="2014" spans="5:15" x14ac:dyDescent="0.25">
      <c r="E2014" s="17"/>
      <c r="F2014" s="17"/>
      <c r="G2014" s="17"/>
      <c r="H2014" s="17"/>
      <c r="J2014" s="17"/>
      <c r="K2014" s="17"/>
      <c r="L2014" s="17"/>
      <c r="M2014" s="17"/>
      <c r="N2014" s="17"/>
      <c r="O2014" s="17"/>
    </row>
    <row r="2015" spans="5:15" x14ac:dyDescent="0.25">
      <c r="E2015" s="17"/>
      <c r="F2015" s="17"/>
      <c r="G2015" s="17"/>
      <c r="H2015" s="17"/>
      <c r="J2015" s="17"/>
      <c r="K2015" s="17"/>
      <c r="L2015" s="17"/>
      <c r="M2015" s="17"/>
      <c r="N2015" s="17"/>
      <c r="O2015" s="17"/>
    </row>
    <row r="2016" spans="5:15" x14ac:dyDescent="0.25">
      <c r="E2016" s="17"/>
      <c r="F2016" s="17"/>
      <c r="G2016" s="17"/>
      <c r="H2016" s="17"/>
      <c r="J2016" s="17"/>
      <c r="K2016" s="17"/>
      <c r="L2016" s="17"/>
      <c r="M2016" s="17"/>
      <c r="N2016" s="17"/>
      <c r="O2016" s="17"/>
    </row>
    <row r="2017" spans="5:15" x14ac:dyDescent="0.25">
      <c r="E2017" s="17"/>
      <c r="F2017" s="17"/>
      <c r="G2017" s="17"/>
      <c r="H2017" s="17"/>
      <c r="J2017" s="17"/>
      <c r="K2017" s="17"/>
      <c r="L2017" s="17"/>
      <c r="M2017" s="17"/>
      <c r="N2017" s="17"/>
      <c r="O2017" s="17"/>
    </row>
    <row r="2018" spans="5:15" x14ac:dyDescent="0.25">
      <c r="E2018" s="17"/>
      <c r="F2018" s="17"/>
      <c r="G2018" s="17"/>
      <c r="H2018" s="17"/>
      <c r="J2018" s="17"/>
      <c r="K2018" s="17"/>
      <c r="L2018" s="17"/>
      <c r="M2018" s="17"/>
      <c r="N2018" s="17"/>
      <c r="O2018" s="17"/>
    </row>
    <row r="2019" spans="5:15" x14ac:dyDescent="0.25">
      <c r="E2019" s="17"/>
      <c r="F2019" s="17"/>
      <c r="G2019" s="17"/>
      <c r="H2019" s="17"/>
      <c r="J2019" s="17"/>
      <c r="K2019" s="17"/>
      <c r="L2019" s="17"/>
      <c r="M2019" s="17"/>
      <c r="N2019" s="17"/>
      <c r="O2019" s="17"/>
    </row>
    <row r="2020" spans="5:15" x14ac:dyDescent="0.25">
      <c r="E2020" s="17"/>
      <c r="F2020" s="17"/>
      <c r="G2020" s="17"/>
      <c r="H2020" s="17"/>
      <c r="J2020" s="17"/>
      <c r="K2020" s="17"/>
      <c r="L2020" s="17"/>
      <c r="M2020" s="17"/>
      <c r="N2020" s="17"/>
      <c r="O2020" s="17"/>
    </row>
    <row r="2021" spans="5:15" x14ac:dyDescent="0.25">
      <c r="E2021" s="17"/>
      <c r="F2021" s="17"/>
      <c r="G2021" s="17"/>
      <c r="H2021" s="17"/>
      <c r="J2021" s="17"/>
      <c r="K2021" s="17"/>
      <c r="L2021" s="17"/>
      <c r="M2021" s="17"/>
      <c r="N2021" s="17"/>
      <c r="O2021" s="17"/>
    </row>
    <row r="2022" spans="5:15" x14ac:dyDescent="0.25">
      <c r="E2022" s="17"/>
      <c r="F2022" s="17"/>
      <c r="G2022" s="17"/>
      <c r="H2022" s="17"/>
      <c r="J2022" s="17"/>
      <c r="K2022" s="17"/>
      <c r="L2022" s="17"/>
      <c r="M2022" s="17"/>
      <c r="N2022" s="17"/>
      <c r="O2022" s="17"/>
    </row>
    <row r="2023" spans="5:15" x14ac:dyDescent="0.25">
      <c r="E2023" s="17"/>
      <c r="F2023" s="17"/>
      <c r="G2023" s="17"/>
      <c r="H2023" s="17"/>
      <c r="J2023" s="17"/>
      <c r="K2023" s="17"/>
      <c r="L2023" s="17"/>
      <c r="M2023" s="17"/>
      <c r="N2023" s="17"/>
      <c r="O2023" s="17"/>
    </row>
    <row r="2024" spans="5:15" x14ac:dyDescent="0.25">
      <c r="E2024" s="17"/>
      <c r="F2024" s="17"/>
      <c r="G2024" s="17"/>
      <c r="H2024" s="17"/>
      <c r="J2024" s="17"/>
      <c r="K2024" s="17"/>
      <c r="L2024" s="17"/>
      <c r="M2024" s="17"/>
      <c r="N2024" s="17"/>
      <c r="O2024" s="17"/>
    </row>
    <row r="2025" spans="5:15" x14ac:dyDescent="0.25">
      <c r="E2025" s="17"/>
      <c r="F2025" s="17"/>
      <c r="G2025" s="17"/>
      <c r="H2025" s="17"/>
      <c r="J2025" s="17"/>
      <c r="K2025" s="17"/>
      <c r="L2025" s="17"/>
      <c r="M2025" s="17"/>
      <c r="N2025" s="17"/>
      <c r="O2025" s="17"/>
    </row>
    <row r="2026" spans="5:15" x14ac:dyDescent="0.25">
      <c r="E2026" s="17"/>
      <c r="F2026" s="17"/>
      <c r="G2026" s="17"/>
      <c r="H2026" s="17"/>
      <c r="J2026" s="17"/>
      <c r="K2026" s="17"/>
      <c r="L2026" s="17"/>
      <c r="M2026" s="17"/>
      <c r="N2026" s="17"/>
      <c r="O2026" s="17"/>
    </row>
    <row r="2027" spans="5:15" x14ac:dyDescent="0.25">
      <c r="E2027" s="17"/>
      <c r="F2027" s="17"/>
      <c r="G2027" s="17"/>
      <c r="H2027" s="17"/>
      <c r="J2027" s="17"/>
      <c r="K2027" s="17"/>
      <c r="L2027" s="17"/>
      <c r="M2027" s="17"/>
      <c r="N2027" s="17"/>
      <c r="O2027" s="17"/>
    </row>
    <row r="2028" spans="5:15" x14ac:dyDescent="0.25">
      <c r="E2028" s="17"/>
      <c r="F2028" s="17"/>
      <c r="G2028" s="17"/>
      <c r="H2028" s="17"/>
      <c r="J2028" s="17"/>
      <c r="K2028" s="17"/>
      <c r="L2028" s="17"/>
      <c r="M2028" s="17"/>
      <c r="N2028" s="17"/>
      <c r="O2028" s="17"/>
    </row>
    <row r="2029" spans="5:15" x14ac:dyDescent="0.25">
      <c r="E2029" s="17"/>
      <c r="F2029" s="17"/>
      <c r="G2029" s="17"/>
      <c r="H2029" s="17"/>
      <c r="J2029" s="17"/>
      <c r="K2029" s="17"/>
      <c r="L2029" s="17"/>
      <c r="M2029" s="17"/>
      <c r="N2029" s="17"/>
      <c r="O2029" s="17"/>
    </row>
    <row r="2030" spans="5:15" x14ac:dyDescent="0.25">
      <c r="E2030" s="17"/>
      <c r="F2030" s="17"/>
      <c r="G2030" s="17"/>
      <c r="H2030" s="17"/>
      <c r="J2030" s="17"/>
      <c r="K2030" s="17"/>
      <c r="L2030" s="17"/>
      <c r="M2030" s="17"/>
      <c r="N2030" s="17"/>
      <c r="O2030" s="17"/>
    </row>
    <row r="2031" spans="5:15" x14ac:dyDescent="0.25">
      <c r="E2031" s="17"/>
      <c r="F2031" s="17"/>
      <c r="G2031" s="17"/>
      <c r="H2031" s="17"/>
      <c r="J2031" s="17"/>
      <c r="K2031" s="17"/>
      <c r="L2031" s="17"/>
      <c r="M2031" s="17"/>
      <c r="N2031" s="17"/>
      <c r="O2031" s="17"/>
    </row>
    <row r="2032" spans="5:15" x14ac:dyDescent="0.25">
      <c r="E2032" s="17"/>
      <c r="F2032" s="17"/>
      <c r="G2032" s="17"/>
      <c r="H2032" s="17"/>
      <c r="J2032" s="17"/>
      <c r="K2032" s="17"/>
      <c r="L2032" s="17"/>
      <c r="M2032" s="17"/>
      <c r="N2032" s="17"/>
      <c r="O2032" s="17"/>
    </row>
    <row r="2033" spans="5:15" x14ac:dyDescent="0.25">
      <c r="E2033" s="17"/>
      <c r="F2033" s="17"/>
      <c r="G2033" s="17"/>
      <c r="H2033" s="17"/>
      <c r="J2033" s="17"/>
      <c r="K2033" s="17"/>
      <c r="L2033" s="17"/>
      <c r="M2033" s="17"/>
      <c r="N2033" s="17"/>
      <c r="O2033" s="17"/>
    </row>
    <row r="2034" spans="5:15" x14ac:dyDescent="0.25">
      <c r="E2034" s="17"/>
      <c r="F2034" s="17"/>
      <c r="G2034" s="17"/>
      <c r="H2034" s="17"/>
      <c r="J2034" s="17"/>
      <c r="K2034" s="17"/>
      <c r="L2034" s="17"/>
      <c r="M2034" s="17"/>
      <c r="N2034" s="17"/>
      <c r="O2034" s="17"/>
    </row>
    <row r="2035" spans="5:15" x14ac:dyDescent="0.25">
      <c r="E2035" s="17"/>
      <c r="F2035" s="17"/>
      <c r="G2035" s="17"/>
      <c r="H2035" s="17"/>
      <c r="J2035" s="17"/>
      <c r="K2035" s="17"/>
      <c r="L2035" s="17"/>
      <c r="M2035" s="17"/>
      <c r="N2035" s="17"/>
      <c r="O2035" s="17"/>
    </row>
    <row r="2036" spans="5:15" x14ac:dyDescent="0.25">
      <c r="E2036" s="17"/>
      <c r="F2036" s="17"/>
      <c r="G2036" s="17"/>
      <c r="H2036" s="17"/>
      <c r="J2036" s="17"/>
      <c r="K2036" s="17"/>
      <c r="L2036" s="17"/>
      <c r="M2036" s="17"/>
      <c r="N2036" s="17"/>
      <c r="O2036" s="17"/>
    </row>
    <row r="2037" spans="5:15" x14ac:dyDescent="0.25">
      <c r="E2037" s="17"/>
      <c r="F2037" s="17"/>
      <c r="G2037" s="17"/>
      <c r="H2037" s="17"/>
      <c r="J2037" s="17"/>
      <c r="K2037" s="17"/>
      <c r="L2037" s="17"/>
      <c r="M2037" s="17"/>
      <c r="N2037" s="17"/>
      <c r="O2037" s="17"/>
    </row>
    <row r="2038" spans="5:15" x14ac:dyDescent="0.25">
      <c r="E2038" s="17"/>
      <c r="F2038" s="17"/>
      <c r="G2038" s="17"/>
      <c r="H2038" s="17"/>
      <c r="J2038" s="17"/>
      <c r="K2038" s="17"/>
      <c r="L2038" s="17"/>
      <c r="M2038" s="17"/>
      <c r="N2038" s="17"/>
      <c r="O2038" s="17"/>
    </row>
    <row r="2039" spans="5:15" x14ac:dyDescent="0.25">
      <c r="E2039" s="17"/>
      <c r="F2039" s="17"/>
      <c r="G2039" s="17"/>
      <c r="H2039" s="17"/>
      <c r="J2039" s="17"/>
      <c r="K2039" s="17"/>
      <c r="L2039" s="17"/>
      <c r="M2039" s="17"/>
      <c r="N2039" s="17"/>
      <c r="O2039" s="17"/>
    </row>
    <row r="2040" spans="5:15" x14ac:dyDescent="0.25">
      <c r="E2040" s="17"/>
      <c r="F2040" s="17"/>
      <c r="G2040" s="17"/>
      <c r="H2040" s="17"/>
      <c r="J2040" s="17"/>
      <c r="K2040" s="17"/>
      <c r="L2040" s="17"/>
      <c r="M2040" s="17"/>
      <c r="N2040" s="17"/>
      <c r="O2040" s="17"/>
    </row>
    <row r="2041" spans="5:15" x14ac:dyDescent="0.25">
      <c r="E2041" s="17"/>
      <c r="F2041" s="17"/>
      <c r="G2041" s="17"/>
      <c r="H2041" s="17"/>
      <c r="J2041" s="17"/>
      <c r="K2041" s="17"/>
      <c r="L2041" s="17"/>
      <c r="M2041" s="17"/>
      <c r="N2041" s="17"/>
      <c r="O2041" s="17"/>
    </row>
    <row r="2042" spans="5:15" x14ac:dyDescent="0.25">
      <c r="E2042" s="17"/>
      <c r="F2042" s="17"/>
      <c r="G2042" s="17"/>
      <c r="H2042" s="17"/>
      <c r="J2042" s="17"/>
      <c r="K2042" s="17"/>
      <c r="L2042" s="17"/>
      <c r="M2042" s="17"/>
      <c r="N2042" s="17"/>
      <c r="O2042" s="17"/>
    </row>
    <row r="2043" spans="5:15" x14ac:dyDescent="0.25">
      <c r="E2043" s="17"/>
      <c r="F2043" s="17"/>
      <c r="G2043" s="17"/>
      <c r="H2043" s="17"/>
      <c r="J2043" s="17"/>
      <c r="K2043" s="17"/>
      <c r="L2043" s="17"/>
      <c r="M2043" s="17"/>
      <c r="N2043" s="17"/>
      <c r="O2043" s="17"/>
    </row>
    <row r="2044" spans="5:15" x14ac:dyDescent="0.25">
      <c r="E2044" s="17"/>
      <c r="F2044" s="17"/>
      <c r="G2044" s="17"/>
      <c r="H2044" s="17"/>
      <c r="J2044" s="17"/>
      <c r="K2044" s="17"/>
      <c r="L2044" s="17"/>
      <c r="M2044" s="17"/>
      <c r="N2044" s="17"/>
      <c r="O2044" s="17"/>
    </row>
    <row r="2045" spans="5:15" x14ac:dyDescent="0.25">
      <c r="E2045" s="17"/>
      <c r="F2045" s="17"/>
      <c r="G2045" s="17"/>
      <c r="H2045" s="17"/>
      <c r="J2045" s="17"/>
      <c r="K2045" s="17"/>
      <c r="L2045" s="17"/>
      <c r="M2045" s="17"/>
      <c r="N2045" s="17"/>
      <c r="O2045" s="17"/>
    </row>
    <row r="2046" spans="5:15" x14ac:dyDescent="0.25">
      <c r="E2046" s="17"/>
      <c r="F2046" s="17"/>
      <c r="G2046" s="17"/>
      <c r="H2046" s="17"/>
      <c r="J2046" s="17"/>
      <c r="K2046" s="17"/>
      <c r="L2046" s="17"/>
      <c r="M2046" s="17"/>
      <c r="N2046" s="17"/>
      <c r="O2046" s="17"/>
    </row>
    <row r="2047" spans="5:15" x14ac:dyDescent="0.25">
      <c r="E2047" s="17"/>
      <c r="F2047" s="17"/>
      <c r="G2047" s="17"/>
      <c r="H2047" s="17"/>
      <c r="J2047" s="17"/>
      <c r="K2047" s="17"/>
      <c r="L2047" s="17"/>
      <c r="M2047" s="17"/>
      <c r="N2047" s="17"/>
      <c r="O2047" s="17"/>
    </row>
    <row r="2048" spans="5:15" x14ac:dyDescent="0.25">
      <c r="E2048" s="17"/>
      <c r="F2048" s="17"/>
      <c r="G2048" s="17"/>
      <c r="H2048" s="17"/>
      <c r="J2048" s="17"/>
      <c r="K2048" s="17"/>
      <c r="L2048" s="17"/>
      <c r="M2048" s="17"/>
      <c r="N2048" s="17"/>
      <c r="O2048" s="17"/>
    </row>
    <row r="2049" spans="5:15" x14ac:dyDescent="0.25">
      <c r="E2049" s="17"/>
      <c r="F2049" s="17"/>
      <c r="G2049" s="17"/>
      <c r="H2049" s="17"/>
      <c r="J2049" s="17"/>
      <c r="K2049" s="17"/>
      <c r="L2049" s="17"/>
      <c r="M2049" s="17"/>
      <c r="N2049" s="17"/>
      <c r="O2049" s="17"/>
    </row>
    <row r="2050" spans="5:15" x14ac:dyDescent="0.25">
      <c r="E2050" s="17"/>
      <c r="F2050" s="17"/>
      <c r="G2050" s="17"/>
      <c r="H2050" s="17"/>
      <c r="J2050" s="17"/>
      <c r="K2050" s="17"/>
      <c r="L2050" s="17"/>
      <c r="M2050" s="17"/>
      <c r="N2050" s="17"/>
      <c r="O2050" s="17"/>
    </row>
    <row r="2051" spans="5:15" x14ac:dyDescent="0.25">
      <c r="E2051" s="17"/>
      <c r="F2051" s="17"/>
      <c r="G2051" s="17"/>
      <c r="H2051" s="17"/>
      <c r="J2051" s="17"/>
      <c r="K2051" s="17"/>
      <c r="L2051" s="17"/>
      <c r="M2051" s="17"/>
      <c r="N2051" s="17"/>
      <c r="O2051" s="17"/>
    </row>
    <row r="2052" spans="5:15" x14ac:dyDescent="0.25">
      <c r="E2052" s="17"/>
      <c r="F2052" s="17"/>
      <c r="G2052" s="17"/>
      <c r="H2052" s="17"/>
      <c r="J2052" s="17"/>
      <c r="K2052" s="17"/>
      <c r="L2052" s="17"/>
      <c r="M2052" s="17"/>
      <c r="N2052" s="17"/>
      <c r="O2052" s="17"/>
    </row>
    <row r="2053" spans="5:15" x14ac:dyDescent="0.25">
      <c r="E2053" s="17"/>
      <c r="F2053" s="17"/>
      <c r="G2053" s="17"/>
      <c r="H2053" s="17"/>
      <c r="J2053" s="17"/>
      <c r="K2053" s="17"/>
      <c r="L2053" s="17"/>
      <c r="M2053" s="17"/>
      <c r="N2053" s="17"/>
      <c r="O2053" s="17"/>
    </row>
    <row r="2054" spans="5:15" x14ac:dyDescent="0.25">
      <c r="E2054" s="17"/>
      <c r="F2054" s="17"/>
      <c r="G2054" s="17"/>
      <c r="H2054" s="17"/>
      <c r="J2054" s="17"/>
      <c r="K2054" s="17"/>
      <c r="L2054" s="17"/>
      <c r="M2054" s="17"/>
      <c r="N2054" s="17"/>
      <c r="O2054" s="17"/>
    </row>
    <row r="2055" spans="5:15" x14ac:dyDescent="0.25">
      <c r="E2055" s="17"/>
      <c r="F2055" s="17"/>
      <c r="G2055" s="17"/>
      <c r="H2055" s="17"/>
      <c r="J2055" s="17"/>
      <c r="K2055" s="17"/>
      <c r="L2055" s="17"/>
      <c r="M2055" s="17"/>
      <c r="N2055" s="17"/>
      <c r="O2055" s="17"/>
    </row>
    <row r="2056" spans="5:15" x14ac:dyDescent="0.25">
      <c r="E2056" s="17"/>
      <c r="F2056" s="17"/>
      <c r="G2056" s="17"/>
      <c r="H2056" s="17"/>
      <c r="J2056" s="17"/>
      <c r="K2056" s="17"/>
      <c r="L2056" s="17"/>
      <c r="M2056" s="17"/>
      <c r="N2056" s="17"/>
      <c r="O2056" s="17"/>
    </row>
    <row r="2057" spans="5:15" x14ac:dyDescent="0.25">
      <c r="E2057" s="17"/>
      <c r="F2057" s="17"/>
      <c r="G2057" s="17"/>
      <c r="H2057" s="17"/>
      <c r="J2057" s="17"/>
      <c r="K2057" s="17"/>
      <c r="L2057" s="17"/>
      <c r="M2057" s="17"/>
      <c r="N2057" s="17"/>
      <c r="O2057" s="17"/>
    </row>
    <row r="2058" spans="5:15" x14ac:dyDescent="0.25">
      <c r="E2058" s="17"/>
      <c r="F2058" s="17"/>
      <c r="G2058" s="17"/>
      <c r="H2058" s="17"/>
      <c r="J2058" s="17"/>
      <c r="K2058" s="17"/>
      <c r="L2058" s="17"/>
      <c r="M2058" s="17"/>
      <c r="N2058" s="17"/>
      <c r="O2058" s="17"/>
    </row>
    <row r="2059" spans="5:15" x14ac:dyDescent="0.25">
      <c r="E2059" s="17"/>
      <c r="F2059" s="17"/>
      <c r="G2059" s="17"/>
      <c r="H2059" s="17"/>
      <c r="J2059" s="17"/>
      <c r="K2059" s="17"/>
      <c r="L2059" s="17"/>
      <c r="M2059" s="17"/>
      <c r="N2059" s="17"/>
      <c r="O2059" s="17"/>
    </row>
    <row r="2060" spans="5:15" x14ac:dyDescent="0.25">
      <c r="E2060" s="17"/>
      <c r="F2060" s="17"/>
      <c r="G2060" s="17"/>
      <c r="H2060" s="17"/>
      <c r="J2060" s="17"/>
      <c r="K2060" s="17"/>
      <c r="L2060" s="17"/>
      <c r="M2060" s="17"/>
      <c r="N2060" s="17"/>
      <c r="O2060" s="17"/>
    </row>
    <row r="2061" spans="5:15" x14ac:dyDescent="0.25">
      <c r="E2061" s="17"/>
      <c r="F2061" s="17"/>
      <c r="G2061" s="17"/>
      <c r="H2061" s="17"/>
      <c r="J2061" s="17"/>
      <c r="K2061" s="17"/>
      <c r="L2061" s="17"/>
      <c r="M2061" s="17"/>
      <c r="N2061" s="17"/>
      <c r="O2061" s="17"/>
    </row>
    <row r="2062" spans="5:15" x14ac:dyDescent="0.25">
      <c r="E2062" s="17"/>
      <c r="F2062" s="17"/>
      <c r="G2062" s="17"/>
      <c r="H2062" s="17"/>
      <c r="J2062" s="17"/>
      <c r="K2062" s="17"/>
      <c r="L2062" s="17"/>
      <c r="M2062" s="17"/>
      <c r="N2062" s="17"/>
      <c r="O2062" s="17"/>
    </row>
    <row r="2063" spans="5:15" x14ac:dyDescent="0.25">
      <c r="E2063" s="17"/>
      <c r="F2063" s="17"/>
      <c r="G2063" s="17"/>
      <c r="H2063" s="17"/>
      <c r="J2063" s="17"/>
      <c r="K2063" s="17"/>
      <c r="L2063" s="17"/>
      <c r="M2063" s="17"/>
      <c r="N2063" s="17"/>
      <c r="O2063" s="17"/>
    </row>
    <row r="2064" spans="5:15" x14ac:dyDescent="0.25">
      <c r="E2064" s="17"/>
      <c r="F2064" s="17"/>
      <c r="G2064" s="17"/>
      <c r="H2064" s="17"/>
      <c r="J2064" s="17"/>
      <c r="K2064" s="17"/>
      <c r="L2064" s="17"/>
      <c r="M2064" s="17"/>
      <c r="N2064" s="17"/>
      <c r="O2064" s="17"/>
    </row>
    <row r="2065" spans="5:15" x14ac:dyDescent="0.25">
      <c r="E2065" s="17"/>
      <c r="F2065" s="17"/>
      <c r="G2065" s="17"/>
      <c r="H2065" s="17"/>
      <c r="J2065" s="17"/>
      <c r="K2065" s="17"/>
      <c r="L2065" s="17"/>
      <c r="M2065" s="17"/>
      <c r="N2065" s="17"/>
      <c r="O2065" s="17"/>
    </row>
    <row r="2066" spans="5:15" x14ac:dyDescent="0.25">
      <c r="E2066" s="17"/>
      <c r="F2066" s="17"/>
      <c r="G2066" s="17"/>
      <c r="H2066" s="17"/>
      <c r="J2066" s="17"/>
      <c r="K2066" s="17"/>
      <c r="L2066" s="17"/>
      <c r="M2066" s="17"/>
      <c r="N2066" s="17"/>
      <c r="O2066" s="17"/>
    </row>
    <row r="2067" spans="5:15" x14ac:dyDescent="0.25">
      <c r="E2067" s="17"/>
      <c r="F2067" s="17"/>
      <c r="G2067" s="17"/>
      <c r="H2067" s="17"/>
      <c r="J2067" s="17"/>
      <c r="K2067" s="17"/>
      <c r="L2067" s="17"/>
      <c r="M2067" s="17"/>
      <c r="N2067" s="17"/>
      <c r="O2067" s="17"/>
    </row>
    <row r="2068" spans="5:15" x14ac:dyDescent="0.25">
      <c r="E2068" s="17"/>
      <c r="F2068" s="17"/>
      <c r="G2068" s="17"/>
      <c r="H2068" s="17"/>
      <c r="J2068" s="17"/>
      <c r="K2068" s="17"/>
      <c r="L2068" s="17"/>
      <c r="M2068" s="17"/>
      <c r="N2068" s="17"/>
      <c r="O2068" s="17"/>
    </row>
    <row r="2069" spans="5:15" x14ac:dyDescent="0.25">
      <c r="E2069" s="17"/>
      <c r="F2069" s="17"/>
      <c r="G2069" s="17"/>
      <c r="H2069" s="17"/>
      <c r="J2069" s="17"/>
      <c r="K2069" s="17"/>
      <c r="L2069" s="17"/>
      <c r="M2069" s="17"/>
      <c r="N2069" s="17"/>
      <c r="O2069" s="17"/>
    </row>
    <row r="2070" spans="5:15" x14ac:dyDescent="0.25">
      <c r="E2070" s="17"/>
      <c r="F2070" s="17"/>
      <c r="G2070" s="17"/>
      <c r="H2070" s="17"/>
      <c r="J2070" s="17"/>
      <c r="K2070" s="17"/>
      <c r="L2070" s="17"/>
      <c r="M2070" s="17"/>
      <c r="N2070" s="17"/>
      <c r="O2070" s="17"/>
    </row>
    <row r="2071" spans="5:15" x14ac:dyDescent="0.25">
      <c r="E2071" s="17"/>
      <c r="F2071" s="17"/>
      <c r="G2071" s="17"/>
      <c r="H2071" s="17"/>
      <c r="J2071" s="17"/>
      <c r="K2071" s="17"/>
      <c r="L2071" s="17"/>
      <c r="M2071" s="17"/>
      <c r="N2071" s="17"/>
      <c r="O2071" s="17"/>
    </row>
    <row r="2072" spans="5:15" x14ac:dyDescent="0.25">
      <c r="E2072" s="17"/>
      <c r="F2072" s="17"/>
      <c r="G2072" s="17"/>
      <c r="H2072" s="17"/>
      <c r="J2072" s="17"/>
      <c r="K2072" s="17"/>
      <c r="L2072" s="17"/>
      <c r="M2072" s="17"/>
      <c r="N2072" s="17"/>
      <c r="O2072" s="17"/>
    </row>
    <row r="2073" spans="5:15" x14ac:dyDescent="0.25">
      <c r="E2073" s="17"/>
      <c r="F2073" s="17"/>
      <c r="G2073" s="17"/>
      <c r="H2073" s="17"/>
      <c r="J2073" s="17"/>
      <c r="K2073" s="17"/>
      <c r="L2073" s="17"/>
      <c r="M2073" s="17"/>
      <c r="N2073" s="17"/>
      <c r="O2073" s="17"/>
    </row>
    <row r="2074" spans="5:15" x14ac:dyDescent="0.25">
      <c r="E2074" s="17"/>
      <c r="F2074" s="17"/>
      <c r="G2074" s="17"/>
      <c r="H2074" s="17"/>
      <c r="J2074" s="17"/>
      <c r="K2074" s="17"/>
      <c r="L2074" s="17"/>
      <c r="M2074" s="17"/>
      <c r="N2074" s="17"/>
      <c r="O2074" s="17"/>
    </row>
    <row r="2075" spans="5:15" x14ac:dyDescent="0.25">
      <c r="E2075" s="17"/>
      <c r="F2075" s="17"/>
      <c r="G2075" s="17"/>
      <c r="H2075" s="17"/>
      <c r="J2075" s="17"/>
      <c r="K2075" s="17"/>
      <c r="L2075" s="17"/>
      <c r="M2075" s="17"/>
      <c r="N2075" s="17"/>
      <c r="O2075" s="17"/>
    </row>
    <row r="2076" spans="5:15" x14ac:dyDescent="0.25">
      <c r="E2076" s="17"/>
      <c r="F2076" s="17"/>
      <c r="G2076" s="17"/>
      <c r="H2076" s="17"/>
      <c r="J2076" s="17"/>
      <c r="K2076" s="17"/>
      <c r="L2076" s="17"/>
      <c r="M2076" s="17"/>
      <c r="N2076" s="17"/>
      <c r="O2076" s="17"/>
    </row>
    <row r="2077" spans="5:15" x14ac:dyDescent="0.25">
      <c r="E2077" s="17"/>
      <c r="F2077" s="17"/>
      <c r="G2077" s="17"/>
      <c r="H2077" s="17"/>
      <c r="J2077" s="17"/>
      <c r="K2077" s="17"/>
      <c r="L2077" s="17"/>
      <c r="M2077" s="17"/>
      <c r="N2077" s="17"/>
      <c r="O2077" s="17"/>
    </row>
    <row r="2078" spans="5:15" x14ac:dyDescent="0.25">
      <c r="E2078" s="17"/>
      <c r="F2078" s="17"/>
      <c r="G2078" s="17"/>
      <c r="H2078" s="17"/>
      <c r="J2078" s="17"/>
      <c r="K2078" s="17"/>
      <c r="L2078" s="17"/>
      <c r="M2078" s="17"/>
      <c r="N2078" s="17"/>
      <c r="O2078" s="17"/>
    </row>
    <row r="2079" spans="5:15" x14ac:dyDescent="0.25">
      <c r="E2079" s="17"/>
      <c r="F2079" s="17"/>
      <c r="G2079" s="17"/>
      <c r="H2079" s="17"/>
      <c r="J2079" s="17"/>
      <c r="K2079" s="17"/>
      <c r="L2079" s="17"/>
      <c r="M2079" s="17"/>
      <c r="N2079" s="17"/>
      <c r="O2079" s="17"/>
    </row>
    <row r="2080" spans="5:15" x14ac:dyDescent="0.25">
      <c r="E2080" s="17"/>
      <c r="F2080" s="17"/>
      <c r="G2080" s="17"/>
      <c r="H2080" s="17"/>
      <c r="J2080" s="17"/>
      <c r="K2080" s="17"/>
      <c r="L2080" s="17"/>
      <c r="M2080" s="17"/>
      <c r="N2080" s="17"/>
      <c r="O2080" s="17"/>
    </row>
    <row r="2081" spans="5:15" x14ac:dyDescent="0.25">
      <c r="E2081" s="17"/>
      <c r="F2081" s="17"/>
      <c r="G2081" s="17"/>
      <c r="H2081" s="17"/>
      <c r="J2081" s="17"/>
      <c r="K2081" s="17"/>
      <c r="L2081" s="17"/>
      <c r="M2081" s="17"/>
      <c r="N2081" s="17"/>
      <c r="O2081" s="17"/>
    </row>
    <row r="2082" spans="5:15" x14ac:dyDescent="0.25">
      <c r="E2082" s="17"/>
      <c r="F2082" s="17"/>
      <c r="G2082" s="17"/>
      <c r="H2082" s="17"/>
      <c r="J2082" s="17"/>
      <c r="K2082" s="17"/>
      <c r="L2082" s="17"/>
      <c r="M2082" s="17"/>
      <c r="N2082" s="17"/>
      <c r="O2082" s="17"/>
    </row>
    <row r="2083" spans="5:15" x14ac:dyDescent="0.25">
      <c r="E2083" s="17"/>
      <c r="F2083" s="17"/>
      <c r="G2083" s="17"/>
      <c r="H2083" s="17"/>
      <c r="J2083" s="17"/>
      <c r="K2083" s="17"/>
      <c r="L2083" s="17"/>
      <c r="M2083" s="17"/>
      <c r="N2083" s="17"/>
      <c r="O2083" s="17"/>
    </row>
    <row r="2084" spans="5:15" x14ac:dyDescent="0.25">
      <c r="E2084" s="17"/>
      <c r="F2084" s="17"/>
      <c r="G2084" s="17"/>
      <c r="H2084" s="17"/>
      <c r="J2084" s="17"/>
      <c r="K2084" s="17"/>
      <c r="L2084" s="17"/>
      <c r="M2084" s="17"/>
      <c r="N2084" s="17"/>
      <c r="O2084" s="17"/>
    </row>
    <row r="2085" spans="5:15" x14ac:dyDescent="0.25">
      <c r="E2085" s="17"/>
      <c r="F2085" s="17"/>
      <c r="G2085" s="17"/>
      <c r="H2085" s="17"/>
      <c r="J2085" s="17"/>
      <c r="K2085" s="17"/>
      <c r="L2085" s="17"/>
      <c r="M2085" s="17"/>
      <c r="N2085" s="17"/>
      <c r="O2085" s="17"/>
    </row>
    <row r="2086" spans="5:15" x14ac:dyDescent="0.25">
      <c r="E2086" s="17"/>
      <c r="F2086" s="17"/>
      <c r="G2086" s="17"/>
      <c r="H2086" s="17"/>
      <c r="J2086" s="17"/>
      <c r="K2086" s="17"/>
      <c r="L2086" s="17"/>
      <c r="M2086" s="17"/>
      <c r="N2086" s="17"/>
      <c r="O2086" s="17"/>
    </row>
    <row r="2087" spans="5:15" x14ac:dyDescent="0.25">
      <c r="E2087" s="17"/>
      <c r="F2087" s="17"/>
      <c r="G2087" s="17"/>
      <c r="H2087" s="17"/>
      <c r="J2087" s="17"/>
      <c r="K2087" s="17"/>
      <c r="L2087" s="17"/>
      <c r="M2087" s="17"/>
      <c r="N2087" s="17"/>
      <c r="O2087" s="17"/>
    </row>
    <row r="2088" spans="5:15" x14ac:dyDescent="0.25">
      <c r="E2088" s="17"/>
      <c r="F2088" s="17"/>
      <c r="G2088" s="17"/>
      <c r="H2088" s="17"/>
      <c r="J2088" s="17"/>
      <c r="K2088" s="17"/>
      <c r="L2088" s="17"/>
      <c r="M2088" s="17"/>
      <c r="N2088" s="17"/>
      <c r="O2088" s="17"/>
    </row>
    <row r="2089" spans="5:15" x14ac:dyDescent="0.25">
      <c r="E2089" s="17"/>
      <c r="F2089" s="17"/>
      <c r="G2089" s="17"/>
      <c r="H2089" s="17"/>
      <c r="J2089" s="17"/>
      <c r="K2089" s="17"/>
      <c r="L2089" s="17"/>
      <c r="M2089" s="17"/>
      <c r="N2089" s="17"/>
      <c r="O2089" s="17"/>
    </row>
    <row r="2090" spans="5:15" x14ac:dyDescent="0.25">
      <c r="E2090" s="17"/>
      <c r="F2090" s="17"/>
      <c r="G2090" s="17"/>
      <c r="H2090" s="17"/>
      <c r="J2090" s="17"/>
      <c r="K2090" s="17"/>
      <c r="L2090" s="17"/>
      <c r="M2090" s="17"/>
      <c r="N2090" s="17"/>
      <c r="O2090" s="17"/>
    </row>
    <row r="2091" spans="5:15" x14ac:dyDescent="0.25">
      <c r="E2091" s="17"/>
      <c r="F2091" s="17"/>
      <c r="G2091" s="17"/>
      <c r="H2091" s="17"/>
      <c r="J2091" s="17"/>
      <c r="K2091" s="17"/>
      <c r="L2091" s="17"/>
      <c r="M2091" s="17"/>
      <c r="N2091" s="17"/>
      <c r="O2091" s="17"/>
    </row>
    <row r="2092" spans="5:15" x14ac:dyDescent="0.25">
      <c r="E2092" s="17"/>
      <c r="F2092" s="17"/>
      <c r="G2092" s="17"/>
      <c r="H2092" s="17"/>
      <c r="J2092" s="17"/>
      <c r="K2092" s="17"/>
      <c r="L2092" s="17"/>
      <c r="M2092" s="17"/>
      <c r="N2092" s="17"/>
      <c r="O2092" s="17"/>
    </row>
    <row r="2093" spans="5:15" x14ac:dyDescent="0.25">
      <c r="E2093" s="17"/>
      <c r="F2093" s="17"/>
      <c r="G2093" s="17"/>
      <c r="H2093" s="17"/>
      <c r="J2093" s="17"/>
      <c r="K2093" s="17"/>
      <c r="L2093" s="17"/>
      <c r="M2093" s="17"/>
      <c r="N2093" s="17"/>
      <c r="O2093" s="17"/>
    </row>
    <row r="2094" spans="5:15" x14ac:dyDescent="0.25">
      <c r="E2094" s="17"/>
      <c r="F2094" s="17"/>
      <c r="G2094" s="17"/>
      <c r="H2094" s="17"/>
      <c r="J2094" s="17"/>
      <c r="K2094" s="17"/>
      <c r="L2094" s="17"/>
      <c r="M2094" s="17"/>
      <c r="N2094" s="17"/>
      <c r="O2094" s="17"/>
    </row>
    <row r="2095" spans="5:15" x14ac:dyDescent="0.25">
      <c r="E2095" s="17"/>
      <c r="F2095" s="17"/>
      <c r="G2095" s="17"/>
      <c r="H2095" s="17"/>
      <c r="J2095" s="17"/>
      <c r="K2095" s="17"/>
      <c r="L2095" s="17"/>
      <c r="M2095" s="17"/>
      <c r="N2095" s="17"/>
      <c r="O2095" s="17"/>
    </row>
    <row r="2096" spans="5:15" x14ac:dyDescent="0.25">
      <c r="E2096" s="17"/>
      <c r="F2096" s="17"/>
      <c r="G2096" s="17"/>
      <c r="H2096" s="17"/>
      <c r="J2096" s="17"/>
      <c r="K2096" s="17"/>
      <c r="L2096" s="17"/>
      <c r="M2096" s="17"/>
      <c r="N2096" s="17"/>
      <c r="O2096" s="17"/>
    </row>
    <row r="2097" spans="5:15" x14ac:dyDescent="0.25">
      <c r="E2097" s="17"/>
      <c r="F2097" s="17"/>
      <c r="G2097" s="17"/>
      <c r="H2097" s="17"/>
      <c r="J2097" s="17"/>
      <c r="K2097" s="17"/>
      <c r="L2097" s="17"/>
      <c r="M2097" s="17"/>
      <c r="N2097" s="17"/>
      <c r="O2097" s="17"/>
    </row>
    <row r="2098" spans="5:15" x14ac:dyDescent="0.25">
      <c r="E2098" s="17"/>
      <c r="F2098" s="17"/>
      <c r="G2098" s="17"/>
      <c r="H2098" s="17"/>
      <c r="J2098" s="17"/>
      <c r="K2098" s="17"/>
      <c r="L2098" s="17"/>
      <c r="M2098" s="17"/>
      <c r="N2098" s="17"/>
      <c r="O2098" s="17"/>
    </row>
    <row r="2099" spans="5:15" x14ac:dyDescent="0.25">
      <c r="E2099" s="17"/>
      <c r="F2099" s="17"/>
      <c r="G2099" s="17"/>
      <c r="H2099" s="17"/>
      <c r="J2099" s="17"/>
      <c r="K2099" s="17"/>
      <c r="L2099" s="17"/>
      <c r="M2099" s="17"/>
      <c r="N2099" s="17"/>
      <c r="O2099" s="17"/>
    </row>
    <row r="2100" spans="5:15" x14ac:dyDescent="0.25">
      <c r="E2100" s="17"/>
      <c r="F2100" s="17"/>
      <c r="G2100" s="17"/>
      <c r="H2100" s="17"/>
      <c r="J2100" s="17"/>
      <c r="K2100" s="17"/>
      <c r="L2100" s="17"/>
      <c r="M2100" s="17"/>
      <c r="N2100" s="17"/>
      <c r="O2100" s="17"/>
    </row>
    <row r="2101" spans="5:15" x14ac:dyDescent="0.25">
      <c r="E2101" s="17"/>
      <c r="F2101" s="17"/>
      <c r="G2101" s="17"/>
      <c r="H2101" s="17"/>
      <c r="J2101" s="17"/>
      <c r="K2101" s="17"/>
      <c r="L2101" s="17"/>
      <c r="M2101" s="17"/>
      <c r="N2101" s="17"/>
      <c r="O2101" s="17"/>
    </row>
    <row r="2102" spans="5:15" x14ac:dyDescent="0.25">
      <c r="E2102" s="17"/>
      <c r="F2102" s="17"/>
      <c r="G2102" s="17"/>
      <c r="H2102" s="17"/>
      <c r="J2102" s="17"/>
      <c r="K2102" s="17"/>
      <c r="L2102" s="17"/>
      <c r="M2102" s="17"/>
      <c r="N2102" s="17"/>
      <c r="O2102" s="17"/>
    </row>
    <row r="2103" spans="5:15" x14ac:dyDescent="0.25">
      <c r="E2103" s="17"/>
      <c r="F2103" s="17"/>
      <c r="G2103" s="17"/>
      <c r="H2103" s="17"/>
      <c r="J2103" s="17"/>
      <c r="K2103" s="17"/>
      <c r="L2103" s="17"/>
      <c r="M2103" s="17"/>
      <c r="N2103" s="17"/>
      <c r="O2103" s="17"/>
    </row>
    <row r="2104" spans="5:15" x14ac:dyDescent="0.25">
      <c r="E2104" s="17"/>
      <c r="F2104" s="17"/>
      <c r="G2104" s="17"/>
      <c r="H2104" s="17"/>
      <c r="J2104" s="17"/>
      <c r="K2104" s="17"/>
      <c r="L2104" s="17"/>
      <c r="M2104" s="17"/>
      <c r="N2104" s="17"/>
      <c r="O2104" s="17"/>
    </row>
    <row r="2105" spans="5:15" x14ac:dyDescent="0.25">
      <c r="E2105" s="17"/>
      <c r="F2105" s="17"/>
      <c r="G2105" s="17"/>
      <c r="H2105" s="17"/>
      <c r="J2105" s="17"/>
      <c r="K2105" s="17"/>
      <c r="L2105" s="17"/>
      <c r="M2105" s="17"/>
      <c r="N2105" s="17"/>
      <c r="O2105" s="17"/>
    </row>
    <row r="2106" spans="5:15" x14ac:dyDescent="0.25">
      <c r="E2106" s="17"/>
      <c r="F2106" s="17"/>
      <c r="G2106" s="17"/>
      <c r="H2106" s="17"/>
      <c r="J2106" s="17"/>
      <c r="K2106" s="17"/>
      <c r="L2106" s="17"/>
      <c r="M2106" s="17"/>
      <c r="N2106" s="17"/>
      <c r="O2106" s="17"/>
    </row>
    <row r="2107" spans="5:15" x14ac:dyDescent="0.25">
      <c r="E2107" s="17"/>
      <c r="F2107" s="17"/>
      <c r="G2107" s="17"/>
      <c r="H2107" s="17"/>
      <c r="J2107" s="17"/>
      <c r="K2107" s="17"/>
      <c r="L2107" s="17"/>
      <c r="M2107" s="17"/>
      <c r="N2107" s="17"/>
      <c r="O2107" s="17"/>
    </row>
    <row r="2108" spans="5:15" x14ac:dyDescent="0.25">
      <c r="E2108" s="17"/>
      <c r="F2108" s="17"/>
      <c r="G2108" s="17"/>
      <c r="H2108" s="17"/>
      <c r="J2108" s="17"/>
      <c r="K2108" s="17"/>
      <c r="L2108" s="17"/>
      <c r="M2108" s="17"/>
      <c r="N2108" s="17"/>
      <c r="O2108" s="17"/>
    </row>
    <row r="2109" spans="5:15" x14ac:dyDescent="0.25">
      <c r="E2109" s="17"/>
      <c r="F2109" s="17"/>
      <c r="G2109" s="17"/>
      <c r="H2109" s="17"/>
      <c r="J2109" s="17"/>
      <c r="K2109" s="17"/>
      <c r="L2109" s="17"/>
      <c r="M2109" s="17"/>
      <c r="N2109" s="17"/>
      <c r="O2109" s="17"/>
    </row>
    <row r="2110" spans="5:15" x14ac:dyDescent="0.25">
      <c r="E2110" s="17"/>
      <c r="F2110" s="17"/>
      <c r="G2110" s="17"/>
      <c r="H2110" s="17"/>
      <c r="J2110" s="17"/>
      <c r="K2110" s="17"/>
      <c r="L2110" s="17"/>
      <c r="M2110" s="17"/>
      <c r="N2110" s="17"/>
      <c r="O2110" s="17"/>
    </row>
    <row r="2111" spans="5:15" x14ac:dyDescent="0.25">
      <c r="E2111" s="17"/>
      <c r="F2111" s="17"/>
      <c r="G2111" s="17"/>
      <c r="H2111" s="17"/>
      <c r="J2111" s="17"/>
      <c r="K2111" s="17"/>
      <c r="L2111" s="17"/>
      <c r="M2111" s="17"/>
      <c r="N2111" s="17"/>
      <c r="O2111" s="17"/>
    </row>
    <row r="2112" spans="5:15" x14ac:dyDescent="0.25">
      <c r="E2112" s="17"/>
      <c r="F2112" s="17"/>
      <c r="G2112" s="17"/>
      <c r="H2112" s="17"/>
      <c r="J2112" s="17"/>
      <c r="K2112" s="17"/>
      <c r="L2112" s="17"/>
      <c r="M2112" s="17"/>
      <c r="N2112" s="17"/>
      <c r="O2112" s="17"/>
    </row>
    <row r="2113" spans="5:15" x14ac:dyDescent="0.25">
      <c r="E2113" s="17"/>
      <c r="F2113" s="17"/>
      <c r="G2113" s="17"/>
      <c r="H2113" s="17"/>
      <c r="J2113" s="17"/>
      <c r="K2113" s="17"/>
      <c r="L2113" s="17"/>
      <c r="M2113" s="17"/>
      <c r="N2113" s="17"/>
      <c r="O2113" s="17"/>
    </row>
    <row r="2114" spans="5:15" x14ac:dyDescent="0.25">
      <c r="E2114" s="17"/>
      <c r="F2114" s="17"/>
      <c r="G2114" s="17"/>
      <c r="H2114" s="17"/>
      <c r="J2114" s="17"/>
      <c r="K2114" s="17"/>
      <c r="L2114" s="17"/>
      <c r="M2114" s="17"/>
      <c r="N2114" s="17"/>
      <c r="O2114" s="17"/>
    </row>
    <row r="2115" spans="5:15" x14ac:dyDescent="0.25">
      <c r="E2115" s="17"/>
      <c r="F2115" s="17"/>
      <c r="G2115" s="17"/>
      <c r="H2115" s="17"/>
      <c r="J2115" s="17"/>
      <c r="K2115" s="17"/>
      <c r="L2115" s="17"/>
      <c r="M2115" s="17"/>
      <c r="N2115" s="17"/>
      <c r="O2115" s="17"/>
    </row>
    <row r="2116" spans="5:15" x14ac:dyDescent="0.25">
      <c r="E2116" s="17"/>
      <c r="F2116" s="17"/>
      <c r="G2116" s="17"/>
      <c r="H2116" s="17"/>
      <c r="J2116" s="17"/>
      <c r="K2116" s="17"/>
      <c r="L2116" s="17"/>
      <c r="M2116" s="17"/>
      <c r="N2116" s="17"/>
      <c r="O2116" s="17"/>
    </row>
    <row r="2117" spans="5:15" x14ac:dyDescent="0.25">
      <c r="E2117" s="17"/>
      <c r="F2117" s="17"/>
      <c r="G2117" s="17"/>
      <c r="H2117" s="17"/>
      <c r="J2117" s="17"/>
      <c r="K2117" s="17"/>
      <c r="L2117" s="17"/>
      <c r="M2117" s="17"/>
      <c r="N2117" s="17"/>
      <c r="O2117" s="17"/>
    </row>
    <row r="2118" spans="5:15" x14ac:dyDescent="0.25">
      <c r="E2118" s="17"/>
      <c r="F2118" s="17"/>
      <c r="G2118" s="17"/>
      <c r="H2118" s="17"/>
      <c r="J2118" s="17"/>
      <c r="K2118" s="17"/>
      <c r="L2118" s="17"/>
      <c r="M2118" s="17"/>
      <c r="N2118" s="17"/>
      <c r="O2118" s="17"/>
    </row>
    <row r="2119" spans="5:15" x14ac:dyDescent="0.25">
      <c r="E2119" s="17"/>
      <c r="F2119" s="17"/>
      <c r="G2119" s="17"/>
      <c r="H2119" s="17"/>
      <c r="J2119" s="17"/>
      <c r="K2119" s="17"/>
      <c r="L2119" s="17"/>
      <c r="M2119" s="17"/>
      <c r="N2119" s="17"/>
      <c r="O2119" s="17"/>
    </row>
    <row r="2120" spans="5:15" x14ac:dyDescent="0.25">
      <c r="E2120" s="17"/>
      <c r="F2120" s="17"/>
      <c r="G2120" s="17"/>
      <c r="H2120" s="17"/>
      <c r="J2120" s="17"/>
      <c r="K2120" s="17"/>
      <c r="L2120" s="17"/>
      <c r="M2120" s="17"/>
      <c r="N2120" s="17"/>
      <c r="O2120" s="17"/>
    </row>
    <row r="2121" spans="5:15" x14ac:dyDescent="0.25">
      <c r="E2121" s="17"/>
      <c r="F2121" s="17"/>
      <c r="G2121" s="17"/>
      <c r="H2121" s="17"/>
      <c r="J2121" s="17"/>
      <c r="K2121" s="17"/>
      <c r="L2121" s="17"/>
      <c r="M2121" s="17"/>
      <c r="N2121" s="17"/>
      <c r="O2121" s="17"/>
    </row>
    <row r="2122" spans="5:15" x14ac:dyDescent="0.25">
      <c r="E2122" s="17"/>
      <c r="F2122" s="17"/>
      <c r="G2122" s="17"/>
      <c r="H2122" s="17"/>
      <c r="J2122" s="17"/>
      <c r="K2122" s="17"/>
      <c r="L2122" s="17"/>
      <c r="M2122" s="17"/>
      <c r="N2122" s="17"/>
      <c r="O2122" s="17"/>
    </row>
    <row r="2123" spans="5:15" x14ac:dyDescent="0.25">
      <c r="E2123" s="17"/>
      <c r="F2123" s="17"/>
      <c r="G2123" s="17"/>
      <c r="H2123" s="17"/>
      <c r="J2123" s="17"/>
      <c r="K2123" s="17"/>
      <c r="L2123" s="17"/>
      <c r="M2123" s="17"/>
      <c r="N2123" s="17"/>
      <c r="O2123" s="17"/>
    </row>
    <row r="2124" spans="5:15" x14ac:dyDescent="0.25">
      <c r="E2124" s="17"/>
      <c r="F2124" s="17"/>
      <c r="G2124" s="17"/>
      <c r="H2124" s="17"/>
      <c r="J2124" s="17"/>
      <c r="K2124" s="17"/>
      <c r="L2124" s="17"/>
      <c r="M2124" s="17"/>
      <c r="N2124" s="17"/>
      <c r="O2124" s="17"/>
    </row>
    <row r="2125" spans="5:15" x14ac:dyDescent="0.25">
      <c r="E2125" s="17"/>
      <c r="F2125" s="17"/>
      <c r="G2125" s="17"/>
      <c r="H2125" s="17"/>
      <c r="J2125" s="17"/>
      <c r="K2125" s="17"/>
      <c r="L2125" s="17"/>
      <c r="M2125" s="17"/>
      <c r="N2125" s="17"/>
      <c r="O2125" s="17"/>
    </row>
    <row r="2126" spans="5:15" x14ac:dyDescent="0.25">
      <c r="E2126" s="17"/>
      <c r="F2126" s="17"/>
      <c r="G2126" s="17"/>
      <c r="H2126" s="17"/>
      <c r="J2126" s="17"/>
      <c r="K2126" s="17"/>
      <c r="L2126" s="17"/>
      <c r="M2126" s="17"/>
      <c r="N2126" s="17"/>
      <c r="O2126" s="17"/>
    </row>
    <row r="2127" spans="5:15" x14ac:dyDescent="0.25">
      <c r="E2127" s="17"/>
      <c r="F2127" s="17"/>
      <c r="G2127" s="17"/>
      <c r="H2127" s="17"/>
      <c r="J2127" s="17"/>
      <c r="K2127" s="17"/>
      <c r="L2127" s="17"/>
      <c r="M2127" s="17"/>
      <c r="N2127" s="17"/>
      <c r="O2127" s="17"/>
    </row>
    <row r="2128" spans="5:15" x14ac:dyDescent="0.25">
      <c r="E2128" s="17"/>
      <c r="F2128" s="17"/>
      <c r="G2128" s="17"/>
      <c r="H2128" s="17"/>
      <c r="J2128" s="17"/>
      <c r="K2128" s="17"/>
      <c r="L2128" s="17"/>
      <c r="M2128" s="17"/>
      <c r="N2128" s="17"/>
      <c r="O2128" s="17"/>
    </row>
    <row r="2129" spans="5:15" x14ac:dyDescent="0.25">
      <c r="E2129" s="17"/>
      <c r="F2129" s="17"/>
      <c r="G2129" s="17"/>
      <c r="H2129" s="17"/>
      <c r="J2129" s="17"/>
      <c r="K2129" s="17"/>
      <c r="L2129" s="17"/>
      <c r="M2129" s="17"/>
      <c r="N2129" s="17"/>
      <c r="O2129" s="17"/>
    </row>
    <row r="2130" spans="5:15" x14ac:dyDescent="0.25">
      <c r="E2130" s="17"/>
      <c r="F2130" s="17"/>
      <c r="G2130" s="17"/>
      <c r="H2130" s="17"/>
      <c r="J2130" s="17"/>
      <c r="K2130" s="17"/>
      <c r="L2130" s="17"/>
      <c r="M2130" s="17"/>
      <c r="N2130" s="17"/>
      <c r="O2130" s="17"/>
    </row>
    <row r="2131" spans="5:15" x14ac:dyDescent="0.25">
      <c r="E2131" s="17"/>
      <c r="F2131" s="17"/>
      <c r="G2131" s="17"/>
      <c r="H2131" s="17"/>
      <c r="J2131" s="17"/>
      <c r="K2131" s="17"/>
      <c r="L2131" s="17"/>
      <c r="M2131" s="17"/>
      <c r="N2131" s="17"/>
      <c r="O2131" s="17"/>
    </row>
    <row r="2132" spans="5:15" x14ac:dyDescent="0.25">
      <c r="E2132" s="17"/>
      <c r="F2132" s="17"/>
      <c r="G2132" s="17"/>
      <c r="H2132" s="17"/>
      <c r="J2132" s="17"/>
      <c r="K2132" s="17"/>
      <c r="L2132" s="17"/>
      <c r="M2132" s="17"/>
      <c r="N2132" s="17"/>
      <c r="O2132" s="17"/>
    </row>
    <row r="2133" spans="5:15" x14ac:dyDescent="0.25">
      <c r="E2133" s="17"/>
      <c r="F2133" s="17"/>
      <c r="G2133" s="17"/>
      <c r="H2133" s="17"/>
      <c r="J2133" s="17"/>
      <c r="K2133" s="17"/>
      <c r="L2133" s="17"/>
      <c r="M2133" s="17"/>
      <c r="N2133" s="17"/>
      <c r="O2133" s="17"/>
    </row>
    <row r="2134" spans="5:15" x14ac:dyDescent="0.25">
      <c r="E2134" s="17"/>
      <c r="F2134" s="17"/>
      <c r="G2134" s="17"/>
      <c r="H2134" s="17"/>
      <c r="J2134" s="17"/>
      <c r="K2134" s="17"/>
      <c r="L2134" s="17"/>
      <c r="M2134" s="17"/>
      <c r="N2134" s="17"/>
      <c r="O2134" s="17"/>
    </row>
    <row r="2135" spans="5:15" x14ac:dyDescent="0.25">
      <c r="E2135" s="17"/>
      <c r="F2135" s="17"/>
      <c r="G2135" s="17"/>
      <c r="H2135" s="17"/>
      <c r="J2135" s="17"/>
      <c r="K2135" s="17"/>
      <c r="L2135" s="17"/>
      <c r="M2135" s="17"/>
      <c r="N2135" s="17"/>
      <c r="O2135" s="17"/>
    </row>
    <row r="2136" spans="5:15" x14ac:dyDescent="0.25">
      <c r="E2136" s="17"/>
      <c r="F2136" s="17"/>
      <c r="G2136" s="17"/>
      <c r="H2136" s="17"/>
      <c r="J2136" s="17"/>
      <c r="K2136" s="17"/>
      <c r="L2136" s="17"/>
      <c r="M2136" s="17"/>
      <c r="N2136" s="17"/>
      <c r="O2136" s="17"/>
    </row>
    <row r="2137" spans="5:15" x14ac:dyDescent="0.25">
      <c r="E2137" s="17"/>
      <c r="F2137" s="17"/>
      <c r="G2137" s="17"/>
      <c r="H2137" s="17"/>
      <c r="J2137" s="17"/>
      <c r="K2137" s="17"/>
      <c r="L2137" s="17"/>
      <c r="M2137" s="17"/>
      <c r="N2137" s="17"/>
      <c r="O2137" s="17"/>
    </row>
    <row r="2138" spans="5:15" x14ac:dyDescent="0.25">
      <c r="E2138" s="17"/>
      <c r="F2138" s="17"/>
      <c r="G2138" s="17"/>
      <c r="H2138" s="17"/>
      <c r="J2138" s="17"/>
      <c r="K2138" s="17"/>
      <c r="L2138" s="17"/>
      <c r="M2138" s="17"/>
      <c r="N2138" s="17"/>
      <c r="O2138" s="17"/>
    </row>
    <row r="2139" spans="5:15" x14ac:dyDescent="0.25">
      <c r="E2139" s="17"/>
      <c r="F2139" s="17"/>
      <c r="G2139" s="17"/>
      <c r="H2139" s="17"/>
      <c r="J2139" s="17"/>
      <c r="K2139" s="17"/>
      <c r="L2139" s="17"/>
      <c r="M2139" s="17"/>
      <c r="N2139" s="17"/>
      <c r="O2139" s="17"/>
    </row>
    <row r="2140" spans="5:15" x14ac:dyDescent="0.25">
      <c r="E2140" s="17"/>
      <c r="F2140" s="17"/>
      <c r="G2140" s="17"/>
      <c r="H2140" s="17"/>
      <c r="J2140" s="17"/>
      <c r="K2140" s="17"/>
      <c r="L2140" s="17"/>
      <c r="M2140" s="17"/>
      <c r="N2140" s="17"/>
      <c r="O2140" s="17"/>
    </row>
    <row r="2141" spans="5:15" x14ac:dyDescent="0.25">
      <c r="E2141" s="17"/>
      <c r="F2141" s="17"/>
      <c r="G2141" s="17"/>
      <c r="H2141" s="17"/>
      <c r="J2141" s="17"/>
      <c r="K2141" s="17"/>
      <c r="L2141" s="17"/>
      <c r="M2141" s="17"/>
      <c r="N2141" s="17"/>
      <c r="O2141" s="17"/>
    </row>
    <row r="2142" spans="5:15" x14ac:dyDescent="0.25">
      <c r="E2142" s="17"/>
      <c r="F2142" s="17"/>
      <c r="G2142" s="17"/>
      <c r="H2142" s="17"/>
      <c r="J2142" s="17"/>
      <c r="K2142" s="17"/>
      <c r="L2142" s="17"/>
      <c r="M2142" s="17"/>
      <c r="N2142" s="17"/>
      <c r="O2142" s="17"/>
    </row>
    <row r="2143" spans="5:15" x14ac:dyDescent="0.25">
      <c r="E2143" s="17"/>
      <c r="F2143" s="17"/>
      <c r="G2143" s="17"/>
      <c r="H2143" s="17"/>
      <c r="J2143" s="17"/>
      <c r="K2143" s="17"/>
      <c r="L2143" s="17"/>
      <c r="M2143" s="17"/>
      <c r="N2143" s="17"/>
      <c r="O2143" s="17"/>
    </row>
    <row r="2144" spans="5:15" x14ac:dyDescent="0.25">
      <c r="E2144" s="17"/>
      <c r="F2144" s="17"/>
      <c r="G2144" s="17"/>
      <c r="H2144" s="17"/>
      <c r="J2144" s="17"/>
      <c r="K2144" s="17"/>
      <c r="L2144" s="17"/>
      <c r="M2144" s="17"/>
      <c r="N2144" s="17"/>
      <c r="O2144" s="17"/>
    </row>
    <row r="2145" spans="5:15" x14ac:dyDescent="0.25">
      <c r="E2145" s="17"/>
      <c r="F2145" s="17"/>
      <c r="G2145" s="17"/>
      <c r="H2145" s="17"/>
      <c r="J2145" s="17"/>
      <c r="K2145" s="17"/>
      <c r="L2145" s="17"/>
      <c r="M2145" s="17"/>
      <c r="N2145" s="17"/>
      <c r="O2145" s="17"/>
    </row>
    <row r="2146" spans="5:15" x14ac:dyDescent="0.25">
      <c r="E2146" s="17"/>
      <c r="F2146" s="17"/>
      <c r="G2146" s="17"/>
      <c r="H2146" s="17"/>
      <c r="J2146" s="17"/>
      <c r="K2146" s="17"/>
      <c r="L2146" s="17"/>
      <c r="M2146" s="17"/>
      <c r="N2146" s="17"/>
      <c r="O2146" s="17"/>
    </row>
    <row r="2147" spans="5:15" x14ac:dyDescent="0.25">
      <c r="E2147" s="17"/>
      <c r="F2147" s="17"/>
      <c r="G2147" s="17"/>
      <c r="H2147" s="17"/>
      <c r="J2147" s="17"/>
      <c r="K2147" s="17"/>
      <c r="L2147" s="17"/>
      <c r="M2147" s="17"/>
      <c r="N2147" s="17"/>
      <c r="O2147" s="17"/>
    </row>
    <row r="2148" spans="5:15" x14ac:dyDescent="0.25">
      <c r="E2148" s="17"/>
      <c r="F2148" s="17"/>
      <c r="G2148" s="17"/>
      <c r="H2148" s="17"/>
      <c r="J2148" s="17"/>
      <c r="K2148" s="17"/>
      <c r="L2148" s="17"/>
      <c r="M2148" s="17"/>
      <c r="N2148" s="17"/>
      <c r="O2148" s="17"/>
    </row>
    <row r="2149" spans="5:15" x14ac:dyDescent="0.25">
      <c r="E2149" s="17"/>
      <c r="F2149" s="17"/>
      <c r="G2149" s="17"/>
      <c r="H2149" s="17"/>
      <c r="J2149" s="17"/>
      <c r="K2149" s="17"/>
      <c r="L2149" s="17"/>
      <c r="M2149" s="17"/>
      <c r="N2149" s="17"/>
      <c r="O2149" s="17"/>
    </row>
    <row r="2150" spans="5:15" x14ac:dyDescent="0.25">
      <c r="E2150" s="17"/>
      <c r="F2150" s="17"/>
      <c r="G2150" s="17"/>
      <c r="H2150" s="17"/>
      <c r="J2150" s="17"/>
      <c r="K2150" s="17"/>
      <c r="L2150" s="17"/>
      <c r="M2150" s="17"/>
      <c r="N2150" s="17"/>
      <c r="O2150" s="17"/>
    </row>
    <row r="2151" spans="5:15" x14ac:dyDescent="0.25">
      <c r="E2151" s="17"/>
      <c r="F2151" s="17"/>
      <c r="G2151" s="17"/>
      <c r="H2151" s="17"/>
      <c r="J2151" s="17"/>
      <c r="K2151" s="17"/>
      <c r="L2151" s="17"/>
      <c r="M2151" s="17"/>
      <c r="N2151" s="17"/>
      <c r="O2151" s="17"/>
    </row>
    <row r="2152" spans="5:15" x14ac:dyDescent="0.25">
      <c r="E2152" s="17"/>
      <c r="F2152" s="17"/>
      <c r="G2152" s="17"/>
      <c r="H2152" s="17"/>
      <c r="J2152" s="17"/>
      <c r="K2152" s="17"/>
      <c r="L2152" s="17"/>
      <c r="M2152" s="17"/>
      <c r="N2152" s="17"/>
      <c r="O2152" s="17"/>
    </row>
    <row r="2153" spans="5:15" x14ac:dyDescent="0.25">
      <c r="E2153" s="17"/>
      <c r="F2153" s="17"/>
      <c r="G2153" s="17"/>
      <c r="H2153" s="17"/>
      <c r="J2153" s="17"/>
      <c r="K2153" s="17"/>
      <c r="L2153" s="17"/>
      <c r="M2153" s="17"/>
      <c r="N2153" s="17"/>
      <c r="O2153" s="17"/>
    </row>
    <row r="2154" spans="5:15" x14ac:dyDescent="0.25">
      <c r="E2154" s="17"/>
      <c r="F2154" s="17"/>
      <c r="G2154" s="17"/>
      <c r="H2154" s="17"/>
      <c r="J2154" s="17"/>
      <c r="K2154" s="17"/>
      <c r="L2154" s="17"/>
      <c r="M2154" s="17"/>
      <c r="N2154" s="17"/>
      <c r="O2154" s="17"/>
    </row>
    <row r="2155" spans="5:15" x14ac:dyDescent="0.25">
      <c r="E2155" s="17"/>
      <c r="F2155" s="17"/>
      <c r="G2155" s="17"/>
      <c r="H2155" s="17"/>
      <c r="J2155" s="17"/>
      <c r="K2155" s="17"/>
      <c r="L2155" s="17"/>
      <c r="M2155" s="17"/>
      <c r="N2155" s="17"/>
      <c r="O2155" s="17"/>
    </row>
    <row r="2156" spans="5:15" x14ac:dyDescent="0.25">
      <c r="E2156" s="17"/>
      <c r="F2156" s="17"/>
      <c r="G2156" s="17"/>
      <c r="H2156" s="17"/>
      <c r="J2156" s="17"/>
      <c r="K2156" s="17"/>
      <c r="L2156" s="17"/>
      <c r="M2156" s="17"/>
      <c r="N2156" s="17"/>
      <c r="O2156" s="17"/>
    </row>
    <row r="2157" spans="5:15" x14ac:dyDescent="0.25">
      <c r="E2157" s="17"/>
      <c r="F2157" s="17"/>
      <c r="G2157" s="17"/>
      <c r="H2157" s="17"/>
      <c r="J2157" s="17"/>
      <c r="K2157" s="17"/>
      <c r="L2157" s="17"/>
      <c r="M2157" s="17"/>
      <c r="N2157" s="17"/>
      <c r="O2157" s="17"/>
    </row>
    <row r="2158" spans="5:15" x14ac:dyDescent="0.25">
      <c r="E2158" s="17"/>
      <c r="F2158" s="17"/>
      <c r="G2158" s="17"/>
      <c r="H2158" s="17"/>
      <c r="J2158" s="17"/>
      <c r="K2158" s="17"/>
      <c r="L2158" s="17"/>
      <c r="M2158" s="17"/>
      <c r="N2158" s="17"/>
      <c r="O2158" s="17"/>
    </row>
    <row r="2159" spans="5:15" x14ac:dyDescent="0.25">
      <c r="E2159" s="17"/>
      <c r="F2159" s="17"/>
      <c r="G2159" s="17"/>
      <c r="H2159" s="17"/>
      <c r="J2159" s="17"/>
      <c r="K2159" s="17"/>
      <c r="L2159" s="17"/>
      <c r="M2159" s="17"/>
      <c r="N2159" s="17"/>
      <c r="O2159" s="17"/>
    </row>
    <row r="2160" spans="5:15" x14ac:dyDescent="0.25">
      <c r="E2160" s="17"/>
      <c r="F2160" s="17"/>
      <c r="G2160" s="17"/>
      <c r="H2160" s="17"/>
      <c r="J2160" s="17"/>
      <c r="K2160" s="17"/>
      <c r="L2160" s="17"/>
      <c r="M2160" s="17"/>
      <c r="N2160" s="17"/>
      <c r="O2160" s="17"/>
    </row>
    <row r="2161" spans="5:15" x14ac:dyDescent="0.25">
      <c r="E2161" s="17"/>
      <c r="F2161" s="17"/>
      <c r="G2161" s="17"/>
      <c r="H2161" s="17"/>
      <c r="J2161" s="17"/>
      <c r="K2161" s="17"/>
      <c r="L2161" s="17"/>
      <c r="M2161" s="17"/>
      <c r="N2161" s="17"/>
      <c r="O2161" s="17"/>
    </row>
    <row r="2162" spans="5:15" x14ac:dyDescent="0.25">
      <c r="E2162" s="17"/>
      <c r="F2162" s="17"/>
      <c r="G2162" s="17"/>
      <c r="H2162" s="17"/>
      <c r="J2162" s="17"/>
      <c r="K2162" s="17"/>
      <c r="L2162" s="17"/>
      <c r="M2162" s="17"/>
      <c r="N2162" s="17"/>
      <c r="O2162" s="17"/>
    </row>
    <row r="2163" spans="5:15" x14ac:dyDescent="0.25">
      <c r="E2163" s="17"/>
      <c r="F2163" s="17"/>
      <c r="G2163" s="17"/>
      <c r="H2163" s="17"/>
      <c r="J2163" s="17"/>
      <c r="K2163" s="17"/>
      <c r="L2163" s="17"/>
      <c r="M2163" s="17"/>
      <c r="N2163" s="17"/>
      <c r="O2163" s="17"/>
    </row>
    <row r="2164" spans="5:15" x14ac:dyDescent="0.25">
      <c r="E2164" s="17"/>
      <c r="F2164" s="17"/>
      <c r="G2164" s="17"/>
      <c r="H2164" s="17"/>
      <c r="J2164" s="17"/>
      <c r="K2164" s="17"/>
      <c r="L2164" s="17"/>
      <c r="M2164" s="17"/>
      <c r="N2164" s="17"/>
      <c r="O2164" s="17"/>
    </row>
    <row r="2165" spans="5:15" x14ac:dyDescent="0.25">
      <c r="E2165" s="17"/>
      <c r="F2165" s="17"/>
      <c r="G2165" s="17"/>
      <c r="H2165" s="17"/>
      <c r="J2165" s="17"/>
      <c r="K2165" s="17"/>
      <c r="L2165" s="17"/>
      <c r="M2165" s="17"/>
      <c r="N2165" s="17"/>
      <c r="O2165" s="17"/>
    </row>
    <row r="2166" spans="5:15" x14ac:dyDescent="0.25">
      <c r="E2166" s="17"/>
      <c r="F2166" s="17"/>
      <c r="G2166" s="17"/>
      <c r="H2166" s="17"/>
      <c r="J2166" s="17"/>
      <c r="K2166" s="17"/>
      <c r="L2166" s="17"/>
      <c r="M2166" s="17"/>
      <c r="N2166" s="17"/>
      <c r="O2166" s="17"/>
    </row>
    <row r="2167" spans="5:15" x14ac:dyDescent="0.25">
      <c r="E2167" s="17"/>
      <c r="F2167" s="17"/>
      <c r="G2167" s="17"/>
      <c r="H2167" s="17"/>
      <c r="J2167" s="17"/>
      <c r="K2167" s="17"/>
      <c r="L2167" s="17"/>
      <c r="M2167" s="17"/>
      <c r="N2167" s="17"/>
      <c r="O2167" s="17"/>
    </row>
    <row r="2168" spans="5:15" x14ac:dyDescent="0.25">
      <c r="E2168" s="17"/>
      <c r="F2168" s="17"/>
      <c r="G2168" s="17"/>
      <c r="H2168" s="17"/>
      <c r="J2168" s="17"/>
      <c r="K2168" s="17"/>
      <c r="L2168" s="17"/>
      <c r="M2168" s="17"/>
      <c r="N2168" s="17"/>
      <c r="O2168" s="17"/>
    </row>
    <row r="2169" spans="5:15" x14ac:dyDescent="0.25">
      <c r="E2169" s="17"/>
      <c r="F2169" s="17"/>
      <c r="G2169" s="17"/>
      <c r="H2169" s="17"/>
      <c r="J2169" s="17"/>
      <c r="K2169" s="17"/>
      <c r="L2169" s="17"/>
      <c r="M2169" s="17"/>
      <c r="N2169" s="17"/>
      <c r="O2169" s="17"/>
    </row>
    <row r="2170" spans="5:15" x14ac:dyDescent="0.25">
      <c r="E2170" s="17"/>
      <c r="F2170" s="17"/>
      <c r="G2170" s="17"/>
      <c r="H2170" s="17"/>
      <c r="J2170" s="17"/>
      <c r="K2170" s="17"/>
      <c r="L2170" s="17"/>
      <c r="M2170" s="17"/>
      <c r="N2170" s="17"/>
      <c r="O2170" s="17"/>
    </row>
    <row r="2171" spans="5:15" x14ac:dyDescent="0.25">
      <c r="E2171" s="17"/>
      <c r="F2171" s="17"/>
      <c r="G2171" s="17"/>
      <c r="H2171" s="17"/>
      <c r="J2171" s="17"/>
      <c r="K2171" s="17"/>
      <c r="L2171" s="17"/>
      <c r="M2171" s="17"/>
      <c r="N2171" s="17"/>
      <c r="O2171" s="17"/>
    </row>
    <row r="2172" spans="5:15" x14ac:dyDescent="0.25">
      <c r="E2172" s="17"/>
      <c r="F2172" s="17"/>
      <c r="G2172" s="17"/>
      <c r="H2172" s="17"/>
      <c r="J2172" s="17"/>
      <c r="K2172" s="17"/>
      <c r="L2172" s="17"/>
      <c r="M2172" s="17"/>
      <c r="N2172" s="17"/>
      <c r="O2172" s="17"/>
    </row>
    <row r="2173" spans="5:15" x14ac:dyDescent="0.25">
      <c r="E2173" s="17"/>
      <c r="F2173" s="17"/>
      <c r="G2173" s="17"/>
      <c r="H2173" s="17"/>
      <c r="J2173" s="17"/>
      <c r="K2173" s="17"/>
      <c r="L2173" s="17"/>
      <c r="M2173" s="17"/>
      <c r="N2173" s="17"/>
      <c r="O2173" s="17"/>
    </row>
    <row r="2174" spans="5:15" x14ac:dyDescent="0.25">
      <c r="E2174" s="17"/>
      <c r="F2174" s="17"/>
      <c r="G2174" s="17"/>
      <c r="H2174" s="17"/>
      <c r="J2174" s="17"/>
      <c r="K2174" s="17"/>
      <c r="L2174" s="17"/>
      <c r="M2174" s="17"/>
      <c r="N2174" s="17"/>
      <c r="O2174" s="17"/>
    </row>
    <row r="2175" spans="5:15" x14ac:dyDescent="0.25">
      <c r="E2175" s="17"/>
      <c r="F2175" s="17"/>
      <c r="G2175" s="17"/>
      <c r="H2175" s="17"/>
      <c r="J2175" s="17"/>
      <c r="K2175" s="17"/>
      <c r="L2175" s="17"/>
      <c r="M2175" s="17"/>
      <c r="N2175" s="17"/>
      <c r="O2175" s="17"/>
    </row>
    <row r="2176" spans="5:15" x14ac:dyDescent="0.25">
      <c r="E2176" s="17"/>
      <c r="F2176" s="17"/>
      <c r="G2176" s="17"/>
      <c r="H2176" s="17"/>
      <c r="J2176" s="17"/>
      <c r="K2176" s="17"/>
      <c r="L2176" s="17"/>
      <c r="M2176" s="17"/>
      <c r="N2176" s="17"/>
      <c r="O2176" s="17"/>
    </row>
    <row r="2177" spans="5:15" x14ac:dyDescent="0.25">
      <c r="E2177" s="17"/>
      <c r="F2177" s="17"/>
      <c r="G2177" s="17"/>
      <c r="H2177" s="17"/>
      <c r="J2177" s="17"/>
      <c r="K2177" s="17"/>
      <c r="L2177" s="17"/>
      <c r="M2177" s="17"/>
      <c r="N2177" s="17"/>
      <c r="O2177" s="17"/>
    </row>
    <row r="2178" spans="5:15" x14ac:dyDescent="0.25">
      <c r="E2178" s="17"/>
      <c r="F2178" s="17"/>
      <c r="G2178" s="17"/>
      <c r="H2178" s="17"/>
      <c r="J2178" s="17"/>
      <c r="K2178" s="17"/>
      <c r="L2178" s="17"/>
      <c r="M2178" s="17"/>
      <c r="N2178" s="17"/>
      <c r="O2178" s="17"/>
    </row>
    <row r="2179" spans="5:15" x14ac:dyDescent="0.25">
      <c r="E2179" s="17"/>
      <c r="F2179" s="17"/>
      <c r="G2179" s="17"/>
      <c r="H2179" s="17"/>
      <c r="J2179" s="17"/>
      <c r="K2179" s="17"/>
      <c r="L2179" s="17"/>
      <c r="M2179" s="17"/>
      <c r="N2179" s="17"/>
      <c r="O2179" s="17"/>
    </row>
    <row r="2180" spans="5:15" x14ac:dyDescent="0.25">
      <c r="E2180" s="17"/>
      <c r="F2180" s="17"/>
      <c r="G2180" s="17"/>
      <c r="H2180" s="17"/>
      <c r="J2180" s="17"/>
      <c r="K2180" s="17"/>
      <c r="L2180" s="17"/>
      <c r="M2180" s="17"/>
      <c r="N2180" s="17"/>
      <c r="O2180" s="17"/>
    </row>
    <row r="2181" spans="5:15" x14ac:dyDescent="0.25">
      <c r="E2181" s="17"/>
      <c r="F2181" s="17"/>
      <c r="G2181" s="17"/>
      <c r="H2181" s="17"/>
      <c r="J2181" s="17"/>
      <c r="K2181" s="17"/>
      <c r="L2181" s="17"/>
      <c r="M2181" s="17"/>
      <c r="N2181" s="17"/>
      <c r="O2181" s="17"/>
    </row>
    <row r="2182" spans="5:15" x14ac:dyDescent="0.25">
      <c r="E2182" s="17"/>
      <c r="F2182" s="17"/>
      <c r="G2182" s="17"/>
      <c r="H2182" s="17"/>
      <c r="J2182" s="17"/>
      <c r="K2182" s="17"/>
      <c r="L2182" s="17"/>
      <c r="M2182" s="17"/>
      <c r="N2182" s="17"/>
      <c r="O2182" s="17"/>
    </row>
    <row r="2183" spans="5:15" x14ac:dyDescent="0.25">
      <c r="E2183" s="17"/>
      <c r="F2183" s="17"/>
      <c r="G2183" s="17"/>
      <c r="H2183" s="17"/>
      <c r="J2183" s="17"/>
      <c r="K2183" s="17"/>
      <c r="L2183" s="17"/>
      <c r="M2183" s="17"/>
      <c r="N2183" s="17"/>
      <c r="O2183" s="17"/>
    </row>
    <row r="2184" spans="5:15" x14ac:dyDescent="0.25">
      <c r="E2184" s="17"/>
      <c r="F2184" s="17"/>
      <c r="G2184" s="17"/>
      <c r="H2184" s="17"/>
      <c r="J2184" s="17"/>
      <c r="K2184" s="17"/>
      <c r="L2184" s="17"/>
      <c r="M2184" s="17"/>
      <c r="N2184" s="17"/>
      <c r="O2184" s="17"/>
    </row>
    <row r="2185" spans="5:15" x14ac:dyDescent="0.25">
      <c r="E2185" s="17"/>
      <c r="F2185" s="17"/>
      <c r="G2185" s="17"/>
      <c r="H2185" s="17"/>
      <c r="J2185" s="17"/>
      <c r="K2185" s="17"/>
      <c r="L2185" s="17"/>
      <c r="M2185" s="17"/>
      <c r="N2185" s="17"/>
      <c r="O2185" s="17"/>
    </row>
    <row r="2186" spans="5:15" x14ac:dyDescent="0.25">
      <c r="E2186" s="17"/>
      <c r="F2186" s="17"/>
      <c r="G2186" s="17"/>
      <c r="H2186" s="17"/>
      <c r="J2186" s="17"/>
      <c r="K2186" s="17"/>
      <c r="L2186" s="17"/>
      <c r="M2186" s="17"/>
      <c r="N2186" s="17"/>
      <c r="O2186" s="17"/>
    </row>
    <row r="2187" spans="5:15" x14ac:dyDescent="0.25">
      <c r="E2187" s="17"/>
      <c r="F2187" s="17"/>
      <c r="G2187" s="17"/>
      <c r="H2187" s="17"/>
      <c r="J2187" s="17"/>
      <c r="K2187" s="17"/>
      <c r="L2187" s="17"/>
      <c r="M2187" s="17"/>
      <c r="N2187" s="17"/>
      <c r="O2187" s="17"/>
    </row>
    <row r="2188" spans="5:15" x14ac:dyDescent="0.25">
      <c r="E2188" s="17"/>
      <c r="F2188" s="17"/>
      <c r="G2188" s="17"/>
      <c r="H2188" s="17"/>
      <c r="J2188" s="17"/>
      <c r="K2188" s="17"/>
      <c r="L2188" s="17"/>
      <c r="M2188" s="17"/>
      <c r="N2188" s="17"/>
      <c r="O2188" s="17"/>
    </row>
    <row r="2189" spans="5:15" x14ac:dyDescent="0.25">
      <c r="E2189" s="17"/>
      <c r="F2189" s="17"/>
      <c r="G2189" s="17"/>
      <c r="H2189" s="17"/>
      <c r="J2189" s="17"/>
      <c r="K2189" s="17"/>
      <c r="L2189" s="17"/>
      <c r="M2189" s="17"/>
      <c r="N2189" s="17"/>
      <c r="O2189" s="17"/>
    </row>
    <row r="2190" spans="5:15" x14ac:dyDescent="0.25">
      <c r="E2190" s="17"/>
      <c r="F2190" s="17"/>
      <c r="G2190" s="17"/>
      <c r="H2190" s="17"/>
      <c r="J2190" s="17"/>
      <c r="K2190" s="17"/>
      <c r="L2190" s="17"/>
      <c r="M2190" s="17"/>
      <c r="N2190" s="17"/>
      <c r="O2190" s="17"/>
    </row>
    <row r="2191" spans="5:15" x14ac:dyDescent="0.25">
      <c r="E2191" s="17"/>
      <c r="F2191" s="17"/>
      <c r="G2191" s="17"/>
      <c r="H2191" s="17"/>
      <c r="J2191" s="17"/>
      <c r="K2191" s="17"/>
      <c r="L2191" s="17"/>
      <c r="M2191" s="17"/>
      <c r="N2191" s="17"/>
      <c r="O2191" s="17"/>
    </row>
    <row r="2192" spans="5:15" x14ac:dyDescent="0.25">
      <c r="E2192" s="17"/>
      <c r="F2192" s="17"/>
      <c r="G2192" s="17"/>
      <c r="H2192" s="17"/>
      <c r="J2192" s="17"/>
      <c r="K2192" s="17"/>
      <c r="L2192" s="17"/>
      <c r="M2192" s="17"/>
      <c r="N2192" s="17"/>
      <c r="O2192" s="17"/>
    </row>
    <row r="2193" spans="5:15" x14ac:dyDescent="0.25">
      <c r="E2193" s="17"/>
      <c r="F2193" s="17"/>
      <c r="G2193" s="17"/>
      <c r="H2193" s="17"/>
      <c r="J2193" s="17"/>
      <c r="K2193" s="17"/>
      <c r="L2193" s="17"/>
      <c r="M2193" s="17"/>
      <c r="N2193" s="17"/>
      <c r="O2193" s="17"/>
    </row>
    <row r="2194" spans="5:15" x14ac:dyDescent="0.25">
      <c r="E2194" s="17"/>
      <c r="F2194" s="17"/>
      <c r="G2194" s="17"/>
      <c r="H2194" s="17"/>
      <c r="J2194" s="17"/>
      <c r="K2194" s="17"/>
      <c r="L2194" s="17"/>
      <c r="M2194" s="17"/>
      <c r="N2194" s="17"/>
      <c r="O2194" s="17"/>
    </row>
    <row r="2195" spans="5:15" x14ac:dyDescent="0.25">
      <c r="E2195" s="17"/>
      <c r="F2195" s="17"/>
      <c r="G2195" s="17"/>
      <c r="H2195" s="17"/>
      <c r="J2195" s="17"/>
      <c r="K2195" s="17"/>
      <c r="L2195" s="17"/>
      <c r="M2195" s="17"/>
      <c r="N2195" s="17"/>
      <c r="O2195" s="17"/>
    </row>
    <row r="2196" spans="5:15" x14ac:dyDescent="0.25">
      <c r="E2196" s="17"/>
      <c r="F2196" s="17"/>
      <c r="G2196" s="17"/>
      <c r="H2196" s="17"/>
      <c r="J2196" s="17"/>
      <c r="K2196" s="17"/>
      <c r="L2196" s="17"/>
      <c r="M2196" s="17"/>
      <c r="N2196" s="17"/>
      <c r="O2196" s="17"/>
    </row>
    <row r="2197" spans="5:15" x14ac:dyDescent="0.25">
      <c r="E2197" s="17"/>
      <c r="F2197" s="17"/>
      <c r="G2197" s="17"/>
      <c r="H2197" s="17"/>
      <c r="J2197" s="17"/>
      <c r="K2197" s="17"/>
      <c r="L2197" s="17"/>
      <c r="M2197" s="17"/>
      <c r="N2197" s="17"/>
      <c r="O2197" s="17"/>
    </row>
    <row r="2198" spans="5:15" x14ac:dyDescent="0.25">
      <c r="E2198" s="17"/>
      <c r="F2198" s="17"/>
      <c r="G2198" s="17"/>
      <c r="H2198" s="17"/>
      <c r="J2198" s="17"/>
      <c r="K2198" s="17"/>
      <c r="L2198" s="17"/>
      <c r="M2198" s="17"/>
      <c r="N2198" s="17"/>
      <c r="O2198" s="17"/>
    </row>
    <row r="2199" spans="5:15" x14ac:dyDescent="0.25">
      <c r="E2199" s="17"/>
      <c r="F2199" s="17"/>
      <c r="G2199" s="17"/>
      <c r="H2199" s="17"/>
      <c r="J2199" s="17"/>
      <c r="K2199" s="17"/>
      <c r="L2199" s="17"/>
      <c r="M2199" s="17"/>
      <c r="N2199" s="17"/>
      <c r="O2199" s="17"/>
    </row>
    <row r="2200" spans="5:15" x14ac:dyDescent="0.25">
      <c r="E2200" s="17"/>
      <c r="F2200" s="17"/>
      <c r="G2200" s="17"/>
      <c r="H2200" s="17"/>
      <c r="J2200" s="17"/>
      <c r="K2200" s="17"/>
      <c r="L2200" s="17"/>
      <c r="M2200" s="17"/>
      <c r="N2200" s="17"/>
      <c r="O2200" s="17"/>
    </row>
    <row r="2201" spans="5:15" x14ac:dyDescent="0.25">
      <c r="E2201" s="17"/>
      <c r="F2201" s="17"/>
      <c r="G2201" s="17"/>
      <c r="H2201" s="17"/>
      <c r="J2201" s="17"/>
      <c r="K2201" s="17"/>
      <c r="L2201" s="17"/>
      <c r="M2201" s="17"/>
      <c r="N2201" s="17"/>
      <c r="O2201" s="17"/>
    </row>
    <row r="2202" spans="5:15" x14ac:dyDescent="0.25">
      <c r="E2202" s="17"/>
      <c r="F2202" s="17"/>
      <c r="G2202" s="17"/>
      <c r="H2202" s="17"/>
      <c r="J2202" s="17"/>
      <c r="K2202" s="17"/>
      <c r="L2202" s="17"/>
      <c r="M2202" s="17"/>
      <c r="N2202" s="17"/>
      <c r="O2202" s="17"/>
    </row>
    <row r="2203" spans="5:15" x14ac:dyDescent="0.25">
      <c r="E2203" s="17"/>
      <c r="F2203" s="17"/>
      <c r="G2203" s="17"/>
      <c r="H2203" s="17"/>
      <c r="J2203" s="17"/>
      <c r="K2203" s="17"/>
      <c r="L2203" s="17"/>
      <c r="M2203" s="17"/>
      <c r="N2203" s="17"/>
      <c r="O2203" s="17"/>
    </row>
    <row r="2204" spans="5:15" x14ac:dyDescent="0.25">
      <c r="E2204" s="17"/>
      <c r="F2204" s="17"/>
      <c r="G2204" s="17"/>
      <c r="H2204" s="17"/>
      <c r="J2204" s="17"/>
      <c r="K2204" s="17"/>
      <c r="L2204" s="17"/>
      <c r="M2204" s="17"/>
      <c r="N2204" s="17"/>
      <c r="O2204" s="17"/>
    </row>
    <row r="2205" spans="5:15" x14ac:dyDescent="0.25">
      <c r="E2205" s="17"/>
      <c r="F2205" s="17"/>
      <c r="G2205" s="17"/>
      <c r="H2205" s="17"/>
      <c r="J2205" s="17"/>
      <c r="K2205" s="17"/>
      <c r="L2205" s="17"/>
      <c r="M2205" s="17"/>
      <c r="N2205" s="17"/>
      <c r="O2205" s="17"/>
    </row>
    <row r="2206" spans="5:15" x14ac:dyDescent="0.25">
      <c r="E2206" s="17"/>
      <c r="F2206" s="17"/>
      <c r="G2206" s="17"/>
      <c r="H2206" s="17"/>
      <c r="J2206" s="17"/>
      <c r="K2206" s="17"/>
      <c r="L2206" s="17"/>
      <c r="M2206" s="17"/>
      <c r="N2206" s="17"/>
      <c r="O2206" s="17"/>
    </row>
    <row r="2207" spans="5:15" x14ac:dyDescent="0.25">
      <c r="E2207" s="17"/>
      <c r="F2207" s="17"/>
      <c r="G2207" s="17"/>
      <c r="H2207" s="17"/>
      <c r="J2207" s="17"/>
      <c r="K2207" s="17"/>
      <c r="L2207" s="17"/>
      <c r="M2207" s="17"/>
      <c r="N2207" s="17"/>
      <c r="O2207" s="17"/>
    </row>
    <row r="2208" spans="5:15" x14ac:dyDescent="0.25">
      <c r="E2208" s="17"/>
      <c r="F2208" s="17"/>
      <c r="G2208" s="17"/>
      <c r="H2208" s="17"/>
      <c r="J2208" s="17"/>
      <c r="K2208" s="17"/>
      <c r="L2208" s="17"/>
      <c r="M2208" s="17"/>
      <c r="N2208" s="17"/>
      <c r="O2208" s="17"/>
    </row>
    <row r="2209" spans="5:15" x14ac:dyDescent="0.25">
      <c r="E2209" s="17"/>
      <c r="F2209" s="17"/>
      <c r="G2209" s="17"/>
      <c r="H2209" s="17"/>
      <c r="J2209" s="17"/>
      <c r="K2209" s="17"/>
      <c r="L2209" s="17"/>
      <c r="M2209" s="17"/>
      <c r="N2209" s="17"/>
      <c r="O2209" s="17"/>
    </row>
    <row r="2210" spans="5:15" x14ac:dyDescent="0.25">
      <c r="E2210" s="17"/>
      <c r="F2210" s="17"/>
      <c r="G2210" s="17"/>
      <c r="H2210" s="17"/>
      <c r="J2210" s="17"/>
      <c r="K2210" s="17"/>
      <c r="L2210" s="17"/>
      <c r="M2210" s="17"/>
      <c r="N2210" s="17"/>
      <c r="O2210" s="17"/>
    </row>
    <row r="2211" spans="5:15" x14ac:dyDescent="0.25">
      <c r="E2211" s="17"/>
      <c r="F2211" s="17"/>
      <c r="G2211" s="17"/>
      <c r="H2211" s="17"/>
      <c r="J2211" s="17"/>
      <c r="K2211" s="17"/>
      <c r="L2211" s="17"/>
      <c r="M2211" s="17"/>
      <c r="N2211" s="17"/>
      <c r="O2211" s="17"/>
    </row>
    <row r="2212" spans="5:15" x14ac:dyDescent="0.25">
      <c r="E2212" s="17"/>
      <c r="F2212" s="17"/>
      <c r="G2212" s="17"/>
      <c r="H2212" s="17"/>
      <c r="J2212" s="17"/>
      <c r="K2212" s="17"/>
      <c r="L2212" s="17"/>
      <c r="M2212" s="17"/>
      <c r="N2212" s="17"/>
      <c r="O2212" s="17"/>
    </row>
    <row r="2213" spans="5:15" x14ac:dyDescent="0.25">
      <c r="E2213" s="17"/>
      <c r="F2213" s="17"/>
      <c r="G2213" s="17"/>
      <c r="H2213" s="17"/>
      <c r="J2213" s="17"/>
      <c r="K2213" s="17"/>
      <c r="L2213" s="17"/>
      <c r="M2213" s="17"/>
      <c r="N2213" s="17"/>
      <c r="O2213" s="17"/>
    </row>
    <row r="2214" spans="5:15" x14ac:dyDescent="0.25">
      <c r="E2214" s="17"/>
      <c r="F2214" s="17"/>
      <c r="G2214" s="17"/>
      <c r="H2214" s="17"/>
      <c r="J2214" s="17"/>
      <c r="K2214" s="17"/>
      <c r="L2214" s="17"/>
      <c r="M2214" s="17"/>
      <c r="N2214" s="17"/>
      <c r="O2214" s="17"/>
    </row>
    <row r="2215" spans="5:15" x14ac:dyDescent="0.25">
      <c r="E2215" s="17"/>
      <c r="F2215" s="17"/>
      <c r="G2215" s="17"/>
      <c r="H2215" s="17"/>
      <c r="J2215" s="17"/>
      <c r="K2215" s="17"/>
      <c r="L2215" s="17"/>
      <c r="M2215" s="17"/>
      <c r="N2215" s="17"/>
      <c r="O2215" s="17"/>
    </row>
    <row r="2216" spans="5:15" x14ac:dyDescent="0.25">
      <c r="E2216" s="17"/>
      <c r="F2216" s="17"/>
      <c r="G2216" s="17"/>
      <c r="H2216" s="17"/>
      <c r="J2216" s="17"/>
      <c r="K2216" s="17"/>
      <c r="L2216" s="17"/>
      <c r="M2216" s="17"/>
      <c r="N2216" s="17"/>
      <c r="O2216" s="17"/>
    </row>
    <row r="2217" spans="5:15" x14ac:dyDescent="0.25">
      <c r="E2217" s="17"/>
      <c r="F2217" s="17"/>
      <c r="G2217" s="17"/>
      <c r="H2217" s="17"/>
      <c r="J2217" s="17"/>
      <c r="K2217" s="17"/>
      <c r="L2217" s="17"/>
      <c r="M2217" s="17"/>
      <c r="N2217" s="17"/>
      <c r="O2217" s="17"/>
    </row>
    <row r="2218" spans="5:15" x14ac:dyDescent="0.25">
      <c r="E2218" s="17"/>
      <c r="F2218" s="17"/>
      <c r="G2218" s="17"/>
      <c r="H2218" s="17"/>
      <c r="J2218" s="17"/>
      <c r="K2218" s="17"/>
      <c r="L2218" s="17"/>
      <c r="M2218" s="17"/>
      <c r="N2218" s="17"/>
      <c r="O2218" s="17"/>
    </row>
    <row r="2219" spans="5:15" x14ac:dyDescent="0.25">
      <c r="E2219" s="17"/>
      <c r="F2219" s="17"/>
      <c r="G2219" s="17"/>
      <c r="H2219" s="17"/>
      <c r="J2219" s="17"/>
      <c r="K2219" s="17"/>
      <c r="L2219" s="17"/>
      <c r="M2219" s="17"/>
      <c r="N2219" s="17"/>
      <c r="O2219" s="17"/>
    </row>
    <row r="2220" spans="5:15" x14ac:dyDescent="0.25">
      <c r="E2220" s="17"/>
      <c r="F2220" s="17"/>
      <c r="G2220" s="17"/>
      <c r="H2220" s="17"/>
      <c r="J2220" s="17"/>
      <c r="K2220" s="17"/>
      <c r="L2220" s="17"/>
      <c r="M2220" s="17"/>
      <c r="N2220" s="17"/>
      <c r="O2220" s="17"/>
    </row>
    <row r="2221" spans="5:15" x14ac:dyDescent="0.25">
      <c r="E2221" s="17"/>
      <c r="F2221" s="17"/>
      <c r="G2221" s="17"/>
      <c r="H2221" s="17"/>
      <c r="J2221" s="17"/>
      <c r="K2221" s="17"/>
      <c r="L2221" s="17"/>
      <c r="M2221" s="17"/>
      <c r="N2221" s="17"/>
      <c r="O2221" s="17"/>
    </row>
    <row r="2222" spans="5:15" x14ac:dyDescent="0.25">
      <c r="E2222" s="17"/>
      <c r="F2222" s="17"/>
      <c r="G2222" s="17"/>
      <c r="H2222" s="17"/>
      <c r="J2222" s="17"/>
      <c r="K2222" s="17"/>
      <c r="L2222" s="17"/>
      <c r="M2222" s="17"/>
      <c r="N2222" s="17"/>
      <c r="O2222" s="17"/>
    </row>
    <row r="2223" spans="5:15" x14ac:dyDescent="0.25">
      <c r="E2223" s="17"/>
      <c r="F2223" s="17"/>
      <c r="G2223" s="17"/>
      <c r="H2223" s="17"/>
      <c r="J2223" s="17"/>
      <c r="K2223" s="17"/>
      <c r="L2223" s="17"/>
      <c r="M2223" s="17"/>
      <c r="N2223" s="17"/>
      <c r="O2223" s="17"/>
    </row>
    <row r="2224" spans="5:15" x14ac:dyDescent="0.25">
      <c r="E2224" s="17"/>
      <c r="F2224" s="17"/>
      <c r="G2224" s="17"/>
      <c r="H2224" s="17"/>
      <c r="J2224" s="17"/>
      <c r="K2224" s="17"/>
      <c r="L2224" s="17"/>
      <c r="M2224" s="17"/>
      <c r="N2224" s="17"/>
      <c r="O2224" s="17"/>
    </row>
    <row r="2225" spans="5:15" x14ac:dyDescent="0.25">
      <c r="E2225" s="17"/>
      <c r="F2225" s="17"/>
      <c r="G2225" s="17"/>
      <c r="H2225" s="17"/>
      <c r="J2225" s="17"/>
      <c r="K2225" s="17"/>
      <c r="L2225" s="17"/>
      <c r="M2225" s="17"/>
      <c r="N2225" s="17"/>
      <c r="O2225" s="17"/>
    </row>
    <row r="2226" spans="5:15" x14ac:dyDescent="0.25">
      <c r="E2226" s="17"/>
      <c r="F2226" s="17"/>
      <c r="G2226" s="17"/>
      <c r="H2226" s="17"/>
      <c r="J2226" s="17"/>
      <c r="K2226" s="17"/>
      <c r="L2226" s="17"/>
      <c r="M2226" s="17"/>
      <c r="N2226" s="17"/>
      <c r="O2226" s="17"/>
    </row>
    <row r="2227" spans="5:15" x14ac:dyDescent="0.25">
      <c r="E2227" s="17"/>
      <c r="F2227" s="17"/>
      <c r="G2227" s="17"/>
      <c r="H2227" s="17"/>
      <c r="J2227" s="17"/>
      <c r="K2227" s="17"/>
      <c r="L2227" s="17"/>
      <c r="M2227" s="17"/>
      <c r="N2227" s="17"/>
      <c r="O2227" s="17"/>
    </row>
    <row r="2228" spans="5:15" x14ac:dyDescent="0.25">
      <c r="E2228" s="17"/>
      <c r="F2228" s="17"/>
      <c r="G2228" s="17"/>
      <c r="H2228" s="17"/>
      <c r="J2228" s="17"/>
      <c r="K2228" s="17"/>
      <c r="L2228" s="17"/>
      <c r="M2228" s="17"/>
      <c r="N2228" s="17"/>
      <c r="O2228" s="17"/>
    </row>
    <row r="2229" spans="5:15" x14ac:dyDescent="0.25">
      <c r="E2229" s="17"/>
      <c r="F2229" s="17"/>
      <c r="G2229" s="17"/>
      <c r="H2229" s="17"/>
      <c r="J2229" s="17"/>
      <c r="K2229" s="17"/>
      <c r="L2229" s="17"/>
      <c r="M2229" s="17"/>
      <c r="N2229" s="17"/>
      <c r="O2229" s="17"/>
    </row>
    <row r="2230" spans="5:15" x14ac:dyDescent="0.25">
      <c r="E2230" s="17"/>
      <c r="F2230" s="17"/>
      <c r="G2230" s="17"/>
      <c r="H2230" s="17"/>
      <c r="J2230" s="17"/>
      <c r="K2230" s="17"/>
      <c r="L2230" s="17"/>
      <c r="M2230" s="17"/>
      <c r="N2230" s="17"/>
      <c r="O2230" s="17"/>
    </row>
    <row r="2231" spans="5:15" x14ac:dyDescent="0.25">
      <c r="E2231" s="17"/>
      <c r="F2231" s="17"/>
      <c r="G2231" s="17"/>
      <c r="H2231" s="17"/>
      <c r="J2231" s="17"/>
      <c r="K2231" s="17"/>
      <c r="L2231" s="17"/>
      <c r="M2231" s="17"/>
      <c r="N2231" s="17"/>
      <c r="O2231" s="17"/>
    </row>
    <row r="2232" spans="5:15" x14ac:dyDescent="0.25">
      <c r="E2232" s="17"/>
      <c r="F2232" s="17"/>
      <c r="G2232" s="17"/>
      <c r="H2232" s="17"/>
      <c r="J2232" s="17"/>
      <c r="K2232" s="17"/>
      <c r="L2232" s="17"/>
      <c r="M2232" s="17"/>
      <c r="N2232" s="17"/>
      <c r="O2232" s="17"/>
    </row>
    <row r="2233" spans="5:15" x14ac:dyDescent="0.25">
      <c r="E2233" s="17"/>
      <c r="F2233" s="17"/>
      <c r="G2233" s="17"/>
      <c r="H2233" s="17"/>
      <c r="J2233" s="17"/>
      <c r="K2233" s="17"/>
      <c r="L2233" s="17"/>
      <c r="M2233" s="17"/>
      <c r="N2233" s="17"/>
      <c r="O2233" s="17"/>
    </row>
    <row r="2234" spans="5:15" x14ac:dyDescent="0.25">
      <c r="E2234" s="17"/>
      <c r="F2234" s="17"/>
      <c r="G2234" s="17"/>
      <c r="H2234" s="17"/>
      <c r="J2234" s="17"/>
      <c r="K2234" s="17"/>
      <c r="L2234" s="17"/>
      <c r="M2234" s="17"/>
      <c r="N2234" s="17"/>
      <c r="O2234" s="17"/>
    </row>
    <row r="2235" spans="5:15" x14ac:dyDescent="0.25">
      <c r="E2235" s="17"/>
      <c r="F2235" s="17"/>
      <c r="G2235" s="17"/>
      <c r="H2235" s="17"/>
      <c r="J2235" s="17"/>
      <c r="K2235" s="17"/>
      <c r="L2235" s="17"/>
      <c r="M2235" s="17"/>
      <c r="N2235" s="17"/>
      <c r="O2235" s="17"/>
    </row>
    <row r="2236" spans="5:15" x14ac:dyDescent="0.25">
      <c r="E2236" s="17"/>
      <c r="F2236" s="17"/>
      <c r="G2236" s="17"/>
      <c r="H2236" s="17"/>
      <c r="J2236" s="17"/>
      <c r="K2236" s="17"/>
      <c r="L2236" s="17"/>
      <c r="M2236" s="17"/>
      <c r="N2236" s="17"/>
      <c r="O2236" s="17"/>
    </row>
    <row r="2237" spans="5:15" x14ac:dyDescent="0.25">
      <c r="E2237" s="17"/>
      <c r="F2237" s="17"/>
      <c r="G2237" s="17"/>
      <c r="H2237" s="17"/>
      <c r="J2237" s="17"/>
      <c r="K2237" s="17"/>
      <c r="L2237" s="17"/>
      <c r="M2237" s="17"/>
      <c r="N2237" s="17"/>
      <c r="O2237" s="17"/>
    </row>
    <row r="2238" spans="5:15" x14ac:dyDescent="0.25">
      <c r="E2238" s="17"/>
      <c r="F2238" s="17"/>
      <c r="G2238" s="17"/>
      <c r="H2238" s="17"/>
      <c r="J2238" s="17"/>
      <c r="K2238" s="17"/>
      <c r="L2238" s="17"/>
      <c r="M2238" s="17"/>
      <c r="N2238" s="17"/>
      <c r="O2238" s="17"/>
    </row>
    <row r="2239" spans="5:15" x14ac:dyDescent="0.25">
      <c r="E2239" s="17"/>
      <c r="F2239" s="17"/>
      <c r="G2239" s="17"/>
      <c r="H2239" s="17"/>
      <c r="J2239" s="17"/>
      <c r="K2239" s="17"/>
      <c r="L2239" s="17"/>
      <c r="M2239" s="17"/>
      <c r="N2239" s="17"/>
      <c r="O2239" s="17"/>
    </row>
    <row r="2240" spans="5:15" x14ac:dyDescent="0.25">
      <c r="E2240" s="17"/>
      <c r="F2240" s="17"/>
      <c r="G2240" s="17"/>
      <c r="H2240" s="17"/>
      <c r="J2240" s="17"/>
      <c r="K2240" s="17"/>
      <c r="L2240" s="17"/>
      <c r="M2240" s="17"/>
      <c r="N2240" s="17"/>
      <c r="O2240" s="17"/>
    </row>
    <row r="2241" spans="5:15" x14ac:dyDescent="0.25">
      <c r="E2241" s="17"/>
      <c r="F2241" s="17"/>
      <c r="G2241" s="17"/>
      <c r="H2241" s="17"/>
      <c r="J2241" s="17"/>
      <c r="K2241" s="17"/>
      <c r="L2241" s="17"/>
      <c r="M2241" s="17"/>
      <c r="N2241" s="17"/>
      <c r="O2241" s="17"/>
    </row>
    <row r="2242" spans="5:15" x14ac:dyDescent="0.25">
      <c r="E2242" s="17"/>
      <c r="F2242" s="17"/>
      <c r="G2242" s="17"/>
      <c r="H2242" s="17"/>
      <c r="J2242" s="17"/>
      <c r="K2242" s="17"/>
      <c r="L2242" s="17"/>
      <c r="M2242" s="17"/>
      <c r="N2242" s="17"/>
      <c r="O2242" s="17"/>
    </row>
    <row r="2243" spans="5:15" x14ac:dyDescent="0.25">
      <c r="E2243" s="17"/>
      <c r="F2243" s="17"/>
      <c r="G2243" s="17"/>
      <c r="H2243" s="17"/>
      <c r="J2243" s="17"/>
      <c r="K2243" s="17"/>
      <c r="L2243" s="17"/>
      <c r="M2243" s="17"/>
      <c r="N2243" s="17"/>
      <c r="O2243" s="17"/>
    </row>
    <row r="2244" spans="5:15" x14ac:dyDescent="0.25">
      <c r="E2244" s="17"/>
      <c r="F2244" s="17"/>
      <c r="G2244" s="17"/>
      <c r="H2244" s="17"/>
      <c r="J2244" s="17"/>
      <c r="K2244" s="17"/>
      <c r="L2244" s="17"/>
      <c r="M2244" s="17"/>
      <c r="N2244" s="17"/>
      <c r="O2244" s="17"/>
    </row>
    <row r="2245" spans="5:15" x14ac:dyDescent="0.25">
      <c r="E2245" s="17"/>
      <c r="F2245" s="17"/>
      <c r="G2245" s="17"/>
      <c r="H2245" s="17"/>
      <c r="J2245" s="17"/>
      <c r="K2245" s="17"/>
      <c r="L2245" s="17"/>
      <c r="M2245" s="17"/>
      <c r="N2245" s="17"/>
      <c r="O2245" s="17"/>
    </row>
    <row r="2246" spans="5:15" x14ac:dyDescent="0.25">
      <c r="E2246" s="17"/>
      <c r="F2246" s="17"/>
      <c r="G2246" s="17"/>
      <c r="H2246" s="17"/>
      <c r="J2246" s="17"/>
      <c r="K2246" s="17"/>
      <c r="L2246" s="17"/>
      <c r="M2246" s="17"/>
      <c r="N2246" s="17"/>
      <c r="O2246" s="17"/>
    </row>
    <row r="2247" spans="5:15" x14ac:dyDescent="0.25">
      <c r="E2247" s="17"/>
      <c r="F2247" s="17"/>
      <c r="G2247" s="17"/>
      <c r="H2247" s="17"/>
      <c r="J2247" s="17"/>
      <c r="K2247" s="17"/>
      <c r="L2247" s="17"/>
      <c r="M2247" s="17"/>
      <c r="N2247" s="17"/>
      <c r="O2247" s="17"/>
    </row>
    <row r="2248" spans="5:15" x14ac:dyDescent="0.25">
      <c r="E2248" s="17"/>
      <c r="F2248" s="17"/>
      <c r="G2248" s="17"/>
      <c r="H2248" s="17"/>
      <c r="J2248" s="17"/>
      <c r="K2248" s="17"/>
      <c r="L2248" s="17"/>
      <c r="M2248" s="17"/>
      <c r="N2248" s="17"/>
      <c r="O2248" s="17"/>
    </row>
    <row r="2249" spans="5:15" x14ac:dyDescent="0.25">
      <c r="E2249" s="17"/>
      <c r="F2249" s="17"/>
      <c r="G2249" s="17"/>
      <c r="H2249" s="17"/>
      <c r="J2249" s="17"/>
      <c r="K2249" s="17"/>
      <c r="L2249" s="17"/>
      <c r="M2249" s="17"/>
      <c r="N2249" s="17"/>
      <c r="O2249" s="17"/>
    </row>
    <row r="2250" spans="5:15" x14ac:dyDescent="0.25">
      <c r="E2250" s="17"/>
      <c r="F2250" s="17"/>
      <c r="G2250" s="17"/>
      <c r="H2250" s="17"/>
      <c r="J2250" s="17"/>
      <c r="K2250" s="17"/>
      <c r="L2250" s="17"/>
      <c r="M2250" s="17"/>
      <c r="N2250" s="17"/>
      <c r="O2250" s="17"/>
    </row>
    <row r="2251" spans="5:15" x14ac:dyDescent="0.25">
      <c r="E2251" s="17"/>
      <c r="F2251" s="17"/>
      <c r="G2251" s="17"/>
      <c r="H2251" s="17"/>
      <c r="J2251" s="17"/>
      <c r="K2251" s="17"/>
      <c r="L2251" s="17"/>
      <c r="M2251" s="17"/>
      <c r="N2251" s="17"/>
      <c r="O2251" s="17"/>
    </row>
    <row r="2252" spans="5:15" x14ac:dyDescent="0.25">
      <c r="E2252" s="17"/>
      <c r="F2252" s="17"/>
      <c r="G2252" s="17"/>
      <c r="H2252" s="17"/>
      <c r="J2252" s="17"/>
      <c r="K2252" s="17"/>
      <c r="L2252" s="17"/>
      <c r="M2252" s="17"/>
      <c r="N2252" s="17"/>
      <c r="O2252" s="17"/>
    </row>
    <row r="2253" spans="5:15" x14ac:dyDescent="0.25">
      <c r="E2253" s="17"/>
      <c r="F2253" s="17"/>
      <c r="G2253" s="17"/>
      <c r="H2253" s="17"/>
      <c r="J2253" s="17"/>
      <c r="K2253" s="17"/>
      <c r="L2253" s="17"/>
      <c r="M2253" s="17"/>
      <c r="N2253" s="17"/>
      <c r="O2253" s="17"/>
    </row>
    <row r="2254" spans="5:15" x14ac:dyDescent="0.25">
      <c r="E2254" s="17"/>
      <c r="F2254" s="17"/>
      <c r="G2254" s="17"/>
      <c r="H2254" s="17"/>
      <c r="J2254" s="17"/>
      <c r="K2254" s="17"/>
      <c r="L2254" s="17"/>
      <c r="M2254" s="17"/>
      <c r="N2254" s="17"/>
      <c r="O2254" s="17"/>
    </row>
    <row r="2255" spans="5:15" x14ac:dyDescent="0.25">
      <c r="E2255" s="17"/>
      <c r="F2255" s="17"/>
      <c r="G2255" s="17"/>
      <c r="H2255" s="17"/>
      <c r="J2255" s="17"/>
      <c r="K2255" s="17"/>
      <c r="L2255" s="17"/>
      <c r="M2255" s="17"/>
      <c r="N2255" s="17"/>
      <c r="O2255" s="17"/>
    </row>
    <row r="2256" spans="5:15" x14ac:dyDescent="0.25">
      <c r="E2256" s="17"/>
      <c r="F2256" s="17"/>
      <c r="G2256" s="17"/>
      <c r="H2256" s="17"/>
      <c r="J2256" s="17"/>
      <c r="K2256" s="17"/>
      <c r="L2256" s="17"/>
      <c r="M2256" s="17"/>
      <c r="N2256" s="17"/>
      <c r="O2256" s="17"/>
    </row>
    <row r="2257" spans="5:15" x14ac:dyDescent="0.25">
      <c r="E2257" s="17"/>
      <c r="F2257" s="17"/>
      <c r="G2257" s="17"/>
      <c r="H2257" s="17"/>
      <c r="J2257" s="17"/>
      <c r="K2257" s="17"/>
      <c r="L2257" s="17"/>
      <c r="M2257" s="17"/>
      <c r="N2257" s="17"/>
      <c r="O2257" s="17"/>
    </row>
    <row r="2258" spans="5:15" x14ac:dyDescent="0.25">
      <c r="E2258" s="17"/>
      <c r="F2258" s="17"/>
      <c r="G2258" s="17"/>
      <c r="H2258" s="17"/>
      <c r="J2258" s="17"/>
      <c r="K2258" s="17"/>
      <c r="L2258" s="17"/>
      <c r="M2258" s="17"/>
      <c r="N2258" s="17"/>
      <c r="O2258" s="17"/>
    </row>
    <row r="2259" spans="5:15" x14ac:dyDescent="0.25">
      <c r="E2259" s="17"/>
      <c r="F2259" s="17"/>
      <c r="G2259" s="17"/>
      <c r="H2259" s="17"/>
      <c r="J2259" s="17"/>
      <c r="K2259" s="17"/>
      <c r="L2259" s="17"/>
      <c r="M2259" s="17"/>
      <c r="N2259" s="17"/>
      <c r="O2259" s="17"/>
    </row>
    <row r="2260" spans="5:15" x14ac:dyDescent="0.25">
      <c r="E2260" s="17"/>
      <c r="F2260" s="17"/>
      <c r="G2260" s="17"/>
      <c r="H2260" s="17"/>
      <c r="J2260" s="17"/>
      <c r="K2260" s="17"/>
      <c r="L2260" s="17"/>
      <c r="M2260" s="17"/>
      <c r="N2260" s="17"/>
      <c r="O2260" s="17"/>
    </row>
    <row r="2261" spans="5:15" x14ac:dyDescent="0.25">
      <c r="E2261" s="17"/>
      <c r="F2261" s="17"/>
      <c r="G2261" s="17"/>
      <c r="H2261" s="17"/>
      <c r="J2261" s="17"/>
      <c r="K2261" s="17"/>
      <c r="L2261" s="17"/>
      <c r="M2261" s="17"/>
      <c r="N2261" s="17"/>
      <c r="O2261" s="17"/>
    </row>
    <row r="2262" spans="5:15" x14ac:dyDescent="0.25">
      <c r="E2262" s="17"/>
      <c r="F2262" s="17"/>
      <c r="G2262" s="17"/>
      <c r="H2262" s="17"/>
      <c r="J2262" s="17"/>
      <c r="K2262" s="17"/>
      <c r="L2262" s="17"/>
      <c r="M2262" s="17"/>
      <c r="N2262" s="17"/>
      <c r="O2262" s="17"/>
    </row>
    <row r="2263" spans="5:15" x14ac:dyDescent="0.25">
      <c r="E2263" s="17"/>
      <c r="F2263" s="17"/>
      <c r="G2263" s="17"/>
      <c r="H2263" s="17"/>
      <c r="J2263" s="17"/>
      <c r="K2263" s="17"/>
      <c r="L2263" s="17"/>
      <c r="M2263" s="17"/>
      <c r="N2263" s="17"/>
      <c r="O2263" s="17"/>
    </row>
    <row r="2264" spans="5:15" x14ac:dyDescent="0.25">
      <c r="E2264" s="17"/>
      <c r="F2264" s="17"/>
      <c r="G2264" s="17"/>
      <c r="H2264" s="17"/>
      <c r="J2264" s="17"/>
      <c r="K2264" s="17"/>
      <c r="L2264" s="17"/>
      <c r="M2264" s="17"/>
      <c r="N2264" s="17"/>
      <c r="O2264" s="17"/>
    </row>
    <row r="2265" spans="5:15" x14ac:dyDescent="0.25">
      <c r="E2265" s="17"/>
      <c r="F2265" s="17"/>
      <c r="G2265" s="17"/>
      <c r="H2265" s="17"/>
      <c r="J2265" s="17"/>
      <c r="K2265" s="17"/>
      <c r="L2265" s="17"/>
      <c r="M2265" s="17"/>
      <c r="N2265" s="17"/>
      <c r="O2265" s="17"/>
    </row>
    <row r="2266" spans="5:15" x14ac:dyDescent="0.25">
      <c r="E2266" s="17"/>
      <c r="F2266" s="17"/>
      <c r="G2266" s="17"/>
      <c r="H2266" s="17"/>
      <c r="J2266" s="17"/>
      <c r="K2266" s="17"/>
      <c r="L2266" s="17"/>
      <c r="M2266" s="17"/>
      <c r="N2266" s="17"/>
      <c r="O2266" s="17"/>
    </row>
    <row r="2267" spans="5:15" x14ac:dyDescent="0.25">
      <c r="E2267" s="17"/>
      <c r="F2267" s="17"/>
      <c r="G2267" s="17"/>
      <c r="H2267" s="17"/>
      <c r="J2267" s="17"/>
      <c r="K2267" s="17"/>
      <c r="L2267" s="17"/>
      <c r="M2267" s="17"/>
      <c r="N2267" s="17"/>
      <c r="O2267" s="17"/>
    </row>
    <row r="2268" spans="5:15" x14ac:dyDescent="0.25">
      <c r="E2268" s="17"/>
      <c r="F2268" s="17"/>
      <c r="G2268" s="17"/>
      <c r="H2268" s="17"/>
      <c r="J2268" s="17"/>
      <c r="K2268" s="17"/>
      <c r="L2268" s="17"/>
      <c r="M2268" s="17"/>
      <c r="N2268" s="17"/>
      <c r="O2268" s="17"/>
    </row>
    <row r="2269" spans="5:15" x14ac:dyDescent="0.25">
      <c r="E2269" s="17"/>
      <c r="F2269" s="17"/>
      <c r="G2269" s="17"/>
      <c r="H2269" s="17"/>
      <c r="J2269" s="17"/>
      <c r="K2269" s="17"/>
      <c r="L2269" s="17"/>
      <c r="M2269" s="17"/>
      <c r="N2269" s="17"/>
      <c r="O2269" s="17"/>
    </row>
    <row r="2270" spans="5:15" x14ac:dyDescent="0.25">
      <c r="E2270" s="17"/>
      <c r="F2270" s="17"/>
      <c r="G2270" s="17"/>
      <c r="H2270" s="17"/>
      <c r="J2270" s="17"/>
      <c r="K2270" s="17"/>
      <c r="L2270" s="17"/>
      <c r="M2270" s="17"/>
      <c r="N2270" s="17"/>
      <c r="O2270" s="17"/>
    </row>
    <row r="2271" spans="5:15" x14ac:dyDescent="0.25">
      <c r="E2271" s="17"/>
      <c r="F2271" s="17"/>
      <c r="G2271" s="17"/>
      <c r="H2271" s="17"/>
      <c r="J2271" s="17"/>
      <c r="K2271" s="17"/>
      <c r="L2271" s="17"/>
      <c r="M2271" s="17"/>
      <c r="N2271" s="17"/>
      <c r="O2271" s="17"/>
    </row>
    <row r="2272" spans="5:15" x14ac:dyDescent="0.25">
      <c r="E2272" s="17"/>
      <c r="F2272" s="17"/>
      <c r="G2272" s="17"/>
      <c r="H2272" s="17"/>
      <c r="J2272" s="17"/>
      <c r="K2272" s="17"/>
      <c r="L2272" s="17"/>
      <c r="M2272" s="17"/>
      <c r="N2272" s="17"/>
      <c r="O2272" s="17"/>
    </row>
    <row r="2273" spans="5:15" x14ac:dyDescent="0.25">
      <c r="E2273" s="17"/>
      <c r="F2273" s="17"/>
      <c r="G2273" s="17"/>
      <c r="H2273" s="17"/>
      <c r="J2273" s="17"/>
      <c r="K2273" s="17"/>
      <c r="L2273" s="17"/>
      <c r="M2273" s="17"/>
      <c r="N2273" s="17"/>
      <c r="O2273" s="17"/>
    </row>
    <row r="2274" spans="5:15" x14ac:dyDescent="0.25">
      <c r="E2274" s="17"/>
      <c r="F2274" s="17"/>
      <c r="G2274" s="17"/>
      <c r="H2274" s="17"/>
      <c r="J2274" s="17"/>
      <c r="K2274" s="17"/>
      <c r="L2274" s="17"/>
      <c r="M2274" s="17"/>
      <c r="N2274" s="17"/>
      <c r="O2274" s="17"/>
    </row>
    <row r="2275" spans="5:15" x14ac:dyDescent="0.25">
      <c r="E2275" s="17"/>
      <c r="F2275" s="17"/>
      <c r="G2275" s="17"/>
      <c r="H2275" s="17"/>
      <c r="J2275" s="17"/>
      <c r="K2275" s="17"/>
      <c r="L2275" s="17"/>
      <c r="M2275" s="17"/>
      <c r="N2275" s="17"/>
      <c r="O2275" s="17"/>
    </row>
    <row r="2276" spans="5:15" x14ac:dyDescent="0.25">
      <c r="E2276" s="17"/>
      <c r="F2276" s="17"/>
      <c r="G2276" s="17"/>
      <c r="H2276" s="17"/>
      <c r="J2276" s="17"/>
      <c r="K2276" s="17"/>
      <c r="L2276" s="17"/>
      <c r="M2276" s="17"/>
      <c r="N2276" s="17"/>
      <c r="O2276" s="17"/>
    </row>
    <row r="2277" spans="5:15" x14ac:dyDescent="0.25">
      <c r="E2277" s="17"/>
      <c r="F2277" s="17"/>
      <c r="G2277" s="17"/>
      <c r="H2277" s="17"/>
      <c r="J2277" s="17"/>
      <c r="K2277" s="17"/>
      <c r="L2277" s="17"/>
      <c r="M2277" s="17"/>
      <c r="N2277" s="17"/>
      <c r="O2277" s="17"/>
    </row>
    <row r="2278" spans="5:15" x14ac:dyDescent="0.25">
      <c r="E2278" s="17"/>
      <c r="F2278" s="17"/>
      <c r="G2278" s="17"/>
      <c r="H2278" s="17"/>
      <c r="J2278" s="17"/>
      <c r="K2278" s="17"/>
      <c r="L2278" s="17"/>
      <c r="M2278" s="17"/>
      <c r="N2278" s="17"/>
      <c r="O2278" s="17"/>
    </row>
    <row r="2279" spans="5:15" x14ac:dyDescent="0.25">
      <c r="E2279" s="17"/>
      <c r="F2279" s="17"/>
      <c r="G2279" s="17"/>
      <c r="H2279" s="17"/>
      <c r="J2279" s="17"/>
      <c r="K2279" s="17"/>
      <c r="L2279" s="17"/>
      <c r="M2279" s="17"/>
      <c r="N2279" s="17"/>
      <c r="O2279" s="17"/>
    </row>
    <row r="2280" spans="5:15" x14ac:dyDescent="0.25">
      <c r="E2280" s="17"/>
      <c r="F2280" s="17"/>
      <c r="G2280" s="17"/>
      <c r="H2280" s="17"/>
      <c r="J2280" s="17"/>
      <c r="K2280" s="17"/>
      <c r="L2280" s="17"/>
      <c r="M2280" s="17"/>
      <c r="N2280" s="17"/>
      <c r="O2280" s="17"/>
    </row>
    <row r="2281" spans="5:15" x14ac:dyDescent="0.25">
      <c r="E2281" s="17"/>
      <c r="F2281" s="17"/>
      <c r="G2281" s="17"/>
      <c r="H2281" s="17"/>
      <c r="J2281" s="17"/>
      <c r="K2281" s="17"/>
      <c r="L2281" s="17"/>
      <c r="M2281" s="17"/>
      <c r="N2281" s="17"/>
      <c r="O2281" s="17"/>
    </row>
    <row r="2282" spans="5:15" x14ac:dyDescent="0.25">
      <c r="E2282" s="17"/>
      <c r="F2282" s="17"/>
      <c r="G2282" s="17"/>
      <c r="H2282" s="17"/>
      <c r="J2282" s="17"/>
      <c r="K2282" s="17"/>
      <c r="L2282" s="17"/>
      <c r="M2282" s="17"/>
      <c r="N2282" s="17"/>
      <c r="O2282" s="17"/>
    </row>
    <row r="2283" spans="5:15" x14ac:dyDescent="0.25">
      <c r="E2283" s="17"/>
      <c r="F2283" s="17"/>
      <c r="G2283" s="17"/>
      <c r="H2283" s="17"/>
      <c r="J2283" s="17"/>
      <c r="K2283" s="17"/>
      <c r="L2283" s="17"/>
      <c r="M2283" s="17"/>
      <c r="N2283" s="17"/>
      <c r="O2283" s="17"/>
    </row>
    <row r="2284" spans="5:15" x14ac:dyDescent="0.25">
      <c r="E2284" s="17"/>
      <c r="F2284" s="17"/>
      <c r="G2284" s="17"/>
      <c r="H2284" s="17"/>
      <c r="J2284" s="17"/>
      <c r="K2284" s="17"/>
      <c r="L2284" s="17"/>
      <c r="M2284" s="17"/>
      <c r="N2284" s="17"/>
      <c r="O2284" s="17"/>
    </row>
    <row r="2285" spans="5:15" x14ac:dyDescent="0.25">
      <c r="E2285" s="17"/>
      <c r="F2285" s="17"/>
      <c r="G2285" s="17"/>
      <c r="H2285" s="17"/>
      <c r="J2285" s="17"/>
      <c r="K2285" s="17"/>
      <c r="L2285" s="17"/>
      <c r="M2285" s="17"/>
      <c r="N2285" s="17"/>
      <c r="O2285" s="17"/>
    </row>
    <row r="2286" spans="5:15" x14ac:dyDescent="0.25">
      <c r="E2286" s="17"/>
      <c r="F2286" s="17"/>
      <c r="G2286" s="17"/>
      <c r="H2286" s="17"/>
      <c r="J2286" s="17"/>
      <c r="K2286" s="17"/>
      <c r="L2286" s="17"/>
      <c r="M2286" s="17"/>
      <c r="N2286" s="17"/>
      <c r="O2286" s="17"/>
    </row>
    <row r="2287" spans="5:15" x14ac:dyDescent="0.25">
      <c r="E2287" s="17"/>
      <c r="F2287" s="17"/>
      <c r="G2287" s="17"/>
      <c r="H2287" s="17"/>
      <c r="J2287" s="17"/>
      <c r="K2287" s="17"/>
      <c r="L2287" s="17"/>
      <c r="M2287" s="17"/>
      <c r="N2287" s="17"/>
      <c r="O2287" s="17"/>
    </row>
    <row r="2288" spans="5:15" x14ac:dyDescent="0.25">
      <c r="E2288" s="17"/>
      <c r="F2288" s="17"/>
      <c r="G2288" s="17"/>
      <c r="H2288" s="17"/>
      <c r="J2288" s="17"/>
      <c r="K2288" s="17"/>
      <c r="L2288" s="17"/>
      <c r="M2288" s="17"/>
      <c r="N2288" s="17"/>
      <c r="O2288" s="17"/>
    </row>
    <row r="2289" spans="5:15" x14ac:dyDescent="0.25">
      <c r="E2289" s="17"/>
      <c r="F2289" s="17"/>
      <c r="G2289" s="17"/>
      <c r="H2289" s="17"/>
      <c r="J2289" s="17"/>
      <c r="K2289" s="17"/>
      <c r="L2289" s="17"/>
      <c r="M2289" s="17"/>
      <c r="N2289" s="17"/>
      <c r="O2289" s="17"/>
    </row>
    <row r="2290" spans="5:15" x14ac:dyDescent="0.25">
      <c r="E2290" s="17"/>
      <c r="F2290" s="17"/>
      <c r="G2290" s="17"/>
      <c r="H2290" s="17"/>
      <c r="J2290" s="17"/>
      <c r="K2290" s="17"/>
      <c r="L2290" s="17"/>
      <c r="M2290" s="17"/>
      <c r="N2290" s="17"/>
      <c r="O2290" s="17"/>
    </row>
    <row r="2291" spans="5:15" x14ac:dyDescent="0.25">
      <c r="E2291" s="17"/>
      <c r="F2291" s="17"/>
      <c r="G2291" s="17"/>
      <c r="H2291" s="17"/>
      <c r="J2291" s="17"/>
      <c r="K2291" s="17"/>
      <c r="L2291" s="17"/>
      <c r="M2291" s="17"/>
      <c r="N2291" s="17"/>
      <c r="O2291" s="17"/>
    </row>
    <row r="2292" spans="5:15" x14ac:dyDescent="0.25">
      <c r="E2292" s="17"/>
      <c r="F2292" s="17"/>
      <c r="G2292" s="17"/>
      <c r="H2292" s="17"/>
      <c r="J2292" s="17"/>
      <c r="K2292" s="17"/>
      <c r="L2292" s="17"/>
      <c r="M2292" s="17"/>
      <c r="N2292" s="17"/>
      <c r="O2292" s="17"/>
    </row>
    <row r="2293" spans="5:15" x14ac:dyDescent="0.25">
      <c r="E2293" s="17"/>
      <c r="F2293" s="17"/>
      <c r="G2293" s="17"/>
      <c r="H2293" s="17"/>
      <c r="J2293" s="17"/>
      <c r="K2293" s="17"/>
      <c r="L2293" s="17"/>
      <c r="M2293" s="17"/>
      <c r="N2293" s="17"/>
      <c r="O2293" s="17"/>
    </row>
    <row r="2294" spans="5:15" x14ac:dyDescent="0.25">
      <c r="E2294" s="17"/>
      <c r="F2294" s="17"/>
      <c r="G2294" s="17"/>
      <c r="H2294" s="17"/>
      <c r="J2294" s="17"/>
      <c r="K2294" s="17"/>
      <c r="L2294" s="17"/>
      <c r="M2294" s="17"/>
      <c r="N2294" s="17"/>
      <c r="O2294" s="17"/>
    </row>
    <row r="2295" spans="5:15" x14ac:dyDescent="0.25">
      <c r="E2295" s="17"/>
      <c r="F2295" s="17"/>
      <c r="G2295" s="17"/>
      <c r="H2295" s="17"/>
      <c r="J2295" s="17"/>
      <c r="K2295" s="17"/>
      <c r="L2295" s="17"/>
      <c r="M2295" s="17"/>
      <c r="N2295" s="17"/>
      <c r="O2295" s="17"/>
    </row>
    <row r="2296" spans="5:15" x14ac:dyDescent="0.25">
      <c r="E2296" s="17"/>
      <c r="F2296" s="17"/>
      <c r="G2296" s="17"/>
      <c r="H2296" s="17"/>
      <c r="J2296" s="17"/>
      <c r="K2296" s="17"/>
      <c r="L2296" s="17"/>
      <c r="M2296" s="17"/>
      <c r="N2296" s="17"/>
      <c r="O2296" s="17"/>
    </row>
    <row r="2297" spans="5:15" x14ac:dyDescent="0.25">
      <c r="E2297" s="17"/>
      <c r="F2297" s="17"/>
      <c r="G2297" s="17"/>
      <c r="H2297" s="17"/>
      <c r="J2297" s="17"/>
      <c r="K2297" s="17"/>
      <c r="L2297" s="17"/>
      <c r="M2297" s="17"/>
      <c r="N2297" s="17"/>
      <c r="O2297" s="17"/>
    </row>
    <row r="2298" spans="5:15" x14ac:dyDescent="0.25">
      <c r="E2298" s="17"/>
      <c r="F2298" s="17"/>
      <c r="G2298" s="17"/>
      <c r="H2298" s="17"/>
      <c r="J2298" s="17"/>
      <c r="K2298" s="17"/>
      <c r="L2298" s="17"/>
      <c r="M2298" s="17"/>
      <c r="N2298" s="17"/>
      <c r="O2298" s="17"/>
    </row>
    <row r="2299" spans="5:15" x14ac:dyDescent="0.25">
      <c r="E2299" s="17"/>
      <c r="F2299" s="17"/>
      <c r="G2299" s="17"/>
      <c r="H2299" s="17"/>
      <c r="J2299" s="17"/>
      <c r="K2299" s="17"/>
      <c r="L2299" s="17"/>
      <c r="M2299" s="17"/>
      <c r="N2299" s="17"/>
      <c r="O2299" s="17"/>
    </row>
    <row r="2300" spans="5:15" x14ac:dyDescent="0.25">
      <c r="E2300" s="17"/>
      <c r="F2300" s="17"/>
      <c r="G2300" s="17"/>
      <c r="H2300" s="17"/>
      <c r="J2300" s="17"/>
      <c r="K2300" s="17"/>
      <c r="L2300" s="17"/>
      <c r="M2300" s="17"/>
      <c r="N2300" s="17"/>
      <c r="O2300" s="17"/>
    </row>
    <row r="2301" spans="5:15" x14ac:dyDescent="0.25">
      <c r="E2301" s="17"/>
      <c r="F2301" s="17"/>
      <c r="G2301" s="17"/>
      <c r="H2301" s="17"/>
      <c r="J2301" s="17"/>
      <c r="K2301" s="17"/>
      <c r="L2301" s="17"/>
      <c r="M2301" s="17"/>
      <c r="N2301" s="17"/>
      <c r="O2301" s="17"/>
    </row>
    <row r="2302" spans="5:15" x14ac:dyDescent="0.25">
      <c r="E2302" s="17"/>
      <c r="F2302" s="17"/>
      <c r="G2302" s="17"/>
      <c r="H2302" s="17"/>
      <c r="J2302" s="17"/>
      <c r="K2302" s="17"/>
      <c r="L2302" s="17"/>
      <c r="M2302" s="17"/>
      <c r="N2302" s="17"/>
      <c r="O2302" s="17"/>
    </row>
    <row r="2303" spans="5:15" x14ac:dyDescent="0.25">
      <c r="E2303" s="17"/>
      <c r="F2303" s="17"/>
      <c r="G2303" s="17"/>
      <c r="H2303" s="17"/>
      <c r="J2303" s="17"/>
      <c r="K2303" s="17"/>
      <c r="L2303" s="17"/>
      <c r="M2303" s="17"/>
      <c r="N2303" s="17"/>
      <c r="O2303" s="17"/>
    </row>
    <row r="2304" spans="5:15" x14ac:dyDescent="0.25">
      <c r="E2304" s="17"/>
      <c r="F2304" s="17"/>
      <c r="G2304" s="17"/>
      <c r="H2304" s="17"/>
      <c r="J2304" s="17"/>
      <c r="K2304" s="17"/>
      <c r="L2304" s="17"/>
      <c r="M2304" s="17"/>
      <c r="N2304" s="17"/>
      <c r="O2304" s="17"/>
    </row>
    <row r="2305" spans="5:15" x14ac:dyDescent="0.25">
      <c r="E2305" s="17"/>
      <c r="F2305" s="17"/>
      <c r="G2305" s="17"/>
      <c r="H2305" s="17"/>
      <c r="J2305" s="17"/>
      <c r="K2305" s="17"/>
      <c r="L2305" s="17"/>
      <c r="M2305" s="17"/>
      <c r="N2305" s="17"/>
      <c r="O2305" s="17"/>
    </row>
    <row r="2306" spans="5:15" x14ac:dyDescent="0.25">
      <c r="E2306" s="17"/>
      <c r="F2306" s="17"/>
      <c r="G2306" s="17"/>
      <c r="H2306" s="17"/>
      <c r="J2306" s="17"/>
      <c r="K2306" s="17"/>
      <c r="L2306" s="17"/>
      <c r="M2306" s="17"/>
      <c r="N2306" s="17"/>
      <c r="O2306" s="17"/>
    </row>
    <row r="2307" spans="5:15" x14ac:dyDescent="0.25">
      <c r="E2307" s="17"/>
      <c r="F2307" s="17"/>
      <c r="G2307" s="17"/>
      <c r="H2307" s="17"/>
      <c r="J2307" s="17"/>
      <c r="K2307" s="17"/>
      <c r="L2307" s="17"/>
      <c r="M2307" s="17"/>
      <c r="N2307" s="17"/>
      <c r="O2307" s="17"/>
    </row>
    <row r="2308" spans="5:15" x14ac:dyDescent="0.25">
      <c r="E2308" s="17"/>
      <c r="F2308" s="17"/>
      <c r="G2308" s="17"/>
      <c r="H2308" s="17"/>
      <c r="J2308" s="17"/>
      <c r="K2308" s="17"/>
      <c r="L2308" s="17"/>
      <c r="M2308" s="17"/>
      <c r="N2308" s="17"/>
      <c r="O2308" s="17"/>
    </row>
    <row r="2309" spans="5:15" x14ac:dyDescent="0.25">
      <c r="E2309" s="17"/>
      <c r="F2309" s="17"/>
      <c r="G2309" s="17"/>
      <c r="H2309" s="17"/>
      <c r="J2309" s="17"/>
      <c r="K2309" s="17"/>
      <c r="L2309" s="17"/>
      <c r="M2309" s="17"/>
      <c r="N2309" s="17"/>
      <c r="O2309" s="17"/>
    </row>
    <row r="2310" spans="5:15" x14ac:dyDescent="0.25">
      <c r="E2310" s="17"/>
      <c r="F2310" s="17"/>
      <c r="G2310" s="17"/>
      <c r="H2310" s="17"/>
      <c r="J2310" s="17"/>
      <c r="K2310" s="17"/>
      <c r="L2310" s="17"/>
      <c r="M2310" s="17"/>
      <c r="N2310" s="17"/>
      <c r="O2310" s="17"/>
    </row>
    <row r="2311" spans="5:15" x14ac:dyDescent="0.25">
      <c r="E2311" s="17"/>
      <c r="F2311" s="17"/>
      <c r="G2311" s="17"/>
      <c r="H2311" s="17"/>
      <c r="J2311" s="17"/>
      <c r="K2311" s="17"/>
      <c r="L2311" s="17"/>
      <c r="M2311" s="17"/>
      <c r="N2311" s="17"/>
      <c r="O2311" s="17"/>
    </row>
    <row r="2312" spans="5:15" x14ac:dyDescent="0.25">
      <c r="E2312" s="17"/>
      <c r="F2312" s="17"/>
      <c r="G2312" s="17"/>
      <c r="H2312" s="17"/>
      <c r="J2312" s="17"/>
      <c r="K2312" s="17"/>
      <c r="L2312" s="17"/>
      <c r="M2312" s="17"/>
      <c r="N2312" s="17"/>
      <c r="O2312" s="17"/>
    </row>
    <row r="2313" spans="5:15" x14ac:dyDescent="0.25">
      <c r="E2313" s="17"/>
      <c r="F2313" s="17"/>
      <c r="G2313" s="17"/>
      <c r="H2313" s="17"/>
      <c r="J2313" s="17"/>
      <c r="K2313" s="17"/>
      <c r="L2313" s="17"/>
      <c r="M2313" s="17"/>
      <c r="N2313" s="17"/>
      <c r="O2313" s="17"/>
    </row>
    <row r="2314" spans="5:15" x14ac:dyDescent="0.25">
      <c r="E2314" s="17"/>
      <c r="F2314" s="17"/>
      <c r="G2314" s="17"/>
      <c r="H2314" s="17"/>
      <c r="J2314" s="17"/>
      <c r="K2314" s="17"/>
      <c r="L2314" s="17"/>
      <c r="M2314" s="17"/>
      <c r="N2314" s="17"/>
      <c r="O2314" s="17"/>
    </row>
    <row r="2315" spans="5:15" x14ac:dyDescent="0.25">
      <c r="E2315" s="17"/>
      <c r="F2315" s="17"/>
      <c r="G2315" s="17"/>
      <c r="H2315" s="17"/>
      <c r="J2315" s="17"/>
      <c r="K2315" s="17"/>
      <c r="L2315" s="17"/>
      <c r="M2315" s="17"/>
      <c r="N2315" s="17"/>
      <c r="O2315" s="17"/>
    </row>
    <row r="2316" spans="5:15" x14ac:dyDescent="0.25">
      <c r="E2316" s="17"/>
      <c r="F2316" s="17"/>
      <c r="G2316" s="17"/>
      <c r="H2316" s="17"/>
      <c r="J2316" s="17"/>
      <c r="K2316" s="17"/>
      <c r="L2316" s="17"/>
      <c r="M2316" s="17"/>
      <c r="N2316" s="17"/>
      <c r="O2316" s="17"/>
    </row>
    <row r="2317" spans="5:15" x14ac:dyDescent="0.25">
      <c r="E2317" s="17"/>
      <c r="F2317" s="17"/>
      <c r="G2317" s="17"/>
      <c r="H2317" s="17"/>
      <c r="J2317" s="17"/>
      <c r="K2317" s="17"/>
      <c r="L2317" s="17"/>
      <c r="M2317" s="17"/>
      <c r="N2317" s="17"/>
      <c r="O2317" s="17"/>
    </row>
    <row r="2318" spans="5:15" x14ac:dyDescent="0.25">
      <c r="E2318" s="17"/>
      <c r="F2318" s="17"/>
      <c r="G2318" s="17"/>
      <c r="H2318" s="17"/>
      <c r="J2318" s="17"/>
      <c r="K2318" s="17"/>
      <c r="L2318" s="17"/>
      <c r="M2318" s="17"/>
      <c r="N2318" s="17"/>
      <c r="O2318" s="17"/>
    </row>
    <row r="2319" spans="5:15" x14ac:dyDescent="0.25">
      <c r="E2319" s="17"/>
      <c r="F2319" s="17"/>
      <c r="G2319" s="17"/>
      <c r="H2319" s="17"/>
      <c r="J2319" s="17"/>
      <c r="K2319" s="17"/>
      <c r="L2319" s="17"/>
      <c r="M2319" s="17"/>
      <c r="N2319" s="17"/>
      <c r="O2319" s="17"/>
    </row>
    <row r="2320" spans="5:15" x14ac:dyDescent="0.25">
      <c r="E2320" s="17"/>
      <c r="F2320" s="17"/>
      <c r="G2320" s="17"/>
      <c r="H2320" s="17"/>
      <c r="J2320" s="17"/>
      <c r="K2320" s="17"/>
      <c r="L2320" s="17"/>
      <c r="M2320" s="17"/>
      <c r="N2320" s="17"/>
      <c r="O2320" s="17"/>
    </row>
    <row r="2321" spans="5:15" x14ac:dyDescent="0.25">
      <c r="E2321" s="17"/>
      <c r="F2321" s="17"/>
      <c r="G2321" s="17"/>
      <c r="H2321" s="17"/>
      <c r="J2321" s="17"/>
      <c r="K2321" s="17"/>
      <c r="L2321" s="17"/>
      <c r="M2321" s="17"/>
      <c r="N2321" s="17"/>
      <c r="O2321" s="17"/>
    </row>
    <row r="2322" spans="5:15" x14ac:dyDescent="0.25">
      <c r="E2322" s="17"/>
      <c r="F2322" s="17"/>
      <c r="G2322" s="17"/>
      <c r="H2322" s="17"/>
      <c r="J2322" s="17"/>
      <c r="K2322" s="17"/>
      <c r="L2322" s="17"/>
      <c r="M2322" s="17"/>
      <c r="N2322" s="17"/>
      <c r="O2322" s="17"/>
    </row>
    <row r="2323" spans="5:15" x14ac:dyDescent="0.25">
      <c r="E2323" s="17"/>
      <c r="F2323" s="17"/>
      <c r="G2323" s="17"/>
      <c r="H2323" s="17"/>
      <c r="J2323" s="17"/>
      <c r="K2323" s="17"/>
      <c r="L2323" s="17"/>
      <c r="M2323" s="17"/>
      <c r="N2323" s="17"/>
      <c r="O2323" s="17"/>
    </row>
    <row r="2324" spans="5:15" x14ac:dyDescent="0.25">
      <c r="E2324" s="17"/>
      <c r="F2324" s="17"/>
      <c r="G2324" s="17"/>
      <c r="H2324" s="17"/>
      <c r="J2324" s="17"/>
      <c r="K2324" s="17"/>
      <c r="L2324" s="17"/>
      <c r="M2324" s="17"/>
      <c r="N2324" s="17"/>
      <c r="O2324" s="17"/>
    </row>
    <row r="2325" spans="5:15" x14ac:dyDescent="0.25">
      <c r="E2325" s="17"/>
      <c r="F2325" s="17"/>
      <c r="G2325" s="17"/>
      <c r="H2325" s="17"/>
      <c r="J2325" s="17"/>
      <c r="K2325" s="17"/>
      <c r="L2325" s="17"/>
      <c r="M2325" s="17"/>
      <c r="N2325" s="17"/>
      <c r="O2325" s="17"/>
    </row>
    <row r="2326" spans="5:15" x14ac:dyDescent="0.25">
      <c r="E2326" s="17"/>
      <c r="F2326" s="17"/>
      <c r="G2326" s="17"/>
      <c r="H2326" s="17"/>
      <c r="J2326" s="17"/>
      <c r="K2326" s="17"/>
      <c r="L2326" s="17"/>
      <c r="M2326" s="17"/>
      <c r="N2326" s="17"/>
      <c r="O2326" s="17"/>
    </row>
    <row r="2327" spans="5:15" x14ac:dyDescent="0.25">
      <c r="E2327" s="17"/>
      <c r="F2327" s="17"/>
      <c r="G2327" s="17"/>
      <c r="H2327" s="17"/>
      <c r="J2327" s="17"/>
      <c r="K2327" s="17"/>
      <c r="L2327" s="17"/>
      <c r="M2327" s="17"/>
      <c r="N2327" s="17"/>
      <c r="O2327" s="17"/>
    </row>
    <row r="2328" spans="5:15" x14ac:dyDescent="0.25">
      <c r="E2328" s="17"/>
      <c r="F2328" s="17"/>
      <c r="G2328" s="17"/>
      <c r="H2328" s="17"/>
      <c r="J2328" s="17"/>
      <c r="K2328" s="17"/>
      <c r="L2328" s="17"/>
      <c r="M2328" s="17"/>
      <c r="N2328" s="17"/>
      <c r="O2328" s="17"/>
    </row>
    <row r="2329" spans="5:15" x14ac:dyDescent="0.25">
      <c r="E2329" s="17"/>
      <c r="F2329" s="17"/>
      <c r="G2329" s="17"/>
      <c r="H2329" s="17"/>
      <c r="J2329" s="17"/>
      <c r="K2329" s="17"/>
      <c r="L2329" s="17"/>
      <c r="M2329" s="17"/>
      <c r="N2329" s="17"/>
      <c r="O2329" s="17"/>
    </row>
    <row r="2330" spans="5:15" x14ac:dyDescent="0.25">
      <c r="E2330" s="17"/>
      <c r="F2330" s="17"/>
      <c r="G2330" s="17"/>
      <c r="H2330" s="17"/>
      <c r="J2330" s="17"/>
      <c r="K2330" s="17"/>
      <c r="L2330" s="17"/>
      <c r="M2330" s="17"/>
      <c r="N2330" s="17"/>
      <c r="O2330" s="17"/>
    </row>
    <row r="2331" spans="5:15" x14ac:dyDescent="0.25">
      <c r="E2331" s="17"/>
      <c r="F2331" s="17"/>
      <c r="G2331" s="17"/>
      <c r="H2331" s="17"/>
      <c r="J2331" s="17"/>
      <c r="K2331" s="17"/>
      <c r="L2331" s="17"/>
      <c r="M2331" s="17"/>
      <c r="N2331" s="17"/>
      <c r="O2331" s="17"/>
    </row>
    <row r="2332" spans="5:15" x14ac:dyDescent="0.25">
      <c r="E2332" s="17"/>
      <c r="F2332" s="17"/>
      <c r="G2332" s="17"/>
      <c r="H2332" s="17"/>
      <c r="J2332" s="17"/>
      <c r="K2332" s="17"/>
      <c r="L2332" s="17"/>
      <c r="M2332" s="17"/>
      <c r="N2332" s="17"/>
      <c r="O2332" s="17"/>
    </row>
    <row r="2333" spans="5:15" x14ac:dyDescent="0.25">
      <c r="E2333" s="17"/>
      <c r="F2333" s="17"/>
      <c r="G2333" s="17"/>
      <c r="H2333" s="17"/>
      <c r="J2333" s="17"/>
      <c r="K2333" s="17"/>
      <c r="L2333" s="17"/>
      <c r="M2333" s="17"/>
      <c r="N2333" s="17"/>
      <c r="O2333" s="17"/>
    </row>
    <row r="2334" spans="5:15" x14ac:dyDescent="0.25">
      <c r="E2334" s="17"/>
      <c r="F2334" s="17"/>
      <c r="G2334" s="17"/>
      <c r="H2334" s="17"/>
      <c r="J2334" s="17"/>
      <c r="K2334" s="17"/>
      <c r="L2334" s="17"/>
      <c r="M2334" s="17"/>
      <c r="N2334" s="17"/>
      <c r="O2334" s="17"/>
    </row>
    <row r="2335" spans="5:15" x14ac:dyDescent="0.25">
      <c r="E2335" s="17"/>
      <c r="F2335" s="17"/>
      <c r="G2335" s="17"/>
      <c r="H2335" s="17"/>
      <c r="J2335" s="17"/>
      <c r="K2335" s="17"/>
      <c r="L2335" s="17"/>
      <c r="M2335" s="17"/>
      <c r="N2335" s="17"/>
      <c r="O2335" s="17"/>
    </row>
    <row r="2336" spans="5:15" x14ac:dyDescent="0.25">
      <c r="E2336" s="17"/>
      <c r="F2336" s="17"/>
      <c r="G2336" s="17"/>
      <c r="H2336" s="17"/>
      <c r="J2336" s="17"/>
      <c r="K2336" s="17"/>
      <c r="L2336" s="17"/>
      <c r="M2336" s="17"/>
      <c r="N2336" s="17"/>
      <c r="O2336" s="17"/>
    </row>
    <row r="2337" spans="5:15" x14ac:dyDescent="0.25">
      <c r="E2337" s="17"/>
      <c r="F2337" s="17"/>
      <c r="G2337" s="17"/>
      <c r="H2337" s="17"/>
      <c r="J2337" s="17"/>
      <c r="K2337" s="17"/>
      <c r="L2337" s="17"/>
      <c r="M2337" s="17"/>
      <c r="N2337" s="17"/>
      <c r="O2337" s="17"/>
    </row>
    <row r="2338" spans="5:15" x14ac:dyDescent="0.25">
      <c r="E2338" s="17"/>
      <c r="F2338" s="17"/>
      <c r="G2338" s="17"/>
      <c r="H2338" s="17"/>
      <c r="J2338" s="17"/>
      <c r="K2338" s="17"/>
      <c r="L2338" s="17"/>
      <c r="M2338" s="17"/>
      <c r="N2338" s="17"/>
      <c r="O2338" s="17"/>
    </row>
    <row r="2339" spans="5:15" x14ac:dyDescent="0.25">
      <c r="E2339" s="17"/>
      <c r="F2339" s="17"/>
      <c r="G2339" s="17"/>
      <c r="H2339" s="17"/>
      <c r="J2339" s="17"/>
      <c r="K2339" s="17"/>
      <c r="L2339" s="17"/>
      <c r="M2339" s="17"/>
      <c r="N2339" s="17"/>
      <c r="O2339" s="17"/>
    </row>
    <row r="2340" spans="5:15" x14ac:dyDescent="0.25">
      <c r="E2340" s="17"/>
      <c r="F2340" s="17"/>
      <c r="G2340" s="17"/>
      <c r="H2340" s="17"/>
      <c r="J2340" s="17"/>
      <c r="K2340" s="17"/>
      <c r="L2340" s="17"/>
      <c r="M2340" s="17"/>
      <c r="N2340" s="17"/>
      <c r="O2340" s="17"/>
    </row>
    <row r="2341" spans="5:15" x14ac:dyDescent="0.25">
      <c r="E2341" s="17"/>
      <c r="F2341" s="17"/>
      <c r="G2341" s="17"/>
      <c r="H2341" s="17"/>
      <c r="J2341" s="17"/>
      <c r="K2341" s="17"/>
      <c r="L2341" s="17"/>
      <c r="M2341" s="17"/>
      <c r="N2341" s="17"/>
      <c r="O2341" s="17"/>
    </row>
    <row r="2342" spans="5:15" x14ac:dyDescent="0.25">
      <c r="E2342" s="17"/>
      <c r="F2342" s="17"/>
      <c r="G2342" s="17"/>
      <c r="H2342" s="17"/>
      <c r="J2342" s="17"/>
      <c r="K2342" s="17"/>
      <c r="L2342" s="17"/>
      <c r="M2342" s="17"/>
      <c r="N2342" s="17"/>
      <c r="O2342" s="17"/>
    </row>
    <row r="2343" spans="5:15" x14ac:dyDescent="0.25">
      <c r="E2343" s="17"/>
      <c r="F2343" s="17"/>
      <c r="G2343" s="17"/>
      <c r="H2343" s="17"/>
      <c r="J2343" s="17"/>
      <c r="K2343" s="17"/>
      <c r="L2343" s="17"/>
      <c r="M2343" s="17"/>
      <c r="N2343" s="17"/>
      <c r="O2343" s="17"/>
    </row>
    <row r="2344" spans="5:15" x14ac:dyDescent="0.25">
      <c r="E2344" s="17"/>
      <c r="F2344" s="17"/>
      <c r="G2344" s="17"/>
      <c r="H2344" s="17"/>
      <c r="J2344" s="17"/>
      <c r="K2344" s="17"/>
      <c r="L2344" s="17"/>
      <c r="M2344" s="17"/>
      <c r="N2344" s="17"/>
      <c r="O2344" s="17"/>
    </row>
    <row r="2345" spans="5:15" x14ac:dyDescent="0.25">
      <c r="E2345" s="17"/>
      <c r="F2345" s="17"/>
      <c r="G2345" s="17"/>
      <c r="H2345" s="17"/>
      <c r="J2345" s="17"/>
      <c r="K2345" s="17"/>
      <c r="L2345" s="17"/>
      <c r="M2345" s="17"/>
      <c r="N2345" s="17"/>
      <c r="O2345" s="17"/>
    </row>
    <row r="2346" spans="5:15" x14ac:dyDescent="0.25">
      <c r="E2346" s="17"/>
      <c r="F2346" s="17"/>
      <c r="G2346" s="17"/>
      <c r="H2346" s="17"/>
      <c r="J2346" s="17"/>
      <c r="K2346" s="17"/>
      <c r="L2346" s="17"/>
      <c r="M2346" s="17"/>
      <c r="N2346" s="17"/>
      <c r="O2346" s="17"/>
    </row>
    <row r="2347" spans="5:15" x14ac:dyDescent="0.25">
      <c r="E2347" s="17"/>
      <c r="F2347" s="17"/>
      <c r="G2347" s="17"/>
      <c r="H2347" s="17"/>
      <c r="J2347" s="17"/>
      <c r="K2347" s="17"/>
      <c r="L2347" s="17"/>
      <c r="M2347" s="17"/>
      <c r="N2347" s="17"/>
      <c r="O2347" s="17"/>
    </row>
    <row r="2348" spans="5:15" x14ac:dyDescent="0.25">
      <c r="E2348" s="17"/>
      <c r="F2348" s="17"/>
      <c r="G2348" s="17"/>
      <c r="H2348" s="17"/>
      <c r="J2348" s="17"/>
      <c r="K2348" s="17"/>
      <c r="L2348" s="17"/>
      <c r="M2348" s="17"/>
      <c r="N2348" s="17"/>
      <c r="O2348" s="17"/>
    </row>
    <row r="2349" spans="5:15" x14ac:dyDescent="0.25">
      <c r="E2349" s="17"/>
      <c r="F2349" s="17"/>
      <c r="G2349" s="17"/>
      <c r="H2349" s="17"/>
      <c r="J2349" s="17"/>
      <c r="K2349" s="17"/>
      <c r="L2349" s="17"/>
      <c r="M2349" s="17"/>
      <c r="N2349" s="17"/>
      <c r="O2349" s="17"/>
    </row>
    <row r="2350" spans="5:15" x14ac:dyDescent="0.25">
      <c r="E2350" s="17"/>
      <c r="F2350" s="17"/>
      <c r="G2350" s="17"/>
      <c r="H2350" s="17"/>
      <c r="J2350" s="17"/>
      <c r="K2350" s="17"/>
      <c r="L2350" s="17"/>
      <c r="M2350" s="17"/>
      <c r="N2350" s="17"/>
      <c r="O2350" s="17"/>
    </row>
    <row r="2351" spans="5:15" x14ac:dyDescent="0.25">
      <c r="E2351" s="17"/>
      <c r="F2351" s="17"/>
      <c r="G2351" s="17"/>
      <c r="H2351" s="17"/>
      <c r="J2351" s="17"/>
      <c r="K2351" s="17"/>
      <c r="L2351" s="17"/>
      <c r="M2351" s="17"/>
      <c r="N2351" s="17"/>
      <c r="O2351" s="17"/>
    </row>
    <row r="2352" spans="5:15" x14ac:dyDescent="0.25">
      <c r="E2352" s="17"/>
      <c r="F2352" s="17"/>
      <c r="G2352" s="17"/>
      <c r="H2352" s="17"/>
      <c r="J2352" s="17"/>
      <c r="K2352" s="17"/>
      <c r="L2352" s="17"/>
      <c r="M2352" s="17"/>
      <c r="N2352" s="17"/>
      <c r="O2352" s="17"/>
    </row>
    <row r="2353" spans="5:15" x14ac:dyDescent="0.25">
      <c r="E2353" s="17"/>
      <c r="F2353" s="17"/>
      <c r="G2353" s="17"/>
      <c r="H2353" s="17"/>
      <c r="J2353" s="17"/>
      <c r="K2353" s="17"/>
      <c r="L2353" s="17"/>
      <c r="M2353" s="17"/>
      <c r="N2353" s="17"/>
      <c r="O2353" s="17"/>
    </row>
    <row r="2354" spans="5:15" x14ac:dyDescent="0.25">
      <c r="E2354" s="17"/>
      <c r="F2354" s="17"/>
      <c r="G2354" s="17"/>
      <c r="H2354" s="17"/>
      <c r="J2354" s="17"/>
      <c r="K2354" s="17"/>
      <c r="L2354" s="17"/>
      <c r="M2354" s="17"/>
      <c r="N2354" s="17"/>
      <c r="O2354" s="17"/>
    </row>
    <row r="2355" spans="5:15" x14ac:dyDescent="0.25">
      <c r="E2355" s="17"/>
      <c r="F2355" s="17"/>
      <c r="G2355" s="17"/>
      <c r="H2355" s="17"/>
      <c r="J2355" s="17"/>
      <c r="K2355" s="17"/>
      <c r="L2355" s="17"/>
      <c r="M2355" s="17"/>
      <c r="N2355" s="17"/>
      <c r="O2355" s="17"/>
    </row>
    <row r="2356" spans="5:15" x14ac:dyDescent="0.25">
      <c r="E2356" s="17"/>
      <c r="F2356" s="17"/>
      <c r="G2356" s="17"/>
      <c r="H2356" s="17"/>
      <c r="J2356" s="17"/>
      <c r="K2356" s="17"/>
      <c r="L2356" s="17"/>
      <c r="M2356" s="17"/>
      <c r="N2356" s="17"/>
      <c r="O2356" s="17"/>
    </row>
    <row r="2357" spans="5:15" x14ac:dyDescent="0.25">
      <c r="E2357" s="17"/>
      <c r="F2357" s="17"/>
      <c r="G2357" s="17"/>
      <c r="H2357" s="17"/>
      <c r="J2357" s="17"/>
      <c r="K2357" s="17"/>
      <c r="L2357" s="17"/>
      <c r="M2357" s="17"/>
      <c r="N2357" s="17"/>
      <c r="O2357" s="17"/>
    </row>
    <row r="2358" spans="5:15" x14ac:dyDescent="0.25">
      <c r="E2358" s="17"/>
      <c r="F2358" s="17"/>
      <c r="G2358" s="17"/>
      <c r="H2358" s="17"/>
      <c r="J2358" s="17"/>
      <c r="K2358" s="17"/>
      <c r="L2358" s="17"/>
      <c r="M2358" s="17"/>
      <c r="N2358" s="17"/>
      <c r="O2358" s="17"/>
    </row>
    <row r="2359" spans="5:15" x14ac:dyDescent="0.25">
      <c r="E2359" s="17"/>
      <c r="F2359" s="17"/>
      <c r="G2359" s="17"/>
      <c r="H2359" s="17"/>
      <c r="J2359" s="17"/>
      <c r="K2359" s="17"/>
      <c r="L2359" s="17"/>
      <c r="M2359" s="17"/>
      <c r="N2359" s="17"/>
      <c r="O2359" s="17"/>
    </row>
    <row r="2360" spans="5:15" x14ac:dyDescent="0.25">
      <c r="E2360" s="17"/>
      <c r="F2360" s="17"/>
      <c r="G2360" s="17"/>
      <c r="H2360" s="17"/>
      <c r="J2360" s="17"/>
      <c r="K2360" s="17"/>
      <c r="L2360" s="17"/>
      <c r="M2360" s="17"/>
      <c r="N2360" s="17"/>
      <c r="O2360" s="17"/>
    </row>
    <row r="2361" spans="5:15" x14ac:dyDescent="0.25">
      <c r="E2361" s="17"/>
      <c r="F2361" s="17"/>
      <c r="G2361" s="17"/>
      <c r="H2361" s="17"/>
      <c r="J2361" s="17"/>
      <c r="K2361" s="17"/>
      <c r="L2361" s="17"/>
      <c r="M2361" s="17"/>
      <c r="N2361" s="17"/>
      <c r="O2361" s="17"/>
    </row>
    <row r="2362" spans="5:15" x14ac:dyDescent="0.25">
      <c r="E2362" s="17"/>
      <c r="F2362" s="17"/>
      <c r="G2362" s="17"/>
      <c r="H2362" s="17"/>
      <c r="J2362" s="17"/>
      <c r="K2362" s="17"/>
      <c r="L2362" s="17"/>
      <c r="M2362" s="17"/>
      <c r="N2362" s="17"/>
      <c r="O2362" s="17"/>
    </row>
    <row r="2363" spans="5:15" x14ac:dyDescent="0.25">
      <c r="E2363" s="17"/>
      <c r="F2363" s="17"/>
      <c r="G2363" s="17"/>
      <c r="H2363" s="17"/>
      <c r="J2363" s="17"/>
      <c r="K2363" s="17"/>
      <c r="L2363" s="17"/>
      <c r="M2363" s="17"/>
      <c r="N2363" s="17"/>
      <c r="O2363" s="17"/>
    </row>
    <row r="2364" spans="5:15" x14ac:dyDescent="0.25">
      <c r="E2364" s="17"/>
      <c r="F2364" s="17"/>
      <c r="G2364" s="17"/>
      <c r="H2364" s="17"/>
      <c r="J2364" s="17"/>
      <c r="K2364" s="17"/>
      <c r="L2364" s="17"/>
      <c r="M2364" s="17"/>
      <c r="N2364" s="17"/>
      <c r="O2364" s="17"/>
    </row>
    <row r="2365" spans="5:15" x14ac:dyDescent="0.25">
      <c r="E2365" s="17"/>
      <c r="F2365" s="17"/>
      <c r="G2365" s="17"/>
      <c r="H2365" s="17"/>
      <c r="J2365" s="17"/>
      <c r="K2365" s="17"/>
      <c r="L2365" s="17"/>
      <c r="M2365" s="17"/>
      <c r="N2365" s="17"/>
      <c r="O2365" s="17"/>
    </row>
    <row r="2366" spans="5:15" x14ac:dyDescent="0.25">
      <c r="E2366" s="17"/>
      <c r="F2366" s="17"/>
      <c r="G2366" s="17"/>
      <c r="H2366" s="17"/>
      <c r="J2366" s="17"/>
      <c r="K2366" s="17"/>
      <c r="L2366" s="17"/>
      <c r="M2366" s="17"/>
      <c r="N2366" s="17"/>
      <c r="O2366" s="17"/>
    </row>
    <row r="2367" spans="5:15" x14ac:dyDescent="0.25">
      <c r="E2367" s="17"/>
      <c r="F2367" s="17"/>
      <c r="G2367" s="17"/>
      <c r="H2367" s="17"/>
      <c r="J2367" s="17"/>
      <c r="K2367" s="17"/>
      <c r="L2367" s="17"/>
      <c r="M2367" s="17"/>
      <c r="N2367" s="17"/>
      <c r="O2367" s="17"/>
    </row>
    <row r="2368" spans="5:15" x14ac:dyDescent="0.25">
      <c r="E2368" s="17"/>
      <c r="F2368" s="17"/>
      <c r="G2368" s="17"/>
      <c r="H2368" s="17"/>
      <c r="J2368" s="17"/>
      <c r="K2368" s="17"/>
      <c r="L2368" s="17"/>
      <c r="M2368" s="17"/>
      <c r="N2368" s="17"/>
      <c r="O2368" s="17"/>
    </row>
    <row r="2369" spans="5:15" x14ac:dyDescent="0.25">
      <c r="E2369" s="17"/>
      <c r="F2369" s="17"/>
      <c r="G2369" s="17"/>
      <c r="H2369" s="17"/>
      <c r="J2369" s="17"/>
      <c r="K2369" s="17"/>
      <c r="L2369" s="17"/>
      <c r="M2369" s="17"/>
      <c r="N2369" s="17"/>
      <c r="O2369" s="17"/>
    </row>
    <row r="2370" spans="5:15" x14ac:dyDescent="0.25">
      <c r="E2370" s="17"/>
      <c r="F2370" s="17"/>
      <c r="G2370" s="17"/>
      <c r="H2370" s="17"/>
      <c r="J2370" s="17"/>
      <c r="K2370" s="17"/>
      <c r="L2370" s="17"/>
      <c r="M2370" s="17"/>
      <c r="N2370" s="17"/>
      <c r="O2370" s="17"/>
    </row>
    <row r="2371" spans="5:15" x14ac:dyDescent="0.25">
      <c r="E2371" s="17"/>
      <c r="F2371" s="17"/>
      <c r="G2371" s="17"/>
      <c r="H2371" s="17"/>
      <c r="J2371" s="17"/>
      <c r="K2371" s="17"/>
      <c r="L2371" s="17"/>
      <c r="M2371" s="17"/>
      <c r="N2371" s="17"/>
      <c r="O2371" s="17"/>
    </row>
    <row r="2372" spans="5:15" x14ac:dyDescent="0.25">
      <c r="E2372" s="17"/>
      <c r="F2372" s="17"/>
      <c r="G2372" s="17"/>
      <c r="H2372" s="17"/>
      <c r="J2372" s="17"/>
      <c r="K2372" s="17"/>
      <c r="L2372" s="17"/>
      <c r="M2372" s="17"/>
      <c r="N2372" s="17"/>
      <c r="O2372" s="17"/>
    </row>
    <row r="2373" spans="5:15" x14ac:dyDescent="0.25">
      <c r="E2373" s="17"/>
      <c r="F2373" s="17"/>
      <c r="G2373" s="17"/>
      <c r="H2373" s="17"/>
      <c r="J2373" s="17"/>
      <c r="K2373" s="17"/>
      <c r="L2373" s="17"/>
      <c r="M2373" s="17"/>
      <c r="N2373" s="17"/>
      <c r="O2373" s="17"/>
    </row>
    <row r="2374" spans="5:15" x14ac:dyDescent="0.25">
      <c r="E2374" s="17"/>
      <c r="F2374" s="17"/>
      <c r="G2374" s="17"/>
      <c r="H2374" s="17"/>
      <c r="J2374" s="17"/>
      <c r="K2374" s="17"/>
      <c r="L2374" s="17"/>
      <c r="M2374" s="17"/>
      <c r="N2374" s="17"/>
      <c r="O2374" s="17"/>
    </row>
    <row r="2375" spans="5:15" x14ac:dyDescent="0.25">
      <c r="E2375" s="17"/>
      <c r="F2375" s="17"/>
      <c r="G2375" s="17"/>
      <c r="H2375" s="17"/>
      <c r="J2375" s="17"/>
      <c r="K2375" s="17"/>
      <c r="L2375" s="17"/>
      <c r="M2375" s="17"/>
      <c r="N2375" s="17"/>
      <c r="O2375" s="17"/>
    </row>
    <row r="2376" spans="5:15" x14ac:dyDescent="0.25">
      <c r="E2376" s="17"/>
      <c r="F2376" s="17"/>
      <c r="G2376" s="17"/>
      <c r="H2376" s="17"/>
      <c r="J2376" s="17"/>
      <c r="K2376" s="17"/>
      <c r="L2376" s="17"/>
      <c r="M2376" s="17"/>
      <c r="N2376" s="17"/>
      <c r="O2376" s="17"/>
    </row>
    <row r="2377" spans="5:15" x14ac:dyDescent="0.25">
      <c r="E2377" s="17"/>
      <c r="F2377" s="17"/>
      <c r="G2377" s="17"/>
      <c r="H2377" s="17"/>
      <c r="J2377" s="17"/>
      <c r="K2377" s="17"/>
      <c r="L2377" s="17"/>
      <c r="M2377" s="17"/>
      <c r="N2377" s="17"/>
      <c r="O2377" s="17"/>
    </row>
    <row r="2378" spans="5:15" x14ac:dyDescent="0.25">
      <c r="E2378" s="17"/>
      <c r="F2378" s="17"/>
      <c r="G2378" s="17"/>
      <c r="H2378" s="17"/>
      <c r="J2378" s="17"/>
      <c r="K2378" s="17"/>
      <c r="L2378" s="17"/>
      <c r="M2378" s="17"/>
      <c r="N2378" s="17"/>
      <c r="O2378" s="17"/>
    </row>
    <row r="2379" spans="5:15" x14ac:dyDescent="0.25">
      <c r="E2379" s="17"/>
      <c r="F2379" s="17"/>
      <c r="G2379" s="17"/>
      <c r="H2379" s="17"/>
      <c r="J2379" s="17"/>
      <c r="K2379" s="17"/>
      <c r="L2379" s="17"/>
      <c r="M2379" s="17"/>
      <c r="N2379" s="17"/>
      <c r="O2379" s="17"/>
    </row>
    <row r="2380" spans="5:15" x14ac:dyDescent="0.25">
      <c r="E2380" s="17"/>
      <c r="F2380" s="17"/>
      <c r="G2380" s="17"/>
      <c r="H2380" s="17"/>
      <c r="J2380" s="17"/>
      <c r="K2380" s="17"/>
      <c r="L2380" s="17"/>
      <c r="M2380" s="17"/>
      <c r="N2380" s="17"/>
      <c r="O2380" s="17"/>
    </row>
    <row r="2381" spans="5:15" x14ac:dyDescent="0.25">
      <c r="E2381" s="17"/>
      <c r="F2381" s="17"/>
      <c r="G2381" s="17"/>
      <c r="H2381" s="17"/>
      <c r="J2381" s="17"/>
      <c r="K2381" s="17"/>
      <c r="L2381" s="17"/>
      <c r="M2381" s="17"/>
      <c r="N2381" s="17"/>
      <c r="O2381" s="17"/>
    </row>
    <row r="2382" spans="5:15" x14ac:dyDescent="0.25">
      <c r="E2382" s="17"/>
      <c r="F2382" s="17"/>
      <c r="G2382" s="17"/>
      <c r="H2382" s="17"/>
      <c r="J2382" s="17"/>
      <c r="K2382" s="17"/>
      <c r="L2382" s="17"/>
      <c r="M2382" s="17"/>
      <c r="N2382" s="17"/>
      <c r="O2382" s="17"/>
    </row>
    <row r="2383" spans="5:15" x14ac:dyDescent="0.25">
      <c r="E2383" s="17"/>
      <c r="F2383" s="17"/>
      <c r="G2383" s="17"/>
      <c r="H2383" s="17"/>
      <c r="J2383" s="17"/>
      <c r="K2383" s="17"/>
      <c r="L2383" s="17"/>
      <c r="M2383" s="17"/>
      <c r="N2383" s="17"/>
      <c r="O2383" s="17"/>
    </row>
    <row r="2384" spans="5:15" x14ac:dyDescent="0.25">
      <c r="E2384" s="17"/>
      <c r="F2384" s="17"/>
      <c r="G2384" s="17"/>
      <c r="H2384" s="17"/>
      <c r="J2384" s="17"/>
      <c r="K2384" s="17"/>
      <c r="L2384" s="17"/>
      <c r="M2384" s="17"/>
      <c r="N2384" s="17"/>
      <c r="O2384" s="17"/>
    </row>
    <row r="2385" spans="5:15" x14ac:dyDescent="0.25">
      <c r="E2385" s="17"/>
      <c r="F2385" s="17"/>
      <c r="G2385" s="17"/>
      <c r="H2385" s="17"/>
      <c r="J2385" s="17"/>
      <c r="K2385" s="17"/>
      <c r="L2385" s="17"/>
      <c r="M2385" s="17"/>
      <c r="N2385" s="17"/>
      <c r="O2385" s="17"/>
    </row>
    <row r="2386" spans="5:15" x14ac:dyDescent="0.25">
      <c r="E2386" s="17"/>
      <c r="F2386" s="17"/>
      <c r="G2386" s="17"/>
      <c r="H2386" s="17"/>
      <c r="J2386" s="17"/>
      <c r="K2386" s="17"/>
      <c r="L2386" s="17"/>
      <c r="M2386" s="17"/>
      <c r="N2386" s="17"/>
      <c r="O2386" s="17"/>
    </row>
    <row r="2387" spans="5:15" x14ac:dyDescent="0.25">
      <c r="E2387" s="17"/>
      <c r="F2387" s="17"/>
      <c r="G2387" s="17"/>
      <c r="H2387" s="17"/>
      <c r="J2387" s="17"/>
      <c r="K2387" s="17"/>
      <c r="L2387" s="17"/>
      <c r="M2387" s="17"/>
      <c r="N2387" s="17"/>
      <c r="O2387" s="17"/>
    </row>
    <row r="2388" spans="5:15" x14ac:dyDescent="0.25">
      <c r="E2388" s="17"/>
      <c r="F2388" s="17"/>
      <c r="G2388" s="17"/>
      <c r="H2388" s="17"/>
      <c r="J2388" s="17"/>
      <c r="K2388" s="17"/>
      <c r="L2388" s="17"/>
      <c r="M2388" s="17"/>
      <c r="N2388" s="17"/>
      <c r="O2388" s="17"/>
    </row>
    <row r="2389" spans="5:15" x14ac:dyDescent="0.25">
      <c r="E2389" s="17"/>
      <c r="F2389" s="17"/>
      <c r="G2389" s="17"/>
      <c r="H2389" s="17"/>
      <c r="J2389" s="17"/>
      <c r="K2389" s="17"/>
      <c r="L2389" s="17"/>
      <c r="M2389" s="17"/>
      <c r="N2389" s="17"/>
      <c r="O2389" s="17"/>
    </row>
    <row r="2390" spans="5:15" x14ac:dyDescent="0.25">
      <c r="E2390" s="17"/>
      <c r="F2390" s="17"/>
      <c r="G2390" s="17"/>
      <c r="H2390" s="17"/>
      <c r="J2390" s="17"/>
      <c r="K2390" s="17"/>
      <c r="L2390" s="17"/>
      <c r="M2390" s="17"/>
      <c r="N2390" s="17"/>
      <c r="O2390" s="17"/>
    </row>
    <row r="2391" spans="5:15" x14ac:dyDescent="0.25">
      <c r="E2391" s="17"/>
      <c r="F2391" s="17"/>
      <c r="G2391" s="17"/>
      <c r="H2391" s="17"/>
      <c r="J2391" s="17"/>
      <c r="K2391" s="17"/>
      <c r="L2391" s="17"/>
      <c r="M2391" s="17"/>
      <c r="N2391" s="17"/>
      <c r="O2391" s="17"/>
    </row>
    <row r="2392" spans="5:15" x14ac:dyDescent="0.25">
      <c r="E2392" s="17"/>
      <c r="F2392" s="17"/>
      <c r="G2392" s="17"/>
      <c r="H2392" s="17"/>
      <c r="J2392" s="17"/>
      <c r="K2392" s="17"/>
      <c r="L2392" s="17"/>
      <c r="M2392" s="17"/>
      <c r="N2392" s="17"/>
      <c r="O2392" s="17"/>
    </row>
    <row r="2393" spans="5:15" x14ac:dyDescent="0.25">
      <c r="E2393" s="17"/>
      <c r="F2393" s="17"/>
      <c r="G2393" s="17"/>
      <c r="H2393" s="17"/>
      <c r="J2393" s="17"/>
      <c r="K2393" s="17"/>
      <c r="L2393" s="17"/>
      <c r="M2393" s="17"/>
      <c r="N2393" s="17"/>
      <c r="O2393" s="17"/>
    </row>
    <row r="2394" spans="5:15" x14ac:dyDescent="0.25">
      <c r="E2394" s="17"/>
      <c r="F2394" s="17"/>
      <c r="G2394" s="17"/>
      <c r="H2394" s="17"/>
      <c r="J2394" s="17"/>
      <c r="K2394" s="17"/>
      <c r="L2394" s="17"/>
      <c r="M2394" s="17"/>
      <c r="N2394" s="17"/>
      <c r="O2394" s="17"/>
    </row>
    <row r="2395" spans="5:15" x14ac:dyDescent="0.25">
      <c r="E2395" s="17"/>
      <c r="F2395" s="17"/>
      <c r="G2395" s="17"/>
      <c r="H2395" s="17"/>
      <c r="J2395" s="17"/>
      <c r="K2395" s="17"/>
      <c r="L2395" s="17"/>
      <c r="M2395" s="17"/>
      <c r="N2395" s="17"/>
      <c r="O2395" s="17"/>
    </row>
    <row r="2396" spans="5:15" x14ac:dyDescent="0.25">
      <c r="E2396" s="17"/>
      <c r="F2396" s="17"/>
      <c r="G2396" s="17"/>
      <c r="H2396" s="17"/>
      <c r="J2396" s="17"/>
      <c r="K2396" s="17"/>
      <c r="L2396" s="17"/>
      <c r="M2396" s="17"/>
      <c r="N2396" s="17"/>
      <c r="O2396" s="17"/>
    </row>
    <row r="2397" spans="5:15" x14ac:dyDescent="0.25">
      <c r="E2397" s="17"/>
      <c r="F2397" s="17"/>
      <c r="G2397" s="17"/>
      <c r="H2397" s="17"/>
      <c r="J2397" s="17"/>
      <c r="K2397" s="17"/>
      <c r="L2397" s="17"/>
      <c r="M2397" s="17"/>
      <c r="N2397" s="17"/>
      <c r="O2397" s="17"/>
    </row>
    <row r="2398" spans="5:15" x14ac:dyDescent="0.25">
      <c r="E2398" s="17"/>
      <c r="F2398" s="17"/>
      <c r="G2398" s="17"/>
      <c r="H2398" s="17"/>
      <c r="J2398" s="17"/>
      <c r="K2398" s="17"/>
      <c r="L2398" s="17"/>
      <c r="M2398" s="17"/>
      <c r="N2398" s="17"/>
      <c r="O2398" s="17"/>
    </row>
    <row r="2399" spans="5:15" x14ac:dyDescent="0.25">
      <c r="E2399" s="17"/>
      <c r="F2399" s="17"/>
      <c r="G2399" s="17"/>
      <c r="H2399" s="17"/>
      <c r="J2399" s="17"/>
      <c r="K2399" s="17"/>
      <c r="L2399" s="17"/>
      <c r="M2399" s="17"/>
      <c r="N2399" s="17"/>
      <c r="O2399" s="17"/>
    </row>
    <row r="2400" spans="5:15" x14ac:dyDescent="0.25">
      <c r="E2400" s="17"/>
      <c r="F2400" s="17"/>
      <c r="G2400" s="17"/>
      <c r="H2400" s="17"/>
      <c r="J2400" s="17"/>
      <c r="K2400" s="17"/>
      <c r="L2400" s="17"/>
      <c r="M2400" s="17"/>
      <c r="N2400" s="17"/>
      <c r="O2400" s="17"/>
    </row>
    <row r="2401" spans="5:15" x14ac:dyDescent="0.25">
      <c r="E2401" s="17"/>
      <c r="F2401" s="17"/>
      <c r="G2401" s="17"/>
      <c r="H2401" s="17"/>
      <c r="J2401" s="17"/>
      <c r="K2401" s="17"/>
      <c r="L2401" s="17"/>
      <c r="M2401" s="17"/>
      <c r="N2401" s="17"/>
      <c r="O2401" s="17"/>
    </row>
    <row r="2402" spans="5:15" x14ac:dyDescent="0.25">
      <c r="E2402" s="17"/>
      <c r="F2402" s="17"/>
      <c r="G2402" s="17"/>
      <c r="H2402" s="17"/>
      <c r="J2402" s="17"/>
      <c r="K2402" s="17"/>
      <c r="L2402" s="17"/>
      <c r="M2402" s="17"/>
      <c r="N2402" s="17"/>
      <c r="O2402" s="17"/>
    </row>
    <row r="2403" spans="5:15" x14ac:dyDescent="0.25">
      <c r="E2403" s="17"/>
      <c r="F2403" s="17"/>
      <c r="G2403" s="17"/>
      <c r="H2403" s="17"/>
      <c r="J2403" s="17"/>
      <c r="K2403" s="17"/>
      <c r="L2403" s="17"/>
      <c r="M2403" s="17"/>
      <c r="N2403" s="17"/>
      <c r="O2403" s="17"/>
    </row>
    <row r="2404" spans="5:15" x14ac:dyDescent="0.25">
      <c r="E2404" s="17"/>
      <c r="F2404" s="17"/>
      <c r="G2404" s="17"/>
      <c r="H2404" s="17"/>
      <c r="J2404" s="17"/>
      <c r="K2404" s="17"/>
      <c r="L2404" s="17"/>
      <c r="M2404" s="17"/>
      <c r="N2404" s="17"/>
      <c r="O2404" s="17"/>
    </row>
    <row r="2405" spans="5:15" x14ac:dyDescent="0.25">
      <c r="E2405" s="17"/>
      <c r="F2405" s="17"/>
      <c r="G2405" s="17"/>
      <c r="H2405" s="17"/>
      <c r="J2405" s="17"/>
      <c r="K2405" s="17"/>
      <c r="L2405" s="17"/>
      <c r="M2405" s="17"/>
      <c r="N2405" s="17"/>
      <c r="O2405" s="17"/>
    </row>
    <row r="2406" spans="5:15" x14ac:dyDescent="0.25">
      <c r="E2406" s="17"/>
      <c r="F2406" s="17"/>
      <c r="G2406" s="17"/>
      <c r="H2406" s="17"/>
      <c r="J2406" s="17"/>
      <c r="K2406" s="17"/>
      <c r="L2406" s="17"/>
      <c r="M2406" s="17"/>
      <c r="N2406" s="17"/>
      <c r="O2406" s="17"/>
    </row>
    <row r="2407" spans="5:15" x14ac:dyDescent="0.25">
      <c r="E2407" s="17"/>
      <c r="F2407" s="17"/>
      <c r="G2407" s="17"/>
      <c r="H2407" s="17"/>
      <c r="J2407" s="17"/>
      <c r="K2407" s="17"/>
      <c r="L2407" s="17"/>
      <c r="M2407" s="17"/>
      <c r="N2407" s="17"/>
      <c r="O2407" s="17"/>
    </row>
    <row r="2408" spans="5:15" x14ac:dyDescent="0.25">
      <c r="E2408" s="17"/>
      <c r="F2408" s="17"/>
      <c r="G2408" s="17"/>
      <c r="H2408" s="17"/>
      <c r="J2408" s="17"/>
      <c r="K2408" s="17"/>
      <c r="L2408" s="17"/>
      <c r="M2408" s="17"/>
      <c r="N2408" s="17"/>
      <c r="O2408" s="17"/>
    </row>
    <row r="2409" spans="5:15" x14ac:dyDescent="0.25">
      <c r="E2409" s="17"/>
      <c r="F2409" s="17"/>
      <c r="G2409" s="17"/>
      <c r="H2409" s="17"/>
      <c r="J2409" s="17"/>
      <c r="K2409" s="17"/>
      <c r="L2409" s="17"/>
      <c r="M2409" s="17"/>
      <c r="N2409" s="17"/>
      <c r="O2409" s="17"/>
    </row>
    <row r="2410" spans="5:15" x14ac:dyDescent="0.25">
      <c r="E2410" s="17"/>
      <c r="F2410" s="17"/>
      <c r="G2410" s="17"/>
      <c r="H2410" s="17"/>
      <c r="J2410" s="17"/>
      <c r="K2410" s="17"/>
      <c r="L2410" s="17"/>
      <c r="M2410" s="17"/>
      <c r="N2410" s="17"/>
      <c r="O2410" s="17"/>
    </row>
    <row r="2411" spans="5:15" x14ac:dyDescent="0.25">
      <c r="E2411" s="17"/>
      <c r="F2411" s="17"/>
      <c r="G2411" s="17"/>
      <c r="H2411" s="17"/>
      <c r="J2411" s="17"/>
      <c r="K2411" s="17"/>
      <c r="L2411" s="17"/>
      <c r="M2411" s="17"/>
      <c r="N2411" s="17"/>
      <c r="O2411" s="17"/>
    </row>
    <row r="2412" spans="5:15" x14ac:dyDescent="0.25">
      <c r="E2412" s="17"/>
      <c r="F2412" s="17"/>
      <c r="G2412" s="17"/>
      <c r="H2412" s="17"/>
      <c r="J2412" s="17"/>
      <c r="K2412" s="17"/>
      <c r="L2412" s="17"/>
      <c r="M2412" s="17"/>
      <c r="N2412" s="17"/>
      <c r="O2412" s="17"/>
    </row>
    <row r="2413" spans="5:15" x14ac:dyDescent="0.25">
      <c r="E2413" s="17"/>
      <c r="F2413" s="17"/>
      <c r="G2413" s="17"/>
      <c r="H2413" s="17"/>
      <c r="J2413" s="17"/>
      <c r="K2413" s="17"/>
      <c r="L2413" s="17"/>
      <c r="M2413" s="17"/>
      <c r="N2413" s="17"/>
      <c r="O2413" s="17"/>
    </row>
    <row r="2414" spans="5:15" x14ac:dyDescent="0.25">
      <c r="E2414" s="17"/>
      <c r="F2414" s="17"/>
      <c r="G2414" s="17"/>
      <c r="H2414" s="17"/>
      <c r="J2414" s="17"/>
      <c r="K2414" s="17"/>
      <c r="L2414" s="17"/>
      <c r="M2414" s="17"/>
      <c r="N2414" s="17"/>
      <c r="O2414" s="17"/>
    </row>
    <row r="2415" spans="5:15" x14ac:dyDescent="0.25">
      <c r="E2415" s="17"/>
      <c r="F2415" s="17"/>
      <c r="G2415" s="17"/>
      <c r="H2415" s="17"/>
      <c r="J2415" s="17"/>
      <c r="K2415" s="17"/>
      <c r="L2415" s="17"/>
      <c r="M2415" s="17"/>
      <c r="N2415" s="17"/>
      <c r="O2415" s="17"/>
    </row>
    <row r="2416" spans="5:15" x14ac:dyDescent="0.25">
      <c r="E2416" s="17"/>
      <c r="F2416" s="17"/>
      <c r="G2416" s="17"/>
      <c r="H2416" s="17"/>
      <c r="J2416" s="17"/>
      <c r="K2416" s="17"/>
      <c r="L2416" s="17"/>
      <c r="M2416" s="17"/>
      <c r="N2416" s="17"/>
      <c r="O2416" s="17"/>
    </row>
    <row r="2417" spans="5:15" x14ac:dyDescent="0.25">
      <c r="E2417" s="17"/>
      <c r="F2417" s="17"/>
      <c r="G2417" s="17"/>
      <c r="H2417" s="17"/>
      <c r="J2417" s="17"/>
      <c r="K2417" s="17"/>
      <c r="L2417" s="17"/>
      <c r="M2417" s="17"/>
      <c r="N2417" s="17"/>
      <c r="O2417" s="17"/>
    </row>
    <row r="2418" spans="5:15" x14ac:dyDescent="0.25">
      <c r="E2418" s="17"/>
      <c r="F2418" s="17"/>
      <c r="G2418" s="17"/>
      <c r="H2418" s="17"/>
      <c r="J2418" s="17"/>
      <c r="K2418" s="17"/>
      <c r="L2418" s="17"/>
      <c r="M2418" s="17"/>
      <c r="N2418" s="17"/>
      <c r="O2418" s="17"/>
    </row>
    <row r="2419" spans="5:15" x14ac:dyDescent="0.25">
      <c r="E2419" s="17"/>
      <c r="F2419" s="17"/>
      <c r="G2419" s="17"/>
      <c r="H2419" s="17"/>
      <c r="J2419" s="17"/>
      <c r="K2419" s="17"/>
      <c r="L2419" s="17"/>
      <c r="M2419" s="17"/>
      <c r="N2419" s="17"/>
      <c r="O2419" s="17"/>
    </row>
    <row r="2420" spans="5:15" x14ac:dyDescent="0.25">
      <c r="E2420" s="17"/>
      <c r="F2420" s="17"/>
      <c r="G2420" s="17"/>
      <c r="H2420" s="17"/>
      <c r="J2420" s="17"/>
      <c r="K2420" s="17"/>
      <c r="L2420" s="17"/>
      <c r="M2420" s="17"/>
      <c r="N2420" s="17"/>
      <c r="O2420" s="17"/>
    </row>
    <row r="2421" spans="5:15" x14ac:dyDescent="0.25">
      <c r="E2421" s="17"/>
      <c r="F2421" s="17"/>
      <c r="G2421" s="17"/>
      <c r="H2421" s="17"/>
      <c r="J2421" s="17"/>
      <c r="K2421" s="17"/>
      <c r="L2421" s="17"/>
      <c r="M2421" s="17"/>
      <c r="N2421" s="17"/>
      <c r="O2421" s="17"/>
    </row>
    <row r="2422" spans="5:15" x14ac:dyDescent="0.25">
      <c r="E2422" s="17"/>
      <c r="F2422" s="17"/>
      <c r="G2422" s="17"/>
      <c r="H2422" s="17"/>
      <c r="J2422" s="17"/>
      <c r="K2422" s="17"/>
      <c r="L2422" s="17"/>
      <c r="M2422" s="17"/>
      <c r="N2422" s="17"/>
      <c r="O2422" s="17"/>
    </row>
    <row r="2423" spans="5:15" x14ac:dyDescent="0.25">
      <c r="E2423" s="17"/>
      <c r="F2423" s="17"/>
      <c r="G2423" s="17"/>
      <c r="H2423" s="17"/>
      <c r="J2423" s="17"/>
      <c r="K2423" s="17"/>
      <c r="L2423" s="17"/>
      <c r="M2423" s="17"/>
      <c r="N2423" s="17"/>
      <c r="O2423" s="17"/>
    </row>
    <row r="2424" spans="5:15" x14ac:dyDescent="0.25">
      <c r="E2424" s="17"/>
      <c r="F2424" s="17"/>
      <c r="G2424" s="17"/>
      <c r="H2424" s="17"/>
      <c r="J2424" s="17"/>
      <c r="K2424" s="17"/>
      <c r="L2424" s="17"/>
      <c r="M2424" s="17"/>
      <c r="N2424" s="17"/>
      <c r="O2424" s="17"/>
    </row>
    <row r="2425" spans="5:15" x14ac:dyDescent="0.25">
      <c r="E2425" s="17"/>
      <c r="F2425" s="17"/>
      <c r="G2425" s="17"/>
      <c r="H2425" s="17"/>
      <c r="J2425" s="17"/>
      <c r="K2425" s="17"/>
      <c r="L2425" s="17"/>
      <c r="M2425" s="17"/>
      <c r="N2425" s="17"/>
      <c r="O2425" s="17"/>
    </row>
    <row r="2426" spans="5:15" x14ac:dyDescent="0.25">
      <c r="E2426" s="17"/>
      <c r="F2426" s="17"/>
      <c r="G2426" s="17"/>
      <c r="H2426" s="17"/>
      <c r="J2426" s="17"/>
      <c r="K2426" s="17"/>
      <c r="L2426" s="17"/>
      <c r="M2426" s="17"/>
      <c r="N2426" s="17"/>
      <c r="O2426" s="17"/>
    </row>
    <row r="2427" spans="5:15" x14ac:dyDescent="0.25">
      <c r="E2427" s="17"/>
      <c r="F2427" s="17"/>
      <c r="G2427" s="17"/>
      <c r="H2427" s="17"/>
      <c r="J2427" s="17"/>
      <c r="K2427" s="17"/>
      <c r="L2427" s="17"/>
      <c r="M2427" s="17"/>
      <c r="N2427" s="17"/>
      <c r="O2427" s="17"/>
    </row>
    <row r="2428" spans="5:15" x14ac:dyDescent="0.25">
      <c r="E2428" s="17"/>
      <c r="F2428" s="17"/>
      <c r="G2428" s="17"/>
      <c r="H2428" s="17"/>
      <c r="J2428" s="17"/>
      <c r="K2428" s="17"/>
      <c r="L2428" s="17"/>
      <c r="M2428" s="17"/>
      <c r="N2428" s="17"/>
      <c r="O2428" s="17"/>
    </row>
    <row r="2429" spans="5:15" x14ac:dyDescent="0.25">
      <c r="E2429" s="17"/>
      <c r="F2429" s="17"/>
      <c r="G2429" s="17"/>
      <c r="H2429" s="17"/>
      <c r="J2429" s="17"/>
      <c r="K2429" s="17"/>
      <c r="L2429" s="17"/>
      <c r="M2429" s="17"/>
      <c r="N2429" s="17"/>
      <c r="O2429" s="17"/>
    </row>
    <row r="2430" spans="5:15" x14ac:dyDescent="0.25">
      <c r="E2430" s="17"/>
      <c r="F2430" s="17"/>
      <c r="G2430" s="17"/>
      <c r="H2430" s="17"/>
      <c r="J2430" s="17"/>
      <c r="K2430" s="17"/>
      <c r="L2430" s="17"/>
      <c r="M2430" s="17"/>
      <c r="N2430" s="17"/>
      <c r="O2430" s="17"/>
    </row>
    <row r="2431" spans="5:15" x14ac:dyDescent="0.25">
      <c r="E2431" s="17"/>
      <c r="F2431" s="17"/>
      <c r="G2431" s="17"/>
      <c r="H2431" s="17"/>
      <c r="J2431" s="17"/>
      <c r="K2431" s="17"/>
      <c r="L2431" s="17"/>
      <c r="M2431" s="17"/>
      <c r="N2431" s="17"/>
      <c r="O2431" s="17"/>
    </row>
    <row r="2432" spans="5:15" x14ac:dyDescent="0.25">
      <c r="E2432" s="17"/>
      <c r="F2432" s="17"/>
      <c r="G2432" s="17"/>
      <c r="H2432" s="17"/>
      <c r="J2432" s="17"/>
      <c r="K2432" s="17"/>
      <c r="L2432" s="17"/>
      <c r="M2432" s="17"/>
      <c r="N2432" s="17"/>
      <c r="O2432" s="17"/>
    </row>
    <row r="2433" spans="5:15" x14ac:dyDescent="0.25">
      <c r="E2433" s="17"/>
      <c r="F2433" s="17"/>
      <c r="G2433" s="17"/>
      <c r="H2433" s="17"/>
      <c r="J2433" s="17"/>
      <c r="K2433" s="17"/>
      <c r="L2433" s="17"/>
      <c r="M2433" s="17"/>
      <c r="N2433" s="17"/>
      <c r="O2433" s="17"/>
    </row>
    <row r="2434" spans="5:15" x14ac:dyDescent="0.25">
      <c r="E2434" s="17"/>
      <c r="F2434" s="17"/>
      <c r="G2434" s="17"/>
      <c r="H2434" s="17"/>
      <c r="J2434" s="17"/>
      <c r="K2434" s="17"/>
      <c r="L2434" s="17"/>
      <c r="M2434" s="17"/>
      <c r="N2434" s="17"/>
      <c r="O2434" s="17"/>
    </row>
    <row r="2435" spans="5:15" x14ac:dyDescent="0.25">
      <c r="E2435" s="17"/>
      <c r="F2435" s="17"/>
      <c r="G2435" s="17"/>
      <c r="H2435" s="17"/>
      <c r="J2435" s="17"/>
      <c r="K2435" s="17"/>
      <c r="L2435" s="17"/>
      <c r="M2435" s="17"/>
      <c r="N2435" s="17"/>
      <c r="O2435" s="17"/>
    </row>
    <row r="2436" spans="5:15" x14ac:dyDescent="0.25">
      <c r="E2436" s="17"/>
      <c r="F2436" s="17"/>
      <c r="G2436" s="17"/>
      <c r="H2436" s="17"/>
      <c r="J2436" s="17"/>
      <c r="K2436" s="17"/>
      <c r="L2436" s="17"/>
      <c r="M2436" s="17"/>
      <c r="N2436" s="17"/>
      <c r="O2436" s="17"/>
    </row>
    <row r="2437" spans="5:15" x14ac:dyDescent="0.25">
      <c r="E2437" s="17"/>
      <c r="F2437" s="17"/>
      <c r="G2437" s="17"/>
      <c r="H2437" s="17"/>
      <c r="J2437" s="17"/>
      <c r="K2437" s="17"/>
      <c r="L2437" s="17"/>
      <c r="M2437" s="17"/>
      <c r="N2437" s="17"/>
      <c r="O2437" s="17"/>
    </row>
    <row r="2438" spans="5:15" x14ac:dyDescent="0.25">
      <c r="E2438" s="17"/>
      <c r="F2438" s="17"/>
      <c r="G2438" s="17"/>
      <c r="H2438" s="17"/>
      <c r="J2438" s="17"/>
      <c r="K2438" s="17"/>
      <c r="L2438" s="17"/>
      <c r="M2438" s="17"/>
      <c r="N2438" s="17"/>
      <c r="O2438" s="17"/>
    </row>
    <row r="2439" spans="5:15" x14ac:dyDescent="0.25">
      <c r="E2439" s="17"/>
      <c r="F2439" s="17"/>
      <c r="G2439" s="17"/>
      <c r="H2439" s="17"/>
      <c r="J2439" s="17"/>
      <c r="K2439" s="17"/>
      <c r="L2439" s="17"/>
      <c r="M2439" s="17"/>
      <c r="N2439" s="17"/>
      <c r="O2439" s="17"/>
    </row>
    <row r="2440" spans="5:15" x14ac:dyDescent="0.25">
      <c r="E2440" s="17"/>
      <c r="F2440" s="17"/>
      <c r="G2440" s="17"/>
      <c r="H2440" s="17"/>
      <c r="J2440" s="17"/>
      <c r="K2440" s="17"/>
      <c r="L2440" s="17"/>
      <c r="M2440" s="17"/>
      <c r="N2440" s="17"/>
      <c r="O2440" s="17"/>
    </row>
    <row r="2441" spans="5:15" x14ac:dyDescent="0.25">
      <c r="E2441" s="17"/>
      <c r="F2441" s="17"/>
      <c r="G2441" s="17"/>
      <c r="H2441" s="17"/>
      <c r="J2441" s="17"/>
      <c r="K2441" s="17"/>
      <c r="L2441" s="17"/>
      <c r="M2441" s="17"/>
      <c r="N2441" s="17"/>
      <c r="O2441" s="17"/>
    </row>
    <row r="2442" spans="5:15" x14ac:dyDescent="0.25">
      <c r="E2442" s="17"/>
      <c r="F2442" s="17"/>
      <c r="G2442" s="17"/>
      <c r="H2442" s="17"/>
      <c r="J2442" s="17"/>
      <c r="K2442" s="17"/>
      <c r="L2442" s="17"/>
      <c r="M2442" s="17"/>
      <c r="N2442" s="17"/>
      <c r="O2442" s="17"/>
    </row>
    <row r="2443" spans="5:15" x14ac:dyDescent="0.25">
      <c r="E2443" s="17"/>
      <c r="F2443" s="17"/>
      <c r="G2443" s="17"/>
      <c r="H2443" s="17"/>
      <c r="J2443" s="17"/>
      <c r="K2443" s="17"/>
      <c r="L2443" s="17"/>
      <c r="M2443" s="17"/>
      <c r="N2443" s="17"/>
      <c r="O2443" s="17"/>
    </row>
    <row r="2444" spans="5:15" x14ac:dyDescent="0.25">
      <c r="E2444" s="17"/>
      <c r="F2444" s="17"/>
      <c r="G2444" s="17"/>
      <c r="H2444" s="17"/>
      <c r="J2444" s="17"/>
      <c r="K2444" s="17"/>
      <c r="L2444" s="17"/>
      <c r="M2444" s="17"/>
      <c r="N2444" s="17"/>
      <c r="O2444" s="17"/>
    </row>
    <row r="2445" spans="5:15" x14ac:dyDescent="0.25">
      <c r="E2445" s="17"/>
      <c r="F2445" s="17"/>
      <c r="G2445" s="17"/>
      <c r="H2445" s="17"/>
      <c r="J2445" s="17"/>
      <c r="K2445" s="17"/>
      <c r="L2445" s="17"/>
      <c r="M2445" s="17"/>
      <c r="N2445" s="17"/>
      <c r="O2445" s="17"/>
    </row>
    <row r="2446" spans="5:15" x14ac:dyDescent="0.25">
      <c r="E2446" s="17"/>
      <c r="F2446" s="17"/>
      <c r="G2446" s="17"/>
      <c r="H2446" s="17"/>
      <c r="J2446" s="17"/>
      <c r="K2446" s="17"/>
      <c r="L2446" s="17"/>
      <c r="M2446" s="17"/>
      <c r="N2446" s="17"/>
      <c r="O2446" s="17"/>
    </row>
    <row r="2447" spans="5:15" x14ac:dyDescent="0.25">
      <c r="E2447" s="17"/>
      <c r="F2447" s="17"/>
      <c r="G2447" s="17"/>
      <c r="H2447" s="17"/>
      <c r="J2447" s="17"/>
      <c r="K2447" s="17"/>
      <c r="L2447" s="17"/>
      <c r="M2447" s="17"/>
      <c r="N2447" s="17"/>
      <c r="O2447" s="17"/>
    </row>
    <row r="2448" spans="5:15" x14ac:dyDescent="0.25">
      <c r="E2448" s="17"/>
      <c r="F2448" s="17"/>
      <c r="G2448" s="17"/>
      <c r="H2448" s="17"/>
      <c r="J2448" s="17"/>
      <c r="K2448" s="17"/>
      <c r="L2448" s="17"/>
      <c r="M2448" s="17"/>
      <c r="N2448" s="17"/>
      <c r="O2448" s="17"/>
    </row>
    <row r="2449" spans="5:15" x14ac:dyDescent="0.25">
      <c r="E2449" s="17"/>
      <c r="F2449" s="17"/>
      <c r="G2449" s="17"/>
      <c r="H2449" s="17"/>
      <c r="J2449" s="17"/>
      <c r="K2449" s="17"/>
      <c r="L2449" s="17"/>
      <c r="M2449" s="17"/>
      <c r="N2449" s="17"/>
      <c r="O2449" s="17"/>
    </row>
    <row r="2450" spans="5:15" x14ac:dyDescent="0.25">
      <c r="E2450" s="17"/>
      <c r="F2450" s="17"/>
      <c r="G2450" s="17"/>
      <c r="H2450" s="17"/>
      <c r="J2450" s="17"/>
      <c r="K2450" s="17"/>
      <c r="L2450" s="17"/>
      <c r="M2450" s="17"/>
      <c r="N2450" s="17"/>
      <c r="O2450" s="17"/>
    </row>
    <row r="2451" spans="5:15" x14ac:dyDescent="0.25">
      <c r="E2451" s="17"/>
      <c r="F2451" s="17"/>
      <c r="G2451" s="17"/>
      <c r="H2451" s="17"/>
      <c r="J2451" s="17"/>
      <c r="K2451" s="17"/>
      <c r="L2451" s="17"/>
      <c r="M2451" s="17"/>
      <c r="N2451" s="17"/>
      <c r="O2451" s="17"/>
    </row>
    <row r="2452" spans="5:15" x14ac:dyDescent="0.25">
      <c r="E2452" s="17"/>
      <c r="F2452" s="17"/>
      <c r="G2452" s="17"/>
      <c r="H2452" s="17"/>
      <c r="J2452" s="17"/>
      <c r="K2452" s="17"/>
      <c r="L2452" s="17"/>
      <c r="M2452" s="17"/>
      <c r="N2452" s="17"/>
      <c r="O2452" s="17"/>
    </row>
    <row r="2453" spans="5:15" x14ac:dyDescent="0.25">
      <c r="E2453" s="17"/>
      <c r="F2453" s="17"/>
      <c r="G2453" s="17"/>
      <c r="H2453" s="17"/>
      <c r="J2453" s="17"/>
      <c r="K2453" s="17"/>
      <c r="L2453" s="17"/>
      <c r="M2453" s="17"/>
      <c r="N2453" s="17"/>
      <c r="O2453" s="17"/>
    </row>
    <row r="2454" spans="5:15" x14ac:dyDescent="0.25">
      <c r="E2454" s="17"/>
      <c r="F2454" s="17"/>
      <c r="G2454" s="17"/>
      <c r="H2454" s="17"/>
      <c r="J2454" s="17"/>
      <c r="K2454" s="17"/>
      <c r="L2454" s="17"/>
      <c r="M2454" s="17"/>
      <c r="N2454" s="17"/>
      <c r="O2454" s="17"/>
    </row>
    <row r="2455" spans="5:15" x14ac:dyDescent="0.25">
      <c r="E2455" s="17"/>
      <c r="F2455" s="17"/>
      <c r="G2455" s="17"/>
      <c r="H2455" s="17"/>
      <c r="J2455" s="17"/>
      <c r="K2455" s="17"/>
      <c r="L2455" s="17"/>
      <c r="M2455" s="17"/>
      <c r="N2455" s="17"/>
      <c r="O2455" s="17"/>
    </row>
    <row r="2456" spans="5:15" x14ac:dyDescent="0.25">
      <c r="E2456" s="17"/>
      <c r="F2456" s="17"/>
      <c r="G2456" s="17"/>
      <c r="H2456" s="17"/>
      <c r="J2456" s="17"/>
      <c r="K2456" s="17"/>
      <c r="L2456" s="17"/>
      <c r="M2456" s="17"/>
      <c r="N2456" s="17"/>
      <c r="O2456" s="17"/>
    </row>
    <row r="2457" spans="5:15" x14ac:dyDescent="0.25">
      <c r="E2457" s="17"/>
      <c r="F2457" s="17"/>
      <c r="G2457" s="17"/>
      <c r="H2457" s="17"/>
      <c r="J2457" s="17"/>
      <c r="K2457" s="17"/>
      <c r="L2457" s="17"/>
      <c r="M2457" s="17"/>
      <c r="N2457" s="17"/>
      <c r="O2457" s="17"/>
    </row>
    <row r="2458" spans="5:15" x14ac:dyDescent="0.25">
      <c r="E2458" s="17"/>
      <c r="F2458" s="17"/>
      <c r="G2458" s="17"/>
      <c r="H2458" s="17"/>
      <c r="J2458" s="17"/>
      <c r="K2458" s="17"/>
      <c r="L2458" s="17"/>
      <c r="M2458" s="17"/>
      <c r="N2458" s="17"/>
      <c r="O2458" s="17"/>
    </row>
    <row r="2459" spans="5:15" x14ac:dyDescent="0.25">
      <c r="E2459" s="17"/>
      <c r="F2459" s="17"/>
      <c r="G2459" s="17"/>
      <c r="H2459" s="17"/>
      <c r="J2459" s="17"/>
      <c r="K2459" s="17"/>
      <c r="L2459" s="17"/>
      <c r="M2459" s="17"/>
      <c r="N2459" s="17"/>
      <c r="O2459" s="17"/>
    </row>
    <row r="2460" spans="5:15" x14ac:dyDescent="0.25">
      <c r="E2460" s="17"/>
      <c r="F2460" s="17"/>
      <c r="G2460" s="17"/>
      <c r="H2460" s="17"/>
      <c r="J2460" s="17"/>
      <c r="K2460" s="17"/>
      <c r="L2460" s="17"/>
      <c r="M2460" s="17"/>
      <c r="N2460" s="17"/>
      <c r="O2460" s="17"/>
    </row>
    <row r="2461" spans="5:15" x14ac:dyDescent="0.25">
      <c r="E2461" s="17"/>
      <c r="F2461" s="17"/>
      <c r="G2461" s="17"/>
      <c r="H2461" s="17"/>
      <c r="J2461" s="17"/>
      <c r="K2461" s="17"/>
      <c r="L2461" s="17"/>
      <c r="M2461" s="17"/>
      <c r="N2461" s="17"/>
      <c r="O2461" s="17"/>
    </row>
    <row r="2462" spans="5:15" x14ac:dyDescent="0.25">
      <c r="E2462" s="17"/>
      <c r="F2462" s="17"/>
      <c r="G2462" s="17"/>
      <c r="H2462" s="17"/>
      <c r="J2462" s="17"/>
      <c r="K2462" s="17"/>
      <c r="L2462" s="17"/>
      <c r="M2462" s="17"/>
      <c r="N2462" s="17"/>
      <c r="O2462" s="17"/>
    </row>
    <row r="2463" spans="5:15" x14ac:dyDescent="0.25">
      <c r="E2463" s="17"/>
      <c r="F2463" s="17"/>
      <c r="G2463" s="17"/>
      <c r="H2463" s="17"/>
      <c r="J2463" s="17"/>
      <c r="K2463" s="17"/>
      <c r="L2463" s="17"/>
      <c r="M2463" s="17"/>
      <c r="N2463" s="17"/>
      <c r="O2463" s="17"/>
    </row>
    <row r="2464" spans="5:15" x14ac:dyDescent="0.25">
      <c r="E2464" s="17"/>
      <c r="F2464" s="17"/>
      <c r="G2464" s="17"/>
      <c r="H2464" s="17"/>
      <c r="J2464" s="17"/>
      <c r="K2464" s="17"/>
      <c r="L2464" s="17"/>
      <c r="M2464" s="17"/>
      <c r="N2464" s="17"/>
      <c r="O2464" s="17"/>
    </row>
    <row r="2465" spans="5:15" x14ac:dyDescent="0.25">
      <c r="E2465" s="17"/>
      <c r="F2465" s="17"/>
      <c r="G2465" s="17"/>
      <c r="H2465" s="17"/>
      <c r="J2465" s="17"/>
      <c r="K2465" s="17"/>
      <c r="L2465" s="17"/>
      <c r="M2465" s="17"/>
      <c r="N2465" s="17"/>
      <c r="O2465" s="17"/>
    </row>
    <row r="2466" spans="5:15" x14ac:dyDescent="0.25">
      <c r="E2466" s="17"/>
      <c r="F2466" s="17"/>
      <c r="G2466" s="17"/>
      <c r="H2466" s="17"/>
      <c r="J2466" s="17"/>
      <c r="K2466" s="17"/>
      <c r="L2466" s="17"/>
      <c r="M2466" s="17"/>
      <c r="N2466" s="17"/>
      <c r="O2466" s="17"/>
    </row>
    <row r="2467" spans="5:15" x14ac:dyDescent="0.25">
      <c r="E2467" s="17"/>
      <c r="F2467" s="17"/>
      <c r="G2467" s="17"/>
      <c r="H2467" s="17"/>
      <c r="J2467" s="17"/>
      <c r="K2467" s="17"/>
      <c r="L2467" s="17"/>
      <c r="M2467" s="17"/>
      <c r="N2467" s="17"/>
      <c r="O2467" s="17"/>
    </row>
    <row r="2468" spans="5:15" x14ac:dyDescent="0.25">
      <c r="E2468" s="17"/>
      <c r="F2468" s="17"/>
      <c r="G2468" s="17"/>
      <c r="H2468" s="17"/>
      <c r="J2468" s="17"/>
      <c r="K2468" s="17"/>
      <c r="L2468" s="17"/>
      <c r="M2468" s="17"/>
      <c r="N2468" s="17"/>
      <c r="O2468" s="17"/>
    </row>
    <row r="2469" spans="5:15" x14ac:dyDescent="0.25">
      <c r="E2469" s="17"/>
      <c r="F2469" s="17"/>
      <c r="G2469" s="17"/>
      <c r="H2469" s="17"/>
      <c r="J2469" s="17"/>
      <c r="K2469" s="17"/>
      <c r="L2469" s="17"/>
      <c r="M2469" s="17"/>
      <c r="N2469" s="17"/>
      <c r="O2469" s="17"/>
    </row>
    <row r="2470" spans="5:15" x14ac:dyDescent="0.25">
      <c r="E2470" s="17"/>
      <c r="F2470" s="17"/>
      <c r="G2470" s="17"/>
      <c r="H2470" s="17"/>
      <c r="J2470" s="17"/>
      <c r="K2470" s="17"/>
      <c r="L2470" s="17"/>
      <c r="M2470" s="17"/>
      <c r="N2470" s="17"/>
      <c r="O2470" s="17"/>
    </row>
    <row r="2471" spans="5:15" x14ac:dyDescent="0.25">
      <c r="E2471" s="17"/>
      <c r="F2471" s="17"/>
      <c r="G2471" s="17"/>
      <c r="H2471" s="17"/>
      <c r="J2471" s="17"/>
      <c r="K2471" s="17"/>
      <c r="L2471" s="17"/>
      <c r="M2471" s="17"/>
      <c r="N2471" s="17"/>
      <c r="O2471" s="17"/>
    </row>
    <row r="2472" spans="5:15" x14ac:dyDescent="0.25">
      <c r="E2472" s="17"/>
      <c r="F2472" s="17"/>
      <c r="G2472" s="17"/>
      <c r="H2472" s="17"/>
      <c r="J2472" s="17"/>
      <c r="K2472" s="17"/>
      <c r="L2472" s="17"/>
      <c r="M2472" s="17"/>
      <c r="N2472" s="17"/>
      <c r="O2472" s="17"/>
    </row>
    <row r="2473" spans="5:15" x14ac:dyDescent="0.25">
      <c r="E2473" s="17"/>
      <c r="F2473" s="17"/>
      <c r="G2473" s="17"/>
      <c r="H2473" s="17"/>
      <c r="J2473" s="17"/>
      <c r="K2473" s="17"/>
      <c r="L2473" s="17"/>
      <c r="M2473" s="17"/>
      <c r="N2473" s="17"/>
      <c r="O2473" s="17"/>
    </row>
    <row r="2474" spans="5:15" x14ac:dyDescent="0.25">
      <c r="E2474" s="17"/>
      <c r="F2474" s="17"/>
      <c r="G2474" s="17"/>
      <c r="H2474" s="17"/>
      <c r="J2474" s="17"/>
      <c r="K2474" s="17"/>
      <c r="L2474" s="17"/>
      <c r="M2474" s="17"/>
      <c r="N2474" s="17"/>
      <c r="O2474" s="17"/>
    </row>
    <row r="2475" spans="5:15" x14ac:dyDescent="0.25">
      <c r="E2475" s="17"/>
      <c r="F2475" s="17"/>
      <c r="G2475" s="17"/>
      <c r="H2475" s="17"/>
      <c r="J2475" s="17"/>
      <c r="K2475" s="17"/>
      <c r="L2475" s="17"/>
      <c r="M2475" s="17"/>
      <c r="N2475" s="17"/>
      <c r="O2475" s="17"/>
    </row>
    <row r="2476" spans="5:15" x14ac:dyDescent="0.25">
      <c r="E2476" s="17"/>
      <c r="F2476" s="17"/>
      <c r="G2476" s="17"/>
      <c r="H2476" s="17"/>
      <c r="J2476" s="17"/>
      <c r="K2476" s="17"/>
      <c r="L2476" s="17"/>
      <c r="M2476" s="17"/>
      <c r="N2476" s="17"/>
      <c r="O2476" s="17"/>
    </row>
    <row r="2477" spans="5:15" x14ac:dyDescent="0.25">
      <c r="E2477" s="17"/>
      <c r="F2477" s="17"/>
      <c r="G2477" s="17"/>
      <c r="H2477" s="17"/>
      <c r="J2477" s="17"/>
      <c r="K2477" s="17"/>
      <c r="L2477" s="17"/>
      <c r="M2477" s="17"/>
      <c r="N2477" s="17"/>
      <c r="O2477" s="17"/>
    </row>
    <row r="2478" spans="5:15" x14ac:dyDescent="0.25">
      <c r="E2478" s="17"/>
      <c r="F2478" s="17"/>
      <c r="G2478" s="17"/>
      <c r="H2478" s="17"/>
      <c r="J2478" s="17"/>
      <c r="K2478" s="17"/>
      <c r="L2478" s="17"/>
      <c r="M2478" s="17"/>
      <c r="N2478" s="17"/>
      <c r="O2478" s="17"/>
    </row>
    <row r="2479" spans="5:15" x14ac:dyDescent="0.25">
      <c r="E2479" s="17"/>
      <c r="F2479" s="17"/>
      <c r="G2479" s="17"/>
      <c r="H2479" s="17"/>
      <c r="J2479" s="17"/>
      <c r="K2479" s="17"/>
      <c r="L2479" s="17"/>
      <c r="M2479" s="17"/>
      <c r="N2479" s="17"/>
      <c r="O2479" s="17"/>
    </row>
    <row r="2480" spans="5:15" x14ac:dyDescent="0.25">
      <c r="E2480" s="17"/>
      <c r="F2480" s="17"/>
      <c r="G2480" s="17"/>
      <c r="H2480" s="17"/>
      <c r="J2480" s="17"/>
      <c r="K2480" s="17"/>
      <c r="L2480" s="17"/>
      <c r="M2480" s="17"/>
      <c r="N2480" s="17"/>
      <c r="O2480" s="17"/>
    </row>
    <row r="2481" spans="5:15" x14ac:dyDescent="0.25">
      <c r="E2481" s="17"/>
      <c r="F2481" s="17"/>
      <c r="G2481" s="17"/>
      <c r="H2481" s="17"/>
      <c r="J2481" s="17"/>
      <c r="K2481" s="17"/>
      <c r="L2481" s="17"/>
      <c r="M2481" s="17"/>
      <c r="N2481" s="17"/>
      <c r="O2481" s="17"/>
    </row>
    <row r="2482" spans="5:15" x14ac:dyDescent="0.25">
      <c r="E2482" s="17"/>
      <c r="F2482" s="17"/>
      <c r="G2482" s="17"/>
      <c r="H2482" s="17"/>
      <c r="J2482" s="17"/>
      <c r="K2482" s="17"/>
      <c r="L2482" s="17"/>
      <c r="M2482" s="17"/>
      <c r="N2482" s="17"/>
      <c r="O2482" s="17"/>
    </row>
    <row r="2483" spans="5:15" x14ac:dyDescent="0.25">
      <c r="E2483" s="17"/>
      <c r="F2483" s="17"/>
      <c r="G2483" s="17"/>
      <c r="H2483" s="17"/>
      <c r="J2483" s="17"/>
      <c r="K2483" s="17"/>
      <c r="L2483" s="17"/>
      <c r="M2483" s="17"/>
      <c r="N2483" s="17"/>
      <c r="O2483" s="17"/>
    </row>
    <row r="2484" spans="5:15" x14ac:dyDescent="0.25">
      <c r="E2484" s="17"/>
      <c r="F2484" s="17"/>
      <c r="G2484" s="17"/>
      <c r="H2484" s="17"/>
      <c r="J2484" s="17"/>
      <c r="K2484" s="17"/>
      <c r="L2484" s="17"/>
      <c r="M2484" s="17"/>
      <c r="N2484" s="17"/>
      <c r="O2484" s="17"/>
    </row>
    <row r="2485" spans="5:15" x14ac:dyDescent="0.25">
      <c r="E2485" s="17"/>
      <c r="F2485" s="17"/>
      <c r="G2485" s="17"/>
      <c r="H2485" s="17"/>
      <c r="J2485" s="17"/>
      <c r="K2485" s="17"/>
      <c r="L2485" s="17"/>
      <c r="M2485" s="17"/>
      <c r="N2485" s="17"/>
      <c r="O2485" s="17"/>
    </row>
    <row r="2486" spans="5:15" x14ac:dyDescent="0.25">
      <c r="E2486" s="17"/>
      <c r="F2486" s="17"/>
      <c r="G2486" s="17"/>
      <c r="H2486" s="17"/>
      <c r="J2486" s="17"/>
      <c r="K2486" s="17"/>
      <c r="L2486" s="17"/>
      <c r="M2486" s="17"/>
      <c r="N2486" s="17"/>
      <c r="O2486" s="17"/>
    </row>
    <row r="2487" spans="5:15" x14ac:dyDescent="0.25">
      <c r="E2487" s="17"/>
      <c r="F2487" s="17"/>
      <c r="G2487" s="17"/>
      <c r="H2487" s="17"/>
      <c r="J2487" s="17"/>
      <c r="K2487" s="17"/>
      <c r="L2487" s="17"/>
      <c r="M2487" s="17"/>
      <c r="N2487" s="17"/>
      <c r="O2487" s="17"/>
    </row>
    <row r="2488" spans="5:15" x14ac:dyDescent="0.25">
      <c r="E2488" s="17"/>
      <c r="F2488" s="17"/>
      <c r="G2488" s="17"/>
      <c r="H2488" s="17"/>
      <c r="J2488" s="17"/>
      <c r="K2488" s="17"/>
      <c r="L2488" s="17"/>
      <c r="M2488" s="17"/>
      <c r="N2488" s="17"/>
      <c r="O2488" s="17"/>
    </row>
    <row r="2489" spans="5:15" x14ac:dyDescent="0.25">
      <c r="E2489" s="17"/>
      <c r="F2489" s="17"/>
      <c r="G2489" s="17"/>
      <c r="H2489" s="17"/>
      <c r="J2489" s="17"/>
      <c r="K2489" s="17"/>
      <c r="L2489" s="17"/>
      <c r="M2489" s="17"/>
      <c r="N2489" s="17"/>
      <c r="O2489" s="17"/>
    </row>
    <row r="2490" spans="5:15" x14ac:dyDescent="0.25">
      <c r="E2490" s="17"/>
      <c r="F2490" s="17"/>
      <c r="G2490" s="17"/>
      <c r="H2490" s="17"/>
      <c r="J2490" s="17"/>
      <c r="K2490" s="17"/>
      <c r="L2490" s="17"/>
      <c r="M2490" s="17"/>
      <c r="N2490" s="17"/>
      <c r="O2490" s="17"/>
    </row>
    <row r="2491" spans="5:15" x14ac:dyDescent="0.25">
      <c r="E2491" s="17"/>
      <c r="F2491" s="17"/>
      <c r="G2491" s="17"/>
      <c r="H2491" s="17"/>
      <c r="J2491" s="17"/>
      <c r="K2491" s="17"/>
      <c r="L2491" s="17"/>
      <c r="M2491" s="17"/>
      <c r="N2491" s="17"/>
      <c r="O2491" s="17"/>
    </row>
    <row r="2492" spans="5:15" x14ac:dyDescent="0.25">
      <c r="E2492" s="17"/>
      <c r="F2492" s="17"/>
      <c r="G2492" s="17"/>
      <c r="H2492" s="17"/>
      <c r="J2492" s="17"/>
      <c r="K2492" s="17"/>
      <c r="L2492" s="17"/>
      <c r="M2492" s="17"/>
      <c r="N2492" s="17"/>
      <c r="O2492" s="17"/>
    </row>
    <row r="2493" spans="5:15" x14ac:dyDescent="0.25">
      <c r="E2493" s="17"/>
      <c r="F2493" s="17"/>
      <c r="G2493" s="17"/>
      <c r="H2493" s="17"/>
      <c r="J2493" s="17"/>
      <c r="K2493" s="17"/>
      <c r="L2493" s="17"/>
      <c r="M2493" s="17"/>
      <c r="N2493" s="17"/>
      <c r="O2493" s="17"/>
    </row>
    <row r="2494" spans="5:15" x14ac:dyDescent="0.25">
      <c r="E2494" s="17"/>
      <c r="F2494" s="17"/>
      <c r="G2494" s="17"/>
      <c r="H2494" s="17"/>
      <c r="J2494" s="17"/>
      <c r="K2494" s="17"/>
      <c r="L2494" s="17"/>
      <c r="M2494" s="17"/>
      <c r="N2494" s="17"/>
      <c r="O2494" s="17"/>
    </row>
    <row r="2495" spans="5:15" x14ac:dyDescent="0.25">
      <c r="E2495" s="17"/>
      <c r="F2495" s="17"/>
      <c r="G2495" s="17"/>
      <c r="H2495" s="17"/>
      <c r="J2495" s="17"/>
      <c r="K2495" s="17"/>
      <c r="L2495" s="17"/>
      <c r="M2495" s="17"/>
      <c r="N2495" s="17"/>
      <c r="O2495" s="17"/>
    </row>
    <row r="2496" spans="5:15" x14ac:dyDescent="0.25">
      <c r="E2496" s="17"/>
      <c r="F2496" s="17"/>
      <c r="G2496" s="17"/>
      <c r="H2496" s="17"/>
      <c r="J2496" s="17"/>
      <c r="K2496" s="17"/>
      <c r="L2496" s="17"/>
      <c r="M2496" s="17"/>
      <c r="N2496" s="17"/>
      <c r="O2496" s="17"/>
    </row>
    <row r="2497" spans="5:15" x14ac:dyDescent="0.25">
      <c r="E2497" s="17"/>
      <c r="F2497" s="17"/>
      <c r="G2497" s="17"/>
      <c r="H2497" s="17"/>
      <c r="J2497" s="17"/>
      <c r="K2497" s="17"/>
      <c r="L2497" s="17"/>
      <c r="M2497" s="17"/>
      <c r="N2497" s="17"/>
      <c r="O2497" s="17"/>
    </row>
    <row r="2498" spans="5:15" x14ac:dyDescent="0.25">
      <c r="E2498" s="17"/>
      <c r="F2498" s="17"/>
      <c r="G2498" s="17"/>
      <c r="H2498" s="17"/>
      <c r="J2498" s="17"/>
      <c r="K2498" s="17"/>
      <c r="L2498" s="17"/>
      <c r="M2498" s="17"/>
      <c r="N2498" s="17"/>
      <c r="O2498" s="17"/>
    </row>
    <row r="2499" spans="5:15" x14ac:dyDescent="0.25">
      <c r="E2499" s="17"/>
      <c r="F2499" s="17"/>
      <c r="G2499" s="17"/>
      <c r="H2499" s="17"/>
      <c r="J2499" s="17"/>
      <c r="K2499" s="17"/>
      <c r="L2499" s="17"/>
      <c r="M2499" s="17"/>
      <c r="N2499" s="17"/>
      <c r="O2499" s="17"/>
    </row>
    <row r="2500" spans="5:15" x14ac:dyDescent="0.25">
      <c r="E2500" s="17"/>
      <c r="F2500" s="17"/>
      <c r="G2500" s="17"/>
      <c r="H2500" s="17"/>
      <c r="J2500" s="17"/>
      <c r="K2500" s="17"/>
      <c r="L2500" s="17"/>
      <c r="M2500" s="17"/>
      <c r="N2500" s="17"/>
      <c r="O2500" s="17"/>
    </row>
    <row r="2501" spans="5:15" x14ac:dyDescent="0.25">
      <c r="E2501" s="17"/>
      <c r="F2501" s="17"/>
      <c r="G2501" s="17"/>
      <c r="H2501" s="17"/>
      <c r="J2501" s="17"/>
      <c r="K2501" s="17"/>
      <c r="L2501" s="17"/>
      <c r="M2501" s="17"/>
      <c r="N2501" s="17"/>
      <c r="O2501" s="17"/>
    </row>
    <row r="2502" spans="5:15" x14ac:dyDescent="0.25">
      <c r="E2502" s="17"/>
      <c r="F2502" s="17"/>
      <c r="G2502" s="17"/>
      <c r="H2502" s="17"/>
      <c r="J2502" s="17"/>
      <c r="K2502" s="17"/>
      <c r="L2502" s="17"/>
      <c r="M2502" s="17"/>
      <c r="N2502" s="17"/>
      <c r="O2502" s="17"/>
    </row>
    <row r="2503" spans="5:15" x14ac:dyDescent="0.25">
      <c r="E2503" s="17"/>
      <c r="F2503" s="17"/>
      <c r="G2503" s="17"/>
      <c r="H2503" s="17"/>
      <c r="J2503" s="17"/>
      <c r="K2503" s="17"/>
      <c r="L2503" s="17"/>
      <c r="M2503" s="17"/>
      <c r="N2503" s="17"/>
      <c r="O2503" s="17"/>
    </row>
    <row r="2504" spans="5:15" x14ac:dyDescent="0.25">
      <c r="E2504" s="17"/>
      <c r="F2504" s="17"/>
      <c r="G2504" s="17"/>
      <c r="H2504" s="17"/>
      <c r="J2504" s="17"/>
      <c r="K2504" s="17"/>
      <c r="L2504" s="17"/>
      <c r="M2504" s="17"/>
      <c r="N2504" s="17"/>
      <c r="O2504" s="17"/>
    </row>
    <row r="2505" spans="5:15" x14ac:dyDescent="0.25">
      <c r="E2505" s="17"/>
      <c r="F2505" s="17"/>
      <c r="G2505" s="17"/>
      <c r="H2505" s="17"/>
      <c r="J2505" s="17"/>
      <c r="K2505" s="17"/>
      <c r="L2505" s="17"/>
      <c r="M2505" s="17"/>
      <c r="N2505" s="17"/>
      <c r="O2505" s="17"/>
    </row>
    <row r="2506" spans="5:15" x14ac:dyDescent="0.25">
      <c r="E2506" s="17"/>
      <c r="F2506" s="17"/>
      <c r="G2506" s="17"/>
      <c r="H2506" s="17"/>
      <c r="J2506" s="17"/>
      <c r="K2506" s="17"/>
      <c r="L2506" s="17"/>
      <c r="M2506" s="17"/>
      <c r="N2506" s="17"/>
      <c r="O2506" s="17"/>
    </row>
    <row r="2507" spans="5:15" x14ac:dyDescent="0.25">
      <c r="E2507" s="17"/>
      <c r="F2507" s="17"/>
      <c r="G2507" s="17"/>
      <c r="H2507" s="17"/>
      <c r="J2507" s="17"/>
      <c r="K2507" s="17"/>
      <c r="L2507" s="17"/>
      <c r="M2507" s="17"/>
      <c r="N2507" s="17"/>
      <c r="O2507" s="17"/>
    </row>
    <row r="2508" spans="5:15" x14ac:dyDescent="0.25">
      <c r="E2508" s="17"/>
      <c r="F2508" s="17"/>
      <c r="G2508" s="17"/>
      <c r="H2508" s="17"/>
      <c r="J2508" s="17"/>
      <c r="K2508" s="17"/>
      <c r="L2508" s="17"/>
      <c r="M2508" s="17"/>
      <c r="N2508" s="17"/>
      <c r="O2508" s="17"/>
    </row>
    <row r="2509" spans="5:15" x14ac:dyDescent="0.25">
      <c r="E2509" s="17"/>
      <c r="F2509" s="17"/>
      <c r="G2509" s="17"/>
      <c r="H2509" s="17"/>
      <c r="J2509" s="17"/>
      <c r="K2509" s="17"/>
      <c r="L2509" s="17"/>
      <c r="M2509" s="17"/>
      <c r="N2509" s="17"/>
      <c r="O2509" s="17"/>
    </row>
    <row r="2510" spans="5:15" x14ac:dyDescent="0.25">
      <c r="E2510" s="17"/>
      <c r="F2510" s="17"/>
      <c r="G2510" s="17"/>
      <c r="H2510" s="17"/>
      <c r="J2510" s="17"/>
      <c r="K2510" s="17"/>
      <c r="L2510" s="17"/>
      <c r="M2510" s="17"/>
      <c r="N2510" s="17"/>
      <c r="O2510" s="17"/>
    </row>
    <row r="2511" spans="5:15" x14ac:dyDescent="0.25">
      <c r="E2511" s="17"/>
      <c r="F2511" s="17"/>
      <c r="G2511" s="17"/>
      <c r="H2511" s="17"/>
      <c r="J2511" s="17"/>
      <c r="K2511" s="17"/>
      <c r="L2511" s="17"/>
      <c r="M2511" s="17"/>
      <c r="N2511" s="17"/>
      <c r="O2511" s="17"/>
    </row>
    <row r="2512" spans="5:15" x14ac:dyDescent="0.25">
      <c r="E2512" s="17"/>
      <c r="F2512" s="17"/>
      <c r="G2512" s="17"/>
      <c r="H2512" s="17"/>
      <c r="J2512" s="17"/>
      <c r="K2512" s="17"/>
      <c r="L2512" s="17"/>
      <c r="M2512" s="17"/>
      <c r="N2512" s="17"/>
      <c r="O2512" s="17"/>
    </row>
    <row r="2513" spans="5:15" x14ac:dyDescent="0.25">
      <c r="E2513" s="17"/>
      <c r="F2513" s="17"/>
      <c r="G2513" s="17"/>
      <c r="H2513" s="17"/>
      <c r="J2513" s="17"/>
      <c r="K2513" s="17"/>
      <c r="L2513" s="17"/>
      <c r="M2513" s="17"/>
      <c r="N2513" s="17"/>
      <c r="O2513" s="17"/>
    </row>
    <row r="2514" spans="5:15" x14ac:dyDescent="0.25">
      <c r="E2514" s="17"/>
      <c r="F2514" s="17"/>
      <c r="G2514" s="17"/>
      <c r="H2514" s="17"/>
      <c r="J2514" s="17"/>
      <c r="K2514" s="17"/>
      <c r="L2514" s="17"/>
      <c r="M2514" s="17"/>
      <c r="N2514" s="17"/>
      <c r="O2514" s="17"/>
    </row>
    <row r="2515" spans="5:15" x14ac:dyDescent="0.25">
      <c r="E2515" s="17"/>
      <c r="F2515" s="17"/>
      <c r="G2515" s="17"/>
      <c r="H2515" s="17"/>
      <c r="J2515" s="17"/>
      <c r="K2515" s="17"/>
      <c r="L2515" s="17"/>
      <c r="M2515" s="17"/>
      <c r="N2515" s="17"/>
      <c r="O2515" s="17"/>
    </row>
    <row r="2516" spans="5:15" x14ac:dyDescent="0.25">
      <c r="E2516" s="17"/>
      <c r="F2516" s="17"/>
      <c r="G2516" s="17"/>
      <c r="H2516" s="17"/>
      <c r="J2516" s="17"/>
      <c r="K2516" s="17"/>
      <c r="L2516" s="17"/>
      <c r="M2516" s="17"/>
      <c r="N2516" s="17"/>
      <c r="O2516" s="17"/>
    </row>
    <row r="2517" spans="5:15" x14ac:dyDescent="0.25">
      <c r="E2517" s="17"/>
      <c r="F2517" s="17"/>
      <c r="G2517" s="17"/>
      <c r="H2517" s="17"/>
      <c r="J2517" s="17"/>
      <c r="K2517" s="17"/>
      <c r="L2517" s="17"/>
      <c r="M2517" s="17"/>
      <c r="N2517" s="17"/>
      <c r="O2517" s="17"/>
    </row>
    <row r="2518" spans="5:15" x14ac:dyDescent="0.25">
      <c r="E2518" s="17"/>
      <c r="F2518" s="17"/>
      <c r="G2518" s="17"/>
      <c r="H2518" s="17"/>
      <c r="J2518" s="17"/>
      <c r="K2518" s="17"/>
      <c r="L2518" s="17"/>
      <c r="M2518" s="17"/>
      <c r="N2518" s="17"/>
      <c r="O2518" s="17"/>
    </row>
    <row r="2519" spans="5:15" x14ac:dyDescent="0.25">
      <c r="E2519" s="17"/>
      <c r="F2519" s="17"/>
      <c r="G2519" s="17"/>
      <c r="H2519" s="17"/>
      <c r="J2519" s="17"/>
      <c r="K2519" s="17"/>
      <c r="L2519" s="17"/>
      <c r="M2519" s="17"/>
      <c r="N2519" s="17"/>
      <c r="O2519" s="17"/>
    </row>
    <row r="2520" spans="5:15" x14ac:dyDescent="0.25">
      <c r="E2520" s="17"/>
      <c r="F2520" s="17"/>
      <c r="G2520" s="17"/>
      <c r="H2520" s="17"/>
      <c r="J2520" s="17"/>
      <c r="K2520" s="17"/>
      <c r="L2520" s="17"/>
      <c r="M2520" s="17"/>
      <c r="N2520" s="17"/>
      <c r="O2520" s="17"/>
    </row>
    <row r="2521" spans="5:15" x14ac:dyDescent="0.25">
      <c r="E2521" s="17"/>
      <c r="F2521" s="17"/>
      <c r="G2521" s="17"/>
      <c r="H2521" s="17"/>
      <c r="J2521" s="17"/>
      <c r="K2521" s="17"/>
      <c r="L2521" s="17"/>
      <c r="M2521" s="17"/>
      <c r="N2521" s="17"/>
      <c r="O2521" s="17"/>
    </row>
    <row r="2522" spans="5:15" x14ac:dyDescent="0.25">
      <c r="E2522" s="17"/>
      <c r="F2522" s="17"/>
      <c r="G2522" s="17"/>
      <c r="H2522" s="17"/>
      <c r="J2522" s="17"/>
      <c r="K2522" s="17"/>
      <c r="L2522" s="17"/>
      <c r="M2522" s="17"/>
      <c r="N2522" s="17"/>
      <c r="O2522" s="17"/>
    </row>
    <row r="2523" spans="5:15" x14ac:dyDescent="0.25">
      <c r="E2523" s="17"/>
      <c r="F2523" s="17"/>
      <c r="G2523" s="17"/>
      <c r="H2523" s="17"/>
      <c r="J2523" s="17"/>
      <c r="K2523" s="17"/>
      <c r="L2523" s="17"/>
      <c r="M2523" s="17"/>
      <c r="N2523" s="17"/>
      <c r="O2523" s="17"/>
    </row>
    <row r="2524" spans="5:15" x14ac:dyDescent="0.25">
      <c r="E2524" s="17"/>
      <c r="F2524" s="17"/>
      <c r="G2524" s="17"/>
      <c r="H2524" s="17"/>
      <c r="J2524" s="17"/>
      <c r="K2524" s="17"/>
      <c r="L2524" s="17"/>
      <c r="M2524" s="17"/>
      <c r="N2524" s="17"/>
      <c r="O2524" s="17"/>
    </row>
    <row r="2525" spans="5:15" x14ac:dyDescent="0.25">
      <c r="E2525" s="17"/>
      <c r="F2525" s="17"/>
      <c r="G2525" s="17"/>
      <c r="H2525" s="17"/>
      <c r="J2525" s="17"/>
      <c r="K2525" s="17"/>
      <c r="L2525" s="17"/>
      <c r="M2525" s="17"/>
      <c r="N2525" s="17"/>
      <c r="O2525" s="17"/>
    </row>
    <row r="2526" spans="5:15" x14ac:dyDescent="0.25">
      <c r="E2526" s="17"/>
      <c r="F2526" s="17"/>
      <c r="G2526" s="17"/>
      <c r="H2526" s="17"/>
      <c r="J2526" s="17"/>
      <c r="K2526" s="17"/>
      <c r="L2526" s="17"/>
      <c r="M2526" s="17"/>
      <c r="N2526" s="17"/>
      <c r="O2526" s="17"/>
    </row>
    <row r="2527" spans="5:15" x14ac:dyDescent="0.25">
      <c r="E2527" s="17"/>
      <c r="F2527" s="17"/>
      <c r="G2527" s="17"/>
      <c r="H2527" s="17"/>
      <c r="J2527" s="17"/>
      <c r="K2527" s="17"/>
      <c r="L2527" s="17"/>
      <c r="M2527" s="17"/>
      <c r="N2527" s="17"/>
      <c r="O2527" s="17"/>
    </row>
    <row r="2528" spans="5:15" x14ac:dyDescent="0.25">
      <c r="E2528" s="17"/>
      <c r="F2528" s="17"/>
      <c r="G2528" s="17"/>
      <c r="H2528" s="17"/>
      <c r="J2528" s="17"/>
      <c r="K2528" s="17"/>
      <c r="L2528" s="17"/>
      <c r="M2528" s="17"/>
      <c r="N2528" s="17"/>
      <c r="O2528" s="17"/>
    </row>
    <row r="2529" spans="5:15" x14ac:dyDescent="0.25">
      <c r="E2529" s="17"/>
      <c r="F2529" s="17"/>
      <c r="G2529" s="17"/>
      <c r="H2529" s="17"/>
      <c r="J2529" s="17"/>
      <c r="K2529" s="17"/>
      <c r="L2529" s="17"/>
      <c r="M2529" s="17"/>
      <c r="N2529" s="17"/>
      <c r="O2529" s="17"/>
    </row>
    <row r="2530" spans="5:15" x14ac:dyDescent="0.25">
      <c r="E2530" s="17"/>
      <c r="F2530" s="17"/>
      <c r="G2530" s="17"/>
      <c r="H2530" s="17"/>
      <c r="J2530" s="17"/>
      <c r="K2530" s="17"/>
      <c r="L2530" s="17"/>
      <c r="M2530" s="17"/>
      <c r="N2530" s="17"/>
      <c r="O2530" s="17"/>
    </row>
    <row r="2531" spans="5:15" x14ac:dyDescent="0.25">
      <c r="E2531" s="17"/>
      <c r="F2531" s="17"/>
      <c r="G2531" s="17"/>
      <c r="H2531" s="17"/>
      <c r="J2531" s="17"/>
      <c r="K2531" s="17"/>
      <c r="L2531" s="17"/>
      <c r="M2531" s="17"/>
      <c r="N2531" s="17"/>
      <c r="O2531" s="17"/>
    </row>
    <row r="2532" spans="5:15" x14ac:dyDescent="0.25">
      <c r="E2532" s="17"/>
      <c r="F2532" s="17"/>
      <c r="G2532" s="17"/>
      <c r="H2532" s="17"/>
      <c r="J2532" s="17"/>
      <c r="K2532" s="17"/>
      <c r="L2532" s="17"/>
      <c r="M2532" s="17"/>
      <c r="N2532" s="17"/>
      <c r="O2532" s="17"/>
    </row>
    <row r="2533" spans="5:15" x14ac:dyDescent="0.25">
      <c r="E2533" s="17"/>
      <c r="F2533" s="17"/>
      <c r="G2533" s="17"/>
      <c r="H2533" s="17"/>
      <c r="J2533" s="17"/>
      <c r="K2533" s="17"/>
      <c r="L2533" s="17"/>
      <c r="M2533" s="17"/>
      <c r="N2533" s="17"/>
      <c r="O2533" s="17"/>
    </row>
    <row r="2534" spans="5:15" x14ac:dyDescent="0.25">
      <c r="E2534" s="17"/>
      <c r="F2534" s="17"/>
      <c r="G2534" s="17"/>
      <c r="H2534" s="17"/>
      <c r="J2534" s="17"/>
      <c r="K2534" s="17"/>
      <c r="L2534" s="17"/>
      <c r="M2534" s="17"/>
      <c r="N2534" s="17"/>
      <c r="O2534" s="17"/>
    </row>
    <row r="2535" spans="5:15" x14ac:dyDescent="0.25">
      <c r="E2535" s="17"/>
      <c r="F2535" s="17"/>
      <c r="G2535" s="17"/>
      <c r="H2535" s="17"/>
      <c r="J2535" s="17"/>
      <c r="K2535" s="17"/>
      <c r="L2535" s="17"/>
      <c r="M2535" s="17"/>
      <c r="N2535" s="17"/>
      <c r="O2535" s="17"/>
    </row>
    <row r="2536" spans="5:15" x14ac:dyDescent="0.25">
      <c r="E2536" s="17"/>
      <c r="F2536" s="17"/>
      <c r="G2536" s="17"/>
      <c r="H2536" s="17"/>
      <c r="J2536" s="17"/>
      <c r="K2536" s="17"/>
      <c r="L2536" s="17"/>
      <c r="M2536" s="17"/>
      <c r="N2536" s="17"/>
      <c r="O2536" s="17"/>
    </row>
    <row r="2537" spans="5:15" x14ac:dyDescent="0.25">
      <c r="E2537" s="17"/>
      <c r="F2537" s="17"/>
      <c r="G2537" s="17"/>
      <c r="H2537" s="17"/>
      <c r="J2537" s="17"/>
      <c r="K2537" s="17"/>
      <c r="L2537" s="17"/>
      <c r="M2537" s="17"/>
      <c r="N2537" s="17"/>
      <c r="O2537" s="17"/>
    </row>
    <row r="2538" spans="5:15" x14ac:dyDescent="0.25">
      <c r="E2538" s="17"/>
      <c r="F2538" s="17"/>
      <c r="G2538" s="17"/>
      <c r="H2538" s="17"/>
      <c r="J2538" s="17"/>
      <c r="K2538" s="17"/>
      <c r="L2538" s="17"/>
      <c r="M2538" s="17"/>
      <c r="N2538" s="17"/>
      <c r="O2538" s="17"/>
    </row>
    <row r="2539" spans="5:15" x14ac:dyDescent="0.25">
      <c r="E2539" s="17"/>
      <c r="F2539" s="17"/>
      <c r="G2539" s="17"/>
      <c r="H2539" s="17"/>
      <c r="J2539" s="17"/>
      <c r="K2539" s="17"/>
      <c r="L2539" s="17"/>
      <c r="M2539" s="17"/>
      <c r="N2539" s="17"/>
      <c r="O2539" s="17"/>
    </row>
    <row r="2540" spans="5:15" x14ac:dyDescent="0.25">
      <c r="E2540" s="17"/>
      <c r="F2540" s="17"/>
      <c r="G2540" s="17"/>
      <c r="H2540" s="17"/>
      <c r="J2540" s="17"/>
      <c r="K2540" s="17"/>
      <c r="L2540" s="17"/>
      <c r="M2540" s="17"/>
      <c r="N2540" s="17"/>
      <c r="O2540" s="17"/>
    </row>
    <row r="2541" spans="5:15" x14ac:dyDescent="0.25">
      <c r="E2541" s="17"/>
      <c r="F2541" s="17"/>
      <c r="G2541" s="17"/>
      <c r="H2541" s="17"/>
      <c r="J2541" s="17"/>
      <c r="K2541" s="17"/>
      <c r="L2541" s="17"/>
      <c r="M2541" s="17"/>
      <c r="N2541" s="17"/>
      <c r="O2541" s="17"/>
    </row>
    <row r="2542" spans="5:15" x14ac:dyDescent="0.25">
      <c r="E2542" s="17"/>
      <c r="F2542" s="17"/>
      <c r="G2542" s="17"/>
      <c r="H2542" s="17"/>
      <c r="J2542" s="17"/>
      <c r="K2542" s="17"/>
      <c r="L2542" s="17"/>
      <c r="M2542" s="17"/>
      <c r="N2542" s="17"/>
      <c r="O2542" s="17"/>
    </row>
    <row r="2543" spans="5:15" x14ac:dyDescent="0.25">
      <c r="E2543" s="17"/>
      <c r="F2543" s="17"/>
      <c r="G2543" s="17"/>
      <c r="H2543" s="17"/>
      <c r="J2543" s="17"/>
      <c r="K2543" s="17"/>
      <c r="L2543" s="17"/>
      <c r="M2543" s="17"/>
      <c r="N2543" s="17"/>
      <c r="O2543" s="17"/>
    </row>
    <row r="2544" spans="5:15" x14ac:dyDescent="0.25">
      <c r="E2544" s="17"/>
      <c r="F2544" s="17"/>
      <c r="G2544" s="17"/>
      <c r="H2544" s="17"/>
      <c r="J2544" s="17"/>
      <c r="K2544" s="17"/>
      <c r="L2544" s="17"/>
      <c r="M2544" s="17"/>
      <c r="N2544" s="17"/>
      <c r="O2544" s="17"/>
    </row>
    <row r="2545" spans="5:15" x14ac:dyDescent="0.25">
      <c r="E2545" s="17"/>
      <c r="F2545" s="17"/>
      <c r="G2545" s="17"/>
      <c r="H2545" s="17"/>
      <c r="J2545" s="17"/>
      <c r="K2545" s="17"/>
      <c r="L2545" s="17"/>
      <c r="M2545" s="17"/>
      <c r="N2545" s="17"/>
      <c r="O2545" s="17"/>
    </row>
    <row r="2546" spans="5:15" x14ac:dyDescent="0.25">
      <c r="E2546" s="17"/>
      <c r="F2546" s="17"/>
      <c r="G2546" s="17"/>
      <c r="H2546" s="17"/>
      <c r="J2546" s="17"/>
      <c r="K2546" s="17"/>
      <c r="L2546" s="17"/>
      <c r="M2546" s="17"/>
      <c r="N2546" s="17"/>
      <c r="O2546" s="17"/>
    </row>
    <row r="2547" spans="5:15" x14ac:dyDescent="0.25">
      <c r="E2547" s="17"/>
      <c r="F2547" s="17"/>
      <c r="G2547" s="17"/>
      <c r="H2547" s="17"/>
      <c r="J2547" s="17"/>
      <c r="K2547" s="17"/>
      <c r="L2547" s="17"/>
      <c r="M2547" s="17"/>
      <c r="N2547" s="17"/>
      <c r="O2547" s="17"/>
    </row>
    <row r="2548" spans="5:15" x14ac:dyDescent="0.25">
      <c r="E2548" s="17"/>
      <c r="F2548" s="17"/>
      <c r="G2548" s="17"/>
      <c r="H2548" s="17"/>
      <c r="J2548" s="17"/>
      <c r="K2548" s="17"/>
      <c r="L2548" s="17"/>
      <c r="M2548" s="17"/>
      <c r="N2548" s="17"/>
      <c r="O2548" s="17"/>
    </row>
    <row r="2549" spans="5:15" x14ac:dyDescent="0.25">
      <c r="E2549" s="17"/>
      <c r="F2549" s="17"/>
      <c r="G2549" s="17"/>
      <c r="H2549" s="17"/>
      <c r="J2549" s="17"/>
      <c r="K2549" s="17"/>
      <c r="L2549" s="17"/>
      <c r="M2549" s="17"/>
      <c r="N2549" s="17"/>
      <c r="O2549" s="17"/>
    </row>
    <row r="2550" spans="5:15" x14ac:dyDescent="0.25">
      <c r="E2550" s="17"/>
      <c r="F2550" s="17"/>
      <c r="G2550" s="17"/>
      <c r="H2550" s="17"/>
      <c r="J2550" s="17"/>
      <c r="K2550" s="17"/>
      <c r="L2550" s="17"/>
      <c r="M2550" s="17"/>
      <c r="N2550" s="17"/>
      <c r="O2550" s="17"/>
    </row>
    <row r="2551" spans="5:15" x14ac:dyDescent="0.25">
      <c r="E2551" s="17"/>
      <c r="F2551" s="17"/>
      <c r="G2551" s="17"/>
      <c r="H2551" s="17"/>
      <c r="J2551" s="17"/>
      <c r="K2551" s="17"/>
      <c r="L2551" s="17"/>
      <c r="M2551" s="17"/>
      <c r="N2551" s="17"/>
      <c r="O2551" s="17"/>
    </row>
    <row r="2552" spans="5:15" x14ac:dyDescent="0.25">
      <c r="E2552" s="17"/>
      <c r="F2552" s="17"/>
      <c r="G2552" s="17"/>
      <c r="H2552" s="17"/>
      <c r="J2552" s="17"/>
      <c r="K2552" s="17"/>
      <c r="L2552" s="17"/>
      <c r="M2552" s="17"/>
      <c r="N2552" s="17"/>
      <c r="O2552" s="17"/>
    </row>
    <row r="2553" spans="5:15" x14ac:dyDescent="0.25">
      <c r="E2553" s="17"/>
      <c r="F2553" s="17"/>
      <c r="G2553" s="17"/>
      <c r="H2553" s="17"/>
      <c r="J2553" s="17"/>
      <c r="K2553" s="17"/>
      <c r="L2553" s="17"/>
      <c r="M2553" s="17"/>
      <c r="N2553" s="17"/>
      <c r="O2553" s="17"/>
    </row>
    <row r="2554" spans="5:15" x14ac:dyDescent="0.25">
      <c r="E2554" s="17"/>
      <c r="F2554" s="17"/>
      <c r="G2554" s="17"/>
      <c r="H2554" s="17"/>
      <c r="J2554" s="17"/>
      <c r="K2554" s="17"/>
      <c r="L2554" s="17"/>
      <c r="M2554" s="17"/>
      <c r="N2554" s="17"/>
      <c r="O2554" s="17"/>
    </row>
    <row r="2555" spans="5:15" x14ac:dyDescent="0.25">
      <c r="E2555" s="17"/>
      <c r="F2555" s="17"/>
      <c r="G2555" s="17"/>
      <c r="H2555" s="17"/>
      <c r="J2555" s="17"/>
      <c r="K2555" s="17"/>
      <c r="L2555" s="17"/>
      <c r="M2555" s="17"/>
      <c r="N2555" s="17"/>
      <c r="O2555" s="17"/>
    </row>
    <row r="2556" spans="5:15" x14ac:dyDescent="0.25">
      <c r="E2556" s="17"/>
      <c r="F2556" s="17"/>
      <c r="G2556" s="17"/>
      <c r="H2556" s="17"/>
      <c r="J2556" s="17"/>
      <c r="K2556" s="17"/>
      <c r="L2556" s="17"/>
      <c r="M2556" s="17"/>
      <c r="N2556" s="17"/>
      <c r="O2556" s="17"/>
    </row>
    <row r="2557" spans="5:15" x14ac:dyDescent="0.25">
      <c r="E2557" s="17"/>
      <c r="F2557" s="17"/>
      <c r="G2557" s="17"/>
      <c r="H2557" s="17"/>
      <c r="J2557" s="17"/>
      <c r="K2557" s="17"/>
      <c r="L2557" s="17"/>
      <c r="M2557" s="17"/>
      <c r="N2557" s="17"/>
      <c r="O2557" s="17"/>
    </row>
    <row r="2558" spans="5:15" x14ac:dyDescent="0.25">
      <c r="E2558" s="17"/>
      <c r="F2558" s="17"/>
      <c r="G2558" s="17"/>
      <c r="H2558" s="17"/>
      <c r="J2558" s="17"/>
      <c r="K2558" s="17"/>
      <c r="L2558" s="17"/>
      <c r="M2558" s="17"/>
      <c r="N2558" s="17"/>
      <c r="O2558" s="17"/>
    </row>
    <row r="2559" spans="5:15" x14ac:dyDescent="0.25">
      <c r="E2559" s="17"/>
      <c r="F2559" s="17"/>
      <c r="G2559" s="17"/>
      <c r="H2559" s="17"/>
      <c r="J2559" s="17"/>
      <c r="K2559" s="17"/>
      <c r="L2559" s="17"/>
      <c r="M2559" s="17"/>
      <c r="N2559" s="17"/>
      <c r="O2559" s="17"/>
    </row>
    <row r="2560" spans="5:15" x14ac:dyDescent="0.25">
      <c r="E2560" s="17"/>
      <c r="F2560" s="17"/>
      <c r="G2560" s="17"/>
      <c r="H2560" s="17"/>
      <c r="J2560" s="17"/>
      <c r="K2560" s="17"/>
      <c r="L2560" s="17"/>
      <c r="M2560" s="17"/>
      <c r="N2560" s="17"/>
      <c r="O2560" s="17"/>
    </row>
    <row r="2561" spans="5:15" x14ac:dyDescent="0.25">
      <c r="E2561" s="17"/>
      <c r="F2561" s="17"/>
      <c r="G2561" s="17"/>
      <c r="H2561" s="17"/>
      <c r="J2561" s="17"/>
      <c r="K2561" s="17"/>
      <c r="L2561" s="17"/>
      <c r="M2561" s="17"/>
      <c r="N2561" s="17"/>
      <c r="O2561" s="17"/>
    </row>
    <row r="2562" spans="5:15" x14ac:dyDescent="0.25">
      <c r="E2562" s="17"/>
      <c r="F2562" s="17"/>
      <c r="G2562" s="17"/>
      <c r="H2562" s="17"/>
      <c r="J2562" s="17"/>
      <c r="K2562" s="17"/>
      <c r="L2562" s="17"/>
      <c r="M2562" s="17"/>
      <c r="N2562" s="17"/>
      <c r="O2562" s="17"/>
    </row>
    <row r="2563" spans="5:15" x14ac:dyDescent="0.25">
      <c r="E2563" s="17"/>
      <c r="F2563" s="17"/>
      <c r="G2563" s="17"/>
      <c r="H2563" s="17"/>
      <c r="J2563" s="17"/>
      <c r="K2563" s="17"/>
      <c r="L2563" s="17"/>
      <c r="M2563" s="17"/>
      <c r="N2563" s="17"/>
      <c r="O2563" s="17"/>
    </row>
    <row r="2564" spans="5:15" x14ac:dyDescent="0.25">
      <c r="E2564" s="17"/>
      <c r="F2564" s="17"/>
      <c r="G2564" s="17"/>
      <c r="H2564" s="17"/>
      <c r="J2564" s="17"/>
      <c r="K2564" s="17"/>
      <c r="L2564" s="17"/>
      <c r="M2564" s="17"/>
      <c r="N2564" s="17"/>
      <c r="O2564" s="17"/>
    </row>
    <row r="2565" spans="5:15" x14ac:dyDescent="0.25">
      <c r="E2565" s="17"/>
      <c r="F2565" s="17"/>
      <c r="G2565" s="17"/>
      <c r="H2565" s="17"/>
      <c r="J2565" s="17"/>
      <c r="K2565" s="17"/>
      <c r="L2565" s="17"/>
      <c r="M2565" s="17"/>
      <c r="N2565" s="17"/>
      <c r="O2565" s="17"/>
    </row>
    <row r="2566" spans="5:15" x14ac:dyDescent="0.25">
      <c r="E2566" s="17"/>
      <c r="F2566" s="17"/>
      <c r="G2566" s="17"/>
      <c r="H2566" s="17"/>
      <c r="J2566" s="17"/>
      <c r="K2566" s="17"/>
      <c r="L2566" s="17"/>
      <c r="M2566" s="17"/>
      <c r="N2566" s="17"/>
      <c r="O2566" s="17"/>
    </row>
    <row r="2567" spans="5:15" x14ac:dyDescent="0.25">
      <c r="E2567" s="17"/>
      <c r="F2567" s="17"/>
      <c r="G2567" s="17"/>
      <c r="H2567" s="17"/>
      <c r="J2567" s="17"/>
      <c r="K2567" s="17"/>
      <c r="L2567" s="17"/>
      <c r="M2567" s="17"/>
      <c r="N2567" s="17"/>
      <c r="O2567" s="17"/>
    </row>
    <row r="2568" spans="5:15" x14ac:dyDescent="0.25">
      <c r="E2568" s="17"/>
      <c r="F2568" s="17"/>
      <c r="G2568" s="17"/>
      <c r="H2568" s="17"/>
      <c r="J2568" s="17"/>
      <c r="K2568" s="17"/>
      <c r="L2568" s="17"/>
      <c r="M2568" s="17"/>
      <c r="N2568" s="17"/>
      <c r="O2568" s="17"/>
    </row>
    <row r="2569" spans="5:15" x14ac:dyDescent="0.25">
      <c r="E2569" s="17"/>
      <c r="F2569" s="17"/>
      <c r="G2569" s="17"/>
      <c r="H2569" s="17"/>
      <c r="J2569" s="17"/>
      <c r="K2569" s="17"/>
      <c r="L2569" s="17"/>
      <c r="M2569" s="17"/>
      <c r="N2569" s="17"/>
      <c r="O2569" s="17"/>
    </row>
    <row r="2570" spans="5:15" x14ac:dyDescent="0.25">
      <c r="E2570" s="17"/>
      <c r="F2570" s="17"/>
      <c r="G2570" s="17"/>
      <c r="H2570" s="17"/>
      <c r="J2570" s="17"/>
      <c r="K2570" s="17"/>
      <c r="L2570" s="17"/>
      <c r="M2570" s="17"/>
      <c r="N2570" s="17"/>
      <c r="O2570" s="17"/>
    </row>
    <row r="2571" spans="5:15" x14ac:dyDescent="0.25">
      <c r="E2571" s="17"/>
      <c r="F2571" s="17"/>
      <c r="G2571" s="17"/>
      <c r="H2571" s="17"/>
      <c r="J2571" s="17"/>
      <c r="K2571" s="17"/>
      <c r="L2571" s="17"/>
      <c r="M2571" s="17"/>
      <c r="N2571" s="17"/>
      <c r="O2571" s="17"/>
    </row>
    <row r="2572" spans="5:15" x14ac:dyDescent="0.25">
      <c r="E2572" s="17"/>
      <c r="F2572" s="17"/>
      <c r="G2572" s="17"/>
      <c r="H2572" s="17"/>
      <c r="J2572" s="17"/>
      <c r="K2572" s="17"/>
      <c r="L2572" s="17"/>
      <c r="M2572" s="17"/>
      <c r="N2572" s="17"/>
      <c r="O2572" s="17"/>
    </row>
    <row r="2573" spans="5:15" x14ac:dyDescent="0.25">
      <c r="E2573" s="17"/>
      <c r="F2573" s="17"/>
      <c r="G2573" s="17"/>
      <c r="H2573" s="17"/>
      <c r="J2573" s="17"/>
      <c r="K2573" s="17"/>
      <c r="L2573" s="17"/>
      <c r="M2573" s="17"/>
      <c r="N2573" s="17"/>
      <c r="O2573" s="17"/>
    </row>
    <row r="2574" spans="5:15" x14ac:dyDescent="0.25">
      <c r="E2574" s="17"/>
      <c r="F2574" s="17"/>
      <c r="G2574" s="17"/>
      <c r="H2574" s="17"/>
      <c r="J2574" s="17"/>
      <c r="K2574" s="17"/>
      <c r="L2574" s="17"/>
      <c r="M2574" s="17"/>
      <c r="N2574" s="17"/>
      <c r="O2574" s="17"/>
    </row>
    <row r="2575" spans="5:15" x14ac:dyDescent="0.25">
      <c r="E2575" s="17"/>
      <c r="F2575" s="17"/>
      <c r="G2575" s="17"/>
      <c r="H2575" s="17"/>
      <c r="J2575" s="17"/>
      <c r="K2575" s="17"/>
      <c r="L2575" s="17"/>
      <c r="M2575" s="17"/>
      <c r="N2575" s="17"/>
      <c r="O2575" s="17"/>
    </row>
    <row r="2576" spans="5:15" x14ac:dyDescent="0.25">
      <c r="E2576" s="17"/>
      <c r="F2576" s="17"/>
      <c r="G2576" s="17"/>
      <c r="H2576" s="17"/>
      <c r="J2576" s="17"/>
      <c r="K2576" s="17"/>
      <c r="L2576" s="17"/>
      <c r="M2576" s="17"/>
      <c r="N2576" s="17"/>
      <c r="O2576" s="17"/>
    </row>
    <row r="2577" spans="5:15" x14ac:dyDescent="0.25">
      <c r="E2577" s="17"/>
      <c r="F2577" s="17"/>
      <c r="G2577" s="17"/>
      <c r="H2577" s="17"/>
      <c r="J2577" s="17"/>
      <c r="K2577" s="17"/>
      <c r="L2577" s="17"/>
      <c r="M2577" s="17"/>
      <c r="N2577" s="17"/>
      <c r="O2577" s="17"/>
    </row>
    <row r="2578" spans="5:15" x14ac:dyDescent="0.25">
      <c r="E2578" s="17"/>
      <c r="F2578" s="17"/>
      <c r="G2578" s="17"/>
      <c r="H2578" s="17"/>
      <c r="J2578" s="17"/>
      <c r="K2578" s="17"/>
      <c r="L2578" s="17"/>
      <c r="M2578" s="17"/>
      <c r="N2578" s="17"/>
      <c r="O2578" s="17"/>
    </row>
    <row r="2579" spans="5:15" x14ac:dyDescent="0.25">
      <c r="E2579" s="17"/>
      <c r="F2579" s="17"/>
      <c r="G2579" s="17"/>
      <c r="H2579" s="17"/>
      <c r="J2579" s="17"/>
      <c r="K2579" s="17"/>
      <c r="L2579" s="17"/>
      <c r="M2579" s="17"/>
      <c r="N2579" s="17"/>
      <c r="O2579" s="17"/>
    </row>
    <row r="2580" spans="5:15" x14ac:dyDescent="0.25">
      <c r="E2580" s="17"/>
      <c r="F2580" s="17"/>
      <c r="G2580" s="17"/>
      <c r="H2580" s="17"/>
      <c r="J2580" s="17"/>
      <c r="K2580" s="17"/>
      <c r="L2580" s="17"/>
      <c r="M2580" s="17"/>
      <c r="N2580" s="17"/>
      <c r="O2580" s="17"/>
    </row>
    <row r="2581" spans="5:15" x14ac:dyDescent="0.25">
      <c r="E2581" s="17"/>
      <c r="F2581" s="17"/>
      <c r="G2581" s="17"/>
      <c r="H2581" s="17"/>
      <c r="J2581" s="17"/>
      <c r="K2581" s="17"/>
      <c r="L2581" s="17"/>
      <c r="M2581" s="17"/>
      <c r="N2581" s="17"/>
      <c r="O2581" s="17"/>
    </row>
    <row r="2582" spans="5:15" x14ac:dyDescent="0.25">
      <c r="E2582" s="17"/>
      <c r="F2582" s="17"/>
      <c r="G2582" s="17"/>
      <c r="H2582" s="17"/>
      <c r="J2582" s="17"/>
      <c r="K2582" s="17"/>
      <c r="L2582" s="17"/>
      <c r="M2582" s="17"/>
      <c r="N2582" s="17"/>
      <c r="O2582" s="17"/>
    </row>
    <row r="2583" spans="5:15" x14ac:dyDescent="0.25">
      <c r="E2583" s="17"/>
      <c r="F2583" s="17"/>
      <c r="G2583" s="17"/>
      <c r="H2583" s="17"/>
      <c r="J2583" s="17"/>
      <c r="K2583" s="17"/>
      <c r="L2583" s="17"/>
      <c r="M2583" s="17"/>
      <c r="N2583" s="17"/>
      <c r="O2583" s="17"/>
    </row>
    <row r="2584" spans="5:15" x14ac:dyDescent="0.25">
      <c r="E2584" s="17"/>
      <c r="F2584" s="17"/>
      <c r="G2584" s="17"/>
      <c r="H2584" s="17"/>
      <c r="J2584" s="17"/>
      <c r="K2584" s="17"/>
      <c r="L2584" s="17"/>
      <c r="M2584" s="17"/>
      <c r="N2584" s="17"/>
      <c r="O2584" s="17"/>
    </row>
    <row r="2585" spans="5:15" x14ac:dyDescent="0.25">
      <c r="E2585" s="17"/>
      <c r="F2585" s="17"/>
      <c r="G2585" s="17"/>
      <c r="H2585" s="17"/>
      <c r="J2585" s="17"/>
      <c r="K2585" s="17"/>
      <c r="L2585" s="17"/>
      <c r="M2585" s="17"/>
      <c r="N2585" s="17"/>
      <c r="O2585" s="17"/>
    </row>
    <row r="2586" spans="5:15" x14ac:dyDescent="0.25">
      <c r="E2586" s="17"/>
      <c r="F2586" s="17"/>
      <c r="G2586" s="17"/>
      <c r="H2586" s="17"/>
      <c r="J2586" s="17"/>
      <c r="K2586" s="17"/>
      <c r="L2586" s="17"/>
      <c r="M2586" s="17"/>
      <c r="N2586" s="17"/>
      <c r="O2586" s="17"/>
    </row>
    <row r="2587" spans="5:15" x14ac:dyDescent="0.25">
      <c r="E2587" s="17"/>
      <c r="F2587" s="17"/>
      <c r="G2587" s="17"/>
      <c r="H2587" s="17"/>
      <c r="J2587" s="17"/>
      <c r="K2587" s="17"/>
      <c r="L2587" s="17"/>
      <c r="M2587" s="17"/>
      <c r="N2587" s="17"/>
      <c r="O2587" s="17"/>
    </row>
    <row r="2588" spans="5:15" x14ac:dyDescent="0.25">
      <c r="E2588" s="17"/>
      <c r="F2588" s="17"/>
      <c r="G2588" s="17"/>
      <c r="H2588" s="17"/>
      <c r="J2588" s="17"/>
      <c r="K2588" s="17"/>
      <c r="L2588" s="17"/>
      <c r="M2588" s="17"/>
      <c r="N2588" s="17"/>
      <c r="O2588" s="17"/>
    </row>
    <row r="2589" spans="5:15" x14ac:dyDescent="0.25">
      <c r="E2589" s="17"/>
      <c r="F2589" s="17"/>
      <c r="G2589" s="17"/>
      <c r="H2589" s="17"/>
      <c r="J2589" s="17"/>
      <c r="K2589" s="17"/>
      <c r="L2589" s="17"/>
      <c r="M2589" s="17"/>
      <c r="N2589" s="17"/>
      <c r="O2589" s="17"/>
    </row>
    <row r="2590" spans="5:15" x14ac:dyDescent="0.25">
      <c r="E2590" s="17"/>
      <c r="F2590" s="17"/>
      <c r="G2590" s="17"/>
      <c r="H2590" s="17"/>
      <c r="J2590" s="17"/>
      <c r="K2590" s="17"/>
      <c r="L2590" s="17"/>
      <c r="M2590" s="17"/>
      <c r="N2590" s="17"/>
      <c r="O2590" s="17"/>
    </row>
    <row r="2591" spans="5:15" x14ac:dyDescent="0.25">
      <c r="E2591" s="17"/>
      <c r="F2591" s="17"/>
      <c r="G2591" s="17"/>
      <c r="H2591" s="17"/>
      <c r="J2591" s="17"/>
      <c r="K2591" s="17"/>
      <c r="L2591" s="17"/>
      <c r="M2591" s="17"/>
      <c r="N2591" s="17"/>
      <c r="O2591" s="17"/>
    </row>
    <row r="2592" spans="5:15" x14ac:dyDescent="0.25">
      <c r="E2592" s="17"/>
      <c r="F2592" s="17"/>
      <c r="G2592" s="17"/>
      <c r="H2592" s="17"/>
      <c r="J2592" s="17"/>
      <c r="K2592" s="17"/>
      <c r="L2592" s="17"/>
      <c r="M2592" s="17"/>
      <c r="N2592" s="17"/>
      <c r="O2592" s="17"/>
    </row>
    <row r="2593" spans="5:15" x14ac:dyDescent="0.25">
      <c r="E2593" s="17"/>
      <c r="F2593" s="17"/>
      <c r="G2593" s="17"/>
      <c r="H2593" s="17"/>
      <c r="J2593" s="17"/>
      <c r="K2593" s="17"/>
      <c r="L2593" s="17"/>
      <c r="M2593" s="17"/>
      <c r="N2593" s="17"/>
      <c r="O2593" s="17"/>
    </row>
    <row r="2594" spans="5:15" x14ac:dyDescent="0.25">
      <c r="E2594" s="17"/>
      <c r="F2594" s="17"/>
      <c r="G2594" s="17"/>
      <c r="H2594" s="17"/>
      <c r="J2594" s="17"/>
      <c r="K2594" s="17"/>
      <c r="L2594" s="17"/>
      <c r="M2594" s="17"/>
      <c r="N2594" s="17"/>
      <c r="O2594" s="17"/>
    </row>
    <row r="2595" spans="5:15" x14ac:dyDescent="0.25">
      <c r="E2595" s="17"/>
      <c r="F2595" s="17"/>
      <c r="G2595" s="17"/>
      <c r="H2595" s="17"/>
      <c r="J2595" s="17"/>
      <c r="K2595" s="17"/>
      <c r="L2595" s="17"/>
      <c r="M2595" s="17"/>
      <c r="N2595" s="17"/>
      <c r="O2595" s="17"/>
    </row>
    <row r="2596" spans="5:15" x14ac:dyDescent="0.25">
      <c r="E2596" s="17"/>
      <c r="F2596" s="17"/>
      <c r="G2596" s="17"/>
      <c r="H2596" s="17"/>
      <c r="J2596" s="17"/>
      <c r="K2596" s="17"/>
      <c r="L2596" s="17"/>
      <c r="M2596" s="17"/>
      <c r="N2596" s="17"/>
      <c r="O2596" s="17"/>
    </row>
    <row r="2597" spans="5:15" x14ac:dyDescent="0.25">
      <c r="E2597" s="17"/>
      <c r="F2597" s="17"/>
      <c r="G2597" s="17"/>
      <c r="H2597" s="17"/>
      <c r="J2597" s="17"/>
      <c r="K2597" s="17"/>
      <c r="L2597" s="17"/>
      <c r="M2597" s="17"/>
      <c r="N2597" s="17"/>
      <c r="O2597" s="17"/>
    </row>
    <row r="2598" spans="5:15" x14ac:dyDescent="0.25">
      <c r="E2598" s="17"/>
      <c r="F2598" s="17"/>
      <c r="G2598" s="17"/>
      <c r="H2598" s="17"/>
      <c r="J2598" s="17"/>
      <c r="K2598" s="17"/>
      <c r="L2598" s="17"/>
      <c r="M2598" s="17"/>
      <c r="N2598" s="17"/>
      <c r="O2598" s="17"/>
    </row>
    <row r="2599" spans="5:15" x14ac:dyDescent="0.25">
      <c r="E2599" s="17"/>
      <c r="F2599" s="17"/>
      <c r="G2599" s="17"/>
      <c r="H2599" s="17"/>
      <c r="J2599" s="17"/>
      <c r="K2599" s="17"/>
      <c r="L2599" s="17"/>
      <c r="M2599" s="17"/>
      <c r="N2599" s="17"/>
      <c r="O2599" s="17"/>
    </row>
    <row r="2600" spans="5:15" x14ac:dyDescent="0.25">
      <c r="E2600" s="17"/>
      <c r="F2600" s="17"/>
      <c r="G2600" s="17"/>
      <c r="H2600" s="17"/>
      <c r="J2600" s="17"/>
      <c r="K2600" s="17"/>
      <c r="L2600" s="17"/>
      <c r="M2600" s="17"/>
      <c r="N2600" s="17"/>
      <c r="O2600" s="17"/>
    </row>
    <row r="2601" spans="5:15" x14ac:dyDescent="0.25">
      <c r="E2601" s="17"/>
      <c r="F2601" s="17"/>
      <c r="G2601" s="17"/>
      <c r="H2601" s="17"/>
      <c r="J2601" s="17"/>
      <c r="K2601" s="17"/>
      <c r="L2601" s="17"/>
      <c r="M2601" s="17"/>
      <c r="N2601" s="17"/>
      <c r="O2601" s="17"/>
    </row>
    <row r="2602" spans="5:15" x14ac:dyDescent="0.25">
      <c r="E2602" s="17"/>
      <c r="F2602" s="17"/>
      <c r="G2602" s="17"/>
      <c r="H2602" s="17"/>
      <c r="J2602" s="17"/>
      <c r="K2602" s="17"/>
      <c r="L2602" s="17"/>
      <c r="M2602" s="17"/>
      <c r="N2602" s="17"/>
      <c r="O2602" s="17"/>
    </row>
    <row r="2603" spans="5:15" x14ac:dyDescent="0.25">
      <c r="E2603" s="17"/>
      <c r="F2603" s="17"/>
      <c r="G2603" s="17"/>
      <c r="H2603" s="17"/>
      <c r="J2603" s="17"/>
      <c r="K2603" s="17"/>
      <c r="L2603" s="17"/>
      <c r="M2603" s="17"/>
      <c r="N2603" s="17"/>
      <c r="O2603" s="17"/>
    </row>
  </sheetData>
  <sheetProtection formatColumns="0" selectLockedCells="1" autoFilter="0"/>
  <autoFilter ref="B4:O4" xr:uid="{4DF13E6F-2A76-4D09-93EE-660013B1CD4D}"/>
  <sortState xmlns:xlrd2="http://schemas.microsoft.com/office/spreadsheetml/2017/richdata2" ref="B5:O511">
    <sortCondition ref="L5:L511"/>
  </sortState>
  <phoneticPr fontId="5" type="noConversion"/>
  <dataValidations count="4">
    <dataValidation type="list" allowBlank="1" showInputMessage="1" showErrorMessage="1" sqref="M519:M714 M464:M512 M5" xr:uid="{BA8DD8E5-8506-4305-9DE9-2780FCE15157}">
      <formula1>Mgt_TileDrain</formula1>
    </dataValidation>
    <dataValidation type="list" allowBlank="1" showInputMessage="1" showErrorMessage="1" sqref="I2604:I1048576 I5:I1018" xr:uid="{DF418EC4-402F-4322-A43E-A6E424C62A1A}">
      <formula1>States</formula1>
    </dataValidation>
    <dataValidation type="list" allowBlank="1" showInputMessage="1" showErrorMessage="1" sqref="N2604:N1048576 I2604:I1048576 N5:N308 N311:N1018 I5:I1018" xr:uid="{E62E7F4C-AB3D-4064-8A78-03BDE814C8AA}">
      <formula1>Mgt_tile_years</formula1>
    </dataValidation>
    <dataValidation type="list" allowBlank="1" showInputMessage="1" showErrorMessage="1" sqref="B5:B1048576" xr:uid="{E583BB54-AD63-4BAF-AFCF-0E87375D3218}">
      <formula1>Users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S1717"/>
  <sheetViews>
    <sheetView tabSelected="1" zoomScaleNormal="100" workbookViewId="0">
      <pane ySplit="4" topLeftCell="A1053" activePane="bottomLeft" state="frozen"/>
      <selection activeCell="J1" sqref="J1"/>
      <selection pane="bottomLeft" activeCell="G1071" sqref="G1071"/>
    </sheetView>
  </sheetViews>
  <sheetFormatPr defaultColWidth="9.140625" defaultRowHeight="15" customHeight="1" x14ac:dyDescent="0.25"/>
  <cols>
    <col min="1" max="1" width="10.5703125" bestFit="1" customWidth="1"/>
    <col min="2" max="2" width="15.140625" style="31" customWidth="1"/>
    <col min="3" max="3" width="23.7109375" style="17" customWidth="1"/>
    <col min="4" max="4" width="20.7109375" style="17" hidden="1" customWidth="1"/>
    <col min="5" max="5" width="17.42578125" style="17" customWidth="1"/>
    <col min="6" max="6" width="12.5703125" style="17" customWidth="1"/>
    <col min="7" max="7" width="13.140625" style="17" customWidth="1"/>
    <col min="8" max="8" width="15.5703125" style="17" bestFit="1" customWidth="1"/>
    <col min="9" max="9" width="32.5703125" style="17" customWidth="1"/>
    <col min="10" max="10" width="18.85546875" style="76" bestFit="1" customWidth="1"/>
    <col min="11" max="11" width="18.140625" style="77" bestFit="1" customWidth="1"/>
    <col min="12" max="12" width="19.28515625" style="76" customWidth="1"/>
    <col min="13" max="13" width="19.28515625" style="61" customWidth="1"/>
    <col min="14" max="14" width="18.28515625" style="17" customWidth="1"/>
    <col min="15" max="15" width="14.28515625" style="74" bestFit="1" customWidth="1"/>
    <col min="16" max="16" width="19.28515625" style="74" bestFit="1" customWidth="1"/>
    <col min="17" max="17" width="17.28515625" style="17" bestFit="1" customWidth="1"/>
    <col min="18" max="18" width="15.5703125" style="17" bestFit="1" customWidth="1"/>
    <col min="19" max="19" width="49.85546875" style="17" customWidth="1"/>
    <col min="20" max="20" width="9.140625" customWidth="1"/>
  </cols>
  <sheetData>
    <row r="1" spans="1:19" ht="60" x14ac:dyDescent="0.25">
      <c r="A1" s="69" t="s">
        <v>0</v>
      </c>
      <c r="B1" s="20" t="s">
        <v>524</v>
      </c>
      <c r="C1" s="70" t="s">
        <v>11</v>
      </c>
      <c r="D1" s="56" t="s">
        <v>516</v>
      </c>
      <c r="E1" s="53" t="s">
        <v>610</v>
      </c>
      <c r="F1" s="62" t="s">
        <v>531</v>
      </c>
      <c r="G1" s="70" t="s">
        <v>482</v>
      </c>
      <c r="H1" s="70" t="s">
        <v>483</v>
      </c>
      <c r="I1" s="70" t="s">
        <v>484</v>
      </c>
      <c r="J1" s="70" t="s">
        <v>22</v>
      </c>
      <c r="K1" s="70" t="s">
        <v>621</v>
      </c>
      <c r="L1" s="70" t="s">
        <v>622</v>
      </c>
      <c r="M1" s="70" t="s">
        <v>631</v>
      </c>
      <c r="N1" s="70" t="s">
        <v>612</v>
      </c>
      <c r="O1" s="70" t="s">
        <v>613</v>
      </c>
      <c r="P1" s="70" t="s">
        <v>382</v>
      </c>
      <c r="Q1" s="16" t="s">
        <v>485</v>
      </c>
      <c r="R1" s="16" t="s">
        <v>541</v>
      </c>
      <c r="S1" s="16" t="s">
        <v>526</v>
      </c>
    </row>
    <row r="2" spans="1:19" x14ac:dyDescent="0.25">
      <c r="A2" s="69" t="s">
        <v>1</v>
      </c>
      <c r="B2" s="21" t="s">
        <v>488</v>
      </c>
      <c r="C2" s="71" t="s">
        <v>32</v>
      </c>
      <c r="D2" s="57" t="s">
        <v>488</v>
      </c>
      <c r="E2" s="54" t="s">
        <v>23</v>
      </c>
      <c r="F2" s="63" t="s">
        <v>32</v>
      </c>
      <c r="G2" s="71" t="s">
        <v>32</v>
      </c>
      <c r="H2" s="71" t="s">
        <v>32</v>
      </c>
      <c r="I2" s="71" t="s">
        <v>32</v>
      </c>
      <c r="J2" s="71" t="s">
        <v>24</v>
      </c>
      <c r="K2" s="71" t="s">
        <v>24</v>
      </c>
      <c r="L2" s="71" t="s">
        <v>24</v>
      </c>
      <c r="M2" s="71" t="s">
        <v>18</v>
      </c>
      <c r="N2" s="71" t="s">
        <v>32</v>
      </c>
      <c r="O2" s="71" t="s">
        <v>18</v>
      </c>
      <c r="P2" s="71" t="s">
        <v>32</v>
      </c>
      <c r="Q2" s="73" t="s">
        <v>32</v>
      </c>
      <c r="R2" s="73" t="s">
        <v>18</v>
      </c>
      <c r="S2" s="73" t="s">
        <v>2</v>
      </c>
    </row>
    <row r="3" spans="1:19" x14ac:dyDescent="0.25">
      <c r="A3" s="69" t="s">
        <v>3</v>
      </c>
      <c r="B3" s="22" t="s">
        <v>514</v>
      </c>
      <c r="C3" s="71" t="s">
        <v>514</v>
      </c>
      <c r="D3" s="58" t="s">
        <v>514</v>
      </c>
      <c r="E3" s="55" t="s">
        <v>514</v>
      </c>
      <c r="F3" s="64" t="s">
        <v>514</v>
      </c>
      <c r="G3" s="71" t="s">
        <v>514</v>
      </c>
      <c r="H3" s="71" t="s">
        <v>514</v>
      </c>
      <c r="I3" s="71" t="s">
        <v>514</v>
      </c>
      <c r="J3" s="71" t="s">
        <v>25</v>
      </c>
      <c r="K3" s="71" t="s">
        <v>25</v>
      </c>
      <c r="L3" s="71" t="s">
        <v>25</v>
      </c>
      <c r="M3" s="71" t="s">
        <v>492</v>
      </c>
      <c r="N3" s="71" t="s">
        <v>514</v>
      </c>
      <c r="O3" s="71" t="s">
        <v>492</v>
      </c>
      <c r="P3" s="71" t="s">
        <v>514</v>
      </c>
      <c r="Q3" s="73" t="s">
        <v>514</v>
      </c>
      <c r="R3" s="73" t="s">
        <v>353</v>
      </c>
      <c r="S3" s="73"/>
    </row>
    <row r="4" spans="1:19" x14ac:dyDescent="0.25">
      <c r="A4" s="4"/>
      <c r="B4" s="66" t="s">
        <v>4</v>
      </c>
      <c r="C4" s="72" t="s">
        <v>550</v>
      </c>
      <c r="D4" s="80" t="s">
        <v>579</v>
      </c>
      <c r="E4" s="81" t="s">
        <v>611</v>
      </c>
      <c r="F4" s="82" t="s">
        <v>580</v>
      </c>
      <c r="G4" s="72" t="s">
        <v>581</v>
      </c>
      <c r="H4" s="72" t="s">
        <v>582</v>
      </c>
      <c r="I4" s="72" t="s">
        <v>583</v>
      </c>
      <c r="J4" s="72" t="s">
        <v>584</v>
      </c>
      <c r="K4" s="72" t="s">
        <v>585</v>
      </c>
      <c r="L4" s="84" t="s">
        <v>586</v>
      </c>
      <c r="M4" s="72" t="s">
        <v>630</v>
      </c>
      <c r="N4" s="72" t="s">
        <v>587</v>
      </c>
      <c r="O4" s="72" t="s">
        <v>588</v>
      </c>
      <c r="P4" s="72" t="s">
        <v>589</v>
      </c>
      <c r="Q4" s="72" t="s">
        <v>590</v>
      </c>
      <c r="R4" s="72" t="s">
        <v>591</v>
      </c>
      <c r="S4" s="72" t="s">
        <v>592</v>
      </c>
    </row>
    <row r="5" spans="1:19" x14ac:dyDescent="0.25">
      <c r="A5" s="4"/>
      <c r="B5" s="28" t="str">
        <f>IF(ISNUMBER(MATCH(C5, Mgt_Unit!$C$5:$C$1018, 0)), INDEX(Mgt_Unit!$B$5:$B$1018, MATCH(C5, Mgt_Unit!$C$5:$C$1018, 0)), "")</f>
        <v>jennifer.moore</v>
      </c>
      <c r="C5" t="s">
        <v>635</v>
      </c>
      <c r="D5" s="45"/>
      <c r="E5">
        <v>1</v>
      </c>
      <c r="F5" t="s">
        <v>1537</v>
      </c>
      <c r="G5" t="s">
        <v>1544</v>
      </c>
      <c r="H5" t="s">
        <v>441</v>
      </c>
      <c r="I5" t="s">
        <v>29</v>
      </c>
      <c r="J5" s="89"/>
      <c r="K5" s="89">
        <v>43144</v>
      </c>
      <c r="L5" s="89"/>
      <c r="M5" s="31">
        <v>75</v>
      </c>
      <c r="N5" s="38"/>
      <c r="O5" s="38"/>
      <c r="P5" s="33"/>
      <c r="Q5" s="9"/>
      <c r="R5" s="78"/>
      <c r="S5" s="37"/>
    </row>
    <row r="6" spans="1:19" x14ac:dyDescent="0.25">
      <c r="A6" s="4"/>
      <c r="B6" s="28" t="str">
        <f>IF(ISNUMBER(MATCH(C6, Mgt_Unit!$C$5:$C$1018, 0)), INDEX(Mgt_Unit!$B$5:$B$1018, MATCH(C6, Mgt_Unit!$C$5:$C$1018, 0)), "")</f>
        <v>jennifer.moore</v>
      </c>
      <c r="C6" t="s">
        <v>635</v>
      </c>
      <c r="D6" s="45"/>
      <c r="E6">
        <v>1</v>
      </c>
      <c r="F6" t="s">
        <v>1537</v>
      </c>
      <c r="G6" t="s">
        <v>1544</v>
      </c>
      <c r="H6" t="s">
        <v>442</v>
      </c>
      <c r="I6" t="s">
        <v>1282</v>
      </c>
      <c r="J6" s="89"/>
      <c r="K6" s="89">
        <v>43144</v>
      </c>
      <c r="L6" s="89"/>
      <c r="M6" s="31">
        <v>75</v>
      </c>
      <c r="N6" s="38"/>
      <c r="O6" s="38"/>
      <c r="P6" s="33"/>
      <c r="Q6" s="9"/>
      <c r="R6" s="67"/>
      <c r="S6" s="9"/>
    </row>
    <row r="7" spans="1:19" x14ac:dyDescent="0.25">
      <c r="A7" s="4"/>
      <c r="B7" s="28" t="str">
        <f>IF(ISNUMBER(MATCH(C7, Mgt_Unit!$C$5:$C$1018, 0)), INDEX(Mgt_Unit!$B$5:$B$1018, MATCH(C7, Mgt_Unit!$C$5:$C$1018, 0)), "")</f>
        <v>jennifer.moore</v>
      </c>
      <c r="C7" t="s">
        <v>635</v>
      </c>
      <c r="D7" s="45"/>
      <c r="E7">
        <v>2</v>
      </c>
      <c r="F7" t="s">
        <v>1538</v>
      </c>
      <c r="G7" t="s">
        <v>1544</v>
      </c>
      <c r="H7" t="s">
        <v>50</v>
      </c>
      <c r="I7" t="s">
        <v>87</v>
      </c>
      <c r="J7" s="89">
        <v>43244</v>
      </c>
      <c r="K7" s="89">
        <v>43378</v>
      </c>
      <c r="L7" s="89"/>
      <c r="M7" s="31">
        <v>95</v>
      </c>
      <c r="N7" s="38"/>
      <c r="O7" s="38"/>
      <c r="P7" s="33"/>
      <c r="Q7" s="9"/>
      <c r="R7" s="67"/>
      <c r="S7" s="9"/>
    </row>
    <row r="8" spans="1:19" x14ac:dyDescent="0.25">
      <c r="A8" s="4"/>
      <c r="B8" s="28" t="str">
        <f>IF(ISNUMBER(MATCH(C8, Mgt_Unit!$C$5:$C$1018, 0)), INDEX(Mgt_Unit!$B$5:$B$1018, MATCH(C8, Mgt_Unit!$C$5:$C$1018, 0)), "")</f>
        <v>jennifer.moore</v>
      </c>
      <c r="C8" t="s">
        <v>635</v>
      </c>
      <c r="D8" s="65"/>
      <c r="E8">
        <v>3</v>
      </c>
      <c r="F8" t="s">
        <v>1537</v>
      </c>
      <c r="G8" t="s">
        <v>1544</v>
      </c>
      <c r="H8" t="s">
        <v>441</v>
      </c>
      <c r="I8" t="s">
        <v>29</v>
      </c>
      <c r="J8" s="89">
        <v>43404</v>
      </c>
      <c r="K8" s="89"/>
      <c r="L8" s="89"/>
      <c r="M8" s="31"/>
      <c r="N8" s="38"/>
      <c r="O8" s="38"/>
      <c r="P8" s="33"/>
      <c r="Q8" s="9"/>
      <c r="R8" s="67"/>
      <c r="S8" s="9"/>
    </row>
    <row r="9" spans="1:19" x14ac:dyDescent="0.25">
      <c r="A9" s="4"/>
      <c r="B9" s="28" t="str">
        <f>IF(ISNUMBER(MATCH(C9, Mgt_Unit!$C$5:$C$1018, 0)), INDEX(Mgt_Unit!$B$5:$B$1018, MATCH(C9, Mgt_Unit!$C$5:$C$1018, 0)), "")</f>
        <v>jennifer.moore</v>
      </c>
      <c r="C9" s="87" t="s">
        <v>635</v>
      </c>
      <c r="D9" s="65"/>
      <c r="E9" s="87">
        <v>3</v>
      </c>
      <c r="F9" s="87" t="s">
        <v>1537</v>
      </c>
      <c r="G9" s="87" t="s">
        <v>1544</v>
      </c>
      <c r="H9" s="87" t="s">
        <v>442</v>
      </c>
      <c r="I9" s="87" t="s">
        <v>1282</v>
      </c>
      <c r="J9" s="90">
        <v>43404</v>
      </c>
      <c r="K9" s="90"/>
      <c r="L9" s="90"/>
      <c r="M9" s="93"/>
      <c r="N9" s="38"/>
      <c r="O9" s="38"/>
      <c r="P9" s="33"/>
      <c r="Q9" s="9"/>
      <c r="R9" s="67"/>
      <c r="S9" s="9"/>
    </row>
    <row r="10" spans="1:19" x14ac:dyDescent="0.25">
      <c r="A10" s="4"/>
      <c r="B10" s="28" t="str">
        <f>IF(ISNUMBER(MATCH(C10, Mgt_Unit!$C$5:$C$1018, 0)), INDEX(Mgt_Unit!$B$5:$B$1018, MATCH(C10, Mgt_Unit!$C$5:$C$1018, 0)), "")</f>
        <v>jennifer.moore</v>
      </c>
      <c r="C10" t="s">
        <v>636</v>
      </c>
      <c r="D10" s="65"/>
      <c r="E10">
        <v>1</v>
      </c>
      <c r="F10" t="s">
        <v>1537</v>
      </c>
      <c r="G10" t="s">
        <v>1544</v>
      </c>
      <c r="H10" t="s">
        <v>441</v>
      </c>
      <c r="I10" t="s">
        <v>29</v>
      </c>
      <c r="J10" s="89"/>
      <c r="K10" s="89">
        <v>43144</v>
      </c>
      <c r="L10" s="89"/>
      <c r="M10" s="31">
        <v>75</v>
      </c>
      <c r="N10" s="38"/>
      <c r="O10" s="38"/>
      <c r="P10" s="33"/>
      <c r="Q10" s="9"/>
      <c r="R10" s="67"/>
      <c r="S10" s="9"/>
    </row>
    <row r="11" spans="1:19" x14ac:dyDescent="0.25">
      <c r="A11" s="4"/>
      <c r="B11" s="28" t="str">
        <f>IF(ISNUMBER(MATCH(C11, Mgt_Unit!$C$5:$C$1018, 0)), INDEX(Mgt_Unit!$B$5:$B$1018, MATCH(C11, Mgt_Unit!$C$5:$C$1018, 0)), "")</f>
        <v>jennifer.moore</v>
      </c>
      <c r="C11" t="s">
        <v>636</v>
      </c>
      <c r="D11" s="65"/>
      <c r="E11">
        <v>1</v>
      </c>
      <c r="F11" t="s">
        <v>1537</v>
      </c>
      <c r="G11" t="s">
        <v>1544</v>
      </c>
      <c r="H11" t="s">
        <v>442</v>
      </c>
      <c r="I11" t="s">
        <v>1282</v>
      </c>
      <c r="J11" s="89"/>
      <c r="K11" s="89">
        <v>43144</v>
      </c>
      <c r="L11" s="89"/>
      <c r="M11" s="31">
        <v>75</v>
      </c>
      <c r="N11" s="38"/>
      <c r="O11" s="38"/>
      <c r="P11" s="33"/>
      <c r="Q11" s="9"/>
      <c r="R11" s="67"/>
      <c r="S11" s="9"/>
    </row>
    <row r="12" spans="1:19" x14ac:dyDescent="0.25">
      <c r="A12" s="4"/>
      <c r="B12" s="28" t="str">
        <f>IF(ISNUMBER(MATCH(C12, Mgt_Unit!$C$5:$C$1018, 0)), INDEX(Mgt_Unit!$B$5:$B$1018, MATCH(C12, Mgt_Unit!$C$5:$C$1018, 0)), "")</f>
        <v>jennifer.moore</v>
      </c>
      <c r="C12" t="s">
        <v>636</v>
      </c>
      <c r="D12" s="65"/>
      <c r="E12">
        <v>2</v>
      </c>
      <c r="F12" t="s">
        <v>1538</v>
      </c>
      <c r="G12" t="s">
        <v>1544</v>
      </c>
      <c r="H12" t="s">
        <v>50</v>
      </c>
      <c r="I12" t="s">
        <v>87</v>
      </c>
      <c r="J12" s="89">
        <v>43244</v>
      </c>
      <c r="K12" s="89">
        <v>43378</v>
      </c>
      <c r="L12" s="89"/>
      <c r="M12" s="31">
        <v>70</v>
      </c>
      <c r="N12" s="38"/>
      <c r="O12" s="38"/>
      <c r="P12" s="33"/>
      <c r="Q12" s="9"/>
      <c r="R12" s="67"/>
      <c r="S12" s="9"/>
    </row>
    <row r="13" spans="1:19" x14ac:dyDescent="0.25">
      <c r="A13" s="4"/>
      <c r="B13" s="28" t="str">
        <f>IF(ISNUMBER(MATCH(C13, Mgt_Unit!$C$5:$C$1018, 0)), INDEX(Mgt_Unit!$B$5:$B$1018, MATCH(C13, Mgt_Unit!$C$5:$C$1018, 0)), "")</f>
        <v>jennifer.moore</v>
      </c>
      <c r="C13" t="s">
        <v>636</v>
      </c>
      <c r="D13" s="65"/>
      <c r="E13">
        <v>3</v>
      </c>
      <c r="F13" t="s">
        <v>1537</v>
      </c>
      <c r="G13" t="s">
        <v>1544</v>
      </c>
      <c r="H13" t="s">
        <v>441</v>
      </c>
      <c r="I13" t="s">
        <v>29</v>
      </c>
      <c r="J13" s="89">
        <v>43404</v>
      </c>
      <c r="K13" s="89"/>
      <c r="L13" s="89"/>
      <c r="M13" s="31"/>
      <c r="N13" s="38"/>
      <c r="O13" s="38"/>
      <c r="P13" s="33"/>
      <c r="Q13" s="9"/>
      <c r="R13" s="67"/>
      <c r="S13" s="9"/>
    </row>
    <row r="14" spans="1:19" x14ac:dyDescent="0.25">
      <c r="A14" s="4"/>
      <c r="B14" s="28" t="str">
        <f>IF(ISNUMBER(MATCH(C14, Mgt_Unit!$C$5:$C$1018, 0)), INDEX(Mgt_Unit!$B$5:$B$1018, MATCH(C14, Mgt_Unit!$C$5:$C$1018, 0)), "")</f>
        <v>jennifer.moore</v>
      </c>
      <c r="C14" s="87" t="s">
        <v>636</v>
      </c>
      <c r="D14" s="65"/>
      <c r="E14" s="87">
        <v>3</v>
      </c>
      <c r="F14" s="87" t="s">
        <v>1537</v>
      </c>
      <c r="G14" s="87" t="s">
        <v>1544</v>
      </c>
      <c r="H14" s="87" t="s">
        <v>442</v>
      </c>
      <c r="I14" s="87" t="s">
        <v>1282</v>
      </c>
      <c r="J14" s="90">
        <v>43404</v>
      </c>
      <c r="K14" s="90"/>
      <c r="L14" s="90"/>
      <c r="M14" s="93"/>
      <c r="N14" s="38"/>
      <c r="O14" s="38"/>
      <c r="P14" s="33"/>
      <c r="Q14" s="9"/>
      <c r="R14" s="67"/>
      <c r="S14" s="9"/>
    </row>
    <row r="15" spans="1:19" x14ac:dyDescent="0.25">
      <c r="A15" s="4"/>
      <c r="B15" s="28" t="str">
        <f>IF(ISNUMBER(MATCH(C15, Mgt_Unit!$C$5:$C$1018, 0)), INDEX(Mgt_Unit!$B$5:$B$1018, MATCH(C15, Mgt_Unit!$C$5:$C$1018, 0)), "")</f>
        <v>jennifer.moore</v>
      </c>
      <c r="C15" t="s">
        <v>637</v>
      </c>
      <c r="D15" s="65"/>
      <c r="E15">
        <v>1</v>
      </c>
      <c r="F15" t="s">
        <v>1537</v>
      </c>
      <c r="G15" t="s">
        <v>1544</v>
      </c>
      <c r="H15" t="s">
        <v>441</v>
      </c>
      <c r="I15" t="s">
        <v>29</v>
      </c>
      <c r="J15" s="89"/>
      <c r="K15" s="89">
        <v>43144</v>
      </c>
      <c r="L15" s="89"/>
      <c r="M15" s="31">
        <v>75</v>
      </c>
      <c r="N15" s="38"/>
      <c r="O15" s="38"/>
      <c r="P15" s="33"/>
      <c r="Q15" s="9"/>
      <c r="R15" s="67"/>
      <c r="S15" s="9"/>
    </row>
    <row r="16" spans="1:19" x14ac:dyDescent="0.25">
      <c r="A16" s="4"/>
      <c r="B16" s="28" t="str">
        <f>IF(ISNUMBER(MATCH(C16, Mgt_Unit!$C$5:$C$1018, 0)), INDEX(Mgt_Unit!$B$5:$B$1018, MATCH(C16, Mgt_Unit!$C$5:$C$1018, 0)), "")</f>
        <v>jennifer.moore</v>
      </c>
      <c r="C16" t="s">
        <v>637</v>
      </c>
      <c r="D16" s="65"/>
      <c r="E16">
        <v>1</v>
      </c>
      <c r="F16" t="s">
        <v>1537</v>
      </c>
      <c r="G16" t="s">
        <v>1544</v>
      </c>
      <c r="H16" t="s">
        <v>442</v>
      </c>
      <c r="I16" t="s">
        <v>1282</v>
      </c>
      <c r="J16" s="89"/>
      <c r="K16" s="89">
        <v>43144</v>
      </c>
      <c r="L16" s="89"/>
      <c r="M16" s="31">
        <v>75</v>
      </c>
      <c r="N16" s="38"/>
      <c r="O16" s="38"/>
      <c r="P16" s="33"/>
      <c r="Q16" s="9"/>
      <c r="R16" s="67"/>
      <c r="S16" s="9"/>
    </row>
    <row r="17" spans="1:19" x14ac:dyDescent="0.25">
      <c r="A17" s="4"/>
      <c r="B17" s="28" t="str">
        <f>IF(ISNUMBER(MATCH(C17, Mgt_Unit!$C$5:$C$1018, 0)), INDEX(Mgt_Unit!$B$5:$B$1018, MATCH(C17, Mgt_Unit!$C$5:$C$1018, 0)), "")</f>
        <v>jennifer.moore</v>
      </c>
      <c r="C17" t="s">
        <v>637</v>
      </c>
      <c r="D17" s="65"/>
      <c r="E17">
        <v>2</v>
      </c>
      <c r="F17" t="s">
        <v>1538</v>
      </c>
      <c r="G17" t="s">
        <v>1544</v>
      </c>
      <c r="H17" t="s">
        <v>50</v>
      </c>
      <c r="I17" t="s">
        <v>87</v>
      </c>
      <c r="J17" s="89">
        <v>43244</v>
      </c>
      <c r="K17" s="89">
        <v>43378</v>
      </c>
      <c r="L17" s="89"/>
      <c r="M17" s="31">
        <v>95</v>
      </c>
      <c r="N17" s="38"/>
      <c r="O17" s="38"/>
      <c r="P17" s="33"/>
      <c r="Q17" s="9"/>
      <c r="R17" s="67"/>
      <c r="S17" s="9"/>
    </row>
    <row r="18" spans="1:19" x14ac:dyDescent="0.25">
      <c r="A18" s="4"/>
      <c r="B18" s="28" t="str">
        <f>IF(ISNUMBER(MATCH(C18, Mgt_Unit!$C$5:$C$1018, 0)), INDEX(Mgt_Unit!$B$5:$B$1018, MATCH(C18, Mgt_Unit!$C$5:$C$1018, 0)), "")</f>
        <v>jennifer.moore</v>
      </c>
      <c r="C18" t="s">
        <v>637</v>
      </c>
      <c r="D18" s="65"/>
      <c r="E18">
        <v>3</v>
      </c>
      <c r="F18" t="s">
        <v>1537</v>
      </c>
      <c r="G18" t="s">
        <v>1544</v>
      </c>
      <c r="H18" t="s">
        <v>441</v>
      </c>
      <c r="I18" t="s">
        <v>29</v>
      </c>
      <c r="J18" s="89">
        <v>43404</v>
      </c>
      <c r="K18" s="89"/>
      <c r="L18" s="89"/>
      <c r="M18" s="31"/>
      <c r="N18" s="38"/>
      <c r="O18" s="38"/>
      <c r="P18" s="33"/>
      <c r="Q18" s="9"/>
      <c r="R18" s="67"/>
      <c r="S18" s="9"/>
    </row>
    <row r="19" spans="1:19" x14ac:dyDescent="0.25">
      <c r="A19" s="4"/>
      <c r="B19" s="28" t="str">
        <f>IF(ISNUMBER(MATCH(C19, Mgt_Unit!$C$5:$C$1018, 0)), INDEX(Mgt_Unit!$B$5:$B$1018, MATCH(C19, Mgt_Unit!$C$5:$C$1018, 0)), "")</f>
        <v>jennifer.moore</v>
      </c>
      <c r="C19" s="87" t="s">
        <v>637</v>
      </c>
      <c r="D19" s="65"/>
      <c r="E19" s="87">
        <v>3</v>
      </c>
      <c r="F19" s="87" t="s">
        <v>1537</v>
      </c>
      <c r="G19" s="87" t="s">
        <v>1544</v>
      </c>
      <c r="H19" s="87" t="s">
        <v>442</v>
      </c>
      <c r="I19" s="87" t="s">
        <v>1282</v>
      </c>
      <c r="J19" s="90">
        <v>43404</v>
      </c>
      <c r="K19" s="90"/>
      <c r="L19" s="90"/>
      <c r="M19" s="93"/>
      <c r="N19" s="38"/>
      <c r="O19" s="38"/>
      <c r="P19" s="33"/>
      <c r="Q19" s="9"/>
      <c r="R19" s="67"/>
      <c r="S19" s="9"/>
    </row>
    <row r="20" spans="1:19" x14ac:dyDescent="0.25">
      <c r="A20" s="4"/>
      <c r="B20" s="28" t="str">
        <f>IF(ISNUMBER(MATCH(C20, Mgt_Unit!$C$5:$C$1018, 0)), INDEX(Mgt_Unit!$B$5:$B$1018, MATCH(C20, Mgt_Unit!$C$5:$C$1018, 0)), "")</f>
        <v>jennifer.moore</v>
      </c>
      <c r="C20" t="s">
        <v>638</v>
      </c>
      <c r="D20" s="65"/>
      <c r="E20">
        <v>1</v>
      </c>
      <c r="F20" t="s">
        <v>1537</v>
      </c>
      <c r="G20" t="s">
        <v>1544</v>
      </c>
      <c r="H20" t="s">
        <v>441</v>
      </c>
      <c r="I20" t="s">
        <v>29</v>
      </c>
      <c r="J20" s="89"/>
      <c r="K20" s="89">
        <v>43144</v>
      </c>
      <c r="L20" s="89"/>
      <c r="M20" s="31">
        <v>75</v>
      </c>
      <c r="N20" s="9"/>
      <c r="O20" s="33"/>
      <c r="P20" s="33"/>
      <c r="Q20" s="9"/>
      <c r="R20" s="67"/>
      <c r="S20" s="9"/>
    </row>
    <row r="21" spans="1:19" x14ac:dyDescent="0.25">
      <c r="A21" s="4"/>
      <c r="B21" s="28" t="str">
        <f>IF(ISNUMBER(MATCH(C21, Mgt_Unit!$C$5:$C$1018, 0)), INDEX(Mgt_Unit!$B$5:$B$1018, MATCH(C21, Mgt_Unit!$C$5:$C$1018, 0)), "")</f>
        <v>jennifer.moore</v>
      </c>
      <c r="C21" t="s">
        <v>638</v>
      </c>
      <c r="D21" s="65"/>
      <c r="E21">
        <v>1</v>
      </c>
      <c r="F21" t="s">
        <v>1537</v>
      </c>
      <c r="G21" t="s">
        <v>1544</v>
      </c>
      <c r="H21" t="s">
        <v>442</v>
      </c>
      <c r="I21" t="s">
        <v>1282</v>
      </c>
      <c r="J21" s="89"/>
      <c r="K21" s="89">
        <v>43144</v>
      </c>
      <c r="L21" s="89"/>
      <c r="M21" s="31">
        <v>75</v>
      </c>
      <c r="N21" s="9"/>
      <c r="O21" s="33"/>
      <c r="P21" s="33"/>
      <c r="Q21" s="9"/>
      <c r="R21" s="67"/>
      <c r="S21" s="9"/>
    </row>
    <row r="22" spans="1:19" x14ac:dyDescent="0.25">
      <c r="A22" s="4"/>
      <c r="B22" s="28" t="str">
        <f>IF(ISNUMBER(MATCH(C22, Mgt_Unit!$C$5:$C$1018, 0)), INDEX(Mgt_Unit!$B$5:$B$1018, MATCH(C22, Mgt_Unit!$C$5:$C$1018, 0)), "")</f>
        <v>jennifer.moore</v>
      </c>
      <c r="C22" t="s">
        <v>638</v>
      </c>
      <c r="D22" s="65"/>
      <c r="E22">
        <v>2</v>
      </c>
      <c r="F22" t="s">
        <v>1538</v>
      </c>
      <c r="G22" t="s">
        <v>1544</v>
      </c>
      <c r="H22" t="s">
        <v>50</v>
      </c>
      <c r="I22" t="s">
        <v>87</v>
      </c>
      <c r="J22" s="89">
        <v>43244</v>
      </c>
      <c r="K22" s="89">
        <v>43378</v>
      </c>
      <c r="L22" s="89"/>
      <c r="M22" s="31">
        <v>95</v>
      </c>
      <c r="N22" s="9"/>
      <c r="O22" s="33"/>
      <c r="P22" s="33"/>
      <c r="Q22" s="9"/>
      <c r="R22" s="67"/>
      <c r="S22" s="9"/>
    </row>
    <row r="23" spans="1:19" x14ac:dyDescent="0.25">
      <c r="A23" s="4"/>
      <c r="B23" s="28" t="str">
        <f>IF(ISNUMBER(MATCH(C23, Mgt_Unit!$C$5:$C$1018, 0)), INDEX(Mgt_Unit!$B$5:$B$1018, MATCH(C23, Mgt_Unit!$C$5:$C$1018, 0)), "")</f>
        <v>jennifer.moore</v>
      </c>
      <c r="C23" t="s">
        <v>638</v>
      </c>
      <c r="D23" s="65"/>
      <c r="E23">
        <v>3</v>
      </c>
      <c r="F23" t="s">
        <v>1537</v>
      </c>
      <c r="G23" t="s">
        <v>1544</v>
      </c>
      <c r="H23" t="s">
        <v>441</v>
      </c>
      <c r="I23" t="s">
        <v>29</v>
      </c>
      <c r="J23" s="89">
        <v>43404</v>
      </c>
      <c r="K23" s="89"/>
      <c r="L23" s="89"/>
      <c r="M23" s="31"/>
      <c r="N23" s="9"/>
      <c r="O23" s="33"/>
      <c r="P23" s="33"/>
      <c r="Q23" s="9"/>
      <c r="R23" s="67"/>
      <c r="S23" s="9"/>
    </row>
    <row r="24" spans="1:19" x14ac:dyDescent="0.25">
      <c r="A24" s="4"/>
      <c r="B24" s="28" t="str">
        <f>IF(ISNUMBER(MATCH(C24, Mgt_Unit!$C$5:$C$1018, 0)), INDEX(Mgt_Unit!$B$5:$B$1018, MATCH(C24, Mgt_Unit!$C$5:$C$1018, 0)), "")</f>
        <v>jennifer.moore</v>
      </c>
      <c r="C24" s="87" t="s">
        <v>638</v>
      </c>
      <c r="D24" s="65"/>
      <c r="E24" s="87">
        <v>3</v>
      </c>
      <c r="F24" s="87" t="s">
        <v>1537</v>
      </c>
      <c r="G24" s="87" t="s">
        <v>1544</v>
      </c>
      <c r="H24" s="87" t="s">
        <v>442</v>
      </c>
      <c r="I24" s="87" t="s">
        <v>1282</v>
      </c>
      <c r="J24" s="90">
        <v>43404</v>
      </c>
      <c r="K24" s="90"/>
      <c r="L24" s="90"/>
      <c r="M24" s="93"/>
      <c r="N24" s="9"/>
      <c r="O24" s="33"/>
      <c r="P24" s="33"/>
      <c r="Q24" s="9"/>
      <c r="R24" s="67"/>
      <c r="S24" s="9"/>
    </row>
    <row r="25" spans="1:19" x14ac:dyDescent="0.25">
      <c r="A25" s="4"/>
      <c r="B25" s="28" t="str">
        <f>IF(ISNUMBER(MATCH(C25, Mgt_Unit!$C$5:$C$1018, 0)), INDEX(Mgt_Unit!$B$5:$B$1018, MATCH(C25, Mgt_Unit!$C$5:$C$1018, 0)), "")</f>
        <v>jennifer.moore</v>
      </c>
      <c r="C25" t="s">
        <v>639</v>
      </c>
      <c r="D25" s="65"/>
      <c r="E25">
        <v>1</v>
      </c>
      <c r="F25" t="s">
        <v>1537</v>
      </c>
      <c r="G25" t="s">
        <v>1544</v>
      </c>
      <c r="H25" t="s">
        <v>441</v>
      </c>
      <c r="I25" t="s">
        <v>29</v>
      </c>
      <c r="J25" s="89"/>
      <c r="K25" s="89">
        <v>43144</v>
      </c>
      <c r="L25" s="89"/>
      <c r="M25" s="31">
        <v>75</v>
      </c>
      <c r="N25" s="9"/>
      <c r="O25" s="33"/>
      <c r="P25" s="33"/>
      <c r="Q25" s="9"/>
      <c r="R25" s="67"/>
      <c r="S25" s="9"/>
    </row>
    <row r="26" spans="1:19" x14ac:dyDescent="0.25">
      <c r="A26" s="4"/>
      <c r="B26" s="28" t="str">
        <f>IF(ISNUMBER(MATCH(C26, Mgt_Unit!$C$5:$C$1018, 0)), INDEX(Mgt_Unit!$B$5:$B$1018, MATCH(C26, Mgt_Unit!$C$5:$C$1018, 0)), "")</f>
        <v>jennifer.moore</v>
      </c>
      <c r="C26" t="s">
        <v>639</v>
      </c>
      <c r="D26" s="65"/>
      <c r="E26">
        <v>1</v>
      </c>
      <c r="F26" t="s">
        <v>1537</v>
      </c>
      <c r="G26" t="s">
        <v>1544</v>
      </c>
      <c r="H26" t="s">
        <v>442</v>
      </c>
      <c r="I26" t="s">
        <v>1282</v>
      </c>
      <c r="J26" s="89"/>
      <c r="K26" s="89">
        <v>43144</v>
      </c>
      <c r="L26" s="89"/>
      <c r="M26" s="31">
        <v>75</v>
      </c>
      <c r="N26" s="9"/>
      <c r="O26" s="33"/>
      <c r="P26" s="33"/>
      <c r="Q26" s="9"/>
      <c r="R26" s="67"/>
      <c r="S26" s="9"/>
    </row>
    <row r="27" spans="1:19" x14ac:dyDescent="0.25">
      <c r="A27" s="4"/>
      <c r="B27" s="28" t="str">
        <f>IF(ISNUMBER(MATCH(C27, Mgt_Unit!$C$5:$C$1018, 0)), INDEX(Mgt_Unit!$B$5:$B$1018, MATCH(C27, Mgt_Unit!$C$5:$C$1018, 0)), "")</f>
        <v>jennifer.moore</v>
      </c>
      <c r="C27" t="s">
        <v>639</v>
      </c>
      <c r="D27" s="65"/>
      <c r="E27">
        <v>2</v>
      </c>
      <c r="F27" t="s">
        <v>1538</v>
      </c>
      <c r="G27" t="s">
        <v>1544</v>
      </c>
      <c r="H27" t="s">
        <v>50</v>
      </c>
      <c r="I27" t="s">
        <v>87</v>
      </c>
      <c r="J27" s="89">
        <v>43244</v>
      </c>
      <c r="K27" s="89">
        <v>43378</v>
      </c>
      <c r="L27" s="89"/>
      <c r="M27" s="31">
        <v>70</v>
      </c>
      <c r="N27" s="9"/>
      <c r="O27" s="33"/>
      <c r="P27" s="33"/>
      <c r="Q27" s="9"/>
      <c r="R27" s="67"/>
      <c r="S27" s="9"/>
    </row>
    <row r="28" spans="1:19" x14ac:dyDescent="0.25">
      <c r="A28" s="4"/>
      <c r="B28" s="28" t="str">
        <f>IF(ISNUMBER(MATCH(C28, Mgt_Unit!$C$5:$C$1018, 0)), INDEX(Mgt_Unit!$B$5:$B$1018, MATCH(C28, Mgt_Unit!$C$5:$C$1018, 0)), "")</f>
        <v>jennifer.moore</v>
      </c>
      <c r="C28" t="s">
        <v>639</v>
      </c>
      <c r="D28" s="65"/>
      <c r="E28">
        <v>3</v>
      </c>
      <c r="F28" t="s">
        <v>1537</v>
      </c>
      <c r="G28" t="s">
        <v>1544</v>
      </c>
      <c r="H28" t="s">
        <v>441</v>
      </c>
      <c r="I28" t="s">
        <v>29</v>
      </c>
      <c r="J28" s="89">
        <v>43404</v>
      </c>
      <c r="K28" s="89"/>
      <c r="L28" s="89"/>
      <c r="M28" s="31"/>
      <c r="N28" s="9"/>
      <c r="O28" s="33"/>
      <c r="P28" s="33"/>
      <c r="Q28" s="9"/>
      <c r="R28" s="67"/>
      <c r="S28" s="9"/>
    </row>
    <row r="29" spans="1:19" x14ac:dyDescent="0.25">
      <c r="A29" s="4"/>
      <c r="B29" s="28" t="str">
        <f>IF(ISNUMBER(MATCH(C29, Mgt_Unit!$C$5:$C$1018, 0)), INDEX(Mgt_Unit!$B$5:$B$1018, MATCH(C29, Mgt_Unit!$C$5:$C$1018, 0)), "")</f>
        <v>jennifer.moore</v>
      </c>
      <c r="C29" s="87" t="s">
        <v>639</v>
      </c>
      <c r="D29" s="65"/>
      <c r="E29" s="87">
        <v>3</v>
      </c>
      <c r="F29" s="87" t="s">
        <v>1537</v>
      </c>
      <c r="G29" s="87" t="s">
        <v>1544</v>
      </c>
      <c r="H29" s="87" t="s">
        <v>442</v>
      </c>
      <c r="I29" s="87" t="s">
        <v>1282</v>
      </c>
      <c r="J29" s="90">
        <v>43404</v>
      </c>
      <c r="K29" s="90"/>
      <c r="L29" s="90"/>
      <c r="M29" s="93"/>
      <c r="N29" s="9"/>
      <c r="O29" s="33"/>
      <c r="P29" s="33"/>
      <c r="Q29" s="9"/>
      <c r="R29" s="67"/>
      <c r="S29" s="9"/>
    </row>
    <row r="30" spans="1:19" x14ac:dyDescent="0.25">
      <c r="A30" s="4"/>
      <c r="B30" s="28" t="str">
        <f>IF(ISNUMBER(MATCH(C30, Mgt_Unit!$C$5:$C$1018, 0)), INDEX(Mgt_Unit!$B$5:$B$1018, MATCH(C30, Mgt_Unit!$C$5:$C$1018, 0)), "")</f>
        <v>jennifer.moore</v>
      </c>
      <c r="C30" s="88" t="s">
        <v>644</v>
      </c>
      <c r="D30" s="65"/>
      <c r="E30" s="88">
        <v>1</v>
      </c>
      <c r="F30" s="88" t="s">
        <v>1538</v>
      </c>
      <c r="G30" s="88" t="s">
        <v>1544</v>
      </c>
      <c r="H30" s="88" t="s">
        <v>441</v>
      </c>
      <c r="I30" s="88" t="s">
        <v>202</v>
      </c>
      <c r="J30" s="91">
        <v>43244</v>
      </c>
      <c r="K30" s="91">
        <v>43368</v>
      </c>
      <c r="L30" s="91"/>
      <c r="M30" s="94">
        <v>0</v>
      </c>
      <c r="N30" s="9"/>
      <c r="O30" s="33"/>
      <c r="P30" s="33"/>
      <c r="Q30" s="9"/>
      <c r="R30" s="67"/>
      <c r="S30" s="9"/>
    </row>
    <row r="31" spans="1:19" x14ac:dyDescent="0.25">
      <c r="A31" s="4"/>
      <c r="B31" s="28" t="str">
        <f>IF(ISNUMBER(MATCH(C31, Mgt_Unit!$C$5:$C$1018, 0)), INDEX(Mgt_Unit!$B$5:$B$1018, MATCH(C31, Mgt_Unit!$C$5:$C$1018, 0)), "")</f>
        <v>jennifer.moore</v>
      </c>
      <c r="C31" s="88" t="s">
        <v>644</v>
      </c>
      <c r="D31" s="65"/>
      <c r="E31" s="88">
        <v>2</v>
      </c>
      <c r="F31" s="88" t="s">
        <v>1538</v>
      </c>
      <c r="G31" s="88" t="s">
        <v>1544</v>
      </c>
      <c r="H31" s="88" t="s">
        <v>50</v>
      </c>
      <c r="I31" s="88" t="s">
        <v>87</v>
      </c>
      <c r="J31" s="91">
        <v>43608</v>
      </c>
      <c r="K31" s="91">
        <v>43789</v>
      </c>
      <c r="L31" s="91"/>
      <c r="M31" s="94">
        <v>0</v>
      </c>
      <c r="N31" s="9"/>
      <c r="O31" s="33"/>
      <c r="P31" s="33"/>
      <c r="Q31" s="9"/>
      <c r="R31" s="67"/>
      <c r="S31" s="9"/>
    </row>
    <row r="32" spans="1:19" x14ac:dyDescent="0.25">
      <c r="A32" s="4"/>
      <c r="B32" s="28" t="str">
        <f>IF(ISNUMBER(MATCH(C32, Mgt_Unit!$C$5:$C$1018, 0)), INDEX(Mgt_Unit!$B$5:$B$1018, MATCH(C32, Mgt_Unit!$C$5:$C$1018, 0)), "")</f>
        <v>jennifer.moore</v>
      </c>
      <c r="C32" s="88" t="s">
        <v>645</v>
      </c>
      <c r="D32" s="65"/>
      <c r="E32" s="88">
        <v>1</v>
      </c>
      <c r="F32" s="88" t="s">
        <v>1538</v>
      </c>
      <c r="G32" s="88" t="s">
        <v>1544</v>
      </c>
      <c r="H32" s="88" t="s">
        <v>441</v>
      </c>
      <c r="I32" s="88" t="s">
        <v>202</v>
      </c>
      <c r="J32" s="91">
        <v>43244</v>
      </c>
      <c r="K32" s="91">
        <v>43368</v>
      </c>
      <c r="L32" s="91"/>
      <c r="M32" s="94">
        <v>75</v>
      </c>
      <c r="N32" s="9"/>
      <c r="O32" s="33"/>
      <c r="P32" s="33"/>
      <c r="Q32" s="9"/>
      <c r="R32" s="67"/>
      <c r="S32" s="9"/>
    </row>
    <row r="33" spans="1:19" x14ac:dyDescent="0.25">
      <c r="A33" s="4"/>
      <c r="B33" s="28" t="str">
        <f>IF(ISNUMBER(MATCH(C33, Mgt_Unit!$C$5:$C$1018, 0)), INDEX(Mgt_Unit!$B$5:$B$1018, MATCH(C33, Mgt_Unit!$C$5:$C$1018, 0)), "")</f>
        <v>jennifer.moore</v>
      </c>
      <c r="C33" s="88" t="s">
        <v>645</v>
      </c>
      <c r="D33" s="65"/>
      <c r="E33" s="88">
        <v>2</v>
      </c>
      <c r="F33" s="88" t="s">
        <v>1538</v>
      </c>
      <c r="G33" s="88" t="s">
        <v>1544</v>
      </c>
      <c r="H33" s="88" t="s">
        <v>50</v>
      </c>
      <c r="I33" s="88" t="s">
        <v>87</v>
      </c>
      <c r="J33" s="91">
        <v>43608</v>
      </c>
      <c r="K33" s="91">
        <v>43789</v>
      </c>
      <c r="L33" s="91"/>
      <c r="M33" s="94">
        <v>95</v>
      </c>
      <c r="N33" s="9"/>
      <c r="O33" s="33"/>
      <c r="P33" s="33"/>
      <c r="Q33" s="9"/>
      <c r="R33" s="67"/>
      <c r="S33" s="9"/>
    </row>
    <row r="34" spans="1:19" x14ac:dyDescent="0.25">
      <c r="A34" s="4"/>
      <c r="B34" s="28" t="str">
        <f>IF(ISNUMBER(MATCH(C34, Mgt_Unit!$C$5:$C$1018, 0)), INDEX(Mgt_Unit!$B$5:$B$1018, MATCH(C34, Mgt_Unit!$C$5:$C$1018, 0)), "")</f>
        <v>jennifer.moore</v>
      </c>
      <c r="C34" t="s">
        <v>646</v>
      </c>
      <c r="D34" s="65"/>
      <c r="E34">
        <v>1</v>
      </c>
      <c r="F34" t="s">
        <v>1538</v>
      </c>
      <c r="G34" t="s">
        <v>1544</v>
      </c>
      <c r="H34" t="s">
        <v>441</v>
      </c>
      <c r="I34" t="s">
        <v>202</v>
      </c>
      <c r="J34" s="89">
        <v>43244</v>
      </c>
      <c r="K34" s="89">
        <v>43368</v>
      </c>
      <c r="L34" s="89"/>
      <c r="M34" s="31">
        <v>0</v>
      </c>
      <c r="N34" s="9"/>
      <c r="O34" s="33"/>
      <c r="P34" s="33"/>
      <c r="Q34" s="9"/>
      <c r="R34" s="67"/>
      <c r="S34" s="9"/>
    </row>
    <row r="35" spans="1:19" x14ac:dyDescent="0.25">
      <c r="A35" s="4"/>
      <c r="B35" s="28" t="str">
        <f>IF(ISNUMBER(MATCH(C35, Mgt_Unit!$C$5:$C$1018, 0)), INDEX(Mgt_Unit!$B$5:$B$1018, MATCH(C35, Mgt_Unit!$C$5:$C$1018, 0)), "")</f>
        <v>jennifer.moore</v>
      </c>
      <c r="C35" s="87" t="s">
        <v>646</v>
      </c>
      <c r="D35" s="65"/>
      <c r="E35" s="87">
        <v>2</v>
      </c>
      <c r="F35" s="87" t="s">
        <v>1538</v>
      </c>
      <c r="G35" s="87" t="s">
        <v>1544</v>
      </c>
      <c r="H35" s="87" t="s">
        <v>50</v>
      </c>
      <c r="I35" s="87" t="s">
        <v>87</v>
      </c>
      <c r="J35" s="90">
        <v>43608</v>
      </c>
      <c r="K35" s="90">
        <v>43789</v>
      </c>
      <c r="L35" s="90"/>
      <c r="M35" s="93">
        <v>0</v>
      </c>
      <c r="N35" s="9"/>
      <c r="O35" s="33"/>
      <c r="P35" s="33"/>
      <c r="Q35" s="9"/>
      <c r="R35" s="67"/>
      <c r="S35" s="9"/>
    </row>
    <row r="36" spans="1:19" x14ac:dyDescent="0.25">
      <c r="A36" s="4"/>
      <c r="B36" s="28" t="str">
        <f>IF(ISNUMBER(MATCH(C36, Mgt_Unit!$C$5:$C$1018, 0)), INDEX(Mgt_Unit!$B$5:$B$1018, MATCH(C36, Mgt_Unit!$C$5:$C$1018, 0)), "")</f>
        <v>jennifer.moore</v>
      </c>
      <c r="C36" t="s">
        <v>647</v>
      </c>
      <c r="D36" s="65"/>
      <c r="E36">
        <v>1</v>
      </c>
      <c r="F36" t="s">
        <v>1538</v>
      </c>
      <c r="G36" t="s">
        <v>1544</v>
      </c>
      <c r="H36" t="s">
        <v>441</v>
      </c>
      <c r="I36" t="s">
        <v>202</v>
      </c>
      <c r="J36" s="89">
        <v>43244</v>
      </c>
      <c r="K36" s="89">
        <v>43368</v>
      </c>
      <c r="L36" s="89"/>
      <c r="M36" s="31">
        <v>75</v>
      </c>
      <c r="N36" s="9"/>
      <c r="O36" s="33"/>
      <c r="P36" s="33"/>
      <c r="Q36" s="9"/>
      <c r="R36" s="67"/>
      <c r="S36" s="9"/>
    </row>
    <row r="37" spans="1:19" x14ac:dyDescent="0.25">
      <c r="A37" s="4"/>
      <c r="B37" s="28" t="str">
        <f>IF(ISNUMBER(MATCH(C37, Mgt_Unit!$C$5:$C$1018, 0)), INDEX(Mgt_Unit!$B$5:$B$1018, MATCH(C37, Mgt_Unit!$C$5:$C$1018, 0)), "")</f>
        <v>jennifer.moore</v>
      </c>
      <c r="C37" s="87" t="s">
        <v>647</v>
      </c>
      <c r="D37" s="65"/>
      <c r="E37" s="87">
        <v>2</v>
      </c>
      <c r="F37" s="87" t="s">
        <v>1538</v>
      </c>
      <c r="G37" s="87" t="s">
        <v>1544</v>
      </c>
      <c r="H37" s="87" t="s">
        <v>50</v>
      </c>
      <c r="I37" s="87" t="s">
        <v>87</v>
      </c>
      <c r="J37" s="90">
        <v>43608</v>
      </c>
      <c r="K37" s="90">
        <v>43789</v>
      </c>
      <c r="L37" s="90"/>
      <c r="M37" s="93">
        <v>95</v>
      </c>
      <c r="N37" s="9"/>
      <c r="O37" s="33"/>
      <c r="P37" s="33"/>
      <c r="Q37" s="9"/>
      <c r="R37" s="67"/>
      <c r="S37" s="9"/>
    </row>
    <row r="38" spans="1:19" x14ac:dyDescent="0.25">
      <c r="A38" s="4"/>
      <c r="B38" s="28" t="str">
        <f>IF(ISNUMBER(MATCH(C38, Mgt_Unit!$C$5:$C$1018, 0)), INDEX(Mgt_Unit!$B$5:$B$1018, MATCH(C38, Mgt_Unit!$C$5:$C$1018, 0)), "")</f>
        <v>jennifer.moore</v>
      </c>
      <c r="C38" t="s">
        <v>648</v>
      </c>
      <c r="D38" s="65"/>
      <c r="E38">
        <v>1</v>
      </c>
      <c r="F38" t="s">
        <v>1538</v>
      </c>
      <c r="G38" t="s">
        <v>1544</v>
      </c>
      <c r="H38" t="s">
        <v>50</v>
      </c>
      <c r="I38" t="s">
        <v>87</v>
      </c>
      <c r="J38" s="89">
        <v>43243</v>
      </c>
      <c r="K38" s="89">
        <v>43424</v>
      </c>
      <c r="L38" s="89"/>
      <c r="M38" s="31">
        <v>30</v>
      </c>
      <c r="N38" s="9"/>
      <c r="O38" s="33"/>
      <c r="P38" s="33"/>
      <c r="Q38" s="9"/>
      <c r="R38" s="67"/>
      <c r="S38" s="9"/>
    </row>
    <row r="39" spans="1:19" x14ac:dyDescent="0.25">
      <c r="A39" s="4"/>
      <c r="B39" s="28" t="str">
        <f>IF(ISNUMBER(MATCH(C39, Mgt_Unit!$C$5:$C$1018, 0)), INDEX(Mgt_Unit!$B$5:$B$1018, MATCH(C39, Mgt_Unit!$C$5:$C$1018, 0)), "")</f>
        <v>jennifer.moore</v>
      </c>
      <c r="C39" s="87" t="s">
        <v>648</v>
      </c>
      <c r="D39" s="65"/>
      <c r="E39" s="87">
        <v>2</v>
      </c>
      <c r="F39" s="87" t="s">
        <v>1538</v>
      </c>
      <c r="G39" s="87" t="s">
        <v>1544</v>
      </c>
      <c r="H39" s="87" t="s">
        <v>441</v>
      </c>
      <c r="I39" s="87" t="s">
        <v>202</v>
      </c>
      <c r="J39" s="90">
        <v>43609</v>
      </c>
      <c r="K39" s="90">
        <v>43733</v>
      </c>
      <c r="L39" s="90"/>
      <c r="M39" s="93">
        <v>75</v>
      </c>
      <c r="N39" s="9"/>
      <c r="O39" s="33"/>
      <c r="P39" s="33"/>
      <c r="Q39" s="9"/>
      <c r="R39" s="67"/>
      <c r="S39" s="9"/>
    </row>
    <row r="40" spans="1:19" x14ac:dyDescent="0.25">
      <c r="A40" s="4"/>
      <c r="B40" s="28" t="str">
        <f>IF(ISNUMBER(MATCH(C40, Mgt_Unit!$C$5:$C$1018, 0)), INDEX(Mgt_Unit!$B$5:$B$1018, MATCH(C40, Mgt_Unit!$C$5:$C$1018, 0)), "")</f>
        <v>jennifer.moore</v>
      </c>
      <c r="C40" s="123" t="s">
        <v>649</v>
      </c>
      <c r="D40" s="65"/>
      <c r="E40" s="123">
        <v>1</v>
      </c>
      <c r="F40" s="123" t="s">
        <v>1538</v>
      </c>
      <c r="G40" s="123" t="s">
        <v>1544</v>
      </c>
      <c r="H40" s="123" t="s">
        <v>441</v>
      </c>
      <c r="I40" s="123" t="s">
        <v>202</v>
      </c>
      <c r="J40" s="124">
        <v>43244</v>
      </c>
      <c r="K40" s="124">
        <v>43368</v>
      </c>
      <c r="L40" s="124"/>
      <c r="M40" s="125">
        <v>75</v>
      </c>
      <c r="N40" s="9"/>
      <c r="O40" s="33"/>
      <c r="P40" s="33"/>
      <c r="Q40" s="9"/>
      <c r="R40" s="67"/>
      <c r="S40" s="9"/>
    </row>
    <row r="41" spans="1:19" x14ac:dyDescent="0.25">
      <c r="A41" s="4"/>
      <c r="B41" s="28" t="str">
        <f>IF(ISNUMBER(MATCH(C41, Mgt_Unit!$C$5:$C$1018, 0)), INDEX(Mgt_Unit!$B$5:$B$1018, MATCH(C41, Mgt_Unit!$C$5:$C$1018, 0)), "")</f>
        <v>jennifer.moore</v>
      </c>
      <c r="C41" s="87" t="s">
        <v>650</v>
      </c>
      <c r="D41" s="65"/>
      <c r="E41" s="87">
        <v>1</v>
      </c>
      <c r="F41" s="87" t="s">
        <v>1538</v>
      </c>
      <c r="G41" s="87" t="s">
        <v>1544</v>
      </c>
      <c r="H41" s="87" t="s">
        <v>441</v>
      </c>
      <c r="I41" s="87" t="s">
        <v>202</v>
      </c>
      <c r="J41" s="90">
        <v>42879</v>
      </c>
      <c r="K41" s="90">
        <v>43003</v>
      </c>
      <c r="L41" s="90"/>
      <c r="M41" s="93">
        <v>75</v>
      </c>
      <c r="N41" s="9"/>
      <c r="O41" s="33"/>
      <c r="P41" s="33"/>
      <c r="Q41" s="9"/>
      <c r="R41" s="67"/>
      <c r="S41" s="9"/>
    </row>
    <row r="42" spans="1:19" x14ac:dyDescent="0.25">
      <c r="A42" s="4"/>
      <c r="B42" s="28" t="str">
        <f>IF(ISNUMBER(MATCH(C42, Mgt_Unit!$C$5:$C$1018, 0)), INDEX(Mgt_Unit!$B$5:$B$1018, MATCH(C42, Mgt_Unit!$C$5:$C$1018, 0)), "")</f>
        <v>jennifer.moore</v>
      </c>
      <c r="C42" t="s">
        <v>650</v>
      </c>
      <c r="D42" s="65"/>
      <c r="E42">
        <v>2</v>
      </c>
      <c r="F42" t="s">
        <v>1538</v>
      </c>
      <c r="G42" t="s">
        <v>1544</v>
      </c>
      <c r="H42" t="s">
        <v>442</v>
      </c>
      <c r="I42" t="s">
        <v>90</v>
      </c>
      <c r="J42" s="89">
        <v>43245</v>
      </c>
      <c r="K42" s="89">
        <v>43382</v>
      </c>
      <c r="L42" s="89"/>
      <c r="M42" s="31">
        <v>0</v>
      </c>
      <c r="N42" s="9"/>
      <c r="O42" s="33"/>
      <c r="P42" s="33"/>
      <c r="Q42" s="9"/>
      <c r="R42" s="67"/>
      <c r="S42" s="9"/>
    </row>
    <row r="43" spans="1:19" x14ac:dyDescent="0.25">
      <c r="A43" s="4"/>
      <c r="B43" s="28" t="str">
        <f>IF(ISNUMBER(MATCH(C43, Mgt_Unit!$C$5:$C$1018, 0)), INDEX(Mgt_Unit!$B$5:$B$1018, MATCH(C43, Mgt_Unit!$C$5:$C$1018, 0)), "")</f>
        <v>jennifer.moore</v>
      </c>
      <c r="C43" s="87" t="s">
        <v>650</v>
      </c>
      <c r="D43" s="65"/>
      <c r="E43" s="87">
        <v>3</v>
      </c>
      <c r="F43" s="87" t="s">
        <v>1538</v>
      </c>
      <c r="G43" s="87" t="s">
        <v>1544</v>
      </c>
      <c r="H43" s="87" t="s">
        <v>50</v>
      </c>
      <c r="I43" s="87" t="s">
        <v>87</v>
      </c>
      <c r="J43" s="90">
        <v>43608</v>
      </c>
      <c r="K43" s="90">
        <v>43789</v>
      </c>
      <c r="L43" s="90"/>
      <c r="M43" s="93">
        <v>30</v>
      </c>
      <c r="N43" s="9"/>
      <c r="O43" s="33"/>
      <c r="P43" s="33"/>
      <c r="Q43" s="9"/>
      <c r="R43" s="67"/>
      <c r="S43" s="9"/>
    </row>
    <row r="44" spans="1:19" x14ac:dyDescent="0.25">
      <c r="A44" s="4"/>
      <c r="B44" s="28" t="str">
        <f>IF(ISNUMBER(MATCH(C44, Mgt_Unit!$C$5:$C$1018, 0)), INDEX(Mgt_Unit!$B$5:$B$1018, MATCH(C44, Mgt_Unit!$C$5:$C$1018, 0)), "")</f>
        <v>jennifer.moore</v>
      </c>
      <c r="C44" s="88" t="s">
        <v>651</v>
      </c>
      <c r="D44" s="65"/>
      <c r="E44" s="88">
        <v>1</v>
      </c>
      <c r="F44" s="88" t="s">
        <v>1538</v>
      </c>
      <c r="G44" s="88" t="s">
        <v>1544</v>
      </c>
      <c r="H44" s="88" t="s">
        <v>50</v>
      </c>
      <c r="I44" s="88" t="s">
        <v>87</v>
      </c>
      <c r="J44" s="91">
        <v>43243</v>
      </c>
      <c r="K44" s="91">
        <v>43424</v>
      </c>
      <c r="L44" s="91"/>
      <c r="M44" s="94">
        <v>0</v>
      </c>
      <c r="N44" s="9"/>
      <c r="O44" s="33"/>
      <c r="P44" s="33"/>
      <c r="Q44" s="9"/>
      <c r="R44" s="67"/>
      <c r="S44" s="9"/>
    </row>
    <row r="45" spans="1:19" x14ac:dyDescent="0.25">
      <c r="A45" s="4"/>
      <c r="B45" s="28" t="str">
        <f>IF(ISNUMBER(MATCH(C45, Mgt_Unit!$C$5:$C$1018, 0)), INDEX(Mgt_Unit!$B$5:$B$1018, MATCH(C45, Mgt_Unit!$C$5:$C$1018, 0)), "")</f>
        <v>jennifer.moore</v>
      </c>
      <c r="C45" s="123" t="s">
        <v>652</v>
      </c>
      <c r="D45" s="65"/>
      <c r="E45" s="123">
        <v>1</v>
      </c>
      <c r="F45" s="123" t="s">
        <v>1538</v>
      </c>
      <c r="G45" s="123" t="s">
        <v>1544</v>
      </c>
      <c r="H45" s="123" t="s">
        <v>50</v>
      </c>
      <c r="I45" s="123" t="s">
        <v>87</v>
      </c>
      <c r="J45" s="124">
        <v>43243</v>
      </c>
      <c r="K45" s="124">
        <v>43424</v>
      </c>
      <c r="L45" s="124"/>
      <c r="M45" s="125">
        <v>95</v>
      </c>
      <c r="N45" s="9"/>
      <c r="O45" s="33"/>
      <c r="P45" s="33"/>
      <c r="Q45" s="9"/>
      <c r="R45" s="67"/>
      <c r="S45" s="9"/>
    </row>
    <row r="46" spans="1:19" x14ac:dyDescent="0.25">
      <c r="A46" s="4"/>
      <c r="B46" s="28" t="str">
        <f>IF(ISNUMBER(MATCH(C46, Mgt_Unit!$C$5:$C$1018, 0)), INDEX(Mgt_Unit!$B$5:$B$1018, MATCH(C46, Mgt_Unit!$C$5:$C$1018, 0)), "")</f>
        <v>jennifer.moore</v>
      </c>
      <c r="C46" t="s">
        <v>653</v>
      </c>
      <c r="D46" s="65"/>
      <c r="E46">
        <v>1</v>
      </c>
      <c r="F46" t="s">
        <v>1538</v>
      </c>
      <c r="G46" t="s">
        <v>1544</v>
      </c>
      <c r="H46" t="s">
        <v>50</v>
      </c>
      <c r="I46" t="s">
        <v>87</v>
      </c>
      <c r="J46" s="89">
        <v>43243</v>
      </c>
      <c r="K46" s="89">
        <v>43424</v>
      </c>
      <c r="L46" s="89"/>
      <c r="M46" s="31">
        <v>0</v>
      </c>
      <c r="N46" s="9"/>
      <c r="O46" s="33"/>
      <c r="P46" s="33"/>
      <c r="Q46" s="9"/>
      <c r="R46" s="67"/>
      <c r="S46" s="9"/>
    </row>
    <row r="47" spans="1:19" x14ac:dyDescent="0.25">
      <c r="A47" s="4"/>
      <c r="B47" s="28" t="str">
        <f>IF(ISNUMBER(MATCH(C47, Mgt_Unit!$C$5:$C$1018, 0)), INDEX(Mgt_Unit!$B$5:$B$1018, MATCH(C47, Mgt_Unit!$C$5:$C$1018, 0)), "")</f>
        <v>jennifer.moore</v>
      </c>
      <c r="C47" s="87" t="s">
        <v>653</v>
      </c>
      <c r="D47" s="65"/>
      <c r="E47" s="87">
        <v>2</v>
      </c>
      <c r="F47" s="87" t="s">
        <v>1538</v>
      </c>
      <c r="G47" s="87" t="s">
        <v>1544</v>
      </c>
      <c r="H47" s="87" t="s">
        <v>441</v>
      </c>
      <c r="I47" s="87" t="s">
        <v>202</v>
      </c>
      <c r="J47" s="90">
        <v>43609</v>
      </c>
      <c r="K47" s="90">
        <v>43733</v>
      </c>
      <c r="L47" s="90"/>
      <c r="M47" s="93">
        <v>0</v>
      </c>
      <c r="N47" s="9"/>
      <c r="O47" s="33"/>
      <c r="P47" s="33"/>
      <c r="Q47" s="9"/>
      <c r="R47" s="67"/>
      <c r="S47" s="9"/>
    </row>
    <row r="48" spans="1:19" x14ac:dyDescent="0.25">
      <c r="A48" s="4"/>
      <c r="B48" s="28" t="str">
        <f>IF(ISNUMBER(MATCH(C48, Mgt_Unit!$C$5:$C$1018, 0)), INDEX(Mgt_Unit!$B$5:$B$1018, MATCH(C48, Mgt_Unit!$C$5:$C$1018, 0)), "")</f>
        <v>jennifer.moore</v>
      </c>
      <c r="C48" s="88" t="s">
        <v>654</v>
      </c>
      <c r="D48" s="65"/>
      <c r="E48" s="88">
        <v>1</v>
      </c>
      <c r="F48" s="88" t="s">
        <v>1538</v>
      </c>
      <c r="G48" s="88" t="s">
        <v>1544</v>
      </c>
      <c r="H48" s="88" t="s">
        <v>50</v>
      </c>
      <c r="I48" s="88" t="s">
        <v>87</v>
      </c>
      <c r="J48" s="91">
        <v>43243</v>
      </c>
      <c r="K48" s="91">
        <v>43424</v>
      </c>
      <c r="L48" s="91"/>
      <c r="M48" s="94">
        <v>95</v>
      </c>
      <c r="N48" s="9"/>
      <c r="O48" s="33"/>
      <c r="P48" s="33"/>
      <c r="Q48" s="9"/>
      <c r="R48" s="67"/>
      <c r="S48" s="9"/>
    </row>
    <row r="49" spans="1:19" x14ac:dyDescent="0.25">
      <c r="A49" s="4"/>
      <c r="B49" s="28" t="str">
        <f>IF(ISNUMBER(MATCH(C49, Mgt_Unit!$C$5:$C$1018, 0)), INDEX(Mgt_Unit!$B$5:$B$1018, MATCH(C49, Mgt_Unit!$C$5:$C$1018, 0)), "")</f>
        <v>jennifer.moore</v>
      </c>
      <c r="C49" s="88" t="s">
        <v>654</v>
      </c>
      <c r="D49" s="65"/>
      <c r="E49" s="88">
        <v>2</v>
      </c>
      <c r="F49" s="88" t="s">
        <v>1538</v>
      </c>
      <c r="G49" s="88" t="s">
        <v>1544</v>
      </c>
      <c r="H49" s="88" t="s">
        <v>441</v>
      </c>
      <c r="I49" s="88" t="s">
        <v>202</v>
      </c>
      <c r="J49" s="91">
        <v>43609</v>
      </c>
      <c r="K49" s="91">
        <v>43733</v>
      </c>
      <c r="L49" s="91"/>
      <c r="M49" s="94">
        <v>75</v>
      </c>
      <c r="N49" s="9"/>
      <c r="O49" s="33"/>
      <c r="P49" s="33"/>
      <c r="Q49" s="9"/>
      <c r="R49" s="67"/>
      <c r="S49" s="9"/>
    </row>
    <row r="50" spans="1:19" x14ac:dyDescent="0.25">
      <c r="A50" s="4"/>
      <c r="B50" s="28" t="str">
        <f>IF(ISNUMBER(MATCH(C50, Mgt_Unit!$C$5:$C$1018, 0)), INDEX(Mgt_Unit!$B$5:$B$1018, MATCH(C50, Mgt_Unit!$C$5:$C$1018, 0)), "")</f>
        <v>jennifer.moore</v>
      </c>
      <c r="C50" t="s">
        <v>655</v>
      </c>
      <c r="D50" s="65"/>
      <c r="E50">
        <v>1</v>
      </c>
      <c r="F50" t="s">
        <v>1538</v>
      </c>
      <c r="G50" t="s">
        <v>1544</v>
      </c>
      <c r="H50" t="s">
        <v>50</v>
      </c>
      <c r="I50" t="s">
        <v>87</v>
      </c>
      <c r="J50" s="89">
        <v>43243</v>
      </c>
      <c r="K50" s="89">
        <v>43424</v>
      </c>
      <c r="L50" s="89"/>
      <c r="M50" s="31">
        <v>0</v>
      </c>
      <c r="N50" s="9"/>
      <c r="O50" s="33"/>
      <c r="P50" s="33"/>
      <c r="Q50" s="9"/>
      <c r="R50" s="67"/>
      <c r="S50" s="9"/>
    </row>
    <row r="51" spans="1:19" x14ac:dyDescent="0.25">
      <c r="A51" s="4"/>
      <c r="B51" s="28" t="str">
        <f>IF(ISNUMBER(MATCH(C51, Mgt_Unit!$C$5:$C$1018, 0)), INDEX(Mgt_Unit!$B$5:$B$1018, MATCH(C51, Mgt_Unit!$C$5:$C$1018, 0)), "")</f>
        <v>jennifer.moore</v>
      </c>
      <c r="C51" s="87" t="s">
        <v>655</v>
      </c>
      <c r="D51" s="65"/>
      <c r="E51" s="87">
        <v>2</v>
      </c>
      <c r="F51" s="87" t="s">
        <v>1538</v>
      </c>
      <c r="G51" s="87" t="s">
        <v>1544</v>
      </c>
      <c r="H51" s="87" t="s">
        <v>441</v>
      </c>
      <c r="I51" s="87" t="s">
        <v>202</v>
      </c>
      <c r="J51" s="90">
        <v>43609</v>
      </c>
      <c r="K51" s="90">
        <v>43733</v>
      </c>
      <c r="L51" s="90"/>
      <c r="M51" s="93">
        <v>0</v>
      </c>
      <c r="N51" s="9"/>
      <c r="O51" s="33"/>
      <c r="P51" s="33"/>
      <c r="Q51" s="9"/>
      <c r="R51" s="67"/>
      <c r="S51" s="9"/>
    </row>
    <row r="52" spans="1:19" x14ac:dyDescent="0.25">
      <c r="A52" s="4"/>
      <c r="B52" s="28" t="str">
        <f>IF(ISNUMBER(MATCH(C52, Mgt_Unit!$C$5:$C$1018, 0)), INDEX(Mgt_Unit!$B$5:$B$1018, MATCH(C52, Mgt_Unit!$C$5:$C$1018, 0)), "")</f>
        <v>jennifer.moore</v>
      </c>
      <c r="C52" t="s">
        <v>656</v>
      </c>
      <c r="D52" s="65"/>
      <c r="E52">
        <v>1</v>
      </c>
      <c r="F52" t="s">
        <v>1538</v>
      </c>
      <c r="G52" t="s">
        <v>1544</v>
      </c>
      <c r="H52" t="s">
        <v>50</v>
      </c>
      <c r="I52" t="s">
        <v>87</v>
      </c>
      <c r="J52" s="89">
        <v>43243</v>
      </c>
      <c r="K52" s="89">
        <v>43424</v>
      </c>
      <c r="L52" s="89"/>
      <c r="M52" s="31">
        <v>95</v>
      </c>
      <c r="N52" s="9"/>
      <c r="O52" s="33"/>
      <c r="P52" s="33"/>
      <c r="Q52" s="9"/>
      <c r="R52" s="67"/>
      <c r="S52" s="9"/>
    </row>
    <row r="53" spans="1:19" x14ac:dyDescent="0.25">
      <c r="A53" s="4"/>
      <c r="B53" s="28" t="str">
        <f>IF(ISNUMBER(MATCH(C53, Mgt_Unit!$C$5:$C$1018, 0)), INDEX(Mgt_Unit!$B$5:$B$1018, MATCH(C53, Mgt_Unit!$C$5:$C$1018, 0)), "")</f>
        <v>jennifer.moore</v>
      </c>
      <c r="C53" s="87" t="s">
        <v>656</v>
      </c>
      <c r="D53" s="65"/>
      <c r="E53" s="87">
        <v>2</v>
      </c>
      <c r="F53" s="87" t="s">
        <v>1538</v>
      </c>
      <c r="G53" s="87" t="s">
        <v>1544</v>
      </c>
      <c r="H53" s="87" t="s">
        <v>441</v>
      </c>
      <c r="I53" s="87" t="s">
        <v>202</v>
      </c>
      <c r="J53" s="90">
        <v>43609</v>
      </c>
      <c r="K53" s="90">
        <v>43733</v>
      </c>
      <c r="L53" s="90"/>
      <c r="M53" s="93">
        <v>75</v>
      </c>
      <c r="N53" s="9"/>
      <c r="O53" s="33"/>
      <c r="P53" s="33"/>
      <c r="Q53" s="9"/>
      <c r="R53" s="67"/>
      <c r="S53" s="9"/>
    </row>
    <row r="54" spans="1:19" x14ac:dyDescent="0.25">
      <c r="A54" s="4"/>
      <c r="B54" s="28" t="str">
        <f>IF(ISNUMBER(MATCH(C54, Mgt_Unit!$C$5:$C$1018, 0)), INDEX(Mgt_Unit!$B$5:$B$1018, MATCH(C54, Mgt_Unit!$C$5:$C$1018, 0)), "")</f>
        <v>jennifer.moore</v>
      </c>
      <c r="C54" s="123" t="s">
        <v>657</v>
      </c>
      <c r="D54" s="65"/>
      <c r="E54" s="123">
        <v>1</v>
      </c>
      <c r="F54" s="123" t="s">
        <v>1538</v>
      </c>
      <c r="G54" s="123" t="s">
        <v>1544</v>
      </c>
      <c r="H54" s="123" t="s">
        <v>441</v>
      </c>
      <c r="I54" s="123" t="s">
        <v>202</v>
      </c>
      <c r="J54" s="124">
        <v>43244</v>
      </c>
      <c r="K54" s="124">
        <v>43368</v>
      </c>
      <c r="L54" s="124"/>
      <c r="M54" s="125">
        <v>0</v>
      </c>
      <c r="N54" s="9"/>
      <c r="O54" s="33"/>
      <c r="P54" s="33"/>
      <c r="Q54" s="9"/>
      <c r="R54" s="67"/>
      <c r="S54" s="9"/>
    </row>
    <row r="55" spans="1:19" x14ac:dyDescent="0.25">
      <c r="A55" s="4"/>
      <c r="B55" s="28" t="str">
        <f>IF(ISNUMBER(MATCH(C55, Mgt_Unit!$C$5:$C$1018, 0)), INDEX(Mgt_Unit!$B$5:$B$1018, MATCH(C55, Mgt_Unit!$C$5:$C$1018, 0)), "")</f>
        <v>jennifer.moore</v>
      </c>
      <c r="C55" s="87" t="s">
        <v>640</v>
      </c>
      <c r="D55" s="65"/>
      <c r="E55" s="87">
        <v>1</v>
      </c>
      <c r="F55" s="87" t="s">
        <v>1538</v>
      </c>
      <c r="G55" s="87" t="s">
        <v>1544</v>
      </c>
      <c r="H55" s="87" t="s">
        <v>441</v>
      </c>
      <c r="I55" s="87" t="s">
        <v>202</v>
      </c>
      <c r="J55" s="90">
        <v>43244</v>
      </c>
      <c r="K55" s="90">
        <v>43368</v>
      </c>
      <c r="L55" s="90"/>
      <c r="M55" s="93">
        <v>0</v>
      </c>
      <c r="N55" s="9"/>
      <c r="O55" s="33"/>
      <c r="P55" s="33"/>
      <c r="Q55" s="9"/>
      <c r="R55" s="67"/>
      <c r="S55" s="9"/>
    </row>
    <row r="56" spans="1:19" x14ac:dyDescent="0.25">
      <c r="A56" s="4"/>
      <c r="B56" s="28" t="str">
        <f>IF(ISNUMBER(MATCH(C56, Mgt_Unit!$C$5:$C$1018, 0)), INDEX(Mgt_Unit!$B$5:$B$1018, MATCH(C56, Mgt_Unit!$C$5:$C$1018, 0)), "")</f>
        <v>jennifer.moore</v>
      </c>
      <c r="C56" s="123" t="s">
        <v>641</v>
      </c>
      <c r="D56" s="65"/>
      <c r="E56" s="123">
        <v>1</v>
      </c>
      <c r="F56" s="123" t="s">
        <v>1538</v>
      </c>
      <c r="G56" s="123" t="s">
        <v>1544</v>
      </c>
      <c r="H56" s="123" t="s">
        <v>441</v>
      </c>
      <c r="I56" s="123" t="s">
        <v>202</v>
      </c>
      <c r="J56" s="124">
        <v>43244</v>
      </c>
      <c r="K56" s="124">
        <v>43368</v>
      </c>
      <c r="L56" s="124"/>
      <c r="M56" s="125">
        <v>75</v>
      </c>
      <c r="N56" s="9"/>
      <c r="O56" s="33"/>
      <c r="P56" s="33"/>
      <c r="Q56" s="9"/>
      <c r="R56" s="67"/>
      <c r="S56" s="9"/>
    </row>
    <row r="57" spans="1:19" x14ac:dyDescent="0.25">
      <c r="A57" s="4"/>
      <c r="B57" s="28" t="str">
        <f>IF(ISNUMBER(MATCH(C57, Mgt_Unit!$C$5:$C$1018, 0)), INDEX(Mgt_Unit!$B$5:$B$1018, MATCH(C57, Mgt_Unit!$C$5:$C$1018, 0)), "")</f>
        <v>jennifer.moore</v>
      </c>
      <c r="C57" s="87" t="s">
        <v>642</v>
      </c>
      <c r="D57" s="65"/>
      <c r="E57" s="87">
        <v>1</v>
      </c>
      <c r="F57" s="87" t="s">
        <v>1538</v>
      </c>
      <c r="G57" s="87" t="s">
        <v>1544</v>
      </c>
      <c r="H57" s="87" t="s">
        <v>50</v>
      </c>
      <c r="I57" s="87" t="s">
        <v>87</v>
      </c>
      <c r="J57" s="90">
        <v>43243</v>
      </c>
      <c r="K57" s="90">
        <v>43424</v>
      </c>
      <c r="L57" s="90"/>
      <c r="M57" s="93">
        <v>0</v>
      </c>
      <c r="N57" s="9"/>
      <c r="O57" s="33"/>
      <c r="P57" s="33"/>
      <c r="Q57" s="9"/>
      <c r="R57" s="67"/>
      <c r="S57" s="9"/>
    </row>
    <row r="58" spans="1:19" x14ac:dyDescent="0.25">
      <c r="A58" s="4"/>
      <c r="B58" s="28" t="str">
        <f>IF(ISNUMBER(MATCH(C58, Mgt_Unit!$C$5:$C$1018, 0)), INDEX(Mgt_Unit!$B$5:$B$1018, MATCH(C58, Mgt_Unit!$C$5:$C$1018, 0)), "")</f>
        <v>jennifer.moore</v>
      </c>
      <c r="C58" s="88" t="s">
        <v>643</v>
      </c>
      <c r="D58" s="65"/>
      <c r="E58" s="88">
        <v>1</v>
      </c>
      <c r="F58" s="88" t="s">
        <v>1538</v>
      </c>
      <c r="G58" s="88" t="s">
        <v>1544</v>
      </c>
      <c r="H58" s="88" t="s">
        <v>50</v>
      </c>
      <c r="I58" s="88" t="s">
        <v>87</v>
      </c>
      <c r="J58" s="91">
        <v>43243</v>
      </c>
      <c r="K58" s="91">
        <v>43424</v>
      </c>
      <c r="L58" s="91"/>
      <c r="M58" s="94">
        <v>95</v>
      </c>
      <c r="N58" s="9"/>
      <c r="O58" s="33"/>
      <c r="P58" s="33"/>
      <c r="Q58" s="9"/>
      <c r="R58" s="67"/>
      <c r="S58" s="9"/>
    </row>
    <row r="59" spans="1:19" x14ac:dyDescent="0.25">
      <c r="A59" s="4"/>
      <c r="B59" s="28" t="str">
        <f>IF(ISNUMBER(MATCH(C59, Mgt_Unit!$C$5:$C$1018, 0)), INDEX(Mgt_Unit!$B$5:$B$1018, MATCH(C59, Mgt_Unit!$C$5:$C$1018, 0)), "")</f>
        <v>jennifer.moore</v>
      </c>
      <c r="C59" t="s">
        <v>658</v>
      </c>
      <c r="D59" s="65"/>
      <c r="E59">
        <v>1</v>
      </c>
      <c r="F59" t="s">
        <v>1538</v>
      </c>
      <c r="G59" t="s">
        <v>1544</v>
      </c>
      <c r="H59" t="s">
        <v>50</v>
      </c>
      <c r="I59" t="s">
        <v>87</v>
      </c>
      <c r="J59" s="89">
        <v>43242</v>
      </c>
      <c r="K59" s="89">
        <v>43431</v>
      </c>
      <c r="L59" s="89"/>
      <c r="M59" s="31">
        <v>0</v>
      </c>
      <c r="N59" s="9"/>
      <c r="O59" s="33"/>
      <c r="P59" s="33"/>
      <c r="Q59" s="9"/>
      <c r="R59" s="67"/>
      <c r="S59" s="9"/>
    </row>
    <row r="60" spans="1:19" x14ac:dyDescent="0.25">
      <c r="A60" s="4"/>
      <c r="B60" s="28" t="str">
        <f>IF(ISNUMBER(MATCH(C60, Mgt_Unit!$C$5:$C$1018, 0)), INDEX(Mgt_Unit!$B$5:$B$1018, MATCH(C60, Mgt_Unit!$C$5:$C$1018, 0)), "")</f>
        <v>jennifer.moore</v>
      </c>
      <c r="C60" s="87" t="s">
        <v>658</v>
      </c>
      <c r="D60" s="65"/>
      <c r="E60" s="87">
        <v>2</v>
      </c>
      <c r="F60" s="87" t="s">
        <v>1538</v>
      </c>
      <c r="G60" s="87" t="s">
        <v>1544</v>
      </c>
      <c r="H60" s="87" t="s">
        <v>441</v>
      </c>
      <c r="I60" s="87" t="s">
        <v>195</v>
      </c>
      <c r="J60" s="90">
        <v>43607</v>
      </c>
      <c r="K60" s="90">
        <v>43732</v>
      </c>
      <c r="L60" s="90"/>
      <c r="M60" s="93">
        <v>0</v>
      </c>
      <c r="N60" s="9"/>
      <c r="O60" s="33"/>
      <c r="P60" s="33"/>
      <c r="Q60" s="9"/>
      <c r="R60" s="67"/>
      <c r="S60" s="9"/>
    </row>
    <row r="61" spans="1:19" x14ac:dyDescent="0.25">
      <c r="A61" s="4"/>
      <c r="B61" s="28" t="str">
        <f>IF(ISNUMBER(MATCH(C61, Mgt_Unit!$C$5:$C$1018, 0)), INDEX(Mgt_Unit!$B$5:$B$1018, MATCH(C61, Mgt_Unit!$C$5:$C$1018, 0)), "")</f>
        <v>jennifer.moore</v>
      </c>
      <c r="C61" t="s">
        <v>659</v>
      </c>
      <c r="D61" s="65"/>
      <c r="E61">
        <v>1</v>
      </c>
      <c r="F61" t="s">
        <v>1538</v>
      </c>
      <c r="G61" t="s">
        <v>1544</v>
      </c>
      <c r="H61" t="s">
        <v>441</v>
      </c>
      <c r="I61" t="s">
        <v>195</v>
      </c>
      <c r="J61" s="89">
        <v>43242</v>
      </c>
      <c r="K61" s="89">
        <v>43367</v>
      </c>
      <c r="L61" s="89"/>
      <c r="M61" s="31">
        <v>0</v>
      </c>
      <c r="N61" s="9"/>
      <c r="O61" s="33"/>
      <c r="P61" s="33"/>
      <c r="Q61" s="9"/>
      <c r="R61" s="67"/>
      <c r="S61" s="9"/>
    </row>
    <row r="62" spans="1:19" x14ac:dyDescent="0.25">
      <c r="A62" s="4"/>
      <c r="B62" s="28" t="str">
        <f>IF(ISNUMBER(MATCH(C62, Mgt_Unit!$C$5:$C$1018, 0)), INDEX(Mgt_Unit!$B$5:$B$1018, MATCH(C62, Mgt_Unit!$C$5:$C$1018, 0)), "")</f>
        <v>jennifer.moore</v>
      </c>
      <c r="C62" s="87" t="s">
        <v>659</v>
      </c>
      <c r="D62" s="65"/>
      <c r="E62" s="87">
        <v>2</v>
      </c>
      <c r="F62" s="87" t="s">
        <v>1538</v>
      </c>
      <c r="G62" s="87" t="s">
        <v>1544</v>
      </c>
      <c r="H62" s="87" t="s">
        <v>50</v>
      </c>
      <c r="I62" s="87" t="s">
        <v>87</v>
      </c>
      <c r="J62" s="90">
        <v>43607</v>
      </c>
      <c r="K62" s="90">
        <v>43796</v>
      </c>
      <c r="L62" s="90"/>
      <c r="M62" s="93">
        <v>0</v>
      </c>
      <c r="N62" s="9"/>
      <c r="O62" s="33"/>
      <c r="P62" s="33"/>
      <c r="Q62" s="9"/>
      <c r="R62" s="67"/>
      <c r="S62" s="9"/>
    </row>
    <row r="63" spans="1:19" x14ac:dyDescent="0.25">
      <c r="A63" s="4"/>
      <c r="B63" s="28" t="str">
        <f>IF(ISNUMBER(MATCH(C63, Mgt_Unit!$C$5:$C$1018, 0)), INDEX(Mgt_Unit!$B$5:$B$1018, MATCH(C63, Mgt_Unit!$C$5:$C$1018, 0)), "")</f>
        <v>jennifer.moore</v>
      </c>
      <c r="C63" t="s">
        <v>660</v>
      </c>
      <c r="D63" s="65"/>
      <c r="E63">
        <v>1</v>
      </c>
      <c r="F63" t="s">
        <v>1538</v>
      </c>
      <c r="G63" t="s">
        <v>1544</v>
      </c>
      <c r="H63" t="s">
        <v>50</v>
      </c>
      <c r="I63" t="s">
        <v>87</v>
      </c>
      <c r="J63" s="89">
        <v>43242</v>
      </c>
      <c r="K63" s="89">
        <v>43431</v>
      </c>
      <c r="L63" s="89"/>
      <c r="M63" s="31">
        <v>0</v>
      </c>
      <c r="N63" s="9"/>
      <c r="O63" s="33"/>
      <c r="P63" s="33"/>
      <c r="Q63" s="9"/>
      <c r="R63" s="67"/>
      <c r="S63" s="9"/>
    </row>
    <row r="64" spans="1:19" x14ac:dyDescent="0.25">
      <c r="A64" s="4"/>
      <c r="B64" s="28" t="str">
        <f>IF(ISNUMBER(MATCH(C64, Mgt_Unit!$C$5:$C$1018, 0)), INDEX(Mgt_Unit!$B$5:$B$1018, MATCH(C64, Mgt_Unit!$C$5:$C$1018, 0)), "")</f>
        <v>jennifer.moore</v>
      </c>
      <c r="C64" s="87" t="s">
        <v>660</v>
      </c>
      <c r="D64" s="65"/>
      <c r="E64" s="87">
        <v>2</v>
      </c>
      <c r="F64" s="87" t="s">
        <v>1538</v>
      </c>
      <c r="G64" s="87" t="s">
        <v>1544</v>
      </c>
      <c r="H64" s="87" t="s">
        <v>441</v>
      </c>
      <c r="I64" s="87" t="s">
        <v>195</v>
      </c>
      <c r="J64" s="90">
        <v>43607</v>
      </c>
      <c r="K64" s="90">
        <v>43732</v>
      </c>
      <c r="L64" s="90"/>
      <c r="M64" s="93">
        <v>0</v>
      </c>
      <c r="N64" s="9"/>
      <c r="O64" s="33"/>
      <c r="P64" s="33"/>
      <c r="Q64" s="9"/>
      <c r="R64" s="67"/>
      <c r="S64" s="9"/>
    </row>
    <row r="65" spans="1:19" x14ac:dyDescent="0.25">
      <c r="A65" s="4"/>
      <c r="B65" s="28" t="str">
        <f>IF(ISNUMBER(MATCH(C65, Mgt_Unit!$C$5:$C$1018, 0)), INDEX(Mgt_Unit!$B$5:$B$1018, MATCH(C65, Mgt_Unit!$C$5:$C$1018, 0)), "")</f>
        <v>jennifer.moore</v>
      </c>
      <c r="C65" t="s">
        <v>661</v>
      </c>
      <c r="D65" s="65"/>
      <c r="E65">
        <v>1</v>
      </c>
      <c r="F65" t="s">
        <v>1538</v>
      </c>
      <c r="G65" t="s">
        <v>1544</v>
      </c>
      <c r="H65" t="s">
        <v>441</v>
      </c>
      <c r="I65" t="s">
        <v>195</v>
      </c>
      <c r="J65" s="89">
        <v>43242</v>
      </c>
      <c r="K65" s="89">
        <v>43367</v>
      </c>
      <c r="L65" s="89"/>
      <c r="M65" s="31">
        <v>0</v>
      </c>
      <c r="N65" s="9"/>
      <c r="O65" s="33"/>
      <c r="P65" s="33"/>
      <c r="Q65" s="9"/>
      <c r="R65" s="67"/>
      <c r="S65" s="9"/>
    </row>
    <row r="66" spans="1:19" x14ac:dyDescent="0.25">
      <c r="A66" s="4"/>
      <c r="B66" s="28" t="str">
        <f>IF(ISNUMBER(MATCH(C66, Mgt_Unit!$C$5:$C$1018, 0)), INDEX(Mgt_Unit!$B$5:$B$1018, MATCH(C66, Mgt_Unit!$C$5:$C$1018, 0)), "")</f>
        <v>jennifer.moore</v>
      </c>
      <c r="C66" s="87" t="s">
        <v>661</v>
      </c>
      <c r="D66" s="65"/>
      <c r="E66" s="87">
        <v>2</v>
      </c>
      <c r="F66" s="87" t="s">
        <v>1538</v>
      </c>
      <c r="G66" s="87" t="s">
        <v>1544</v>
      </c>
      <c r="H66" s="87" t="s">
        <v>50</v>
      </c>
      <c r="I66" s="87" t="s">
        <v>87</v>
      </c>
      <c r="J66" s="90">
        <v>43607</v>
      </c>
      <c r="K66" s="90">
        <v>43796</v>
      </c>
      <c r="L66" s="90"/>
      <c r="M66" s="93">
        <v>0</v>
      </c>
      <c r="N66" s="9"/>
      <c r="O66" s="33"/>
      <c r="P66" s="33"/>
      <c r="Q66" s="9"/>
      <c r="R66" s="67"/>
      <c r="S66" s="9"/>
    </row>
    <row r="67" spans="1:19" x14ac:dyDescent="0.25">
      <c r="A67" s="4"/>
      <c r="B67" s="28" t="str">
        <f>IF(ISNUMBER(MATCH(C67, Mgt_Unit!$C$5:$C$1018, 0)), INDEX(Mgt_Unit!$B$5:$B$1018, MATCH(C67, Mgt_Unit!$C$5:$C$1018, 0)), "")</f>
        <v>jennifer.moore</v>
      </c>
      <c r="C67" t="s">
        <v>662</v>
      </c>
      <c r="D67" s="65"/>
      <c r="E67">
        <v>1</v>
      </c>
      <c r="F67" t="s">
        <v>1538</v>
      </c>
      <c r="G67" t="s">
        <v>1544</v>
      </c>
      <c r="H67" t="s">
        <v>50</v>
      </c>
      <c r="I67" t="s">
        <v>87</v>
      </c>
      <c r="J67" s="89">
        <v>43242</v>
      </c>
      <c r="K67" s="89">
        <v>43431</v>
      </c>
      <c r="L67" s="89"/>
      <c r="M67" s="31">
        <v>95</v>
      </c>
      <c r="N67" s="9"/>
      <c r="O67" s="33"/>
      <c r="P67" s="33"/>
      <c r="Q67" s="9"/>
      <c r="R67" s="67"/>
      <c r="S67" s="9"/>
    </row>
    <row r="68" spans="1:19" x14ac:dyDescent="0.25">
      <c r="A68" s="4"/>
      <c r="B68" s="28" t="str">
        <f>IF(ISNUMBER(MATCH(C68, Mgt_Unit!$C$5:$C$1018, 0)), INDEX(Mgt_Unit!$B$5:$B$1018, MATCH(C68, Mgt_Unit!$C$5:$C$1018, 0)), "")</f>
        <v>jennifer.moore</v>
      </c>
      <c r="C68" s="87" t="s">
        <v>662</v>
      </c>
      <c r="D68" s="65"/>
      <c r="E68" s="87">
        <v>2</v>
      </c>
      <c r="F68" s="87" t="s">
        <v>1538</v>
      </c>
      <c r="G68" s="87" t="s">
        <v>1544</v>
      </c>
      <c r="H68" s="87" t="s">
        <v>441</v>
      </c>
      <c r="I68" s="87" t="s">
        <v>195</v>
      </c>
      <c r="J68" s="90">
        <v>43607</v>
      </c>
      <c r="K68" s="90">
        <v>43732</v>
      </c>
      <c r="L68" s="90"/>
      <c r="M68" s="93">
        <v>75</v>
      </c>
      <c r="N68" s="9"/>
      <c r="O68" s="33"/>
      <c r="P68" s="33"/>
      <c r="Q68" s="9"/>
      <c r="R68" s="67"/>
      <c r="S68" s="9"/>
    </row>
    <row r="69" spans="1:19" x14ac:dyDescent="0.25">
      <c r="A69" s="4"/>
      <c r="B69" s="28" t="str">
        <f>IF(ISNUMBER(MATCH(C69, Mgt_Unit!$C$5:$C$1018, 0)), INDEX(Mgt_Unit!$B$5:$B$1018, MATCH(C69, Mgt_Unit!$C$5:$C$1018, 0)), "")</f>
        <v>jennifer.moore</v>
      </c>
      <c r="C69" t="s">
        <v>663</v>
      </c>
      <c r="D69" s="65"/>
      <c r="E69">
        <v>1</v>
      </c>
      <c r="F69" t="s">
        <v>1538</v>
      </c>
      <c r="G69" t="s">
        <v>1544</v>
      </c>
      <c r="H69" t="s">
        <v>441</v>
      </c>
      <c r="I69" t="s">
        <v>195</v>
      </c>
      <c r="J69" s="89">
        <v>43242</v>
      </c>
      <c r="K69" s="89">
        <v>43367</v>
      </c>
      <c r="L69" s="89"/>
      <c r="M69" s="31">
        <v>75</v>
      </c>
      <c r="N69" s="9"/>
      <c r="O69" s="33"/>
      <c r="P69" s="33"/>
      <c r="Q69" s="9"/>
      <c r="R69" s="67"/>
      <c r="S69" s="9"/>
    </row>
    <row r="70" spans="1:19" x14ac:dyDescent="0.25">
      <c r="A70" s="4"/>
      <c r="B70" s="28" t="str">
        <f>IF(ISNUMBER(MATCH(C70, Mgt_Unit!$C$5:$C$1018, 0)), INDEX(Mgt_Unit!$B$5:$B$1018, MATCH(C70, Mgt_Unit!$C$5:$C$1018, 0)), "")</f>
        <v>jennifer.moore</v>
      </c>
      <c r="C70" s="87" t="s">
        <v>663</v>
      </c>
      <c r="D70" s="65"/>
      <c r="E70" s="87">
        <v>2</v>
      </c>
      <c r="F70" s="87" t="s">
        <v>1538</v>
      </c>
      <c r="G70" s="87" t="s">
        <v>1544</v>
      </c>
      <c r="H70" s="87" t="s">
        <v>50</v>
      </c>
      <c r="I70" s="87" t="s">
        <v>87</v>
      </c>
      <c r="J70" s="90">
        <v>43607</v>
      </c>
      <c r="K70" s="90">
        <v>43796</v>
      </c>
      <c r="L70" s="90"/>
      <c r="M70" s="93">
        <v>95</v>
      </c>
      <c r="N70" s="9"/>
      <c r="O70" s="33"/>
      <c r="P70" s="33"/>
      <c r="Q70" s="9"/>
      <c r="R70" s="67"/>
      <c r="S70" s="9"/>
    </row>
    <row r="71" spans="1:19" x14ac:dyDescent="0.25">
      <c r="A71" s="4"/>
      <c r="B71" s="28" t="str">
        <f>IF(ISNUMBER(MATCH(C71, Mgt_Unit!$C$5:$C$1018, 0)), INDEX(Mgt_Unit!$B$5:$B$1018, MATCH(C71, Mgt_Unit!$C$5:$C$1018, 0)), "")</f>
        <v>jennifer.moore</v>
      </c>
      <c r="C71" s="88" t="s">
        <v>664</v>
      </c>
      <c r="D71" s="65"/>
      <c r="E71" s="88">
        <v>1</v>
      </c>
      <c r="F71" s="88" t="s">
        <v>1538</v>
      </c>
      <c r="G71" s="88" t="s">
        <v>1544</v>
      </c>
      <c r="H71" s="88" t="s">
        <v>50</v>
      </c>
      <c r="I71" s="88" t="s">
        <v>87</v>
      </c>
      <c r="J71" s="91">
        <v>43202</v>
      </c>
      <c r="K71" s="91">
        <v>43426</v>
      </c>
      <c r="L71" s="91"/>
      <c r="M71" s="94">
        <v>95</v>
      </c>
      <c r="N71" s="9"/>
      <c r="O71" s="33"/>
      <c r="P71" s="33"/>
      <c r="Q71" s="9"/>
      <c r="R71" s="67"/>
      <c r="S71" s="9"/>
    </row>
    <row r="72" spans="1:19" x14ac:dyDescent="0.25">
      <c r="A72" s="4"/>
      <c r="B72" s="28" t="str">
        <f>IF(ISNUMBER(MATCH(C72, Mgt_Unit!$C$5:$C$1018, 0)), INDEX(Mgt_Unit!$B$5:$B$1018, MATCH(C72, Mgt_Unit!$C$5:$C$1018, 0)), "")</f>
        <v>jennifer.moore</v>
      </c>
      <c r="C72" s="88" t="s">
        <v>665</v>
      </c>
      <c r="D72" s="65"/>
      <c r="E72" s="88">
        <v>1</v>
      </c>
      <c r="F72" s="88" t="s">
        <v>1538</v>
      </c>
      <c r="G72" s="88" t="s">
        <v>1544</v>
      </c>
      <c r="H72" s="88" t="s">
        <v>50</v>
      </c>
      <c r="I72" s="88" t="s">
        <v>87</v>
      </c>
      <c r="J72" s="91">
        <v>43202</v>
      </c>
      <c r="K72" s="91">
        <v>43426</v>
      </c>
      <c r="L72" s="91"/>
      <c r="M72" s="94">
        <v>0</v>
      </c>
      <c r="N72" s="9"/>
      <c r="O72" s="33"/>
      <c r="P72" s="33"/>
      <c r="Q72" s="9"/>
      <c r="R72" s="67"/>
      <c r="S72" s="9"/>
    </row>
    <row r="73" spans="1:19" x14ac:dyDescent="0.25">
      <c r="A73" s="4"/>
      <c r="B73" s="28" t="str">
        <f>IF(ISNUMBER(MATCH(C73, Mgt_Unit!$C$5:$C$1018, 0)), INDEX(Mgt_Unit!$B$5:$B$1018, MATCH(C73, Mgt_Unit!$C$5:$C$1018, 0)), "")</f>
        <v>jennifer.moore</v>
      </c>
      <c r="C73" s="88" t="s">
        <v>666</v>
      </c>
      <c r="D73" s="65"/>
      <c r="E73" s="88">
        <v>1</v>
      </c>
      <c r="F73" s="88" t="s">
        <v>1538</v>
      </c>
      <c r="G73" s="88" t="s">
        <v>1544</v>
      </c>
      <c r="H73" s="88" t="s">
        <v>50</v>
      </c>
      <c r="I73" s="88" t="s">
        <v>87</v>
      </c>
      <c r="J73" s="91">
        <v>43202</v>
      </c>
      <c r="K73" s="91">
        <v>43426</v>
      </c>
      <c r="L73" s="91"/>
      <c r="M73" s="94">
        <v>0</v>
      </c>
      <c r="N73" s="9"/>
      <c r="O73" s="33"/>
      <c r="P73" s="33"/>
      <c r="Q73" s="9"/>
      <c r="R73" s="67"/>
      <c r="S73" s="9"/>
    </row>
    <row r="74" spans="1:19" x14ac:dyDescent="0.25">
      <c r="A74" s="4"/>
      <c r="B74" s="28" t="str">
        <f>IF(ISNUMBER(MATCH(C74, Mgt_Unit!$C$5:$C$1018, 0)), INDEX(Mgt_Unit!$B$5:$B$1018, MATCH(C74, Mgt_Unit!$C$5:$C$1018, 0)), "")</f>
        <v>jennifer.moore</v>
      </c>
      <c r="C74" t="s">
        <v>667</v>
      </c>
      <c r="D74" s="65"/>
      <c r="E74">
        <v>1</v>
      </c>
      <c r="F74" t="s">
        <v>1538</v>
      </c>
      <c r="G74" t="s">
        <v>1544</v>
      </c>
      <c r="H74" t="s">
        <v>441</v>
      </c>
      <c r="I74" t="s">
        <v>29</v>
      </c>
      <c r="J74" s="89">
        <v>43236</v>
      </c>
      <c r="K74" s="89">
        <v>43390</v>
      </c>
      <c r="L74" s="89"/>
      <c r="M74" s="31">
        <v>90</v>
      </c>
      <c r="N74" s="9"/>
      <c r="O74" s="33"/>
      <c r="P74" s="33"/>
      <c r="Q74" s="9"/>
      <c r="R74" s="67"/>
      <c r="S74" s="9" t="s">
        <v>1588</v>
      </c>
    </row>
    <row r="75" spans="1:19" x14ac:dyDescent="0.25">
      <c r="A75" s="4"/>
      <c r="B75" s="28" t="str">
        <f>IF(ISNUMBER(MATCH(C75, Mgt_Unit!$C$5:$C$1018, 0)), INDEX(Mgt_Unit!$B$5:$B$1018, MATCH(C75, Mgt_Unit!$C$5:$C$1018, 0)), "")</f>
        <v>jennifer.moore</v>
      </c>
      <c r="C75" s="87" t="s">
        <v>667</v>
      </c>
      <c r="D75" s="65"/>
      <c r="E75" s="87">
        <v>2</v>
      </c>
      <c r="F75" s="87" t="s">
        <v>1538</v>
      </c>
      <c r="G75" s="87" t="s">
        <v>1544</v>
      </c>
      <c r="H75" s="87" t="s">
        <v>50</v>
      </c>
      <c r="I75" s="87" t="s">
        <v>87</v>
      </c>
      <c r="J75" s="90">
        <v>43574</v>
      </c>
      <c r="K75" s="90">
        <v>43791</v>
      </c>
      <c r="L75" s="90"/>
      <c r="M75" s="93">
        <v>0</v>
      </c>
      <c r="N75" s="9"/>
      <c r="O75" s="33"/>
      <c r="P75" s="33"/>
      <c r="Q75" s="9"/>
      <c r="R75" s="67"/>
      <c r="S75" s="9"/>
    </row>
    <row r="76" spans="1:19" x14ac:dyDescent="0.25">
      <c r="A76" s="4"/>
      <c r="B76" s="28" t="str">
        <f>IF(ISNUMBER(MATCH(C76, Mgt_Unit!$C$5:$C$1018, 0)), INDEX(Mgt_Unit!$B$5:$B$1018, MATCH(C76, Mgt_Unit!$C$5:$C$1018, 0)), "")</f>
        <v>jennifer.moore</v>
      </c>
      <c r="C76" t="s">
        <v>668</v>
      </c>
      <c r="D76" s="65"/>
      <c r="E76">
        <v>1</v>
      </c>
      <c r="F76" t="s">
        <v>1538</v>
      </c>
      <c r="G76" t="s">
        <v>1544</v>
      </c>
      <c r="H76" t="s">
        <v>50</v>
      </c>
      <c r="I76" t="s">
        <v>87</v>
      </c>
      <c r="J76" s="89">
        <v>43202</v>
      </c>
      <c r="K76" s="89">
        <v>43426</v>
      </c>
      <c r="L76" s="89"/>
      <c r="M76" s="31">
        <v>0</v>
      </c>
      <c r="N76" s="9"/>
      <c r="O76" s="33"/>
      <c r="P76" s="33"/>
      <c r="Q76" s="9"/>
      <c r="R76" s="67"/>
      <c r="S76" s="9"/>
    </row>
    <row r="77" spans="1:19" x14ac:dyDescent="0.25">
      <c r="A77" s="4"/>
      <c r="B77" s="28" t="str">
        <f>IF(ISNUMBER(MATCH(C77, Mgt_Unit!$C$5:$C$1018, 0)), INDEX(Mgt_Unit!$B$5:$B$1018, MATCH(C77, Mgt_Unit!$C$5:$C$1018, 0)), "")</f>
        <v>jennifer.moore</v>
      </c>
      <c r="C77" s="87" t="s">
        <v>668</v>
      </c>
      <c r="D77" s="65"/>
      <c r="E77" s="87">
        <v>2</v>
      </c>
      <c r="F77" s="87" t="s">
        <v>1538</v>
      </c>
      <c r="G77" s="87" t="s">
        <v>1544</v>
      </c>
      <c r="H77" s="87" t="s">
        <v>441</v>
      </c>
      <c r="I77" s="87" t="s">
        <v>29</v>
      </c>
      <c r="J77" s="90">
        <v>43601</v>
      </c>
      <c r="K77" s="90">
        <v>43755</v>
      </c>
      <c r="L77" s="90"/>
      <c r="M77" s="93">
        <v>90</v>
      </c>
      <c r="N77" s="9"/>
      <c r="O77" s="33"/>
      <c r="P77" s="33"/>
      <c r="Q77" s="9"/>
      <c r="R77" s="67"/>
      <c r="S77" s="9" t="s">
        <v>1588</v>
      </c>
    </row>
    <row r="78" spans="1:19" x14ac:dyDescent="0.25">
      <c r="A78" s="4"/>
      <c r="B78" s="28" t="str">
        <f>IF(ISNUMBER(MATCH(C78, Mgt_Unit!$C$5:$C$1018, 0)), INDEX(Mgt_Unit!$B$5:$B$1018, MATCH(C78, Mgt_Unit!$C$5:$C$1018, 0)), "")</f>
        <v>jennifer.moore</v>
      </c>
      <c r="C78" t="s">
        <v>669</v>
      </c>
      <c r="D78" s="65"/>
      <c r="E78">
        <v>1</v>
      </c>
      <c r="F78" t="s">
        <v>1538</v>
      </c>
      <c r="G78" t="s">
        <v>1544</v>
      </c>
      <c r="H78" t="s">
        <v>441</v>
      </c>
      <c r="I78" t="s">
        <v>202</v>
      </c>
      <c r="J78" s="89">
        <v>43108</v>
      </c>
      <c r="K78" s="89">
        <v>43235</v>
      </c>
      <c r="L78" s="89"/>
      <c r="M78" s="31">
        <v>50</v>
      </c>
      <c r="N78" s="9"/>
      <c r="O78" s="33"/>
      <c r="P78" s="33"/>
      <c r="Q78" s="9"/>
      <c r="R78" s="67"/>
      <c r="S78" s="9"/>
    </row>
    <row r="79" spans="1:19" x14ac:dyDescent="0.25">
      <c r="A79" s="4"/>
      <c r="B79" s="28" t="str">
        <f>IF(ISNUMBER(MATCH(C79, Mgt_Unit!$C$5:$C$1018, 0)), INDEX(Mgt_Unit!$B$5:$B$1018, MATCH(C79, Mgt_Unit!$C$5:$C$1018, 0)), "")</f>
        <v>jennifer.moore</v>
      </c>
      <c r="C79" s="87" t="s">
        <v>669</v>
      </c>
      <c r="D79" s="65"/>
      <c r="E79" s="87">
        <v>2</v>
      </c>
      <c r="F79" s="87" t="s">
        <v>1538</v>
      </c>
      <c r="G79" s="87" t="s">
        <v>1544</v>
      </c>
      <c r="H79" s="87" t="s">
        <v>50</v>
      </c>
      <c r="I79" s="87" t="s">
        <v>87</v>
      </c>
      <c r="J79" s="90">
        <v>43253</v>
      </c>
      <c r="K79" s="90">
        <v>43444</v>
      </c>
      <c r="L79" s="90"/>
      <c r="M79" s="93">
        <v>50</v>
      </c>
      <c r="N79" s="9"/>
      <c r="O79" s="33"/>
      <c r="P79" s="33"/>
      <c r="Q79" s="9"/>
      <c r="R79" s="67"/>
      <c r="S79" s="9"/>
    </row>
    <row r="80" spans="1:19" x14ac:dyDescent="0.25">
      <c r="A80" s="4"/>
      <c r="B80" s="28" t="str">
        <f>IF(ISNUMBER(MATCH(C80, Mgt_Unit!$C$5:$C$1018, 0)), INDEX(Mgt_Unit!$B$5:$B$1018, MATCH(C80, Mgt_Unit!$C$5:$C$1018, 0)), "")</f>
        <v>jennifer.moore</v>
      </c>
      <c r="C80" t="s">
        <v>670</v>
      </c>
      <c r="D80" s="65"/>
      <c r="E80">
        <v>1</v>
      </c>
      <c r="F80" t="s">
        <v>1538</v>
      </c>
      <c r="G80" t="s">
        <v>1544</v>
      </c>
      <c r="H80" t="s">
        <v>441</v>
      </c>
      <c r="I80" t="s">
        <v>202</v>
      </c>
      <c r="J80" s="89">
        <v>43108</v>
      </c>
      <c r="K80" s="89">
        <v>43235</v>
      </c>
      <c r="L80" s="89"/>
      <c r="M80" s="31">
        <v>50</v>
      </c>
      <c r="N80" s="9"/>
      <c r="O80" s="33"/>
      <c r="P80" s="33"/>
      <c r="Q80" s="9"/>
      <c r="R80" s="67"/>
      <c r="S80" s="9"/>
    </row>
    <row r="81" spans="1:19" x14ac:dyDescent="0.25">
      <c r="A81" s="4"/>
      <c r="B81" s="28" t="str">
        <f>IF(ISNUMBER(MATCH(C81, Mgt_Unit!$C$5:$C$1018, 0)), INDEX(Mgt_Unit!$B$5:$B$1018, MATCH(C81, Mgt_Unit!$C$5:$C$1018, 0)), "")</f>
        <v>jennifer.moore</v>
      </c>
      <c r="C81" s="87" t="s">
        <v>670</v>
      </c>
      <c r="D81" s="65"/>
      <c r="E81" s="87">
        <v>2</v>
      </c>
      <c r="F81" s="87" t="s">
        <v>1538</v>
      </c>
      <c r="G81" s="87" t="s">
        <v>1544</v>
      </c>
      <c r="H81" s="87" t="s">
        <v>50</v>
      </c>
      <c r="I81" s="87" t="s">
        <v>87</v>
      </c>
      <c r="J81" s="90">
        <v>43253</v>
      </c>
      <c r="K81" s="90">
        <v>43430</v>
      </c>
      <c r="L81" s="90"/>
      <c r="M81" s="93">
        <v>50</v>
      </c>
      <c r="N81" s="9"/>
      <c r="O81" s="33"/>
      <c r="P81" s="33"/>
      <c r="Q81" s="9"/>
      <c r="R81" s="67"/>
      <c r="S81" s="9"/>
    </row>
    <row r="82" spans="1:19" x14ac:dyDescent="0.25">
      <c r="A82" s="4"/>
      <c r="B82" s="28" t="str">
        <f>IF(ISNUMBER(MATCH(C82, Mgt_Unit!$C$5:$C$1018, 0)), INDEX(Mgt_Unit!$B$5:$B$1018, MATCH(C82, Mgt_Unit!$C$5:$C$1018, 0)), "")</f>
        <v>jennifer.moore</v>
      </c>
      <c r="C82" t="s">
        <v>671</v>
      </c>
      <c r="D82" s="65"/>
      <c r="E82">
        <v>1</v>
      </c>
      <c r="F82" t="s">
        <v>1538</v>
      </c>
      <c r="G82" t="s">
        <v>1544</v>
      </c>
      <c r="H82" t="s">
        <v>441</v>
      </c>
      <c r="I82" t="s">
        <v>202</v>
      </c>
      <c r="J82" s="89">
        <v>43108</v>
      </c>
      <c r="K82" s="89">
        <v>43235</v>
      </c>
      <c r="L82" s="89"/>
      <c r="M82" s="31">
        <v>50</v>
      </c>
      <c r="N82" s="9"/>
      <c r="O82" s="33"/>
      <c r="P82" s="33"/>
      <c r="Q82" s="9"/>
      <c r="R82" s="67"/>
      <c r="S82" s="9"/>
    </row>
    <row r="83" spans="1:19" x14ac:dyDescent="0.25">
      <c r="A83" s="4"/>
      <c r="B83" s="28" t="str">
        <f>IF(ISNUMBER(MATCH(C83, Mgt_Unit!$C$5:$C$1018, 0)), INDEX(Mgt_Unit!$B$5:$B$1018, MATCH(C83, Mgt_Unit!$C$5:$C$1018, 0)), "")</f>
        <v>jennifer.moore</v>
      </c>
      <c r="C83" s="87" t="s">
        <v>671</v>
      </c>
      <c r="D83" s="65"/>
      <c r="E83" s="87">
        <v>2</v>
      </c>
      <c r="F83" s="87" t="s">
        <v>1538</v>
      </c>
      <c r="G83" s="87" t="s">
        <v>1544</v>
      </c>
      <c r="H83" s="87" t="s">
        <v>50</v>
      </c>
      <c r="I83" s="87" t="s">
        <v>87</v>
      </c>
      <c r="J83" s="90">
        <v>43253</v>
      </c>
      <c r="K83" s="90">
        <v>43444</v>
      </c>
      <c r="L83" s="90"/>
      <c r="M83" s="93">
        <v>50</v>
      </c>
      <c r="N83" s="9"/>
      <c r="O83" s="33"/>
      <c r="P83" s="33"/>
      <c r="Q83" s="9"/>
      <c r="R83" s="67"/>
      <c r="S83" s="9"/>
    </row>
    <row r="84" spans="1:19" x14ac:dyDescent="0.25">
      <c r="A84" s="4"/>
      <c r="B84" s="28" t="str">
        <f>IF(ISNUMBER(MATCH(C84, Mgt_Unit!$C$5:$C$1018, 0)), INDEX(Mgt_Unit!$B$5:$B$1018, MATCH(C84, Mgt_Unit!$C$5:$C$1018, 0)), "")</f>
        <v>jennifer.moore</v>
      </c>
      <c r="C84" t="s">
        <v>672</v>
      </c>
      <c r="D84" s="65"/>
      <c r="E84">
        <v>1</v>
      </c>
      <c r="F84" t="s">
        <v>1538</v>
      </c>
      <c r="G84" t="s">
        <v>1544</v>
      </c>
      <c r="H84" t="s">
        <v>441</v>
      </c>
      <c r="I84" t="s">
        <v>202</v>
      </c>
      <c r="J84" s="89">
        <v>43108</v>
      </c>
      <c r="K84" s="89">
        <v>43235</v>
      </c>
      <c r="L84" s="89"/>
      <c r="M84" s="31">
        <v>50</v>
      </c>
      <c r="N84" s="9"/>
      <c r="O84" s="33"/>
      <c r="P84" s="33"/>
      <c r="Q84" s="9"/>
      <c r="R84" s="67"/>
      <c r="S84" s="9"/>
    </row>
    <row r="85" spans="1:19" x14ac:dyDescent="0.25">
      <c r="A85" s="4"/>
      <c r="B85" s="28" t="str">
        <f>IF(ISNUMBER(MATCH(C85, Mgt_Unit!$C$5:$C$1018, 0)), INDEX(Mgt_Unit!$B$5:$B$1018, MATCH(C85, Mgt_Unit!$C$5:$C$1018, 0)), "")</f>
        <v>jennifer.moore</v>
      </c>
      <c r="C85" s="87" t="s">
        <v>672</v>
      </c>
      <c r="D85" s="65"/>
      <c r="E85" s="87">
        <v>2</v>
      </c>
      <c r="F85" s="87" t="s">
        <v>1538</v>
      </c>
      <c r="G85" s="87" t="s">
        <v>1544</v>
      </c>
      <c r="H85" s="87" t="s">
        <v>50</v>
      </c>
      <c r="I85" s="87" t="s">
        <v>87</v>
      </c>
      <c r="J85" s="90">
        <v>43253</v>
      </c>
      <c r="K85" s="90">
        <v>43444</v>
      </c>
      <c r="L85" s="90"/>
      <c r="M85" s="93">
        <v>50</v>
      </c>
      <c r="N85" s="9"/>
      <c r="O85" s="33"/>
      <c r="P85" s="33"/>
      <c r="Q85" s="9"/>
      <c r="R85" s="67"/>
      <c r="S85" s="9"/>
    </row>
    <row r="86" spans="1:19" x14ac:dyDescent="0.25">
      <c r="A86" s="4"/>
      <c r="B86" s="28" t="str">
        <f>IF(ISNUMBER(MATCH(C86, Mgt_Unit!$C$5:$C$1018, 0)), INDEX(Mgt_Unit!$B$5:$B$1018, MATCH(C86, Mgt_Unit!$C$5:$C$1018, 0)), "")</f>
        <v>jennifer.moore</v>
      </c>
      <c r="C86" t="s">
        <v>673</v>
      </c>
      <c r="D86" s="65"/>
      <c r="E86">
        <v>1</v>
      </c>
      <c r="F86" t="s">
        <v>1538</v>
      </c>
      <c r="G86" t="s">
        <v>1544</v>
      </c>
      <c r="H86" t="s">
        <v>441</v>
      </c>
      <c r="I86" t="s">
        <v>202</v>
      </c>
      <c r="J86" s="89">
        <v>43108</v>
      </c>
      <c r="K86" s="89">
        <v>43235</v>
      </c>
      <c r="L86" s="89"/>
      <c r="M86" s="31">
        <v>0</v>
      </c>
      <c r="N86" s="9"/>
      <c r="O86" s="33"/>
      <c r="P86" s="33"/>
      <c r="Q86" s="9"/>
      <c r="R86" s="67"/>
      <c r="S86" s="9"/>
    </row>
    <row r="87" spans="1:19" x14ac:dyDescent="0.25">
      <c r="A87" s="4"/>
      <c r="B87" s="28" t="str">
        <f>IF(ISNUMBER(MATCH(C87, Mgt_Unit!$C$5:$C$1018, 0)), INDEX(Mgt_Unit!$B$5:$B$1018, MATCH(C87, Mgt_Unit!$C$5:$C$1018, 0)), "")</f>
        <v>jennifer.moore</v>
      </c>
      <c r="C87" s="87" t="s">
        <v>673</v>
      </c>
      <c r="D87" s="65"/>
      <c r="E87" s="87">
        <v>2</v>
      </c>
      <c r="F87" s="87" t="s">
        <v>1538</v>
      </c>
      <c r="G87" s="87" t="s">
        <v>1544</v>
      </c>
      <c r="H87" s="87" t="s">
        <v>50</v>
      </c>
      <c r="I87" s="87" t="s">
        <v>87</v>
      </c>
      <c r="J87" s="90">
        <v>43253</v>
      </c>
      <c r="K87" s="90">
        <v>43444</v>
      </c>
      <c r="L87" s="90"/>
      <c r="M87" s="93">
        <v>50</v>
      </c>
      <c r="N87" s="9"/>
      <c r="O87" s="33"/>
      <c r="P87" s="33"/>
      <c r="Q87" s="9"/>
      <c r="R87" s="67"/>
      <c r="S87" s="9"/>
    </row>
    <row r="88" spans="1:19" x14ac:dyDescent="0.25">
      <c r="A88" s="4"/>
      <c r="B88" s="28" t="str">
        <f>IF(ISNUMBER(MATCH(C88, Mgt_Unit!$C$5:$C$1018, 0)), INDEX(Mgt_Unit!$B$5:$B$1018, MATCH(C88, Mgt_Unit!$C$5:$C$1018, 0)), "")</f>
        <v>jennifer.moore</v>
      </c>
      <c r="C88" t="s">
        <v>674</v>
      </c>
      <c r="D88" s="65"/>
      <c r="E88">
        <v>1</v>
      </c>
      <c r="F88" t="s">
        <v>1538</v>
      </c>
      <c r="G88" t="s">
        <v>1544</v>
      </c>
      <c r="H88" t="s">
        <v>441</v>
      </c>
      <c r="I88" t="s">
        <v>202</v>
      </c>
      <c r="J88" s="89">
        <v>43108</v>
      </c>
      <c r="K88" s="89">
        <v>43235</v>
      </c>
      <c r="L88" s="89"/>
      <c r="M88" s="31">
        <v>0</v>
      </c>
      <c r="N88" s="9"/>
      <c r="O88" s="33"/>
      <c r="P88" s="33"/>
      <c r="Q88" s="9"/>
      <c r="R88" s="67"/>
      <c r="S88" s="9"/>
    </row>
    <row r="89" spans="1:19" x14ac:dyDescent="0.25">
      <c r="A89" s="4"/>
      <c r="B89" s="28" t="str">
        <f>IF(ISNUMBER(MATCH(C89, Mgt_Unit!$C$5:$C$1018, 0)), INDEX(Mgt_Unit!$B$5:$B$1018, MATCH(C89, Mgt_Unit!$C$5:$C$1018, 0)), "")</f>
        <v>jennifer.moore</v>
      </c>
      <c r="C89" s="87" t="s">
        <v>674</v>
      </c>
      <c r="D89" s="65"/>
      <c r="E89" s="87">
        <v>2</v>
      </c>
      <c r="F89" s="87" t="s">
        <v>1538</v>
      </c>
      <c r="G89" s="87" t="s">
        <v>1544</v>
      </c>
      <c r="H89" s="87" t="s">
        <v>50</v>
      </c>
      <c r="I89" s="87" t="s">
        <v>87</v>
      </c>
      <c r="J89" s="90">
        <v>43253</v>
      </c>
      <c r="K89" s="90">
        <v>43444</v>
      </c>
      <c r="L89" s="90"/>
      <c r="M89" s="93">
        <v>0</v>
      </c>
      <c r="N89" s="9"/>
      <c r="O89" s="33"/>
      <c r="P89" s="33"/>
      <c r="Q89" s="9"/>
      <c r="R89" s="67"/>
      <c r="S89" s="9"/>
    </row>
    <row r="90" spans="1:19" x14ac:dyDescent="0.25">
      <c r="A90" s="4"/>
      <c r="B90" s="28" t="str">
        <f>IF(ISNUMBER(MATCH(C90, Mgt_Unit!$C$5:$C$1018, 0)), INDEX(Mgt_Unit!$B$5:$B$1018, MATCH(C90, Mgt_Unit!$C$5:$C$1018, 0)), "")</f>
        <v>jennifer.moore</v>
      </c>
      <c r="C90" t="s">
        <v>675</v>
      </c>
      <c r="D90" s="65"/>
      <c r="E90">
        <v>1</v>
      </c>
      <c r="F90" t="s">
        <v>1538</v>
      </c>
      <c r="G90" t="s">
        <v>1544</v>
      </c>
      <c r="H90" t="s">
        <v>441</v>
      </c>
      <c r="I90" t="s">
        <v>202</v>
      </c>
      <c r="J90" s="89">
        <v>43108</v>
      </c>
      <c r="K90" s="89">
        <v>43235</v>
      </c>
      <c r="L90" s="89"/>
      <c r="M90" s="31">
        <v>0</v>
      </c>
      <c r="N90" s="9"/>
      <c r="O90" s="33"/>
      <c r="P90" s="33"/>
      <c r="Q90" s="9"/>
      <c r="R90" s="67"/>
      <c r="S90" s="9"/>
    </row>
    <row r="91" spans="1:19" x14ac:dyDescent="0.25">
      <c r="A91" s="4"/>
      <c r="B91" s="28" t="str">
        <f>IF(ISNUMBER(MATCH(C91, Mgt_Unit!$C$5:$C$1018, 0)), INDEX(Mgt_Unit!$B$5:$B$1018, MATCH(C91, Mgt_Unit!$C$5:$C$1018, 0)), "")</f>
        <v>jennifer.moore</v>
      </c>
      <c r="C91" s="87" t="s">
        <v>675</v>
      </c>
      <c r="D91" s="65"/>
      <c r="E91" s="87">
        <v>2</v>
      </c>
      <c r="F91" s="87" t="s">
        <v>1538</v>
      </c>
      <c r="G91" s="87" t="s">
        <v>1544</v>
      </c>
      <c r="H91" s="87" t="s">
        <v>50</v>
      </c>
      <c r="I91" s="87" t="s">
        <v>87</v>
      </c>
      <c r="J91" s="90">
        <v>43253</v>
      </c>
      <c r="K91" s="90">
        <v>43444</v>
      </c>
      <c r="L91" s="90"/>
      <c r="M91" s="93">
        <v>0</v>
      </c>
      <c r="N91" s="9"/>
      <c r="O91" s="33"/>
      <c r="P91" s="33"/>
      <c r="Q91" s="9"/>
      <c r="R91" s="67"/>
      <c r="S91" s="9"/>
    </row>
    <row r="92" spans="1:19" x14ac:dyDescent="0.25">
      <c r="A92" s="4"/>
      <c r="B92" s="28" t="str">
        <f>IF(ISNUMBER(MATCH(C92, Mgt_Unit!$C$5:$C$1018, 0)), INDEX(Mgt_Unit!$B$5:$B$1018, MATCH(C92, Mgt_Unit!$C$5:$C$1018, 0)), "")</f>
        <v>jennifer.moore</v>
      </c>
      <c r="C92" t="s">
        <v>676</v>
      </c>
      <c r="D92" s="65"/>
      <c r="E92">
        <v>1</v>
      </c>
      <c r="F92" t="s">
        <v>1538</v>
      </c>
      <c r="G92" t="s">
        <v>1544</v>
      </c>
      <c r="H92" t="s">
        <v>441</v>
      </c>
      <c r="I92" t="s">
        <v>202</v>
      </c>
      <c r="J92" s="89">
        <v>43108</v>
      </c>
      <c r="K92" s="89">
        <v>43235</v>
      </c>
      <c r="L92" s="89"/>
      <c r="M92" s="31">
        <v>0</v>
      </c>
      <c r="N92" s="9"/>
      <c r="O92" s="33"/>
      <c r="P92" s="33"/>
      <c r="Q92" s="9"/>
      <c r="R92" s="67"/>
      <c r="S92" s="9"/>
    </row>
    <row r="93" spans="1:19" x14ac:dyDescent="0.25">
      <c r="A93" s="4"/>
      <c r="B93" s="28" t="str">
        <f>IF(ISNUMBER(MATCH(C93, Mgt_Unit!$C$5:$C$1018, 0)), INDEX(Mgt_Unit!$B$5:$B$1018, MATCH(C93, Mgt_Unit!$C$5:$C$1018, 0)), "")</f>
        <v>jennifer.moore</v>
      </c>
      <c r="C93" s="87" t="s">
        <v>676</v>
      </c>
      <c r="D93" s="65"/>
      <c r="E93" s="87">
        <v>2</v>
      </c>
      <c r="F93" s="87" t="s">
        <v>1538</v>
      </c>
      <c r="G93" s="87" t="s">
        <v>1544</v>
      </c>
      <c r="H93" s="87" t="s">
        <v>50</v>
      </c>
      <c r="I93" s="87" t="s">
        <v>87</v>
      </c>
      <c r="J93" s="90">
        <v>43253</v>
      </c>
      <c r="K93" s="90">
        <v>43444</v>
      </c>
      <c r="L93" s="90"/>
      <c r="M93" s="93">
        <v>0</v>
      </c>
      <c r="N93" s="9"/>
      <c r="O93" s="33"/>
      <c r="P93" s="33"/>
      <c r="Q93" s="9"/>
      <c r="R93" s="67"/>
      <c r="S93" s="9"/>
    </row>
    <row r="94" spans="1:19" x14ac:dyDescent="0.25">
      <c r="A94" s="4"/>
      <c r="B94" s="28" t="str">
        <f>IF(ISNUMBER(MATCH(C94, Mgt_Unit!$C$5:$C$1018, 0)), INDEX(Mgt_Unit!$B$5:$B$1018, MATCH(C94, Mgt_Unit!$C$5:$C$1018, 0)), "")</f>
        <v>jennifer.moore</v>
      </c>
      <c r="C94" t="s">
        <v>677</v>
      </c>
      <c r="D94" s="65"/>
      <c r="E94">
        <v>1</v>
      </c>
      <c r="F94" t="s">
        <v>1538</v>
      </c>
      <c r="G94" t="s">
        <v>1544</v>
      </c>
      <c r="H94" t="s">
        <v>441</v>
      </c>
      <c r="I94" t="s">
        <v>202</v>
      </c>
      <c r="J94" s="89">
        <v>43108</v>
      </c>
      <c r="K94" s="89">
        <v>43235</v>
      </c>
      <c r="L94" s="89"/>
      <c r="M94" s="31">
        <v>50</v>
      </c>
      <c r="N94" s="9"/>
      <c r="O94" s="33"/>
      <c r="P94" s="33"/>
      <c r="Q94" s="9"/>
      <c r="R94" s="67"/>
      <c r="S94" s="9"/>
    </row>
    <row r="95" spans="1:19" x14ac:dyDescent="0.25">
      <c r="A95" s="4"/>
      <c r="B95" s="28" t="str">
        <f>IF(ISNUMBER(MATCH(C95, Mgt_Unit!$C$5:$C$1018, 0)), INDEX(Mgt_Unit!$B$5:$B$1018, MATCH(C95, Mgt_Unit!$C$5:$C$1018, 0)), "")</f>
        <v>jennifer.moore</v>
      </c>
      <c r="C95" s="87" t="s">
        <v>677</v>
      </c>
      <c r="D95" s="65"/>
      <c r="E95" s="87">
        <v>2</v>
      </c>
      <c r="F95" s="87" t="s">
        <v>1538</v>
      </c>
      <c r="G95" s="87" t="s">
        <v>1544</v>
      </c>
      <c r="H95" s="87" t="s">
        <v>50</v>
      </c>
      <c r="I95" s="87" t="s">
        <v>87</v>
      </c>
      <c r="J95" s="90">
        <v>43253</v>
      </c>
      <c r="K95" s="90">
        <v>43446</v>
      </c>
      <c r="L95" s="90"/>
      <c r="M95" s="93">
        <v>50</v>
      </c>
      <c r="N95" s="9"/>
      <c r="O95" s="33"/>
      <c r="P95" s="33"/>
      <c r="Q95" s="9"/>
      <c r="R95" s="67"/>
      <c r="S95" s="9"/>
    </row>
    <row r="96" spans="1:19" x14ac:dyDescent="0.25">
      <c r="A96" s="4"/>
      <c r="B96" s="28" t="str">
        <f>IF(ISNUMBER(MATCH(C96, Mgt_Unit!$C$5:$C$1018, 0)), INDEX(Mgt_Unit!$B$5:$B$1018, MATCH(C96, Mgt_Unit!$C$5:$C$1018, 0)), "")</f>
        <v>jennifer.moore</v>
      </c>
      <c r="C96" t="s">
        <v>678</v>
      </c>
      <c r="D96" s="65"/>
      <c r="E96">
        <v>1</v>
      </c>
      <c r="F96" t="s">
        <v>1538</v>
      </c>
      <c r="G96" t="s">
        <v>1544</v>
      </c>
      <c r="H96" t="s">
        <v>441</v>
      </c>
      <c r="I96" t="s">
        <v>88</v>
      </c>
      <c r="J96" s="89"/>
      <c r="K96" s="89">
        <v>43173</v>
      </c>
      <c r="L96" s="89"/>
      <c r="M96" s="31">
        <v>90</v>
      </c>
      <c r="N96" s="9"/>
      <c r="O96" s="33"/>
      <c r="P96" s="33"/>
      <c r="Q96" s="9"/>
      <c r="R96" s="67"/>
      <c r="S96" s="9"/>
    </row>
    <row r="97" spans="1:19" x14ac:dyDescent="0.25">
      <c r="A97" s="4"/>
      <c r="B97" s="28" t="str">
        <f>IF(ISNUMBER(MATCH(C97, Mgt_Unit!$C$5:$C$1018, 0)), INDEX(Mgt_Unit!$B$5:$B$1018, MATCH(C97, Mgt_Unit!$C$5:$C$1018, 0)), "")</f>
        <v>jennifer.moore</v>
      </c>
      <c r="C97" t="s">
        <v>678</v>
      </c>
      <c r="D97" s="65"/>
      <c r="E97">
        <v>2</v>
      </c>
      <c r="F97" t="s">
        <v>1538</v>
      </c>
      <c r="G97" t="s">
        <v>1544</v>
      </c>
      <c r="H97" t="s">
        <v>50</v>
      </c>
      <c r="I97" t="s">
        <v>87</v>
      </c>
      <c r="J97" s="89">
        <v>43215</v>
      </c>
      <c r="K97" s="89">
        <v>43431</v>
      </c>
      <c r="L97" s="89"/>
      <c r="M97" s="31">
        <v>95</v>
      </c>
      <c r="N97" s="9"/>
      <c r="O97" s="33"/>
      <c r="P97" s="33"/>
      <c r="Q97" s="9"/>
      <c r="R97" s="67"/>
      <c r="S97" s="9"/>
    </row>
    <row r="98" spans="1:19" x14ac:dyDescent="0.25">
      <c r="A98" s="4"/>
      <c r="B98" s="28" t="str">
        <f>IF(ISNUMBER(MATCH(C98, Mgt_Unit!$C$5:$C$1018, 0)), INDEX(Mgt_Unit!$B$5:$B$1018, MATCH(C98, Mgt_Unit!$C$5:$C$1018, 0)), "")</f>
        <v>jennifer.moore</v>
      </c>
      <c r="C98" s="87" t="s">
        <v>678</v>
      </c>
      <c r="D98" s="65"/>
      <c r="E98" s="87">
        <v>3</v>
      </c>
      <c r="F98" s="87" t="s">
        <v>1538</v>
      </c>
      <c r="G98" s="87" t="s">
        <v>1544</v>
      </c>
      <c r="H98" s="87" t="s">
        <v>441</v>
      </c>
      <c r="I98" s="87" t="s">
        <v>88</v>
      </c>
      <c r="J98" s="90">
        <v>43447</v>
      </c>
      <c r="K98" s="90"/>
      <c r="L98" s="90"/>
      <c r="M98" s="93"/>
      <c r="N98" s="9"/>
      <c r="O98" s="33"/>
      <c r="P98" s="33"/>
      <c r="Q98" s="9"/>
      <c r="R98" s="67"/>
      <c r="S98" s="9"/>
    </row>
    <row r="99" spans="1:19" x14ac:dyDescent="0.25">
      <c r="A99" s="4"/>
      <c r="B99" s="28" t="str">
        <f>IF(ISNUMBER(MATCH(C99, Mgt_Unit!$C$5:$C$1018, 0)), INDEX(Mgt_Unit!$B$5:$B$1018, MATCH(C99, Mgt_Unit!$C$5:$C$1018, 0)), "")</f>
        <v>jennifer.moore</v>
      </c>
      <c r="C99" t="s">
        <v>679</v>
      </c>
      <c r="D99" s="65"/>
      <c r="E99">
        <v>1</v>
      </c>
      <c r="F99" t="s">
        <v>1538</v>
      </c>
      <c r="G99" t="s">
        <v>1544</v>
      </c>
      <c r="H99" t="s">
        <v>441</v>
      </c>
      <c r="I99" t="s">
        <v>88</v>
      </c>
      <c r="J99" s="89"/>
      <c r="K99" s="89">
        <v>43173</v>
      </c>
      <c r="L99" s="89"/>
      <c r="M99" s="31">
        <v>0</v>
      </c>
      <c r="N99" s="9"/>
      <c r="O99" s="33"/>
      <c r="P99" s="33"/>
      <c r="Q99" s="9"/>
      <c r="R99" s="67"/>
      <c r="S99" s="9"/>
    </row>
    <row r="100" spans="1:19" x14ac:dyDescent="0.25">
      <c r="A100" s="4"/>
      <c r="B100" s="28" t="str">
        <f>IF(ISNUMBER(MATCH(C100, Mgt_Unit!$C$5:$C$1018, 0)), INDEX(Mgt_Unit!$B$5:$B$1018, MATCH(C100, Mgt_Unit!$C$5:$C$1018, 0)), "")</f>
        <v>jennifer.moore</v>
      </c>
      <c r="C100" t="s">
        <v>679</v>
      </c>
      <c r="D100" s="65"/>
      <c r="E100">
        <v>2</v>
      </c>
      <c r="F100" t="s">
        <v>1538</v>
      </c>
      <c r="G100" t="s">
        <v>1544</v>
      </c>
      <c r="H100" t="s">
        <v>50</v>
      </c>
      <c r="I100" t="s">
        <v>87</v>
      </c>
      <c r="J100" s="89">
        <v>43215</v>
      </c>
      <c r="K100" s="89">
        <v>43431</v>
      </c>
      <c r="L100" s="89"/>
      <c r="M100" s="31">
        <v>0</v>
      </c>
      <c r="N100" s="9"/>
      <c r="O100" s="33"/>
      <c r="P100" s="33"/>
      <c r="Q100" s="9"/>
      <c r="R100" s="67"/>
      <c r="S100" s="9"/>
    </row>
    <row r="101" spans="1:19" x14ac:dyDescent="0.25">
      <c r="A101" s="4"/>
      <c r="B101" s="28" t="str">
        <f>IF(ISNUMBER(MATCH(C101, Mgt_Unit!$C$5:$C$1018, 0)), INDEX(Mgt_Unit!$B$5:$B$1018, MATCH(C101, Mgt_Unit!$C$5:$C$1018, 0)), "")</f>
        <v>jennifer.moore</v>
      </c>
      <c r="C101" s="87" t="s">
        <v>679</v>
      </c>
      <c r="D101" s="65"/>
      <c r="E101" s="87">
        <v>3</v>
      </c>
      <c r="F101" s="87" t="s">
        <v>1538</v>
      </c>
      <c r="G101" s="87" t="s">
        <v>1544</v>
      </c>
      <c r="H101" s="87" t="s">
        <v>441</v>
      </c>
      <c r="I101" s="87" t="s">
        <v>88</v>
      </c>
      <c r="J101" s="90">
        <v>43447</v>
      </c>
      <c r="K101" s="90"/>
      <c r="L101" s="90"/>
      <c r="M101" s="93"/>
      <c r="N101" s="9"/>
      <c r="O101" s="33"/>
      <c r="P101" s="33"/>
      <c r="Q101" s="9"/>
      <c r="R101" s="67"/>
      <c r="S101" s="9"/>
    </row>
    <row r="102" spans="1:19" x14ac:dyDescent="0.25">
      <c r="A102" s="4"/>
      <c r="B102" s="28" t="str">
        <f>IF(ISNUMBER(MATCH(C102, Mgt_Unit!$C$5:$C$1018, 0)), INDEX(Mgt_Unit!$B$5:$B$1018, MATCH(C102, Mgt_Unit!$C$5:$C$1018, 0)), "")</f>
        <v>jennifer.moore</v>
      </c>
      <c r="C102" t="s">
        <v>680</v>
      </c>
      <c r="D102" s="65"/>
      <c r="E102">
        <v>1</v>
      </c>
      <c r="F102" t="s">
        <v>1538</v>
      </c>
      <c r="G102" t="s">
        <v>1544</v>
      </c>
      <c r="H102" t="s">
        <v>441</v>
      </c>
      <c r="I102" t="s">
        <v>88</v>
      </c>
      <c r="J102" s="89"/>
      <c r="K102" s="89">
        <v>43173</v>
      </c>
      <c r="L102" s="89"/>
      <c r="M102" s="31">
        <v>0</v>
      </c>
      <c r="N102" s="9"/>
      <c r="O102" s="33"/>
      <c r="P102" s="33"/>
      <c r="Q102" s="9"/>
      <c r="R102" s="67"/>
      <c r="S102" s="9"/>
    </row>
    <row r="103" spans="1:19" x14ac:dyDescent="0.25">
      <c r="A103" s="4"/>
      <c r="B103" s="28" t="str">
        <f>IF(ISNUMBER(MATCH(C103, Mgt_Unit!$C$5:$C$1018, 0)), INDEX(Mgt_Unit!$B$5:$B$1018, MATCH(C103, Mgt_Unit!$C$5:$C$1018, 0)), "")</f>
        <v>jennifer.moore</v>
      </c>
      <c r="C103" t="s">
        <v>680</v>
      </c>
      <c r="D103" s="65"/>
      <c r="E103">
        <v>2</v>
      </c>
      <c r="F103" t="s">
        <v>1538</v>
      </c>
      <c r="G103" t="s">
        <v>1544</v>
      </c>
      <c r="H103" t="s">
        <v>50</v>
      </c>
      <c r="I103" t="s">
        <v>87</v>
      </c>
      <c r="J103" s="89">
        <v>43215</v>
      </c>
      <c r="K103" s="89">
        <v>43431</v>
      </c>
      <c r="L103" s="89"/>
      <c r="M103" s="31">
        <v>0</v>
      </c>
      <c r="N103" s="9"/>
      <c r="O103" s="33"/>
      <c r="P103" s="33"/>
      <c r="Q103" s="9"/>
      <c r="R103" s="67"/>
      <c r="S103" s="9"/>
    </row>
    <row r="104" spans="1:19" x14ac:dyDescent="0.25">
      <c r="A104" s="4"/>
      <c r="B104" s="28" t="str">
        <f>IF(ISNUMBER(MATCH(C104, Mgt_Unit!$C$5:$C$1018, 0)), INDEX(Mgt_Unit!$B$5:$B$1018, MATCH(C104, Mgt_Unit!$C$5:$C$1018, 0)), "")</f>
        <v>jennifer.moore</v>
      </c>
      <c r="C104" s="87" t="s">
        <v>680</v>
      </c>
      <c r="D104" s="65"/>
      <c r="E104" s="87">
        <v>3</v>
      </c>
      <c r="F104" s="87" t="s">
        <v>1538</v>
      </c>
      <c r="G104" s="87" t="s">
        <v>1544</v>
      </c>
      <c r="H104" s="87" t="s">
        <v>441</v>
      </c>
      <c r="I104" s="87" t="s">
        <v>88</v>
      </c>
      <c r="J104" s="90">
        <v>43447</v>
      </c>
      <c r="K104" s="90"/>
      <c r="L104" s="90"/>
      <c r="M104" s="93"/>
      <c r="N104" s="9"/>
      <c r="O104" s="33"/>
      <c r="P104" s="33"/>
      <c r="Q104" s="9"/>
      <c r="R104" s="67"/>
      <c r="S104" s="9"/>
    </row>
    <row r="105" spans="1:19" x14ac:dyDescent="0.25">
      <c r="A105" s="4"/>
      <c r="B105" s="28" t="str">
        <f>IF(ISNUMBER(MATCH(C105, Mgt_Unit!$C$5:$C$1018, 0)), INDEX(Mgt_Unit!$B$5:$B$1018, MATCH(C105, Mgt_Unit!$C$5:$C$1018, 0)), "")</f>
        <v>jennifer.moore</v>
      </c>
      <c r="C105" t="s">
        <v>681</v>
      </c>
      <c r="D105" s="65"/>
      <c r="E105">
        <v>1</v>
      </c>
      <c r="F105" t="s">
        <v>1538</v>
      </c>
      <c r="G105" t="s">
        <v>1544</v>
      </c>
      <c r="H105" t="s">
        <v>441</v>
      </c>
      <c r="I105" t="s">
        <v>88</v>
      </c>
      <c r="J105" s="89"/>
      <c r="K105" s="89">
        <v>43173</v>
      </c>
      <c r="L105" s="89"/>
      <c r="M105" s="31">
        <v>0</v>
      </c>
      <c r="N105" s="9"/>
      <c r="O105" s="33"/>
      <c r="P105" s="33"/>
      <c r="Q105" s="9"/>
      <c r="R105" s="67"/>
      <c r="S105" s="9"/>
    </row>
    <row r="106" spans="1:19" x14ac:dyDescent="0.25">
      <c r="A106" s="4"/>
      <c r="B106" s="28" t="str">
        <f>IF(ISNUMBER(MATCH(C106, Mgt_Unit!$C$5:$C$1018, 0)), INDEX(Mgt_Unit!$B$5:$B$1018, MATCH(C106, Mgt_Unit!$C$5:$C$1018, 0)), "")</f>
        <v>jennifer.moore</v>
      </c>
      <c r="C106" t="s">
        <v>681</v>
      </c>
      <c r="D106" s="65"/>
      <c r="E106">
        <v>2</v>
      </c>
      <c r="F106" t="s">
        <v>1538</v>
      </c>
      <c r="G106" t="s">
        <v>1544</v>
      </c>
      <c r="H106" t="s">
        <v>50</v>
      </c>
      <c r="I106" t="s">
        <v>87</v>
      </c>
      <c r="J106" s="89">
        <v>43215</v>
      </c>
      <c r="K106" s="89">
        <v>43431</v>
      </c>
      <c r="L106" s="89"/>
      <c r="M106" s="31">
        <v>0</v>
      </c>
      <c r="N106" s="9"/>
      <c r="O106" s="33"/>
      <c r="P106" s="33"/>
      <c r="Q106" s="9"/>
      <c r="R106" s="67"/>
      <c r="S106" s="9"/>
    </row>
    <row r="107" spans="1:19" x14ac:dyDescent="0.25">
      <c r="A107" s="4"/>
      <c r="B107" s="28" t="str">
        <f>IF(ISNUMBER(MATCH(C107, Mgt_Unit!$C$5:$C$1018, 0)), INDEX(Mgt_Unit!$B$5:$B$1018, MATCH(C107, Mgt_Unit!$C$5:$C$1018, 0)), "")</f>
        <v>jennifer.moore</v>
      </c>
      <c r="C107" s="87" t="s">
        <v>681</v>
      </c>
      <c r="D107" s="65"/>
      <c r="E107" s="87">
        <v>3</v>
      </c>
      <c r="F107" s="87" t="s">
        <v>1538</v>
      </c>
      <c r="G107" s="87" t="s">
        <v>1544</v>
      </c>
      <c r="H107" s="87" t="s">
        <v>441</v>
      </c>
      <c r="I107" s="87" t="s">
        <v>88</v>
      </c>
      <c r="J107" s="90">
        <v>43447</v>
      </c>
      <c r="K107" s="90"/>
      <c r="L107" s="90"/>
      <c r="M107" s="93"/>
      <c r="N107" s="9"/>
      <c r="O107" s="33"/>
      <c r="P107" s="33"/>
      <c r="Q107" s="9"/>
      <c r="R107" s="67"/>
      <c r="S107" s="9"/>
    </row>
    <row r="108" spans="1:19" x14ac:dyDescent="0.25">
      <c r="A108" s="4"/>
      <c r="B108" s="28" t="str">
        <f>IF(ISNUMBER(MATCH(C108, Mgt_Unit!$C$5:$C$1018, 0)), INDEX(Mgt_Unit!$B$5:$B$1018, MATCH(C108, Mgt_Unit!$C$5:$C$1018, 0)), "")</f>
        <v>jennifer.moore</v>
      </c>
      <c r="C108" t="s">
        <v>682</v>
      </c>
      <c r="D108" s="65"/>
      <c r="E108">
        <v>1</v>
      </c>
      <c r="F108" t="s">
        <v>1538</v>
      </c>
      <c r="G108" t="s">
        <v>1544</v>
      </c>
      <c r="H108" t="s">
        <v>441</v>
      </c>
      <c r="I108" t="s">
        <v>195</v>
      </c>
      <c r="J108" s="89"/>
      <c r="K108" s="89">
        <v>43173</v>
      </c>
      <c r="L108" s="89"/>
      <c r="M108" s="31">
        <v>90</v>
      </c>
      <c r="N108" s="9"/>
      <c r="O108" s="33"/>
      <c r="P108" s="33"/>
      <c r="Q108" s="9"/>
      <c r="R108" s="67"/>
      <c r="S108" s="9"/>
    </row>
    <row r="109" spans="1:19" x14ac:dyDescent="0.25">
      <c r="A109" s="4"/>
      <c r="B109" s="28" t="str">
        <f>IF(ISNUMBER(MATCH(C109, Mgt_Unit!$C$5:$C$1018, 0)), INDEX(Mgt_Unit!$B$5:$B$1018, MATCH(C109, Mgt_Unit!$C$5:$C$1018, 0)), "")</f>
        <v>jennifer.moore</v>
      </c>
      <c r="C109" t="s">
        <v>682</v>
      </c>
      <c r="D109" s="65"/>
      <c r="E109">
        <v>2</v>
      </c>
      <c r="F109" t="s">
        <v>1538</v>
      </c>
      <c r="G109" t="s">
        <v>1544</v>
      </c>
      <c r="H109" t="s">
        <v>50</v>
      </c>
      <c r="I109" t="s">
        <v>87</v>
      </c>
      <c r="J109" s="89">
        <v>43238</v>
      </c>
      <c r="K109" s="89">
        <v>43431</v>
      </c>
      <c r="L109" s="89"/>
      <c r="M109" s="31">
        <v>95</v>
      </c>
      <c r="N109" s="9"/>
      <c r="O109" s="33"/>
      <c r="P109" s="33"/>
      <c r="Q109" s="9"/>
      <c r="R109" s="67"/>
      <c r="S109" s="9"/>
    </row>
    <row r="110" spans="1:19" x14ac:dyDescent="0.25">
      <c r="A110" s="4"/>
      <c r="B110" s="28" t="str">
        <f>IF(ISNUMBER(MATCH(C110, Mgt_Unit!$C$5:$C$1018, 0)), INDEX(Mgt_Unit!$B$5:$B$1018, MATCH(C110, Mgt_Unit!$C$5:$C$1018, 0)), "")</f>
        <v>jennifer.moore</v>
      </c>
      <c r="C110" s="87" t="s">
        <v>682</v>
      </c>
      <c r="D110" s="65"/>
      <c r="E110" s="87">
        <v>3</v>
      </c>
      <c r="F110" s="87" t="s">
        <v>1538</v>
      </c>
      <c r="G110" s="87" t="s">
        <v>1544</v>
      </c>
      <c r="H110" s="87" t="s">
        <v>441</v>
      </c>
      <c r="I110" s="87" t="s">
        <v>195</v>
      </c>
      <c r="J110" s="90">
        <v>43447</v>
      </c>
      <c r="K110" s="90"/>
      <c r="L110" s="90"/>
      <c r="M110" s="93"/>
      <c r="N110" s="9"/>
      <c r="O110" s="33"/>
      <c r="P110" s="33"/>
      <c r="Q110" s="9"/>
      <c r="R110" s="67"/>
      <c r="S110" s="9"/>
    </row>
    <row r="111" spans="1:19" x14ac:dyDescent="0.25">
      <c r="A111" s="4"/>
      <c r="B111" s="28" t="str">
        <f>IF(ISNUMBER(MATCH(C111, Mgt_Unit!$C$5:$C$1018, 0)), INDEX(Mgt_Unit!$B$5:$B$1018, MATCH(C111, Mgt_Unit!$C$5:$C$1018, 0)), "")</f>
        <v>jennifer.moore</v>
      </c>
      <c r="C111" t="s">
        <v>683</v>
      </c>
      <c r="D111" s="65"/>
      <c r="E111">
        <v>1</v>
      </c>
      <c r="F111" t="s">
        <v>1538</v>
      </c>
      <c r="G111" t="s">
        <v>1544</v>
      </c>
      <c r="H111" t="s">
        <v>441</v>
      </c>
      <c r="I111" t="s">
        <v>195</v>
      </c>
      <c r="J111" s="89"/>
      <c r="K111" s="89">
        <v>43173</v>
      </c>
      <c r="L111" s="89"/>
      <c r="M111" s="31">
        <v>0</v>
      </c>
      <c r="N111" s="9"/>
      <c r="O111" s="33"/>
      <c r="P111" s="33"/>
      <c r="Q111" s="9"/>
      <c r="R111" s="67"/>
      <c r="S111" s="9"/>
    </row>
    <row r="112" spans="1:19" x14ac:dyDescent="0.25">
      <c r="A112" s="4"/>
      <c r="B112" s="28" t="str">
        <f>IF(ISNUMBER(MATCH(C112, Mgt_Unit!$C$5:$C$1018, 0)), INDEX(Mgt_Unit!$B$5:$B$1018, MATCH(C112, Mgt_Unit!$C$5:$C$1018, 0)), "")</f>
        <v>jennifer.moore</v>
      </c>
      <c r="C112" t="s">
        <v>683</v>
      </c>
      <c r="D112" s="65"/>
      <c r="E112">
        <v>2</v>
      </c>
      <c r="F112" t="s">
        <v>1538</v>
      </c>
      <c r="G112" t="s">
        <v>1544</v>
      </c>
      <c r="H112" t="s">
        <v>50</v>
      </c>
      <c r="I112" t="s">
        <v>87</v>
      </c>
      <c r="J112" s="89">
        <v>43238</v>
      </c>
      <c r="K112" s="89">
        <v>43431</v>
      </c>
      <c r="L112" s="89"/>
      <c r="M112" s="31">
        <v>0</v>
      </c>
      <c r="N112" s="9"/>
      <c r="O112" s="33"/>
      <c r="P112" s="33"/>
      <c r="Q112" s="9"/>
      <c r="R112" s="67"/>
      <c r="S112" s="9"/>
    </row>
    <row r="113" spans="1:19" x14ac:dyDescent="0.25">
      <c r="A113" s="4"/>
      <c r="B113" s="28" t="str">
        <f>IF(ISNUMBER(MATCH(C113, Mgt_Unit!$C$5:$C$1018, 0)), INDEX(Mgt_Unit!$B$5:$B$1018, MATCH(C113, Mgt_Unit!$C$5:$C$1018, 0)), "")</f>
        <v>jennifer.moore</v>
      </c>
      <c r="C113" s="87" t="s">
        <v>683</v>
      </c>
      <c r="D113" s="65"/>
      <c r="E113" s="87">
        <v>3</v>
      </c>
      <c r="F113" s="87" t="s">
        <v>1538</v>
      </c>
      <c r="G113" s="87" t="s">
        <v>1544</v>
      </c>
      <c r="H113" s="87" t="s">
        <v>441</v>
      </c>
      <c r="I113" s="87" t="s">
        <v>195</v>
      </c>
      <c r="J113" s="90">
        <v>43447</v>
      </c>
      <c r="K113" s="90"/>
      <c r="L113" s="90"/>
      <c r="M113" s="93"/>
      <c r="N113" s="9"/>
      <c r="O113" s="33"/>
      <c r="P113" s="33"/>
      <c r="Q113" s="9"/>
      <c r="R113" s="67"/>
      <c r="S113" s="9"/>
    </row>
    <row r="114" spans="1:19" x14ac:dyDescent="0.25">
      <c r="A114" s="4"/>
      <c r="B114" s="28" t="str">
        <f>IF(ISNUMBER(MATCH(C114, Mgt_Unit!$C$5:$C$1018, 0)), INDEX(Mgt_Unit!$B$5:$B$1018, MATCH(C114, Mgt_Unit!$C$5:$C$1018, 0)), "")</f>
        <v>jennifer.moore</v>
      </c>
      <c r="C114" s="88" t="s">
        <v>684</v>
      </c>
      <c r="D114" s="65"/>
      <c r="E114" s="88">
        <v>1</v>
      </c>
      <c r="F114" s="88" t="s">
        <v>1538</v>
      </c>
      <c r="G114" s="88" t="s">
        <v>1544</v>
      </c>
      <c r="H114" s="88" t="s">
        <v>50</v>
      </c>
      <c r="I114" s="88" t="s">
        <v>87</v>
      </c>
      <c r="J114" s="91">
        <v>43281</v>
      </c>
      <c r="K114" s="91">
        <v>43403</v>
      </c>
      <c r="L114" s="91"/>
      <c r="M114" s="94">
        <v>0</v>
      </c>
      <c r="N114" s="9"/>
      <c r="O114" s="33"/>
      <c r="P114" s="33"/>
      <c r="Q114" s="9"/>
      <c r="R114" s="67"/>
      <c r="S114" s="9"/>
    </row>
    <row r="115" spans="1:19" x14ac:dyDescent="0.25">
      <c r="A115" s="4"/>
      <c r="B115" s="28" t="str">
        <f>IF(ISNUMBER(MATCH(C115, Mgt_Unit!$C$5:$C$1018, 0)), INDEX(Mgt_Unit!$B$5:$B$1018, MATCH(C115, Mgt_Unit!$C$5:$C$1018, 0)), "")</f>
        <v>jennifer.moore</v>
      </c>
      <c r="C115" s="88" t="s">
        <v>685</v>
      </c>
      <c r="D115" s="65"/>
      <c r="E115" s="88">
        <v>1</v>
      </c>
      <c r="F115" s="88" t="s">
        <v>1538</v>
      </c>
      <c r="G115" s="88" t="s">
        <v>1544</v>
      </c>
      <c r="H115" s="88" t="s">
        <v>50</v>
      </c>
      <c r="I115" s="88" t="s">
        <v>87</v>
      </c>
      <c r="J115" s="91">
        <v>43281</v>
      </c>
      <c r="K115" s="91">
        <v>43403</v>
      </c>
      <c r="L115" s="91"/>
      <c r="M115" s="94">
        <v>0</v>
      </c>
      <c r="N115" s="9"/>
      <c r="O115" s="33"/>
      <c r="P115" s="33"/>
      <c r="Q115" s="9"/>
      <c r="R115" s="67"/>
      <c r="S115" s="9"/>
    </row>
    <row r="116" spans="1:19" x14ac:dyDescent="0.25">
      <c r="A116" s="4"/>
      <c r="B116" s="28" t="str">
        <f>IF(ISNUMBER(MATCH(C116, Mgt_Unit!$C$5:$C$1018, 0)), INDEX(Mgt_Unit!$B$5:$B$1018, MATCH(C116, Mgt_Unit!$C$5:$C$1018, 0)), "")</f>
        <v>jennifer.moore</v>
      </c>
      <c r="C116" s="88" t="s">
        <v>686</v>
      </c>
      <c r="D116" s="65"/>
      <c r="E116" s="88">
        <v>1</v>
      </c>
      <c r="F116" s="88" t="s">
        <v>1538</v>
      </c>
      <c r="G116" s="88" t="s">
        <v>1544</v>
      </c>
      <c r="H116" s="88" t="s">
        <v>50</v>
      </c>
      <c r="I116" s="88" t="s">
        <v>87</v>
      </c>
      <c r="J116" s="91">
        <v>43281</v>
      </c>
      <c r="K116" s="91">
        <v>43403</v>
      </c>
      <c r="L116" s="91"/>
      <c r="M116" s="94">
        <v>0</v>
      </c>
      <c r="N116" s="9"/>
      <c r="O116" s="33"/>
      <c r="P116" s="33"/>
      <c r="Q116" s="9"/>
      <c r="R116" s="67"/>
      <c r="S116" s="9"/>
    </row>
    <row r="117" spans="1:19" x14ac:dyDescent="0.25">
      <c r="A117" s="4"/>
      <c r="B117" s="28" t="str">
        <f>IF(ISNUMBER(MATCH(C117, Mgt_Unit!$C$5:$C$1018, 0)), INDEX(Mgt_Unit!$B$5:$B$1018, MATCH(C117, Mgt_Unit!$C$5:$C$1018, 0)), "")</f>
        <v>jennifer.moore</v>
      </c>
      <c r="C117" t="s">
        <v>687</v>
      </c>
      <c r="D117" s="65"/>
      <c r="E117">
        <v>1</v>
      </c>
      <c r="F117" t="s">
        <v>1538</v>
      </c>
      <c r="G117" t="s">
        <v>1544</v>
      </c>
      <c r="H117" t="s">
        <v>51</v>
      </c>
      <c r="I117" t="s">
        <v>168</v>
      </c>
      <c r="J117" s="89"/>
      <c r="K117" s="89">
        <v>43160</v>
      </c>
      <c r="L117" s="89"/>
      <c r="M117" s="31">
        <v>0</v>
      </c>
      <c r="N117" s="9"/>
      <c r="O117" s="33"/>
      <c r="P117" s="33"/>
      <c r="Q117" s="9"/>
      <c r="R117" s="67"/>
      <c r="S117" s="9"/>
    </row>
    <row r="118" spans="1:19" x14ac:dyDescent="0.25">
      <c r="A118" s="4"/>
      <c r="B118" s="28" t="str">
        <f>IF(ISNUMBER(MATCH(C118, Mgt_Unit!$C$5:$C$1018, 0)), INDEX(Mgt_Unit!$B$5:$B$1018, MATCH(C118, Mgt_Unit!$C$5:$C$1018, 0)), "")</f>
        <v>jennifer.moore</v>
      </c>
      <c r="C118" t="s">
        <v>687</v>
      </c>
      <c r="D118" s="65"/>
      <c r="E118">
        <v>2</v>
      </c>
      <c r="F118" t="s">
        <v>1538</v>
      </c>
      <c r="G118" t="s">
        <v>1544</v>
      </c>
      <c r="H118" t="s">
        <v>50</v>
      </c>
      <c r="I118" t="s">
        <v>87</v>
      </c>
      <c r="J118" s="89">
        <v>43281</v>
      </c>
      <c r="K118" s="89">
        <v>43403</v>
      </c>
      <c r="L118" s="89"/>
      <c r="M118" s="31">
        <v>0</v>
      </c>
      <c r="N118" s="9"/>
      <c r="O118" s="33"/>
      <c r="P118" s="33"/>
      <c r="Q118" s="9"/>
      <c r="R118" s="67"/>
      <c r="S118" s="9"/>
    </row>
    <row r="119" spans="1:19" x14ac:dyDescent="0.25">
      <c r="A119" s="4"/>
      <c r="B119" s="28" t="str">
        <f>IF(ISNUMBER(MATCH(C119, Mgt_Unit!$C$5:$C$1018, 0)), INDEX(Mgt_Unit!$B$5:$B$1018, MATCH(C119, Mgt_Unit!$C$5:$C$1018, 0)), "")</f>
        <v>jennifer.moore</v>
      </c>
      <c r="C119" s="87" t="s">
        <v>687</v>
      </c>
      <c r="D119" s="65"/>
      <c r="E119" s="87">
        <v>3</v>
      </c>
      <c r="F119" s="87" t="s">
        <v>1538</v>
      </c>
      <c r="G119" s="87" t="s">
        <v>1544</v>
      </c>
      <c r="H119" s="87" t="s">
        <v>51</v>
      </c>
      <c r="I119" s="87" t="s">
        <v>168</v>
      </c>
      <c r="J119" s="90">
        <v>43431</v>
      </c>
      <c r="K119" s="90"/>
      <c r="L119" s="90"/>
      <c r="M119" s="93"/>
      <c r="N119" s="9"/>
      <c r="O119" s="33"/>
      <c r="P119" s="33"/>
      <c r="Q119" s="9"/>
      <c r="R119" s="67"/>
      <c r="S119" s="9"/>
    </row>
    <row r="120" spans="1:19" x14ac:dyDescent="0.25">
      <c r="A120" s="4"/>
      <c r="B120" s="28" t="str">
        <f>IF(ISNUMBER(MATCH(C120, Mgt_Unit!$C$5:$C$1018, 0)), INDEX(Mgt_Unit!$B$5:$B$1018, MATCH(C120, Mgt_Unit!$C$5:$C$1018, 0)), "")</f>
        <v>jennifer.moore</v>
      </c>
      <c r="C120" t="s">
        <v>688</v>
      </c>
      <c r="D120" s="65"/>
      <c r="E120">
        <v>1</v>
      </c>
      <c r="F120" t="s">
        <v>1538</v>
      </c>
      <c r="G120" t="s">
        <v>1544</v>
      </c>
      <c r="H120" t="s">
        <v>51</v>
      </c>
      <c r="I120" t="s">
        <v>168</v>
      </c>
      <c r="J120" s="89"/>
      <c r="K120" s="89">
        <v>43160</v>
      </c>
      <c r="M120" s="31">
        <v>0</v>
      </c>
      <c r="N120" s="9"/>
      <c r="O120" s="33"/>
      <c r="P120" s="33"/>
      <c r="Q120" s="9"/>
      <c r="R120" s="67"/>
      <c r="S120" s="9"/>
    </row>
    <row r="121" spans="1:19" x14ac:dyDescent="0.25">
      <c r="A121" s="4"/>
      <c r="B121" s="28" t="str">
        <f>IF(ISNUMBER(MATCH(C121, Mgt_Unit!$C$5:$C$1018, 0)), INDEX(Mgt_Unit!$B$5:$B$1018, MATCH(C121, Mgt_Unit!$C$5:$C$1018, 0)), "")</f>
        <v>jennifer.moore</v>
      </c>
      <c r="C121" t="s">
        <v>688</v>
      </c>
      <c r="D121" s="65"/>
      <c r="E121">
        <v>2</v>
      </c>
      <c r="F121" t="s">
        <v>1538</v>
      </c>
      <c r="G121" t="s">
        <v>1544</v>
      </c>
      <c r="H121" t="s">
        <v>50</v>
      </c>
      <c r="I121" t="s">
        <v>87</v>
      </c>
      <c r="J121" s="89">
        <v>43281</v>
      </c>
      <c r="K121" s="89">
        <v>43403</v>
      </c>
      <c r="L121" s="89"/>
      <c r="M121" s="31">
        <v>0</v>
      </c>
      <c r="N121" s="9"/>
      <c r="O121" s="33"/>
      <c r="P121" s="33"/>
      <c r="Q121" s="9"/>
      <c r="R121" s="67"/>
      <c r="S121" s="9"/>
    </row>
    <row r="122" spans="1:19" x14ac:dyDescent="0.25">
      <c r="A122" s="4"/>
      <c r="B122" s="28" t="str">
        <f>IF(ISNUMBER(MATCH(C122, Mgt_Unit!$C$5:$C$1018, 0)), INDEX(Mgt_Unit!$B$5:$B$1018, MATCH(C122, Mgt_Unit!$C$5:$C$1018, 0)), "")</f>
        <v>jennifer.moore</v>
      </c>
      <c r="C122" s="87" t="s">
        <v>688</v>
      </c>
      <c r="D122" s="65"/>
      <c r="E122" s="87">
        <v>3</v>
      </c>
      <c r="F122" s="87" t="s">
        <v>1538</v>
      </c>
      <c r="G122" s="87" t="s">
        <v>1544</v>
      </c>
      <c r="H122" s="87" t="s">
        <v>51</v>
      </c>
      <c r="I122" s="87" t="s">
        <v>168</v>
      </c>
      <c r="J122" s="90">
        <v>43431</v>
      </c>
      <c r="K122" s="90"/>
      <c r="L122" s="90"/>
      <c r="M122" s="93"/>
      <c r="N122" s="9"/>
      <c r="O122" s="33"/>
      <c r="P122" s="33"/>
      <c r="Q122" s="9"/>
      <c r="R122" s="67"/>
      <c r="S122" s="9"/>
    </row>
    <row r="123" spans="1:19" x14ac:dyDescent="0.25">
      <c r="A123" s="4"/>
      <c r="B123" s="28" t="str">
        <f>IF(ISNUMBER(MATCH(C123, Mgt_Unit!$C$5:$C$1018, 0)), INDEX(Mgt_Unit!$B$5:$B$1018, MATCH(C123, Mgt_Unit!$C$5:$C$1018, 0)), "")</f>
        <v>jennifer.moore</v>
      </c>
      <c r="C123" t="s">
        <v>689</v>
      </c>
      <c r="D123" s="65"/>
      <c r="E123">
        <v>1</v>
      </c>
      <c r="F123" t="s">
        <v>1538</v>
      </c>
      <c r="G123" t="s">
        <v>1544</v>
      </c>
      <c r="H123" t="s">
        <v>50</v>
      </c>
      <c r="I123" t="s">
        <v>87</v>
      </c>
      <c r="J123" s="89">
        <v>43293</v>
      </c>
      <c r="K123" s="89">
        <v>43451</v>
      </c>
      <c r="L123" s="89"/>
      <c r="M123" s="31">
        <v>0</v>
      </c>
      <c r="N123" s="9"/>
      <c r="O123" s="33"/>
      <c r="P123" s="33"/>
      <c r="Q123" s="9"/>
      <c r="R123" s="67"/>
      <c r="S123" s="9"/>
    </row>
    <row r="124" spans="1:19" x14ac:dyDescent="0.25">
      <c r="A124" s="4"/>
      <c r="B124" s="28" t="str">
        <f>IF(ISNUMBER(MATCH(C124, Mgt_Unit!$C$5:$C$1018, 0)), INDEX(Mgt_Unit!$B$5:$B$1018, MATCH(C124, Mgt_Unit!$C$5:$C$1018, 0)), "")</f>
        <v>jennifer.moore</v>
      </c>
      <c r="C124" s="87" t="s">
        <v>689</v>
      </c>
      <c r="D124" s="65"/>
      <c r="E124" s="87">
        <v>2</v>
      </c>
      <c r="F124" s="87" t="s">
        <v>1538</v>
      </c>
      <c r="G124" s="87" t="s">
        <v>1544</v>
      </c>
      <c r="H124" s="87" t="s">
        <v>51</v>
      </c>
      <c r="I124" s="87" t="s">
        <v>125</v>
      </c>
      <c r="J124" s="90">
        <v>43646</v>
      </c>
      <c r="K124" s="90">
        <v>43799</v>
      </c>
      <c r="L124" s="90"/>
      <c r="M124" s="93">
        <v>0</v>
      </c>
      <c r="N124" s="9"/>
      <c r="O124" s="33"/>
      <c r="P124" s="33"/>
      <c r="Q124" s="9"/>
      <c r="R124" s="67"/>
      <c r="S124" s="9"/>
    </row>
    <row r="125" spans="1:19" x14ac:dyDescent="0.25">
      <c r="A125" s="4"/>
      <c r="B125" s="28" t="str">
        <f>IF(ISNUMBER(MATCH(C125, Mgt_Unit!$C$5:$C$1018, 0)), INDEX(Mgt_Unit!$B$5:$B$1018, MATCH(C125, Mgt_Unit!$C$5:$C$1018, 0)), "")</f>
        <v>jennifer.moore</v>
      </c>
      <c r="C125" t="s">
        <v>690</v>
      </c>
      <c r="D125" s="65"/>
      <c r="E125">
        <v>1</v>
      </c>
      <c r="F125" t="s">
        <v>1538</v>
      </c>
      <c r="G125" t="s">
        <v>1544</v>
      </c>
      <c r="H125" t="s">
        <v>50</v>
      </c>
      <c r="I125" t="s">
        <v>87</v>
      </c>
      <c r="J125" s="89">
        <v>43293</v>
      </c>
      <c r="K125" s="89">
        <v>43451</v>
      </c>
      <c r="L125" s="89"/>
      <c r="M125" s="31">
        <v>95</v>
      </c>
      <c r="N125" s="9"/>
      <c r="O125" s="33"/>
      <c r="P125" s="33"/>
      <c r="Q125" s="9"/>
      <c r="R125" s="67"/>
      <c r="S125" s="9"/>
    </row>
    <row r="126" spans="1:19" x14ac:dyDescent="0.25">
      <c r="A126" s="4"/>
      <c r="B126" s="28" t="str">
        <f>IF(ISNUMBER(MATCH(C126, Mgt_Unit!$C$5:$C$1018, 0)), INDEX(Mgt_Unit!$B$5:$B$1018, MATCH(C126, Mgt_Unit!$C$5:$C$1018, 0)), "")</f>
        <v>jennifer.moore</v>
      </c>
      <c r="C126" s="87" t="s">
        <v>690</v>
      </c>
      <c r="D126" s="65"/>
      <c r="E126" s="87">
        <v>2</v>
      </c>
      <c r="F126" s="87" t="s">
        <v>1538</v>
      </c>
      <c r="G126" s="87" t="s">
        <v>1544</v>
      </c>
      <c r="H126" s="87" t="s">
        <v>51</v>
      </c>
      <c r="I126" s="87" t="s">
        <v>125</v>
      </c>
      <c r="J126" s="90">
        <v>43646</v>
      </c>
      <c r="K126" s="90">
        <v>43799</v>
      </c>
      <c r="L126" s="90"/>
      <c r="M126" s="93">
        <v>95</v>
      </c>
      <c r="N126" s="9"/>
      <c r="O126" s="33"/>
      <c r="P126" s="33"/>
      <c r="Q126" s="9"/>
      <c r="R126" s="67"/>
      <c r="S126" s="9"/>
    </row>
    <row r="127" spans="1:19" x14ac:dyDescent="0.25">
      <c r="A127" s="4"/>
      <c r="B127" s="28" t="str">
        <f>IF(ISNUMBER(MATCH(C127, Mgt_Unit!$C$5:$C$1018, 0)), INDEX(Mgt_Unit!$B$5:$B$1018, MATCH(C127, Mgt_Unit!$C$5:$C$1018, 0)), "")</f>
        <v>jennifer.moore</v>
      </c>
      <c r="C127" t="s">
        <v>691</v>
      </c>
      <c r="D127" s="65"/>
      <c r="E127">
        <v>1</v>
      </c>
      <c r="F127" t="s">
        <v>1538</v>
      </c>
      <c r="G127" t="s">
        <v>1544</v>
      </c>
      <c r="H127" t="s">
        <v>50</v>
      </c>
      <c r="I127" t="s">
        <v>87</v>
      </c>
      <c r="J127" s="89">
        <v>43293</v>
      </c>
      <c r="K127" s="89">
        <v>43451</v>
      </c>
      <c r="L127" s="89"/>
      <c r="M127" s="31">
        <v>95</v>
      </c>
      <c r="N127" s="9"/>
      <c r="O127" s="33"/>
      <c r="P127" s="33"/>
      <c r="Q127" s="9"/>
      <c r="R127" s="67"/>
      <c r="S127" s="9"/>
    </row>
    <row r="128" spans="1:19" x14ac:dyDescent="0.25">
      <c r="A128" s="4"/>
      <c r="B128" s="28" t="str">
        <f>IF(ISNUMBER(MATCH(C128, Mgt_Unit!$C$5:$C$1018, 0)), INDEX(Mgt_Unit!$B$5:$B$1018, MATCH(C128, Mgt_Unit!$C$5:$C$1018, 0)), "")</f>
        <v>jennifer.moore</v>
      </c>
      <c r="C128" s="87" t="s">
        <v>691</v>
      </c>
      <c r="D128" s="65"/>
      <c r="E128" s="87">
        <v>2</v>
      </c>
      <c r="F128" s="87" t="s">
        <v>1538</v>
      </c>
      <c r="G128" s="87" t="s">
        <v>1544</v>
      </c>
      <c r="H128" s="87" t="s">
        <v>51</v>
      </c>
      <c r="I128" s="87" t="s">
        <v>125</v>
      </c>
      <c r="J128" s="90">
        <v>43646</v>
      </c>
      <c r="K128" s="90">
        <v>43799</v>
      </c>
      <c r="L128" s="90"/>
      <c r="M128" s="93">
        <v>95</v>
      </c>
      <c r="N128" s="9"/>
      <c r="O128" s="33"/>
      <c r="P128" s="33"/>
      <c r="Q128" s="9"/>
      <c r="R128" s="67"/>
      <c r="S128" s="9"/>
    </row>
    <row r="129" spans="1:19" x14ac:dyDescent="0.25">
      <c r="A129" s="4"/>
      <c r="B129" s="28" t="str">
        <f>IF(ISNUMBER(MATCH(C129, Mgt_Unit!$C$5:$C$1018, 0)), INDEX(Mgt_Unit!$B$5:$B$1018, MATCH(C129, Mgt_Unit!$C$5:$C$1018, 0)), "")</f>
        <v>jennifer.moore</v>
      </c>
      <c r="C129" s="88" t="s">
        <v>692</v>
      </c>
      <c r="D129" s="65"/>
      <c r="E129" s="88">
        <v>1</v>
      </c>
      <c r="F129" s="88" t="s">
        <v>1538</v>
      </c>
      <c r="G129" s="88" t="s">
        <v>1544</v>
      </c>
      <c r="H129" s="88" t="s">
        <v>50</v>
      </c>
      <c r="I129" s="88" t="s">
        <v>87</v>
      </c>
      <c r="J129" s="91">
        <v>43293</v>
      </c>
      <c r="K129" s="91">
        <v>43451</v>
      </c>
      <c r="L129" s="91"/>
      <c r="M129" s="94">
        <v>0</v>
      </c>
      <c r="N129" s="9"/>
      <c r="O129" s="33"/>
      <c r="P129" s="33"/>
      <c r="Q129" s="9"/>
      <c r="R129" s="67"/>
      <c r="S129" s="9"/>
    </row>
    <row r="130" spans="1:19" x14ac:dyDescent="0.25">
      <c r="A130" s="4"/>
      <c r="B130" s="28" t="str">
        <f>IF(ISNUMBER(MATCH(C130, Mgt_Unit!$C$5:$C$1018, 0)), INDEX(Mgt_Unit!$B$5:$B$1018, MATCH(C130, Mgt_Unit!$C$5:$C$1018, 0)), "")</f>
        <v>jennifer.moore</v>
      </c>
      <c r="C130" s="88" t="s">
        <v>693</v>
      </c>
      <c r="D130" s="65"/>
      <c r="E130" s="88">
        <v>1</v>
      </c>
      <c r="F130" s="88" t="s">
        <v>1538</v>
      </c>
      <c r="G130" s="88" t="s">
        <v>1544</v>
      </c>
      <c r="H130" s="88" t="s">
        <v>50</v>
      </c>
      <c r="I130" s="88" t="s">
        <v>87</v>
      </c>
      <c r="J130" s="91">
        <v>43293</v>
      </c>
      <c r="K130" s="91">
        <v>43451</v>
      </c>
      <c r="L130" s="91"/>
      <c r="M130" s="94">
        <v>95</v>
      </c>
      <c r="N130" s="9"/>
      <c r="O130" s="33"/>
      <c r="P130" s="33"/>
      <c r="Q130" s="9"/>
      <c r="R130" s="67"/>
      <c r="S130" s="9"/>
    </row>
    <row r="131" spans="1:19" x14ac:dyDescent="0.25">
      <c r="A131" s="4"/>
      <c r="B131" s="28" t="str">
        <f>IF(ISNUMBER(MATCH(C131, Mgt_Unit!$C$5:$C$1018, 0)), INDEX(Mgt_Unit!$B$5:$B$1018, MATCH(C131, Mgt_Unit!$C$5:$C$1018, 0)), "")</f>
        <v>jennifer.moore</v>
      </c>
      <c r="C131" s="88" t="s">
        <v>694</v>
      </c>
      <c r="D131" s="65"/>
      <c r="E131" s="88">
        <v>1</v>
      </c>
      <c r="F131" s="88" t="s">
        <v>1538</v>
      </c>
      <c r="G131" s="88" t="s">
        <v>1544</v>
      </c>
      <c r="H131" s="88" t="s">
        <v>50</v>
      </c>
      <c r="I131" s="88" t="s">
        <v>87</v>
      </c>
      <c r="J131" s="91">
        <v>43293</v>
      </c>
      <c r="K131" s="91">
        <v>43451</v>
      </c>
      <c r="L131" s="91"/>
      <c r="M131" s="94">
        <v>95</v>
      </c>
      <c r="N131" s="9"/>
      <c r="O131" s="33"/>
      <c r="P131" s="33"/>
      <c r="Q131" s="9"/>
      <c r="R131" s="67"/>
      <c r="S131" s="9"/>
    </row>
    <row r="132" spans="1:19" x14ac:dyDescent="0.25">
      <c r="A132" s="4"/>
      <c r="B132" s="28" t="str">
        <f>IF(ISNUMBER(MATCH(C132, Mgt_Unit!$C$5:$C$1018, 0)), INDEX(Mgt_Unit!$B$5:$B$1018, MATCH(C132, Mgt_Unit!$C$5:$C$1018, 0)), "")</f>
        <v>jennifer.moore</v>
      </c>
      <c r="C132" t="s">
        <v>695</v>
      </c>
      <c r="D132" s="65"/>
      <c r="E132">
        <v>1</v>
      </c>
      <c r="F132" t="s">
        <v>1538</v>
      </c>
      <c r="G132" t="s">
        <v>1544</v>
      </c>
      <c r="H132" t="s">
        <v>50</v>
      </c>
      <c r="I132" t="s">
        <v>87</v>
      </c>
      <c r="J132" s="89">
        <v>43293</v>
      </c>
      <c r="K132" s="89">
        <v>43451</v>
      </c>
      <c r="L132" s="89"/>
      <c r="M132" s="31">
        <v>0</v>
      </c>
      <c r="N132" s="9"/>
      <c r="O132" s="33"/>
      <c r="P132" s="33"/>
      <c r="Q132" s="9"/>
      <c r="R132" s="67"/>
      <c r="S132" s="9"/>
    </row>
    <row r="133" spans="1:19" x14ac:dyDescent="0.25">
      <c r="A133" s="4"/>
      <c r="B133" s="28" t="str">
        <f>IF(ISNUMBER(MATCH(C133, Mgt_Unit!$C$5:$C$1018, 0)), INDEX(Mgt_Unit!$B$5:$B$1018, MATCH(C133, Mgt_Unit!$C$5:$C$1018, 0)), "")</f>
        <v>jennifer.moore</v>
      </c>
      <c r="C133" s="87" t="s">
        <v>695</v>
      </c>
      <c r="D133" s="65"/>
      <c r="E133" s="87">
        <v>2</v>
      </c>
      <c r="F133" s="87" t="s">
        <v>1538</v>
      </c>
      <c r="G133" s="87" t="s">
        <v>1544</v>
      </c>
      <c r="H133" s="87" t="s">
        <v>50</v>
      </c>
      <c r="I133" s="87" t="s">
        <v>175</v>
      </c>
      <c r="J133" s="90">
        <v>43646</v>
      </c>
      <c r="K133" s="90">
        <v>43799</v>
      </c>
      <c r="L133" s="90"/>
      <c r="M133" s="96">
        <v>90</v>
      </c>
      <c r="N133" s="9"/>
      <c r="O133" s="33"/>
      <c r="P133" s="33"/>
      <c r="Q133" s="9"/>
      <c r="R133" s="67"/>
      <c r="S133" s="9"/>
    </row>
    <row r="134" spans="1:19" x14ac:dyDescent="0.25">
      <c r="A134" s="4"/>
      <c r="B134" s="28" t="str">
        <f>IF(ISNUMBER(MATCH(C134, Mgt_Unit!$C$5:$C$1018, 0)), INDEX(Mgt_Unit!$B$5:$B$1018, MATCH(C134, Mgt_Unit!$C$5:$C$1018, 0)), "")</f>
        <v>jennifer.moore</v>
      </c>
      <c r="C134" t="s">
        <v>696</v>
      </c>
      <c r="D134" s="65"/>
      <c r="E134">
        <v>1</v>
      </c>
      <c r="F134" t="s">
        <v>1538</v>
      </c>
      <c r="G134" t="s">
        <v>1544</v>
      </c>
      <c r="H134" t="s">
        <v>50</v>
      </c>
      <c r="I134" t="s">
        <v>87</v>
      </c>
      <c r="J134" s="89">
        <v>43293</v>
      </c>
      <c r="K134" s="89">
        <v>43451</v>
      </c>
      <c r="L134" s="89"/>
      <c r="M134" s="31">
        <v>95</v>
      </c>
      <c r="N134" s="9"/>
      <c r="O134" s="33"/>
      <c r="P134" s="33"/>
      <c r="Q134" s="9"/>
      <c r="R134" s="67"/>
      <c r="S134" s="9"/>
    </row>
    <row r="135" spans="1:19" x14ac:dyDescent="0.25">
      <c r="A135" s="4"/>
      <c r="B135" s="28" t="str">
        <f>IF(ISNUMBER(MATCH(C135, Mgt_Unit!$C$5:$C$1018, 0)), INDEX(Mgt_Unit!$B$5:$B$1018, MATCH(C135, Mgt_Unit!$C$5:$C$1018, 0)), "")</f>
        <v>jennifer.moore</v>
      </c>
      <c r="C135" s="87" t="s">
        <v>696</v>
      </c>
      <c r="D135" s="65"/>
      <c r="E135" s="87">
        <v>2</v>
      </c>
      <c r="F135" s="87" t="s">
        <v>1538</v>
      </c>
      <c r="G135" s="87" t="s">
        <v>1544</v>
      </c>
      <c r="H135" s="87" t="s">
        <v>50</v>
      </c>
      <c r="I135" s="87" t="s">
        <v>175</v>
      </c>
      <c r="J135" s="90">
        <v>43646</v>
      </c>
      <c r="K135" s="90">
        <v>43799</v>
      </c>
      <c r="L135" s="90"/>
      <c r="M135" s="93">
        <v>90</v>
      </c>
      <c r="N135" s="9"/>
      <c r="O135" s="33"/>
      <c r="P135" s="33"/>
      <c r="Q135" s="9"/>
      <c r="R135" s="67"/>
      <c r="S135" s="9"/>
    </row>
    <row r="136" spans="1:19" x14ac:dyDescent="0.25">
      <c r="A136" s="4"/>
      <c r="B136" s="28" t="str">
        <f>IF(ISNUMBER(MATCH(C136, Mgt_Unit!$C$5:$C$1018, 0)), INDEX(Mgt_Unit!$B$5:$B$1018, MATCH(C136, Mgt_Unit!$C$5:$C$1018, 0)), "")</f>
        <v>jennifer.moore</v>
      </c>
      <c r="C136" t="s">
        <v>697</v>
      </c>
      <c r="D136" s="65"/>
      <c r="E136">
        <v>1</v>
      </c>
      <c r="F136" t="s">
        <v>1538</v>
      </c>
      <c r="G136" t="s">
        <v>1544</v>
      </c>
      <c r="H136" t="s">
        <v>50</v>
      </c>
      <c r="I136" t="s">
        <v>87</v>
      </c>
      <c r="J136" s="89">
        <v>43293</v>
      </c>
      <c r="K136" s="89">
        <v>43451</v>
      </c>
      <c r="L136" s="89"/>
      <c r="M136" s="31">
        <v>95</v>
      </c>
      <c r="N136" s="9"/>
      <c r="O136" s="33"/>
      <c r="P136" s="33"/>
      <c r="Q136" s="9"/>
      <c r="R136" s="67"/>
      <c r="S136" s="9"/>
    </row>
    <row r="137" spans="1:19" x14ac:dyDescent="0.25">
      <c r="A137" s="4"/>
      <c r="B137" s="28" t="str">
        <f>IF(ISNUMBER(MATCH(C137, Mgt_Unit!$C$5:$C$1018, 0)), INDEX(Mgt_Unit!$B$5:$B$1018, MATCH(C137, Mgt_Unit!$C$5:$C$1018, 0)), "")</f>
        <v>jennifer.moore</v>
      </c>
      <c r="C137" s="87" t="s">
        <v>697</v>
      </c>
      <c r="D137" s="65"/>
      <c r="E137" s="87">
        <v>2</v>
      </c>
      <c r="F137" s="87" t="s">
        <v>1538</v>
      </c>
      <c r="G137" s="87" t="s">
        <v>1544</v>
      </c>
      <c r="H137" s="87" t="s">
        <v>50</v>
      </c>
      <c r="I137" s="87" t="s">
        <v>175</v>
      </c>
      <c r="J137" s="90">
        <v>43646</v>
      </c>
      <c r="K137" s="90">
        <v>43799</v>
      </c>
      <c r="L137" s="90"/>
      <c r="M137" s="93">
        <v>90</v>
      </c>
      <c r="N137" s="9"/>
      <c r="O137" s="33"/>
      <c r="P137" s="33"/>
      <c r="Q137" s="9"/>
      <c r="R137" s="67"/>
      <c r="S137" s="9"/>
    </row>
    <row r="138" spans="1:19" x14ac:dyDescent="0.25">
      <c r="A138" s="4"/>
      <c r="B138" s="28" t="str">
        <f>IF(ISNUMBER(MATCH(C138, Mgt_Unit!$C$5:$C$1018, 0)), INDEX(Mgt_Unit!$B$5:$B$1018, MATCH(C138, Mgt_Unit!$C$5:$C$1018, 0)), "")</f>
        <v>jennifer.moore</v>
      </c>
      <c r="C138" s="88" t="s">
        <v>698</v>
      </c>
      <c r="D138" s="65"/>
      <c r="E138" s="88">
        <v>1</v>
      </c>
      <c r="F138" s="88" t="s">
        <v>1538</v>
      </c>
      <c r="G138" s="88" t="s">
        <v>1544</v>
      </c>
      <c r="H138" s="88" t="s">
        <v>50</v>
      </c>
      <c r="I138" s="88" t="s">
        <v>87</v>
      </c>
      <c r="J138" s="91">
        <v>43235</v>
      </c>
      <c r="K138" s="91">
        <v>43449</v>
      </c>
      <c r="L138" s="91"/>
      <c r="M138" s="94">
        <v>0</v>
      </c>
      <c r="N138" s="9"/>
      <c r="O138" s="33"/>
      <c r="P138" s="33"/>
      <c r="Q138" s="9"/>
      <c r="R138" s="67"/>
      <c r="S138" s="9"/>
    </row>
    <row r="139" spans="1:19" x14ac:dyDescent="0.25">
      <c r="A139" s="4"/>
      <c r="B139" s="28" t="str">
        <f>IF(ISNUMBER(MATCH(C139, Mgt_Unit!$C$5:$C$1018, 0)), INDEX(Mgt_Unit!$B$5:$B$1018, MATCH(C139, Mgt_Unit!$C$5:$C$1018, 0)), "")</f>
        <v>jennifer.moore</v>
      </c>
      <c r="C139" s="88" t="s">
        <v>699</v>
      </c>
      <c r="D139" s="65"/>
      <c r="E139" s="88">
        <v>1</v>
      </c>
      <c r="F139" s="88" t="s">
        <v>1538</v>
      </c>
      <c r="G139" s="88" t="s">
        <v>1544</v>
      </c>
      <c r="H139" s="88" t="s">
        <v>50</v>
      </c>
      <c r="I139" s="88" t="s">
        <v>87</v>
      </c>
      <c r="J139" s="91">
        <v>43235</v>
      </c>
      <c r="K139" s="91">
        <v>43449</v>
      </c>
      <c r="L139" s="91"/>
      <c r="M139" s="94">
        <v>95</v>
      </c>
      <c r="N139" s="9"/>
      <c r="O139" s="33"/>
      <c r="P139" s="33"/>
      <c r="Q139" s="9"/>
      <c r="R139" s="67"/>
      <c r="S139" s="9"/>
    </row>
    <row r="140" spans="1:19" x14ac:dyDescent="0.25">
      <c r="A140" s="4"/>
      <c r="B140" s="28" t="str">
        <f>IF(ISNUMBER(MATCH(C140, Mgt_Unit!$C$5:$C$1018, 0)), INDEX(Mgt_Unit!$B$5:$B$1018, MATCH(C140, Mgt_Unit!$C$5:$C$1018, 0)), "")</f>
        <v>jennifer.moore</v>
      </c>
      <c r="C140" t="s">
        <v>700</v>
      </c>
      <c r="D140" s="65"/>
      <c r="E140">
        <v>1</v>
      </c>
      <c r="F140" t="s">
        <v>1538</v>
      </c>
      <c r="G140" t="s">
        <v>1544</v>
      </c>
      <c r="H140" t="s">
        <v>442</v>
      </c>
      <c r="I140" t="s">
        <v>90</v>
      </c>
      <c r="J140" s="89">
        <v>43275</v>
      </c>
      <c r="K140" s="89">
        <v>43416</v>
      </c>
      <c r="L140" s="89"/>
      <c r="M140" s="31">
        <v>0</v>
      </c>
      <c r="N140" s="9"/>
      <c r="O140" s="33"/>
      <c r="P140" s="33"/>
      <c r="Q140" s="9"/>
      <c r="R140" s="67"/>
      <c r="S140" s="9"/>
    </row>
    <row r="141" spans="1:19" x14ac:dyDescent="0.25">
      <c r="A141" s="4"/>
      <c r="B141" s="28" t="str">
        <f>IF(ISNUMBER(MATCH(C141, Mgt_Unit!$C$5:$C$1018, 0)), INDEX(Mgt_Unit!$B$5:$B$1018, MATCH(C141, Mgt_Unit!$C$5:$C$1018, 0)), "")</f>
        <v>jennifer.moore</v>
      </c>
      <c r="C141" s="87" t="s">
        <v>700</v>
      </c>
      <c r="D141" s="65"/>
      <c r="E141" s="87">
        <v>2</v>
      </c>
      <c r="F141" s="87" t="s">
        <v>1538</v>
      </c>
      <c r="G141" s="87" t="s">
        <v>1544</v>
      </c>
      <c r="H141" s="87" t="s">
        <v>50</v>
      </c>
      <c r="I141" s="87" t="s">
        <v>87</v>
      </c>
      <c r="J141" s="90">
        <v>43600</v>
      </c>
      <c r="K141" s="90">
        <v>43814</v>
      </c>
      <c r="L141" s="90"/>
      <c r="M141" s="93">
        <v>0</v>
      </c>
      <c r="N141" s="9"/>
      <c r="O141" s="33"/>
      <c r="P141" s="33"/>
      <c r="Q141" s="9"/>
      <c r="R141" s="67"/>
      <c r="S141" s="9"/>
    </row>
    <row r="142" spans="1:19" x14ac:dyDescent="0.25">
      <c r="A142" s="4"/>
      <c r="B142" s="28" t="str">
        <f>IF(ISNUMBER(MATCH(C142, Mgt_Unit!$C$5:$C$1018, 0)), INDEX(Mgt_Unit!$B$5:$B$1018, MATCH(C142, Mgt_Unit!$C$5:$C$1018, 0)), "")</f>
        <v>jennifer.moore</v>
      </c>
      <c r="C142" t="s">
        <v>701</v>
      </c>
      <c r="D142" s="65"/>
      <c r="E142">
        <v>1</v>
      </c>
      <c r="F142" t="s">
        <v>1538</v>
      </c>
      <c r="G142" t="s">
        <v>1544</v>
      </c>
      <c r="H142" t="s">
        <v>50</v>
      </c>
      <c r="I142" t="s">
        <v>87</v>
      </c>
      <c r="J142" s="89">
        <v>43235</v>
      </c>
      <c r="K142" s="89">
        <v>43449</v>
      </c>
      <c r="L142" s="89"/>
      <c r="M142" s="31">
        <v>0</v>
      </c>
      <c r="N142" s="9"/>
      <c r="O142" s="33"/>
      <c r="P142" s="33"/>
      <c r="Q142" s="9"/>
      <c r="R142" s="67"/>
      <c r="S142" s="9"/>
    </row>
    <row r="143" spans="1:19" x14ac:dyDescent="0.25">
      <c r="A143" s="4"/>
      <c r="B143" s="28" t="str">
        <f>IF(ISNUMBER(MATCH(C143, Mgt_Unit!$C$5:$C$1018, 0)), INDEX(Mgt_Unit!$B$5:$B$1018, MATCH(C143, Mgt_Unit!$C$5:$C$1018, 0)), "")</f>
        <v>jennifer.moore</v>
      </c>
      <c r="C143" s="87" t="s">
        <v>701</v>
      </c>
      <c r="D143" s="65"/>
      <c r="E143" s="87">
        <v>2</v>
      </c>
      <c r="F143" s="87" t="s">
        <v>1538</v>
      </c>
      <c r="G143" s="87" t="s">
        <v>1544</v>
      </c>
      <c r="H143" s="87" t="s">
        <v>442</v>
      </c>
      <c r="I143" s="87" t="s">
        <v>90</v>
      </c>
      <c r="J143" s="90">
        <v>43640</v>
      </c>
      <c r="K143" s="90">
        <v>43781</v>
      </c>
      <c r="L143" s="90"/>
      <c r="M143" s="93">
        <v>0</v>
      </c>
      <c r="N143" s="9"/>
      <c r="O143" s="33"/>
      <c r="P143" s="33"/>
      <c r="Q143" s="9"/>
      <c r="R143" s="67"/>
      <c r="S143" s="9"/>
    </row>
    <row r="144" spans="1:19" x14ac:dyDescent="0.25">
      <c r="A144" s="4"/>
      <c r="B144" s="28" t="str">
        <f>IF(ISNUMBER(MATCH(C144, Mgt_Unit!$C$5:$C$1018, 0)), INDEX(Mgt_Unit!$B$5:$B$1018, MATCH(C144, Mgt_Unit!$C$5:$C$1018, 0)), "")</f>
        <v>jennifer.moore</v>
      </c>
      <c r="C144" t="s">
        <v>702</v>
      </c>
      <c r="D144" s="65"/>
      <c r="E144">
        <v>1</v>
      </c>
      <c r="F144" t="s">
        <v>1538</v>
      </c>
      <c r="G144" t="s">
        <v>1544</v>
      </c>
      <c r="H144" t="s">
        <v>441</v>
      </c>
      <c r="I144" t="s">
        <v>195</v>
      </c>
      <c r="J144" s="89">
        <v>42563</v>
      </c>
      <c r="K144" s="89">
        <v>42672</v>
      </c>
      <c r="L144" s="89"/>
      <c r="M144" s="31">
        <v>0</v>
      </c>
      <c r="N144" s="9"/>
      <c r="O144" s="33"/>
      <c r="P144" s="33"/>
      <c r="Q144" s="9"/>
      <c r="R144" s="67"/>
      <c r="S144" s="9"/>
    </row>
    <row r="145" spans="1:19" x14ac:dyDescent="0.25">
      <c r="A145" s="4"/>
      <c r="B145" s="28" t="str">
        <f>IF(ISNUMBER(MATCH(C145, Mgt_Unit!$C$5:$C$1018, 0)), INDEX(Mgt_Unit!$B$5:$B$1018, MATCH(C145, Mgt_Unit!$C$5:$C$1018, 0)), "")</f>
        <v>jennifer.moore</v>
      </c>
      <c r="C145" t="s">
        <v>702</v>
      </c>
      <c r="D145" s="65"/>
      <c r="E145">
        <v>2</v>
      </c>
      <c r="F145" t="s">
        <v>1538</v>
      </c>
      <c r="G145" t="s">
        <v>1544</v>
      </c>
      <c r="H145" t="s">
        <v>442</v>
      </c>
      <c r="I145" t="s">
        <v>90</v>
      </c>
      <c r="J145" s="89">
        <v>42910</v>
      </c>
      <c r="K145" s="89">
        <v>43051</v>
      </c>
      <c r="L145" s="89"/>
      <c r="M145" s="31">
        <v>0</v>
      </c>
      <c r="N145" s="9"/>
      <c r="O145" s="33"/>
      <c r="P145" s="33"/>
      <c r="Q145" s="9"/>
      <c r="R145" s="67"/>
      <c r="S145" s="9"/>
    </row>
    <row r="146" spans="1:19" x14ac:dyDescent="0.25">
      <c r="A146" s="4"/>
      <c r="B146" s="28" t="str">
        <f>IF(ISNUMBER(MATCH(C146, Mgt_Unit!$C$5:$C$1018, 0)), INDEX(Mgt_Unit!$B$5:$B$1018, MATCH(C146, Mgt_Unit!$C$5:$C$1018, 0)), "")</f>
        <v>jennifer.moore</v>
      </c>
      <c r="C146" s="87" t="s">
        <v>702</v>
      </c>
      <c r="D146" s="65"/>
      <c r="E146" s="87">
        <v>3</v>
      </c>
      <c r="F146" s="87" t="s">
        <v>1538</v>
      </c>
      <c r="G146" s="87" t="s">
        <v>1544</v>
      </c>
      <c r="H146" s="87" t="s">
        <v>50</v>
      </c>
      <c r="I146" s="87" t="s">
        <v>87</v>
      </c>
      <c r="J146" s="90">
        <v>43235</v>
      </c>
      <c r="K146" s="90">
        <v>43449</v>
      </c>
      <c r="L146" s="90"/>
      <c r="M146" s="93">
        <v>0</v>
      </c>
      <c r="N146" s="9"/>
      <c r="O146" s="33"/>
      <c r="P146" s="33"/>
      <c r="Q146" s="9"/>
      <c r="R146" s="67"/>
      <c r="S146" s="9"/>
    </row>
    <row r="147" spans="1:19" x14ac:dyDescent="0.25">
      <c r="A147" s="4"/>
      <c r="B147" s="28" t="str">
        <f>IF(ISNUMBER(MATCH(C147, Mgt_Unit!$C$5:$C$1018, 0)), INDEX(Mgt_Unit!$B$5:$B$1018, MATCH(C147, Mgt_Unit!$C$5:$C$1018, 0)), "")</f>
        <v>jennifer.moore</v>
      </c>
      <c r="C147" t="s">
        <v>703</v>
      </c>
      <c r="D147" s="65"/>
      <c r="E147">
        <v>1</v>
      </c>
      <c r="F147" t="s">
        <v>1538</v>
      </c>
      <c r="G147" t="s">
        <v>1544</v>
      </c>
      <c r="H147" t="s">
        <v>50</v>
      </c>
      <c r="I147" t="s">
        <v>87</v>
      </c>
      <c r="J147" s="89"/>
      <c r="K147" s="89">
        <v>43122</v>
      </c>
      <c r="L147" s="89"/>
      <c r="M147" s="31">
        <v>95</v>
      </c>
      <c r="N147" s="9"/>
      <c r="O147" s="33"/>
      <c r="P147" s="33"/>
      <c r="Q147" s="9"/>
      <c r="R147" s="67"/>
      <c r="S147" s="9"/>
    </row>
    <row r="148" spans="1:19" x14ac:dyDescent="0.25">
      <c r="A148" s="4"/>
      <c r="B148" s="28" t="str">
        <f>IF(ISNUMBER(MATCH(C148, Mgt_Unit!$C$5:$C$1018, 0)), INDEX(Mgt_Unit!$B$5:$B$1018, MATCH(C148, Mgt_Unit!$C$5:$C$1018, 0)), "")</f>
        <v>jennifer.moore</v>
      </c>
      <c r="C148" s="87" t="s">
        <v>703</v>
      </c>
      <c r="D148" s="65"/>
      <c r="E148" s="87">
        <v>2</v>
      </c>
      <c r="F148" s="87" t="s">
        <v>1538</v>
      </c>
      <c r="G148" s="87" t="s">
        <v>1544</v>
      </c>
      <c r="H148" s="87" t="s">
        <v>50</v>
      </c>
      <c r="I148" s="87" t="s">
        <v>87</v>
      </c>
      <c r="J148" s="90">
        <v>43280</v>
      </c>
      <c r="K148" s="90"/>
      <c r="L148" s="90"/>
      <c r="M148" s="93"/>
      <c r="N148" s="9"/>
      <c r="O148" s="33"/>
      <c r="P148" s="33"/>
      <c r="Q148" s="9"/>
      <c r="R148" s="67"/>
      <c r="S148" s="9"/>
    </row>
    <row r="149" spans="1:19" x14ac:dyDescent="0.25">
      <c r="A149" s="4"/>
      <c r="B149" s="28" t="str">
        <f>IF(ISNUMBER(MATCH(C149, Mgt_Unit!$C$5:$C$1018, 0)), INDEX(Mgt_Unit!$B$5:$B$1018, MATCH(C149, Mgt_Unit!$C$5:$C$1018, 0)), "")</f>
        <v>jennifer.moore</v>
      </c>
      <c r="C149" t="s">
        <v>704</v>
      </c>
      <c r="D149" s="65"/>
      <c r="E149">
        <v>1</v>
      </c>
      <c r="F149" t="s">
        <v>1538</v>
      </c>
      <c r="G149" t="s">
        <v>1544</v>
      </c>
      <c r="H149" t="s">
        <v>50</v>
      </c>
      <c r="I149" t="s">
        <v>87</v>
      </c>
      <c r="J149" s="89"/>
      <c r="K149" s="89">
        <v>43122</v>
      </c>
      <c r="L149" s="89"/>
      <c r="M149" s="31">
        <v>0</v>
      </c>
      <c r="N149" s="9"/>
      <c r="O149" s="33"/>
      <c r="P149" s="33"/>
      <c r="Q149" s="9"/>
      <c r="R149" s="67"/>
      <c r="S149" s="9"/>
    </row>
    <row r="150" spans="1:19" x14ac:dyDescent="0.25">
      <c r="A150" s="4"/>
      <c r="B150" s="28" t="str">
        <f>IF(ISNUMBER(MATCH(C150, Mgt_Unit!$C$5:$C$1018, 0)), INDEX(Mgt_Unit!$B$5:$B$1018, MATCH(C150, Mgt_Unit!$C$5:$C$1018, 0)), "")</f>
        <v>jennifer.moore</v>
      </c>
      <c r="C150" s="87" t="s">
        <v>704</v>
      </c>
      <c r="D150" s="65"/>
      <c r="E150" s="87">
        <v>2</v>
      </c>
      <c r="F150" s="87" t="s">
        <v>1538</v>
      </c>
      <c r="G150" s="87" t="s">
        <v>1544</v>
      </c>
      <c r="H150" s="87" t="s">
        <v>50</v>
      </c>
      <c r="I150" s="87" t="s">
        <v>87</v>
      </c>
      <c r="J150" s="90">
        <v>43280</v>
      </c>
      <c r="K150" s="90"/>
      <c r="L150" s="90"/>
      <c r="M150" s="93"/>
      <c r="N150" s="9"/>
      <c r="O150" s="33"/>
      <c r="P150" s="33"/>
      <c r="Q150" s="9"/>
      <c r="R150" s="67"/>
      <c r="S150" s="9"/>
    </row>
    <row r="151" spans="1:19" x14ac:dyDescent="0.25">
      <c r="A151" s="4"/>
      <c r="B151" s="28" t="str">
        <f>IF(ISNUMBER(MATCH(C151, Mgt_Unit!$C$5:$C$1018, 0)), INDEX(Mgt_Unit!$B$5:$B$1018, MATCH(C151, Mgt_Unit!$C$5:$C$1018, 0)), "")</f>
        <v>jennifer.moore</v>
      </c>
      <c r="C151" t="s">
        <v>705</v>
      </c>
      <c r="D151" s="65"/>
      <c r="E151">
        <v>1</v>
      </c>
      <c r="F151" t="s">
        <v>1538</v>
      </c>
      <c r="G151" t="s">
        <v>1544</v>
      </c>
      <c r="H151" t="s">
        <v>50</v>
      </c>
      <c r="I151" t="s">
        <v>87</v>
      </c>
      <c r="J151" s="89"/>
      <c r="K151" s="89">
        <v>43122</v>
      </c>
      <c r="L151" s="89"/>
      <c r="M151" s="31">
        <v>0</v>
      </c>
      <c r="N151" s="9"/>
      <c r="O151" s="33"/>
      <c r="P151" s="33"/>
      <c r="Q151" s="9"/>
      <c r="R151" s="67"/>
      <c r="S151" s="9"/>
    </row>
    <row r="152" spans="1:19" x14ac:dyDescent="0.25">
      <c r="A152" s="4"/>
      <c r="B152" s="28" t="str">
        <f>IF(ISNUMBER(MATCH(C152, Mgt_Unit!$C$5:$C$1018, 0)), INDEX(Mgt_Unit!$B$5:$B$1018, MATCH(C152, Mgt_Unit!$C$5:$C$1018, 0)), "")</f>
        <v>jennifer.moore</v>
      </c>
      <c r="C152" s="87" t="s">
        <v>705</v>
      </c>
      <c r="D152" s="65"/>
      <c r="E152" s="87">
        <v>2</v>
      </c>
      <c r="F152" s="87" t="s">
        <v>1538</v>
      </c>
      <c r="G152" s="87" t="s">
        <v>1544</v>
      </c>
      <c r="H152" s="87" t="s">
        <v>50</v>
      </c>
      <c r="I152" s="87" t="s">
        <v>87</v>
      </c>
      <c r="J152" s="90">
        <v>43280</v>
      </c>
      <c r="K152" s="90"/>
      <c r="L152" s="90"/>
      <c r="M152" s="93"/>
      <c r="N152" s="9"/>
      <c r="O152" s="33"/>
      <c r="P152" s="33"/>
      <c r="Q152" s="9"/>
      <c r="R152" s="67"/>
      <c r="S152" s="9"/>
    </row>
    <row r="153" spans="1:19" x14ac:dyDescent="0.25">
      <c r="A153" s="4"/>
      <c r="B153" s="28" t="str">
        <f>IF(ISNUMBER(MATCH(C153, Mgt_Unit!$C$5:$C$1018, 0)), INDEX(Mgt_Unit!$B$5:$B$1018, MATCH(C153, Mgt_Unit!$C$5:$C$1018, 0)), "")</f>
        <v>jennifer.moore</v>
      </c>
      <c r="C153" t="s">
        <v>706</v>
      </c>
      <c r="D153" s="65"/>
      <c r="E153">
        <v>1</v>
      </c>
      <c r="F153" t="s">
        <v>1538</v>
      </c>
      <c r="G153" t="s">
        <v>1544</v>
      </c>
      <c r="H153" t="s">
        <v>50</v>
      </c>
      <c r="I153" t="s">
        <v>87</v>
      </c>
      <c r="J153" s="89"/>
      <c r="K153" s="89">
        <v>43122</v>
      </c>
      <c r="L153" s="89"/>
      <c r="M153" s="31">
        <v>0</v>
      </c>
      <c r="N153" s="9"/>
      <c r="O153" s="33"/>
      <c r="P153" s="33"/>
      <c r="Q153" s="9"/>
      <c r="R153" s="67"/>
      <c r="S153" s="9"/>
    </row>
    <row r="154" spans="1:19" x14ac:dyDescent="0.25">
      <c r="A154" s="4"/>
      <c r="B154" s="28" t="str">
        <f>IF(ISNUMBER(MATCH(C154, Mgt_Unit!$C$5:$C$1018, 0)), INDEX(Mgt_Unit!$B$5:$B$1018, MATCH(C154, Mgt_Unit!$C$5:$C$1018, 0)), "")</f>
        <v>jennifer.moore</v>
      </c>
      <c r="C154" t="s">
        <v>706</v>
      </c>
      <c r="D154" s="65"/>
      <c r="E154">
        <v>2</v>
      </c>
      <c r="F154" t="s">
        <v>1538</v>
      </c>
      <c r="G154" t="s">
        <v>1544</v>
      </c>
      <c r="H154" t="s">
        <v>442</v>
      </c>
      <c r="I154" t="s">
        <v>90</v>
      </c>
      <c r="J154" s="89">
        <v>43280</v>
      </c>
      <c r="K154" s="89">
        <v>43399</v>
      </c>
      <c r="L154" s="89"/>
      <c r="M154" s="31">
        <v>0</v>
      </c>
      <c r="N154" s="9"/>
      <c r="O154" s="33"/>
      <c r="P154" s="33"/>
      <c r="Q154" s="9"/>
      <c r="R154" s="67"/>
      <c r="S154" s="9"/>
    </row>
    <row r="155" spans="1:19" x14ac:dyDescent="0.25">
      <c r="A155" s="4"/>
      <c r="B155" s="28" t="str">
        <f>IF(ISNUMBER(MATCH(C155, Mgt_Unit!$C$5:$C$1018, 0)), INDEX(Mgt_Unit!$B$5:$B$1018, MATCH(C155, Mgt_Unit!$C$5:$C$1018, 0)), "")</f>
        <v>jennifer.moore</v>
      </c>
      <c r="C155" s="87" t="s">
        <v>706</v>
      </c>
      <c r="D155" s="65"/>
      <c r="E155" s="87">
        <v>3</v>
      </c>
      <c r="F155" s="87" t="s">
        <v>1538</v>
      </c>
      <c r="G155" s="87" t="s">
        <v>1544</v>
      </c>
      <c r="H155" s="87" t="s">
        <v>50</v>
      </c>
      <c r="I155" s="87" t="s">
        <v>87</v>
      </c>
      <c r="J155" s="90">
        <v>43645</v>
      </c>
      <c r="K155" s="90"/>
      <c r="L155" s="90"/>
      <c r="M155" s="93"/>
      <c r="N155" s="9"/>
      <c r="O155" s="33"/>
      <c r="P155" s="33"/>
      <c r="Q155" s="9"/>
      <c r="R155" s="67"/>
      <c r="S155" s="9"/>
    </row>
    <row r="156" spans="1:19" x14ac:dyDescent="0.25">
      <c r="A156" s="4"/>
      <c r="B156" s="28" t="str">
        <f>IF(ISNUMBER(MATCH(C156, Mgt_Unit!$C$5:$C$1018, 0)), INDEX(Mgt_Unit!$B$5:$B$1018, MATCH(C156, Mgt_Unit!$C$5:$C$1018, 0)), "")</f>
        <v>jennifer.moore</v>
      </c>
      <c r="C156" t="s">
        <v>707</v>
      </c>
      <c r="D156" s="65"/>
      <c r="E156">
        <v>1</v>
      </c>
      <c r="F156" t="s">
        <v>1538</v>
      </c>
      <c r="G156" t="s">
        <v>1544</v>
      </c>
      <c r="H156" t="s">
        <v>50</v>
      </c>
      <c r="I156" t="s">
        <v>87</v>
      </c>
      <c r="J156" s="89">
        <v>43280</v>
      </c>
      <c r="K156" s="89">
        <v>43487</v>
      </c>
      <c r="L156" s="89"/>
      <c r="M156" s="31">
        <v>0</v>
      </c>
      <c r="N156" s="9"/>
      <c r="O156" s="33"/>
      <c r="P156" s="33"/>
      <c r="Q156" s="9"/>
      <c r="R156" s="67"/>
      <c r="S156" s="9"/>
    </row>
    <row r="157" spans="1:19" x14ac:dyDescent="0.25">
      <c r="A157" s="4"/>
      <c r="B157" s="28" t="str">
        <f>IF(ISNUMBER(MATCH(C157, Mgt_Unit!$C$5:$C$1018, 0)), INDEX(Mgt_Unit!$B$5:$B$1018, MATCH(C157, Mgt_Unit!$C$5:$C$1018, 0)), "")</f>
        <v>jennifer.moore</v>
      </c>
      <c r="C157" s="87" t="s">
        <v>707</v>
      </c>
      <c r="D157" s="65"/>
      <c r="E157" s="87">
        <v>2</v>
      </c>
      <c r="F157" s="87" t="s">
        <v>1538</v>
      </c>
      <c r="G157" s="87" t="s">
        <v>1544</v>
      </c>
      <c r="H157" s="87" t="s">
        <v>442</v>
      </c>
      <c r="I157" s="87" t="s">
        <v>90</v>
      </c>
      <c r="J157" s="90">
        <v>43645</v>
      </c>
      <c r="K157" s="90">
        <v>43764</v>
      </c>
      <c r="L157" s="90"/>
      <c r="M157" s="93">
        <v>0</v>
      </c>
      <c r="N157" s="9"/>
      <c r="O157" s="33"/>
      <c r="P157" s="33"/>
      <c r="Q157" s="9"/>
      <c r="R157" s="67"/>
      <c r="S157" s="9"/>
    </row>
    <row r="158" spans="1:19" x14ac:dyDescent="0.25">
      <c r="A158" s="4"/>
      <c r="B158" s="28" t="str">
        <f>IF(ISNUMBER(MATCH(C158, Mgt_Unit!$C$5:$C$1018, 0)), INDEX(Mgt_Unit!$B$5:$B$1018, MATCH(C158, Mgt_Unit!$C$5:$C$1018, 0)), "")</f>
        <v>jennifer.moore</v>
      </c>
      <c r="C158" t="s">
        <v>708</v>
      </c>
      <c r="D158" s="65"/>
      <c r="E158">
        <v>1</v>
      </c>
      <c r="F158" t="s">
        <v>1538</v>
      </c>
      <c r="G158" t="s">
        <v>1544</v>
      </c>
      <c r="H158" t="s">
        <v>50</v>
      </c>
      <c r="I158" t="s">
        <v>87</v>
      </c>
      <c r="J158" s="89"/>
      <c r="K158" s="89">
        <v>43142</v>
      </c>
      <c r="L158" s="89"/>
      <c r="M158" s="31">
        <v>95</v>
      </c>
      <c r="N158" s="9"/>
      <c r="O158" s="33"/>
      <c r="P158" s="33"/>
      <c r="Q158" s="9"/>
      <c r="R158" s="67"/>
      <c r="S158" s="9"/>
    </row>
    <row r="159" spans="1:19" x14ac:dyDescent="0.25">
      <c r="A159" s="4"/>
      <c r="B159" s="28" t="str">
        <f>IF(ISNUMBER(MATCH(C159, Mgt_Unit!$C$5:$C$1018, 0)), INDEX(Mgt_Unit!$B$5:$B$1018, MATCH(C159, Mgt_Unit!$C$5:$C$1018, 0)), "")</f>
        <v>jennifer.moore</v>
      </c>
      <c r="C159" s="87" t="s">
        <v>708</v>
      </c>
      <c r="D159" s="65"/>
      <c r="E159" s="87">
        <v>2</v>
      </c>
      <c r="F159" s="87" t="s">
        <v>1538</v>
      </c>
      <c r="G159" s="87" t="s">
        <v>1544</v>
      </c>
      <c r="H159" s="87" t="s">
        <v>50</v>
      </c>
      <c r="I159" s="87" t="s">
        <v>87</v>
      </c>
      <c r="J159" s="90">
        <v>43280</v>
      </c>
      <c r="K159" s="90"/>
      <c r="L159" s="90"/>
      <c r="M159" s="93"/>
      <c r="N159" s="9"/>
      <c r="O159" s="33"/>
      <c r="P159" s="33"/>
      <c r="Q159" s="9"/>
      <c r="R159" s="67"/>
      <c r="S159" s="9"/>
    </row>
    <row r="160" spans="1:19" x14ac:dyDescent="0.25">
      <c r="A160" s="4"/>
      <c r="B160" s="28" t="str">
        <f>IF(ISNUMBER(MATCH(C160, Mgt_Unit!$C$5:$C$1018, 0)), INDEX(Mgt_Unit!$B$5:$B$1018, MATCH(C160, Mgt_Unit!$C$5:$C$1018, 0)), "")</f>
        <v>jennifer.moore</v>
      </c>
      <c r="C160" t="s">
        <v>709</v>
      </c>
      <c r="D160" s="65"/>
      <c r="E160">
        <v>1</v>
      </c>
      <c r="F160" t="s">
        <v>1538</v>
      </c>
      <c r="G160" t="s">
        <v>1544</v>
      </c>
      <c r="H160" t="s">
        <v>50</v>
      </c>
      <c r="I160" t="s">
        <v>87</v>
      </c>
      <c r="J160" s="89"/>
      <c r="K160" s="89">
        <v>43122</v>
      </c>
      <c r="L160" s="89"/>
      <c r="M160" s="95">
        <v>0</v>
      </c>
      <c r="N160" s="9"/>
      <c r="O160" s="33"/>
      <c r="P160" s="33"/>
      <c r="Q160" s="9"/>
      <c r="R160" s="67"/>
      <c r="S160" s="9"/>
    </row>
    <row r="161" spans="1:19" x14ac:dyDescent="0.25">
      <c r="A161" s="4"/>
      <c r="B161" s="28" t="str">
        <f>IF(ISNUMBER(MATCH(C161, Mgt_Unit!$C$5:$C$1018, 0)), INDEX(Mgt_Unit!$B$5:$B$1018, MATCH(C161, Mgt_Unit!$C$5:$C$1018, 0)), "")</f>
        <v>jennifer.moore</v>
      </c>
      <c r="C161" t="s">
        <v>709</v>
      </c>
      <c r="D161" s="65"/>
      <c r="E161">
        <v>2</v>
      </c>
      <c r="F161" t="s">
        <v>1537</v>
      </c>
      <c r="G161" t="s">
        <v>1544</v>
      </c>
      <c r="H161" t="s">
        <v>441</v>
      </c>
      <c r="I161" t="s">
        <v>29</v>
      </c>
      <c r="J161" s="89">
        <v>43280</v>
      </c>
      <c r="K161" s="89">
        <v>43385</v>
      </c>
      <c r="L161" s="89"/>
      <c r="M161" s="31">
        <v>90</v>
      </c>
      <c r="N161" s="9"/>
      <c r="O161" s="33"/>
      <c r="P161" s="33"/>
      <c r="Q161" s="9"/>
      <c r="R161" s="67"/>
      <c r="S161" s="9"/>
    </row>
    <row r="162" spans="1:19" x14ac:dyDescent="0.25">
      <c r="A162" s="4"/>
      <c r="B162" s="28" t="str">
        <f>IF(ISNUMBER(MATCH(C162, Mgt_Unit!$C$5:$C$1018, 0)), INDEX(Mgt_Unit!$B$5:$B$1018, MATCH(C162, Mgt_Unit!$C$5:$C$1018, 0)), "")</f>
        <v>jennifer.moore</v>
      </c>
      <c r="C162" t="s">
        <v>709</v>
      </c>
      <c r="D162" s="65"/>
      <c r="E162">
        <v>2</v>
      </c>
      <c r="F162" t="s">
        <v>1537</v>
      </c>
      <c r="G162" t="s">
        <v>1544</v>
      </c>
      <c r="H162" t="s">
        <v>442</v>
      </c>
      <c r="I162" t="s">
        <v>1282</v>
      </c>
      <c r="J162" s="89">
        <v>43280</v>
      </c>
      <c r="K162" s="89">
        <v>43385</v>
      </c>
      <c r="L162" s="89"/>
      <c r="M162" s="31">
        <v>90</v>
      </c>
      <c r="N162" s="9"/>
      <c r="O162" s="33"/>
      <c r="P162" s="33"/>
      <c r="Q162" s="9"/>
      <c r="R162" s="67"/>
      <c r="S162" s="9"/>
    </row>
    <row r="163" spans="1:19" x14ac:dyDescent="0.25">
      <c r="A163" s="4"/>
      <c r="B163" s="28" t="str">
        <f>IF(ISNUMBER(MATCH(C163, Mgt_Unit!$C$5:$C$1018, 0)), INDEX(Mgt_Unit!$B$5:$B$1018, MATCH(C163, Mgt_Unit!$C$5:$C$1018, 0)), "")</f>
        <v>jennifer.moore</v>
      </c>
      <c r="C163" s="87" t="s">
        <v>709</v>
      </c>
      <c r="D163" s="65"/>
      <c r="E163" s="87">
        <v>3</v>
      </c>
      <c r="F163" s="87" t="s">
        <v>1538</v>
      </c>
      <c r="G163" s="87" t="s">
        <v>1544</v>
      </c>
      <c r="H163" s="87" t="s">
        <v>50</v>
      </c>
      <c r="I163" s="87" t="s">
        <v>87</v>
      </c>
      <c r="J163" s="90">
        <v>43645</v>
      </c>
      <c r="K163" s="90"/>
      <c r="L163" s="90"/>
      <c r="M163" s="93"/>
      <c r="N163" s="9"/>
      <c r="O163" s="33"/>
      <c r="P163" s="33"/>
      <c r="Q163" s="9"/>
      <c r="R163" s="67"/>
      <c r="S163" s="9"/>
    </row>
    <row r="164" spans="1:19" x14ac:dyDescent="0.25">
      <c r="A164" s="4"/>
      <c r="B164" s="28" t="str">
        <f>IF(ISNUMBER(MATCH(C164, Mgt_Unit!$C$5:$C$1018, 0)), INDEX(Mgt_Unit!$B$5:$B$1018, MATCH(C164, Mgt_Unit!$C$5:$C$1018, 0)), "")</f>
        <v>jennifer.moore</v>
      </c>
      <c r="C164" t="s">
        <v>710</v>
      </c>
      <c r="D164" s="65"/>
      <c r="E164">
        <v>1</v>
      </c>
      <c r="F164" t="s">
        <v>1537</v>
      </c>
      <c r="G164" t="s">
        <v>1544</v>
      </c>
      <c r="H164" t="s">
        <v>441</v>
      </c>
      <c r="I164" t="s">
        <v>29</v>
      </c>
      <c r="J164" s="89"/>
      <c r="K164" s="89">
        <v>43245</v>
      </c>
      <c r="L164" s="89"/>
      <c r="M164" s="31">
        <v>0</v>
      </c>
      <c r="N164" s="9"/>
      <c r="O164" s="33"/>
      <c r="P164" s="33"/>
      <c r="Q164" s="9"/>
      <c r="R164" s="67"/>
      <c r="S164" s="9"/>
    </row>
    <row r="165" spans="1:19" x14ac:dyDescent="0.25">
      <c r="A165" s="4"/>
      <c r="B165" s="28" t="str">
        <f>IF(ISNUMBER(MATCH(C165, Mgt_Unit!$C$5:$C$1018, 0)), INDEX(Mgt_Unit!$B$5:$B$1018, MATCH(C165, Mgt_Unit!$C$5:$C$1018, 0)), "")</f>
        <v>jennifer.moore</v>
      </c>
      <c r="C165" t="s">
        <v>710</v>
      </c>
      <c r="D165" s="65"/>
      <c r="E165">
        <v>1</v>
      </c>
      <c r="F165" t="s">
        <v>1537</v>
      </c>
      <c r="G165" t="s">
        <v>1544</v>
      </c>
      <c r="H165" t="s">
        <v>442</v>
      </c>
      <c r="I165" t="s">
        <v>1282</v>
      </c>
      <c r="J165" s="89"/>
      <c r="K165" s="89">
        <v>43245</v>
      </c>
      <c r="L165" s="89"/>
      <c r="M165" s="31">
        <v>0</v>
      </c>
      <c r="N165" s="9"/>
      <c r="O165" s="33"/>
      <c r="P165" s="33"/>
      <c r="Q165" s="9"/>
      <c r="R165" s="67"/>
      <c r="S165" s="9"/>
    </row>
    <row r="166" spans="1:19" x14ac:dyDescent="0.25">
      <c r="A166" s="4"/>
      <c r="B166" s="28" t="str">
        <f>IF(ISNUMBER(MATCH(C166, Mgt_Unit!$C$5:$C$1018, 0)), INDEX(Mgt_Unit!$B$5:$B$1018, MATCH(C166, Mgt_Unit!$C$5:$C$1018, 0)), "")</f>
        <v>jennifer.moore</v>
      </c>
      <c r="C166" t="s">
        <v>710</v>
      </c>
      <c r="D166" s="65"/>
      <c r="E166">
        <v>2</v>
      </c>
      <c r="F166" t="s">
        <v>1538</v>
      </c>
      <c r="G166" t="s">
        <v>1544</v>
      </c>
      <c r="H166" t="s">
        <v>50</v>
      </c>
      <c r="I166" t="s">
        <v>87</v>
      </c>
      <c r="J166" s="89">
        <v>43280</v>
      </c>
      <c r="K166" s="89">
        <v>43487</v>
      </c>
      <c r="L166" s="89"/>
      <c r="M166" s="95">
        <v>0</v>
      </c>
      <c r="N166" s="9"/>
      <c r="O166" s="33"/>
      <c r="P166" s="33"/>
      <c r="Q166" s="9"/>
      <c r="R166" s="67"/>
      <c r="S166" s="9"/>
    </row>
    <row r="167" spans="1:19" x14ac:dyDescent="0.25">
      <c r="A167" s="4"/>
      <c r="B167" s="28" t="str">
        <f>IF(ISNUMBER(MATCH(C167, Mgt_Unit!$C$5:$C$1018, 0)), INDEX(Mgt_Unit!$B$5:$B$1018, MATCH(C167, Mgt_Unit!$C$5:$C$1018, 0)), "")</f>
        <v>jennifer.moore</v>
      </c>
      <c r="C167" t="s">
        <v>710</v>
      </c>
      <c r="D167" s="65"/>
      <c r="E167">
        <v>3</v>
      </c>
      <c r="F167" t="s">
        <v>1537</v>
      </c>
      <c r="G167" t="s">
        <v>1544</v>
      </c>
      <c r="H167" t="s">
        <v>441</v>
      </c>
      <c r="I167" t="s">
        <v>29</v>
      </c>
      <c r="J167" s="89">
        <v>43645</v>
      </c>
      <c r="K167" s="89">
        <v>43750</v>
      </c>
      <c r="L167" s="89"/>
      <c r="M167" s="31">
        <v>90</v>
      </c>
      <c r="N167" s="9"/>
      <c r="O167" s="33"/>
      <c r="P167" s="33"/>
      <c r="Q167" s="9"/>
      <c r="R167" s="67"/>
      <c r="S167" s="9"/>
    </row>
    <row r="168" spans="1:19" x14ac:dyDescent="0.25">
      <c r="A168" s="4"/>
      <c r="B168" s="28" t="str">
        <f>IF(ISNUMBER(MATCH(C168, Mgt_Unit!$C$5:$C$1018, 0)), INDEX(Mgt_Unit!$B$5:$B$1018, MATCH(C168, Mgt_Unit!$C$5:$C$1018, 0)), "")</f>
        <v>jennifer.moore</v>
      </c>
      <c r="C168" s="87" t="s">
        <v>710</v>
      </c>
      <c r="D168" s="65"/>
      <c r="E168" s="87">
        <v>3</v>
      </c>
      <c r="F168" s="87" t="s">
        <v>1537</v>
      </c>
      <c r="G168" s="87" t="s">
        <v>1544</v>
      </c>
      <c r="H168" s="87" t="s">
        <v>442</v>
      </c>
      <c r="I168" s="87" t="s">
        <v>1282</v>
      </c>
      <c r="J168" s="90">
        <v>43645</v>
      </c>
      <c r="K168" s="90">
        <v>43750</v>
      </c>
      <c r="L168" s="90"/>
      <c r="M168" s="93">
        <v>90</v>
      </c>
      <c r="N168" s="9"/>
      <c r="O168" s="33"/>
      <c r="P168" s="33"/>
      <c r="Q168" s="9"/>
      <c r="R168" s="67"/>
      <c r="S168" s="9"/>
    </row>
    <row r="169" spans="1:19" x14ac:dyDescent="0.25">
      <c r="A169" s="4"/>
      <c r="B169" s="28" t="str">
        <f>IF(ISNUMBER(MATCH(C169, Mgt_Unit!$C$5:$C$1018, 0)), INDEX(Mgt_Unit!$B$5:$B$1018, MATCH(C169, Mgt_Unit!$C$5:$C$1018, 0)), "")</f>
        <v>jennifer.moore</v>
      </c>
      <c r="C169" t="s">
        <v>711</v>
      </c>
      <c r="D169" s="65"/>
      <c r="E169">
        <v>1</v>
      </c>
      <c r="F169" t="s">
        <v>1538</v>
      </c>
      <c r="G169" t="s">
        <v>1544</v>
      </c>
      <c r="H169" t="s">
        <v>441</v>
      </c>
      <c r="I169" t="s">
        <v>63</v>
      </c>
      <c r="J169" s="89">
        <v>43118</v>
      </c>
      <c r="K169" s="89">
        <v>43236</v>
      </c>
      <c r="L169" s="89"/>
      <c r="M169" s="31">
        <v>70</v>
      </c>
      <c r="N169" s="9"/>
      <c r="O169" s="33"/>
      <c r="P169" s="33"/>
      <c r="Q169" s="9"/>
      <c r="R169" s="67"/>
      <c r="S169" s="9"/>
    </row>
    <row r="170" spans="1:19" x14ac:dyDescent="0.25">
      <c r="A170" s="4"/>
      <c r="B170" s="28" t="str">
        <f>IF(ISNUMBER(MATCH(C170, Mgt_Unit!$C$5:$C$1018, 0)), INDEX(Mgt_Unit!$B$5:$B$1018, MATCH(C170, Mgt_Unit!$C$5:$C$1018, 0)), "")</f>
        <v>jennifer.moore</v>
      </c>
      <c r="C170" s="87" t="s">
        <v>711</v>
      </c>
      <c r="D170" s="65"/>
      <c r="E170" s="87">
        <v>2</v>
      </c>
      <c r="F170" s="87" t="s">
        <v>1538</v>
      </c>
      <c r="G170" s="87" t="s">
        <v>1544</v>
      </c>
      <c r="H170" s="87" t="s">
        <v>50</v>
      </c>
      <c r="I170" s="87" t="s">
        <v>87</v>
      </c>
      <c r="J170" s="90">
        <v>43251</v>
      </c>
      <c r="K170" s="90">
        <v>43407</v>
      </c>
      <c r="L170" s="90"/>
      <c r="M170" s="93">
        <v>70</v>
      </c>
      <c r="N170" s="9"/>
      <c r="O170" s="33"/>
      <c r="P170" s="33"/>
      <c r="Q170" s="9"/>
      <c r="R170" s="67"/>
      <c r="S170" s="9"/>
    </row>
    <row r="171" spans="1:19" x14ac:dyDescent="0.25">
      <c r="A171" s="4"/>
      <c r="B171" s="28" t="str">
        <f>IF(ISNUMBER(MATCH(C171, Mgt_Unit!$C$5:$C$1018, 0)), INDEX(Mgt_Unit!$B$5:$B$1018, MATCH(C171, Mgt_Unit!$C$5:$C$1018, 0)), "")</f>
        <v>jennifer.moore</v>
      </c>
      <c r="C171" t="s">
        <v>712</v>
      </c>
      <c r="D171" s="65"/>
      <c r="E171">
        <v>1</v>
      </c>
      <c r="F171" t="s">
        <v>1538</v>
      </c>
      <c r="G171" t="s">
        <v>1544</v>
      </c>
      <c r="H171" t="s">
        <v>441</v>
      </c>
      <c r="I171" t="s">
        <v>63</v>
      </c>
      <c r="J171" s="89">
        <v>43118</v>
      </c>
      <c r="K171" s="89">
        <v>43236</v>
      </c>
      <c r="L171" s="89"/>
      <c r="M171" s="31">
        <v>70</v>
      </c>
      <c r="N171" s="9"/>
      <c r="O171" s="33"/>
      <c r="P171" s="33"/>
      <c r="Q171" s="9"/>
      <c r="R171" s="67"/>
      <c r="S171" s="9"/>
    </row>
    <row r="172" spans="1:19" x14ac:dyDescent="0.25">
      <c r="A172" s="4"/>
      <c r="B172" s="28" t="str">
        <f>IF(ISNUMBER(MATCH(C172, Mgt_Unit!$C$5:$C$1018, 0)), INDEX(Mgt_Unit!$B$5:$B$1018, MATCH(C172, Mgt_Unit!$C$5:$C$1018, 0)), "")</f>
        <v>jennifer.moore</v>
      </c>
      <c r="C172" s="87" t="s">
        <v>712</v>
      </c>
      <c r="D172" s="65"/>
      <c r="E172" s="87">
        <v>2</v>
      </c>
      <c r="F172" s="87" t="s">
        <v>1538</v>
      </c>
      <c r="G172" s="87" t="s">
        <v>1544</v>
      </c>
      <c r="H172" s="87" t="s">
        <v>50</v>
      </c>
      <c r="I172" s="87" t="s">
        <v>87</v>
      </c>
      <c r="J172" s="90">
        <v>43251</v>
      </c>
      <c r="K172" s="90">
        <v>43407</v>
      </c>
      <c r="L172" s="90"/>
      <c r="M172" s="93">
        <v>70</v>
      </c>
      <c r="N172" s="9"/>
      <c r="O172" s="33"/>
      <c r="P172" s="33"/>
      <c r="Q172" s="9"/>
      <c r="R172" s="67"/>
      <c r="S172" s="9"/>
    </row>
    <row r="173" spans="1:19" x14ac:dyDescent="0.25">
      <c r="A173" s="4"/>
      <c r="B173" s="28" t="str">
        <f>IF(ISNUMBER(MATCH(C173, Mgt_Unit!$C$5:$C$1018, 0)), INDEX(Mgt_Unit!$B$5:$B$1018, MATCH(C173, Mgt_Unit!$C$5:$C$1018, 0)), "")</f>
        <v>jennifer.moore</v>
      </c>
      <c r="C173" t="s">
        <v>713</v>
      </c>
      <c r="D173" s="65"/>
      <c r="E173">
        <v>1</v>
      </c>
      <c r="F173" t="s">
        <v>1538</v>
      </c>
      <c r="G173" t="s">
        <v>1544</v>
      </c>
      <c r="H173" t="s">
        <v>441</v>
      </c>
      <c r="I173" t="s">
        <v>63</v>
      </c>
      <c r="J173" s="89">
        <v>43118</v>
      </c>
      <c r="K173" s="89">
        <v>43236</v>
      </c>
      <c r="L173" s="89"/>
      <c r="M173" s="31">
        <v>70</v>
      </c>
      <c r="N173" s="9"/>
      <c r="O173" s="33"/>
      <c r="P173" s="33"/>
      <c r="Q173" s="9"/>
      <c r="R173" s="67"/>
      <c r="S173" s="9"/>
    </row>
    <row r="174" spans="1:19" x14ac:dyDescent="0.25">
      <c r="A174" s="4"/>
      <c r="B174" s="28" t="str">
        <f>IF(ISNUMBER(MATCH(C174, Mgt_Unit!$C$5:$C$1018, 0)), INDEX(Mgt_Unit!$B$5:$B$1018, MATCH(C174, Mgt_Unit!$C$5:$C$1018, 0)), "")</f>
        <v>jennifer.moore</v>
      </c>
      <c r="C174" s="87" t="s">
        <v>713</v>
      </c>
      <c r="D174" s="65"/>
      <c r="E174" s="87">
        <v>2</v>
      </c>
      <c r="F174" s="87" t="s">
        <v>1538</v>
      </c>
      <c r="G174" s="87" t="s">
        <v>1544</v>
      </c>
      <c r="H174" s="87" t="s">
        <v>50</v>
      </c>
      <c r="I174" s="87" t="s">
        <v>87</v>
      </c>
      <c r="J174" s="90">
        <v>43251</v>
      </c>
      <c r="K174" s="90">
        <v>43407</v>
      </c>
      <c r="L174" s="90"/>
      <c r="M174" s="93">
        <v>70</v>
      </c>
      <c r="N174" s="9"/>
      <c r="O174" s="33"/>
      <c r="P174" s="33"/>
      <c r="Q174" s="9"/>
      <c r="R174" s="67"/>
      <c r="S174" s="9"/>
    </row>
    <row r="175" spans="1:19" x14ac:dyDescent="0.25">
      <c r="A175" s="4"/>
      <c r="B175" s="28" t="str">
        <f>IF(ISNUMBER(MATCH(C175, Mgt_Unit!$C$5:$C$1018, 0)), INDEX(Mgt_Unit!$B$5:$B$1018, MATCH(C175, Mgt_Unit!$C$5:$C$1018, 0)), "")</f>
        <v>jennifer.moore</v>
      </c>
      <c r="C175" t="s">
        <v>714</v>
      </c>
      <c r="D175" s="65"/>
      <c r="E175">
        <v>1</v>
      </c>
      <c r="F175" t="s">
        <v>1538</v>
      </c>
      <c r="G175" t="s">
        <v>1544</v>
      </c>
      <c r="H175" t="s">
        <v>441</v>
      </c>
      <c r="I175" t="s">
        <v>63</v>
      </c>
      <c r="J175" s="89">
        <v>43118</v>
      </c>
      <c r="K175" s="89">
        <v>43236</v>
      </c>
      <c r="L175" s="89"/>
      <c r="M175" s="95">
        <v>0</v>
      </c>
      <c r="N175" s="9"/>
      <c r="O175" s="33"/>
      <c r="P175" s="33"/>
      <c r="Q175" s="9"/>
      <c r="R175" s="67"/>
      <c r="S175" s="9"/>
    </row>
    <row r="176" spans="1:19" x14ac:dyDescent="0.25">
      <c r="A176" s="4"/>
      <c r="B176" s="28" t="str">
        <f>IF(ISNUMBER(MATCH(C176, Mgt_Unit!$C$5:$C$1018, 0)), INDEX(Mgt_Unit!$B$5:$B$1018, MATCH(C176, Mgt_Unit!$C$5:$C$1018, 0)), "")</f>
        <v>jennifer.moore</v>
      </c>
      <c r="C176" s="87" t="s">
        <v>714</v>
      </c>
      <c r="D176" s="65"/>
      <c r="E176" s="87">
        <v>2</v>
      </c>
      <c r="F176" s="87" t="s">
        <v>1538</v>
      </c>
      <c r="G176" s="87" t="s">
        <v>1544</v>
      </c>
      <c r="H176" s="87" t="s">
        <v>50</v>
      </c>
      <c r="I176" s="87" t="s">
        <v>87</v>
      </c>
      <c r="J176" s="90">
        <v>43251</v>
      </c>
      <c r="K176" s="90">
        <v>43407</v>
      </c>
      <c r="L176" s="90"/>
      <c r="M176" s="96">
        <v>0</v>
      </c>
      <c r="N176" s="9"/>
      <c r="O176" s="33"/>
      <c r="P176" s="33"/>
      <c r="Q176" s="9"/>
      <c r="R176" s="67"/>
      <c r="S176" s="9"/>
    </row>
    <row r="177" spans="1:19" x14ac:dyDescent="0.25">
      <c r="A177" s="4"/>
      <c r="B177" s="28" t="str">
        <f>IF(ISNUMBER(MATCH(C177, Mgt_Unit!$C$5:$C$1018, 0)), INDEX(Mgt_Unit!$B$5:$B$1018, MATCH(C177, Mgt_Unit!$C$5:$C$1018, 0)), "")</f>
        <v>jennifer.moore</v>
      </c>
      <c r="C177" t="s">
        <v>715</v>
      </c>
      <c r="D177" s="65"/>
      <c r="E177">
        <v>1</v>
      </c>
      <c r="F177" t="s">
        <v>1538</v>
      </c>
      <c r="G177" t="s">
        <v>1544</v>
      </c>
      <c r="H177" t="s">
        <v>441</v>
      </c>
      <c r="I177" t="s">
        <v>63</v>
      </c>
      <c r="J177" s="89">
        <v>43118</v>
      </c>
      <c r="K177" s="89">
        <v>43238</v>
      </c>
      <c r="L177" s="89"/>
      <c r="M177" s="31">
        <v>100</v>
      </c>
      <c r="N177" s="9"/>
      <c r="O177" s="33"/>
      <c r="P177" s="33"/>
      <c r="Q177" s="9"/>
      <c r="R177" s="67"/>
      <c r="S177" s="9"/>
    </row>
    <row r="178" spans="1:19" x14ac:dyDescent="0.25">
      <c r="A178" s="4"/>
      <c r="B178" s="28" t="str">
        <f>IF(ISNUMBER(MATCH(C178, Mgt_Unit!$C$5:$C$1018, 0)), INDEX(Mgt_Unit!$B$5:$B$1018, MATCH(C178, Mgt_Unit!$C$5:$C$1018, 0)), "")</f>
        <v>jennifer.moore</v>
      </c>
      <c r="C178" s="87" t="s">
        <v>715</v>
      </c>
      <c r="D178" s="65"/>
      <c r="E178" s="87">
        <v>2</v>
      </c>
      <c r="F178" s="87" t="s">
        <v>1538</v>
      </c>
      <c r="G178" s="87" t="s">
        <v>1544</v>
      </c>
      <c r="H178" s="87" t="s">
        <v>50</v>
      </c>
      <c r="I178" s="87" t="s">
        <v>87</v>
      </c>
      <c r="J178" s="90">
        <v>43251</v>
      </c>
      <c r="K178" s="90">
        <v>43407</v>
      </c>
      <c r="L178" s="90"/>
      <c r="M178" s="93">
        <v>90</v>
      </c>
      <c r="N178" s="9"/>
      <c r="O178" s="33"/>
      <c r="P178" s="33"/>
      <c r="Q178" s="9"/>
      <c r="R178" s="67"/>
      <c r="S178" s="9"/>
    </row>
    <row r="179" spans="1:19" x14ac:dyDescent="0.25">
      <c r="A179" s="4"/>
      <c r="B179" s="28" t="str">
        <f>IF(ISNUMBER(MATCH(C179, Mgt_Unit!$C$5:$C$1018, 0)), INDEX(Mgt_Unit!$B$5:$B$1018, MATCH(C179, Mgt_Unit!$C$5:$C$1018, 0)), "")</f>
        <v>jennifer.moore</v>
      </c>
      <c r="C179" t="s">
        <v>716</v>
      </c>
      <c r="D179" s="65"/>
      <c r="E179">
        <v>1</v>
      </c>
      <c r="F179" t="s">
        <v>1538</v>
      </c>
      <c r="G179" t="s">
        <v>1544</v>
      </c>
      <c r="H179" t="s">
        <v>441</v>
      </c>
      <c r="I179" t="s">
        <v>63</v>
      </c>
      <c r="J179" s="89">
        <v>43118</v>
      </c>
      <c r="K179" s="89">
        <v>43238</v>
      </c>
      <c r="L179" s="89"/>
      <c r="M179" s="31">
        <v>70</v>
      </c>
      <c r="N179" s="9"/>
      <c r="O179" s="33"/>
      <c r="P179" s="33"/>
      <c r="Q179" s="9"/>
      <c r="R179" s="67"/>
      <c r="S179" s="9"/>
    </row>
    <row r="180" spans="1:19" x14ac:dyDescent="0.25">
      <c r="A180" s="4"/>
      <c r="B180" s="28" t="str">
        <f>IF(ISNUMBER(MATCH(C180, Mgt_Unit!$C$5:$C$1018, 0)), INDEX(Mgt_Unit!$B$5:$B$1018, MATCH(C180, Mgt_Unit!$C$5:$C$1018, 0)), "")</f>
        <v>jennifer.moore</v>
      </c>
      <c r="C180" s="87" t="s">
        <v>716</v>
      </c>
      <c r="D180" s="65"/>
      <c r="E180" s="87">
        <v>2</v>
      </c>
      <c r="F180" s="87" t="s">
        <v>1538</v>
      </c>
      <c r="G180" s="87" t="s">
        <v>1544</v>
      </c>
      <c r="H180" s="87" t="s">
        <v>50</v>
      </c>
      <c r="I180" s="87" t="s">
        <v>87</v>
      </c>
      <c r="J180" s="90">
        <v>43251</v>
      </c>
      <c r="K180" s="90">
        <v>43407</v>
      </c>
      <c r="L180" s="90"/>
      <c r="M180" s="93">
        <v>70</v>
      </c>
      <c r="N180" s="9"/>
      <c r="O180" s="33"/>
      <c r="P180" s="33"/>
      <c r="Q180" s="9"/>
      <c r="R180" s="67"/>
      <c r="S180" s="9"/>
    </row>
    <row r="181" spans="1:19" x14ac:dyDescent="0.25">
      <c r="A181" s="4"/>
      <c r="B181" s="28" t="str">
        <f>IF(ISNUMBER(MATCH(C181, Mgt_Unit!$C$5:$C$1018, 0)), INDEX(Mgt_Unit!$B$5:$B$1018, MATCH(C181, Mgt_Unit!$C$5:$C$1018, 0)), "")</f>
        <v>jennifer.moore</v>
      </c>
      <c r="C181" s="88" t="s">
        <v>717</v>
      </c>
      <c r="D181" s="65"/>
      <c r="E181" s="88">
        <v>1</v>
      </c>
      <c r="F181" s="88" t="s">
        <v>1538</v>
      </c>
      <c r="G181" s="88" t="s">
        <v>1544</v>
      </c>
      <c r="H181" s="88" t="s">
        <v>50</v>
      </c>
      <c r="I181" s="88" t="s">
        <v>87</v>
      </c>
      <c r="J181" s="91">
        <v>43280</v>
      </c>
      <c r="K181" s="91">
        <v>43461</v>
      </c>
      <c r="L181" s="91"/>
      <c r="M181" s="94">
        <v>95</v>
      </c>
      <c r="N181" s="9"/>
      <c r="O181" s="33"/>
      <c r="P181" s="33"/>
      <c r="Q181" s="9"/>
      <c r="R181" s="67"/>
      <c r="S181" s="9"/>
    </row>
    <row r="182" spans="1:19" x14ac:dyDescent="0.25">
      <c r="A182" s="4"/>
      <c r="B182" s="28" t="str">
        <f>IF(ISNUMBER(MATCH(C182, Mgt_Unit!$C$5:$C$1018, 0)), INDEX(Mgt_Unit!$B$5:$B$1018, MATCH(C182, Mgt_Unit!$C$5:$C$1018, 0)), "")</f>
        <v>jennifer.moore</v>
      </c>
      <c r="C182" t="s">
        <v>718</v>
      </c>
      <c r="D182" s="65"/>
      <c r="E182">
        <v>1</v>
      </c>
      <c r="F182" t="s">
        <v>1538</v>
      </c>
      <c r="G182" t="s">
        <v>1544</v>
      </c>
      <c r="H182" t="s">
        <v>50</v>
      </c>
      <c r="I182" t="s">
        <v>87</v>
      </c>
      <c r="J182" s="89">
        <v>43280</v>
      </c>
      <c r="K182" s="89">
        <v>43461</v>
      </c>
      <c r="L182" s="89"/>
      <c r="M182" s="31">
        <v>0</v>
      </c>
      <c r="N182" s="9"/>
      <c r="O182" s="33"/>
      <c r="P182" s="33"/>
      <c r="Q182" s="9"/>
      <c r="R182" s="67"/>
      <c r="S182" s="9"/>
    </row>
    <row r="183" spans="1:19" x14ac:dyDescent="0.25">
      <c r="A183" s="4"/>
      <c r="B183" s="28" t="str">
        <f>IF(ISNUMBER(MATCH(C183, Mgt_Unit!$C$5:$C$1018, 0)), INDEX(Mgt_Unit!$B$5:$B$1018, MATCH(C183, Mgt_Unit!$C$5:$C$1018, 0)), "")</f>
        <v>jennifer.moore</v>
      </c>
      <c r="C183" s="87" t="s">
        <v>718</v>
      </c>
      <c r="D183" s="65"/>
      <c r="E183" s="87">
        <v>2</v>
      </c>
      <c r="F183" s="87" t="s">
        <v>1538</v>
      </c>
      <c r="G183" s="87" t="s">
        <v>1544</v>
      </c>
      <c r="H183" s="87" t="s">
        <v>442</v>
      </c>
      <c r="I183" s="87" t="s">
        <v>90</v>
      </c>
      <c r="J183" s="90">
        <v>43645</v>
      </c>
      <c r="K183" s="90">
        <v>43758</v>
      </c>
      <c r="L183" s="90"/>
      <c r="M183" s="93">
        <v>0</v>
      </c>
      <c r="N183" s="9"/>
      <c r="O183" s="33"/>
      <c r="P183" s="33"/>
      <c r="Q183" s="9"/>
      <c r="R183" s="67"/>
      <c r="S183" s="9"/>
    </row>
    <row r="184" spans="1:19" x14ac:dyDescent="0.25">
      <c r="A184" s="4"/>
      <c r="B184" s="28" t="str">
        <f>IF(ISNUMBER(MATCH(C184, Mgt_Unit!$C$5:$C$1018, 0)), INDEX(Mgt_Unit!$B$5:$B$1018, MATCH(C184, Mgt_Unit!$C$5:$C$1018, 0)), "")</f>
        <v>jennifer.moore</v>
      </c>
      <c r="C184" s="88" t="s">
        <v>719</v>
      </c>
      <c r="D184" s="65"/>
      <c r="E184" s="88">
        <v>1</v>
      </c>
      <c r="F184" s="88" t="s">
        <v>1538</v>
      </c>
      <c r="G184" s="88" t="s">
        <v>1544</v>
      </c>
      <c r="H184" s="88" t="s">
        <v>50</v>
      </c>
      <c r="I184" s="88" t="s">
        <v>87</v>
      </c>
      <c r="J184" s="91">
        <v>43280</v>
      </c>
      <c r="K184" s="91">
        <v>43461</v>
      </c>
      <c r="L184" s="91"/>
      <c r="M184" s="94">
        <v>95</v>
      </c>
      <c r="N184" s="9"/>
      <c r="O184" s="33"/>
      <c r="P184" s="33"/>
      <c r="Q184" s="9"/>
      <c r="R184" s="67"/>
      <c r="S184" s="9"/>
    </row>
    <row r="185" spans="1:19" x14ac:dyDescent="0.25">
      <c r="A185" s="4"/>
      <c r="B185" s="28" t="str">
        <f>IF(ISNUMBER(MATCH(C185, Mgt_Unit!$C$5:$C$1018, 0)), INDEX(Mgt_Unit!$B$5:$B$1018, MATCH(C185, Mgt_Unit!$C$5:$C$1018, 0)), "")</f>
        <v>jennifer.moore</v>
      </c>
      <c r="C185" s="88" t="s">
        <v>720</v>
      </c>
      <c r="D185" s="65"/>
      <c r="E185" s="88">
        <v>1</v>
      </c>
      <c r="F185" s="88" t="s">
        <v>1538</v>
      </c>
      <c r="G185" s="88" t="s">
        <v>1544</v>
      </c>
      <c r="H185" s="88" t="s">
        <v>50</v>
      </c>
      <c r="I185" s="88" t="s">
        <v>87</v>
      </c>
      <c r="J185" s="91">
        <v>43280</v>
      </c>
      <c r="K185" s="91">
        <v>43461</v>
      </c>
      <c r="L185" s="91"/>
      <c r="M185" s="94">
        <v>0</v>
      </c>
      <c r="N185" s="9"/>
      <c r="O185" s="33"/>
      <c r="P185" s="33"/>
      <c r="Q185" s="9"/>
      <c r="R185" s="67"/>
      <c r="S185" s="9"/>
    </row>
    <row r="186" spans="1:19" x14ac:dyDescent="0.25">
      <c r="A186" s="4"/>
      <c r="B186" s="28" t="str">
        <f>IF(ISNUMBER(MATCH(C186, Mgt_Unit!$C$5:$C$1018, 0)), INDEX(Mgt_Unit!$B$5:$B$1018, MATCH(C186, Mgt_Unit!$C$5:$C$1018, 0)), "")</f>
        <v>jennifer.moore</v>
      </c>
      <c r="C186" s="88" t="s">
        <v>721</v>
      </c>
      <c r="D186" s="65"/>
      <c r="E186" s="88">
        <v>1</v>
      </c>
      <c r="F186" s="88" t="s">
        <v>1538</v>
      </c>
      <c r="G186" s="88" t="s">
        <v>1544</v>
      </c>
      <c r="H186" s="88" t="s">
        <v>50</v>
      </c>
      <c r="I186" s="88" t="s">
        <v>87</v>
      </c>
      <c r="J186" s="91">
        <v>43280</v>
      </c>
      <c r="K186" s="91">
        <v>43461</v>
      </c>
      <c r="L186" s="91"/>
      <c r="M186" s="94">
        <v>0</v>
      </c>
      <c r="N186" s="9"/>
      <c r="O186" s="33"/>
      <c r="P186" s="33"/>
      <c r="Q186" s="9"/>
      <c r="R186" s="67"/>
      <c r="S186" s="9"/>
    </row>
    <row r="187" spans="1:19" x14ac:dyDescent="0.25">
      <c r="A187" s="4"/>
      <c r="B187" s="28" t="str">
        <f>IF(ISNUMBER(MATCH(C187, Mgt_Unit!$C$5:$C$1018, 0)), INDEX(Mgt_Unit!$B$5:$B$1018, MATCH(C187, Mgt_Unit!$C$5:$C$1018, 0)), "")</f>
        <v>jennifer.moore</v>
      </c>
      <c r="C187" t="s">
        <v>722</v>
      </c>
      <c r="D187" s="65"/>
      <c r="E187">
        <v>1</v>
      </c>
      <c r="F187" t="s">
        <v>1538</v>
      </c>
      <c r="G187" t="s">
        <v>1544</v>
      </c>
      <c r="H187" t="s">
        <v>441</v>
      </c>
      <c r="I187" t="s">
        <v>88</v>
      </c>
      <c r="J187" s="89">
        <v>43280</v>
      </c>
      <c r="K187" s="89">
        <v>43370</v>
      </c>
      <c r="L187" s="89"/>
      <c r="M187" s="31">
        <v>90</v>
      </c>
      <c r="N187" s="9"/>
      <c r="O187" s="33"/>
      <c r="P187" s="33"/>
      <c r="Q187" s="9"/>
      <c r="R187" s="67"/>
      <c r="S187" s="9"/>
    </row>
    <row r="188" spans="1:19" x14ac:dyDescent="0.25">
      <c r="A188" s="4"/>
      <c r="B188" s="28" t="str">
        <f>IF(ISNUMBER(MATCH(C188, Mgt_Unit!$C$5:$C$1018, 0)), INDEX(Mgt_Unit!$B$5:$B$1018, MATCH(C188, Mgt_Unit!$C$5:$C$1018, 0)), "")</f>
        <v>jennifer.moore</v>
      </c>
      <c r="C188" s="87" t="s">
        <v>722</v>
      </c>
      <c r="D188" s="65"/>
      <c r="E188" s="87">
        <v>2</v>
      </c>
      <c r="F188" s="87" t="s">
        <v>1538</v>
      </c>
      <c r="G188" s="87" t="s">
        <v>1544</v>
      </c>
      <c r="H188" s="87" t="s">
        <v>50</v>
      </c>
      <c r="I188" s="87" t="s">
        <v>87</v>
      </c>
      <c r="J188" s="90">
        <v>43645</v>
      </c>
      <c r="K188" s="90">
        <v>43826</v>
      </c>
      <c r="L188" s="90"/>
      <c r="M188" s="93">
        <v>50</v>
      </c>
      <c r="N188" s="9"/>
      <c r="O188" s="33"/>
      <c r="P188" s="33"/>
      <c r="Q188" s="9"/>
      <c r="R188" s="67"/>
      <c r="S188" s="9"/>
    </row>
    <row r="189" spans="1:19" x14ac:dyDescent="0.25">
      <c r="A189" s="4"/>
      <c r="B189" s="28" t="str">
        <f>IF(ISNUMBER(MATCH(C189, Mgt_Unit!$C$5:$C$1018, 0)), INDEX(Mgt_Unit!$B$5:$B$1018, MATCH(C189, Mgt_Unit!$C$5:$C$1018, 0)), "")</f>
        <v>jennifer.moore</v>
      </c>
      <c r="C189" t="s">
        <v>723</v>
      </c>
      <c r="D189" s="65"/>
      <c r="E189">
        <v>1</v>
      </c>
      <c r="F189" t="s">
        <v>1538</v>
      </c>
      <c r="G189" t="s">
        <v>1544</v>
      </c>
      <c r="H189" t="s">
        <v>50</v>
      </c>
      <c r="I189" t="s">
        <v>87</v>
      </c>
      <c r="J189" s="89">
        <v>43280</v>
      </c>
      <c r="K189" s="89">
        <v>43461</v>
      </c>
      <c r="L189" s="89"/>
      <c r="M189" s="31">
        <v>50</v>
      </c>
      <c r="N189" s="9"/>
      <c r="O189" s="33"/>
      <c r="P189" s="33"/>
      <c r="Q189" s="9"/>
      <c r="R189" s="67"/>
      <c r="S189" s="9"/>
    </row>
    <row r="190" spans="1:19" x14ac:dyDescent="0.25">
      <c r="A190" s="4"/>
      <c r="B190" s="28" t="str">
        <f>IF(ISNUMBER(MATCH(C190, Mgt_Unit!$C$5:$C$1018, 0)), INDEX(Mgt_Unit!$B$5:$B$1018, MATCH(C190, Mgt_Unit!$C$5:$C$1018, 0)), "")</f>
        <v>jennifer.moore</v>
      </c>
      <c r="C190" s="87" t="s">
        <v>723</v>
      </c>
      <c r="D190" s="65"/>
      <c r="E190" s="87">
        <v>2</v>
      </c>
      <c r="F190" s="87" t="s">
        <v>1538</v>
      </c>
      <c r="G190" s="87" t="s">
        <v>1544</v>
      </c>
      <c r="H190" s="87" t="s">
        <v>441</v>
      </c>
      <c r="I190" s="87" t="s">
        <v>88</v>
      </c>
      <c r="J190" s="90">
        <v>43645</v>
      </c>
      <c r="K190" s="90">
        <v>43735</v>
      </c>
      <c r="L190" s="90"/>
      <c r="M190" s="93">
        <v>90</v>
      </c>
      <c r="N190" s="9"/>
      <c r="O190" s="33"/>
      <c r="P190" s="33"/>
      <c r="Q190" s="9"/>
      <c r="R190" s="67"/>
      <c r="S190" s="9"/>
    </row>
    <row r="191" spans="1:19" x14ac:dyDescent="0.25">
      <c r="A191" s="4"/>
      <c r="B191" s="28" t="str">
        <f>IF(ISNUMBER(MATCH(C191, Mgt_Unit!$C$5:$C$1018, 0)), INDEX(Mgt_Unit!$B$5:$B$1018, MATCH(C191, Mgt_Unit!$C$5:$C$1018, 0)), "")</f>
        <v>jennifer.moore</v>
      </c>
      <c r="C191" t="s">
        <v>724</v>
      </c>
      <c r="D191" s="65"/>
      <c r="E191">
        <v>1</v>
      </c>
      <c r="F191" t="s">
        <v>1538</v>
      </c>
      <c r="G191" t="s">
        <v>1544</v>
      </c>
      <c r="H191" t="s">
        <v>441</v>
      </c>
      <c r="I191" t="s">
        <v>29</v>
      </c>
      <c r="J191" s="89">
        <v>43280</v>
      </c>
      <c r="K191" s="89">
        <v>43370</v>
      </c>
      <c r="L191" s="89"/>
      <c r="M191" s="31">
        <v>90</v>
      </c>
      <c r="N191" s="9"/>
      <c r="O191" s="33"/>
      <c r="P191" s="33"/>
      <c r="Q191" s="9"/>
      <c r="R191" s="67"/>
      <c r="S191" s="9"/>
    </row>
    <row r="192" spans="1:19" x14ac:dyDescent="0.25">
      <c r="A192" s="4"/>
      <c r="B192" s="28" t="str">
        <f>IF(ISNUMBER(MATCH(C192, Mgt_Unit!$C$5:$C$1018, 0)), INDEX(Mgt_Unit!$B$5:$B$1018, MATCH(C192, Mgt_Unit!$C$5:$C$1018, 0)), "")</f>
        <v>jennifer.moore</v>
      </c>
      <c r="C192" s="87" t="s">
        <v>724</v>
      </c>
      <c r="D192" s="65"/>
      <c r="E192" s="87">
        <v>2</v>
      </c>
      <c r="F192" s="87" t="s">
        <v>1538</v>
      </c>
      <c r="G192" s="87" t="s">
        <v>1544</v>
      </c>
      <c r="H192" s="87" t="s">
        <v>50</v>
      </c>
      <c r="I192" s="87" t="s">
        <v>87</v>
      </c>
      <c r="J192" s="90">
        <v>43645</v>
      </c>
      <c r="K192" s="90">
        <v>43826</v>
      </c>
      <c r="L192" s="90"/>
      <c r="M192" s="93">
        <v>50</v>
      </c>
      <c r="N192" s="9"/>
      <c r="O192" s="33"/>
      <c r="P192" s="33"/>
      <c r="Q192" s="9"/>
      <c r="R192" s="67"/>
      <c r="S192" s="9"/>
    </row>
    <row r="193" spans="1:19" x14ac:dyDescent="0.25">
      <c r="A193" s="4"/>
      <c r="B193" s="28" t="str">
        <f>IF(ISNUMBER(MATCH(C193, Mgt_Unit!$C$5:$C$1018, 0)), INDEX(Mgt_Unit!$B$5:$B$1018, MATCH(C193, Mgt_Unit!$C$5:$C$1018, 0)), "")</f>
        <v>jennifer.moore</v>
      </c>
      <c r="C193" t="s">
        <v>725</v>
      </c>
      <c r="D193" s="65"/>
      <c r="E193">
        <v>1</v>
      </c>
      <c r="F193" t="s">
        <v>1538</v>
      </c>
      <c r="G193" t="s">
        <v>1544</v>
      </c>
      <c r="H193" t="s">
        <v>50</v>
      </c>
      <c r="I193" t="s">
        <v>87</v>
      </c>
      <c r="J193" s="89">
        <v>43280</v>
      </c>
      <c r="K193" s="89">
        <v>43461</v>
      </c>
      <c r="L193" s="89"/>
      <c r="M193" s="31">
        <v>50</v>
      </c>
      <c r="N193" s="9"/>
      <c r="O193" s="33"/>
      <c r="P193" s="33"/>
      <c r="Q193" s="9"/>
      <c r="R193" s="67"/>
      <c r="S193" s="9"/>
    </row>
    <row r="194" spans="1:19" x14ac:dyDescent="0.25">
      <c r="A194" s="4"/>
      <c r="B194" s="28" t="str">
        <f>IF(ISNUMBER(MATCH(C194, Mgt_Unit!$C$5:$C$1018, 0)), INDEX(Mgt_Unit!$B$5:$B$1018, MATCH(C194, Mgt_Unit!$C$5:$C$1018, 0)), "")</f>
        <v>jennifer.moore</v>
      </c>
      <c r="C194" s="87" t="s">
        <v>725</v>
      </c>
      <c r="D194" s="65"/>
      <c r="E194" s="87">
        <v>2</v>
      </c>
      <c r="F194" s="87" t="s">
        <v>1538</v>
      </c>
      <c r="G194" s="87" t="s">
        <v>1544</v>
      </c>
      <c r="H194" s="87" t="s">
        <v>441</v>
      </c>
      <c r="I194" s="87" t="s">
        <v>29</v>
      </c>
      <c r="J194" s="90">
        <v>43645</v>
      </c>
      <c r="K194" s="90">
        <v>43735</v>
      </c>
      <c r="L194" s="90"/>
      <c r="M194" s="93">
        <v>90</v>
      </c>
      <c r="N194" s="9"/>
      <c r="O194" s="33"/>
      <c r="P194" s="33"/>
      <c r="Q194" s="9"/>
      <c r="R194" s="67"/>
      <c r="S194" s="9"/>
    </row>
    <row r="195" spans="1:19" x14ac:dyDescent="0.25">
      <c r="A195" s="4"/>
      <c r="B195" s="28" t="str">
        <f>IF(ISNUMBER(MATCH(C195, Mgt_Unit!$C$5:$C$1018, 0)), INDEX(Mgt_Unit!$B$5:$B$1018, MATCH(C195, Mgt_Unit!$C$5:$C$1018, 0)), "")</f>
        <v>jennifer.moore</v>
      </c>
      <c r="C195" t="s">
        <v>726</v>
      </c>
      <c r="D195" s="65"/>
      <c r="E195">
        <v>1</v>
      </c>
      <c r="F195" t="s">
        <v>1538</v>
      </c>
      <c r="G195" t="s">
        <v>1544</v>
      </c>
      <c r="H195" t="s">
        <v>442</v>
      </c>
      <c r="I195" t="s">
        <v>90</v>
      </c>
      <c r="J195" s="89">
        <v>43280</v>
      </c>
      <c r="K195" s="89">
        <v>43393</v>
      </c>
      <c r="L195" s="89"/>
      <c r="M195" s="31">
        <v>0</v>
      </c>
      <c r="N195" s="9"/>
      <c r="O195" s="33"/>
      <c r="P195" s="33"/>
      <c r="Q195" s="9"/>
      <c r="R195" s="67"/>
      <c r="S195" s="9"/>
    </row>
    <row r="196" spans="1:19" x14ac:dyDescent="0.25">
      <c r="A196" s="4"/>
      <c r="B196" s="28" t="str">
        <f>IF(ISNUMBER(MATCH(C196, Mgt_Unit!$C$5:$C$1018, 0)), INDEX(Mgt_Unit!$B$5:$B$1018, MATCH(C196, Mgt_Unit!$C$5:$C$1018, 0)), "")</f>
        <v>jennifer.moore</v>
      </c>
      <c r="C196" s="87" t="s">
        <v>726</v>
      </c>
      <c r="D196" s="65"/>
      <c r="E196" s="87">
        <v>2</v>
      </c>
      <c r="F196" s="87" t="s">
        <v>1538</v>
      </c>
      <c r="G196" s="87" t="s">
        <v>1544</v>
      </c>
      <c r="H196" s="87" t="s">
        <v>50</v>
      </c>
      <c r="I196" s="87" t="s">
        <v>87</v>
      </c>
      <c r="J196" s="90">
        <v>43645</v>
      </c>
      <c r="K196" s="90">
        <v>43826</v>
      </c>
      <c r="L196" s="90"/>
      <c r="M196" s="93">
        <v>0</v>
      </c>
      <c r="N196" s="9"/>
      <c r="O196" s="33"/>
      <c r="P196" s="33"/>
      <c r="Q196" s="9"/>
      <c r="R196" s="67"/>
      <c r="S196" s="9"/>
    </row>
    <row r="197" spans="1:19" x14ac:dyDescent="0.25">
      <c r="A197" s="4"/>
      <c r="B197" s="28" t="str">
        <f>IF(ISNUMBER(MATCH(C197, Mgt_Unit!$C$5:$C$1018, 0)), INDEX(Mgt_Unit!$B$5:$B$1018, MATCH(C197, Mgt_Unit!$C$5:$C$1018, 0)), "")</f>
        <v>jennifer.moore</v>
      </c>
      <c r="C197" t="s">
        <v>727</v>
      </c>
      <c r="D197" s="65"/>
      <c r="E197">
        <v>1</v>
      </c>
      <c r="F197" t="s">
        <v>1538</v>
      </c>
      <c r="G197" t="s">
        <v>1544</v>
      </c>
      <c r="H197" t="s">
        <v>441</v>
      </c>
      <c r="I197" t="s">
        <v>29</v>
      </c>
      <c r="J197" s="89"/>
      <c r="K197" s="89">
        <v>43185</v>
      </c>
      <c r="L197" s="89"/>
      <c r="M197" s="31">
        <v>90</v>
      </c>
      <c r="N197" s="9"/>
      <c r="O197" s="33"/>
      <c r="P197" s="33"/>
      <c r="Q197" s="9"/>
      <c r="R197" s="67"/>
      <c r="S197" s="9"/>
    </row>
    <row r="198" spans="1:19" x14ac:dyDescent="0.25">
      <c r="A198" s="4"/>
      <c r="B198" s="28" t="str">
        <f>IF(ISNUMBER(MATCH(C198, Mgt_Unit!$C$5:$C$1018, 0)), INDEX(Mgt_Unit!$B$5:$B$1018, MATCH(C198, Mgt_Unit!$C$5:$C$1018, 0)), "")</f>
        <v>jennifer.moore</v>
      </c>
      <c r="C198" t="s">
        <v>727</v>
      </c>
      <c r="D198" s="65"/>
      <c r="E198">
        <v>2</v>
      </c>
      <c r="F198" t="s">
        <v>1538</v>
      </c>
      <c r="G198" t="s">
        <v>1544</v>
      </c>
      <c r="H198" t="s">
        <v>50</v>
      </c>
      <c r="I198" t="s">
        <v>87</v>
      </c>
      <c r="J198" s="89">
        <v>43258</v>
      </c>
      <c r="K198" s="89">
        <v>43404</v>
      </c>
      <c r="L198" s="89"/>
      <c r="M198" s="31">
        <v>95</v>
      </c>
      <c r="N198" s="9"/>
      <c r="O198" s="33"/>
      <c r="P198" s="33"/>
      <c r="Q198" s="9"/>
      <c r="R198" s="67"/>
      <c r="S198" s="9"/>
    </row>
    <row r="199" spans="1:19" x14ac:dyDescent="0.25">
      <c r="A199" s="4"/>
      <c r="B199" s="28" t="str">
        <f>IF(ISNUMBER(MATCH(C199, Mgt_Unit!$C$5:$C$1018, 0)), INDEX(Mgt_Unit!$B$5:$B$1018, MATCH(C199, Mgt_Unit!$C$5:$C$1018, 0)), "")</f>
        <v>jennifer.moore</v>
      </c>
      <c r="C199" s="87" t="s">
        <v>727</v>
      </c>
      <c r="D199" s="65"/>
      <c r="E199" s="87">
        <v>3</v>
      </c>
      <c r="F199" s="87" t="s">
        <v>1538</v>
      </c>
      <c r="G199" s="87" t="s">
        <v>1544</v>
      </c>
      <c r="H199" s="87" t="s">
        <v>441</v>
      </c>
      <c r="I199" s="87" t="s">
        <v>29</v>
      </c>
      <c r="J199" s="90">
        <v>43447</v>
      </c>
      <c r="K199" s="90"/>
      <c r="L199" s="90"/>
      <c r="M199" s="93"/>
      <c r="N199" s="9"/>
      <c r="O199" s="33"/>
      <c r="P199" s="33"/>
      <c r="Q199" s="9"/>
      <c r="R199" s="67"/>
      <c r="S199" s="9"/>
    </row>
    <row r="200" spans="1:19" x14ac:dyDescent="0.25">
      <c r="A200" s="4"/>
      <c r="B200" s="28" t="str">
        <f>IF(ISNUMBER(MATCH(C200, Mgt_Unit!$C$5:$C$1018, 0)), INDEX(Mgt_Unit!$B$5:$B$1018, MATCH(C200, Mgt_Unit!$C$5:$C$1018, 0)), "")</f>
        <v>jennifer.moore</v>
      </c>
      <c r="C200" t="s">
        <v>728</v>
      </c>
      <c r="D200" s="65"/>
      <c r="E200">
        <v>1</v>
      </c>
      <c r="F200" t="s">
        <v>1538</v>
      </c>
      <c r="G200" t="s">
        <v>1544</v>
      </c>
      <c r="H200" t="s">
        <v>441</v>
      </c>
      <c r="I200" t="s">
        <v>29</v>
      </c>
      <c r="J200" s="89"/>
      <c r="K200" s="89">
        <v>43185</v>
      </c>
      <c r="L200" s="89"/>
      <c r="M200" s="31">
        <v>90</v>
      </c>
      <c r="N200" s="9"/>
      <c r="O200" s="33"/>
      <c r="P200" s="33"/>
      <c r="Q200" s="9"/>
      <c r="R200" s="67"/>
      <c r="S200" s="9"/>
    </row>
    <row r="201" spans="1:19" x14ac:dyDescent="0.25">
      <c r="A201" s="4"/>
      <c r="B201" s="28" t="str">
        <f>IF(ISNUMBER(MATCH(C201, Mgt_Unit!$C$5:$C$1018, 0)), INDEX(Mgt_Unit!$B$5:$B$1018, MATCH(C201, Mgt_Unit!$C$5:$C$1018, 0)), "")</f>
        <v>jennifer.moore</v>
      </c>
      <c r="C201" t="s">
        <v>728</v>
      </c>
      <c r="D201" s="65"/>
      <c r="E201">
        <v>2</v>
      </c>
      <c r="F201" t="s">
        <v>1538</v>
      </c>
      <c r="G201" t="s">
        <v>1544</v>
      </c>
      <c r="H201" t="s">
        <v>50</v>
      </c>
      <c r="I201" t="s">
        <v>87</v>
      </c>
      <c r="J201" s="89">
        <v>43258</v>
      </c>
      <c r="K201" s="89">
        <v>43404</v>
      </c>
      <c r="L201" s="89"/>
      <c r="M201" s="31">
        <v>95</v>
      </c>
      <c r="N201" s="9"/>
      <c r="O201" s="33"/>
      <c r="P201" s="33"/>
      <c r="Q201" s="9"/>
      <c r="R201" s="67"/>
      <c r="S201" s="9"/>
    </row>
    <row r="202" spans="1:19" x14ac:dyDescent="0.25">
      <c r="A202" s="4"/>
      <c r="B202" s="28" t="str">
        <f>IF(ISNUMBER(MATCH(C202, Mgt_Unit!$C$5:$C$1018, 0)), INDEX(Mgt_Unit!$B$5:$B$1018, MATCH(C202, Mgt_Unit!$C$5:$C$1018, 0)), "")</f>
        <v>jennifer.moore</v>
      </c>
      <c r="C202" s="87" t="s">
        <v>728</v>
      </c>
      <c r="D202" s="65"/>
      <c r="E202" s="87">
        <v>3</v>
      </c>
      <c r="F202" s="87" t="s">
        <v>1538</v>
      </c>
      <c r="G202" s="87" t="s">
        <v>1544</v>
      </c>
      <c r="H202" s="87" t="s">
        <v>441</v>
      </c>
      <c r="I202" s="87" t="s">
        <v>29</v>
      </c>
      <c r="J202" s="90">
        <v>43447</v>
      </c>
      <c r="K202" s="90"/>
      <c r="L202" s="90"/>
      <c r="M202" s="93"/>
      <c r="N202" s="9"/>
      <c r="O202" s="33"/>
      <c r="P202" s="33"/>
      <c r="Q202" s="9"/>
      <c r="R202" s="67"/>
      <c r="S202" s="9"/>
    </row>
    <row r="203" spans="1:19" ht="15" customHeight="1" x14ac:dyDescent="0.25">
      <c r="A203" s="4"/>
      <c r="B203" s="28" t="str">
        <f>IF(ISNUMBER(MATCH(C203, Mgt_Unit!$C$5:$C$1018, 0)), INDEX(Mgt_Unit!$B$5:$B$1018, MATCH(C203, Mgt_Unit!$C$5:$C$1018, 0)), "")</f>
        <v>jennifer.moore</v>
      </c>
      <c r="C203" t="s">
        <v>729</v>
      </c>
      <c r="D203" s="65"/>
      <c r="E203">
        <v>1</v>
      </c>
      <c r="F203" t="s">
        <v>1538</v>
      </c>
      <c r="G203" t="s">
        <v>1544</v>
      </c>
      <c r="H203" t="s">
        <v>441</v>
      </c>
      <c r="I203" t="s">
        <v>29</v>
      </c>
      <c r="J203" s="89"/>
      <c r="K203" s="89">
        <v>43185</v>
      </c>
      <c r="L203" s="89"/>
      <c r="M203" s="31">
        <v>90</v>
      </c>
      <c r="N203" s="9"/>
      <c r="O203" s="33"/>
      <c r="P203" s="33"/>
      <c r="Q203" s="9"/>
      <c r="R203" s="67"/>
      <c r="S203" s="9"/>
    </row>
    <row r="204" spans="1:19" ht="15" customHeight="1" x14ac:dyDescent="0.25">
      <c r="A204" s="4"/>
      <c r="B204" s="28" t="str">
        <f>IF(ISNUMBER(MATCH(C204, Mgt_Unit!$C$5:$C$1018, 0)), INDEX(Mgt_Unit!$B$5:$B$1018, MATCH(C204, Mgt_Unit!$C$5:$C$1018, 0)), "")</f>
        <v>jennifer.moore</v>
      </c>
      <c r="C204" t="s">
        <v>729</v>
      </c>
      <c r="D204" s="65"/>
      <c r="E204">
        <v>2</v>
      </c>
      <c r="F204" t="s">
        <v>1538</v>
      </c>
      <c r="G204" t="s">
        <v>1544</v>
      </c>
      <c r="H204" t="s">
        <v>50</v>
      </c>
      <c r="I204" t="s">
        <v>87</v>
      </c>
      <c r="J204" s="89">
        <v>43258</v>
      </c>
      <c r="K204" s="89">
        <v>43404</v>
      </c>
      <c r="L204" s="89"/>
      <c r="M204" s="31">
        <v>95</v>
      </c>
      <c r="N204" s="9"/>
      <c r="O204" s="33"/>
      <c r="P204" s="33"/>
      <c r="Q204" s="9"/>
      <c r="R204" s="67"/>
      <c r="S204" s="9"/>
    </row>
    <row r="205" spans="1:19" ht="15" customHeight="1" x14ac:dyDescent="0.25">
      <c r="A205" s="4"/>
      <c r="B205" s="28" t="str">
        <f>IF(ISNUMBER(MATCH(C205, Mgt_Unit!$C$5:$C$1018, 0)), INDEX(Mgt_Unit!$B$5:$B$1018, MATCH(C205, Mgt_Unit!$C$5:$C$1018, 0)), "")</f>
        <v>jennifer.moore</v>
      </c>
      <c r="C205" s="87" t="s">
        <v>729</v>
      </c>
      <c r="D205" s="65"/>
      <c r="E205" s="87">
        <v>3</v>
      </c>
      <c r="F205" s="87" t="s">
        <v>1538</v>
      </c>
      <c r="G205" s="87" t="s">
        <v>1544</v>
      </c>
      <c r="H205" s="87" t="s">
        <v>441</v>
      </c>
      <c r="I205" s="87" t="s">
        <v>29</v>
      </c>
      <c r="J205" s="90">
        <v>43447</v>
      </c>
      <c r="K205" s="90"/>
      <c r="L205" s="90"/>
      <c r="M205" s="93"/>
      <c r="N205" s="9"/>
      <c r="O205" s="33"/>
      <c r="P205" s="33"/>
      <c r="Q205" s="9"/>
      <c r="R205" s="67"/>
      <c r="S205" s="9"/>
    </row>
    <row r="206" spans="1:19" ht="15" customHeight="1" x14ac:dyDescent="0.25">
      <c r="A206" s="4"/>
      <c r="B206" s="28" t="str">
        <f>IF(ISNUMBER(MATCH(C206, Mgt_Unit!$C$5:$C$1018, 0)), INDEX(Mgt_Unit!$B$5:$B$1018, MATCH(C206, Mgt_Unit!$C$5:$C$1018, 0)), "")</f>
        <v>jennifer.moore</v>
      </c>
      <c r="C206" t="s">
        <v>730</v>
      </c>
      <c r="D206" s="65"/>
      <c r="E206">
        <v>1</v>
      </c>
      <c r="F206" t="s">
        <v>1538</v>
      </c>
      <c r="G206" t="s">
        <v>1544</v>
      </c>
      <c r="H206" t="s">
        <v>441</v>
      </c>
      <c r="I206" t="s">
        <v>29</v>
      </c>
      <c r="J206" s="89"/>
      <c r="K206" s="89">
        <v>43185</v>
      </c>
      <c r="L206" s="89"/>
      <c r="M206" s="31">
        <v>90</v>
      </c>
      <c r="N206" s="9"/>
      <c r="O206" s="33"/>
      <c r="P206" s="33"/>
      <c r="Q206" s="9"/>
      <c r="R206" s="67"/>
      <c r="S206" s="9"/>
    </row>
    <row r="207" spans="1:19" ht="15" customHeight="1" x14ac:dyDescent="0.25">
      <c r="A207" s="4"/>
      <c r="B207" s="28" t="str">
        <f>IF(ISNUMBER(MATCH(C207, Mgt_Unit!$C$5:$C$1018, 0)), INDEX(Mgt_Unit!$B$5:$B$1018, MATCH(C207, Mgt_Unit!$C$5:$C$1018, 0)), "")</f>
        <v>jennifer.moore</v>
      </c>
      <c r="C207" t="s">
        <v>730</v>
      </c>
      <c r="D207" s="65"/>
      <c r="E207">
        <v>2</v>
      </c>
      <c r="F207" t="s">
        <v>1538</v>
      </c>
      <c r="G207" t="s">
        <v>1544</v>
      </c>
      <c r="H207" t="s">
        <v>50</v>
      </c>
      <c r="I207" t="s">
        <v>87</v>
      </c>
      <c r="J207" s="89">
        <v>43258</v>
      </c>
      <c r="K207" s="89">
        <v>43404</v>
      </c>
      <c r="L207" s="89"/>
      <c r="M207" s="31">
        <v>95</v>
      </c>
      <c r="N207" s="9"/>
      <c r="O207" s="33"/>
      <c r="P207" s="33"/>
      <c r="Q207" s="9"/>
      <c r="R207" s="67"/>
      <c r="S207" s="9"/>
    </row>
    <row r="208" spans="1:19" ht="15" customHeight="1" x14ac:dyDescent="0.25">
      <c r="A208" s="4"/>
      <c r="B208" s="28" t="str">
        <f>IF(ISNUMBER(MATCH(C208, Mgt_Unit!$C$5:$C$1018, 0)), INDEX(Mgt_Unit!$B$5:$B$1018, MATCH(C208, Mgt_Unit!$C$5:$C$1018, 0)), "")</f>
        <v>jennifer.moore</v>
      </c>
      <c r="C208" s="87" t="s">
        <v>730</v>
      </c>
      <c r="D208" s="65"/>
      <c r="E208" s="87">
        <v>3</v>
      </c>
      <c r="F208" s="87" t="s">
        <v>1538</v>
      </c>
      <c r="G208" s="87" t="s">
        <v>1544</v>
      </c>
      <c r="H208" s="87" t="s">
        <v>441</v>
      </c>
      <c r="I208" s="87" t="s">
        <v>29</v>
      </c>
      <c r="J208" s="90">
        <v>43445</v>
      </c>
      <c r="K208" s="90"/>
      <c r="L208" s="90"/>
      <c r="M208" s="93"/>
      <c r="N208" s="9"/>
      <c r="O208" s="33"/>
      <c r="P208" s="33"/>
      <c r="Q208" s="9"/>
      <c r="R208" s="67"/>
      <c r="S208" s="9"/>
    </row>
    <row r="209" spans="1:19" ht="15" customHeight="1" x14ac:dyDescent="0.25">
      <c r="A209" s="4"/>
      <c r="B209" s="28" t="str">
        <f>IF(ISNUMBER(MATCH(C209, Mgt_Unit!$C$5:$C$1018, 0)), INDEX(Mgt_Unit!$B$5:$B$1018, MATCH(C209, Mgt_Unit!$C$5:$C$1018, 0)), "")</f>
        <v>jennifer.moore</v>
      </c>
      <c r="C209" t="s">
        <v>731</v>
      </c>
      <c r="D209" s="65"/>
      <c r="E209">
        <v>1</v>
      </c>
      <c r="F209" t="s">
        <v>1538</v>
      </c>
      <c r="G209" t="s">
        <v>1544</v>
      </c>
      <c r="H209" t="s">
        <v>441</v>
      </c>
      <c r="I209" t="s">
        <v>29</v>
      </c>
      <c r="J209" s="89"/>
      <c r="K209" s="89">
        <v>43185</v>
      </c>
      <c r="L209" s="89"/>
      <c r="M209" s="31">
        <v>90</v>
      </c>
      <c r="N209" s="9"/>
      <c r="O209" s="33"/>
      <c r="P209" s="33"/>
      <c r="Q209" s="9"/>
      <c r="R209" s="67"/>
      <c r="S209" s="9"/>
    </row>
    <row r="210" spans="1:19" ht="15" customHeight="1" x14ac:dyDescent="0.25">
      <c r="A210" s="4"/>
      <c r="B210" s="28" t="str">
        <f>IF(ISNUMBER(MATCH(C210, Mgt_Unit!$C$5:$C$1018, 0)), INDEX(Mgt_Unit!$B$5:$B$1018, MATCH(C210, Mgt_Unit!$C$5:$C$1018, 0)), "")</f>
        <v>jennifer.moore</v>
      </c>
      <c r="C210" t="s">
        <v>731</v>
      </c>
      <c r="D210" s="65"/>
      <c r="E210">
        <v>2</v>
      </c>
      <c r="F210" t="s">
        <v>1538</v>
      </c>
      <c r="G210" t="s">
        <v>1544</v>
      </c>
      <c r="H210" t="s">
        <v>50</v>
      </c>
      <c r="I210" t="s">
        <v>87</v>
      </c>
      <c r="J210" s="89">
        <v>43258</v>
      </c>
      <c r="K210" s="89">
        <v>43404</v>
      </c>
      <c r="L210" s="89"/>
      <c r="M210" s="31">
        <v>66.599999999999994</v>
      </c>
      <c r="N210" s="9"/>
      <c r="O210" s="33"/>
      <c r="P210" s="33"/>
      <c r="Q210" s="9"/>
      <c r="R210" s="67"/>
      <c r="S210" s="9"/>
    </row>
    <row r="211" spans="1:19" ht="15" customHeight="1" x14ac:dyDescent="0.25">
      <c r="A211" s="4"/>
      <c r="B211" s="28" t="str">
        <f>IF(ISNUMBER(MATCH(C211, Mgt_Unit!$C$5:$C$1018, 0)), INDEX(Mgt_Unit!$B$5:$B$1018, MATCH(C211, Mgt_Unit!$C$5:$C$1018, 0)), "")</f>
        <v>jennifer.moore</v>
      </c>
      <c r="C211" s="87" t="s">
        <v>731</v>
      </c>
      <c r="D211" s="65"/>
      <c r="E211" s="87">
        <v>3</v>
      </c>
      <c r="F211" s="87" t="s">
        <v>1538</v>
      </c>
      <c r="G211" s="87" t="s">
        <v>1544</v>
      </c>
      <c r="H211" s="87" t="s">
        <v>441</v>
      </c>
      <c r="I211" s="87" t="s">
        <v>29</v>
      </c>
      <c r="J211" s="90">
        <v>43445</v>
      </c>
      <c r="K211" s="90"/>
      <c r="L211" s="90"/>
      <c r="M211" s="93"/>
      <c r="N211" s="9"/>
      <c r="O211" s="33"/>
      <c r="P211" s="33"/>
      <c r="Q211" s="9"/>
      <c r="R211" s="67"/>
      <c r="S211" s="9"/>
    </row>
    <row r="212" spans="1:19" ht="15" customHeight="1" x14ac:dyDescent="0.25">
      <c r="A212" s="4"/>
      <c r="B212" s="28" t="str">
        <f>IF(ISNUMBER(MATCH(C212, Mgt_Unit!$C$5:$C$1018, 0)), INDEX(Mgt_Unit!$B$5:$B$1018, MATCH(C212, Mgt_Unit!$C$5:$C$1018, 0)), "")</f>
        <v>jennifer.moore</v>
      </c>
      <c r="C212" t="s">
        <v>732</v>
      </c>
      <c r="D212" s="65"/>
      <c r="E212">
        <v>1</v>
      </c>
      <c r="F212" t="s">
        <v>1538</v>
      </c>
      <c r="G212" t="s">
        <v>1544</v>
      </c>
      <c r="H212" t="s">
        <v>441</v>
      </c>
      <c r="I212" t="s">
        <v>29</v>
      </c>
      <c r="J212" s="89"/>
      <c r="K212" s="89">
        <v>43185</v>
      </c>
      <c r="L212" s="89"/>
      <c r="M212" s="31">
        <v>90</v>
      </c>
      <c r="N212" s="9"/>
      <c r="O212" s="33"/>
      <c r="P212" s="33"/>
      <c r="Q212" s="9"/>
      <c r="R212" s="67"/>
      <c r="S212" s="9"/>
    </row>
    <row r="213" spans="1:19" ht="15" customHeight="1" x14ac:dyDescent="0.25">
      <c r="A213" s="4"/>
      <c r="B213" s="28" t="str">
        <f>IF(ISNUMBER(MATCH(C213, Mgt_Unit!$C$5:$C$1018, 0)), INDEX(Mgt_Unit!$B$5:$B$1018, MATCH(C213, Mgt_Unit!$C$5:$C$1018, 0)), "")</f>
        <v>jennifer.moore</v>
      </c>
      <c r="C213" t="s">
        <v>732</v>
      </c>
      <c r="D213" s="65"/>
      <c r="E213">
        <v>2</v>
      </c>
      <c r="F213" t="s">
        <v>1538</v>
      </c>
      <c r="G213" t="s">
        <v>1544</v>
      </c>
      <c r="H213" t="s">
        <v>50</v>
      </c>
      <c r="I213" t="s">
        <v>87</v>
      </c>
      <c r="J213" s="89">
        <v>43258</v>
      </c>
      <c r="K213" s="89">
        <v>43404</v>
      </c>
      <c r="L213" s="89"/>
      <c r="M213" s="31">
        <v>80</v>
      </c>
      <c r="N213" s="9"/>
      <c r="O213" s="33"/>
      <c r="P213" s="33"/>
      <c r="Q213" s="9"/>
      <c r="R213" s="67"/>
      <c r="S213" s="9"/>
    </row>
    <row r="214" spans="1:19" ht="15" customHeight="1" x14ac:dyDescent="0.25">
      <c r="A214" s="4"/>
      <c r="B214" s="28" t="str">
        <f>IF(ISNUMBER(MATCH(C214, Mgt_Unit!$C$5:$C$1018, 0)), INDEX(Mgt_Unit!$B$5:$B$1018, MATCH(C214, Mgt_Unit!$C$5:$C$1018, 0)), "")</f>
        <v>jennifer.moore</v>
      </c>
      <c r="C214" s="87" t="s">
        <v>732</v>
      </c>
      <c r="D214" s="65"/>
      <c r="E214" s="87">
        <v>3</v>
      </c>
      <c r="F214" s="87" t="s">
        <v>1538</v>
      </c>
      <c r="G214" s="87" t="s">
        <v>1544</v>
      </c>
      <c r="H214" s="87" t="s">
        <v>441</v>
      </c>
      <c r="I214" s="87" t="s">
        <v>29</v>
      </c>
      <c r="J214" s="90">
        <v>43445</v>
      </c>
      <c r="K214" s="90"/>
      <c r="L214" s="90"/>
      <c r="M214" s="93"/>
      <c r="N214" s="9"/>
      <c r="O214" s="33"/>
      <c r="P214" s="33"/>
      <c r="Q214" s="9"/>
      <c r="R214" s="67"/>
      <c r="S214" s="9"/>
    </row>
    <row r="215" spans="1:19" ht="15" customHeight="1" x14ac:dyDescent="0.25">
      <c r="A215" s="4"/>
      <c r="B215" s="28" t="str">
        <f>IF(ISNUMBER(MATCH(C215, Mgt_Unit!$C$5:$C$1018, 0)), INDEX(Mgt_Unit!$B$5:$B$1018, MATCH(C215, Mgt_Unit!$C$5:$C$1018, 0)), "")</f>
        <v>jennifer.moore</v>
      </c>
      <c r="C215" t="s">
        <v>733</v>
      </c>
      <c r="D215" s="65"/>
      <c r="E215">
        <v>1</v>
      </c>
      <c r="F215" t="s">
        <v>1538</v>
      </c>
      <c r="G215" t="s">
        <v>1544</v>
      </c>
      <c r="H215" t="s">
        <v>441</v>
      </c>
      <c r="I215" t="s">
        <v>29</v>
      </c>
      <c r="J215" s="89"/>
      <c r="K215" s="89">
        <v>43185</v>
      </c>
      <c r="L215" s="89"/>
      <c r="M215" s="31">
        <v>90</v>
      </c>
      <c r="N215" s="9"/>
      <c r="O215" s="33"/>
      <c r="P215" s="33"/>
      <c r="Q215" s="9"/>
      <c r="R215" s="67"/>
      <c r="S215" s="9"/>
    </row>
    <row r="216" spans="1:19" ht="15" customHeight="1" x14ac:dyDescent="0.25">
      <c r="A216" s="4"/>
      <c r="B216" s="28" t="str">
        <f>IF(ISNUMBER(MATCH(C216, Mgt_Unit!$C$5:$C$1018, 0)), INDEX(Mgt_Unit!$B$5:$B$1018, MATCH(C216, Mgt_Unit!$C$5:$C$1018, 0)), "")</f>
        <v>jennifer.moore</v>
      </c>
      <c r="C216" t="s">
        <v>733</v>
      </c>
      <c r="D216" s="65"/>
      <c r="E216">
        <v>2</v>
      </c>
      <c r="F216" t="s">
        <v>1538</v>
      </c>
      <c r="G216" t="s">
        <v>1544</v>
      </c>
      <c r="H216" t="s">
        <v>50</v>
      </c>
      <c r="I216" t="s">
        <v>87</v>
      </c>
      <c r="J216" s="89">
        <v>43258</v>
      </c>
      <c r="K216" s="89">
        <v>43404</v>
      </c>
      <c r="L216" s="89"/>
      <c r="M216" s="31">
        <v>70</v>
      </c>
      <c r="N216" s="9"/>
      <c r="O216" s="33"/>
      <c r="P216" s="33"/>
      <c r="Q216" s="9"/>
      <c r="R216" s="67"/>
      <c r="S216" s="9"/>
    </row>
    <row r="217" spans="1:19" ht="15" customHeight="1" x14ac:dyDescent="0.25">
      <c r="A217" s="4"/>
      <c r="B217" s="28" t="str">
        <f>IF(ISNUMBER(MATCH(C217, Mgt_Unit!$C$5:$C$1018, 0)), INDEX(Mgt_Unit!$B$5:$B$1018, MATCH(C217, Mgt_Unit!$C$5:$C$1018, 0)), "")</f>
        <v>jennifer.moore</v>
      </c>
      <c r="C217" s="87" t="s">
        <v>733</v>
      </c>
      <c r="D217" s="65"/>
      <c r="E217" s="87">
        <v>3</v>
      </c>
      <c r="F217" s="87" t="s">
        <v>1538</v>
      </c>
      <c r="G217" s="87" t="s">
        <v>1544</v>
      </c>
      <c r="H217" s="87" t="s">
        <v>441</v>
      </c>
      <c r="I217" s="87" t="s">
        <v>29</v>
      </c>
      <c r="J217" s="90">
        <v>43445</v>
      </c>
      <c r="K217" s="90"/>
      <c r="L217" s="90"/>
      <c r="M217" s="93"/>
      <c r="N217" s="9"/>
      <c r="O217" s="33"/>
      <c r="P217" s="33"/>
      <c r="Q217" s="9"/>
      <c r="R217" s="67"/>
      <c r="S217" s="9"/>
    </row>
    <row r="218" spans="1:19" ht="15" customHeight="1" x14ac:dyDescent="0.25">
      <c r="A218" s="4"/>
      <c r="B218" s="28" t="str">
        <f>IF(ISNUMBER(MATCH(C218, Mgt_Unit!$C$5:$C$1018, 0)), INDEX(Mgt_Unit!$B$5:$B$1018, MATCH(C218, Mgt_Unit!$C$5:$C$1018, 0)), "")</f>
        <v>jennifer.moore</v>
      </c>
      <c r="C218" t="s">
        <v>734</v>
      </c>
      <c r="D218" s="65"/>
      <c r="E218">
        <v>1</v>
      </c>
      <c r="F218" t="s">
        <v>1538</v>
      </c>
      <c r="G218" t="s">
        <v>1544</v>
      </c>
      <c r="H218" t="s">
        <v>50</v>
      </c>
      <c r="I218" t="s">
        <v>87</v>
      </c>
      <c r="J218" s="89"/>
      <c r="K218" s="89">
        <v>42879</v>
      </c>
      <c r="L218" s="89"/>
      <c r="M218" s="31">
        <v>0</v>
      </c>
      <c r="N218" s="9"/>
      <c r="O218" s="33"/>
      <c r="P218" s="33"/>
      <c r="Q218" s="9"/>
      <c r="R218" s="67"/>
      <c r="S218" s="9"/>
    </row>
    <row r="219" spans="1:19" ht="15" customHeight="1" x14ac:dyDescent="0.25">
      <c r="A219" s="4"/>
      <c r="B219" s="28" t="str">
        <f>IF(ISNUMBER(MATCH(C219, Mgt_Unit!$C$5:$C$1018, 0)), INDEX(Mgt_Unit!$B$5:$B$1018, MATCH(C219, Mgt_Unit!$C$5:$C$1018, 0)), "")</f>
        <v>jennifer.moore</v>
      </c>
      <c r="C219" t="s">
        <v>734</v>
      </c>
      <c r="D219" s="65"/>
      <c r="E219">
        <v>2</v>
      </c>
      <c r="F219" t="s">
        <v>1538</v>
      </c>
      <c r="G219" t="s">
        <v>1544</v>
      </c>
      <c r="H219" t="s">
        <v>50</v>
      </c>
      <c r="I219" t="s">
        <v>87</v>
      </c>
      <c r="J219" s="89">
        <v>43110</v>
      </c>
      <c r="K219" s="89">
        <v>43277</v>
      </c>
      <c r="L219" s="89"/>
      <c r="M219" s="31">
        <v>0</v>
      </c>
      <c r="N219" s="9"/>
      <c r="O219" s="33"/>
      <c r="P219" s="33"/>
      <c r="Q219" s="9"/>
      <c r="R219" s="67"/>
      <c r="S219" s="9"/>
    </row>
    <row r="220" spans="1:19" ht="15" customHeight="1" x14ac:dyDescent="0.25">
      <c r="A220" s="4"/>
      <c r="B220" s="28" t="str">
        <f>IF(ISNUMBER(MATCH(C220, Mgt_Unit!$C$5:$C$1018, 0)), INDEX(Mgt_Unit!$B$5:$B$1018, MATCH(C220, Mgt_Unit!$C$5:$C$1018, 0)), "")</f>
        <v>jennifer.moore</v>
      </c>
      <c r="C220" s="87" t="s">
        <v>734</v>
      </c>
      <c r="D220" s="65"/>
      <c r="E220" s="87">
        <v>3</v>
      </c>
      <c r="F220" s="87" t="s">
        <v>1538</v>
      </c>
      <c r="G220" s="87" t="s">
        <v>1544</v>
      </c>
      <c r="H220" s="87" t="s">
        <v>50</v>
      </c>
      <c r="I220" s="87" t="s">
        <v>87</v>
      </c>
      <c r="J220" s="90">
        <v>43448</v>
      </c>
      <c r="K220" s="90"/>
      <c r="L220" s="90"/>
      <c r="M220" s="93"/>
      <c r="N220" s="9"/>
      <c r="O220" s="33"/>
      <c r="P220" s="33"/>
      <c r="Q220" s="9"/>
      <c r="R220" s="67"/>
      <c r="S220" s="9"/>
    </row>
    <row r="221" spans="1:19" ht="15" customHeight="1" x14ac:dyDescent="0.25">
      <c r="A221" s="4"/>
      <c r="B221" s="28" t="str">
        <f>IF(ISNUMBER(MATCH(C221, Mgt_Unit!$C$5:$C$1018, 0)), INDEX(Mgt_Unit!$B$5:$B$1018, MATCH(C221, Mgt_Unit!$C$5:$C$1018, 0)), "")</f>
        <v>jennifer.moore</v>
      </c>
      <c r="C221" t="s">
        <v>735</v>
      </c>
      <c r="D221" s="65"/>
      <c r="E221">
        <v>1</v>
      </c>
      <c r="F221" t="s">
        <v>1538</v>
      </c>
      <c r="G221" t="s">
        <v>1544</v>
      </c>
      <c r="H221" t="s">
        <v>50</v>
      </c>
      <c r="I221" t="s">
        <v>87</v>
      </c>
      <c r="J221" s="89"/>
      <c r="K221" s="89">
        <v>42879</v>
      </c>
      <c r="L221" s="89"/>
      <c r="M221" s="31">
        <v>0</v>
      </c>
      <c r="N221" s="9"/>
      <c r="O221" s="33"/>
      <c r="P221" s="33"/>
      <c r="Q221" s="9"/>
      <c r="R221" s="67"/>
      <c r="S221" s="9"/>
    </row>
    <row r="222" spans="1:19" ht="15" customHeight="1" x14ac:dyDescent="0.25">
      <c r="A222" s="4"/>
      <c r="B222" s="28" t="str">
        <f>IF(ISNUMBER(MATCH(C222, Mgt_Unit!$C$5:$C$1018, 0)), INDEX(Mgt_Unit!$B$5:$B$1018, MATCH(C222, Mgt_Unit!$C$5:$C$1018, 0)), "")</f>
        <v>jennifer.moore</v>
      </c>
      <c r="C222" t="s">
        <v>735</v>
      </c>
      <c r="D222" s="65"/>
      <c r="E222">
        <v>2</v>
      </c>
      <c r="F222" t="s">
        <v>1538</v>
      </c>
      <c r="G222" t="s">
        <v>1544</v>
      </c>
      <c r="H222" t="s">
        <v>49</v>
      </c>
      <c r="I222" t="s">
        <v>121</v>
      </c>
      <c r="J222" s="89">
        <v>43110</v>
      </c>
      <c r="K222" s="89">
        <v>43265</v>
      </c>
      <c r="L222" s="89"/>
      <c r="M222" s="31">
        <v>0</v>
      </c>
      <c r="N222" s="9"/>
      <c r="O222" s="33"/>
      <c r="P222" s="33"/>
      <c r="Q222" s="9"/>
      <c r="R222" s="67"/>
      <c r="S222" s="9"/>
    </row>
    <row r="223" spans="1:19" ht="15" customHeight="1" x14ac:dyDescent="0.25">
      <c r="A223" s="4"/>
      <c r="B223" s="28" t="str">
        <f>IF(ISNUMBER(MATCH(C223, Mgt_Unit!$C$5:$C$1018, 0)), INDEX(Mgt_Unit!$B$5:$B$1018, MATCH(C223, Mgt_Unit!$C$5:$C$1018, 0)), "")</f>
        <v>jennifer.moore</v>
      </c>
      <c r="C223" s="87" t="s">
        <v>735</v>
      </c>
      <c r="D223" s="65"/>
      <c r="E223" s="87">
        <v>3</v>
      </c>
      <c r="F223" s="87" t="s">
        <v>1538</v>
      </c>
      <c r="G223" s="87" t="s">
        <v>1544</v>
      </c>
      <c r="H223" s="87" t="s">
        <v>50</v>
      </c>
      <c r="I223" s="87" t="s">
        <v>87</v>
      </c>
      <c r="J223" s="90">
        <v>43445</v>
      </c>
      <c r="K223" s="90"/>
      <c r="L223" s="90"/>
      <c r="M223" s="93"/>
      <c r="N223" s="9"/>
      <c r="O223" s="33"/>
      <c r="P223" s="33"/>
      <c r="Q223" s="9"/>
      <c r="R223" s="67"/>
      <c r="S223" s="9"/>
    </row>
    <row r="224" spans="1:19" ht="15" customHeight="1" x14ac:dyDescent="0.25">
      <c r="A224" s="4"/>
      <c r="B224" s="28" t="str">
        <f>IF(ISNUMBER(MATCH(C224, Mgt_Unit!$C$5:$C$1018, 0)), INDEX(Mgt_Unit!$B$5:$B$1018, MATCH(C224, Mgt_Unit!$C$5:$C$1018, 0)), "")</f>
        <v>jennifer.moore</v>
      </c>
      <c r="C224" t="s">
        <v>736</v>
      </c>
      <c r="D224" s="65"/>
      <c r="E224">
        <v>1</v>
      </c>
      <c r="F224" t="s">
        <v>1538</v>
      </c>
      <c r="G224" t="s">
        <v>1544</v>
      </c>
      <c r="H224" t="s">
        <v>50</v>
      </c>
      <c r="I224" t="s">
        <v>87</v>
      </c>
      <c r="J224" s="89"/>
      <c r="K224" s="89">
        <v>42879</v>
      </c>
      <c r="L224" s="89"/>
      <c r="M224" s="31">
        <v>0</v>
      </c>
      <c r="N224" s="9"/>
      <c r="O224" s="33"/>
      <c r="P224" s="33"/>
      <c r="Q224" s="9"/>
      <c r="R224" s="67"/>
      <c r="S224" s="9"/>
    </row>
    <row r="225" spans="1:19" ht="15" customHeight="1" x14ac:dyDescent="0.25">
      <c r="A225" s="4"/>
      <c r="B225" s="28" t="str">
        <f>IF(ISNUMBER(MATCH(C225, Mgt_Unit!$C$5:$C$1018, 0)), INDEX(Mgt_Unit!$B$5:$B$1018, MATCH(C225, Mgt_Unit!$C$5:$C$1018, 0)), "")</f>
        <v>jennifer.moore</v>
      </c>
      <c r="C225" t="s">
        <v>736</v>
      </c>
      <c r="D225" s="65"/>
      <c r="E225">
        <v>2</v>
      </c>
      <c r="F225" t="s">
        <v>1538</v>
      </c>
      <c r="G225" t="s">
        <v>1544</v>
      </c>
      <c r="H225" t="s">
        <v>441</v>
      </c>
      <c r="I225" t="s">
        <v>202</v>
      </c>
      <c r="J225" s="89">
        <v>43110</v>
      </c>
      <c r="K225" s="89">
        <v>43246</v>
      </c>
      <c r="L225" s="89"/>
      <c r="M225" s="31">
        <v>0</v>
      </c>
      <c r="N225" s="9"/>
      <c r="O225" s="33"/>
      <c r="P225" s="33"/>
      <c r="Q225" s="9"/>
      <c r="R225" s="67"/>
      <c r="S225" s="9"/>
    </row>
    <row r="226" spans="1:19" ht="15" customHeight="1" x14ac:dyDescent="0.25">
      <c r="A226" s="4"/>
      <c r="B226" s="28" t="str">
        <f>IF(ISNUMBER(MATCH(C226, Mgt_Unit!$C$5:$C$1018, 0)), INDEX(Mgt_Unit!$B$5:$B$1018, MATCH(C226, Mgt_Unit!$C$5:$C$1018, 0)), "")</f>
        <v>jennifer.moore</v>
      </c>
      <c r="C226" s="87" t="s">
        <v>736</v>
      </c>
      <c r="D226" s="65"/>
      <c r="E226" s="87">
        <v>3</v>
      </c>
      <c r="F226" s="87" t="s">
        <v>1538</v>
      </c>
      <c r="G226" s="87" t="s">
        <v>1544</v>
      </c>
      <c r="H226" s="87" t="s">
        <v>50</v>
      </c>
      <c r="I226" s="87" t="s">
        <v>87</v>
      </c>
      <c r="J226" s="90">
        <v>43445</v>
      </c>
      <c r="K226" s="90"/>
      <c r="L226" s="90"/>
      <c r="M226" s="93"/>
      <c r="N226" s="9"/>
      <c r="O226" s="33"/>
      <c r="P226" s="33"/>
      <c r="Q226" s="9"/>
      <c r="R226" s="67"/>
      <c r="S226" s="9"/>
    </row>
    <row r="227" spans="1:19" ht="15" customHeight="1" x14ac:dyDescent="0.25">
      <c r="A227" s="4"/>
      <c r="B227" s="28" t="str">
        <f>IF(ISNUMBER(MATCH(C227, Mgt_Unit!$C$5:$C$1018, 0)), INDEX(Mgt_Unit!$B$5:$B$1018, MATCH(C227, Mgt_Unit!$C$5:$C$1018, 0)), "")</f>
        <v>jennifer.moore</v>
      </c>
      <c r="C227" t="s">
        <v>737</v>
      </c>
      <c r="D227" s="65"/>
      <c r="E227">
        <v>1</v>
      </c>
      <c r="F227" t="s">
        <v>1538</v>
      </c>
      <c r="G227" t="s">
        <v>1544</v>
      </c>
      <c r="H227" t="s">
        <v>49</v>
      </c>
      <c r="I227" t="s">
        <v>121</v>
      </c>
      <c r="J227" s="89"/>
      <c r="K227" s="89">
        <v>42873</v>
      </c>
      <c r="L227" s="89"/>
      <c r="M227" s="31">
        <v>0</v>
      </c>
      <c r="N227" s="9"/>
      <c r="O227" s="33"/>
      <c r="P227" s="33"/>
      <c r="Q227" s="9"/>
      <c r="R227" s="67"/>
      <c r="S227" s="9"/>
    </row>
    <row r="228" spans="1:19" ht="15" customHeight="1" x14ac:dyDescent="0.25">
      <c r="A228" s="4"/>
      <c r="B228" s="28" t="str">
        <f>IF(ISNUMBER(MATCH(C228, Mgt_Unit!$C$5:$C$1018, 0)), INDEX(Mgt_Unit!$B$5:$B$1018, MATCH(C228, Mgt_Unit!$C$5:$C$1018, 0)), "")</f>
        <v>jennifer.moore</v>
      </c>
      <c r="C228" t="s">
        <v>737</v>
      </c>
      <c r="D228" s="65"/>
      <c r="E228">
        <v>2</v>
      </c>
      <c r="F228" t="s">
        <v>1538</v>
      </c>
      <c r="G228" t="s">
        <v>1544</v>
      </c>
      <c r="H228" t="s">
        <v>441</v>
      </c>
      <c r="I228" t="s">
        <v>202</v>
      </c>
      <c r="J228" s="89">
        <v>43110</v>
      </c>
      <c r="K228" s="89">
        <v>43246</v>
      </c>
      <c r="L228" s="89"/>
      <c r="M228" s="31">
        <v>0</v>
      </c>
      <c r="N228" s="9"/>
      <c r="O228" s="33"/>
      <c r="P228" s="33"/>
      <c r="Q228" s="9"/>
      <c r="R228" s="67"/>
      <c r="S228" s="9"/>
    </row>
    <row r="229" spans="1:19" ht="15" customHeight="1" x14ac:dyDescent="0.25">
      <c r="A229" s="4"/>
      <c r="B229" s="28" t="str">
        <f>IF(ISNUMBER(MATCH(C229, Mgt_Unit!$C$5:$C$1018, 0)), INDEX(Mgt_Unit!$B$5:$B$1018, MATCH(C229, Mgt_Unit!$C$5:$C$1018, 0)), "")</f>
        <v>jennifer.moore</v>
      </c>
      <c r="C229" s="87" t="s">
        <v>737</v>
      </c>
      <c r="D229" s="65"/>
      <c r="E229" s="87">
        <v>3</v>
      </c>
      <c r="F229" s="87" t="s">
        <v>1538</v>
      </c>
      <c r="G229" s="87" t="s">
        <v>1544</v>
      </c>
      <c r="H229" s="87" t="s">
        <v>49</v>
      </c>
      <c r="I229" s="87" t="s">
        <v>121</v>
      </c>
      <c r="J229" s="90">
        <v>43445</v>
      </c>
      <c r="K229" s="90"/>
      <c r="L229" s="90"/>
      <c r="M229" s="93"/>
      <c r="N229" s="9"/>
      <c r="O229" s="33"/>
      <c r="P229" s="33"/>
      <c r="Q229" s="9"/>
      <c r="R229" s="67"/>
      <c r="S229" s="9"/>
    </row>
    <row r="230" spans="1:19" ht="15" customHeight="1" x14ac:dyDescent="0.25">
      <c r="A230" s="4"/>
      <c r="B230" s="28" t="str">
        <f>IF(ISNUMBER(MATCH(C230, Mgt_Unit!$C$5:$C$1018, 0)), INDEX(Mgt_Unit!$B$5:$B$1018, MATCH(C230, Mgt_Unit!$C$5:$C$1018, 0)), "")</f>
        <v>jennifer.moore</v>
      </c>
      <c r="C230" t="s">
        <v>738</v>
      </c>
      <c r="D230" s="65"/>
      <c r="E230">
        <v>1</v>
      </c>
      <c r="F230" t="s">
        <v>1538</v>
      </c>
      <c r="G230" t="s">
        <v>1544</v>
      </c>
      <c r="H230" t="s">
        <v>50</v>
      </c>
      <c r="I230" t="s">
        <v>87</v>
      </c>
      <c r="J230" s="89"/>
      <c r="K230" s="89">
        <v>42879</v>
      </c>
      <c r="L230" s="89"/>
      <c r="M230" s="31">
        <v>0</v>
      </c>
      <c r="N230" s="9"/>
      <c r="O230" s="33"/>
      <c r="P230" s="33"/>
      <c r="Q230" s="9"/>
      <c r="R230" s="67"/>
      <c r="S230" s="9"/>
    </row>
    <row r="231" spans="1:19" ht="15" customHeight="1" x14ac:dyDescent="0.25">
      <c r="A231" s="4"/>
      <c r="B231" s="28" t="str">
        <f>IF(ISNUMBER(MATCH(C231, Mgt_Unit!$C$5:$C$1018, 0)), INDEX(Mgt_Unit!$B$5:$B$1018, MATCH(C231, Mgt_Unit!$C$5:$C$1018, 0)), "")</f>
        <v>jennifer.moore</v>
      </c>
      <c r="C231" t="s">
        <v>738</v>
      </c>
      <c r="D231" s="65"/>
      <c r="E231">
        <v>2</v>
      </c>
      <c r="F231" t="s">
        <v>1538</v>
      </c>
      <c r="G231" t="s">
        <v>1544</v>
      </c>
      <c r="H231" t="s">
        <v>50</v>
      </c>
      <c r="I231" t="s">
        <v>87</v>
      </c>
      <c r="J231" s="89">
        <v>43110</v>
      </c>
      <c r="K231" s="89">
        <v>43277</v>
      </c>
      <c r="L231" s="89"/>
      <c r="M231" s="31">
        <v>0</v>
      </c>
      <c r="N231" s="9"/>
      <c r="O231" s="33"/>
      <c r="P231" s="33"/>
      <c r="Q231" s="9"/>
      <c r="R231" s="67"/>
      <c r="S231" s="9"/>
    </row>
    <row r="232" spans="1:19" ht="15" customHeight="1" x14ac:dyDescent="0.25">
      <c r="A232" s="4"/>
      <c r="B232" s="28" t="str">
        <f>IF(ISNUMBER(MATCH(C232, Mgt_Unit!$C$5:$C$1018, 0)), INDEX(Mgt_Unit!$B$5:$B$1018, MATCH(C232, Mgt_Unit!$C$5:$C$1018, 0)), "")</f>
        <v>jennifer.moore</v>
      </c>
      <c r="C232" s="87" t="s">
        <v>738</v>
      </c>
      <c r="D232" s="65"/>
      <c r="E232" s="87">
        <v>3</v>
      </c>
      <c r="F232" s="87" t="s">
        <v>1538</v>
      </c>
      <c r="G232" s="87" t="s">
        <v>1544</v>
      </c>
      <c r="H232" s="87" t="s">
        <v>50</v>
      </c>
      <c r="I232" s="87" t="s">
        <v>87</v>
      </c>
      <c r="J232" s="90">
        <v>43448</v>
      </c>
      <c r="K232" s="90"/>
      <c r="L232" s="90"/>
      <c r="M232" s="93"/>
      <c r="N232" s="9"/>
      <c r="O232" s="33"/>
      <c r="P232" s="33"/>
      <c r="Q232" s="9"/>
      <c r="R232" s="67"/>
      <c r="S232" s="9"/>
    </row>
    <row r="233" spans="1:19" ht="15" customHeight="1" x14ac:dyDescent="0.25">
      <c r="A233" s="4"/>
      <c r="B233" s="28" t="str">
        <f>IF(ISNUMBER(MATCH(C233, Mgt_Unit!$C$5:$C$1018, 0)), INDEX(Mgt_Unit!$B$5:$B$1018, MATCH(C233, Mgt_Unit!$C$5:$C$1018, 0)), "")</f>
        <v>jennifer.moore</v>
      </c>
      <c r="C233" t="s">
        <v>739</v>
      </c>
      <c r="D233" s="65"/>
      <c r="E233">
        <v>1</v>
      </c>
      <c r="F233" t="s">
        <v>1538</v>
      </c>
      <c r="G233" t="s">
        <v>1544</v>
      </c>
      <c r="H233" t="s">
        <v>49</v>
      </c>
      <c r="I233" t="s">
        <v>121</v>
      </c>
      <c r="J233" s="89"/>
      <c r="K233" s="89">
        <v>42873</v>
      </c>
      <c r="L233" s="89"/>
      <c r="M233" s="31">
        <v>0</v>
      </c>
      <c r="N233" s="9"/>
      <c r="O233" s="33"/>
      <c r="P233" s="33"/>
      <c r="Q233" s="9"/>
      <c r="R233" s="67"/>
      <c r="S233" s="9"/>
    </row>
    <row r="234" spans="1:19" ht="15" customHeight="1" x14ac:dyDescent="0.25">
      <c r="A234" s="4"/>
      <c r="B234" s="28" t="str">
        <f>IF(ISNUMBER(MATCH(C234, Mgt_Unit!$C$5:$C$1018, 0)), INDEX(Mgt_Unit!$B$5:$B$1018, MATCH(C234, Mgt_Unit!$C$5:$C$1018, 0)), "")</f>
        <v>jennifer.moore</v>
      </c>
      <c r="C234" t="s">
        <v>739</v>
      </c>
      <c r="D234" s="65"/>
      <c r="E234">
        <v>2</v>
      </c>
      <c r="F234" t="s">
        <v>1538</v>
      </c>
      <c r="G234" t="s">
        <v>1544</v>
      </c>
      <c r="H234" t="s">
        <v>49</v>
      </c>
      <c r="I234" t="s">
        <v>121</v>
      </c>
      <c r="J234" s="89">
        <v>43110</v>
      </c>
      <c r="K234" s="89">
        <v>43265</v>
      </c>
      <c r="L234" s="89"/>
      <c r="M234" s="31">
        <v>0</v>
      </c>
      <c r="N234" s="9"/>
      <c r="O234" s="33"/>
      <c r="P234" s="33"/>
      <c r="Q234" s="9"/>
      <c r="R234" s="67"/>
      <c r="S234" s="9"/>
    </row>
    <row r="235" spans="1:19" ht="15" customHeight="1" x14ac:dyDescent="0.25">
      <c r="A235" s="4"/>
      <c r="B235" s="28" t="str">
        <f>IF(ISNUMBER(MATCH(C235, Mgt_Unit!$C$5:$C$1018, 0)), INDEX(Mgt_Unit!$B$5:$B$1018, MATCH(C235, Mgt_Unit!$C$5:$C$1018, 0)), "")</f>
        <v>jennifer.moore</v>
      </c>
      <c r="C235" s="87" t="s">
        <v>739</v>
      </c>
      <c r="D235" s="65"/>
      <c r="E235" s="87">
        <v>3</v>
      </c>
      <c r="F235" s="87" t="s">
        <v>1538</v>
      </c>
      <c r="G235" s="87" t="s">
        <v>1544</v>
      </c>
      <c r="H235" s="87" t="s">
        <v>49</v>
      </c>
      <c r="I235" s="87" t="s">
        <v>121</v>
      </c>
      <c r="J235" s="90">
        <v>43445</v>
      </c>
      <c r="K235" s="90"/>
      <c r="L235" s="90"/>
      <c r="M235" s="93"/>
      <c r="N235" s="9"/>
      <c r="O235" s="33"/>
      <c r="P235" s="33"/>
      <c r="Q235" s="9"/>
      <c r="R235" s="67"/>
      <c r="S235" s="9"/>
    </row>
    <row r="236" spans="1:19" ht="15" customHeight="1" x14ac:dyDescent="0.25">
      <c r="A236" s="4"/>
      <c r="B236" s="28" t="str">
        <f>IF(ISNUMBER(MATCH(C236, Mgt_Unit!$C$5:$C$1018, 0)), INDEX(Mgt_Unit!$B$5:$B$1018, MATCH(C236, Mgt_Unit!$C$5:$C$1018, 0)), "")</f>
        <v>jennifer.moore</v>
      </c>
      <c r="C236" t="s">
        <v>740</v>
      </c>
      <c r="D236" s="65"/>
      <c r="E236">
        <v>1</v>
      </c>
      <c r="F236" t="s">
        <v>1538</v>
      </c>
      <c r="G236" t="s">
        <v>1544</v>
      </c>
      <c r="H236" t="s">
        <v>441</v>
      </c>
      <c r="I236" t="s">
        <v>202</v>
      </c>
      <c r="J236" s="89"/>
      <c r="K236" s="89">
        <v>42852</v>
      </c>
      <c r="L236" s="89"/>
      <c r="M236" s="31">
        <v>0</v>
      </c>
      <c r="N236" s="9"/>
      <c r="O236" s="33"/>
      <c r="P236" s="33"/>
      <c r="Q236" s="9"/>
      <c r="R236" s="67"/>
      <c r="S236" s="9"/>
    </row>
    <row r="237" spans="1:19" ht="15" customHeight="1" x14ac:dyDescent="0.25">
      <c r="A237" s="4"/>
      <c r="B237" s="28" t="str">
        <f>IF(ISNUMBER(MATCH(C237, Mgt_Unit!$C$5:$C$1018, 0)), INDEX(Mgt_Unit!$B$5:$B$1018, MATCH(C237, Mgt_Unit!$C$5:$C$1018, 0)), "")</f>
        <v>jennifer.moore</v>
      </c>
      <c r="C237" t="s">
        <v>740</v>
      </c>
      <c r="D237" s="65"/>
      <c r="E237">
        <v>2</v>
      </c>
      <c r="F237" t="s">
        <v>1538</v>
      </c>
      <c r="G237" t="s">
        <v>1544</v>
      </c>
      <c r="H237" t="s">
        <v>441</v>
      </c>
      <c r="I237" t="s">
        <v>202</v>
      </c>
      <c r="J237" s="89">
        <v>43110</v>
      </c>
      <c r="K237" s="89">
        <v>43246</v>
      </c>
      <c r="L237" s="89"/>
      <c r="M237" s="31">
        <v>0</v>
      </c>
      <c r="N237" s="9"/>
      <c r="O237" s="33"/>
      <c r="P237" s="33"/>
      <c r="Q237" s="9"/>
      <c r="R237" s="67"/>
      <c r="S237" s="9"/>
    </row>
    <row r="238" spans="1:19" ht="15" customHeight="1" x14ac:dyDescent="0.25">
      <c r="A238" s="4"/>
      <c r="B238" s="28" t="str">
        <f>IF(ISNUMBER(MATCH(C238, Mgt_Unit!$C$5:$C$1018, 0)), INDEX(Mgt_Unit!$B$5:$B$1018, MATCH(C238, Mgt_Unit!$C$5:$C$1018, 0)), "")</f>
        <v>jennifer.moore</v>
      </c>
      <c r="C238" s="87" t="s">
        <v>740</v>
      </c>
      <c r="D238" s="65"/>
      <c r="E238" s="87">
        <v>3</v>
      </c>
      <c r="F238" s="87" t="s">
        <v>1538</v>
      </c>
      <c r="G238" s="87" t="s">
        <v>1544</v>
      </c>
      <c r="H238" s="87" t="s">
        <v>441</v>
      </c>
      <c r="I238" s="87" t="s">
        <v>202</v>
      </c>
      <c r="J238" s="90">
        <v>43445</v>
      </c>
      <c r="K238" s="90"/>
      <c r="L238" s="90"/>
      <c r="M238" s="93"/>
      <c r="N238" s="9"/>
      <c r="O238" s="33"/>
      <c r="P238" s="33"/>
      <c r="Q238" s="9"/>
      <c r="R238" s="67"/>
      <c r="S238" s="9"/>
    </row>
    <row r="239" spans="1:19" ht="15" customHeight="1" x14ac:dyDescent="0.25">
      <c r="A239" s="4"/>
      <c r="B239" s="28" t="str">
        <f>IF(ISNUMBER(MATCH(C239, Mgt_Unit!$C$5:$C$1018, 0)), INDEX(Mgt_Unit!$B$5:$B$1018, MATCH(C239, Mgt_Unit!$C$5:$C$1018, 0)), "")</f>
        <v>jennifer.moore</v>
      </c>
      <c r="C239" t="s">
        <v>741</v>
      </c>
      <c r="D239" s="65"/>
      <c r="E239">
        <v>1</v>
      </c>
      <c r="F239" t="s">
        <v>1538</v>
      </c>
      <c r="G239" t="s">
        <v>1544</v>
      </c>
      <c r="H239" t="s">
        <v>441</v>
      </c>
      <c r="I239" t="s">
        <v>202</v>
      </c>
      <c r="J239" s="89"/>
      <c r="K239" s="89">
        <v>42852</v>
      </c>
      <c r="L239" s="89"/>
      <c r="M239" s="31">
        <v>0</v>
      </c>
      <c r="N239" s="9"/>
      <c r="O239" s="33"/>
      <c r="P239" s="33"/>
      <c r="Q239" s="9"/>
      <c r="R239" s="67"/>
      <c r="S239" s="9"/>
    </row>
    <row r="240" spans="1:19" ht="15" customHeight="1" x14ac:dyDescent="0.25">
      <c r="A240" s="4"/>
      <c r="B240" s="28" t="str">
        <f>IF(ISNUMBER(MATCH(C240, Mgt_Unit!$C$5:$C$1018, 0)), INDEX(Mgt_Unit!$B$5:$B$1018, MATCH(C240, Mgt_Unit!$C$5:$C$1018, 0)), "")</f>
        <v>jennifer.moore</v>
      </c>
      <c r="C240" t="s">
        <v>741</v>
      </c>
      <c r="D240" s="65"/>
      <c r="E240">
        <v>2</v>
      </c>
      <c r="F240" t="s">
        <v>1538</v>
      </c>
      <c r="G240" t="s">
        <v>1544</v>
      </c>
      <c r="H240" t="s">
        <v>50</v>
      </c>
      <c r="I240" t="s">
        <v>87</v>
      </c>
      <c r="J240" s="89">
        <v>43110</v>
      </c>
      <c r="K240" s="89">
        <v>43277</v>
      </c>
      <c r="L240" s="89"/>
      <c r="M240" s="31">
        <v>0</v>
      </c>
      <c r="N240" s="9"/>
      <c r="O240" s="33"/>
      <c r="P240" s="33"/>
      <c r="Q240" s="9"/>
      <c r="R240" s="67"/>
      <c r="S240" s="9"/>
    </row>
    <row r="241" spans="1:19" ht="15" customHeight="1" x14ac:dyDescent="0.25">
      <c r="A241" s="4"/>
      <c r="B241" s="28" t="str">
        <f>IF(ISNUMBER(MATCH(C241, Mgt_Unit!$C$5:$C$1018, 0)), INDEX(Mgt_Unit!$B$5:$B$1018, MATCH(C241, Mgt_Unit!$C$5:$C$1018, 0)), "")</f>
        <v>jennifer.moore</v>
      </c>
      <c r="C241" s="87" t="s">
        <v>741</v>
      </c>
      <c r="D241" s="65"/>
      <c r="E241" s="87">
        <v>3</v>
      </c>
      <c r="F241" s="87" t="s">
        <v>1538</v>
      </c>
      <c r="G241" s="87" t="s">
        <v>1544</v>
      </c>
      <c r="H241" s="87" t="s">
        <v>441</v>
      </c>
      <c r="I241" s="87" t="s">
        <v>202</v>
      </c>
      <c r="J241" s="90">
        <v>43445</v>
      </c>
      <c r="K241" s="90"/>
      <c r="L241" s="90"/>
      <c r="M241" s="93"/>
      <c r="N241" s="9"/>
      <c r="O241" s="33"/>
      <c r="P241" s="33"/>
      <c r="Q241" s="9"/>
      <c r="R241" s="67"/>
      <c r="S241" s="9"/>
    </row>
    <row r="242" spans="1:19" ht="15" customHeight="1" x14ac:dyDescent="0.25">
      <c r="A242" s="4"/>
      <c r="B242" s="28" t="str">
        <f>IF(ISNUMBER(MATCH(C242, Mgt_Unit!$C$5:$C$1018, 0)), INDEX(Mgt_Unit!$B$5:$B$1018, MATCH(C242, Mgt_Unit!$C$5:$C$1018, 0)), "")</f>
        <v>jennifer.moore</v>
      </c>
      <c r="C242" t="s">
        <v>742</v>
      </c>
      <c r="D242" s="65"/>
      <c r="E242">
        <v>1</v>
      </c>
      <c r="F242" t="s">
        <v>1538</v>
      </c>
      <c r="G242" t="s">
        <v>1544</v>
      </c>
      <c r="H242" t="s">
        <v>49</v>
      </c>
      <c r="I242" t="s">
        <v>121</v>
      </c>
      <c r="J242" s="89"/>
      <c r="K242" s="89">
        <v>42873</v>
      </c>
      <c r="L242" s="89"/>
      <c r="M242" s="31">
        <v>0</v>
      </c>
      <c r="N242" s="9"/>
      <c r="O242" s="33"/>
      <c r="P242" s="33"/>
      <c r="Q242" s="9"/>
      <c r="R242" s="67"/>
      <c r="S242" s="9"/>
    </row>
    <row r="243" spans="1:19" ht="15" customHeight="1" x14ac:dyDescent="0.25">
      <c r="A243" s="4"/>
      <c r="B243" s="28" t="str">
        <f>IF(ISNUMBER(MATCH(C243, Mgt_Unit!$C$5:$C$1018, 0)), INDEX(Mgt_Unit!$B$5:$B$1018, MATCH(C243, Mgt_Unit!$C$5:$C$1018, 0)), "")</f>
        <v>jennifer.moore</v>
      </c>
      <c r="C243" t="s">
        <v>742</v>
      </c>
      <c r="D243" s="65"/>
      <c r="E243">
        <v>2</v>
      </c>
      <c r="F243" t="s">
        <v>1538</v>
      </c>
      <c r="G243" t="s">
        <v>1544</v>
      </c>
      <c r="H243" t="s">
        <v>50</v>
      </c>
      <c r="I243" t="s">
        <v>87</v>
      </c>
      <c r="J243" s="89">
        <v>43110</v>
      </c>
      <c r="K243" s="89">
        <v>43277</v>
      </c>
      <c r="L243" s="89"/>
      <c r="M243" s="31">
        <v>0</v>
      </c>
      <c r="N243" s="9"/>
      <c r="O243" s="33"/>
      <c r="P243" s="33"/>
      <c r="Q243" s="9"/>
      <c r="R243" s="67"/>
      <c r="S243" s="9"/>
    </row>
    <row r="244" spans="1:19" ht="15" customHeight="1" x14ac:dyDescent="0.25">
      <c r="A244" s="4"/>
      <c r="B244" s="28" t="str">
        <f>IF(ISNUMBER(MATCH(C244, Mgt_Unit!$C$5:$C$1018, 0)), INDEX(Mgt_Unit!$B$5:$B$1018, MATCH(C244, Mgt_Unit!$C$5:$C$1018, 0)), "")</f>
        <v>jennifer.moore</v>
      </c>
      <c r="C244" s="87" t="s">
        <v>742</v>
      </c>
      <c r="D244" s="65"/>
      <c r="E244" s="87">
        <v>3</v>
      </c>
      <c r="F244" s="87" t="s">
        <v>1538</v>
      </c>
      <c r="G244" s="87" t="s">
        <v>1544</v>
      </c>
      <c r="H244" s="87" t="s">
        <v>49</v>
      </c>
      <c r="I244" s="87" t="s">
        <v>121</v>
      </c>
      <c r="J244" s="90">
        <v>43445</v>
      </c>
      <c r="K244" s="90"/>
      <c r="L244" s="90"/>
      <c r="M244" s="93"/>
      <c r="N244" s="9"/>
      <c r="O244" s="33"/>
      <c r="P244" s="33"/>
      <c r="Q244" s="9"/>
      <c r="R244" s="67"/>
      <c r="S244" s="9"/>
    </row>
    <row r="245" spans="1:19" ht="15" customHeight="1" x14ac:dyDescent="0.25">
      <c r="A245" s="4"/>
      <c r="B245" s="28" t="str">
        <f>IF(ISNUMBER(MATCH(C245, Mgt_Unit!$C$5:$C$1018, 0)), INDEX(Mgt_Unit!$B$5:$B$1018, MATCH(C245, Mgt_Unit!$C$5:$C$1018, 0)), "")</f>
        <v>jennifer.moore</v>
      </c>
      <c r="C245" t="s">
        <v>743</v>
      </c>
      <c r="D245" s="65"/>
      <c r="E245">
        <v>1</v>
      </c>
      <c r="F245" t="s">
        <v>1538</v>
      </c>
      <c r="G245" t="s">
        <v>1544</v>
      </c>
      <c r="H245" t="s">
        <v>49</v>
      </c>
      <c r="I245" t="s">
        <v>121</v>
      </c>
      <c r="J245" s="89"/>
      <c r="K245" s="89">
        <v>42873</v>
      </c>
      <c r="L245" s="89"/>
      <c r="M245" s="31">
        <v>0</v>
      </c>
      <c r="N245" s="9"/>
      <c r="O245" s="33"/>
      <c r="P245" s="33"/>
      <c r="Q245" s="9"/>
      <c r="R245" s="67"/>
      <c r="S245" s="9"/>
    </row>
    <row r="246" spans="1:19" ht="15" customHeight="1" x14ac:dyDescent="0.25">
      <c r="A246" s="4"/>
      <c r="B246" s="28" t="str">
        <f>IF(ISNUMBER(MATCH(C246, Mgt_Unit!$C$5:$C$1018, 0)), INDEX(Mgt_Unit!$B$5:$B$1018, MATCH(C246, Mgt_Unit!$C$5:$C$1018, 0)), "")</f>
        <v>jennifer.moore</v>
      </c>
      <c r="C246" t="s">
        <v>743</v>
      </c>
      <c r="D246" s="65"/>
      <c r="E246">
        <v>2</v>
      </c>
      <c r="F246" t="s">
        <v>1538</v>
      </c>
      <c r="G246" t="s">
        <v>1544</v>
      </c>
      <c r="H246" t="s">
        <v>49</v>
      </c>
      <c r="I246" t="s">
        <v>121</v>
      </c>
      <c r="J246" s="89">
        <v>43110</v>
      </c>
      <c r="K246" s="89">
        <v>43265</v>
      </c>
      <c r="L246" s="89"/>
      <c r="M246" s="31">
        <v>0</v>
      </c>
      <c r="N246" s="9"/>
      <c r="O246" s="33"/>
      <c r="P246" s="33"/>
      <c r="Q246" s="9"/>
      <c r="R246" s="67"/>
      <c r="S246" s="9"/>
    </row>
    <row r="247" spans="1:19" ht="15" customHeight="1" x14ac:dyDescent="0.25">
      <c r="A247" s="4"/>
      <c r="B247" s="28" t="str">
        <f>IF(ISNUMBER(MATCH(C247, Mgt_Unit!$C$5:$C$1018, 0)), INDEX(Mgt_Unit!$B$5:$B$1018, MATCH(C247, Mgt_Unit!$C$5:$C$1018, 0)), "")</f>
        <v>jennifer.moore</v>
      </c>
      <c r="C247" s="87" t="s">
        <v>743</v>
      </c>
      <c r="D247" s="65"/>
      <c r="E247" s="87">
        <v>3</v>
      </c>
      <c r="F247" s="87" t="s">
        <v>1538</v>
      </c>
      <c r="G247" s="87" t="s">
        <v>1544</v>
      </c>
      <c r="H247" s="87" t="s">
        <v>49</v>
      </c>
      <c r="I247" s="87" t="s">
        <v>121</v>
      </c>
      <c r="J247" s="90">
        <v>43445</v>
      </c>
      <c r="K247" s="90"/>
      <c r="L247" s="90"/>
      <c r="M247" s="93"/>
      <c r="N247" s="9"/>
      <c r="O247" s="33"/>
      <c r="P247" s="33"/>
      <c r="Q247" s="9"/>
      <c r="R247" s="67"/>
      <c r="S247" s="9"/>
    </row>
    <row r="248" spans="1:19" ht="15" customHeight="1" x14ac:dyDescent="0.25">
      <c r="A248" s="4"/>
      <c r="B248" s="28" t="str">
        <f>IF(ISNUMBER(MATCH(C248, Mgt_Unit!$C$5:$C$1018, 0)), INDEX(Mgt_Unit!$B$5:$B$1018, MATCH(C248, Mgt_Unit!$C$5:$C$1018, 0)), "")</f>
        <v>jennifer.moore</v>
      </c>
      <c r="C248" t="s">
        <v>744</v>
      </c>
      <c r="D248" s="65"/>
      <c r="E248">
        <v>1</v>
      </c>
      <c r="F248" t="s">
        <v>1538</v>
      </c>
      <c r="G248" t="s">
        <v>1544</v>
      </c>
      <c r="H248" t="s">
        <v>441</v>
      </c>
      <c r="I248" t="s">
        <v>202</v>
      </c>
      <c r="J248" s="89"/>
      <c r="K248" s="89">
        <v>42852</v>
      </c>
      <c r="L248" s="89"/>
      <c r="M248" s="31">
        <v>0</v>
      </c>
      <c r="N248" s="9"/>
      <c r="O248" s="33"/>
      <c r="P248" s="33"/>
      <c r="Q248" s="9"/>
      <c r="R248" s="67"/>
      <c r="S248" s="9"/>
    </row>
    <row r="249" spans="1:19" ht="15" customHeight="1" x14ac:dyDescent="0.25">
      <c r="A249" s="4"/>
      <c r="B249" s="28" t="str">
        <f>IF(ISNUMBER(MATCH(C249, Mgt_Unit!$C$5:$C$1018, 0)), INDEX(Mgt_Unit!$B$5:$B$1018, MATCH(C249, Mgt_Unit!$C$5:$C$1018, 0)), "")</f>
        <v>jennifer.moore</v>
      </c>
      <c r="C249" t="s">
        <v>744</v>
      </c>
      <c r="D249" s="65"/>
      <c r="E249">
        <v>2</v>
      </c>
      <c r="F249" t="s">
        <v>1538</v>
      </c>
      <c r="G249" t="s">
        <v>1544</v>
      </c>
      <c r="H249" t="s">
        <v>49</v>
      </c>
      <c r="I249" t="s">
        <v>121</v>
      </c>
      <c r="J249" s="89">
        <v>43110</v>
      </c>
      <c r="K249" s="89">
        <v>43265</v>
      </c>
      <c r="L249" s="89"/>
      <c r="M249" s="31">
        <v>0</v>
      </c>
      <c r="N249" s="9"/>
      <c r="O249" s="33"/>
      <c r="P249" s="33"/>
      <c r="Q249" s="9"/>
      <c r="R249" s="67"/>
      <c r="S249" s="9"/>
    </row>
    <row r="250" spans="1:19" ht="15" customHeight="1" x14ac:dyDescent="0.25">
      <c r="A250" s="4"/>
      <c r="B250" s="28" t="str">
        <f>IF(ISNUMBER(MATCH(C250, Mgt_Unit!$C$5:$C$1018, 0)), INDEX(Mgt_Unit!$B$5:$B$1018, MATCH(C250, Mgt_Unit!$C$5:$C$1018, 0)), "")</f>
        <v>jennifer.moore</v>
      </c>
      <c r="C250" s="87" t="s">
        <v>744</v>
      </c>
      <c r="D250" s="65"/>
      <c r="E250" s="87">
        <v>3</v>
      </c>
      <c r="F250" s="87" t="s">
        <v>1538</v>
      </c>
      <c r="G250" s="87" t="s">
        <v>1544</v>
      </c>
      <c r="H250" s="87" t="s">
        <v>441</v>
      </c>
      <c r="I250" s="87" t="s">
        <v>202</v>
      </c>
      <c r="J250" s="90">
        <v>43445</v>
      </c>
      <c r="K250" s="90"/>
      <c r="L250" s="90"/>
      <c r="M250" s="93"/>
      <c r="N250" s="9"/>
      <c r="O250" s="33"/>
      <c r="P250" s="33"/>
      <c r="Q250" s="9"/>
      <c r="R250" s="67"/>
      <c r="S250" s="9"/>
    </row>
    <row r="251" spans="1:19" ht="15" customHeight="1" x14ac:dyDescent="0.25">
      <c r="A251" s="4"/>
      <c r="B251" s="28" t="str">
        <f>IF(ISNUMBER(MATCH(C251, Mgt_Unit!$C$5:$C$1018, 0)), INDEX(Mgt_Unit!$B$5:$B$1018, MATCH(C251, Mgt_Unit!$C$5:$C$1018, 0)), "")</f>
        <v>jennifer.moore</v>
      </c>
      <c r="C251" t="s">
        <v>745</v>
      </c>
      <c r="D251" s="65"/>
      <c r="E251">
        <v>1</v>
      </c>
      <c r="F251" t="s">
        <v>1538</v>
      </c>
      <c r="G251" t="s">
        <v>1544</v>
      </c>
      <c r="H251" t="s">
        <v>49</v>
      </c>
      <c r="I251" t="s">
        <v>121</v>
      </c>
      <c r="J251" s="89"/>
      <c r="K251" s="89">
        <v>42873</v>
      </c>
      <c r="L251" s="89"/>
      <c r="M251" s="31">
        <v>0</v>
      </c>
      <c r="N251" s="9"/>
      <c r="O251" s="33"/>
      <c r="P251" s="33"/>
      <c r="Q251" s="9"/>
      <c r="R251" s="67"/>
      <c r="S251" s="9"/>
    </row>
    <row r="252" spans="1:19" ht="15" customHeight="1" x14ac:dyDescent="0.25">
      <c r="A252" s="4"/>
      <c r="B252" s="28" t="str">
        <f>IF(ISNUMBER(MATCH(C252, Mgt_Unit!$C$5:$C$1018, 0)), INDEX(Mgt_Unit!$B$5:$B$1018, MATCH(C252, Mgt_Unit!$C$5:$C$1018, 0)), "")</f>
        <v>jennifer.moore</v>
      </c>
      <c r="C252" t="s">
        <v>745</v>
      </c>
      <c r="D252" s="65"/>
      <c r="E252">
        <v>2</v>
      </c>
      <c r="F252" t="s">
        <v>1538</v>
      </c>
      <c r="G252" t="s">
        <v>1544</v>
      </c>
      <c r="H252" t="s">
        <v>50</v>
      </c>
      <c r="I252" t="s">
        <v>87</v>
      </c>
      <c r="J252" s="89">
        <v>43110</v>
      </c>
      <c r="K252" s="89">
        <v>43277</v>
      </c>
      <c r="L252" s="89"/>
      <c r="M252" s="31">
        <v>0</v>
      </c>
      <c r="N252" s="9"/>
      <c r="O252" s="33"/>
      <c r="P252" s="33"/>
      <c r="Q252" s="9"/>
      <c r="R252" s="67"/>
      <c r="S252" s="9"/>
    </row>
    <row r="253" spans="1:19" ht="15" customHeight="1" x14ac:dyDescent="0.25">
      <c r="A253" s="4"/>
      <c r="B253" s="28" t="str">
        <f>IF(ISNUMBER(MATCH(C253, Mgt_Unit!$C$5:$C$1018, 0)), INDEX(Mgt_Unit!$B$5:$B$1018, MATCH(C253, Mgt_Unit!$C$5:$C$1018, 0)), "")</f>
        <v>jennifer.moore</v>
      </c>
      <c r="C253" s="87" t="s">
        <v>745</v>
      </c>
      <c r="D253" s="65"/>
      <c r="E253" s="87">
        <v>3</v>
      </c>
      <c r="F253" s="87" t="s">
        <v>1538</v>
      </c>
      <c r="G253" s="87" t="s">
        <v>1544</v>
      </c>
      <c r="H253" s="87" t="s">
        <v>49</v>
      </c>
      <c r="I253" s="87" t="s">
        <v>121</v>
      </c>
      <c r="J253" s="90">
        <v>43445</v>
      </c>
      <c r="K253" s="90"/>
      <c r="L253" s="90"/>
      <c r="M253" s="93"/>
      <c r="N253" s="9"/>
      <c r="O253" s="33"/>
      <c r="P253" s="33"/>
      <c r="Q253" s="9"/>
      <c r="R253" s="67"/>
      <c r="S253" s="9"/>
    </row>
    <row r="254" spans="1:19" ht="15" customHeight="1" x14ac:dyDescent="0.25">
      <c r="A254" s="4"/>
      <c r="B254" s="28" t="str">
        <f>IF(ISNUMBER(MATCH(C254, Mgt_Unit!$C$5:$C$1018, 0)), INDEX(Mgt_Unit!$B$5:$B$1018, MATCH(C254, Mgt_Unit!$C$5:$C$1018, 0)), "")</f>
        <v>jennifer.moore</v>
      </c>
      <c r="C254" t="s">
        <v>746</v>
      </c>
      <c r="D254" s="65"/>
      <c r="E254">
        <v>1</v>
      </c>
      <c r="F254" t="s">
        <v>1538</v>
      </c>
      <c r="G254" t="s">
        <v>1544</v>
      </c>
      <c r="H254" t="s">
        <v>441</v>
      </c>
      <c r="I254" t="s">
        <v>202</v>
      </c>
      <c r="J254" s="89"/>
      <c r="K254" s="89">
        <v>42852</v>
      </c>
      <c r="L254" s="89"/>
      <c r="M254" s="31">
        <v>0</v>
      </c>
      <c r="N254" s="9"/>
      <c r="O254" s="33"/>
      <c r="P254" s="33"/>
      <c r="Q254" s="9"/>
      <c r="R254" s="67"/>
      <c r="S254" s="9"/>
    </row>
    <row r="255" spans="1:19" ht="15" customHeight="1" x14ac:dyDescent="0.25">
      <c r="A255" s="4"/>
      <c r="B255" s="28" t="str">
        <f>IF(ISNUMBER(MATCH(C255, Mgt_Unit!$C$5:$C$1018, 0)), INDEX(Mgt_Unit!$B$5:$B$1018, MATCH(C255, Mgt_Unit!$C$5:$C$1018, 0)), "")</f>
        <v>jennifer.moore</v>
      </c>
      <c r="C255" t="s">
        <v>746</v>
      </c>
      <c r="D255" s="65"/>
      <c r="E255">
        <v>2</v>
      </c>
      <c r="F255" t="s">
        <v>1538</v>
      </c>
      <c r="G255" t="s">
        <v>1544</v>
      </c>
      <c r="H255" t="s">
        <v>441</v>
      </c>
      <c r="I255" t="s">
        <v>202</v>
      </c>
      <c r="J255" s="89">
        <v>43110</v>
      </c>
      <c r="K255" s="89">
        <v>43246</v>
      </c>
      <c r="L255" s="89"/>
      <c r="M255" s="31">
        <v>0</v>
      </c>
      <c r="N255" s="9"/>
      <c r="O255" s="33"/>
      <c r="P255" s="33"/>
      <c r="Q255" s="9"/>
      <c r="R255" s="67"/>
      <c r="S255" s="9"/>
    </row>
    <row r="256" spans="1:19" ht="15" customHeight="1" x14ac:dyDescent="0.25">
      <c r="A256" s="4"/>
      <c r="B256" s="28" t="str">
        <f>IF(ISNUMBER(MATCH(C256, Mgt_Unit!$C$5:$C$1018, 0)), INDEX(Mgt_Unit!$B$5:$B$1018, MATCH(C256, Mgt_Unit!$C$5:$C$1018, 0)), "")</f>
        <v>jennifer.moore</v>
      </c>
      <c r="C256" s="87" t="s">
        <v>746</v>
      </c>
      <c r="D256" s="65"/>
      <c r="E256" s="87">
        <v>3</v>
      </c>
      <c r="F256" s="87" t="s">
        <v>1538</v>
      </c>
      <c r="G256" s="87" t="s">
        <v>1544</v>
      </c>
      <c r="H256" s="87" t="s">
        <v>441</v>
      </c>
      <c r="I256" s="87" t="s">
        <v>202</v>
      </c>
      <c r="J256" s="90">
        <v>43445</v>
      </c>
      <c r="K256" s="90"/>
      <c r="L256" s="90"/>
      <c r="M256" s="93"/>
      <c r="N256" s="9"/>
      <c r="O256" s="33"/>
      <c r="P256" s="33"/>
      <c r="Q256" s="9"/>
      <c r="R256" s="67"/>
      <c r="S256" s="9"/>
    </row>
    <row r="257" spans="1:19" ht="15" customHeight="1" x14ac:dyDescent="0.25">
      <c r="A257" s="4"/>
      <c r="B257" s="28" t="str">
        <f>IF(ISNUMBER(MATCH(C257, Mgt_Unit!$C$5:$C$1018, 0)), INDEX(Mgt_Unit!$B$5:$B$1018, MATCH(C257, Mgt_Unit!$C$5:$C$1018, 0)), "")</f>
        <v>jennifer.moore</v>
      </c>
      <c r="C257" t="s">
        <v>747</v>
      </c>
      <c r="D257" s="65"/>
      <c r="E257">
        <v>1</v>
      </c>
      <c r="F257" t="s">
        <v>1538</v>
      </c>
      <c r="G257" t="s">
        <v>1544</v>
      </c>
      <c r="H257" t="s">
        <v>441</v>
      </c>
      <c r="I257" t="s">
        <v>195</v>
      </c>
      <c r="J257" s="89"/>
      <c r="K257" s="89">
        <v>43233</v>
      </c>
      <c r="L257" s="89"/>
      <c r="M257" s="31">
        <v>0</v>
      </c>
      <c r="N257" s="9"/>
      <c r="O257" s="33"/>
      <c r="P257" s="33"/>
      <c r="Q257" s="9"/>
      <c r="R257" s="67"/>
      <c r="S257" s="9"/>
    </row>
    <row r="258" spans="1:19" ht="15" customHeight="1" x14ac:dyDescent="0.25">
      <c r="A258" s="4"/>
      <c r="B258" s="28" t="str">
        <f>IF(ISNUMBER(MATCH(C258, Mgt_Unit!$C$5:$C$1018, 0)), INDEX(Mgt_Unit!$B$5:$B$1018, MATCH(C258, Mgt_Unit!$C$5:$C$1018, 0)), "")</f>
        <v>jennifer.moore</v>
      </c>
      <c r="C258" t="s">
        <v>747</v>
      </c>
      <c r="D258" s="65"/>
      <c r="E258">
        <v>2</v>
      </c>
      <c r="F258" t="s">
        <v>1538</v>
      </c>
      <c r="G258" t="s">
        <v>1544</v>
      </c>
      <c r="H258" t="s">
        <v>50</v>
      </c>
      <c r="I258" t="s">
        <v>87</v>
      </c>
      <c r="J258" s="89">
        <v>43266</v>
      </c>
      <c r="K258" s="89">
        <v>43388</v>
      </c>
      <c r="L258" s="89"/>
      <c r="M258" s="31">
        <v>0</v>
      </c>
      <c r="N258" s="9"/>
      <c r="O258" s="33"/>
      <c r="P258" s="33"/>
      <c r="Q258" s="9"/>
      <c r="R258" s="67"/>
      <c r="S258" s="9"/>
    </row>
    <row r="259" spans="1:19" ht="15" customHeight="1" x14ac:dyDescent="0.25">
      <c r="A259" s="4"/>
      <c r="B259" s="28" t="str">
        <f>IF(ISNUMBER(MATCH(C259, Mgt_Unit!$C$5:$C$1018, 0)), INDEX(Mgt_Unit!$B$5:$B$1018, MATCH(C259, Mgt_Unit!$C$5:$C$1018, 0)), "")</f>
        <v>jennifer.moore</v>
      </c>
      <c r="C259" s="87" t="s">
        <v>747</v>
      </c>
      <c r="D259" s="65"/>
      <c r="E259" s="87">
        <v>3</v>
      </c>
      <c r="F259" s="87" t="s">
        <v>1538</v>
      </c>
      <c r="G259" s="87" t="s">
        <v>1544</v>
      </c>
      <c r="H259" s="87" t="s">
        <v>441</v>
      </c>
      <c r="I259" s="87" t="s">
        <v>195</v>
      </c>
      <c r="J259" s="90">
        <v>43439</v>
      </c>
      <c r="K259" s="90"/>
      <c r="L259" s="90"/>
      <c r="M259" s="93"/>
      <c r="N259" s="9"/>
      <c r="O259" s="33"/>
      <c r="P259" s="33"/>
      <c r="Q259" s="9"/>
      <c r="R259" s="67"/>
      <c r="S259" s="9"/>
    </row>
    <row r="260" spans="1:19" ht="15" customHeight="1" x14ac:dyDescent="0.25">
      <c r="A260" s="4"/>
      <c r="B260" s="28" t="str">
        <f>IF(ISNUMBER(MATCH(C260, Mgt_Unit!$C$5:$C$1018, 0)), INDEX(Mgt_Unit!$B$5:$B$1018, MATCH(C260, Mgt_Unit!$C$5:$C$1018, 0)), "")</f>
        <v>jennifer.moore</v>
      </c>
      <c r="C260" t="s">
        <v>748</v>
      </c>
      <c r="D260" s="65"/>
      <c r="E260">
        <v>1</v>
      </c>
      <c r="F260" t="s">
        <v>1538</v>
      </c>
      <c r="G260" t="s">
        <v>1544</v>
      </c>
      <c r="H260" t="s">
        <v>441</v>
      </c>
      <c r="I260" t="s">
        <v>195</v>
      </c>
      <c r="J260" s="89"/>
      <c r="K260" s="89">
        <v>43233</v>
      </c>
      <c r="L260" s="89"/>
      <c r="M260" s="31">
        <v>0</v>
      </c>
      <c r="N260" s="9"/>
      <c r="O260" s="33"/>
      <c r="P260" s="33"/>
      <c r="Q260" s="9"/>
      <c r="R260" s="67"/>
      <c r="S260" s="9"/>
    </row>
    <row r="261" spans="1:19" ht="15" customHeight="1" x14ac:dyDescent="0.25">
      <c r="A261" s="4"/>
      <c r="B261" s="28" t="str">
        <f>IF(ISNUMBER(MATCH(C261, Mgt_Unit!$C$5:$C$1018, 0)), INDEX(Mgt_Unit!$B$5:$B$1018, MATCH(C261, Mgt_Unit!$C$5:$C$1018, 0)), "")</f>
        <v>jennifer.moore</v>
      </c>
      <c r="C261" t="s">
        <v>748</v>
      </c>
      <c r="D261" s="65"/>
      <c r="E261">
        <v>2</v>
      </c>
      <c r="F261" t="s">
        <v>1538</v>
      </c>
      <c r="G261" t="s">
        <v>1544</v>
      </c>
      <c r="H261" t="s">
        <v>50</v>
      </c>
      <c r="I261" t="s">
        <v>87</v>
      </c>
      <c r="J261" s="89">
        <v>43266</v>
      </c>
      <c r="K261" s="89">
        <v>43388</v>
      </c>
      <c r="L261" s="89"/>
      <c r="M261" s="31">
        <v>0</v>
      </c>
      <c r="N261" s="9"/>
      <c r="O261" s="33"/>
      <c r="P261" s="33"/>
      <c r="Q261" s="9"/>
      <c r="R261" s="67"/>
      <c r="S261" s="9"/>
    </row>
    <row r="262" spans="1:19" ht="15" customHeight="1" x14ac:dyDescent="0.25">
      <c r="A262" s="4"/>
      <c r="B262" s="28" t="str">
        <f>IF(ISNUMBER(MATCH(C262, Mgt_Unit!$C$5:$C$1018, 0)), INDEX(Mgt_Unit!$B$5:$B$1018, MATCH(C262, Mgt_Unit!$C$5:$C$1018, 0)), "")</f>
        <v>jennifer.moore</v>
      </c>
      <c r="C262" s="87" t="s">
        <v>748</v>
      </c>
      <c r="D262" s="65"/>
      <c r="E262" s="87">
        <v>3</v>
      </c>
      <c r="F262" s="87" t="s">
        <v>1538</v>
      </c>
      <c r="G262" s="87" t="s">
        <v>1544</v>
      </c>
      <c r="H262" s="87" t="s">
        <v>441</v>
      </c>
      <c r="I262" s="87" t="s">
        <v>195</v>
      </c>
      <c r="J262" s="90">
        <v>43439</v>
      </c>
      <c r="K262" s="90"/>
      <c r="L262" s="90"/>
      <c r="M262" s="93"/>
      <c r="N262" s="9"/>
      <c r="O262" s="33"/>
      <c r="P262" s="33"/>
      <c r="Q262" s="9"/>
      <c r="R262" s="67"/>
      <c r="S262" s="9"/>
    </row>
    <row r="263" spans="1:19" ht="15" customHeight="1" x14ac:dyDescent="0.25">
      <c r="A263" s="4"/>
      <c r="B263" s="28" t="str">
        <f>IF(ISNUMBER(MATCH(C263, Mgt_Unit!$C$5:$C$1018, 0)), INDEX(Mgt_Unit!$B$5:$B$1018, MATCH(C263, Mgt_Unit!$C$5:$C$1018, 0)), "")</f>
        <v>jennifer.moore</v>
      </c>
      <c r="C263" t="s">
        <v>749</v>
      </c>
      <c r="D263" s="65"/>
      <c r="E263">
        <v>1</v>
      </c>
      <c r="F263" t="s">
        <v>1538</v>
      </c>
      <c r="G263" t="s">
        <v>1544</v>
      </c>
      <c r="H263" t="s">
        <v>441</v>
      </c>
      <c r="I263" t="s">
        <v>195</v>
      </c>
      <c r="J263" s="89"/>
      <c r="K263" s="89">
        <v>43233</v>
      </c>
      <c r="L263" s="89"/>
      <c r="M263" s="31">
        <v>100</v>
      </c>
      <c r="N263" s="9"/>
      <c r="O263" s="33"/>
      <c r="P263" s="33"/>
      <c r="Q263" s="9"/>
      <c r="R263" s="67"/>
      <c r="S263" s="9"/>
    </row>
    <row r="264" spans="1:19" ht="15" customHeight="1" x14ac:dyDescent="0.25">
      <c r="A264" s="4"/>
      <c r="B264" s="28" t="str">
        <f>IF(ISNUMBER(MATCH(C264, Mgt_Unit!$C$5:$C$1018, 0)), INDEX(Mgt_Unit!$B$5:$B$1018, MATCH(C264, Mgt_Unit!$C$5:$C$1018, 0)), "")</f>
        <v>jennifer.moore</v>
      </c>
      <c r="C264" t="s">
        <v>749</v>
      </c>
      <c r="D264" s="65"/>
      <c r="E264">
        <v>2</v>
      </c>
      <c r="F264" t="s">
        <v>1538</v>
      </c>
      <c r="G264" t="s">
        <v>1544</v>
      </c>
      <c r="H264" t="s">
        <v>50</v>
      </c>
      <c r="I264" t="s">
        <v>87</v>
      </c>
      <c r="J264" s="89">
        <v>43266</v>
      </c>
      <c r="K264" s="89">
        <v>43388</v>
      </c>
      <c r="L264" s="89"/>
      <c r="M264" s="31">
        <v>100</v>
      </c>
      <c r="N264" s="9"/>
      <c r="O264" s="33"/>
      <c r="P264" s="33"/>
      <c r="Q264" s="9"/>
      <c r="R264" s="67"/>
      <c r="S264" s="9"/>
    </row>
    <row r="265" spans="1:19" ht="15" customHeight="1" x14ac:dyDescent="0.25">
      <c r="A265" s="4"/>
      <c r="B265" s="28" t="str">
        <f>IF(ISNUMBER(MATCH(C265, Mgt_Unit!$C$5:$C$1018, 0)), INDEX(Mgt_Unit!$B$5:$B$1018, MATCH(C265, Mgt_Unit!$C$5:$C$1018, 0)), "")</f>
        <v>jennifer.moore</v>
      </c>
      <c r="C265" s="87" t="s">
        <v>749</v>
      </c>
      <c r="D265" s="65"/>
      <c r="E265" s="87">
        <v>3</v>
      </c>
      <c r="F265" s="87" t="s">
        <v>1538</v>
      </c>
      <c r="G265" s="87" t="s">
        <v>1544</v>
      </c>
      <c r="H265" s="87" t="s">
        <v>441</v>
      </c>
      <c r="I265" s="87" t="s">
        <v>195</v>
      </c>
      <c r="J265" s="90">
        <v>43439</v>
      </c>
      <c r="K265" s="90"/>
      <c r="L265" s="90"/>
      <c r="M265" s="93"/>
      <c r="N265" s="9"/>
      <c r="O265" s="33"/>
      <c r="P265" s="33"/>
      <c r="Q265" s="9"/>
      <c r="R265" s="67"/>
      <c r="S265" s="9"/>
    </row>
    <row r="266" spans="1:19" ht="15" customHeight="1" x14ac:dyDescent="0.25">
      <c r="A266" s="4"/>
      <c r="B266" s="28" t="str">
        <f>IF(ISNUMBER(MATCH(C266, Mgt_Unit!$C$5:$C$1018, 0)), INDEX(Mgt_Unit!$B$5:$B$1018, MATCH(C266, Mgt_Unit!$C$5:$C$1018, 0)), "")</f>
        <v>jennifer.moore</v>
      </c>
      <c r="C266" t="s">
        <v>750</v>
      </c>
      <c r="D266" s="65"/>
      <c r="E266">
        <v>1</v>
      </c>
      <c r="F266" t="s">
        <v>1538</v>
      </c>
      <c r="G266" t="s">
        <v>1544</v>
      </c>
      <c r="H266" t="s">
        <v>441</v>
      </c>
      <c r="I266" t="s">
        <v>195</v>
      </c>
      <c r="J266" s="89"/>
      <c r="K266" s="89">
        <v>43233</v>
      </c>
      <c r="L266" s="89"/>
      <c r="M266" s="31">
        <v>75</v>
      </c>
      <c r="N266" s="9"/>
      <c r="O266" s="33"/>
      <c r="P266" s="33"/>
      <c r="Q266" s="9"/>
      <c r="R266" s="67"/>
      <c r="S266" s="9"/>
    </row>
    <row r="267" spans="1:19" ht="15" customHeight="1" x14ac:dyDescent="0.25">
      <c r="A267" s="4"/>
      <c r="B267" s="28" t="str">
        <f>IF(ISNUMBER(MATCH(C267, Mgt_Unit!$C$5:$C$1018, 0)), INDEX(Mgt_Unit!$B$5:$B$1018, MATCH(C267, Mgt_Unit!$C$5:$C$1018, 0)), "")</f>
        <v>jennifer.moore</v>
      </c>
      <c r="C267" t="s">
        <v>750</v>
      </c>
      <c r="D267" s="65"/>
      <c r="E267">
        <v>2</v>
      </c>
      <c r="F267" t="s">
        <v>1538</v>
      </c>
      <c r="G267" t="s">
        <v>1544</v>
      </c>
      <c r="H267" t="s">
        <v>50</v>
      </c>
      <c r="I267" t="s">
        <v>87</v>
      </c>
      <c r="J267" s="89">
        <v>43266</v>
      </c>
      <c r="K267" s="89">
        <v>43388</v>
      </c>
      <c r="L267" s="89"/>
      <c r="M267" s="31">
        <v>95</v>
      </c>
      <c r="N267" s="9"/>
      <c r="O267" s="33"/>
      <c r="P267" s="33"/>
      <c r="Q267" s="9"/>
      <c r="R267" s="67"/>
      <c r="S267" s="9"/>
    </row>
    <row r="268" spans="1:19" ht="15" customHeight="1" x14ac:dyDescent="0.25">
      <c r="A268" s="4"/>
      <c r="B268" s="28" t="str">
        <f>IF(ISNUMBER(MATCH(C268, Mgt_Unit!$C$5:$C$1018, 0)), INDEX(Mgt_Unit!$B$5:$B$1018, MATCH(C268, Mgt_Unit!$C$5:$C$1018, 0)), "")</f>
        <v>jennifer.moore</v>
      </c>
      <c r="C268" s="87" t="s">
        <v>750</v>
      </c>
      <c r="D268" s="65"/>
      <c r="E268" s="87">
        <v>3</v>
      </c>
      <c r="F268" s="87" t="s">
        <v>1538</v>
      </c>
      <c r="G268" s="87" t="s">
        <v>1544</v>
      </c>
      <c r="H268" s="87" t="s">
        <v>441</v>
      </c>
      <c r="I268" s="87" t="s">
        <v>195</v>
      </c>
      <c r="J268" s="90">
        <v>43439</v>
      </c>
      <c r="K268" s="90"/>
      <c r="L268" s="90"/>
      <c r="M268" s="93"/>
      <c r="N268" s="9"/>
      <c r="O268" s="33"/>
      <c r="P268" s="33"/>
      <c r="Q268" s="9"/>
      <c r="R268" s="67"/>
      <c r="S268" s="9"/>
    </row>
    <row r="269" spans="1:19" ht="15" customHeight="1" x14ac:dyDescent="0.25">
      <c r="A269" s="4"/>
      <c r="B269" s="28" t="str">
        <f>IF(ISNUMBER(MATCH(C269, Mgt_Unit!$C$5:$C$1018, 0)), INDEX(Mgt_Unit!$B$5:$B$1018, MATCH(C269, Mgt_Unit!$C$5:$C$1018, 0)), "")</f>
        <v>jennifer.moore</v>
      </c>
      <c r="C269" t="s">
        <v>751</v>
      </c>
      <c r="D269" s="65"/>
      <c r="E269">
        <v>1</v>
      </c>
      <c r="F269" t="s">
        <v>1538</v>
      </c>
      <c r="G269" t="s">
        <v>1544</v>
      </c>
      <c r="H269" t="s">
        <v>441</v>
      </c>
      <c r="I269" t="s">
        <v>195</v>
      </c>
      <c r="J269" s="89"/>
      <c r="K269" s="89">
        <v>43233</v>
      </c>
      <c r="L269" s="89"/>
      <c r="M269" s="31">
        <v>50</v>
      </c>
      <c r="N269" s="9"/>
      <c r="O269" s="33"/>
      <c r="P269" s="33"/>
      <c r="Q269" s="9"/>
      <c r="R269" s="67"/>
      <c r="S269" s="9"/>
    </row>
    <row r="270" spans="1:19" ht="15" customHeight="1" x14ac:dyDescent="0.25">
      <c r="A270" s="4"/>
      <c r="B270" s="28" t="str">
        <f>IF(ISNUMBER(MATCH(C270, Mgt_Unit!$C$5:$C$1018, 0)), INDEX(Mgt_Unit!$B$5:$B$1018, MATCH(C270, Mgt_Unit!$C$5:$C$1018, 0)), "")</f>
        <v>jennifer.moore</v>
      </c>
      <c r="C270" t="s">
        <v>751</v>
      </c>
      <c r="D270" s="65"/>
      <c r="E270">
        <v>2</v>
      </c>
      <c r="F270" t="s">
        <v>1538</v>
      </c>
      <c r="G270" t="s">
        <v>1544</v>
      </c>
      <c r="H270" t="s">
        <v>50</v>
      </c>
      <c r="I270" t="s">
        <v>87</v>
      </c>
      <c r="J270" s="89">
        <v>43266</v>
      </c>
      <c r="K270" s="89">
        <v>43388</v>
      </c>
      <c r="L270" s="89"/>
      <c r="M270" s="31">
        <v>50</v>
      </c>
      <c r="N270" s="9"/>
      <c r="O270" s="33"/>
      <c r="P270" s="33"/>
      <c r="Q270" s="9"/>
      <c r="R270" s="67"/>
      <c r="S270" s="9"/>
    </row>
    <row r="271" spans="1:19" ht="15" customHeight="1" x14ac:dyDescent="0.25">
      <c r="A271" s="4"/>
      <c r="B271" s="28" t="str">
        <f>IF(ISNUMBER(MATCH(C271, Mgt_Unit!$C$5:$C$1018, 0)), INDEX(Mgt_Unit!$B$5:$B$1018, MATCH(C271, Mgt_Unit!$C$5:$C$1018, 0)), "")</f>
        <v>jennifer.moore</v>
      </c>
      <c r="C271" s="87" t="s">
        <v>751</v>
      </c>
      <c r="D271" s="65"/>
      <c r="E271" s="87">
        <v>3</v>
      </c>
      <c r="F271" s="87" t="s">
        <v>1538</v>
      </c>
      <c r="G271" s="87" t="s">
        <v>1544</v>
      </c>
      <c r="H271" s="87" t="s">
        <v>441</v>
      </c>
      <c r="I271" s="87" t="s">
        <v>195</v>
      </c>
      <c r="J271" s="90">
        <v>43439</v>
      </c>
      <c r="K271" s="90"/>
      <c r="L271" s="90"/>
      <c r="M271" s="93"/>
      <c r="N271" s="9"/>
      <c r="O271" s="33"/>
      <c r="P271" s="33"/>
      <c r="Q271" s="9"/>
      <c r="R271" s="67"/>
      <c r="S271" s="9"/>
    </row>
    <row r="272" spans="1:19" ht="15" customHeight="1" x14ac:dyDescent="0.25">
      <c r="A272" s="4"/>
      <c r="B272" s="28" t="str">
        <f>IF(ISNUMBER(MATCH(C272, Mgt_Unit!$C$5:$C$1018, 0)), INDEX(Mgt_Unit!$B$5:$B$1018, MATCH(C272, Mgt_Unit!$C$5:$C$1018, 0)), "")</f>
        <v>jennifer.moore</v>
      </c>
      <c r="C272" t="s">
        <v>752</v>
      </c>
      <c r="D272" s="65"/>
      <c r="E272">
        <v>1</v>
      </c>
      <c r="F272" t="s">
        <v>1538</v>
      </c>
      <c r="G272" t="s">
        <v>1544</v>
      </c>
      <c r="H272" t="s">
        <v>441</v>
      </c>
      <c r="I272" t="s">
        <v>195</v>
      </c>
      <c r="J272" s="89"/>
      <c r="K272" s="89">
        <v>43233</v>
      </c>
      <c r="L272" s="89"/>
      <c r="M272" s="31">
        <v>0</v>
      </c>
      <c r="N272" s="9"/>
      <c r="O272" s="33"/>
      <c r="P272" s="33"/>
      <c r="Q272" s="9"/>
      <c r="R272" s="67"/>
      <c r="S272" s="9"/>
    </row>
    <row r="273" spans="1:19" ht="15" customHeight="1" x14ac:dyDescent="0.25">
      <c r="A273" s="4"/>
      <c r="B273" s="28" t="str">
        <f>IF(ISNUMBER(MATCH(C273, Mgt_Unit!$C$5:$C$1018, 0)), INDEX(Mgt_Unit!$B$5:$B$1018, MATCH(C273, Mgt_Unit!$C$5:$C$1018, 0)), "")</f>
        <v>jennifer.moore</v>
      </c>
      <c r="C273" t="s">
        <v>752</v>
      </c>
      <c r="D273" s="65"/>
      <c r="E273">
        <v>2</v>
      </c>
      <c r="F273" t="s">
        <v>1538</v>
      </c>
      <c r="G273" t="s">
        <v>1544</v>
      </c>
      <c r="H273" t="s">
        <v>50</v>
      </c>
      <c r="I273" t="s">
        <v>87</v>
      </c>
      <c r="J273" s="89">
        <v>43266</v>
      </c>
      <c r="K273" s="89">
        <v>43388</v>
      </c>
      <c r="L273" s="89"/>
      <c r="M273" s="31">
        <v>0</v>
      </c>
      <c r="N273" s="9"/>
      <c r="O273" s="33"/>
      <c r="P273" s="33"/>
      <c r="Q273" s="9"/>
      <c r="R273" s="67"/>
      <c r="S273" s="9"/>
    </row>
    <row r="274" spans="1:19" ht="15" customHeight="1" x14ac:dyDescent="0.25">
      <c r="A274" s="4"/>
      <c r="B274" s="28" t="str">
        <f>IF(ISNUMBER(MATCH(C274, Mgt_Unit!$C$5:$C$1018, 0)), INDEX(Mgt_Unit!$B$5:$B$1018, MATCH(C274, Mgt_Unit!$C$5:$C$1018, 0)), "")</f>
        <v>jennifer.moore</v>
      </c>
      <c r="C274" s="87" t="s">
        <v>752</v>
      </c>
      <c r="D274" s="65"/>
      <c r="E274" s="87">
        <v>3</v>
      </c>
      <c r="F274" s="87" t="s">
        <v>1538</v>
      </c>
      <c r="G274" s="87" t="s">
        <v>1544</v>
      </c>
      <c r="H274" s="87" t="s">
        <v>441</v>
      </c>
      <c r="I274" s="87" t="s">
        <v>195</v>
      </c>
      <c r="J274" s="90">
        <v>43439</v>
      </c>
      <c r="K274" s="90"/>
      <c r="L274" s="90"/>
      <c r="M274" s="93"/>
      <c r="N274" s="9"/>
      <c r="O274" s="33"/>
      <c r="P274" s="33"/>
      <c r="Q274" s="9"/>
      <c r="R274" s="67"/>
      <c r="S274" s="9"/>
    </row>
    <row r="275" spans="1:19" ht="15" customHeight="1" x14ac:dyDescent="0.25">
      <c r="A275" s="4"/>
      <c r="B275" s="28" t="str">
        <f>IF(ISNUMBER(MATCH(C275, Mgt_Unit!$C$5:$C$1018, 0)), INDEX(Mgt_Unit!$B$5:$B$1018, MATCH(C275, Mgt_Unit!$C$5:$C$1018, 0)), "")</f>
        <v>jennifer.moore</v>
      </c>
      <c r="C275" t="s">
        <v>753</v>
      </c>
      <c r="D275" s="65"/>
      <c r="E275">
        <v>1</v>
      </c>
      <c r="F275" t="s">
        <v>1538</v>
      </c>
      <c r="G275" t="s">
        <v>1544</v>
      </c>
      <c r="H275" t="s">
        <v>441</v>
      </c>
      <c r="I275" t="s">
        <v>195</v>
      </c>
      <c r="J275" s="89"/>
      <c r="K275" s="89">
        <v>43233</v>
      </c>
      <c r="L275" s="89"/>
      <c r="M275" s="31">
        <v>0</v>
      </c>
      <c r="N275" s="9"/>
      <c r="O275" s="33"/>
      <c r="P275" s="33"/>
      <c r="Q275" s="9"/>
      <c r="R275" s="67"/>
      <c r="S275" s="9"/>
    </row>
    <row r="276" spans="1:19" ht="15" customHeight="1" x14ac:dyDescent="0.25">
      <c r="A276" s="4"/>
      <c r="B276" s="28" t="str">
        <f>IF(ISNUMBER(MATCH(C276, Mgt_Unit!$C$5:$C$1018, 0)), INDEX(Mgt_Unit!$B$5:$B$1018, MATCH(C276, Mgt_Unit!$C$5:$C$1018, 0)), "")</f>
        <v>jennifer.moore</v>
      </c>
      <c r="C276" t="s">
        <v>753</v>
      </c>
      <c r="D276" s="65"/>
      <c r="E276">
        <v>2</v>
      </c>
      <c r="F276" t="s">
        <v>1538</v>
      </c>
      <c r="G276" t="s">
        <v>1544</v>
      </c>
      <c r="H276" t="s">
        <v>50</v>
      </c>
      <c r="I276" t="s">
        <v>87</v>
      </c>
      <c r="J276" s="89">
        <v>43266</v>
      </c>
      <c r="K276" s="89">
        <v>43388</v>
      </c>
      <c r="L276" s="89"/>
      <c r="M276" s="31">
        <v>0</v>
      </c>
      <c r="N276" s="9"/>
      <c r="O276" s="33"/>
      <c r="P276" s="33"/>
      <c r="Q276" s="9"/>
      <c r="R276" s="67"/>
      <c r="S276" s="9"/>
    </row>
    <row r="277" spans="1:19" ht="15" customHeight="1" x14ac:dyDescent="0.25">
      <c r="A277" s="4"/>
      <c r="B277" s="28" t="str">
        <f>IF(ISNUMBER(MATCH(C277, Mgt_Unit!$C$5:$C$1018, 0)), INDEX(Mgt_Unit!$B$5:$B$1018, MATCH(C277, Mgt_Unit!$C$5:$C$1018, 0)), "")</f>
        <v>jennifer.moore</v>
      </c>
      <c r="C277" s="87" t="s">
        <v>753</v>
      </c>
      <c r="D277" s="65"/>
      <c r="E277" s="87">
        <v>3</v>
      </c>
      <c r="F277" s="87" t="s">
        <v>1538</v>
      </c>
      <c r="G277" s="87" t="s">
        <v>1544</v>
      </c>
      <c r="H277" s="87" t="s">
        <v>441</v>
      </c>
      <c r="I277" s="87" t="s">
        <v>195</v>
      </c>
      <c r="J277" s="90">
        <v>43439</v>
      </c>
      <c r="K277" s="90"/>
      <c r="L277" s="90"/>
      <c r="M277" s="93"/>
      <c r="N277" s="9"/>
      <c r="O277" s="33"/>
      <c r="P277" s="33"/>
      <c r="Q277" s="9"/>
      <c r="R277" s="67"/>
      <c r="S277" s="9"/>
    </row>
    <row r="278" spans="1:19" ht="15" customHeight="1" x14ac:dyDescent="0.25">
      <c r="A278" s="4"/>
      <c r="B278" s="28" t="str">
        <f>IF(ISNUMBER(MATCH(C278, Mgt_Unit!$C$5:$C$1018, 0)), INDEX(Mgt_Unit!$B$5:$B$1018, MATCH(C278, Mgt_Unit!$C$5:$C$1018, 0)), "")</f>
        <v>jennifer.moore</v>
      </c>
      <c r="C278" t="s">
        <v>754</v>
      </c>
      <c r="D278" s="65"/>
      <c r="E278">
        <v>1</v>
      </c>
      <c r="F278" t="s">
        <v>1538</v>
      </c>
      <c r="G278" t="s">
        <v>1544</v>
      </c>
      <c r="H278" t="s">
        <v>441</v>
      </c>
      <c r="I278" t="s">
        <v>195</v>
      </c>
      <c r="J278" s="89"/>
      <c r="K278" s="89">
        <v>43233</v>
      </c>
      <c r="L278" s="89"/>
      <c r="M278" s="31">
        <v>100</v>
      </c>
      <c r="N278" s="9"/>
      <c r="O278" s="33"/>
      <c r="P278" s="33"/>
      <c r="Q278" s="9"/>
      <c r="R278" s="67"/>
      <c r="S278" s="9"/>
    </row>
    <row r="279" spans="1:19" ht="15" customHeight="1" x14ac:dyDescent="0.25">
      <c r="A279" s="4"/>
      <c r="B279" s="28" t="str">
        <f>IF(ISNUMBER(MATCH(C279, Mgt_Unit!$C$5:$C$1018, 0)), INDEX(Mgt_Unit!$B$5:$B$1018, MATCH(C279, Mgt_Unit!$C$5:$C$1018, 0)), "")</f>
        <v>jennifer.moore</v>
      </c>
      <c r="C279" t="s">
        <v>754</v>
      </c>
      <c r="D279" s="65"/>
      <c r="E279">
        <v>2</v>
      </c>
      <c r="F279" t="s">
        <v>1538</v>
      </c>
      <c r="G279" t="s">
        <v>1544</v>
      </c>
      <c r="H279" t="s">
        <v>50</v>
      </c>
      <c r="I279" t="s">
        <v>87</v>
      </c>
      <c r="J279" s="89">
        <v>43266</v>
      </c>
      <c r="K279" s="89">
        <v>43388</v>
      </c>
      <c r="L279" s="89"/>
      <c r="M279" s="31">
        <v>100</v>
      </c>
      <c r="N279" s="9"/>
      <c r="O279" s="33"/>
      <c r="P279" s="33"/>
      <c r="Q279" s="9"/>
      <c r="R279" s="67"/>
      <c r="S279" s="9"/>
    </row>
    <row r="280" spans="1:19" ht="15" customHeight="1" x14ac:dyDescent="0.25">
      <c r="A280" s="4"/>
      <c r="B280" s="28" t="str">
        <f>IF(ISNUMBER(MATCH(C280, Mgt_Unit!$C$5:$C$1018, 0)), INDEX(Mgt_Unit!$B$5:$B$1018, MATCH(C280, Mgt_Unit!$C$5:$C$1018, 0)), "")</f>
        <v>jennifer.moore</v>
      </c>
      <c r="C280" s="87" t="s">
        <v>754</v>
      </c>
      <c r="D280" s="65"/>
      <c r="E280" s="87">
        <v>3</v>
      </c>
      <c r="F280" s="87" t="s">
        <v>1538</v>
      </c>
      <c r="G280" s="87" t="s">
        <v>1544</v>
      </c>
      <c r="H280" s="87" t="s">
        <v>441</v>
      </c>
      <c r="I280" s="87" t="s">
        <v>195</v>
      </c>
      <c r="J280" s="90">
        <v>43439</v>
      </c>
      <c r="K280" s="90"/>
      <c r="L280" s="90"/>
      <c r="M280" s="93"/>
      <c r="N280" s="9"/>
      <c r="O280" s="33"/>
      <c r="P280" s="33"/>
      <c r="Q280" s="9"/>
      <c r="R280" s="67"/>
      <c r="S280" s="9"/>
    </row>
    <row r="281" spans="1:19" ht="15" customHeight="1" x14ac:dyDescent="0.25">
      <c r="A281" s="4"/>
      <c r="B281" s="28" t="str">
        <f>IF(ISNUMBER(MATCH(C281, Mgt_Unit!$C$5:$C$1018, 0)), INDEX(Mgt_Unit!$B$5:$B$1018, MATCH(C281, Mgt_Unit!$C$5:$C$1018, 0)), "")</f>
        <v>jennifer.moore</v>
      </c>
      <c r="C281" t="s">
        <v>755</v>
      </c>
      <c r="D281" s="65"/>
      <c r="E281">
        <v>1</v>
      </c>
      <c r="F281" t="s">
        <v>1538</v>
      </c>
      <c r="G281" t="s">
        <v>1544</v>
      </c>
      <c r="H281" t="s">
        <v>441</v>
      </c>
      <c r="I281" t="s">
        <v>195</v>
      </c>
      <c r="J281" s="89"/>
      <c r="K281" s="89">
        <v>43233</v>
      </c>
      <c r="L281" s="89"/>
      <c r="M281" s="31">
        <v>75</v>
      </c>
      <c r="N281" s="9"/>
      <c r="O281" s="33"/>
      <c r="P281" s="33"/>
      <c r="Q281" s="9"/>
      <c r="R281" s="67"/>
      <c r="S281" s="9"/>
    </row>
    <row r="282" spans="1:19" ht="15" customHeight="1" x14ac:dyDescent="0.25">
      <c r="A282" s="4"/>
      <c r="B282" s="28" t="str">
        <f>IF(ISNUMBER(MATCH(C282, Mgt_Unit!$C$5:$C$1018, 0)), INDEX(Mgt_Unit!$B$5:$B$1018, MATCH(C282, Mgt_Unit!$C$5:$C$1018, 0)), "")</f>
        <v>jennifer.moore</v>
      </c>
      <c r="C282" t="s">
        <v>755</v>
      </c>
      <c r="D282" s="65"/>
      <c r="E282">
        <v>2</v>
      </c>
      <c r="F282" t="s">
        <v>1538</v>
      </c>
      <c r="G282" t="s">
        <v>1544</v>
      </c>
      <c r="H282" t="s">
        <v>50</v>
      </c>
      <c r="I282" t="s">
        <v>87</v>
      </c>
      <c r="J282" s="89">
        <v>43266</v>
      </c>
      <c r="K282" s="89">
        <v>43388</v>
      </c>
      <c r="L282" s="89"/>
      <c r="M282" s="31">
        <v>95</v>
      </c>
      <c r="N282" s="9"/>
      <c r="O282" s="33"/>
      <c r="P282" s="33"/>
      <c r="Q282" s="9"/>
      <c r="R282" s="67"/>
      <c r="S282" s="9"/>
    </row>
    <row r="283" spans="1:19" ht="15" customHeight="1" x14ac:dyDescent="0.25">
      <c r="A283" s="4"/>
      <c r="B283" s="28" t="str">
        <f>IF(ISNUMBER(MATCH(C283, Mgt_Unit!$C$5:$C$1018, 0)), INDEX(Mgt_Unit!$B$5:$B$1018, MATCH(C283, Mgt_Unit!$C$5:$C$1018, 0)), "")</f>
        <v>jennifer.moore</v>
      </c>
      <c r="C283" s="87" t="s">
        <v>755</v>
      </c>
      <c r="D283" s="65"/>
      <c r="E283" s="87">
        <v>3</v>
      </c>
      <c r="F283" s="87" t="s">
        <v>1538</v>
      </c>
      <c r="G283" s="87" t="s">
        <v>1544</v>
      </c>
      <c r="H283" s="87" t="s">
        <v>441</v>
      </c>
      <c r="I283" s="87" t="s">
        <v>195</v>
      </c>
      <c r="J283" s="90">
        <v>43439</v>
      </c>
      <c r="K283" s="90"/>
      <c r="L283" s="90"/>
      <c r="M283" s="93"/>
      <c r="N283" s="9"/>
      <c r="O283" s="33"/>
      <c r="P283" s="33"/>
      <c r="Q283" s="9"/>
      <c r="R283" s="67"/>
      <c r="S283" s="9"/>
    </row>
    <row r="284" spans="1:19" ht="15" customHeight="1" x14ac:dyDescent="0.25">
      <c r="A284" s="4"/>
      <c r="B284" s="28" t="str">
        <f>IF(ISNUMBER(MATCH(C284, Mgt_Unit!$C$5:$C$1018, 0)), INDEX(Mgt_Unit!$B$5:$B$1018, MATCH(C284, Mgt_Unit!$C$5:$C$1018, 0)), "")</f>
        <v>jennifer.moore</v>
      </c>
      <c r="C284" t="s">
        <v>756</v>
      </c>
      <c r="D284" s="65"/>
      <c r="E284">
        <v>1</v>
      </c>
      <c r="F284" t="s">
        <v>1538</v>
      </c>
      <c r="G284" t="s">
        <v>1544</v>
      </c>
      <c r="H284" t="s">
        <v>441</v>
      </c>
      <c r="I284" t="s">
        <v>195</v>
      </c>
      <c r="J284" s="89"/>
      <c r="K284" s="89">
        <v>43233</v>
      </c>
      <c r="L284" s="89"/>
      <c r="M284" s="31">
        <v>50</v>
      </c>
      <c r="N284" s="9"/>
      <c r="O284" s="33"/>
      <c r="P284" s="33"/>
      <c r="Q284" s="9"/>
      <c r="R284" s="67"/>
      <c r="S284" s="9"/>
    </row>
    <row r="285" spans="1:19" ht="15" customHeight="1" x14ac:dyDescent="0.25">
      <c r="A285" s="4"/>
      <c r="B285" s="28" t="str">
        <f>IF(ISNUMBER(MATCH(C285, Mgt_Unit!$C$5:$C$1018, 0)), INDEX(Mgt_Unit!$B$5:$B$1018, MATCH(C285, Mgt_Unit!$C$5:$C$1018, 0)), "")</f>
        <v>jennifer.moore</v>
      </c>
      <c r="C285" t="s">
        <v>756</v>
      </c>
      <c r="D285" s="65"/>
      <c r="E285">
        <v>2</v>
      </c>
      <c r="F285" t="s">
        <v>1538</v>
      </c>
      <c r="G285" t="s">
        <v>1544</v>
      </c>
      <c r="H285" t="s">
        <v>50</v>
      </c>
      <c r="I285" t="s">
        <v>87</v>
      </c>
      <c r="J285" s="89">
        <v>43266</v>
      </c>
      <c r="K285" s="89">
        <v>43388</v>
      </c>
      <c r="L285" s="89"/>
      <c r="M285" s="31">
        <v>50</v>
      </c>
      <c r="N285" s="9"/>
      <c r="O285" s="33"/>
      <c r="P285" s="33"/>
      <c r="Q285" s="9"/>
      <c r="R285" s="67"/>
      <c r="S285" s="9"/>
    </row>
    <row r="286" spans="1:19" ht="15" customHeight="1" x14ac:dyDescent="0.25">
      <c r="A286" s="4"/>
      <c r="B286" s="28" t="str">
        <f>IF(ISNUMBER(MATCH(C286, Mgt_Unit!$C$5:$C$1018, 0)), INDEX(Mgt_Unit!$B$5:$B$1018, MATCH(C286, Mgt_Unit!$C$5:$C$1018, 0)), "")</f>
        <v>jennifer.moore</v>
      </c>
      <c r="C286" s="87" t="s">
        <v>756</v>
      </c>
      <c r="D286" s="65"/>
      <c r="E286" s="87">
        <v>3</v>
      </c>
      <c r="F286" s="87" t="s">
        <v>1538</v>
      </c>
      <c r="G286" s="87" t="s">
        <v>1544</v>
      </c>
      <c r="H286" s="87" t="s">
        <v>441</v>
      </c>
      <c r="I286" s="87" t="s">
        <v>195</v>
      </c>
      <c r="J286" s="90">
        <v>43439</v>
      </c>
      <c r="K286" s="90"/>
      <c r="L286" s="90"/>
      <c r="M286" s="93"/>
      <c r="N286" s="9"/>
      <c r="O286" s="33"/>
      <c r="P286" s="33"/>
      <c r="Q286" s="9"/>
      <c r="R286" s="67"/>
      <c r="S286" s="9"/>
    </row>
    <row r="287" spans="1:19" ht="15" customHeight="1" x14ac:dyDescent="0.25">
      <c r="A287" s="4"/>
      <c r="B287" s="28" t="str">
        <f>IF(ISNUMBER(MATCH(C287, Mgt_Unit!$C$5:$C$1018, 0)), INDEX(Mgt_Unit!$B$5:$B$1018, MATCH(C287, Mgt_Unit!$C$5:$C$1018, 0)), "")</f>
        <v>jennifer.moore</v>
      </c>
      <c r="C287" t="s">
        <v>757</v>
      </c>
      <c r="D287" s="65"/>
      <c r="E287">
        <v>1</v>
      </c>
      <c r="F287" t="s">
        <v>1538</v>
      </c>
      <c r="G287" t="s">
        <v>1544</v>
      </c>
      <c r="H287" t="s">
        <v>441</v>
      </c>
      <c r="I287" t="s">
        <v>195</v>
      </c>
      <c r="J287" s="89"/>
      <c r="K287" s="89">
        <v>43234</v>
      </c>
      <c r="L287" s="89"/>
      <c r="M287" s="31">
        <v>0</v>
      </c>
      <c r="N287" s="9"/>
      <c r="O287" s="33"/>
      <c r="P287" s="33"/>
      <c r="Q287" s="9"/>
      <c r="R287" s="67"/>
      <c r="S287" s="9"/>
    </row>
    <row r="288" spans="1:19" ht="15" customHeight="1" x14ac:dyDescent="0.25">
      <c r="A288" s="4"/>
      <c r="B288" s="28" t="str">
        <f>IF(ISNUMBER(MATCH(C288, Mgt_Unit!$C$5:$C$1018, 0)), INDEX(Mgt_Unit!$B$5:$B$1018, MATCH(C288, Mgt_Unit!$C$5:$C$1018, 0)), "")</f>
        <v>jennifer.moore</v>
      </c>
      <c r="C288" s="87" t="s">
        <v>757</v>
      </c>
      <c r="D288" s="65"/>
      <c r="E288" s="87">
        <v>2</v>
      </c>
      <c r="F288" s="87" t="s">
        <v>1538</v>
      </c>
      <c r="G288" s="87" t="s">
        <v>1544</v>
      </c>
      <c r="H288" s="87" t="s">
        <v>441</v>
      </c>
      <c r="I288" s="87" t="s">
        <v>195</v>
      </c>
      <c r="J288" s="90">
        <v>43440</v>
      </c>
      <c r="K288" s="90"/>
      <c r="L288" s="90"/>
      <c r="M288" s="93"/>
      <c r="N288" s="9"/>
      <c r="O288" s="33"/>
      <c r="P288" s="33"/>
      <c r="Q288" s="9"/>
      <c r="R288" s="67"/>
      <c r="S288" s="9"/>
    </row>
    <row r="289" spans="1:19" ht="15" customHeight="1" x14ac:dyDescent="0.25">
      <c r="A289" s="4"/>
      <c r="B289" s="28" t="str">
        <f>IF(ISNUMBER(MATCH(C289, Mgt_Unit!$C$5:$C$1018, 0)), INDEX(Mgt_Unit!$B$5:$B$1018, MATCH(C289, Mgt_Unit!$C$5:$C$1018, 0)), "")</f>
        <v>jennifer.moore</v>
      </c>
      <c r="C289" t="s">
        <v>758</v>
      </c>
      <c r="D289" s="65"/>
      <c r="E289">
        <v>1</v>
      </c>
      <c r="F289" t="s">
        <v>1538</v>
      </c>
      <c r="G289" t="s">
        <v>1544</v>
      </c>
      <c r="H289" t="s">
        <v>50</v>
      </c>
      <c r="I289" t="s">
        <v>87</v>
      </c>
      <c r="J289" s="89"/>
      <c r="K289" s="89">
        <v>43235</v>
      </c>
      <c r="L289" s="89"/>
      <c r="M289" s="31">
        <v>0</v>
      </c>
      <c r="N289" s="9"/>
      <c r="O289" s="33"/>
      <c r="P289" s="33"/>
      <c r="Q289" s="9"/>
      <c r="R289" s="67"/>
      <c r="S289" s="9"/>
    </row>
    <row r="290" spans="1:19" ht="15" customHeight="1" x14ac:dyDescent="0.25">
      <c r="A290" s="4"/>
      <c r="B290" s="28" t="str">
        <f>IF(ISNUMBER(MATCH(C290, Mgt_Unit!$C$5:$C$1018, 0)), INDEX(Mgt_Unit!$B$5:$B$1018, MATCH(C290, Mgt_Unit!$C$5:$C$1018, 0)), "")</f>
        <v>jennifer.moore</v>
      </c>
      <c r="C290" t="s">
        <v>758</v>
      </c>
      <c r="D290" s="65"/>
      <c r="E290">
        <v>2</v>
      </c>
      <c r="F290" t="s">
        <v>1538</v>
      </c>
      <c r="G290" t="s">
        <v>1544</v>
      </c>
      <c r="H290" t="s">
        <v>50</v>
      </c>
      <c r="I290" t="s">
        <v>175</v>
      </c>
      <c r="J290" s="89">
        <v>43266</v>
      </c>
      <c r="K290" s="89">
        <v>43358</v>
      </c>
      <c r="L290" s="89"/>
      <c r="M290" s="31">
        <v>0</v>
      </c>
      <c r="N290" s="9"/>
      <c r="O290" s="33"/>
      <c r="P290" s="33"/>
      <c r="Q290" s="9"/>
      <c r="R290" s="67"/>
      <c r="S290" s="9"/>
    </row>
    <row r="291" spans="1:19" ht="15" customHeight="1" x14ac:dyDescent="0.25">
      <c r="A291" s="4"/>
      <c r="B291" s="28" t="str">
        <f>IF(ISNUMBER(MATCH(C291, Mgt_Unit!$C$5:$C$1018, 0)), INDEX(Mgt_Unit!$B$5:$B$1018, MATCH(C291, Mgt_Unit!$C$5:$C$1018, 0)), "")</f>
        <v>jennifer.moore</v>
      </c>
      <c r="C291" t="s">
        <v>758</v>
      </c>
      <c r="D291" s="65"/>
      <c r="E291">
        <v>3</v>
      </c>
      <c r="F291" t="s">
        <v>1538</v>
      </c>
      <c r="G291" t="s">
        <v>1544</v>
      </c>
      <c r="H291" t="s">
        <v>441</v>
      </c>
      <c r="I291" t="s">
        <v>195</v>
      </c>
      <c r="J291" s="89">
        <v>43440</v>
      </c>
      <c r="K291" s="89">
        <v>43599</v>
      </c>
      <c r="L291" s="89"/>
      <c r="M291" s="31">
        <v>0</v>
      </c>
      <c r="N291" s="9"/>
      <c r="O291" s="33"/>
      <c r="P291" s="33"/>
      <c r="Q291" s="9"/>
      <c r="R291" s="67"/>
      <c r="S291" s="9"/>
    </row>
    <row r="292" spans="1:19" ht="15" customHeight="1" x14ac:dyDescent="0.25">
      <c r="A292" s="4"/>
      <c r="B292" s="28" t="str">
        <f>IF(ISNUMBER(MATCH(C292, Mgt_Unit!$C$5:$C$1018, 0)), INDEX(Mgt_Unit!$B$5:$B$1018, MATCH(C292, Mgt_Unit!$C$5:$C$1018, 0)), "")</f>
        <v>jennifer.moore</v>
      </c>
      <c r="C292" s="87" t="s">
        <v>758</v>
      </c>
      <c r="D292" s="65"/>
      <c r="E292" s="87">
        <v>4</v>
      </c>
      <c r="F292" s="87" t="s">
        <v>1538</v>
      </c>
      <c r="G292" s="87" t="s">
        <v>1544</v>
      </c>
      <c r="H292" s="87" t="s">
        <v>50</v>
      </c>
      <c r="I292" s="87" t="s">
        <v>87</v>
      </c>
      <c r="J292" s="90">
        <v>43761</v>
      </c>
      <c r="K292" s="90"/>
      <c r="L292" s="90"/>
      <c r="M292" s="93"/>
      <c r="N292" s="9"/>
      <c r="O292" s="33"/>
      <c r="P292" s="33"/>
      <c r="Q292" s="9"/>
      <c r="R292" s="67"/>
      <c r="S292" s="9"/>
    </row>
    <row r="293" spans="1:19" ht="15" customHeight="1" x14ac:dyDescent="0.25">
      <c r="A293" s="4"/>
      <c r="B293" s="28" t="str">
        <f>IF(ISNUMBER(MATCH(C293, Mgt_Unit!$C$5:$C$1018, 0)), INDEX(Mgt_Unit!$B$5:$B$1018, MATCH(C293, Mgt_Unit!$C$5:$C$1018, 0)), "")</f>
        <v>jennifer.moore</v>
      </c>
      <c r="C293" t="s">
        <v>759</v>
      </c>
      <c r="D293" s="65"/>
      <c r="E293">
        <v>1</v>
      </c>
      <c r="F293" t="s">
        <v>1538</v>
      </c>
      <c r="G293" t="s">
        <v>1544</v>
      </c>
      <c r="H293" t="s">
        <v>441</v>
      </c>
      <c r="I293" t="s">
        <v>195</v>
      </c>
      <c r="J293" s="89"/>
      <c r="K293" s="89">
        <v>43234</v>
      </c>
      <c r="L293" s="89"/>
      <c r="M293" s="31">
        <v>0</v>
      </c>
      <c r="N293" s="9"/>
      <c r="O293" s="33"/>
      <c r="P293" s="33"/>
      <c r="Q293" s="9"/>
      <c r="R293" s="67"/>
      <c r="S293" s="9"/>
    </row>
    <row r="294" spans="1:19" ht="15" customHeight="1" x14ac:dyDescent="0.25">
      <c r="A294" s="4"/>
      <c r="B294" s="28" t="str">
        <f>IF(ISNUMBER(MATCH(C294, Mgt_Unit!$C$5:$C$1018, 0)), INDEX(Mgt_Unit!$B$5:$B$1018, MATCH(C294, Mgt_Unit!$C$5:$C$1018, 0)), "")</f>
        <v>jennifer.moore</v>
      </c>
      <c r="C294" t="s">
        <v>759</v>
      </c>
      <c r="D294" s="65"/>
      <c r="E294">
        <v>2</v>
      </c>
      <c r="F294" t="s">
        <v>1538</v>
      </c>
      <c r="G294" t="s">
        <v>1544</v>
      </c>
      <c r="H294" t="s">
        <v>50</v>
      </c>
      <c r="I294" t="s">
        <v>87</v>
      </c>
      <c r="J294" s="89">
        <v>43396</v>
      </c>
      <c r="K294" s="89">
        <v>43600</v>
      </c>
      <c r="L294" s="89"/>
      <c r="M294" s="31">
        <v>0</v>
      </c>
      <c r="N294" s="9"/>
      <c r="O294" s="33"/>
      <c r="P294" s="33"/>
      <c r="Q294" s="9"/>
      <c r="R294" s="67"/>
      <c r="S294" s="9"/>
    </row>
    <row r="295" spans="1:19" ht="15" customHeight="1" x14ac:dyDescent="0.25">
      <c r="A295" s="4"/>
      <c r="B295" s="28" t="str">
        <f>IF(ISNUMBER(MATCH(C295, Mgt_Unit!$C$5:$C$1018, 0)), INDEX(Mgt_Unit!$B$5:$B$1018, MATCH(C295, Mgt_Unit!$C$5:$C$1018, 0)), "")</f>
        <v>jennifer.moore</v>
      </c>
      <c r="C295" t="s">
        <v>759</v>
      </c>
      <c r="D295" s="65"/>
      <c r="E295">
        <v>3</v>
      </c>
      <c r="F295" t="s">
        <v>1538</v>
      </c>
      <c r="G295" t="s">
        <v>1544</v>
      </c>
      <c r="H295" t="s">
        <v>50</v>
      </c>
      <c r="I295" t="s">
        <v>175</v>
      </c>
      <c r="J295" s="89">
        <v>43631</v>
      </c>
      <c r="K295" s="89">
        <v>43723</v>
      </c>
      <c r="L295" s="89"/>
      <c r="M295" s="31">
        <v>0</v>
      </c>
      <c r="N295" s="9"/>
      <c r="O295" s="33"/>
      <c r="P295" s="33"/>
      <c r="Q295" s="9"/>
      <c r="R295" s="67"/>
      <c r="S295" s="9"/>
    </row>
    <row r="296" spans="1:19" ht="15" customHeight="1" x14ac:dyDescent="0.25">
      <c r="A296" s="4"/>
      <c r="B296" s="28" t="str">
        <f>IF(ISNUMBER(MATCH(C296, Mgt_Unit!$C$5:$C$1018, 0)), INDEX(Mgt_Unit!$B$5:$B$1018, MATCH(C296, Mgt_Unit!$C$5:$C$1018, 0)), "")</f>
        <v>jennifer.moore</v>
      </c>
      <c r="C296" s="87" t="s">
        <v>759</v>
      </c>
      <c r="D296" s="65"/>
      <c r="E296" s="87">
        <v>4</v>
      </c>
      <c r="F296" s="87" t="s">
        <v>1538</v>
      </c>
      <c r="G296" s="87" t="s">
        <v>1544</v>
      </c>
      <c r="H296" s="87" t="s">
        <v>441</v>
      </c>
      <c r="I296" s="87" t="s">
        <v>195</v>
      </c>
      <c r="J296" s="90">
        <v>43805</v>
      </c>
      <c r="K296" s="90"/>
      <c r="L296" s="90"/>
      <c r="M296" s="93"/>
      <c r="N296" s="9"/>
      <c r="O296" s="33"/>
      <c r="P296" s="33"/>
      <c r="Q296" s="9"/>
      <c r="R296" s="67"/>
      <c r="S296" s="9"/>
    </row>
    <row r="297" spans="1:19" ht="15" customHeight="1" x14ac:dyDescent="0.25">
      <c r="A297" s="4"/>
      <c r="B297" s="28" t="str">
        <f>IF(ISNUMBER(MATCH(C297, Mgt_Unit!$C$5:$C$1018, 0)), INDEX(Mgt_Unit!$B$5:$B$1018, MATCH(C297, Mgt_Unit!$C$5:$C$1018, 0)), "")</f>
        <v>jennifer.moore</v>
      </c>
      <c r="C297" t="s">
        <v>760</v>
      </c>
      <c r="D297" s="65"/>
      <c r="E297">
        <v>1</v>
      </c>
      <c r="F297" t="s">
        <v>1538</v>
      </c>
      <c r="G297" t="s">
        <v>1544</v>
      </c>
      <c r="H297" t="s">
        <v>441</v>
      </c>
      <c r="I297" t="s">
        <v>195</v>
      </c>
      <c r="J297" s="89"/>
      <c r="K297" s="89">
        <v>43234</v>
      </c>
      <c r="L297" s="89"/>
      <c r="M297" s="31">
        <v>0</v>
      </c>
      <c r="N297" s="9"/>
      <c r="O297" s="33"/>
      <c r="P297" s="33"/>
      <c r="Q297" s="9"/>
      <c r="R297" s="67"/>
      <c r="S297" s="9"/>
    </row>
    <row r="298" spans="1:19" ht="15" customHeight="1" x14ac:dyDescent="0.25">
      <c r="A298" s="4"/>
      <c r="B298" s="28" t="str">
        <f>IF(ISNUMBER(MATCH(C298, Mgt_Unit!$C$5:$C$1018, 0)), INDEX(Mgt_Unit!$B$5:$B$1018, MATCH(C298, Mgt_Unit!$C$5:$C$1018, 0)), "")</f>
        <v>jennifer.moore</v>
      </c>
      <c r="C298" t="s">
        <v>760</v>
      </c>
      <c r="D298" s="65"/>
      <c r="E298">
        <v>2</v>
      </c>
      <c r="F298" t="s">
        <v>1538</v>
      </c>
      <c r="G298" t="s">
        <v>1544</v>
      </c>
      <c r="H298" t="s">
        <v>442</v>
      </c>
      <c r="I298" t="s">
        <v>1281</v>
      </c>
      <c r="J298" s="89">
        <v>43444</v>
      </c>
      <c r="K298" s="89">
        <v>43570</v>
      </c>
      <c r="L298" s="89"/>
      <c r="M298" s="31">
        <v>0</v>
      </c>
      <c r="N298" s="9"/>
      <c r="O298" s="33"/>
      <c r="P298" s="33"/>
      <c r="Q298" s="9"/>
      <c r="R298" s="67"/>
      <c r="S298" s="9"/>
    </row>
    <row r="299" spans="1:19" ht="15" customHeight="1" x14ac:dyDescent="0.25">
      <c r="A299" s="4"/>
      <c r="B299" s="28" t="str">
        <f>IF(ISNUMBER(MATCH(C299, Mgt_Unit!$C$5:$C$1018, 0)), INDEX(Mgt_Unit!$B$5:$B$1018, MATCH(C299, Mgt_Unit!$C$5:$C$1018, 0)), "")</f>
        <v>jennifer.moore</v>
      </c>
      <c r="C299" s="87" t="s">
        <v>760</v>
      </c>
      <c r="D299" s="65"/>
      <c r="E299" s="87">
        <v>3</v>
      </c>
      <c r="F299" s="87" t="s">
        <v>1538</v>
      </c>
      <c r="G299" s="87" t="s">
        <v>1544</v>
      </c>
      <c r="H299" s="87" t="s">
        <v>441</v>
      </c>
      <c r="I299" s="87" t="s">
        <v>195</v>
      </c>
      <c r="J299" s="90">
        <v>43805</v>
      </c>
      <c r="K299" s="90"/>
      <c r="L299" s="90"/>
      <c r="M299" s="93"/>
      <c r="N299" s="9"/>
      <c r="O299" s="33"/>
      <c r="P299" s="33"/>
      <c r="Q299" s="9"/>
      <c r="R299" s="79"/>
      <c r="S299" s="68"/>
    </row>
    <row r="300" spans="1:19" ht="15" customHeight="1" x14ac:dyDescent="0.25">
      <c r="A300" s="4"/>
      <c r="B300" s="28" t="str">
        <f>IF(ISNUMBER(MATCH(C300, Mgt_Unit!$C$5:$C$1018, 0)), INDEX(Mgt_Unit!$B$5:$B$1018, MATCH(C300, Mgt_Unit!$C$5:$C$1018, 0)), "")</f>
        <v>jennifer.moore</v>
      </c>
      <c r="C300" t="s">
        <v>761</v>
      </c>
      <c r="D300" s="65"/>
      <c r="E300">
        <v>1</v>
      </c>
      <c r="F300" t="s">
        <v>1538</v>
      </c>
      <c r="G300" t="s">
        <v>1544</v>
      </c>
      <c r="H300" t="s">
        <v>442</v>
      </c>
      <c r="I300" t="s">
        <v>1281</v>
      </c>
      <c r="J300" s="89"/>
      <c r="K300" s="89">
        <v>43205</v>
      </c>
      <c r="L300" s="89"/>
      <c r="M300" s="31">
        <v>0</v>
      </c>
      <c r="N300" s="9"/>
      <c r="O300" s="33"/>
      <c r="P300" s="33"/>
      <c r="Q300" s="9"/>
    </row>
    <row r="301" spans="1:19" ht="15" customHeight="1" x14ac:dyDescent="0.25">
      <c r="A301" s="4"/>
      <c r="B301" s="28" t="str">
        <f>IF(ISNUMBER(MATCH(C301, Mgt_Unit!$C$5:$C$1018, 0)), INDEX(Mgt_Unit!$B$5:$B$1018, MATCH(C301, Mgt_Unit!$C$5:$C$1018, 0)), "")</f>
        <v>jennifer.moore</v>
      </c>
      <c r="C301" t="s">
        <v>761</v>
      </c>
      <c r="D301" s="65"/>
      <c r="E301">
        <v>2</v>
      </c>
      <c r="F301" t="s">
        <v>1538</v>
      </c>
      <c r="G301" t="s">
        <v>1544</v>
      </c>
      <c r="H301" t="s">
        <v>441</v>
      </c>
      <c r="I301" t="s">
        <v>195</v>
      </c>
      <c r="J301" s="89">
        <v>43440</v>
      </c>
      <c r="K301" s="89">
        <v>43599</v>
      </c>
      <c r="L301" s="89"/>
      <c r="M301" s="31">
        <v>0</v>
      </c>
      <c r="N301" s="9"/>
      <c r="O301" s="33"/>
      <c r="P301" s="33"/>
      <c r="Q301" s="9"/>
    </row>
    <row r="302" spans="1:19" ht="15" customHeight="1" x14ac:dyDescent="0.25">
      <c r="A302" s="4"/>
      <c r="B302" s="28" t="str">
        <f>IF(ISNUMBER(MATCH(C302, Mgt_Unit!$C$5:$C$1018, 0)), INDEX(Mgt_Unit!$B$5:$B$1018, MATCH(C302, Mgt_Unit!$C$5:$C$1018, 0)), "")</f>
        <v>jennifer.moore</v>
      </c>
      <c r="C302" s="87" t="s">
        <v>761</v>
      </c>
      <c r="D302" s="65"/>
      <c r="E302" s="87">
        <v>3</v>
      </c>
      <c r="F302" s="87" t="s">
        <v>1538</v>
      </c>
      <c r="G302" s="87" t="s">
        <v>1544</v>
      </c>
      <c r="H302" s="87" t="s">
        <v>442</v>
      </c>
      <c r="I302" s="87" t="s">
        <v>1281</v>
      </c>
      <c r="J302" s="90">
        <v>43809</v>
      </c>
      <c r="K302" s="90"/>
      <c r="L302" s="90"/>
      <c r="M302" s="93"/>
      <c r="N302" s="9"/>
      <c r="O302" s="33"/>
      <c r="P302" s="33"/>
      <c r="Q302" s="9"/>
    </row>
    <row r="303" spans="1:19" ht="15" customHeight="1" x14ac:dyDescent="0.25">
      <c r="A303" s="4"/>
      <c r="B303" s="28" t="str">
        <f>IF(ISNUMBER(MATCH(C303, Mgt_Unit!$C$5:$C$1018, 0)), INDEX(Mgt_Unit!$B$5:$B$1018, MATCH(C303, Mgt_Unit!$C$5:$C$1018, 0)), "")</f>
        <v>jennifer.moore</v>
      </c>
      <c r="C303" t="s">
        <v>762</v>
      </c>
      <c r="D303" s="65"/>
      <c r="E303">
        <v>1</v>
      </c>
      <c r="F303" t="s">
        <v>1538</v>
      </c>
      <c r="G303" t="s">
        <v>1544</v>
      </c>
      <c r="H303" t="s">
        <v>441</v>
      </c>
      <c r="I303" t="s">
        <v>195</v>
      </c>
      <c r="J303" s="89"/>
      <c r="K303" s="89">
        <v>43234</v>
      </c>
      <c r="L303" s="89"/>
      <c r="M303" s="31">
        <v>0</v>
      </c>
      <c r="N303" s="9"/>
      <c r="O303" s="33"/>
      <c r="P303" s="33"/>
      <c r="Q303" s="9"/>
    </row>
    <row r="304" spans="1:19" ht="15" customHeight="1" x14ac:dyDescent="0.25">
      <c r="A304" s="4"/>
      <c r="B304" s="28" t="str">
        <f>IF(ISNUMBER(MATCH(C304, Mgt_Unit!$C$5:$C$1018, 0)), INDEX(Mgt_Unit!$B$5:$B$1018, MATCH(C304, Mgt_Unit!$C$5:$C$1018, 0)), "")</f>
        <v>jennifer.moore</v>
      </c>
      <c r="C304" t="s">
        <v>762</v>
      </c>
      <c r="D304" s="65"/>
      <c r="E304">
        <v>2</v>
      </c>
      <c r="F304" t="s">
        <v>1538</v>
      </c>
      <c r="G304" t="s">
        <v>1544</v>
      </c>
      <c r="H304" t="s">
        <v>49</v>
      </c>
      <c r="I304" t="s">
        <v>121</v>
      </c>
      <c r="J304" s="89">
        <v>43455</v>
      </c>
      <c r="K304" s="89">
        <v>43612</v>
      </c>
      <c r="L304" s="89"/>
      <c r="M304" s="31">
        <v>0</v>
      </c>
      <c r="N304" s="9"/>
      <c r="O304" s="33"/>
      <c r="P304" s="33"/>
      <c r="Q304" s="9"/>
    </row>
    <row r="305" spans="1:17" ht="15" customHeight="1" x14ac:dyDescent="0.25">
      <c r="A305" s="4"/>
      <c r="B305" s="28" t="str">
        <f>IF(ISNUMBER(MATCH(C305, Mgt_Unit!$C$5:$C$1018, 0)), INDEX(Mgt_Unit!$B$5:$B$1018, MATCH(C305, Mgt_Unit!$C$5:$C$1018, 0)), "")</f>
        <v>jennifer.moore</v>
      </c>
      <c r="C305" s="87" t="s">
        <v>762</v>
      </c>
      <c r="D305" s="65"/>
      <c r="E305" s="87">
        <v>3</v>
      </c>
      <c r="F305" s="87" t="s">
        <v>1538</v>
      </c>
      <c r="G305" s="87" t="s">
        <v>1544</v>
      </c>
      <c r="H305" s="87" t="s">
        <v>441</v>
      </c>
      <c r="I305" s="87" t="s">
        <v>195</v>
      </c>
      <c r="J305" s="90">
        <v>43805</v>
      </c>
      <c r="K305" s="90"/>
      <c r="L305" s="90"/>
      <c r="M305" s="93"/>
      <c r="N305" s="9"/>
      <c r="O305" s="33"/>
      <c r="P305" s="33"/>
      <c r="Q305" s="9"/>
    </row>
    <row r="306" spans="1:17" ht="15" customHeight="1" x14ac:dyDescent="0.25">
      <c r="A306" s="4"/>
      <c r="B306" s="28" t="str">
        <f>IF(ISNUMBER(MATCH(C306, Mgt_Unit!$C$5:$C$1018, 0)), INDEX(Mgt_Unit!$B$5:$B$1018, MATCH(C306, Mgt_Unit!$C$5:$C$1018, 0)), "")</f>
        <v>jennifer.moore</v>
      </c>
      <c r="C306" t="s">
        <v>763</v>
      </c>
      <c r="D306" s="65"/>
      <c r="E306">
        <v>1</v>
      </c>
      <c r="F306" t="s">
        <v>1538</v>
      </c>
      <c r="G306" t="s">
        <v>1544</v>
      </c>
      <c r="H306" t="s">
        <v>441</v>
      </c>
      <c r="I306" t="s">
        <v>195</v>
      </c>
      <c r="J306" s="89"/>
      <c r="K306" s="89">
        <v>43234</v>
      </c>
      <c r="L306" s="89"/>
      <c r="M306" s="31">
        <v>0</v>
      </c>
      <c r="N306" s="9"/>
      <c r="O306" s="33"/>
      <c r="P306" s="33"/>
      <c r="Q306" s="9"/>
    </row>
    <row r="307" spans="1:17" ht="15" customHeight="1" x14ac:dyDescent="0.25">
      <c r="A307" s="4"/>
      <c r="B307" s="28" t="str">
        <f>IF(ISNUMBER(MATCH(C307, Mgt_Unit!$C$5:$C$1018, 0)), INDEX(Mgt_Unit!$B$5:$B$1018, MATCH(C307, Mgt_Unit!$C$5:$C$1018, 0)), "")</f>
        <v>jennifer.moore</v>
      </c>
      <c r="C307" s="87" t="s">
        <v>763</v>
      </c>
      <c r="D307" s="65"/>
      <c r="E307" s="87">
        <v>2</v>
      </c>
      <c r="F307" s="87" t="s">
        <v>1538</v>
      </c>
      <c r="G307" s="87" t="s">
        <v>1544</v>
      </c>
      <c r="H307" s="87" t="s">
        <v>441</v>
      </c>
      <c r="I307" s="87" t="s">
        <v>195</v>
      </c>
      <c r="J307" s="90">
        <v>43440</v>
      </c>
      <c r="K307" s="90"/>
      <c r="L307" s="90"/>
      <c r="M307" s="93"/>
      <c r="N307" s="9"/>
      <c r="O307" s="33"/>
      <c r="P307" s="33"/>
      <c r="Q307" s="9"/>
    </row>
    <row r="308" spans="1:17" ht="15" customHeight="1" x14ac:dyDescent="0.25">
      <c r="A308" s="4"/>
      <c r="B308" s="28" t="str">
        <f>IF(ISNUMBER(MATCH(C308, Mgt_Unit!$C$5:$C$1018, 0)), INDEX(Mgt_Unit!$B$5:$B$1018, MATCH(C308, Mgt_Unit!$C$5:$C$1018, 0)), "")</f>
        <v>jennifer.moore</v>
      </c>
      <c r="C308" t="s">
        <v>764</v>
      </c>
      <c r="D308" s="65"/>
      <c r="E308">
        <v>1</v>
      </c>
      <c r="F308" t="s">
        <v>1538</v>
      </c>
      <c r="G308" t="s">
        <v>1544</v>
      </c>
      <c r="H308" t="s">
        <v>49</v>
      </c>
      <c r="I308" t="s">
        <v>121</v>
      </c>
      <c r="J308" s="89"/>
      <c r="K308" s="89">
        <v>43247</v>
      </c>
      <c r="L308" s="89"/>
      <c r="M308" s="31">
        <v>0</v>
      </c>
      <c r="N308" s="9"/>
      <c r="O308" s="33"/>
      <c r="P308" s="33"/>
      <c r="Q308" s="9"/>
    </row>
    <row r="309" spans="1:17" ht="15" customHeight="1" x14ac:dyDescent="0.25">
      <c r="A309" s="4"/>
      <c r="B309" s="28" t="str">
        <f>IF(ISNUMBER(MATCH(C309, Mgt_Unit!$C$5:$C$1018, 0)), INDEX(Mgt_Unit!$B$5:$B$1018, MATCH(C309, Mgt_Unit!$C$5:$C$1018, 0)), "")</f>
        <v>jennifer.moore</v>
      </c>
      <c r="C309" t="s">
        <v>764</v>
      </c>
      <c r="D309" s="65"/>
      <c r="E309">
        <v>2</v>
      </c>
      <c r="F309" t="s">
        <v>1538</v>
      </c>
      <c r="G309" t="s">
        <v>1544</v>
      </c>
      <c r="H309" t="s">
        <v>441</v>
      </c>
      <c r="I309" t="s">
        <v>195</v>
      </c>
      <c r="J309" s="89">
        <v>43440</v>
      </c>
      <c r="K309" s="89">
        <v>43599</v>
      </c>
      <c r="L309" s="89"/>
      <c r="M309" s="31">
        <v>0</v>
      </c>
      <c r="N309" s="9"/>
      <c r="O309" s="33"/>
      <c r="P309" s="33"/>
      <c r="Q309" s="9"/>
    </row>
    <row r="310" spans="1:17" ht="15" customHeight="1" x14ac:dyDescent="0.25">
      <c r="A310" s="4"/>
      <c r="B310" s="28" t="str">
        <f>IF(ISNUMBER(MATCH(C310, Mgt_Unit!$C$5:$C$1018, 0)), INDEX(Mgt_Unit!$B$5:$B$1018, MATCH(C310, Mgt_Unit!$C$5:$C$1018, 0)), "")</f>
        <v>jennifer.moore</v>
      </c>
      <c r="C310" s="87" t="s">
        <v>764</v>
      </c>
      <c r="D310" s="65"/>
      <c r="E310" s="87">
        <v>3</v>
      </c>
      <c r="F310" s="87" t="s">
        <v>1538</v>
      </c>
      <c r="G310" s="87" t="s">
        <v>1544</v>
      </c>
      <c r="H310" s="87" t="s">
        <v>49</v>
      </c>
      <c r="I310" s="87" t="s">
        <v>121</v>
      </c>
      <c r="J310" s="90">
        <v>43820</v>
      </c>
      <c r="K310" s="90"/>
      <c r="L310" s="90"/>
      <c r="M310" s="93"/>
      <c r="N310" s="9"/>
      <c r="O310" s="33"/>
      <c r="P310" s="33"/>
      <c r="Q310" s="9"/>
    </row>
    <row r="311" spans="1:17" ht="15" customHeight="1" x14ac:dyDescent="0.25">
      <c r="A311" s="4"/>
      <c r="B311" s="28" t="str">
        <f>IF(ISNUMBER(MATCH(C311, Mgt_Unit!$C$5:$C$1018, 0)), INDEX(Mgt_Unit!$B$5:$B$1018, MATCH(C311, Mgt_Unit!$C$5:$C$1018, 0)), "")</f>
        <v>jennifer.moore</v>
      </c>
      <c r="C311" t="s">
        <v>765</v>
      </c>
      <c r="D311" s="65"/>
      <c r="E311">
        <v>1</v>
      </c>
      <c r="F311" t="s">
        <v>1538</v>
      </c>
      <c r="G311" t="s">
        <v>1544</v>
      </c>
      <c r="H311" t="s">
        <v>441</v>
      </c>
      <c r="I311" t="s">
        <v>195</v>
      </c>
      <c r="J311" s="89"/>
      <c r="K311" s="89">
        <v>43234</v>
      </c>
      <c r="L311" s="89"/>
      <c r="M311" s="31">
        <v>0</v>
      </c>
      <c r="N311" s="9"/>
      <c r="O311" s="33"/>
      <c r="P311" s="33"/>
      <c r="Q311" s="9"/>
    </row>
    <row r="312" spans="1:17" ht="15" customHeight="1" x14ac:dyDescent="0.25">
      <c r="A312" s="4"/>
      <c r="B312" s="28" t="str">
        <f>IF(ISNUMBER(MATCH(C312, Mgt_Unit!$C$5:$C$1018, 0)), INDEX(Mgt_Unit!$B$5:$B$1018, MATCH(C312, Mgt_Unit!$C$5:$C$1018, 0)), "")</f>
        <v>jennifer.moore</v>
      </c>
      <c r="C312" t="s">
        <v>765</v>
      </c>
      <c r="D312" s="65"/>
      <c r="E312">
        <v>2</v>
      </c>
      <c r="F312" t="s">
        <v>1538</v>
      </c>
      <c r="G312" t="s">
        <v>1544</v>
      </c>
      <c r="H312" t="s">
        <v>50</v>
      </c>
      <c r="I312" t="s">
        <v>175</v>
      </c>
      <c r="J312" s="89">
        <v>43278</v>
      </c>
      <c r="K312" s="89">
        <v>43371</v>
      </c>
      <c r="L312" s="89"/>
      <c r="M312" s="31">
        <v>0</v>
      </c>
      <c r="N312" s="9"/>
      <c r="O312" s="33"/>
      <c r="P312" s="33"/>
      <c r="Q312" s="9"/>
    </row>
    <row r="313" spans="1:17" ht="15" customHeight="1" x14ac:dyDescent="0.25">
      <c r="A313" s="4"/>
      <c r="B313" s="28" t="str">
        <f>IF(ISNUMBER(MATCH(C313, Mgt_Unit!$C$5:$C$1018, 0)), INDEX(Mgt_Unit!$B$5:$B$1018, MATCH(C313, Mgt_Unit!$C$5:$C$1018, 0)), "")</f>
        <v>jennifer.moore</v>
      </c>
      <c r="C313" s="87" t="s">
        <v>765</v>
      </c>
      <c r="D313" s="65"/>
      <c r="E313" s="87">
        <v>3</v>
      </c>
      <c r="F313" s="87" t="s">
        <v>1538</v>
      </c>
      <c r="G313" s="87" t="s">
        <v>1544</v>
      </c>
      <c r="H313" s="87" t="s">
        <v>441</v>
      </c>
      <c r="I313" s="87" t="s">
        <v>195</v>
      </c>
      <c r="J313" s="90">
        <v>43440</v>
      </c>
      <c r="K313" s="90"/>
      <c r="L313" s="90"/>
      <c r="M313" s="93"/>
      <c r="N313" s="9"/>
      <c r="O313" s="33"/>
      <c r="P313" s="33"/>
      <c r="Q313" s="9"/>
    </row>
    <row r="314" spans="1:17" ht="15" customHeight="1" x14ac:dyDescent="0.25">
      <c r="A314" s="4"/>
      <c r="B314" s="28" t="str">
        <f>IF(ISNUMBER(MATCH(C314, Mgt_Unit!$C$5:$C$1018, 0)), INDEX(Mgt_Unit!$B$5:$B$1018, MATCH(C314, Mgt_Unit!$C$5:$C$1018, 0)), "")</f>
        <v>jennifer.moore</v>
      </c>
      <c r="C314" t="s">
        <v>766</v>
      </c>
      <c r="D314" s="65"/>
      <c r="E314">
        <v>1</v>
      </c>
      <c r="F314" t="s">
        <v>1538</v>
      </c>
      <c r="G314" t="s">
        <v>1544</v>
      </c>
      <c r="H314" t="s">
        <v>441</v>
      </c>
      <c r="I314" t="s">
        <v>195</v>
      </c>
      <c r="J314" s="89"/>
      <c r="K314" s="89">
        <v>43235</v>
      </c>
      <c r="L314" s="89"/>
      <c r="M314" s="31">
        <v>0</v>
      </c>
      <c r="N314" s="9"/>
      <c r="O314" s="33"/>
      <c r="P314" s="33"/>
      <c r="Q314" s="9"/>
    </row>
    <row r="315" spans="1:17" ht="15" customHeight="1" x14ac:dyDescent="0.25">
      <c r="A315" s="4"/>
      <c r="B315" s="28" t="str">
        <f>IF(ISNUMBER(MATCH(C315, Mgt_Unit!$C$5:$C$1018, 0)), INDEX(Mgt_Unit!$B$5:$B$1018, MATCH(C315, Mgt_Unit!$C$5:$C$1018, 0)), "")</f>
        <v>jennifer.moore</v>
      </c>
      <c r="C315" t="s">
        <v>766</v>
      </c>
      <c r="D315" s="65"/>
      <c r="E315">
        <v>2</v>
      </c>
      <c r="F315" t="s">
        <v>1538</v>
      </c>
      <c r="G315" t="s">
        <v>1544</v>
      </c>
      <c r="H315" t="s">
        <v>50</v>
      </c>
      <c r="I315" t="s">
        <v>87</v>
      </c>
      <c r="J315" s="89">
        <v>43265</v>
      </c>
      <c r="K315" s="89">
        <v>43395</v>
      </c>
      <c r="L315" s="89"/>
      <c r="M315" s="31">
        <v>0</v>
      </c>
      <c r="N315" s="9"/>
      <c r="O315" s="33"/>
      <c r="P315" s="33"/>
      <c r="Q315" s="9"/>
    </row>
    <row r="316" spans="1:17" ht="15" customHeight="1" x14ac:dyDescent="0.25">
      <c r="A316" s="4"/>
      <c r="B316" s="28" t="str">
        <f>IF(ISNUMBER(MATCH(C316, Mgt_Unit!$C$5:$C$1018, 0)), INDEX(Mgt_Unit!$B$5:$B$1018, MATCH(C316, Mgt_Unit!$C$5:$C$1018, 0)), "")</f>
        <v>jennifer.moore</v>
      </c>
      <c r="C316" s="87" t="s">
        <v>766</v>
      </c>
      <c r="D316" s="65"/>
      <c r="E316" s="87">
        <v>3</v>
      </c>
      <c r="F316" s="87" t="s">
        <v>1538</v>
      </c>
      <c r="G316" s="87" t="s">
        <v>1544</v>
      </c>
      <c r="H316" s="87" t="s">
        <v>441</v>
      </c>
      <c r="I316" s="87" t="s">
        <v>195</v>
      </c>
      <c r="J316" s="90">
        <v>43440</v>
      </c>
      <c r="K316" s="90"/>
      <c r="L316" s="90"/>
      <c r="M316" s="93"/>
      <c r="N316" s="9"/>
      <c r="O316" s="33"/>
      <c r="P316" s="33"/>
      <c r="Q316" s="9"/>
    </row>
    <row r="317" spans="1:17" ht="15" customHeight="1" x14ac:dyDescent="0.25">
      <c r="A317" s="4"/>
      <c r="B317" s="28" t="str">
        <f>IF(ISNUMBER(MATCH(C317, Mgt_Unit!$C$5:$C$1018, 0)), INDEX(Mgt_Unit!$B$5:$B$1018, MATCH(C317, Mgt_Unit!$C$5:$C$1018, 0)), "")</f>
        <v>jennifer.moore</v>
      </c>
      <c r="C317" t="s">
        <v>767</v>
      </c>
      <c r="D317" s="65"/>
      <c r="E317">
        <v>1</v>
      </c>
      <c r="F317" t="s">
        <v>1538</v>
      </c>
      <c r="G317" t="s">
        <v>1544</v>
      </c>
      <c r="H317" t="s">
        <v>441</v>
      </c>
      <c r="I317" t="s">
        <v>195</v>
      </c>
      <c r="J317" s="89"/>
      <c r="K317" s="89">
        <v>43235</v>
      </c>
      <c r="L317" s="89"/>
      <c r="M317" s="31">
        <v>100</v>
      </c>
      <c r="N317" s="9"/>
      <c r="O317" s="33"/>
      <c r="P317" s="33"/>
      <c r="Q317" s="9"/>
    </row>
    <row r="318" spans="1:17" ht="15" customHeight="1" x14ac:dyDescent="0.25">
      <c r="A318" s="4"/>
      <c r="B318" s="28" t="str">
        <f>IF(ISNUMBER(MATCH(C318, Mgt_Unit!$C$5:$C$1018, 0)), INDEX(Mgt_Unit!$B$5:$B$1018, MATCH(C318, Mgt_Unit!$C$5:$C$1018, 0)), "")</f>
        <v>jennifer.moore</v>
      </c>
      <c r="C318" t="s">
        <v>767</v>
      </c>
      <c r="D318" s="65"/>
      <c r="E318">
        <v>2</v>
      </c>
      <c r="F318" t="s">
        <v>1538</v>
      </c>
      <c r="G318" t="s">
        <v>1544</v>
      </c>
      <c r="H318" t="s">
        <v>50</v>
      </c>
      <c r="I318" t="s">
        <v>87</v>
      </c>
      <c r="J318" s="89">
        <v>43265</v>
      </c>
      <c r="K318" s="89">
        <v>43395</v>
      </c>
      <c r="L318" s="89"/>
      <c r="M318" s="31">
        <v>100</v>
      </c>
      <c r="N318" s="9"/>
      <c r="O318" s="33"/>
      <c r="P318" s="33"/>
      <c r="Q318" s="9"/>
    </row>
    <row r="319" spans="1:17" ht="15" customHeight="1" x14ac:dyDescent="0.25">
      <c r="A319" s="4"/>
      <c r="B319" s="28" t="str">
        <f>IF(ISNUMBER(MATCH(C319, Mgt_Unit!$C$5:$C$1018, 0)), INDEX(Mgt_Unit!$B$5:$B$1018, MATCH(C319, Mgt_Unit!$C$5:$C$1018, 0)), "")</f>
        <v>jennifer.moore</v>
      </c>
      <c r="C319" s="87" t="s">
        <v>767</v>
      </c>
      <c r="D319" s="65"/>
      <c r="E319" s="87">
        <v>3</v>
      </c>
      <c r="F319" s="87" t="s">
        <v>1538</v>
      </c>
      <c r="G319" s="87" t="s">
        <v>1544</v>
      </c>
      <c r="H319" s="87" t="s">
        <v>441</v>
      </c>
      <c r="I319" s="87" t="s">
        <v>195</v>
      </c>
      <c r="J319" s="90">
        <v>43440</v>
      </c>
      <c r="K319" s="90"/>
      <c r="L319" s="90"/>
      <c r="M319" s="93"/>
      <c r="N319" s="9"/>
      <c r="O319" s="33"/>
      <c r="P319" s="33"/>
      <c r="Q319" s="9"/>
    </row>
    <row r="320" spans="1:17" ht="15" customHeight="1" x14ac:dyDescent="0.25">
      <c r="A320" s="4"/>
      <c r="B320" s="28" t="str">
        <f>IF(ISNUMBER(MATCH(C320, Mgt_Unit!$C$5:$C$1018, 0)), INDEX(Mgt_Unit!$B$5:$B$1018, MATCH(C320, Mgt_Unit!$C$5:$C$1018, 0)), "")</f>
        <v>jennifer.moore</v>
      </c>
      <c r="C320" t="s">
        <v>768</v>
      </c>
      <c r="D320" s="65"/>
      <c r="E320">
        <v>1</v>
      </c>
      <c r="F320" t="s">
        <v>1538</v>
      </c>
      <c r="G320" t="s">
        <v>1544</v>
      </c>
      <c r="H320" t="s">
        <v>441</v>
      </c>
      <c r="I320" t="s">
        <v>195</v>
      </c>
      <c r="J320" s="89"/>
      <c r="K320" s="89">
        <v>43235</v>
      </c>
      <c r="L320" s="89"/>
      <c r="M320" s="31">
        <v>0</v>
      </c>
      <c r="N320" s="9"/>
      <c r="O320" s="33"/>
      <c r="P320" s="33"/>
      <c r="Q320" s="9"/>
    </row>
    <row r="321" spans="1:19" ht="15" customHeight="1" x14ac:dyDescent="0.25">
      <c r="A321" s="4"/>
      <c r="B321" s="28" t="str">
        <f>IF(ISNUMBER(MATCH(C321, Mgt_Unit!$C$5:$C$1018, 0)), INDEX(Mgt_Unit!$B$5:$B$1018, MATCH(C321, Mgt_Unit!$C$5:$C$1018, 0)), "")</f>
        <v>jennifer.moore</v>
      </c>
      <c r="C321" t="s">
        <v>768</v>
      </c>
      <c r="D321" s="65"/>
      <c r="E321">
        <v>2</v>
      </c>
      <c r="F321" t="s">
        <v>1538</v>
      </c>
      <c r="G321" t="s">
        <v>1544</v>
      </c>
      <c r="H321" t="s">
        <v>50</v>
      </c>
      <c r="I321" t="s">
        <v>87</v>
      </c>
      <c r="J321" s="89">
        <v>43265</v>
      </c>
      <c r="K321" s="89">
        <v>43395</v>
      </c>
      <c r="L321" s="89"/>
      <c r="M321" s="31">
        <v>0</v>
      </c>
      <c r="N321" s="9"/>
      <c r="O321" s="33"/>
      <c r="P321" s="33"/>
      <c r="Q321" s="9"/>
    </row>
    <row r="322" spans="1:19" ht="15" customHeight="1" x14ac:dyDescent="0.25">
      <c r="A322" s="4"/>
      <c r="B322" s="28" t="str">
        <f>IF(ISNUMBER(MATCH(C322, Mgt_Unit!$C$5:$C$1018, 0)), INDEX(Mgt_Unit!$B$5:$B$1018, MATCH(C322, Mgt_Unit!$C$5:$C$1018, 0)), "")</f>
        <v>jennifer.moore</v>
      </c>
      <c r="C322" s="87" t="s">
        <v>768</v>
      </c>
      <c r="D322" s="65"/>
      <c r="E322" s="87">
        <v>3</v>
      </c>
      <c r="F322" s="87" t="s">
        <v>1538</v>
      </c>
      <c r="G322" s="87" t="s">
        <v>1544</v>
      </c>
      <c r="H322" s="87" t="s">
        <v>441</v>
      </c>
      <c r="I322" s="87" t="s">
        <v>195</v>
      </c>
      <c r="J322" s="90">
        <v>43440</v>
      </c>
      <c r="K322" s="90"/>
      <c r="L322" s="90"/>
      <c r="M322" s="93"/>
      <c r="N322" s="9"/>
      <c r="O322" s="33"/>
      <c r="P322" s="33"/>
      <c r="Q322" s="9"/>
    </row>
    <row r="323" spans="1:19" ht="15" customHeight="1" x14ac:dyDescent="0.25">
      <c r="A323" s="4"/>
      <c r="B323" s="28" t="str">
        <f>IF(ISNUMBER(MATCH(C323, Mgt_Unit!$C$5:$C$1018, 0)), INDEX(Mgt_Unit!$B$5:$B$1018, MATCH(C323, Mgt_Unit!$C$5:$C$1018, 0)), "")</f>
        <v>jennifer.moore</v>
      </c>
      <c r="C323" t="s">
        <v>769</v>
      </c>
      <c r="D323" s="65"/>
      <c r="E323">
        <v>1</v>
      </c>
      <c r="F323" t="s">
        <v>1538</v>
      </c>
      <c r="G323" t="s">
        <v>1544</v>
      </c>
      <c r="H323" t="s">
        <v>441</v>
      </c>
      <c r="I323" t="s">
        <v>195</v>
      </c>
      <c r="J323" s="89"/>
      <c r="K323" s="89">
        <v>43235</v>
      </c>
      <c r="L323" s="89"/>
      <c r="M323" s="31">
        <v>100</v>
      </c>
      <c r="N323" s="9"/>
      <c r="O323" s="33"/>
      <c r="P323" s="33"/>
      <c r="Q323" s="9"/>
    </row>
    <row r="324" spans="1:19" ht="15" customHeight="1" x14ac:dyDescent="0.25">
      <c r="A324" s="4"/>
      <c r="B324" s="28" t="str">
        <f>IF(ISNUMBER(MATCH(C324, Mgt_Unit!$C$5:$C$1018, 0)), INDEX(Mgt_Unit!$B$5:$B$1018, MATCH(C324, Mgt_Unit!$C$5:$C$1018, 0)), "")</f>
        <v>jennifer.moore</v>
      </c>
      <c r="C324" t="s">
        <v>769</v>
      </c>
      <c r="D324" s="65"/>
      <c r="E324">
        <v>2</v>
      </c>
      <c r="F324" t="s">
        <v>1538</v>
      </c>
      <c r="G324" t="s">
        <v>1544</v>
      </c>
      <c r="H324" t="s">
        <v>50</v>
      </c>
      <c r="I324" t="s">
        <v>87</v>
      </c>
      <c r="J324" s="89">
        <v>43265</v>
      </c>
      <c r="K324" s="89">
        <v>43395</v>
      </c>
      <c r="L324" s="89"/>
      <c r="M324" s="31">
        <v>100</v>
      </c>
      <c r="N324" s="9"/>
      <c r="O324" s="33"/>
      <c r="P324" s="33"/>
      <c r="Q324" s="9"/>
    </row>
    <row r="325" spans="1:19" ht="15" customHeight="1" x14ac:dyDescent="0.25">
      <c r="A325" s="4"/>
      <c r="B325" s="28" t="str">
        <f>IF(ISNUMBER(MATCH(C325, Mgt_Unit!$C$5:$C$1018, 0)), INDEX(Mgt_Unit!$B$5:$B$1018, MATCH(C325, Mgt_Unit!$C$5:$C$1018, 0)), "")</f>
        <v>jennifer.moore</v>
      </c>
      <c r="C325" s="87" t="s">
        <v>769</v>
      </c>
      <c r="D325" s="65"/>
      <c r="E325" s="87">
        <v>3</v>
      </c>
      <c r="F325" s="87" t="s">
        <v>1538</v>
      </c>
      <c r="G325" s="87" t="s">
        <v>1544</v>
      </c>
      <c r="H325" s="87" t="s">
        <v>441</v>
      </c>
      <c r="I325" s="87" t="s">
        <v>195</v>
      </c>
      <c r="J325" s="90">
        <v>43440</v>
      </c>
      <c r="K325" s="90"/>
      <c r="L325" s="90"/>
      <c r="M325" s="93"/>
      <c r="N325" s="9"/>
      <c r="O325" s="33"/>
      <c r="P325" s="33"/>
      <c r="Q325" s="9"/>
    </row>
    <row r="326" spans="1:19" ht="15" customHeight="1" x14ac:dyDescent="0.25">
      <c r="A326" s="4"/>
      <c r="B326" s="28" t="str">
        <f>IF(ISNUMBER(MATCH(C326, Mgt_Unit!$C$5:$C$1018, 0)), INDEX(Mgt_Unit!$B$5:$B$1018, MATCH(C326, Mgt_Unit!$C$5:$C$1018, 0)), "")</f>
        <v>jennifer.moore</v>
      </c>
      <c r="C326" t="s">
        <v>770</v>
      </c>
      <c r="D326" s="65"/>
      <c r="E326">
        <v>1</v>
      </c>
      <c r="F326" t="s">
        <v>1538</v>
      </c>
      <c r="G326" t="s">
        <v>1544</v>
      </c>
      <c r="H326" t="s">
        <v>441</v>
      </c>
      <c r="I326" t="s">
        <v>195</v>
      </c>
      <c r="J326" s="89"/>
      <c r="K326" s="89">
        <v>43235</v>
      </c>
      <c r="L326" s="89"/>
      <c r="M326" s="31">
        <v>50</v>
      </c>
      <c r="N326" s="9"/>
      <c r="O326" s="33"/>
      <c r="P326" s="33"/>
      <c r="Q326" s="9"/>
    </row>
    <row r="327" spans="1:19" ht="15" customHeight="1" x14ac:dyDescent="0.25">
      <c r="A327" s="4"/>
      <c r="B327" s="28" t="str">
        <f>IF(ISNUMBER(MATCH(C327, Mgt_Unit!$C$5:$C$1018, 0)), INDEX(Mgt_Unit!$B$5:$B$1018, MATCH(C327, Mgt_Unit!$C$5:$C$1018, 0)), "")</f>
        <v>jennifer.moore</v>
      </c>
      <c r="C327" t="s">
        <v>770</v>
      </c>
      <c r="D327" s="65"/>
      <c r="E327">
        <v>2</v>
      </c>
      <c r="F327" t="s">
        <v>1538</v>
      </c>
      <c r="G327" t="s">
        <v>1544</v>
      </c>
      <c r="H327" t="s">
        <v>50</v>
      </c>
      <c r="I327" t="s">
        <v>87</v>
      </c>
      <c r="J327" s="89">
        <v>43265</v>
      </c>
      <c r="K327" s="89">
        <v>43395</v>
      </c>
      <c r="L327" s="89"/>
      <c r="M327" s="31">
        <v>50</v>
      </c>
      <c r="N327" s="9"/>
      <c r="O327" s="33"/>
      <c r="P327" s="33"/>
      <c r="Q327" s="9"/>
    </row>
    <row r="328" spans="1:19" ht="15" customHeight="1" x14ac:dyDescent="0.25">
      <c r="A328" s="4"/>
      <c r="B328" s="28" t="str">
        <f>IF(ISNUMBER(MATCH(C328, Mgt_Unit!$C$5:$C$1018, 0)), INDEX(Mgt_Unit!$B$5:$B$1018, MATCH(C328, Mgt_Unit!$C$5:$C$1018, 0)), "")</f>
        <v>jennifer.moore</v>
      </c>
      <c r="C328" s="87" t="s">
        <v>770</v>
      </c>
      <c r="D328" s="65"/>
      <c r="E328" s="87">
        <v>3</v>
      </c>
      <c r="F328" s="87" t="s">
        <v>1538</v>
      </c>
      <c r="G328" s="87" t="s">
        <v>1544</v>
      </c>
      <c r="H328" s="87" t="s">
        <v>441</v>
      </c>
      <c r="I328" s="87" t="s">
        <v>195</v>
      </c>
      <c r="J328" s="90">
        <v>43440</v>
      </c>
      <c r="K328" s="90"/>
      <c r="L328" s="90"/>
      <c r="M328" s="93"/>
      <c r="N328" s="9"/>
      <c r="O328" s="33"/>
      <c r="P328" s="33"/>
      <c r="Q328" s="9"/>
    </row>
    <row r="329" spans="1:19" ht="15" customHeight="1" x14ac:dyDescent="0.25">
      <c r="A329" s="4"/>
      <c r="B329" s="28" t="str">
        <f>IF(ISNUMBER(MATCH(C329, Mgt_Unit!$C$5:$C$1018, 0)), INDEX(Mgt_Unit!$B$5:$B$1018, MATCH(C329, Mgt_Unit!$C$5:$C$1018, 0)), "")</f>
        <v>jennifer.moore</v>
      </c>
      <c r="C329" t="s">
        <v>771</v>
      </c>
      <c r="D329" s="65"/>
      <c r="E329">
        <v>1</v>
      </c>
      <c r="F329" t="s">
        <v>1538</v>
      </c>
      <c r="G329" t="s">
        <v>1535</v>
      </c>
      <c r="H329" t="s">
        <v>441</v>
      </c>
      <c r="I329" t="s">
        <v>27</v>
      </c>
      <c r="J329" s="89"/>
      <c r="K329" s="89"/>
      <c r="L329" s="89">
        <v>43271</v>
      </c>
      <c r="M329" s="31">
        <v>0</v>
      </c>
      <c r="N329" s="9"/>
      <c r="O329" s="33"/>
      <c r="P329" s="33"/>
      <c r="Q329" s="9"/>
    </row>
    <row r="330" spans="1:19" ht="15" customHeight="1" x14ac:dyDescent="0.25">
      <c r="A330" s="4"/>
      <c r="B330" s="28" t="str">
        <f>IF(ISNUMBER(MATCH(C330, Mgt_Unit!$C$5:$C$1018, 0)), INDEX(Mgt_Unit!$B$5:$B$1018, MATCH(C330, Mgt_Unit!$C$5:$C$1018, 0)), "")</f>
        <v>jennifer.moore</v>
      </c>
      <c r="C330" t="s">
        <v>771</v>
      </c>
      <c r="D330" s="65"/>
      <c r="E330">
        <v>2</v>
      </c>
      <c r="F330" t="s">
        <v>1538</v>
      </c>
      <c r="G330" t="s">
        <v>1544</v>
      </c>
      <c r="H330" t="s">
        <v>51</v>
      </c>
      <c r="I330" t="s">
        <v>137</v>
      </c>
      <c r="J330" s="89">
        <v>43276</v>
      </c>
      <c r="K330" s="89">
        <v>43403</v>
      </c>
      <c r="L330" s="89"/>
      <c r="M330" s="31">
        <v>0</v>
      </c>
      <c r="N330" s="9"/>
      <c r="O330" s="33"/>
      <c r="P330" s="33"/>
      <c r="Q330" s="9"/>
    </row>
    <row r="331" spans="1:19" ht="15" customHeight="1" x14ac:dyDescent="0.25">
      <c r="A331" s="4"/>
      <c r="B331" s="28" t="str">
        <f>IF(ISNUMBER(MATCH(C331, Mgt_Unit!$C$5:$C$1018, 0)), INDEX(Mgt_Unit!$B$5:$B$1018, MATCH(C331, Mgt_Unit!$C$5:$C$1018, 0)), "")</f>
        <v>jennifer.moore</v>
      </c>
      <c r="C331" t="s">
        <v>771</v>
      </c>
      <c r="D331" s="65"/>
      <c r="E331">
        <v>3</v>
      </c>
      <c r="F331" t="s">
        <v>1538</v>
      </c>
      <c r="G331" t="s">
        <v>1535</v>
      </c>
      <c r="H331" t="s">
        <v>441</v>
      </c>
      <c r="I331" t="s">
        <v>27</v>
      </c>
      <c r="J331" s="89">
        <v>43409</v>
      </c>
      <c r="K331" s="89"/>
      <c r="L331" s="89">
        <v>43551</v>
      </c>
      <c r="M331" s="31">
        <v>0</v>
      </c>
      <c r="N331" s="9"/>
      <c r="O331" s="33"/>
      <c r="P331" s="33"/>
      <c r="Q331" s="9"/>
    </row>
    <row r="332" spans="1:19" ht="15" customHeight="1" x14ac:dyDescent="0.25">
      <c r="A332" s="4"/>
      <c r="B332" s="28" t="str">
        <f>IF(ISNUMBER(MATCH(C332, Mgt_Unit!$C$5:$C$1018, 0)), INDEX(Mgt_Unit!$B$5:$B$1018, MATCH(C332, Mgt_Unit!$C$5:$C$1018, 0)), "")</f>
        <v>jennifer.moore</v>
      </c>
      <c r="C332" t="s">
        <v>771</v>
      </c>
      <c r="D332" s="65"/>
      <c r="E332">
        <v>4</v>
      </c>
      <c r="F332" t="s">
        <v>1538</v>
      </c>
      <c r="G332" t="s">
        <v>1544</v>
      </c>
      <c r="H332" t="s">
        <v>50</v>
      </c>
      <c r="I332" t="s">
        <v>87</v>
      </c>
      <c r="J332" s="89">
        <v>43573</v>
      </c>
      <c r="K332" s="89">
        <v>43739</v>
      </c>
      <c r="L332" s="89"/>
      <c r="M332" s="31">
        <v>0</v>
      </c>
      <c r="N332" s="9"/>
      <c r="O332" s="33"/>
      <c r="P332" s="33"/>
      <c r="Q332" s="9"/>
    </row>
    <row r="333" spans="1:19" ht="15" customHeight="1" x14ac:dyDescent="0.25">
      <c r="A333" s="4"/>
      <c r="B333" s="28" t="str">
        <f>IF(ISNUMBER(MATCH(C333, Mgt_Unit!$C$5:$C$1018, 0)), INDEX(Mgt_Unit!$B$5:$B$1018, MATCH(C333, Mgt_Unit!$C$5:$C$1018, 0)), "")</f>
        <v>jennifer.moore</v>
      </c>
      <c r="C333" s="87" t="s">
        <v>771</v>
      </c>
      <c r="D333" s="65"/>
      <c r="E333" s="87">
        <v>5</v>
      </c>
      <c r="F333" s="87" t="s">
        <v>1538</v>
      </c>
      <c r="G333" s="87" t="s">
        <v>1535</v>
      </c>
      <c r="H333" s="87" t="s">
        <v>441</v>
      </c>
      <c r="I333" s="87" t="s">
        <v>27</v>
      </c>
      <c r="J333" s="90">
        <v>43774</v>
      </c>
      <c r="K333" s="90"/>
      <c r="L333" s="90"/>
      <c r="M333" s="93"/>
      <c r="N333" s="9"/>
      <c r="O333" s="33"/>
      <c r="P333" s="33"/>
      <c r="Q333" s="9"/>
    </row>
    <row r="334" spans="1:19" ht="15" customHeight="1" x14ac:dyDescent="0.25">
      <c r="A334" s="4"/>
      <c r="B334" s="28" t="str">
        <f>IF(ISNUMBER(MATCH(C334, Mgt_Unit!$C$5:$C$1018, 0)), INDEX(Mgt_Unit!$B$5:$B$1018, MATCH(C334, Mgt_Unit!$C$5:$C$1018, 0)), "")</f>
        <v>jennifer.moore</v>
      </c>
      <c r="C334" t="s">
        <v>772</v>
      </c>
      <c r="D334" s="65"/>
      <c r="E334">
        <v>1</v>
      </c>
      <c r="F334" t="s">
        <v>1538</v>
      </c>
      <c r="G334" t="s">
        <v>1535</v>
      </c>
      <c r="H334" t="s">
        <v>441</v>
      </c>
      <c r="I334" t="s">
        <v>27</v>
      </c>
      <c r="J334" s="89"/>
      <c r="K334" s="89"/>
      <c r="L334" s="89">
        <v>43271</v>
      </c>
      <c r="M334" s="31">
        <v>0</v>
      </c>
      <c r="N334" s="9"/>
      <c r="O334" s="33"/>
      <c r="P334" s="33"/>
      <c r="Q334" s="9"/>
    </row>
    <row r="335" spans="1:19" ht="15" customHeight="1" x14ac:dyDescent="0.25">
      <c r="A335" s="4"/>
      <c r="B335" s="28" t="str">
        <f>IF(ISNUMBER(MATCH(C335, Mgt_Unit!$C$5:$C$1018, 0)), INDEX(Mgt_Unit!$B$5:$B$1018, MATCH(C335, Mgt_Unit!$C$5:$C$1018, 0)), "")</f>
        <v>jennifer.moore</v>
      </c>
      <c r="C335" t="s">
        <v>772</v>
      </c>
      <c r="D335" s="65"/>
      <c r="E335">
        <v>2</v>
      </c>
      <c r="F335" t="s">
        <v>1538</v>
      </c>
      <c r="G335" t="s">
        <v>1544</v>
      </c>
      <c r="H335" t="s">
        <v>51</v>
      </c>
      <c r="I335" t="s">
        <v>137</v>
      </c>
      <c r="J335" s="89">
        <v>43276</v>
      </c>
      <c r="K335" s="89">
        <v>43403</v>
      </c>
      <c r="L335" s="89"/>
      <c r="M335" s="31">
        <v>0</v>
      </c>
      <c r="N335" s="9"/>
      <c r="O335" s="33"/>
      <c r="P335" s="33"/>
      <c r="Q335" s="9"/>
      <c r="R335" s="78"/>
      <c r="S335" s="37"/>
    </row>
    <row r="336" spans="1:19" ht="15" customHeight="1" x14ac:dyDescent="0.25">
      <c r="A336" s="4"/>
      <c r="B336" s="28" t="str">
        <f>IF(ISNUMBER(MATCH(C336, Mgt_Unit!$C$5:$C$1018, 0)), INDEX(Mgt_Unit!$B$5:$B$1018, MATCH(C336, Mgt_Unit!$C$5:$C$1018, 0)), "")</f>
        <v>jennifer.moore</v>
      </c>
      <c r="C336" t="s">
        <v>772</v>
      </c>
      <c r="D336" s="65"/>
      <c r="E336">
        <v>3</v>
      </c>
      <c r="F336" t="s">
        <v>1538</v>
      </c>
      <c r="G336" t="s">
        <v>1535</v>
      </c>
      <c r="H336" t="s">
        <v>441</v>
      </c>
      <c r="I336" t="s">
        <v>27</v>
      </c>
      <c r="J336" s="89">
        <v>43409</v>
      </c>
      <c r="K336" s="89"/>
      <c r="L336" s="89">
        <v>43551</v>
      </c>
      <c r="M336" s="31">
        <v>0</v>
      </c>
      <c r="N336" s="9"/>
      <c r="O336" s="33"/>
      <c r="P336" s="33"/>
      <c r="Q336" s="9"/>
      <c r="R336" s="67"/>
      <c r="S336" s="9"/>
    </row>
    <row r="337" spans="1:19" ht="15" customHeight="1" x14ac:dyDescent="0.25">
      <c r="A337" s="4"/>
      <c r="B337" s="28" t="str">
        <f>IF(ISNUMBER(MATCH(C337, Mgt_Unit!$C$5:$C$1018, 0)), INDEX(Mgt_Unit!$B$5:$B$1018, MATCH(C337, Mgt_Unit!$C$5:$C$1018, 0)), "")</f>
        <v>jennifer.moore</v>
      </c>
      <c r="C337" t="s">
        <v>772</v>
      </c>
      <c r="D337" s="65"/>
      <c r="E337">
        <v>4</v>
      </c>
      <c r="F337" t="s">
        <v>1538</v>
      </c>
      <c r="G337" t="s">
        <v>1544</v>
      </c>
      <c r="H337" t="s">
        <v>50</v>
      </c>
      <c r="I337" t="s">
        <v>87</v>
      </c>
      <c r="J337" s="89">
        <v>43573</v>
      </c>
      <c r="K337" s="89">
        <v>43739</v>
      </c>
      <c r="L337" s="89"/>
      <c r="M337" s="31">
        <v>0</v>
      </c>
      <c r="N337" s="9"/>
      <c r="O337" s="33"/>
      <c r="P337" s="33"/>
      <c r="Q337" s="9"/>
      <c r="R337" s="67"/>
      <c r="S337" s="9"/>
    </row>
    <row r="338" spans="1:19" ht="15" customHeight="1" x14ac:dyDescent="0.25">
      <c r="A338" s="4"/>
      <c r="B338" s="28" t="str">
        <f>IF(ISNUMBER(MATCH(C338, Mgt_Unit!$C$5:$C$1018, 0)), INDEX(Mgt_Unit!$B$5:$B$1018, MATCH(C338, Mgt_Unit!$C$5:$C$1018, 0)), "")</f>
        <v>jennifer.moore</v>
      </c>
      <c r="C338" s="87" t="s">
        <v>772</v>
      </c>
      <c r="D338" s="65"/>
      <c r="E338" s="87">
        <v>5</v>
      </c>
      <c r="F338" s="87" t="s">
        <v>1538</v>
      </c>
      <c r="G338" s="87" t="s">
        <v>1535</v>
      </c>
      <c r="H338" s="87" t="s">
        <v>441</v>
      </c>
      <c r="I338" s="87" t="s">
        <v>27</v>
      </c>
      <c r="J338" s="90">
        <v>43774</v>
      </c>
      <c r="K338" s="90"/>
      <c r="L338" s="90"/>
      <c r="M338" s="93"/>
      <c r="N338" s="9"/>
      <c r="O338" s="33"/>
      <c r="P338" s="33"/>
      <c r="Q338" s="9"/>
      <c r="R338" s="67"/>
      <c r="S338" s="9"/>
    </row>
    <row r="339" spans="1:19" ht="15" customHeight="1" x14ac:dyDescent="0.25">
      <c r="A339" s="4"/>
      <c r="B339" s="28" t="str">
        <f>IF(ISNUMBER(MATCH(C339, Mgt_Unit!$C$5:$C$1018, 0)), INDEX(Mgt_Unit!$B$5:$B$1018, MATCH(C339, Mgt_Unit!$C$5:$C$1018, 0)), "")</f>
        <v>jennifer.moore</v>
      </c>
      <c r="C339" t="s">
        <v>773</v>
      </c>
      <c r="D339" s="65"/>
      <c r="E339">
        <v>1</v>
      </c>
      <c r="F339" t="s">
        <v>1538</v>
      </c>
      <c r="G339" t="s">
        <v>1535</v>
      </c>
      <c r="H339" t="s">
        <v>441</v>
      </c>
      <c r="I339" t="s">
        <v>27</v>
      </c>
      <c r="J339" s="89"/>
      <c r="K339" s="89"/>
      <c r="L339" s="89">
        <v>43271</v>
      </c>
      <c r="M339" s="31">
        <v>0</v>
      </c>
      <c r="N339" s="9"/>
      <c r="O339" s="33"/>
      <c r="P339" s="33"/>
      <c r="Q339" s="9"/>
      <c r="R339" s="67"/>
      <c r="S339" s="9"/>
    </row>
    <row r="340" spans="1:19" ht="15" customHeight="1" x14ac:dyDescent="0.25">
      <c r="A340" s="4"/>
      <c r="B340" s="28" t="str">
        <f>IF(ISNUMBER(MATCH(C340, Mgt_Unit!$C$5:$C$1018, 0)), INDEX(Mgt_Unit!$B$5:$B$1018, MATCH(C340, Mgt_Unit!$C$5:$C$1018, 0)), "")</f>
        <v>jennifer.moore</v>
      </c>
      <c r="C340" t="s">
        <v>773</v>
      </c>
      <c r="D340" s="65"/>
      <c r="E340">
        <v>2</v>
      </c>
      <c r="F340" t="s">
        <v>1538</v>
      </c>
      <c r="G340" t="s">
        <v>1544</v>
      </c>
      <c r="H340" t="s">
        <v>51</v>
      </c>
      <c r="I340" t="s">
        <v>137</v>
      </c>
      <c r="J340" s="89">
        <v>43276</v>
      </c>
      <c r="K340" s="89">
        <v>43403</v>
      </c>
      <c r="L340" s="89"/>
      <c r="M340" s="31">
        <v>0</v>
      </c>
      <c r="N340" s="9"/>
      <c r="O340" s="33"/>
      <c r="P340" s="33"/>
      <c r="Q340" s="9"/>
      <c r="R340" s="67"/>
      <c r="S340" s="9"/>
    </row>
    <row r="341" spans="1:19" ht="15" customHeight="1" x14ac:dyDescent="0.25">
      <c r="A341" s="4"/>
      <c r="B341" s="28" t="str">
        <f>IF(ISNUMBER(MATCH(C341, Mgt_Unit!$C$5:$C$1018, 0)), INDEX(Mgt_Unit!$B$5:$B$1018, MATCH(C341, Mgt_Unit!$C$5:$C$1018, 0)), "")</f>
        <v>jennifer.moore</v>
      </c>
      <c r="C341" t="s">
        <v>773</v>
      </c>
      <c r="D341" s="65"/>
      <c r="E341">
        <v>3</v>
      </c>
      <c r="F341" t="s">
        <v>1538</v>
      </c>
      <c r="G341" t="s">
        <v>1535</v>
      </c>
      <c r="H341" t="s">
        <v>441</v>
      </c>
      <c r="I341" t="s">
        <v>27</v>
      </c>
      <c r="J341" s="89">
        <v>43409</v>
      </c>
      <c r="K341" s="89"/>
      <c r="L341" s="89">
        <v>43551</v>
      </c>
      <c r="M341" s="31">
        <v>0</v>
      </c>
      <c r="N341" s="9"/>
      <c r="O341" s="33"/>
      <c r="P341" s="33"/>
      <c r="Q341" s="9"/>
      <c r="R341" s="67"/>
      <c r="S341" s="9"/>
    </row>
    <row r="342" spans="1:19" ht="15" customHeight="1" x14ac:dyDescent="0.25">
      <c r="A342" s="4"/>
      <c r="B342" s="28" t="str">
        <f>IF(ISNUMBER(MATCH(C342, Mgt_Unit!$C$5:$C$1018, 0)), INDEX(Mgt_Unit!$B$5:$B$1018, MATCH(C342, Mgt_Unit!$C$5:$C$1018, 0)), "")</f>
        <v>jennifer.moore</v>
      </c>
      <c r="C342" t="s">
        <v>773</v>
      </c>
      <c r="D342" s="65"/>
      <c r="E342">
        <v>4</v>
      </c>
      <c r="F342" t="s">
        <v>1538</v>
      </c>
      <c r="G342" t="s">
        <v>1544</v>
      </c>
      <c r="H342" t="s">
        <v>50</v>
      </c>
      <c r="I342" t="s">
        <v>87</v>
      </c>
      <c r="J342" s="89">
        <v>43573</v>
      </c>
      <c r="K342" s="89">
        <v>43739</v>
      </c>
      <c r="L342" s="89"/>
      <c r="M342" s="31">
        <v>0</v>
      </c>
      <c r="N342" s="9"/>
      <c r="O342" s="33"/>
      <c r="P342" s="33"/>
      <c r="Q342" s="9"/>
      <c r="R342" s="67"/>
      <c r="S342" s="9"/>
    </row>
    <row r="343" spans="1:19" ht="15" customHeight="1" x14ac:dyDescent="0.25">
      <c r="A343" s="4"/>
      <c r="B343" s="28" t="str">
        <f>IF(ISNUMBER(MATCH(C343, Mgt_Unit!$C$5:$C$1018, 0)), INDEX(Mgt_Unit!$B$5:$B$1018, MATCH(C343, Mgt_Unit!$C$5:$C$1018, 0)), "")</f>
        <v>jennifer.moore</v>
      </c>
      <c r="C343" s="87" t="s">
        <v>773</v>
      </c>
      <c r="D343" s="65"/>
      <c r="E343" s="87">
        <v>5</v>
      </c>
      <c r="F343" s="87" t="s">
        <v>1538</v>
      </c>
      <c r="G343" s="87" t="s">
        <v>1535</v>
      </c>
      <c r="H343" s="87" t="s">
        <v>441</v>
      </c>
      <c r="I343" s="87" t="s">
        <v>27</v>
      </c>
      <c r="J343" s="90">
        <v>43774</v>
      </c>
      <c r="K343" s="90"/>
      <c r="L343" s="90"/>
      <c r="M343" s="93"/>
      <c r="N343" s="9"/>
      <c r="O343" s="33"/>
      <c r="P343" s="33"/>
      <c r="Q343" s="9"/>
      <c r="R343" s="67"/>
      <c r="S343" s="9"/>
    </row>
    <row r="344" spans="1:19" ht="15" customHeight="1" x14ac:dyDescent="0.25">
      <c r="A344" s="4"/>
      <c r="B344" s="28" t="str">
        <f>IF(ISNUMBER(MATCH(C344, Mgt_Unit!$C$5:$C$1018, 0)), INDEX(Mgt_Unit!$B$5:$B$1018, MATCH(C344, Mgt_Unit!$C$5:$C$1018, 0)), "")</f>
        <v>jennifer.moore</v>
      </c>
      <c r="C344" t="s">
        <v>774</v>
      </c>
      <c r="D344" s="65"/>
      <c r="E344">
        <v>1</v>
      </c>
      <c r="F344" t="s">
        <v>1538</v>
      </c>
      <c r="G344" t="s">
        <v>1535</v>
      </c>
      <c r="H344" t="s">
        <v>441</v>
      </c>
      <c r="I344" t="s">
        <v>27</v>
      </c>
      <c r="J344" s="89"/>
      <c r="K344" s="89"/>
      <c r="L344" s="89">
        <v>43271</v>
      </c>
      <c r="M344" s="31">
        <v>0</v>
      </c>
      <c r="N344" s="9"/>
      <c r="O344" s="33"/>
      <c r="P344" s="33"/>
      <c r="Q344" s="9"/>
      <c r="R344" s="67"/>
      <c r="S344" s="9"/>
    </row>
    <row r="345" spans="1:19" ht="15" customHeight="1" x14ac:dyDescent="0.25">
      <c r="A345" s="4"/>
      <c r="B345" s="28" t="str">
        <f>IF(ISNUMBER(MATCH(C345, Mgt_Unit!$C$5:$C$1018, 0)), INDEX(Mgt_Unit!$B$5:$B$1018, MATCH(C345, Mgt_Unit!$C$5:$C$1018, 0)), "")</f>
        <v>jennifer.moore</v>
      </c>
      <c r="C345" t="s">
        <v>774</v>
      </c>
      <c r="D345" s="65"/>
      <c r="E345">
        <v>2</v>
      </c>
      <c r="F345" t="s">
        <v>1538</v>
      </c>
      <c r="G345" t="s">
        <v>1544</v>
      </c>
      <c r="H345" t="s">
        <v>51</v>
      </c>
      <c r="I345" t="s">
        <v>137</v>
      </c>
      <c r="J345" s="89">
        <v>43276</v>
      </c>
      <c r="K345" s="89">
        <v>43403</v>
      </c>
      <c r="L345" s="89"/>
      <c r="M345" s="31">
        <v>0</v>
      </c>
      <c r="N345" s="9"/>
      <c r="O345" s="33"/>
      <c r="P345" s="33"/>
      <c r="Q345" s="9"/>
      <c r="R345" s="67"/>
      <c r="S345" s="9"/>
    </row>
    <row r="346" spans="1:19" ht="15" customHeight="1" x14ac:dyDescent="0.25">
      <c r="A346" s="4"/>
      <c r="B346" s="28" t="str">
        <f>IF(ISNUMBER(MATCH(C346, Mgt_Unit!$C$5:$C$1018, 0)), INDEX(Mgt_Unit!$B$5:$B$1018, MATCH(C346, Mgt_Unit!$C$5:$C$1018, 0)), "")</f>
        <v>jennifer.moore</v>
      </c>
      <c r="C346" t="s">
        <v>774</v>
      </c>
      <c r="D346" s="65"/>
      <c r="E346">
        <v>3</v>
      </c>
      <c r="F346" t="s">
        <v>1538</v>
      </c>
      <c r="G346" t="s">
        <v>1535</v>
      </c>
      <c r="H346" t="s">
        <v>441</v>
      </c>
      <c r="I346" t="s">
        <v>27</v>
      </c>
      <c r="J346" s="89">
        <v>43409</v>
      </c>
      <c r="K346" s="89"/>
      <c r="L346" s="89">
        <v>43551</v>
      </c>
      <c r="M346" s="31">
        <v>0</v>
      </c>
      <c r="N346" s="9"/>
      <c r="O346" s="33"/>
      <c r="P346" s="33"/>
      <c r="Q346" s="9"/>
      <c r="R346" s="67"/>
      <c r="S346" s="9"/>
    </row>
    <row r="347" spans="1:19" ht="15" customHeight="1" x14ac:dyDescent="0.25">
      <c r="A347" s="4"/>
      <c r="B347" s="28" t="str">
        <f>IF(ISNUMBER(MATCH(C347, Mgt_Unit!$C$5:$C$1018, 0)), INDEX(Mgt_Unit!$B$5:$B$1018, MATCH(C347, Mgt_Unit!$C$5:$C$1018, 0)), "")</f>
        <v>jennifer.moore</v>
      </c>
      <c r="C347" t="s">
        <v>774</v>
      </c>
      <c r="D347" s="65"/>
      <c r="E347">
        <v>4</v>
      </c>
      <c r="F347" t="s">
        <v>1538</v>
      </c>
      <c r="G347" t="s">
        <v>1544</v>
      </c>
      <c r="H347" t="s">
        <v>50</v>
      </c>
      <c r="I347" t="s">
        <v>87</v>
      </c>
      <c r="J347" s="89">
        <v>43573</v>
      </c>
      <c r="K347" s="89">
        <v>43739</v>
      </c>
      <c r="L347" s="89"/>
      <c r="M347" s="31">
        <v>0</v>
      </c>
      <c r="N347" s="9"/>
      <c r="O347" s="33"/>
      <c r="P347" s="33"/>
      <c r="Q347" s="9"/>
      <c r="R347" s="67"/>
      <c r="S347" s="9"/>
    </row>
    <row r="348" spans="1:19" ht="15" customHeight="1" x14ac:dyDescent="0.25">
      <c r="A348" s="4"/>
      <c r="B348" s="28" t="str">
        <f>IF(ISNUMBER(MATCH(C348, Mgt_Unit!$C$5:$C$1018, 0)), INDEX(Mgt_Unit!$B$5:$B$1018, MATCH(C348, Mgt_Unit!$C$5:$C$1018, 0)), "")</f>
        <v>jennifer.moore</v>
      </c>
      <c r="C348" s="87" t="s">
        <v>774</v>
      </c>
      <c r="D348" s="65"/>
      <c r="E348" s="87">
        <v>5</v>
      </c>
      <c r="F348" s="87" t="s">
        <v>1538</v>
      </c>
      <c r="G348" s="87" t="s">
        <v>1535</v>
      </c>
      <c r="H348" s="87" t="s">
        <v>441</v>
      </c>
      <c r="I348" s="87" t="s">
        <v>27</v>
      </c>
      <c r="J348" s="90">
        <v>43774</v>
      </c>
      <c r="K348" s="90"/>
      <c r="L348" s="90"/>
      <c r="M348" s="93"/>
      <c r="N348" s="9"/>
      <c r="O348" s="33"/>
      <c r="P348" s="33"/>
      <c r="Q348" s="9"/>
      <c r="R348" s="67"/>
      <c r="S348" s="9"/>
    </row>
    <row r="349" spans="1:19" ht="15" customHeight="1" x14ac:dyDescent="0.25">
      <c r="A349" s="4"/>
      <c r="B349" s="28" t="str">
        <f>IF(ISNUMBER(MATCH(C349, Mgt_Unit!$C$5:$C$1018, 0)), INDEX(Mgt_Unit!$B$5:$B$1018, MATCH(C349, Mgt_Unit!$C$5:$C$1018, 0)), "")</f>
        <v>jennifer.moore</v>
      </c>
      <c r="C349" t="s">
        <v>775</v>
      </c>
      <c r="D349" s="65"/>
      <c r="E349">
        <v>1</v>
      </c>
      <c r="F349" t="s">
        <v>1538</v>
      </c>
      <c r="G349" t="s">
        <v>1544</v>
      </c>
      <c r="H349" t="s">
        <v>50</v>
      </c>
      <c r="I349" t="s">
        <v>87</v>
      </c>
      <c r="J349" s="89">
        <v>43208</v>
      </c>
      <c r="K349" s="89">
        <v>43374</v>
      </c>
      <c r="L349" s="89"/>
      <c r="M349" s="31">
        <v>0</v>
      </c>
      <c r="N349" s="9"/>
      <c r="O349" s="33"/>
      <c r="P349" s="33"/>
      <c r="Q349" s="9"/>
      <c r="R349" s="67"/>
      <c r="S349" s="9"/>
    </row>
    <row r="350" spans="1:19" ht="15" customHeight="1" x14ac:dyDescent="0.25">
      <c r="A350" s="4"/>
      <c r="B350" s="28" t="str">
        <f>IF(ISNUMBER(MATCH(C350, Mgt_Unit!$C$5:$C$1018, 0)), INDEX(Mgt_Unit!$B$5:$B$1018, MATCH(C350, Mgt_Unit!$C$5:$C$1018, 0)), "")</f>
        <v>jennifer.moore</v>
      </c>
      <c r="C350" t="s">
        <v>775</v>
      </c>
      <c r="D350" s="65"/>
      <c r="E350">
        <v>2</v>
      </c>
      <c r="F350" t="s">
        <v>1538</v>
      </c>
      <c r="G350" t="s">
        <v>1535</v>
      </c>
      <c r="H350" t="s">
        <v>441</v>
      </c>
      <c r="I350" t="s">
        <v>27</v>
      </c>
      <c r="J350" s="89">
        <v>43409</v>
      </c>
      <c r="K350" s="89"/>
      <c r="L350" s="89">
        <v>43636</v>
      </c>
      <c r="M350" s="31">
        <v>0</v>
      </c>
      <c r="N350" s="9"/>
      <c r="O350" s="33"/>
      <c r="P350" s="33"/>
      <c r="Q350" s="9"/>
      <c r="R350" s="67"/>
      <c r="S350" s="9"/>
    </row>
    <row r="351" spans="1:19" ht="15" customHeight="1" x14ac:dyDescent="0.25">
      <c r="A351" s="4"/>
      <c r="B351" s="28" t="str">
        <f>IF(ISNUMBER(MATCH(C351, Mgt_Unit!$C$5:$C$1018, 0)), INDEX(Mgt_Unit!$B$5:$B$1018, MATCH(C351, Mgt_Unit!$C$5:$C$1018, 0)), "")</f>
        <v>jennifer.moore</v>
      </c>
      <c r="C351" t="s">
        <v>775</v>
      </c>
      <c r="D351" s="65"/>
      <c r="E351">
        <v>3</v>
      </c>
      <c r="F351" t="s">
        <v>1538</v>
      </c>
      <c r="G351" t="s">
        <v>1544</v>
      </c>
      <c r="H351" t="s">
        <v>51</v>
      </c>
      <c r="I351" t="s">
        <v>137</v>
      </c>
      <c r="J351" s="89">
        <v>43641</v>
      </c>
      <c r="K351" s="89">
        <v>43768</v>
      </c>
      <c r="L351" s="89"/>
      <c r="M351" s="31">
        <v>0</v>
      </c>
      <c r="N351" s="9"/>
      <c r="O351" s="33"/>
      <c r="P351" s="33"/>
      <c r="Q351" s="9"/>
      <c r="R351" s="67"/>
      <c r="S351" s="9"/>
    </row>
    <row r="352" spans="1:19" ht="15" customHeight="1" x14ac:dyDescent="0.25">
      <c r="A352" s="4"/>
      <c r="B352" s="28" t="str">
        <f>IF(ISNUMBER(MATCH(C352, Mgt_Unit!$C$5:$C$1018, 0)), INDEX(Mgt_Unit!$B$5:$B$1018, MATCH(C352, Mgt_Unit!$C$5:$C$1018, 0)), "")</f>
        <v>jennifer.moore</v>
      </c>
      <c r="C352" s="87" t="s">
        <v>775</v>
      </c>
      <c r="D352" s="65"/>
      <c r="E352" s="87">
        <v>4</v>
      </c>
      <c r="F352" s="87" t="s">
        <v>1538</v>
      </c>
      <c r="G352" s="87" t="s">
        <v>1535</v>
      </c>
      <c r="H352" s="87" t="s">
        <v>441</v>
      </c>
      <c r="I352" s="87" t="s">
        <v>27</v>
      </c>
      <c r="J352" s="90">
        <v>43774</v>
      </c>
      <c r="K352" s="90"/>
      <c r="L352" s="90"/>
      <c r="M352" s="93"/>
      <c r="N352" s="9"/>
      <c r="O352" s="33"/>
      <c r="P352" s="33"/>
      <c r="Q352" s="9"/>
      <c r="R352" s="67"/>
      <c r="S352" s="9"/>
    </row>
    <row r="353" spans="1:19" ht="15" customHeight="1" x14ac:dyDescent="0.25">
      <c r="A353" s="4"/>
      <c r="B353" s="28" t="str">
        <f>IF(ISNUMBER(MATCH(C353, Mgt_Unit!$C$5:$C$1018, 0)), INDEX(Mgt_Unit!$B$5:$B$1018, MATCH(C353, Mgt_Unit!$C$5:$C$1018, 0)), "")</f>
        <v>jennifer.moore</v>
      </c>
      <c r="C353" t="s">
        <v>776</v>
      </c>
      <c r="D353" s="65"/>
      <c r="E353">
        <v>1</v>
      </c>
      <c r="F353" t="s">
        <v>1538</v>
      </c>
      <c r="G353" t="s">
        <v>1544</v>
      </c>
      <c r="H353" t="s">
        <v>50</v>
      </c>
      <c r="I353" t="s">
        <v>87</v>
      </c>
      <c r="J353" s="89">
        <v>43208</v>
      </c>
      <c r="K353" s="89">
        <v>43374</v>
      </c>
      <c r="L353" s="89"/>
      <c r="M353" s="31">
        <v>0</v>
      </c>
      <c r="N353" s="9"/>
      <c r="O353" s="33"/>
      <c r="P353" s="33"/>
      <c r="Q353" s="9"/>
      <c r="R353" s="67"/>
      <c r="S353" s="9"/>
    </row>
    <row r="354" spans="1:19" ht="15" customHeight="1" x14ac:dyDescent="0.25">
      <c r="A354" s="4"/>
      <c r="B354" s="28" t="str">
        <f>IF(ISNUMBER(MATCH(C354, Mgt_Unit!$C$5:$C$1018, 0)), INDEX(Mgt_Unit!$B$5:$B$1018, MATCH(C354, Mgt_Unit!$C$5:$C$1018, 0)), "")</f>
        <v>jennifer.moore</v>
      </c>
      <c r="C354" t="s">
        <v>776</v>
      </c>
      <c r="D354" s="65"/>
      <c r="E354">
        <v>2</v>
      </c>
      <c r="F354" t="s">
        <v>1538</v>
      </c>
      <c r="G354" t="s">
        <v>1535</v>
      </c>
      <c r="H354" t="s">
        <v>441</v>
      </c>
      <c r="I354" t="s">
        <v>27</v>
      </c>
      <c r="J354" s="89">
        <v>43409</v>
      </c>
      <c r="K354" s="89">
        <v>43636</v>
      </c>
      <c r="L354" s="89"/>
      <c r="M354" s="31">
        <v>0</v>
      </c>
      <c r="N354" s="9"/>
      <c r="O354" s="33"/>
      <c r="P354" s="33"/>
      <c r="Q354" s="9"/>
      <c r="R354" s="67"/>
      <c r="S354" s="9"/>
    </row>
    <row r="355" spans="1:19" ht="15" customHeight="1" x14ac:dyDescent="0.25">
      <c r="A355" s="4"/>
      <c r="B355" s="28" t="str">
        <f>IF(ISNUMBER(MATCH(C355, Mgt_Unit!$C$5:$C$1018, 0)), INDEX(Mgt_Unit!$B$5:$B$1018, MATCH(C355, Mgt_Unit!$C$5:$C$1018, 0)), "")</f>
        <v>jennifer.moore</v>
      </c>
      <c r="C355" t="s">
        <v>776</v>
      </c>
      <c r="D355" s="65"/>
      <c r="E355">
        <v>3</v>
      </c>
      <c r="F355" t="s">
        <v>1538</v>
      </c>
      <c r="G355" t="s">
        <v>1544</v>
      </c>
      <c r="H355" t="s">
        <v>51</v>
      </c>
      <c r="I355" t="s">
        <v>137</v>
      </c>
      <c r="J355" s="89">
        <v>43641</v>
      </c>
      <c r="K355" s="89">
        <v>43768</v>
      </c>
      <c r="L355" s="89"/>
      <c r="M355" s="31">
        <v>0</v>
      </c>
      <c r="N355" s="9"/>
      <c r="O355" s="33"/>
      <c r="P355" s="33"/>
      <c r="Q355" s="9"/>
      <c r="R355" s="67"/>
      <c r="S355" s="9"/>
    </row>
    <row r="356" spans="1:19" ht="15" customHeight="1" x14ac:dyDescent="0.25">
      <c r="A356" s="4"/>
      <c r="B356" s="28" t="str">
        <f>IF(ISNUMBER(MATCH(C356, Mgt_Unit!$C$5:$C$1018, 0)), INDEX(Mgt_Unit!$B$5:$B$1018, MATCH(C356, Mgt_Unit!$C$5:$C$1018, 0)), "")</f>
        <v>jennifer.moore</v>
      </c>
      <c r="C356" s="87" t="s">
        <v>776</v>
      </c>
      <c r="D356" s="65"/>
      <c r="E356" s="87">
        <v>4</v>
      </c>
      <c r="F356" s="87" t="s">
        <v>1538</v>
      </c>
      <c r="G356" s="87" t="s">
        <v>1544</v>
      </c>
      <c r="H356" s="87" t="s">
        <v>441</v>
      </c>
      <c r="I356" s="87" t="s">
        <v>27</v>
      </c>
      <c r="J356" s="90">
        <v>43774</v>
      </c>
      <c r="K356" s="90"/>
      <c r="L356" s="90"/>
      <c r="M356" s="93"/>
      <c r="N356" s="9"/>
      <c r="O356" s="33"/>
      <c r="P356" s="33"/>
      <c r="Q356" s="9"/>
      <c r="R356" s="67"/>
      <c r="S356" s="9"/>
    </row>
    <row r="357" spans="1:19" ht="15" customHeight="1" x14ac:dyDescent="0.25">
      <c r="A357" s="4"/>
      <c r="B357" s="28" t="str">
        <f>IF(ISNUMBER(MATCH(C357, Mgt_Unit!$C$5:$C$1018, 0)), INDEX(Mgt_Unit!$B$5:$B$1018, MATCH(C357, Mgt_Unit!$C$5:$C$1018, 0)), "")</f>
        <v>jennifer.moore</v>
      </c>
      <c r="C357" t="s">
        <v>777</v>
      </c>
      <c r="D357" s="65"/>
      <c r="E357">
        <v>1</v>
      </c>
      <c r="F357" t="s">
        <v>1538</v>
      </c>
      <c r="G357" t="s">
        <v>1544</v>
      </c>
      <c r="H357" t="s">
        <v>50</v>
      </c>
      <c r="I357" t="s">
        <v>87</v>
      </c>
      <c r="J357" s="89">
        <v>43208</v>
      </c>
      <c r="K357" s="89">
        <v>43374</v>
      </c>
      <c r="L357" s="89"/>
      <c r="M357" s="31">
        <v>0</v>
      </c>
      <c r="N357" s="9"/>
      <c r="O357" s="33"/>
      <c r="P357" s="33"/>
      <c r="Q357" s="9"/>
      <c r="R357" s="67"/>
      <c r="S357" s="9"/>
    </row>
    <row r="358" spans="1:19" ht="15" customHeight="1" x14ac:dyDescent="0.25">
      <c r="A358" s="4"/>
      <c r="B358" s="28" t="str">
        <f>IF(ISNUMBER(MATCH(C358, Mgt_Unit!$C$5:$C$1018, 0)), INDEX(Mgt_Unit!$B$5:$B$1018, MATCH(C358, Mgt_Unit!$C$5:$C$1018, 0)), "")</f>
        <v>jennifer.moore</v>
      </c>
      <c r="C358" t="s">
        <v>777</v>
      </c>
      <c r="D358" s="65"/>
      <c r="E358">
        <v>2</v>
      </c>
      <c r="F358" t="s">
        <v>1538</v>
      </c>
      <c r="G358" t="s">
        <v>1535</v>
      </c>
      <c r="H358" t="s">
        <v>441</v>
      </c>
      <c r="I358" t="s">
        <v>27</v>
      </c>
      <c r="J358" s="89">
        <v>43409</v>
      </c>
      <c r="K358" s="89">
        <v>43636</v>
      </c>
      <c r="L358" s="89"/>
      <c r="M358" s="31">
        <v>0</v>
      </c>
      <c r="N358" s="9"/>
      <c r="O358" s="33"/>
      <c r="P358" s="33"/>
      <c r="Q358" s="9"/>
      <c r="R358" s="67"/>
      <c r="S358" s="9"/>
    </row>
    <row r="359" spans="1:19" ht="15" customHeight="1" x14ac:dyDescent="0.25">
      <c r="A359" s="4"/>
      <c r="B359" s="28" t="str">
        <f>IF(ISNUMBER(MATCH(C359, Mgt_Unit!$C$5:$C$1018, 0)), INDEX(Mgt_Unit!$B$5:$B$1018, MATCH(C359, Mgt_Unit!$C$5:$C$1018, 0)), "")</f>
        <v>jennifer.moore</v>
      </c>
      <c r="C359" t="s">
        <v>777</v>
      </c>
      <c r="D359" s="65"/>
      <c r="E359">
        <v>3</v>
      </c>
      <c r="F359" t="s">
        <v>1538</v>
      </c>
      <c r="G359" t="s">
        <v>1544</v>
      </c>
      <c r="H359" t="s">
        <v>51</v>
      </c>
      <c r="I359" t="s">
        <v>137</v>
      </c>
      <c r="J359" s="89">
        <v>43641</v>
      </c>
      <c r="K359" s="89">
        <v>43768</v>
      </c>
      <c r="L359" s="89"/>
      <c r="M359" s="31">
        <v>0</v>
      </c>
      <c r="N359" s="9"/>
      <c r="O359" s="33"/>
      <c r="P359" s="33"/>
      <c r="Q359" s="9"/>
      <c r="R359" s="67"/>
      <c r="S359" s="9"/>
    </row>
    <row r="360" spans="1:19" ht="15" customHeight="1" x14ac:dyDescent="0.25">
      <c r="A360" s="4"/>
      <c r="B360" s="28" t="str">
        <f>IF(ISNUMBER(MATCH(C360, Mgt_Unit!$C$5:$C$1018, 0)), INDEX(Mgt_Unit!$B$5:$B$1018, MATCH(C360, Mgt_Unit!$C$5:$C$1018, 0)), "")</f>
        <v>jennifer.moore</v>
      </c>
      <c r="C360" s="87" t="s">
        <v>777</v>
      </c>
      <c r="D360" s="65"/>
      <c r="E360" s="87">
        <v>4</v>
      </c>
      <c r="F360" s="87" t="s">
        <v>1538</v>
      </c>
      <c r="G360" s="87" t="s">
        <v>1544</v>
      </c>
      <c r="H360" s="87" t="s">
        <v>441</v>
      </c>
      <c r="I360" s="87" t="s">
        <v>27</v>
      </c>
      <c r="J360" s="90">
        <v>43774</v>
      </c>
      <c r="K360" s="90"/>
      <c r="L360" s="90"/>
      <c r="M360" s="93"/>
      <c r="N360" s="9"/>
      <c r="O360" s="33"/>
      <c r="P360" s="33"/>
      <c r="Q360" s="9"/>
      <c r="R360" s="67"/>
      <c r="S360" s="9"/>
    </row>
    <row r="361" spans="1:19" ht="15" customHeight="1" x14ac:dyDescent="0.25">
      <c r="A361" s="4"/>
      <c r="B361" s="28" t="str">
        <f>IF(ISNUMBER(MATCH(C361, Mgt_Unit!$C$5:$C$1018, 0)), INDEX(Mgt_Unit!$B$5:$B$1018, MATCH(C361, Mgt_Unit!$C$5:$C$1018, 0)), "")</f>
        <v>jennifer.moore</v>
      </c>
      <c r="C361" t="s">
        <v>778</v>
      </c>
      <c r="D361" s="65"/>
      <c r="E361">
        <v>1</v>
      </c>
      <c r="F361" t="s">
        <v>1538</v>
      </c>
      <c r="G361" t="s">
        <v>1544</v>
      </c>
      <c r="H361" t="s">
        <v>50</v>
      </c>
      <c r="I361" t="s">
        <v>87</v>
      </c>
      <c r="J361" s="89">
        <v>43208</v>
      </c>
      <c r="K361" s="89">
        <v>43374</v>
      </c>
      <c r="L361" s="89"/>
      <c r="M361" s="31">
        <v>0</v>
      </c>
      <c r="N361" s="9"/>
      <c r="O361" s="33"/>
      <c r="P361" s="33"/>
      <c r="Q361" s="9"/>
      <c r="R361" s="67"/>
      <c r="S361" s="9"/>
    </row>
    <row r="362" spans="1:19" ht="15" customHeight="1" x14ac:dyDescent="0.25">
      <c r="A362" s="4"/>
      <c r="B362" s="28" t="str">
        <f>IF(ISNUMBER(MATCH(C362, Mgt_Unit!$C$5:$C$1018, 0)), INDEX(Mgt_Unit!$B$5:$B$1018, MATCH(C362, Mgt_Unit!$C$5:$C$1018, 0)), "")</f>
        <v>jennifer.moore</v>
      </c>
      <c r="C362" t="s">
        <v>778</v>
      </c>
      <c r="D362" s="65"/>
      <c r="E362">
        <v>2</v>
      </c>
      <c r="F362" t="s">
        <v>1538</v>
      </c>
      <c r="G362" t="s">
        <v>1535</v>
      </c>
      <c r="H362" t="s">
        <v>441</v>
      </c>
      <c r="I362" t="s">
        <v>27</v>
      </c>
      <c r="J362" s="89">
        <v>43409</v>
      </c>
      <c r="K362" s="89">
        <v>43636</v>
      </c>
      <c r="L362" s="89"/>
      <c r="M362" s="31">
        <v>0</v>
      </c>
      <c r="N362" s="9"/>
      <c r="O362" s="33"/>
      <c r="P362" s="33"/>
      <c r="Q362" s="9"/>
      <c r="R362" s="67"/>
      <c r="S362" s="9"/>
    </row>
    <row r="363" spans="1:19" ht="15" customHeight="1" x14ac:dyDescent="0.25">
      <c r="A363" s="4"/>
      <c r="B363" s="28" t="str">
        <f>IF(ISNUMBER(MATCH(C363, Mgt_Unit!$C$5:$C$1018, 0)), INDEX(Mgt_Unit!$B$5:$B$1018, MATCH(C363, Mgt_Unit!$C$5:$C$1018, 0)), "")</f>
        <v>jennifer.moore</v>
      </c>
      <c r="C363" t="s">
        <v>778</v>
      </c>
      <c r="D363" s="65"/>
      <c r="E363">
        <v>3</v>
      </c>
      <c r="F363" t="s">
        <v>1538</v>
      </c>
      <c r="G363" t="s">
        <v>1544</v>
      </c>
      <c r="H363" t="s">
        <v>51</v>
      </c>
      <c r="I363" t="s">
        <v>137</v>
      </c>
      <c r="J363" s="89">
        <v>43641</v>
      </c>
      <c r="K363" s="89">
        <v>43768</v>
      </c>
      <c r="L363" s="89"/>
      <c r="M363" s="31">
        <v>0</v>
      </c>
      <c r="N363" s="9"/>
      <c r="O363" s="33"/>
      <c r="P363" s="33"/>
      <c r="Q363" s="9"/>
      <c r="R363" s="67"/>
      <c r="S363" s="9"/>
    </row>
    <row r="364" spans="1:19" ht="15" customHeight="1" x14ac:dyDescent="0.25">
      <c r="A364" s="4"/>
      <c r="B364" s="28" t="str">
        <f>IF(ISNUMBER(MATCH(C364, Mgt_Unit!$C$5:$C$1018, 0)), INDEX(Mgt_Unit!$B$5:$B$1018, MATCH(C364, Mgt_Unit!$C$5:$C$1018, 0)), "")</f>
        <v>jennifer.moore</v>
      </c>
      <c r="C364" s="87" t="s">
        <v>778</v>
      </c>
      <c r="D364" s="65"/>
      <c r="E364" s="87">
        <v>4</v>
      </c>
      <c r="F364" s="87" t="s">
        <v>1538</v>
      </c>
      <c r="G364" s="87" t="s">
        <v>1544</v>
      </c>
      <c r="H364" s="87" t="s">
        <v>441</v>
      </c>
      <c r="I364" s="87" t="s">
        <v>27</v>
      </c>
      <c r="J364" s="90">
        <v>43774</v>
      </c>
      <c r="K364" s="90"/>
      <c r="L364" s="90"/>
      <c r="M364" s="93"/>
      <c r="N364" s="9"/>
      <c r="O364" s="33"/>
      <c r="P364" s="33"/>
      <c r="Q364" s="9"/>
      <c r="R364" s="67"/>
      <c r="S364" s="9"/>
    </row>
    <row r="365" spans="1:19" ht="15" customHeight="1" x14ac:dyDescent="0.25">
      <c r="A365" s="4"/>
      <c r="B365" s="28" t="str">
        <f>IF(ISNUMBER(MATCH(C365, Mgt_Unit!$C$5:$C$1018, 0)), INDEX(Mgt_Unit!$B$5:$B$1018, MATCH(C365, Mgt_Unit!$C$5:$C$1018, 0)), "")</f>
        <v>jennifer.moore</v>
      </c>
      <c r="C365" s="88" t="s">
        <v>779</v>
      </c>
      <c r="D365" s="65"/>
      <c r="E365" s="88">
        <v>1</v>
      </c>
      <c r="F365" s="88" t="s">
        <v>1538</v>
      </c>
      <c r="G365" s="88" t="s">
        <v>1544</v>
      </c>
      <c r="H365" s="88" t="s">
        <v>49</v>
      </c>
      <c r="I365" s="88" t="s">
        <v>85</v>
      </c>
      <c r="J365" s="91">
        <v>43600</v>
      </c>
      <c r="K365" s="91">
        <v>43768</v>
      </c>
      <c r="L365" s="91"/>
      <c r="M365" s="94">
        <v>0</v>
      </c>
      <c r="N365" s="9"/>
      <c r="O365" s="33"/>
      <c r="P365" s="33"/>
      <c r="Q365" s="9"/>
      <c r="R365" s="67"/>
      <c r="S365" s="9"/>
    </row>
    <row r="366" spans="1:19" ht="15" customHeight="1" x14ac:dyDescent="0.25">
      <c r="A366" s="4"/>
      <c r="B366" s="28" t="str">
        <f>IF(ISNUMBER(MATCH(C366, Mgt_Unit!$C$5:$C$1018, 0)), INDEX(Mgt_Unit!$B$5:$B$1018, MATCH(C366, Mgt_Unit!$C$5:$C$1018, 0)), "")</f>
        <v>jennifer.moore</v>
      </c>
      <c r="C366" s="87" t="s">
        <v>780</v>
      </c>
      <c r="D366" s="65"/>
      <c r="E366" s="87">
        <v>1</v>
      </c>
      <c r="F366" s="87" t="s">
        <v>1538</v>
      </c>
      <c r="G366" s="87" t="s">
        <v>1544</v>
      </c>
      <c r="H366" s="87" t="s">
        <v>49</v>
      </c>
      <c r="I366" s="87" t="s">
        <v>85</v>
      </c>
      <c r="J366" s="90">
        <v>43600</v>
      </c>
      <c r="K366" s="90">
        <v>43768</v>
      </c>
      <c r="L366" s="90"/>
      <c r="M366" s="93">
        <v>0</v>
      </c>
      <c r="N366" s="9"/>
      <c r="O366" s="33"/>
      <c r="P366" s="33"/>
      <c r="Q366" s="9"/>
      <c r="R366" s="67"/>
      <c r="S366" s="9"/>
    </row>
    <row r="367" spans="1:19" ht="15" customHeight="1" x14ac:dyDescent="0.25">
      <c r="A367" s="4"/>
      <c r="B367" s="28" t="str">
        <f>IF(ISNUMBER(MATCH(C367, Mgt_Unit!$C$5:$C$1018, 0)), INDEX(Mgt_Unit!$B$5:$B$1018, MATCH(C367, Mgt_Unit!$C$5:$C$1018, 0)), "")</f>
        <v>jennifer.moore</v>
      </c>
      <c r="C367" t="s">
        <v>781</v>
      </c>
      <c r="D367" s="65"/>
      <c r="E367">
        <v>1</v>
      </c>
      <c r="F367" t="s">
        <v>1538</v>
      </c>
      <c r="G367" t="s">
        <v>1544</v>
      </c>
      <c r="H367" t="s">
        <v>49</v>
      </c>
      <c r="I367" t="s">
        <v>85</v>
      </c>
      <c r="J367" s="89">
        <v>43600</v>
      </c>
      <c r="K367" s="89">
        <v>43768</v>
      </c>
      <c r="L367" s="89"/>
      <c r="M367" s="31">
        <v>0</v>
      </c>
      <c r="N367" s="9"/>
      <c r="O367" s="33"/>
      <c r="P367" s="33"/>
      <c r="Q367" s="9"/>
      <c r="R367" s="67"/>
      <c r="S367" s="9"/>
    </row>
    <row r="368" spans="1:19" ht="15" customHeight="1" x14ac:dyDescent="0.25">
      <c r="A368" s="4"/>
      <c r="B368" s="28" t="str">
        <f>IF(ISNUMBER(MATCH(C368, Mgt_Unit!$C$5:$C$1018, 0)), INDEX(Mgt_Unit!$B$5:$B$1018, MATCH(C368, Mgt_Unit!$C$5:$C$1018, 0)), "")</f>
        <v>jennifer.moore</v>
      </c>
      <c r="C368" s="87" t="s">
        <v>781</v>
      </c>
      <c r="D368" s="65"/>
      <c r="E368" s="87">
        <v>2</v>
      </c>
      <c r="F368" s="87" t="s">
        <v>1538</v>
      </c>
      <c r="G368" s="87" t="s">
        <v>1535</v>
      </c>
      <c r="H368" s="87" t="s">
        <v>442</v>
      </c>
      <c r="I368" s="87" t="s">
        <v>1539</v>
      </c>
      <c r="J368" s="90">
        <v>43784</v>
      </c>
      <c r="K368" s="90"/>
      <c r="L368" s="90"/>
      <c r="M368" s="93"/>
      <c r="N368" s="9"/>
      <c r="O368" s="33"/>
      <c r="P368" s="33"/>
      <c r="Q368" s="9"/>
      <c r="R368" s="67"/>
      <c r="S368" s="9"/>
    </row>
    <row r="369" spans="1:19" ht="15" customHeight="1" x14ac:dyDescent="0.25">
      <c r="A369" s="4"/>
      <c r="B369" s="28" t="str">
        <f>IF(ISNUMBER(MATCH(C369, Mgt_Unit!$C$5:$C$1018, 0)), INDEX(Mgt_Unit!$B$5:$B$1018, MATCH(C369, Mgt_Unit!$C$5:$C$1018, 0)), "")</f>
        <v>jennifer.moore</v>
      </c>
      <c r="C369" t="s">
        <v>782</v>
      </c>
      <c r="D369" s="65"/>
      <c r="E369">
        <v>1</v>
      </c>
      <c r="F369" t="s">
        <v>1538</v>
      </c>
      <c r="G369" t="s">
        <v>1544</v>
      </c>
      <c r="H369" t="s">
        <v>49</v>
      </c>
      <c r="I369" t="s">
        <v>85</v>
      </c>
      <c r="J369" s="89">
        <v>43600</v>
      </c>
      <c r="K369" s="89">
        <v>43768</v>
      </c>
      <c r="L369" s="89"/>
      <c r="M369" s="31">
        <v>0</v>
      </c>
      <c r="N369" s="9"/>
      <c r="O369" s="33"/>
      <c r="P369" s="33"/>
      <c r="Q369" s="9"/>
      <c r="R369" s="67"/>
      <c r="S369" s="9"/>
    </row>
    <row r="370" spans="1:19" ht="15" customHeight="1" x14ac:dyDescent="0.25">
      <c r="A370" s="4"/>
      <c r="B370" s="28" t="str">
        <f>IF(ISNUMBER(MATCH(C370, Mgt_Unit!$C$5:$C$1018, 0)), INDEX(Mgt_Unit!$B$5:$B$1018, MATCH(C370, Mgt_Unit!$C$5:$C$1018, 0)), "")</f>
        <v>jennifer.moore</v>
      </c>
      <c r="C370" s="87" t="s">
        <v>782</v>
      </c>
      <c r="D370" s="65"/>
      <c r="E370" s="87">
        <v>2</v>
      </c>
      <c r="F370" s="87" t="s">
        <v>1538</v>
      </c>
      <c r="G370" s="87" t="s">
        <v>1535</v>
      </c>
      <c r="H370" s="87" t="s">
        <v>442</v>
      </c>
      <c r="I370" s="87" t="s">
        <v>1539</v>
      </c>
      <c r="J370" s="90">
        <v>43784</v>
      </c>
      <c r="K370" s="90"/>
      <c r="L370" s="90"/>
      <c r="M370" s="93"/>
      <c r="N370" s="9"/>
      <c r="O370" s="33"/>
      <c r="P370" s="33"/>
      <c r="Q370" s="9"/>
      <c r="R370" s="67"/>
      <c r="S370" s="9"/>
    </row>
    <row r="371" spans="1:19" ht="15" customHeight="1" x14ac:dyDescent="0.25">
      <c r="A371" s="4"/>
      <c r="B371" s="28" t="str">
        <f>IF(ISNUMBER(MATCH(C371, Mgt_Unit!$C$5:$C$1018, 0)), INDEX(Mgt_Unit!$B$5:$B$1018, MATCH(C371, Mgt_Unit!$C$5:$C$1018, 0)), "")</f>
        <v>jennifer.moore</v>
      </c>
      <c r="C371" t="s">
        <v>783</v>
      </c>
      <c r="D371" s="65"/>
      <c r="E371">
        <v>1</v>
      </c>
      <c r="F371" t="s">
        <v>1538</v>
      </c>
      <c r="G371" t="s">
        <v>1544</v>
      </c>
      <c r="H371" t="s">
        <v>49</v>
      </c>
      <c r="I371" t="s">
        <v>85</v>
      </c>
      <c r="J371" s="89">
        <v>43600</v>
      </c>
      <c r="K371" s="89">
        <v>43768</v>
      </c>
      <c r="L371" s="89"/>
      <c r="M371" s="31">
        <v>0</v>
      </c>
      <c r="N371" s="9"/>
      <c r="O371" s="33"/>
      <c r="P371" s="33"/>
      <c r="Q371" s="9"/>
      <c r="R371" s="67"/>
      <c r="S371" s="9"/>
    </row>
    <row r="372" spans="1:19" ht="15" customHeight="1" x14ac:dyDescent="0.25">
      <c r="A372" s="4"/>
      <c r="B372" s="28" t="str">
        <f>IF(ISNUMBER(MATCH(C372, Mgt_Unit!$C$5:$C$1018, 0)), INDEX(Mgt_Unit!$B$5:$B$1018, MATCH(C372, Mgt_Unit!$C$5:$C$1018, 0)), "")</f>
        <v>jennifer.moore</v>
      </c>
      <c r="C372" s="87" t="s">
        <v>783</v>
      </c>
      <c r="D372" s="65"/>
      <c r="E372" s="87">
        <v>2</v>
      </c>
      <c r="F372" s="87" t="s">
        <v>1538</v>
      </c>
      <c r="G372" s="87" t="s">
        <v>1535</v>
      </c>
      <c r="H372" s="87" t="s">
        <v>442</v>
      </c>
      <c r="I372" s="87" t="s">
        <v>1539</v>
      </c>
      <c r="J372" s="90">
        <v>43784</v>
      </c>
      <c r="K372" s="90"/>
      <c r="L372" s="90"/>
      <c r="M372" s="93"/>
      <c r="N372" s="9"/>
      <c r="O372" s="33"/>
      <c r="P372" s="33"/>
      <c r="Q372" s="9"/>
      <c r="R372" s="67"/>
      <c r="S372" s="9"/>
    </row>
    <row r="373" spans="1:19" ht="15" customHeight="1" x14ac:dyDescent="0.25">
      <c r="A373" s="4"/>
      <c r="B373" s="28" t="str">
        <f>IF(ISNUMBER(MATCH(C373, Mgt_Unit!$C$5:$C$1018, 0)), INDEX(Mgt_Unit!$B$5:$B$1018, MATCH(C373, Mgt_Unit!$C$5:$C$1018, 0)), "")</f>
        <v>jennifer.moore</v>
      </c>
      <c r="C373" t="s">
        <v>784</v>
      </c>
      <c r="D373" s="65"/>
      <c r="E373">
        <v>1</v>
      </c>
      <c r="F373" t="s">
        <v>1538</v>
      </c>
      <c r="G373" t="s">
        <v>1544</v>
      </c>
      <c r="H373" t="s">
        <v>49</v>
      </c>
      <c r="I373" t="s">
        <v>85</v>
      </c>
      <c r="J373" s="89">
        <v>43226</v>
      </c>
      <c r="K373" s="89">
        <v>43403</v>
      </c>
      <c r="L373" s="89"/>
      <c r="M373" s="31">
        <v>0</v>
      </c>
      <c r="N373" s="9"/>
      <c r="O373" s="33"/>
      <c r="P373" s="33"/>
      <c r="Q373" s="9"/>
      <c r="R373" s="67"/>
      <c r="S373" s="9"/>
    </row>
    <row r="374" spans="1:19" ht="15" customHeight="1" x14ac:dyDescent="0.25">
      <c r="A374" s="4"/>
      <c r="B374" s="28" t="str">
        <f>IF(ISNUMBER(MATCH(C374, Mgt_Unit!$C$5:$C$1018, 0)), INDEX(Mgt_Unit!$B$5:$B$1018, MATCH(C374, Mgt_Unit!$C$5:$C$1018, 0)), "")</f>
        <v>jennifer.moore</v>
      </c>
      <c r="C374" t="s">
        <v>784</v>
      </c>
      <c r="D374" s="65"/>
      <c r="E374">
        <v>2</v>
      </c>
      <c r="F374" t="s">
        <v>1538</v>
      </c>
      <c r="G374" t="s">
        <v>1535</v>
      </c>
      <c r="H374" t="s">
        <v>442</v>
      </c>
      <c r="I374" t="s">
        <v>1539</v>
      </c>
      <c r="J374" s="89">
        <v>43419</v>
      </c>
      <c r="K374" s="89"/>
      <c r="L374" s="89">
        <v>43554</v>
      </c>
      <c r="M374" s="31">
        <v>0</v>
      </c>
      <c r="N374" s="9"/>
      <c r="O374" s="33"/>
      <c r="P374" s="33"/>
      <c r="Q374" s="9"/>
      <c r="R374" s="67"/>
      <c r="S374" s="9"/>
    </row>
    <row r="375" spans="1:19" ht="15" customHeight="1" x14ac:dyDescent="0.25">
      <c r="A375" s="4"/>
      <c r="B375" s="28" t="str">
        <f>IF(ISNUMBER(MATCH(C375, Mgt_Unit!$C$5:$C$1018, 0)), INDEX(Mgt_Unit!$B$5:$B$1018, MATCH(C375, Mgt_Unit!$C$5:$C$1018, 0)), "")</f>
        <v>jennifer.moore</v>
      </c>
      <c r="C375" t="s">
        <v>784</v>
      </c>
      <c r="D375" s="65"/>
      <c r="E375">
        <v>3</v>
      </c>
      <c r="F375" t="s">
        <v>1538</v>
      </c>
      <c r="G375" t="s">
        <v>1544</v>
      </c>
      <c r="H375" t="s">
        <v>50</v>
      </c>
      <c r="I375" t="s">
        <v>87</v>
      </c>
      <c r="J375" s="89">
        <v>43588</v>
      </c>
      <c r="K375" s="89">
        <v>43709</v>
      </c>
      <c r="L375" s="89"/>
      <c r="M375" s="31">
        <v>0</v>
      </c>
      <c r="N375" s="9"/>
      <c r="O375" s="33"/>
      <c r="P375" s="33"/>
      <c r="Q375" s="9"/>
      <c r="R375" s="67"/>
      <c r="S375" s="9"/>
    </row>
    <row r="376" spans="1:19" ht="15" customHeight="1" x14ac:dyDescent="0.25">
      <c r="A376" s="4"/>
      <c r="B376" s="28" t="str">
        <f>IF(ISNUMBER(MATCH(C376, Mgt_Unit!$C$5:$C$1018, 0)), INDEX(Mgt_Unit!$B$5:$B$1018, MATCH(C376, Mgt_Unit!$C$5:$C$1018, 0)), "")</f>
        <v>jennifer.moore</v>
      </c>
      <c r="C376" s="87" t="s">
        <v>784</v>
      </c>
      <c r="D376" s="65"/>
      <c r="E376" s="87">
        <v>4</v>
      </c>
      <c r="F376" s="87" t="s">
        <v>1538</v>
      </c>
      <c r="G376" s="87" t="s">
        <v>1535</v>
      </c>
      <c r="H376" s="87" t="s">
        <v>442</v>
      </c>
      <c r="I376" s="87" t="s">
        <v>1539</v>
      </c>
      <c r="J376" s="90">
        <v>43784</v>
      </c>
      <c r="K376" s="90"/>
      <c r="L376" s="90"/>
      <c r="M376" s="93"/>
      <c r="N376" s="9"/>
      <c r="O376" s="33"/>
      <c r="P376" s="33"/>
      <c r="Q376" s="9"/>
      <c r="R376" s="67"/>
      <c r="S376" s="9"/>
    </row>
    <row r="377" spans="1:19" ht="15" customHeight="1" x14ac:dyDescent="0.25">
      <c r="A377" s="4"/>
      <c r="B377" s="28" t="str">
        <f>IF(ISNUMBER(MATCH(C377, Mgt_Unit!$C$5:$C$1018, 0)), INDEX(Mgt_Unit!$B$5:$B$1018, MATCH(C377, Mgt_Unit!$C$5:$C$1018, 0)), "")</f>
        <v>jennifer.moore</v>
      </c>
      <c r="C377" t="s">
        <v>785</v>
      </c>
      <c r="D377" s="65"/>
      <c r="E377">
        <v>1</v>
      </c>
      <c r="F377" t="s">
        <v>1538</v>
      </c>
      <c r="G377" t="s">
        <v>1544</v>
      </c>
      <c r="H377" t="s">
        <v>49</v>
      </c>
      <c r="I377" t="s">
        <v>85</v>
      </c>
      <c r="J377" s="89">
        <v>43226</v>
      </c>
      <c r="K377" s="89">
        <v>43403</v>
      </c>
      <c r="L377" s="89"/>
      <c r="M377" s="31">
        <v>0</v>
      </c>
      <c r="N377" s="9"/>
      <c r="O377" s="33"/>
      <c r="P377" s="33"/>
      <c r="Q377" s="9"/>
      <c r="R377" s="67"/>
      <c r="S377" s="9"/>
    </row>
    <row r="378" spans="1:19" ht="15" customHeight="1" x14ac:dyDescent="0.25">
      <c r="A378" s="4"/>
      <c r="B378" s="28" t="str">
        <f>IF(ISNUMBER(MATCH(C378, Mgt_Unit!$C$5:$C$1018, 0)), INDEX(Mgt_Unit!$B$5:$B$1018, MATCH(C378, Mgt_Unit!$C$5:$C$1018, 0)), "")</f>
        <v>jennifer.moore</v>
      </c>
      <c r="C378" t="s">
        <v>785</v>
      </c>
      <c r="D378" s="65"/>
      <c r="E378">
        <v>2</v>
      </c>
      <c r="F378" t="s">
        <v>1538</v>
      </c>
      <c r="G378" t="s">
        <v>1535</v>
      </c>
      <c r="H378" t="s">
        <v>442</v>
      </c>
      <c r="I378" t="s">
        <v>1539</v>
      </c>
      <c r="J378" s="89">
        <v>43419</v>
      </c>
      <c r="K378" s="89"/>
      <c r="L378" s="89">
        <v>43554</v>
      </c>
      <c r="M378" s="31">
        <v>0</v>
      </c>
      <c r="N378" s="9"/>
      <c r="O378" s="33"/>
      <c r="P378" s="33"/>
      <c r="Q378" s="9"/>
      <c r="R378" s="67"/>
      <c r="S378" s="9"/>
    </row>
    <row r="379" spans="1:19" ht="15" customHeight="1" x14ac:dyDescent="0.25">
      <c r="A379" s="4"/>
      <c r="B379" s="28" t="str">
        <f>IF(ISNUMBER(MATCH(C379, Mgt_Unit!$C$5:$C$1018, 0)), INDEX(Mgt_Unit!$B$5:$B$1018, MATCH(C379, Mgt_Unit!$C$5:$C$1018, 0)), "")</f>
        <v>jennifer.moore</v>
      </c>
      <c r="C379" t="s">
        <v>785</v>
      </c>
      <c r="D379" s="65"/>
      <c r="E379">
        <v>3</v>
      </c>
      <c r="F379" t="s">
        <v>1538</v>
      </c>
      <c r="G379" t="s">
        <v>1544</v>
      </c>
      <c r="H379" t="s">
        <v>50</v>
      </c>
      <c r="I379" t="s">
        <v>87</v>
      </c>
      <c r="J379" s="89">
        <v>43588</v>
      </c>
      <c r="K379" s="89">
        <v>43709</v>
      </c>
      <c r="L379" s="89"/>
      <c r="M379" s="31"/>
      <c r="N379" s="9"/>
      <c r="O379" s="33"/>
      <c r="P379" s="33"/>
      <c r="Q379" s="9"/>
      <c r="R379" s="67"/>
      <c r="S379" s="9"/>
    </row>
    <row r="380" spans="1:19" ht="15" customHeight="1" x14ac:dyDescent="0.25">
      <c r="A380" s="4"/>
      <c r="B380" s="28" t="str">
        <f>IF(ISNUMBER(MATCH(C380, Mgt_Unit!$C$5:$C$1018, 0)), INDEX(Mgt_Unit!$B$5:$B$1018, MATCH(C380, Mgt_Unit!$C$5:$C$1018, 0)), "")</f>
        <v>jennifer.moore</v>
      </c>
      <c r="C380" s="87" t="s">
        <v>785</v>
      </c>
      <c r="D380" s="65"/>
      <c r="E380" s="87">
        <v>4</v>
      </c>
      <c r="F380" s="87" t="s">
        <v>1538</v>
      </c>
      <c r="G380" s="87" t="s">
        <v>1535</v>
      </c>
      <c r="H380" s="87" t="s">
        <v>442</v>
      </c>
      <c r="I380" s="87" t="s">
        <v>1539</v>
      </c>
      <c r="J380" s="90">
        <v>43784</v>
      </c>
      <c r="K380" s="90"/>
      <c r="L380" s="90"/>
      <c r="M380" s="93"/>
      <c r="N380" s="9"/>
      <c r="O380" s="33"/>
      <c r="P380" s="33"/>
      <c r="Q380" s="9"/>
      <c r="R380" s="67"/>
      <c r="S380" s="9"/>
    </row>
    <row r="381" spans="1:19" ht="15" customHeight="1" x14ac:dyDescent="0.25">
      <c r="A381" s="4"/>
      <c r="B381" s="28" t="str">
        <f>IF(ISNUMBER(MATCH(C381, Mgt_Unit!$C$5:$C$1018, 0)), INDEX(Mgt_Unit!$B$5:$B$1018, MATCH(C381, Mgt_Unit!$C$5:$C$1018, 0)), "")</f>
        <v>jennifer.moore</v>
      </c>
      <c r="C381" t="s">
        <v>786</v>
      </c>
      <c r="D381" s="65"/>
      <c r="E381">
        <v>1</v>
      </c>
      <c r="F381" t="s">
        <v>1538</v>
      </c>
      <c r="G381" t="s">
        <v>1544</v>
      </c>
      <c r="H381" t="s">
        <v>50</v>
      </c>
      <c r="I381" t="s">
        <v>87</v>
      </c>
      <c r="J381" s="89">
        <v>43209</v>
      </c>
      <c r="K381" s="89">
        <v>43344</v>
      </c>
      <c r="L381" s="89"/>
      <c r="M381" s="31">
        <v>0</v>
      </c>
      <c r="N381" s="9"/>
      <c r="O381" s="33"/>
      <c r="P381" s="33"/>
      <c r="Q381" s="9"/>
      <c r="R381" s="67"/>
      <c r="S381" s="9"/>
    </row>
    <row r="382" spans="1:19" ht="15" customHeight="1" x14ac:dyDescent="0.25">
      <c r="A382" s="4"/>
      <c r="B382" s="28" t="str">
        <f>IF(ISNUMBER(MATCH(C382, Mgt_Unit!$C$5:$C$1018, 0)), INDEX(Mgt_Unit!$B$5:$B$1018, MATCH(C382, Mgt_Unit!$C$5:$C$1018, 0)), "")</f>
        <v>jennifer.moore</v>
      </c>
      <c r="C382" t="s">
        <v>786</v>
      </c>
      <c r="D382" s="65"/>
      <c r="E382">
        <v>2</v>
      </c>
      <c r="F382" t="s">
        <v>1538</v>
      </c>
      <c r="G382" t="s">
        <v>1535</v>
      </c>
      <c r="H382" t="s">
        <v>442</v>
      </c>
      <c r="I382" t="s">
        <v>1539</v>
      </c>
      <c r="J382" s="89">
        <v>43419</v>
      </c>
      <c r="K382" s="89"/>
      <c r="L382" s="89">
        <v>43554</v>
      </c>
      <c r="M382" s="31">
        <v>0</v>
      </c>
      <c r="N382" s="9"/>
      <c r="O382" s="33"/>
      <c r="P382" s="33"/>
      <c r="Q382" s="9"/>
      <c r="R382" s="67"/>
      <c r="S382" s="9"/>
    </row>
    <row r="383" spans="1:19" ht="15" customHeight="1" x14ac:dyDescent="0.25">
      <c r="A383" s="4"/>
      <c r="B383" s="28" t="str">
        <f>IF(ISNUMBER(MATCH(C383, Mgt_Unit!$C$5:$C$1018, 0)), INDEX(Mgt_Unit!$B$5:$B$1018, MATCH(C383, Mgt_Unit!$C$5:$C$1018, 0)), "")</f>
        <v>jennifer.moore</v>
      </c>
      <c r="C383" t="s">
        <v>786</v>
      </c>
      <c r="D383" s="65"/>
      <c r="E383">
        <v>3</v>
      </c>
      <c r="F383" t="s">
        <v>1538</v>
      </c>
      <c r="G383" t="s">
        <v>1544</v>
      </c>
      <c r="H383" t="s">
        <v>49</v>
      </c>
      <c r="I383" t="s">
        <v>85</v>
      </c>
      <c r="J383" s="89">
        <v>43600</v>
      </c>
      <c r="K383" s="89">
        <v>43768</v>
      </c>
      <c r="L383" s="89"/>
      <c r="M383" s="31">
        <v>0</v>
      </c>
      <c r="N383" s="9"/>
      <c r="O383" s="33"/>
      <c r="P383" s="33"/>
      <c r="Q383" s="9"/>
      <c r="R383" s="67"/>
      <c r="S383" s="9"/>
    </row>
    <row r="384" spans="1:19" ht="15" customHeight="1" x14ac:dyDescent="0.25">
      <c r="A384" s="4"/>
      <c r="B384" s="28" t="str">
        <f>IF(ISNUMBER(MATCH(C384, Mgt_Unit!$C$5:$C$1018, 0)), INDEX(Mgt_Unit!$B$5:$B$1018, MATCH(C384, Mgt_Unit!$C$5:$C$1018, 0)), "")</f>
        <v>jennifer.moore</v>
      </c>
      <c r="C384" s="87" t="s">
        <v>786</v>
      </c>
      <c r="D384" s="65"/>
      <c r="E384" s="87">
        <v>4</v>
      </c>
      <c r="F384" s="87" t="s">
        <v>1538</v>
      </c>
      <c r="G384" s="87" t="s">
        <v>1535</v>
      </c>
      <c r="H384" s="87" t="s">
        <v>442</v>
      </c>
      <c r="I384" s="87" t="s">
        <v>1539</v>
      </c>
      <c r="J384" s="90">
        <v>43784</v>
      </c>
      <c r="K384" s="90"/>
      <c r="L384" s="90"/>
      <c r="M384" s="93"/>
      <c r="N384" s="9"/>
      <c r="O384" s="33"/>
      <c r="P384" s="33"/>
      <c r="Q384" s="9"/>
      <c r="R384" s="67"/>
      <c r="S384" s="9"/>
    </row>
    <row r="385" spans="1:19" ht="15" customHeight="1" x14ac:dyDescent="0.25">
      <c r="A385" s="4"/>
      <c r="B385" s="28" t="str">
        <f>IF(ISNUMBER(MATCH(C385, Mgt_Unit!$C$5:$C$1018, 0)), INDEX(Mgt_Unit!$B$5:$B$1018, MATCH(C385, Mgt_Unit!$C$5:$C$1018, 0)), "")</f>
        <v>jennifer.moore</v>
      </c>
      <c r="C385" t="s">
        <v>787</v>
      </c>
      <c r="D385" s="65"/>
      <c r="E385">
        <v>1</v>
      </c>
      <c r="F385" t="s">
        <v>1538</v>
      </c>
      <c r="G385" t="s">
        <v>1544</v>
      </c>
      <c r="H385" t="s">
        <v>50</v>
      </c>
      <c r="I385" t="s">
        <v>87</v>
      </c>
      <c r="J385" s="89">
        <v>43209</v>
      </c>
      <c r="K385" s="89">
        <v>43344</v>
      </c>
      <c r="L385" s="89"/>
      <c r="M385" s="31">
        <v>0</v>
      </c>
      <c r="N385" s="9"/>
      <c r="O385" s="33"/>
      <c r="P385" s="33"/>
      <c r="Q385" s="9"/>
      <c r="R385" s="67"/>
      <c r="S385" s="9"/>
    </row>
    <row r="386" spans="1:19" ht="15" customHeight="1" x14ac:dyDescent="0.25">
      <c r="A386" s="4"/>
      <c r="B386" s="28" t="str">
        <f>IF(ISNUMBER(MATCH(C386, Mgt_Unit!$C$5:$C$1018, 0)), INDEX(Mgt_Unit!$B$5:$B$1018, MATCH(C386, Mgt_Unit!$C$5:$C$1018, 0)), "")</f>
        <v>jennifer.moore</v>
      </c>
      <c r="C386" t="s">
        <v>787</v>
      </c>
      <c r="D386" s="65"/>
      <c r="E386">
        <v>2</v>
      </c>
      <c r="F386" t="s">
        <v>1538</v>
      </c>
      <c r="G386" t="s">
        <v>1535</v>
      </c>
      <c r="H386" t="s">
        <v>442</v>
      </c>
      <c r="I386" t="s">
        <v>1539</v>
      </c>
      <c r="J386" s="89">
        <v>43419</v>
      </c>
      <c r="K386" s="89"/>
      <c r="L386" s="89">
        <v>43554</v>
      </c>
      <c r="M386" s="31">
        <v>0</v>
      </c>
      <c r="N386" s="9"/>
      <c r="O386" s="33"/>
      <c r="P386" s="33"/>
      <c r="Q386" s="9"/>
      <c r="R386" s="67"/>
      <c r="S386" s="9"/>
    </row>
    <row r="387" spans="1:19" ht="15" customHeight="1" x14ac:dyDescent="0.25">
      <c r="A387" s="4"/>
      <c r="B387" s="28" t="str">
        <f>IF(ISNUMBER(MATCH(C387, Mgt_Unit!$C$5:$C$1018, 0)), INDEX(Mgt_Unit!$B$5:$B$1018, MATCH(C387, Mgt_Unit!$C$5:$C$1018, 0)), "")</f>
        <v>jennifer.moore</v>
      </c>
      <c r="C387" t="s">
        <v>787</v>
      </c>
      <c r="D387" s="65"/>
      <c r="E387">
        <v>3</v>
      </c>
      <c r="F387" t="s">
        <v>1538</v>
      </c>
      <c r="G387" t="s">
        <v>1544</v>
      </c>
      <c r="H387" t="s">
        <v>49</v>
      </c>
      <c r="I387" t="s">
        <v>85</v>
      </c>
      <c r="J387" s="89">
        <v>43600</v>
      </c>
      <c r="K387" s="89">
        <v>43768</v>
      </c>
      <c r="L387" s="89"/>
      <c r="M387" s="31">
        <v>0</v>
      </c>
      <c r="N387" s="9"/>
      <c r="O387" s="33"/>
      <c r="P387" s="33"/>
      <c r="Q387" s="9"/>
      <c r="R387" s="67"/>
      <c r="S387" s="9"/>
    </row>
    <row r="388" spans="1:19" ht="15" customHeight="1" x14ac:dyDescent="0.25">
      <c r="A388" s="4"/>
      <c r="B388" s="28" t="str">
        <f>IF(ISNUMBER(MATCH(C388, Mgt_Unit!$C$5:$C$1018, 0)), INDEX(Mgt_Unit!$B$5:$B$1018, MATCH(C388, Mgt_Unit!$C$5:$C$1018, 0)), "")</f>
        <v>jennifer.moore</v>
      </c>
      <c r="C388" s="87" t="s">
        <v>787</v>
      </c>
      <c r="D388" s="65"/>
      <c r="E388" s="87">
        <v>4</v>
      </c>
      <c r="F388" s="87" t="s">
        <v>1538</v>
      </c>
      <c r="G388" s="87" t="s">
        <v>1535</v>
      </c>
      <c r="H388" s="87" t="s">
        <v>442</v>
      </c>
      <c r="I388" s="87" t="s">
        <v>1539</v>
      </c>
      <c r="J388" s="90">
        <v>43784</v>
      </c>
      <c r="K388" s="90"/>
      <c r="L388" s="90"/>
      <c r="M388" s="93"/>
      <c r="N388" s="9"/>
      <c r="O388" s="33"/>
      <c r="P388" s="33"/>
      <c r="Q388" s="9"/>
      <c r="R388" s="67"/>
      <c r="S388" s="9"/>
    </row>
    <row r="389" spans="1:19" ht="15" customHeight="1" x14ac:dyDescent="0.25">
      <c r="A389" s="4"/>
      <c r="B389" s="28" t="str">
        <f>IF(ISNUMBER(MATCH(C389, Mgt_Unit!$C$5:$C$1018, 0)), INDEX(Mgt_Unit!$B$5:$B$1018, MATCH(C389, Mgt_Unit!$C$5:$C$1018, 0)), "")</f>
        <v>jennifer.moore</v>
      </c>
      <c r="C389" t="s">
        <v>788</v>
      </c>
      <c r="D389" s="65"/>
      <c r="E389">
        <v>1</v>
      </c>
      <c r="F389" t="s">
        <v>1538</v>
      </c>
      <c r="G389" t="s">
        <v>1544</v>
      </c>
      <c r="H389" t="s">
        <v>441</v>
      </c>
      <c r="I389" t="s">
        <v>27</v>
      </c>
      <c r="J389" s="89"/>
      <c r="K389" s="89">
        <v>42887</v>
      </c>
      <c r="L389" s="89"/>
      <c r="M389" s="31">
        <v>0</v>
      </c>
      <c r="N389" s="9"/>
      <c r="O389" s="33"/>
      <c r="P389" s="33"/>
      <c r="Q389" s="9"/>
      <c r="R389" s="67"/>
      <c r="S389" s="9"/>
    </row>
    <row r="390" spans="1:19" ht="15" customHeight="1" x14ac:dyDescent="0.25">
      <c r="A390" s="4"/>
      <c r="B390" s="28" t="str">
        <f>IF(ISNUMBER(MATCH(C390, Mgt_Unit!$C$5:$C$1018, 0)), INDEX(Mgt_Unit!$B$5:$B$1018, MATCH(C390, Mgt_Unit!$C$5:$C$1018, 0)), "")</f>
        <v>jennifer.moore</v>
      </c>
      <c r="C390" t="s">
        <v>788</v>
      </c>
      <c r="D390" s="65"/>
      <c r="E390">
        <v>2</v>
      </c>
      <c r="F390" t="s">
        <v>1538</v>
      </c>
      <c r="G390" t="s">
        <v>1544</v>
      </c>
      <c r="H390" t="s">
        <v>51</v>
      </c>
      <c r="I390" t="s">
        <v>137</v>
      </c>
      <c r="J390" s="89">
        <v>42896</v>
      </c>
      <c r="K390" s="89">
        <v>43042</v>
      </c>
      <c r="L390" s="89"/>
      <c r="M390" s="31">
        <v>0</v>
      </c>
      <c r="N390" s="9"/>
      <c r="O390" s="33"/>
      <c r="P390" s="33"/>
      <c r="Q390" s="9"/>
      <c r="R390" s="67"/>
      <c r="S390" s="9"/>
    </row>
    <row r="391" spans="1:19" ht="15" customHeight="1" x14ac:dyDescent="0.25">
      <c r="A391" s="4"/>
      <c r="B391" s="28" t="str">
        <f>IF(ISNUMBER(MATCH(C391, Mgt_Unit!$C$5:$C$1018, 0)), INDEX(Mgt_Unit!$B$5:$B$1018, MATCH(C391, Mgt_Unit!$C$5:$C$1018, 0)), "")</f>
        <v>jennifer.moore</v>
      </c>
      <c r="C391" t="s">
        <v>788</v>
      </c>
      <c r="D391" s="65"/>
      <c r="E391">
        <v>3</v>
      </c>
      <c r="F391" t="s">
        <v>1538</v>
      </c>
      <c r="G391" t="s">
        <v>1535</v>
      </c>
      <c r="H391" t="s">
        <v>442</v>
      </c>
      <c r="I391" t="s">
        <v>1539</v>
      </c>
      <c r="J391" s="89">
        <v>43054</v>
      </c>
      <c r="K391" s="89"/>
      <c r="L391" s="89">
        <v>43189</v>
      </c>
      <c r="M391" s="31">
        <v>0</v>
      </c>
      <c r="N391" s="9"/>
      <c r="O391" s="33"/>
      <c r="P391" s="33"/>
      <c r="Q391" s="9"/>
      <c r="R391" s="67"/>
      <c r="S391" s="9"/>
    </row>
    <row r="392" spans="1:19" ht="15" customHeight="1" x14ac:dyDescent="0.25">
      <c r="A392" s="4"/>
      <c r="B392" s="28" t="str">
        <f>IF(ISNUMBER(MATCH(C392, Mgt_Unit!$C$5:$C$1018, 0)), INDEX(Mgt_Unit!$B$5:$B$1018, MATCH(C392, Mgt_Unit!$C$5:$C$1018, 0)), "")</f>
        <v>jennifer.moore</v>
      </c>
      <c r="C392" t="s">
        <v>788</v>
      </c>
      <c r="D392" s="65"/>
      <c r="E392">
        <v>4</v>
      </c>
      <c r="F392" t="s">
        <v>1538</v>
      </c>
      <c r="G392" t="s">
        <v>1544</v>
      </c>
      <c r="H392" t="s">
        <v>49</v>
      </c>
      <c r="I392" t="s">
        <v>85</v>
      </c>
      <c r="J392" s="89">
        <v>43226</v>
      </c>
      <c r="K392" s="89">
        <v>43403</v>
      </c>
      <c r="L392" s="89"/>
      <c r="M392" s="31">
        <v>0</v>
      </c>
      <c r="N392" s="9"/>
      <c r="O392" s="33"/>
      <c r="P392" s="33"/>
      <c r="Q392" s="9"/>
      <c r="R392" s="67"/>
      <c r="S392" s="9"/>
    </row>
    <row r="393" spans="1:19" ht="15" customHeight="1" x14ac:dyDescent="0.25">
      <c r="A393" s="4"/>
      <c r="B393" s="28" t="str">
        <f>IF(ISNUMBER(MATCH(C393, Mgt_Unit!$C$5:$C$1018, 0)), INDEX(Mgt_Unit!$B$5:$B$1018, MATCH(C393, Mgt_Unit!$C$5:$C$1018, 0)), "")</f>
        <v>jennifer.moore</v>
      </c>
      <c r="C393" t="s">
        <v>788</v>
      </c>
      <c r="D393" s="65"/>
      <c r="E393">
        <v>5</v>
      </c>
      <c r="F393" t="s">
        <v>1538</v>
      </c>
      <c r="G393" t="s">
        <v>1535</v>
      </c>
      <c r="H393" t="s">
        <v>442</v>
      </c>
      <c r="I393" t="s">
        <v>1539</v>
      </c>
      <c r="J393" s="89">
        <v>43419</v>
      </c>
      <c r="K393" s="89"/>
      <c r="L393" s="89">
        <v>43554</v>
      </c>
      <c r="M393" s="31">
        <v>0</v>
      </c>
      <c r="N393" s="9"/>
      <c r="O393" s="33"/>
      <c r="P393" s="33"/>
      <c r="Q393" s="9"/>
      <c r="R393" s="67"/>
      <c r="S393" s="9"/>
    </row>
    <row r="394" spans="1:19" ht="15" customHeight="1" x14ac:dyDescent="0.25">
      <c r="A394" s="4"/>
      <c r="B394" s="28" t="str">
        <f>IF(ISNUMBER(MATCH(C394, Mgt_Unit!$C$5:$C$1018, 0)), INDEX(Mgt_Unit!$B$5:$B$1018, MATCH(C394, Mgt_Unit!$C$5:$C$1018, 0)), "")</f>
        <v>jennifer.moore</v>
      </c>
      <c r="C394" t="s">
        <v>788</v>
      </c>
      <c r="D394" s="65"/>
      <c r="E394">
        <v>6</v>
      </c>
      <c r="F394" t="s">
        <v>1538</v>
      </c>
      <c r="G394" t="s">
        <v>1544</v>
      </c>
      <c r="H394" t="s">
        <v>50</v>
      </c>
      <c r="I394" t="s">
        <v>87</v>
      </c>
      <c r="J394" s="89">
        <v>43588</v>
      </c>
      <c r="K394" s="89">
        <v>43709</v>
      </c>
      <c r="L394" s="89"/>
      <c r="M394" s="31">
        <v>0</v>
      </c>
      <c r="N394" s="9"/>
      <c r="O394" s="33"/>
      <c r="P394" s="33"/>
      <c r="Q394" s="9"/>
      <c r="R394" s="67"/>
      <c r="S394" s="9"/>
    </row>
    <row r="395" spans="1:19" ht="15" customHeight="1" x14ac:dyDescent="0.25">
      <c r="A395" s="4"/>
      <c r="B395" s="28" t="str">
        <f>IF(ISNUMBER(MATCH(C395, Mgt_Unit!$C$5:$C$1018, 0)), INDEX(Mgt_Unit!$B$5:$B$1018, MATCH(C395, Mgt_Unit!$C$5:$C$1018, 0)), "")</f>
        <v>jennifer.moore</v>
      </c>
      <c r="C395" s="87" t="s">
        <v>788</v>
      </c>
      <c r="D395" s="65"/>
      <c r="E395" s="87">
        <v>7</v>
      </c>
      <c r="F395" s="87" t="s">
        <v>1538</v>
      </c>
      <c r="G395" s="87" t="s">
        <v>1544</v>
      </c>
      <c r="H395" s="87" t="s">
        <v>441</v>
      </c>
      <c r="I395" s="87" t="s">
        <v>27</v>
      </c>
      <c r="J395" s="90">
        <v>43784</v>
      </c>
      <c r="K395" s="90"/>
      <c r="L395" s="90"/>
      <c r="M395" s="93"/>
      <c r="N395" s="9"/>
      <c r="O395" s="33"/>
      <c r="P395" s="33"/>
      <c r="Q395" s="9"/>
      <c r="R395" s="67"/>
      <c r="S395" s="9"/>
    </row>
    <row r="396" spans="1:19" ht="15" customHeight="1" x14ac:dyDescent="0.25">
      <c r="A396" s="4"/>
      <c r="B396" s="28" t="str">
        <f>IF(ISNUMBER(MATCH(C396, Mgt_Unit!$C$5:$C$1018, 0)), INDEX(Mgt_Unit!$B$5:$B$1018, MATCH(C396, Mgt_Unit!$C$5:$C$1018, 0)), "")</f>
        <v>jennifer.moore</v>
      </c>
      <c r="C396" t="s">
        <v>789</v>
      </c>
      <c r="D396" s="65"/>
      <c r="E396">
        <v>1</v>
      </c>
      <c r="F396" t="s">
        <v>1538</v>
      </c>
      <c r="G396" t="s">
        <v>1544</v>
      </c>
      <c r="H396" t="s">
        <v>50</v>
      </c>
      <c r="I396" t="s">
        <v>87</v>
      </c>
      <c r="J396" s="89">
        <v>42844</v>
      </c>
      <c r="K396" s="89">
        <v>42979</v>
      </c>
      <c r="L396" s="89"/>
      <c r="M396" s="31">
        <v>0</v>
      </c>
      <c r="N396" s="9"/>
      <c r="O396" s="33"/>
      <c r="P396" s="33"/>
      <c r="Q396" s="9"/>
      <c r="R396" s="67"/>
      <c r="S396" s="9"/>
    </row>
    <row r="397" spans="1:19" ht="15" customHeight="1" x14ac:dyDescent="0.25">
      <c r="A397" s="4"/>
      <c r="B397" s="28" t="str">
        <f>IF(ISNUMBER(MATCH(C397, Mgt_Unit!$C$5:$C$1018, 0)), INDEX(Mgt_Unit!$B$5:$B$1018, MATCH(C397, Mgt_Unit!$C$5:$C$1018, 0)), "")</f>
        <v>jennifer.moore</v>
      </c>
      <c r="C397" t="s">
        <v>789</v>
      </c>
      <c r="D397" s="65"/>
      <c r="E397">
        <v>2</v>
      </c>
      <c r="F397" t="s">
        <v>1538</v>
      </c>
      <c r="G397" t="s">
        <v>1544</v>
      </c>
      <c r="H397" t="s">
        <v>441</v>
      </c>
      <c r="I397" t="s">
        <v>27</v>
      </c>
      <c r="J397" s="89">
        <v>43054</v>
      </c>
      <c r="K397" s="89">
        <v>43256</v>
      </c>
      <c r="L397" s="89"/>
      <c r="M397" s="31">
        <v>0</v>
      </c>
      <c r="N397" s="9"/>
      <c r="O397" s="33"/>
      <c r="P397" s="33"/>
      <c r="Q397" s="9"/>
      <c r="R397" s="67"/>
      <c r="S397" s="9"/>
    </row>
    <row r="398" spans="1:19" ht="15" customHeight="1" x14ac:dyDescent="0.25">
      <c r="A398" s="4"/>
      <c r="B398" s="28" t="str">
        <f>IF(ISNUMBER(MATCH(C398, Mgt_Unit!$C$5:$C$1018, 0)), INDEX(Mgt_Unit!$B$5:$B$1018, MATCH(C398, Mgt_Unit!$C$5:$C$1018, 0)), "")</f>
        <v>jennifer.moore</v>
      </c>
      <c r="C398" t="s">
        <v>789</v>
      </c>
      <c r="D398" s="65"/>
      <c r="E398">
        <v>3</v>
      </c>
      <c r="F398" t="s">
        <v>1538</v>
      </c>
      <c r="G398" t="s">
        <v>1544</v>
      </c>
      <c r="H398" t="s">
        <v>51</v>
      </c>
      <c r="I398" t="s">
        <v>137</v>
      </c>
      <c r="J398" s="89">
        <v>43261</v>
      </c>
      <c r="K398" s="89">
        <v>43409</v>
      </c>
      <c r="L398" s="89"/>
      <c r="M398" s="31">
        <v>0</v>
      </c>
      <c r="N398" s="9"/>
      <c r="O398" s="33"/>
      <c r="P398" s="33"/>
      <c r="Q398" s="9"/>
      <c r="R398" s="67"/>
      <c r="S398" s="9"/>
    </row>
    <row r="399" spans="1:19" ht="15" customHeight="1" x14ac:dyDescent="0.25">
      <c r="A399" s="4"/>
      <c r="B399" s="28" t="str">
        <f>IF(ISNUMBER(MATCH(C399, Mgt_Unit!$C$5:$C$1018, 0)), INDEX(Mgt_Unit!$B$5:$B$1018, MATCH(C399, Mgt_Unit!$C$5:$C$1018, 0)), "")</f>
        <v>jennifer.moore</v>
      </c>
      <c r="C399" t="s">
        <v>789</v>
      </c>
      <c r="D399" s="65"/>
      <c r="E399">
        <v>4</v>
      </c>
      <c r="F399" t="s">
        <v>1538</v>
      </c>
      <c r="G399" t="s">
        <v>1535</v>
      </c>
      <c r="H399" t="s">
        <v>442</v>
      </c>
      <c r="I399" t="s">
        <v>1539</v>
      </c>
      <c r="J399" s="89">
        <v>43419</v>
      </c>
      <c r="K399" s="89"/>
      <c r="L399" s="89">
        <v>43554</v>
      </c>
      <c r="M399" s="31">
        <v>0</v>
      </c>
      <c r="N399" s="9"/>
      <c r="O399" s="33"/>
      <c r="P399" s="33"/>
      <c r="Q399" s="9"/>
      <c r="R399" s="67"/>
      <c r="S399" s="9"/>
    </row>
    <row r="400" spans="1:19" ht="15" customHeight="1" x14ac:dyDescent="0.25">
      <c r="A400" s="4"/>
      <c r="B400" s="28" t="str">
        <f>IF(ISNUMBER(MATCH(C400, Mgt_Unit!$C$5:$C$1018, 0)), INDEX(Mgt_Unit!$B$5:$B$1018, MATCH(C400, Mgt_Unit!$C$5:$C$1018, 0)), "")</f>
        <v>jennifer.moore</v>
      </c>
      <c r="C400" t="s">
        <v>789</v>
      </c>
      <c r="D400" s="65"/>
      <c r="E400">
        <v>5</v>
      </c>
      <c r="F400" t="s">
        <v>1538</v>
      </c>
      <c r="G400" t="s">
        <v>1544</v>
      </c>
      <c r="H400" t="s">
        <v>49</v>
      </c>
      <c r="I400" t="s">
        <v>85</v>
      </c>
      <c r="J400" s="89">
        <v>43600</v>
      </c>
      <c r="K400" s="89">
        <v>43768</v>
      </c>
      <c r="L400" s="89"/>
      <c r="M400" s="31">
        <v>0</v>
      </c>
      <c r="N400" s="9"/>
      <c r="O400" s="33"/>
      <c r="P400" s="33"/>
      <c r="Q400" s="9"/>
      <c r="R400" s="67"/>
      <c r="S400" s="9"/>
    </row>
    <row r="401" spans="1:19" ht="15" customHeight="1" x14ac:dyDescent="0.25">
      <c r="A401" s="4"/>
      <c r="B401" s="28" t="str">
        <f>IF(ISNUMBER(MATCH(C401, Mgt_Unit!$C$5:$C$1018, 0)), INDEX(Mgt_Unit!$B$5:$B$1018, MATCH(C401, Mgt_Unit!$C$5:$C$1018, 0)), "")</f>
        <v>jennifer.moore</v>
      </c>
      <c r="C401" s="87" t="s">
        <v>789</v>
      </c>
      <c r="D401" s="65"/>
      <c r="E401" s="87">
        <v>6</v>
      </c>
      <c r="F401" s="87" t="s">
        <v>1538</v>
      </c>
      <c r="G401" s="87" t="s">
        <v>1535</v>
      </c>
      <c r="H401" s="87" t="s">
        <v>442</v>
      </c>
      <c r="I401" s="87" t="s">
        <v>1539</v>
      </c>
      <c r="J401" s="90">
        <v>43784</v>
      </c>
      <c r="K401" s="90"/>
      <c r="L401" s="90"/>
      <c r="M401" s="93"/>
      <c r="N401" s="9"/>
      <c r="O401" s="33"/>
      <c r="P401" s="33"/>
      <c r="Q401" s="9"/>
      <c r="R401" s="67"/>
      <c r="S401" s="9"/>
    </row>
    <row r="402" spans="1:19" ht="15" customHeight="1" x14ac:dyDescent="0.25">
      <c r="A402" s="4"/>
      <c r="B402" s="28" t="str">
        <f>IF(ISNUMBER(MATCH(C402, Mgt_Unit!$C$5:$C$1018, 0)), INDEX(Mgt_Unit!$B$5:$B$1018, MATCH(C402, Mgt_Unit!$C$5:$C$1018, 0)), "")</f>
        <v>jennifer.moore</v>
      </c>
      <c r="C402" t="s">
        <v>790</v>
      </c>
      <c r="D402" s="65"/>
      <c r="E402">
        <v>1</v>
      </c>
      <c r="F402" t="s">
        <v>1538</v>
      </c>
      <c r="G402" t="s">
        <v>1544</v>
      </c>
      <c r="H402" t="s">
        <v>49</v>
      </c>
      <c r="I402" t="s">
        <v>85</v>
      </c>
      <c r="J402" s="89">
        <v>42860</v>
      </c>
      <c r="K402" s="89">
        <v>43038</v>
      </c>
      <c r="L402" s="89"/>
      <c r="M402" s="31">
        <v>0</v>
      </c>
      <c r="N402" s="9"/>
      <c r="O402" s="33"/>
      <c r="P402" s="33"/>
      <c r="Q402" s="9"/>
      <c r="R402" s="67"/>
      <c r="S402" s="9"/>
    </row>
    <row r="403" spans="1:19" ht="15" customHeight="1" x14ac:dyDescent="0.25">
      <c r="A403" s="4"/>
      <c r="B403" s="28" t="str">
        <f>IF(ISNUMBER(MATCH(C403, Mgt_Unit!$C$5:$C$1018, 0)), INDEX(Mgt_Unit!$B$5:$B$1018, MATCH(C403, Mgt_Unit!$C$5:$C$1018, 0)), "")</f>
        <v>jennifer.moore</v>
      </c>
      <c r="C403" t="s">
        <v>790</v>
      </c>
      <c r="D403" s="65"/>
      <c r="E403">
        <v>2</v>
      </c>
      <c r="F403" t="s">
        <v>1538</v>
      </c>
      <c r="G403" t="s">
        <v>1535</v>
      </c>
      <c r="H403" t="s">
        <v>442</v>
      </c>
      <c r="I403" t="s">
        <v>1539</v>
      </c>
      <c r="J403" s="89">
        <v>43054</v>
      </c>
      <c r="K403" s="89"/>
      <c r="L403" s="89">
        <v>43189</v>
      </c>
      <c r="M403" s="31">
        <v>0</v>
      </c>
      <c r="N403" s="9"/>
      <c r="O403" s="33"/>
      <c r="P403" s="33"/>
      <c r="Q403" s="9"/>
      <c r="R403" s="67"/>
      <c r="S403" s="9"/>
    </row>
    <row r="404" spans="1:19" ht="15" customHeight="1" x14ac:dyDescent="0.25">
      <c r="A404" s="4"/>
      <c r="B404" s="28" t="str">
        <f>IF(ISNUMBER(MATCH(C404, Mgt_Unit!$C$5:$C$1018, 0)), INDEX(Mgt_Unit!$B$5:$B$1018, MATCH(C404, Mgt_Unit!$C$5:$C$1018, 0)), "")</f>
        <v>jennifer.moore</v>
      </c>
      <c r="C404" t="s">
        <v>790</v>
      </c>
      <c r="D404" s="65"/>
      <c r="E404">
        <v>3</v>
      </c>
      <c r="F404" t="s">
        <v>1538</v>
      </c>
      <c r="G404" t="s">
        <v>1544</v>
      </c>
      <c r="H404" t="s">
        <v>50</v>
      </c>
      <c r="I404" t="s">
        <v>87</v>
      </c>
      <c r="J404" s="89">
        <v>43209</v>
      </c>
      <c r="K404" s="89">
        <v>43344</v>
      </c>
      <c r="L404" s="89"/>
      <c r="M404" s="31">
        <v>0</v>
      </c>
      <c r="N404" s="9"/>
      <c r="O404" s="33"/>
      <c r="P404" s="33"/>
      <c r="Q404" s="9"/>
      <c r="R404" s="67"/>
      <c r="S404" s="9"/>
    </row>
    <row r="405" spans="1:19" ht="15" customHeight="1" x14ac:dyDescent="0.25">
      <c r="A405" s="4"/>
      <c r="B405" s="28" t="str">
        <f>IF(ISNUMBER(MATCH(C405, Mgt_Unit!$C$5:$C$1018, 0)), INDEX(Mgt_Unit!$B$5:$B$1018, MATCH(C405, Mgt_Unit!$C$5:$C$1018, 0)), "")</f>
        <v>jennifer.moore</v>
      </c>
      <c r="C405" t="s">
        <v>790</v>
      </c>
      <c r="D405" s="65"/>
      <c r="E405">
        <v>4</v>
      </c>
      <c r="F405" t="s">
        <v>1538</v>
      </c>
      <c r="G405" t="s">
        <v>1544</v>
      </c>
      <c r="H405" t="s">
        <v>441</v>
      </c>
      <c r="I405" t="s">
        <v>27</v>
      </c>
      <c r="J405" s="89">
        <v>43419</v>
      </c>
      <c r="K405" s="89">
        <v>43617</v>
      </c>
      <c r="L405" s="89"/>
      <c r="M405" s="31">
        <v>0</v>
      </c>
      <c r="N405" s="9"/>
      <c r="O405" s="33"/>
      <c r="P405" s="33"/>
      <c r="Q405" s="9"/>
      <c r="R405" s="67"/>
      <c r="S405" s="9"/>
    </row>
    <row r="406" spans="1:19" ht="15" customHeight="1" x14ac:dyDescent="0.25">
      <c r="A406" s="4"/>
      <c r="B406" s="28" t="str">
        <f>IF(ISNUMBER(MATCH(C406, Mgt_Unit!$C$5:$C$1018, 0)), INDEX(Mgt_Unit!$B$5:$B$1018, MATCH(C406, Mgt_Unit!$C$5:$C$1018, 0)), "")</f>
        <v>jennifer.moore</v>
      </c>
      <c r="C406" t="s">
        <v>790</v>
      </c>
      <c r="D406" s="65"/>
      <c r="E406">
        <v>5</v>
      </c>
      <c r="F406" t="s">
        <v>1538</v>
      </c>
      <c r="G406" t="s">
        <v>1544</v>
      </c>
      <c r="H406" t="s">
        <v>51</v>
      </c>
      <c r="I406" t="s">
        <v>137</v>
      </c>
      <c r="J406" s="89">
        <v>43626</v>
      </c>
      <c r="K406" s="89">
        <v>43779</v>
      </c>
      <c r="L406" s="89"/>
      <c r="M406" s="31">
        <v>0</v>
      </c>
      <c r="N406" s="9"/>
      <c r="O406" s="33"/>
      <c r="P406" s="33"/>
      <c r="Q406" s="9"/>
      <c r="R406" s="67"/>
      <c r="S406" s="9"/>
    </row>
    <row r="407" spans="1:19" ht="15" customHeight="1" x14ac:dyDescent="0.25">
      <c r="A407" s="4"/>
      <c r="B407" s="28" t="str">
        <f>IF(ISNUMBER(MATCH(C407, Mgt_Unit!$C$5:$C$1018, 0)), INDEX(Mgt_Unit!$B$5:$B$1018, MATCH(C407, Mgt_Unit!$C$5:$C$1018, 0)), "")</f>
        <v>jennifer.moore</v>
      </c>
      <c r="C407" s="87" t="s">
        <v>790</v>
      </c>
      <c r="D407" s="65"/>
      <c r="E407" s="87">
        <v>6</v>
      </c>
      <c r="F407" s="87" t="s">
        <v>1538</v>
      </c>
      <c r="G407" s="87" t="s">
        <v>1535</v>
      </c>
      <c r="H407" s="87" t="s">
        <v>442</v>
      </c>
      <c r="I407" s="87" t="s">
        <v>1539</v>
      </c>
      <c r="J407" s="90">
        <v>43784</v>
      </c>
      <c r="K407" s="90"/>
      <c r="L407" s="90"/>
      <c r="M407" s="93"/>
      <c r="N407" s="9"/>
      <c r="O407" s="33"/>
      <c r="P407" s="33"/>
      <c r="Q407" s="9"/>
      <c r="R407" s="67"/>
      <c r="S407" s="9"/>
    </row>
    <row r="408" spans="1:19" ht="15" customHeight="1" x14ac:dyDescent="0.25">
      <c r="A408" s="4"/>
      <c r="B408" s="28" t="str">
        <f>IF(ISNUMBER(MATCH(C408, Mgt_Unit!$C$5:$C$1018, 0)), INDEX(Mgt_Unit!$B$5:$B$1018, MATCH(C408, Mgt_Unit!$C$5:$C$1018, 0)), "")</f>
        <v>jennifer.moore</v>
      </c>
      <c r="C408" t="s">
        <v>791</v>
      </c>
      <c r="D408" s="65"/>
      <c r="E408">
        <v>1</v>
      </c>
      <c r="F408" t="s">
        <v>1537</v>
      </c>
      <c r="G408" t="s">
        <v>1535</v>
      </c>
      <c r="H408" t="s">
        <v>441</v>
      </c>
      <c r="I408" t="s">
        <v>88</v>
      </c>
      <c r="J408" s="89"/>
      <c r="K408" s="89"/>
      <c r="L408" s="89">
        <v>42461</v>
      </c>
      <c r="M408" s="95">
        <v>0</v>
      </c>
      <c r="N408" s="9"/>
      <c r="O408" s="33"/>
      <c r="P408" s="33"/>
      <c r="Q408" s="9"/>
      <c r="R408" s="67"/>
      <c r="S408" s="9"/>
    </row>
    <row r="409" spans="1:19" ht="15" customHeight="1" x14ac:dyDescent="0.25">
      <c r="A409" s="4"/>
      <c r="B409" s="28" t="str">
        <f>IF(ISNUMBER(MATCH(C409, Mgt_Unit!$C$5:$C$1018, 0)), INDEX(Mgt_Unit!$B$5:$B$1018, MATCH(C409, Mgt_Unit!$C$5:$C$1018, 0)), "")</f>
        <v>jennifer.moore</v>
      </c>
      <c r="C409" t="s">
        <v>791</v>
      </c>
      <c r="D409" s="65"/>
      <c r="E409">
        <v>1</v>
      </c>
      <c r="F409" t="s">
        <v>1537</v>
      </c>
      <c r="G409" t="s">
        <v>1535</v>
      </c>
      <c r="H409" t="s">
        <v>441</v>
      </c>
      <c r="I409" t="s">
        <v>124</v>
      </c>
      <c r="J409" s="89"/>
      <c r="K409" s="89"/>
      <c r="L409" s="89">
        <v>42461</v>
      </c>
      <c r="M409" s="95">
        <v>0</v>
      </c>
      <c r="N409" s="9"/>
      <c r="O409" s="33"/>
      <c r="P409" s="33"/>
      <c r="Q409" s="9"/>
      <c r="R409" s="67"/>
      <c r="S409" s="9"/>
    </row>
    <row r="410" spans="1:19" ht="15" customHeight="1" x14ac:dyDescent="0.25">
      <c r="A410" s="4"/>
      <c r="B410" s="28" t="str">
        <f>IF(ISNUMBER(MATCH(C410, Mgt_Unit!$C$5:$C$1018, 0)), INDEX(Mgt_Unit!$B$5:$B$1018, MATCH(C410, Mgt_Unit!$C$5:$C$1018, 0)), "")</f>
        <v>jennifer.moore</v>
      </c>
      <c r="C410" t="s">
        <v>791</v>
      </c>
      <c r="D410" s="65"/>
      <c r="E410">
        <v>2</v>
      </c>
      <c r="F410" t="s">
        <v>1538</v>
      </c>
      <c r="G410" t="s">
        <v>1544</v>
      </c>
      <c r="H410" t="s">
        <v>49</v>
      </c>
      <c r="I410" t="s">
        <v>85</v>
      </c>
      <c r="J410" s="89">
        <v>42491</v>
      </c>
      <c r="K410" s="89">
        <v>42668</v>
      </c>
      <c r="L410" s="89"/>
      <c r="M410" s="95">
        <v>0</v>
      </c>
      <c r="N410" s="9"/>
      <c r="O410" s="33"/>
      <c r="P410" s="33"/>
      <c r="Q410" s="9"/>
      <c r="R410" s="67"/>
      <c r="S410" s="9"/>
    </row>
    <row r="411" spans="1:19" ht="15" customHeight="1" x14ac:dyDescent="0.25">
      <c r="A411" s="4"/>
      <c r="B411" s="28" t="str">
        <f>IF(ISNUMBER(MATCH(C411, Mgt_Unit!$C$5:$C$1018, 0)), INDEX(Mgt_Unit!$B$5:$B$1018, MATCH(C411, Mgt_Unit!$C$5:$C$1018, 0)), "")</f>
        <v>jennifer.moore</v>
      </c>
      <c r="C411" t="s">
        <v>791</v>
      </c>
      <c r="D411" s="65"/>
      <c r="E411">
        <v>3</v>
      </c>
      <c r="F411" t="s">
        <v>1537</v>
      </c>
      <c r="G411" t="s">
        <v>1535</v>
      </c>
      <c r="H411" t="s">
        <v>441</v>
      </c>
      <c r="I411" t="s">
        <v>88</v>
      </c>
      <c r="J411" s="89">
        <v>42674</v>
      </c>
      <c r="K411" s="89"/>
      <c r="L411" s="89">
        <v>42826</v>
      </c>
      <c r="M411" s="95">
        <v>0</v>
      </c>
      <c r="N411" s="9"/>
      <c r="O411" s="33"/>
      <c r="P411" s="33"/>
      <c r="Q411" s="9"/>
      <c r="R411" s="67"/>
      <c r="S411" s="9"/>
    </row>
    <row r="412" spans="1:19" ht="15" customHeight="1" x14ac:dyDescent="0.25">
      <c r="A412" s="4"/>
      <c r="B412" s="28" t="str">
        <f>IF(ISNUMBER(MATCH(C412, Mgt_Unit!$C$5:$C$1018, 0)), INDEX(Mgt_Unit!$B$5:$B$1018, MATCH(C412, Mgt_Unit!$C$5:$C$1018, 0)), "")</f>
        <v>jennifer.moore</v>
      </c>
      <c r="C412" t="s">
        <v>791</v>
      </c>
      <c r="D412" s="65"/>
      <c r="E412">
        <v>3</v>
      </c>
      <c r="F412" t="s">
        <v>1537</v>
      </c>
      <c r="G412" t="s">
        <v>1535</v>
      </c>
      <c r="H412" t="s">
        <v>441</v>
      </c>
      <c r="I412" t="s">
        <v>124</v>
      </c>
      <c r="J412" s="89">
        <v>42674</v>
      </c>
      <c r="K412" s="89"/>
      <c r="L412" s="89">
        <v>42826</v>
      </c>
      <c r="M412" s="95">
        <v>0</v>
      </c>
      <c r="N412" s="9"/>
      <c r="O412" s="33"/>
      <c r="P412" s="33"/>
      <c r="Q412" s="9"/>
      <c r="R412" s="67"/>
      <c r="S412" s="9"/>
    </row>
    <row r="413" spans="1:19" ht="15" customHeight="1" x14ac:dyDescent="0.25">
      <c r="A413" s="4"/>
      <c r="B413" s="28" t="str">
        <f>IF(ISNUMBER(MATCH(C413, Mgt_Unit!$C$5:$C$1018, 0)), INDEX(Mgt_Unit!$B$5:$B$1018, MATCH(C413, Mgt_Unit!$C$5:$C$1018, 0)), "")</f>
        <v>jennifer.moore</v>
      </c>
      <c r="C413" t="s">
        <v>791</v>
      </c>
      <c r="D413" s="65"/>
      <c r="E413">
        <v>4</v>
      </c>
      <c r="F413" t="s">
        <v>1538</v>
      </c>
      <c r="G413" t="s">
        <v>1536</v>
      </c>
      <c r="H413" t="s">
        <v>50</v>
      </c>
      <c r="I413" t="s">
        <v>1279</v>
      </c>
      <c r="J413" s="89">
        <v>42840</v>
      </c>
      <c r="K413"/>
      <c r="L413" s="89">
        <v>43403</v>
      </c>
      <c r="M413" s="95">
        <v>0</v>
      </c>
      <c r="N413" s="9"/>
      <c r="O413" s="33"/>
      <c r="P413" s="33"/>
      <c r="Q413" s="9"/>
      <c r="R413" s="67"/>
      <c r="S413" s="9" t="s">
        <v>1590</v>
      </c>
    </row>
    <row r="414" spans="1:19" ht="15" customHeight="1" x14ac:dyDescent="0.25">
      <c r="A414" s="4"/>
      <c r="B414" s="28" t="str">
        <f>IF(ISNUMBER(MATCH(C414, Mgt_Unit!$C$5:$C$1018, 0)), INDEX(Mgt_Unit!$B$5:$B$1018, MATCH(C414, Mgt_Unit!$C$5:$C$1018, 0)), "")</f>
        <v>jennifer.moore</v>
      </c>
      <c r="C414" t="s">
        <v>791</v>
      </c>
      <c r="D414" s="65"/>
      <c r="E414">
        <v>5</v>
      </c>
      <c r="F414" t="s">
        <v>1537</v>
      </c>
      <c r="G414" t="s">
        <v>1535</v>
      </c>
      <c r="H414" t="s">
        <v>441</v>
      </c>
      <c r="I414" t="s">
        <v>88</v>
      </c>
      <c r="J414" s="89">
        <v>43406</v>
      </c>
      <c r="K414" s="89"/>
      <c r="L414" s="89">
        <v>43576</v>
      </c>
      <c r="M414" s="95">
        <v>0</v>
      </c>
      <c r="N414" s="9"/>
      <c r="O414" s="33"/>
      <c r="P414" s="33"/>
      <c r="Q414" s="9"/>
      <c r="R414" s="67"/>
      <c r="S414" s="9"/>
    </row>
    <row r="415" spans="1:19" ht="15" customHeight="1" x14ac:dyDescent="0.25">
      <c r="A415" s="4"/>
      <c r="B415" s="28" t="str">
        <f>IF(ISNUMBER(MATCH(C415, Mgt_Unit!$C$5:$C$1018, 0)), INDEX(Mgt_Unit!$B$5:$B$1018, MATCH(C415, Mgt_Unit!$C$5:$C$1018, 0)), "")</f>
        <v>jennifer.moore</v>
      </c>
      <c r="C415" t="s">
        <v>791</v>
      </c>
      <c r="D415" s="65"/>
      <c r="E415">
        <v>5</v>
      </c>
      <c r="F415" t="s">
        <v>1537</v>
      </c>
      <c r="G415" t="s">
        <v>1535</v>
      </c>
      <c r="H415" t="s">
        <v>441</v>
      </c>
      <c r="I415" t="s">
        <v>124</v>
      </c>
      <c r="J415" s="89">
        <v>43406</v>
      </c>
      <c r="K415" s="89"/>
      <c r="L415" s="89">
        <v>43576</v>
      </c>
      <c r="M415" s="95">
        <v>0</v>
      </c>
      <c r="N415" s="9"/>
      <c r="O415" s="33"/>
      <c r="P415" s="33"/>
      <c r="Q415" s="9"/>
      <c r="R415" s="67"/>
      <c r="S415" s="9"/>
    </row>
    <row r="416" spans="1:19" ht="15" customHeight="1" x14ac:dyDescent="0.25">
      <c r="A416" s="4"/>
      <c r="B416" s="28" t="str">
        <f>IF(ISNUMBER(MATCH(C416, Mgt_Unit!$C$5:$C$1018, 0)), INDEX(Mgt_Unit!$B$5:$B$1018, MATCH(C416, Mgt_Unit!$C$5:$C$1018, 0)), "")</f>
        <v>jennifer.moore</v>
      </c>
      <c r="C416" t="s">
        <v>791</v>
      </c>
      <c r="D416" s="65"/>
      <c r="E416">
        <v>6</v>
      </c>
      <c r="F416" t="s">
        <v>1538</v>
      </c>
      <c r="G416" t="s">
        <v>1544</v>
      </c>
      <c r="H416" t="s">
        <v>51</v>
      </c>
      <c r="I416" t="s">
        <v>125</v>
      </c>
      <c r="J416" s="89">
        <v>43600</v>
      </c>
      <c r="K416" s="89">
        <v>43769</v>
      </c>
      <c r="L416" s="89"/>
      <c r="M416" s="95">
        <v>0</v>
      </c>
      <c r="N416" s="9"/>
      <c r="O416" s="33"/>
      <c r="P416" s="33"/>
      <c r="Q416" s="9"/>
      <c r="R416" s="67"/>
      <c r="S416" s="9"/>
    </row>
    <row r="417" spans="1:19" ht="15" customHeight="1" x14ac:dyDescent="0.25">
      <c r="A417" s="4"/>
      <c r="B417" s="28" t="str">
        <f>IF(ISNUMBER(MATCH(C417, Mgt_Unit!$C$5:$C$1018, 0)), INDEX(Mgt_Unit!$B$5:$B$1018, MATCH(C417, Mgt_Unit!$C$5:$C$1018, 0)), "")</f>
        <v>jennifer.moore</v>
      </c>
      <c r="C417" t="s">
        <v>791</v>
      </c>
      <c r="D417" s="65"/>
      <c r="E417">
        <v>7</v>
      </c>
      <c r="F417" t="s">
        <v>1537</v>
      </c>
      <c r="G417" t="s">
        <v>1535</v>
      </c>
      <c r="H417" t="s">
        <v>441</v>
      </c>
      <c r="I417" t="s">
        <v>88</v>
      </c>
      <c r="J417" s="89">
        <v>43771</v>
      </c>
      <c r="K417" s="89"/>
      <c r="L417" s="89"/>
      <c r="M417" s="31"/>
      <c r="N417" s="9"/>
      <c r="O417" s="33"/>
      <c r="P417" s="33"/>
      <c r="Q417" s="9"/>
      <c r="R417" s="67"/>
      <c r="S417" s="9"/>
    </row>
    <row r="418" spans="1:19" ht="15" customHeight="1" x14ac:dyDescent="0.25">
      <c r="A418" s="4"/>
      <c r="B418" s="28" t="str">
        <f>IF(ISNUMBER(MATCH(C418, Mgt_Unit!$C$5:$C$1018, 0)), INDEX(Mgt_Unit!$B$5:$B$1018, MATCH(C418, Mgt_Unit!$C$5:$C$1018, 0)), "")</f>
        <v>jennifer.moore</v>
      </c>
      <c r="C418" s="87" t="s">
        <v>791</v>
      </c>
      <c r="D418" s="65"/>
      <c r="E418" s="87">
        <v>7</v>
      </c>
      <c r="F418" s="87" t="s">
        <v>1537</v>
      </c>
      <c r="G418" s="87" t="s">
        <v>1535</v>
      </c>
      <c r="H418" s="87" t="s">
        <v>441</v>
      </c>
      <c r="I418" s="87" t="s">
        <v>124</v>
      </c>
      <c r="J418" s="90">
        <v>43771</v>
      </c>
      <c r="K418" s="90"/>
      <c r="L418" s="90"/>
      <c r="M418" s="93"/>
      <c r="N418" s="9"/>
      <c r="O418" s="33"/>
      <c r="P418" s="33"/>
      <c r="Q418" s="9"/>
      <c r="R418" s="67"/>
      <c r="S418" s="9"/>
    </row>
    <row r="419" spans="1:19" ht="15" customHeight="1" x14ac:dyDescent="0.25">
      <c r="A419" s="4"/>
      <c r="B419" s="28" t="str">
        <f>IF(ISNUMBER(MATCH(C419, Mgt_Unit!$C$5:$C$1018, 0)), INDEX(Mgt_Unit!$B$5:$B$1018, MATCH(C419, Mgt_Unit!$C$5:$C$1018, 0)), "")</f>
        <v>jennifer.moore</v>
      </c>
      <c r="C419" t="s">
        <v>792</v>
      </c>
      <c r="D419" s="65"/>
      <c r="E419">
        <v>1</v>
      </c>
      <c r="F419" t="s">
        <v>1538</v>
      </c>
      <c r="G419" t="s">
        <v>1544</v>
      </c>
      <c r="H419" t="s">
        <v>49</v>
      </c>
      <c r="I419" t="s">
        <v>85</v>
      </c>
      <c r="J419" s="89">
        <v>42491</v>
      </c>
      <c r="K419" s="89">
        <v>42668</v>
      </c>
      <c r="L419" s="89"/>
      <c r="M419" s="95">
        <v>0</v>
      </c>
      <c r="N419" s="9"/>
      <c r="O419" s="33"/>
      <c r="P419" s="33"/>
      <c r="Q419" s="9"/>
      <c r="R419" s="67"/>
      <c r="S419" s="9"/>
    </row>
    <row r="420" spans="1:19" ht="15" customHeight="1" x14ac:dyDescent="0.25">
      <c r="A420" s="4"/>
      <c r="B420" s="28" t="str">
        <f>IF(ISNUMBER(MATCH(C420, Mgt_Unit!$C$5:$C$1018, 0)), INDEX(Mgt_Unit!$B$5:$B$1018, MATCH(C420, Mgt_Unit!$C$5:$C$1018, 0)), "")</f>
        <v>jennifer.moore</v>
      </c>
      <c r="C420" t="s">
        <v>792</v>
      </c>
      <c r="D420" s="65"/>
      <c r="E420">
        <v>2</v>
      </c>
      <c r="F420" t="s">
        <v>1537</v>
      </c>
      <c r="G420" t="s">
        <v>1535</v>
      </c>
      <c r="H420" t="s">
        <v>441</v>
      </c>
      <c r="I420" t="s">
        <v>88</v>
      </c>
      <c r="J420" s="89">
        <v>42674</v>
      </c>
      <c r="K420" s="89"/>
      <c r="L420" s="89">
        <v>42826</v>
      </c>
      <c r="M420" s="95">
        <v>0</v>
      </c>
      <c r="N420" s="9"/>
      <c r="O420" s="33"/>
      <c r="P420" s="33"/>
      <c r="Q420" s="9"/>
      <c r="R420" s="67"/>
      <c r="S420" s="9"/>
    </row>
    <row r="421" spans="1:19" ht="15" customHeight="1" x14ac:dyDescent="0.25">
      <c r="A421" s="4"/>
      <c r="B421" s="28" t="str">
        <f>IF(ISNUMBER(MATCH(C421, Mgt_Unit!$C$5:$C$1018, 0)), INDEX(Mgt_Unit!$B$5:$B$1018, MATCH(C421, Mgt_Unit!$C$5:$C$1018, 0)), "")</f>
        <v>jennifer.moore</v>
      </c>
      <c r="C421" t="s">
        <v>792</v>
      </c>
      <c r="D421" s="65"/>
      <c r="E421">
        <v>2</v>
      </c>
      <c r="F421" t="s">
        <v>1537</v>
      </c>
      <c r="G421" t="s">
        <v>1535</v>
      </c>
      <c r="H421" t="s">
        <v>441</v>
      </c>
      <c r="I421" t="s">
        <v>124</v>
      </c>
      <c r="J421" s="89">
        <v>42674</v>
      </c>
      <c r="K421" s="89"/>
      <c r="L421" s="89">
        <v>42826</v>
      </c>
      <c r="M421" s="95">
        <v>0</v>
      </c>
      <c r="N421" s="9"/>
      <c r="O421" s="33"/>
      <c r="P421" s="33"/>
      <c r="Q421" s="9"/>
      <c r="R421" s="67"/>
      <c r="S421" s="9"/>
    </row>
    <row r="422" spans="1:19" ht="15" customHeight="1" x14ac:dyDescent="0.25">
      <c r="A422" s="4"/>
      <c r="B422" s="28" t="str">
        <f>IF(ISNUMBER(MATCH(C422, Mgt_Unit!$C$5:$C$1018, 0)), INDEX(Mgt_Unit!$B$5:$B$1018, MATCH(C422, Mgt_Unit!$C$5:$C$1018, 0)), "")</f>
        <v>jennifer.moore</v>
      </c>
      <c r="C422" t="s">
        <v>792</v>
      </c>
      <c r="D422" s="65"/>
      <c r="E422">
        <v>3</v>
      </c>
      <c r="F422" t="s">
        <v>1538</v>
      </c>
      <c r="G422" t="s">
        <v>1536</v>
      </c>
      <c r="H422" t="s">
        <v>50</v>
      </c>
      <c r="I422" t="s">
        <v>1279</v>
      </c>
      <c r="J422" s="89">
        <v>42840</v>
      </c>
      <c r="K422"/>
      <c r="L422" s="89">
        <v>43403</v>
      </c>
      <c r="M422" s="95">
        <v>0</v>
      </c>
      <c r="N422" s="9"/>
      <c r="O422" s="33"/>
      <c r="P422" s="33"/>
      <c r="Q422" s="9"/>
      <c r="R422" s="67"/>
      <c r="S422" s="9" t="s">
        <v>1590</v>
      </c>
    </row>
    <row r="423" spans="1:19" ht="15" customHeight="1" x14ac:dyDescent="0.25">
      <c r="A423" s="4"/>
      <c r="B423" s="28" t="str">
        <f>IF(ISNUMBER(MATCH(C423, Mgt_Unit!$C$5:$C$1018, 0)), INDEX(Mgt_Unit!$B$5:$B$1018, MATCH(C423, Mgt_Unit!$C$5:$C$1018, 0)), "")</f>
        <v>jennifer.moore</v>
      </c>
      <c r="C423" t="s">
        <v>792</v>
      </c>
      <c r="D423" s="65"/>
      <c r="E423">
        <v>4</v>
      </c>
      <c r="F423" t="s">
        <v>1537</v>
      </c>
      <c r="G423" t="s">
        <v>1535</v>
      </c>
      <c r="H423" t="s">
        <v>441</v>
      </c>
      <c r="I423" t="s">
        <v>88</v>
      </c>
      <c r="J423" s="89">
        <v>43406</v>
      </c>
      <c r="K423" s="89"/>
      <c r="L423" s="89">
        <v>43576</v>
      </c>
      <c r="M423" s="95">
        <v>0</v>
      </c>
      <c r="N423" s="9"/>
      <c r="O423" s="33"/>
      <c r="P423" s="33"/>
      <c r="Q423" s="9"/>
      <c r="R423" s="67"/>
      <c r="S423" s="9"/>
    </row>
    <row r="424" spans="1:19" ht="15" customHeight="1" x14ac:dyDescent="0.25">
      <c r="A424" s="4"/>
      <c r="B424" s="28" t="str">
        <f>IF(ISNUMBER(MATCH(C424, Mgt_Unit!$C$5:$C$1018, 0)), INDEX(Mgt_Unit!$B$5:$B$1018, MATCH(C424, Mgt_Unit!$C$5:$C$1018, 0)), "")</f>
        <v>jennifer.moore</v>
      </c>
      <c r="C424" t="s">
        <v>792</v>
      </c>
      <c r="D424" s="65"/>
      <c r="E424">
        <v>4</v>
      </c>
      <c r="F424" t="s">
        <v>1537</v>
      </c>
      <c r="G424" t="s">
        <v>1535</v>
      </c>
      <c r="H424" t="s">
        <v>441</v>
      </c>
      <c r="I424" t="s">
        <v>124</v>
      </c>
      <c r="J424" s="89">
        <v>43406</v>
      </c>
      <c r="K424" s="89"/>
      <c r="L424" s="89">
        <v>43576</v>
      </c>
      <c r="M424" s="95">
        <v>0</v>
      </c>
      <c r="N424" s="9"/>
      <c r="O424" s="33"/>
      <c r="P424" s="33"/>
      <c r="Q424" s="9"/>
      <c r="R424" s="67"/>
      <c r="S424" s="9"/>
    </row>
    <row r="425" spans="1:19" ht="15" customHeight="1" x14ac:dyDescent="0.25">
      <c r="A425" s="4"/>
      <c r="B425" s="28" t="str">
        <f>IF(ISNUMBER(MATCH(C425, Mgt_Unit!$C$5:$C$1018, 0)), INDEX(Mgt_Unit!$B$5:$B$1018, MATCH(C425, Mgt_Unit!$C$5:$C$1018, 0)), "")</f>
        <v>jennifer.moore</v>
      </c>
      <c r="C425" t="s">
        <v>792</v>
      </c>
      <c r="D425" s="65"/>
      <c r="E425">
        <v>5</v>
      </c>
      <c r="F425" t="s">
        <v>1538</v>
      </c>
      <c r="G425" t="s">
        <v>1544</v>
      </c>
      <c r="H425" t="s">
        <v>51</v>
      </c>
      <c r="I425" t="s">
        <v>125</v>
      </c>
      <c r="J425" s="89">
        <v>43600</v>
      </c>
      <c r="K425" s="89">
        <v>43769</v>
      </c>
      <c r="L425" s="89"/>
      <c r="M425" s="95">
        <v>0</v>
      </c>
      <c r="N425" s="9"/>
      <c r="O425" s="33"/>
      <c r="P425" s="33"/>
      <c r="Q425" s="9"/>
      <c r="R425" s="67"/>
      <c r="S425" s="9"/>
    </row>
    <row r="426" spans="1:19" ht="15" customHeight="1" x14ac:dyDescent="0.25">
      <c r="A426" s="4"/>
      <c r="B426" s="28" t="str">
        <f>IF(ISNUMBER(MATCH(C426, Mgt_Unit!$C$5:$C$1018, 0)), INDEX(Mgt_Unit!$B$5:$B$1018, MATCH(C426, Mgt_Unit!$C$5:$C$1018, 0)), "")</f>
        <v>jennifer.moore</v>
      </c>
      <c r="C426" t="s">
        <v>792</v>
      </c>
      <c r="D426" s="65"/>
      <c r="E426">
        <v>6</v>
      </c>
      <c r="F426" t="s">
        <v>1537</v>
      </c>
      <c r="G426" t="s">
        <v>1535</v>
      </c>
      <c r="H426" t="s">
        <v>441</v>
      </c>
      <c r="I426" t="s">
        <v>88</v>
      </c>
      <c r="J426" s="89">
        <v>43771</v>
      </c>
      <c r="K426" s="89"/>
      <c r="L426" s="89"/>
      <c r="M426" s="31"/>
      <c r="N426" s="9"/>
      <c r="O426" s="33"/>
      <c r="P426" s="33"/>
      <c r="Q426" s="9"/>
      <c r="R426" s="67"/>
      <c r="S426" s="9"/>
    </row>
    <row r="427" spans="1:19" ht="15" customHeight="1" x14ac:dyDescent="0.25">
      <c r="A427" s="4"/>
      <c r="B427" s="28" t="str">
        <f>IF(ISNUMBER(MATCH(C427, Mgt_Unit!$C$5:$C$1018, 0)), INDEX(Mgt_Unit!$B$5:$B$1018, MATCH(C427, Mgt_Unit!$C$5:$C$1018, 0)), "")</f>
        <v>jennifer.moore</v>
      </c>
      <c r="C427" s="87" t="s">
        <v>792</v>
      </c>
      <c r="D427" s="65"/>
      <c r="E427" s="87">
        <v>6</v>
      </c>
      <c r="F427" s="87" t="s">
        <v>1537</v>
      </c>
      <c r="G427" s="87" t="s">
        <v>1535</v>
      </c>
      <c r="H427" s="87" t="s">
        <v>441</v>
      </c>
      <c r="I427" s="87" t="s">
        <v>124</v>
      </c>
      <c r="J427" s="90">
        <v>43771</v>
      </c>
      <c r="K427" s="90"/>
      <c r="L427" s="90"/>
      <c r="M427" s="93"/>
      <c r="N427" s="9"/>
      <c r="O427" s="33"/>
      <c r="P427" s="33"/>
      <c r="Q427" s="9"/>
      <c r="R427" s="67"/>
      <c r="S427" s="9"/>
    </row>
    <row r="428" spans="1:19" ht="15" customHeight="1" x14ac:dyDescent="0.25">
      <c r="A428" s="4"/>
      <c r="B428" s="28" t="str">
        <f>IF(ISNUMBER(MATCH(C428, Mgt_Unit!$C$5:$C$1018, 0)), INDEX(Mgt_Unit!$B$5:$B$1018, MATCH(C428, Mgt_Unit!$C$5:$C$1018, 0)), "")</f>
        <v>jennifer.moore</v>
      </c>
      <c r="C428" t="s">
        <v>793</v>
      </c>
      <c r="D428" s="65"/>
      <c r="E428">
        <v>1</v>
      </c>
      <c r="F428" t="s">
        <v>1538</v>
      </c>
      <c r="G428" t="s">
        <v>1544</v>
      </c>
      <c r="H428" t="s">
        <v>49</v>
      </c>
      <c r="I428" t="s">
        <v>85</v>
      </c>
      <c r="J428" s="89">
        <v>43222</v>
      </c>
      <c r="K428" s="89">
        <v>43398</v>
      </c>
      <c r="L428" s="89"/>
      <c r="M428" s="31">
        <v>0</v>
      </c>
      <c r="N428" s="9"/>
      <c r="O428" s="33"/>
      <c r="P428" s="33"/>
      <c r="Q428" s="9"/>
      <c r="R428" s="67"/>
      <c r="S428" s="9"/>
    </row>
    <row r="429" spans="1:19" ht="15" customHeight="1" x14ac:dyDescent="0.25">
      <c r="A429" s="4"/>
      <c r="B429" s="28" t="str">
        <f>IF(ISNUMBER(MATCH(C429, Mgt_Unit!$C$5:$C$1018, 0)), INDEX(Mgt_Unit!$B$5:$B$1018, MATCH(C429, Mgt_Unit!$C$5:$C$1018, 0)), "")</f>
        <v>jennifer.moore</v>
      </c>
      <c r="C429" t="s">
        <v>793</v>
      </c>
      <c r="D429" s="65"/>
      <c r="E429">
        <v>2</v>
      </c>
      <c r="F429" t="s">
        <v>1537</v>
      </c>
      <c r="G429" t="s">
        <v>1535</v>
      </c>
      <c r="H429" t="s">
        <v>441</v>
      </c>
      <c r="I429" t="s">
        <v>88</v>
      </c>
      <c r="J429" s="89">
        <v>43406</v>
      </c>
      <c r="K429" s="89"/>
      <c r="L429" s="89">
        <v>43576</v>
      </c>
      <c r="M429" s="31">
        <v>0</v>
      </c>
      <c r="N429" s="9"/>
      <c r="O429" s="33"/>
      <c r="P429" s="33"/>
      <c r="Q429" s="9"/>
      <c r="R429" s="67"/>
      <c r="S429" s="9"/>
    </row>
    <row r="430" spans="1:19" ht="15" customHeight="1" x14ac:dyDescent="0.25">
      <c r="A430" s="4"/>
      <c r="B430" s="28" t="str">
        <f>IF(ISNUMBER(MATCH(C430, Mgt_Unit!$C$5:$C$1018, 0)), INDEX(Mgt_Unit!$B$5:$B$1018, MATCH(C430, Mgt_Unit!$C$5:$C$1018, 0)), "")</f>
        <v>jennifer.moore</v>
      </c>
      <c r="C430" t="s">
        <v>793</v>
      </c>
      <c r="D430" s="65"/>
      <c r="E430">
        <v>2</v>
      </c>
      <c r="F430" t="s">
        <v>1537</v>
      </c>
      <c r="G430" t="s">
        <v>1535</v>
      </c>
      <c r="H430" t="s">
        <v>441</v>
      </c>
      <c r="I430" t="s">
        <v>124</v>
      </c>
      <c r="J430" s="89">
        <v>43406</v>
      </c>
      <c r="K430" s="89"/>
      <c r="L430" s="89">
        <v>43576</v>
      </c>
      <c r="M430" s="31">
        <v>0</v>
      </c>
      <c r="N430" s="9"/>
      <c r="O430" s="33"/>
      <c r="P430" s="33"/>
      <c r="Q430" s="9"/>
      <c r="R430" s="67"/>
      <c r="S430" s="9"/>
    </row>
    <row r="431" spans="1:19" ht="15" customHeight="1" x14ac:dyDescent="0.25">
      <c r="A431" s="4"/>
      <c r="B431" s="28" t="str">
        <f>IF(ISNUMBER(MATCH(C431, Mgt_Unit!$C$5:$C$1018, 0)), INDEX(Mgt_Unit!$B$5:$B$1018, MATCH(C431, Mgt_Unit!$C$5:$C$1018, 0)), "")</f>
        <v>jennifer.moore</v>
      </c>
      <c r="C431" t="s">
        <v>793</v>
      </c>
      <c r="D431" s="65"/>
      <c r="E431">
        <v>3</v>
      </c>
      <c r="F431" t="s">
        <v>1538</v>
      </c>
      <c r="G431" t="s">
        <v>1544</v>
      </c>
      <c r="H431" t="s">
        <v>51</v>
      </c>
      <c r="I431" t="s">
        <v>125</v>
      </c>
      <c r="J431" s="89">
        <v>43600</v>
      </c>
      <c r="K431" s="89">
        <v>43769</v>
      </c>
      <c r="L431" s="89"/>
      <c r="M431" s="31">
        <v>0</v>
      </c>
      <c r="N431" s="9"/>
      <c r="O431" s="33"/>
      <c r="P431" s="33"/>
      <c r="Q431" s="9"/>
      <c r="R431" s="67"/>
      <c r="S431" s="9"/>
    </row>
    <row r="432" spans="1:19" ht="15" customHeight="1" x14ac:dyDescent="0.25">
      <c r="A432" s="4"/>
      <c r="B432" s="28" t="str">
        <f>IF(ISNUMBER(MATCH(C432, Mgt_Unit!$C$5:$C$1018, 0)), INDEX(Mgt_Unit!$B$5:$B$1018, MATCH(C432, Mgt_Unit!$C$5:$C$1018, 0)), "")</f>
        <v>jennifer.moore</v>
      </c>
      <c r="C432" t="s">
        <v>793</v>
      </c>
      <c r="D432" s="65"/>
      <c r="E432">
        <v>4</v>
      </c>
      <c r="F432" t="s">
        <v>1537</v>
      </c>
      <c r="G432" t="s">
        <v>1535</v>
      </c>
      <c r="H432" t="s">
        <v>441</v>
      </c>
      <c r="I432" t="s">
        <v>88</v>
      </c>
      <c r="J432" s="89">
        <v>43771</v>
      </c>
      <c r="K432" s="89"/>
      <c r="L432" s="89"/>
      <c r="M432" s="31"/>
      <c r="N432" s="9"/>
      <c r="O432" s="33"/>
      <c r="P432" s="33"/>
      <c r="Q432" s="9"/>
      <c r="R432" s="67"/>
      <c r="S432" s="9"/>
    </row>
    <row r="433" spans="1:19" ht="15" customHeight="1" x14ac:dyDescent="0.25">
      <c r="A433" s="4"/>
      <c r="B433" s="28" t="str">
        <f>IF(ISNUMBER(MATCH(C433, Mgt_Unit!$C$5:$C$1018, 0)), INDEX(Mgt_Unit!$B$5:$B$1018, MATCH(C433, Mgt_Unit!$C$5:$C$1018, 0)), "")</f>
        <v>jennifer.moore</v>
      </c>
      <c r="C433" s="87" t="s">
        <v>793</v>
      </c>
      <c r="D433" s="65"/>
      <c r="E433" s="87">
        <v>4</v>
      </c>
      <c r="F433" s="87" t="s">
        <v>1537</v>
      </c>
      <c r="G433" s="87" t="s">
        <v>1535</v>
      </c>
      <c r="H433" s="87" t="s">
        <v>441</v>
      </c>
      <c r="I433" s="87" t="s">
        <v>124</v>
      </c>
      <c r="J433" s="90">
        <v>43771</v>
      </c>
      <c r="K433" s="90"/>
      <c r="L433" s="90"/>
      <c r="M433" s="93"/>
      <c r="N433" s="9"/>
      <c r="O433" s="33"/>
      <c r="P433" s="33"/>
      <c r="Q433" s="9"/>
      <c r="R433" s="67"/>
      <c r="S433" s="9"/>
    </row>
    <row r="434" spans="1:19" ht="15" customHeight="1" x14ac:dyDescent="0.25">
      <c r="A434" s="4"/>
      <c r="B434" s="28" t="str">
        <f>IF(ISNUMBER(MATCH(C434, Mgt_Unit!$C$5:$C$1018, 0)), INDEX(Mgt_Unit!$B$5:$B$1018, MATCH(C434, Mgt_Unit!$C$5:$C$1018, 0)), "")</f>
        <v>jennifer.moore</v>
      </c>
      <c r="C434" t="s">
        <v>794</v>
      </c>
      <c r="D434" s="65"/>
      <c r="E434">
        <v>1</v>
      </c>
      <c r="F434" t="s">
        <v>1538</v>
      </c>
      <c r="G434" t="s">
        <v>1544</v>
      </c>
      <c r="H434" t="s">
        <v>49</v>
      </c>
      <c r="I434" t="s">
        <v>85</v>
      </c>
      <c r="J434" s="89">
        <v>43222</v>
      </c>
      <c r="K434" s="89">
        <v>43398</v>
      </c>
      <c r="L434" s="89"/>
      <c r="M434" s="31">
        <v>0</v>
      </c>
      <c r="N434" s="9"/>
      <c r="O434" s="33"/>
      <c r="P434" s="33"/>
      <c r="Q434" s="9"/>
      <c r="R434" s="67"/>
      <c r="S434" s="9"/>
    </row>
    <row r="435" spans="1:19" ht="15" customHeight="1" x14ac:dyDescent="0.25">
      <c r="A435" s="4"/>
      <c r="B435" s="28" t="str">
        <f>IF(ISNUMBER(MATCH(C435, Mgt_Unit!$C$5:$C$1018, 0)), INDEX(Mgt_Unit!$B$5:$B$1018, MATCH(C435, Mgt_Unit!$C$5:$C$1018, 0)), "")</f>
        <v>jennifer.moore</v>
      </c>
      <c r="C435" t="s">
        <v>794</v>
      </c>
      <c r="D435" s="65"/>
      <c r="E435">
        <v>2</v>
      </c>
      <c r="F435" t="s">
        <v>1537</v>
      </c>
      <c r="G435" t="s">
        <v>1535</v>
      </c>
      <c r="H435" t="s">
        <v>441</v>
      </c>
      <c r="I435" t="s">
        <v>88</v>
      </c>
      <c r="J435" s="89">
        <v>43406</v>
      </c>
      <c r="K435" s="89"/>
      <c r="L435" s="89">
        <v>43576</v>
      </c>
      <c r="M435" s="31">
        <v>0</v>
      </c>
      <c r="N435" s="9"/>
      <c r="O435" s="33"/>
      <c r="P435" s="33"/>
      <c r="Q435" s="9"/>
      <c r="R435" s="67"/>
      <c r="S435" s="9"/>
    </row>
    <row r="436" spans="1:19" ht="15" customHeight="1" x14ac:dyDescent="0.25">
      <c r="A436" s="4"/>
      <c r="B436" s="28" t="str">
        <f>IF(ISNUMBER(MATCH(C436, Mgt_Unit!$C$5:$C$1018, 0)), INDEX(Mgt_Unit!$B$5:$B$1018, MATCH(C436, Mgt_Unit!$C$5:$C$1018, 0)), "")</f>
        <v>jennifer.moore</v>
      </c>
      <c r="C436" t="s">
        <v>794</v>
      </c>
      <c r="D436" s="65"/>
      <c r="E436">
        <v>2</v>
      </c>
      <c r="F436" t="s">
        <v>1537</v>
      </c>
      <c r="G436" t="s">
        <v>1535</v>
      </c>
      <c r="H436" t="s">
        <v>441</v>
      </c>
      <c r="I436" t="s">
        <v>124</v>
      </c>
      <c r="J436" s="89">
        <v>43406</v>
      </c>
      <c r="K436" s="89"/>
      <c r="L436" s="89">
        <v>43576</v>
      </c>
      <c r="M436" s="31">
        <v>0</v>
      </c>
      <c r="N436" s="9"/>
      <c r="O436" s="33"/>
      <c r="P436" s="33"/>
      <c r="Q436" s="9"/>
      <c r="R436" s="67"/>
      <c r="S436" s="9"/>
    </row>
    <row r="437" spans="1:19" ht="15" customHeight="1" x14ac:dyDescent="0.25">
      <c r="A437" s="4"/>
      <c r="B437" s="28" t="str">
        <f>IF(ISNUMBER(MATCH(C437, Mgt_Unit!$C$5:$C$1018, 0)), INDEX(Mgt_Unit!$B$5:$B$1018, MATCH(C437, Mgt_Unit!$C$5:$C$1018, 0)), "")</f>
        <v>jennifer.moore</v>
      </c>
      <c r="C437" t="s">
        <v>794</v>
      </c>
      <c r="D437" s="65"/>
      <c r="E437">
        <v>3</v>
      </c>
      <c r="F437" t="s">
        <v>1538</v>
      </c>
      <c r="G437" t="s">
        <v>1544</v>
      </c>
      <c r="H437" t="s">
        <v>51</v>
      </c>
      <c r="I437" t="s">
        <v>125</v>
      </c>
      <c r="J437" s="89">
        <v>43600</v>
      </c>
      <c r="K437" s="89">
        <v>43769</v>
      </c>
      <c r="L437" s="89"/>
      <c r="M437" s="31">
        <v>0</v>
      </c>
      <c r="N437" s="9"/>
      <c r="O437" s="33"/>
      <c r="P437" s="33"/>
      <c r="Q437" s="9"/>
      <c r="R437" s="67"/>
      <c r="S437" s="9"/>
    </row>
    <row r="438" spans="1:19" ht="15" customHeight="1" x14ac:dyDescent="0.25">
      <c r="A438" s="4"/>
      <c r="B438" s="28" t="str">
        <f>IF(ISNUMBER(MATCH(C438, Mgt_Unit!$C$5:$C$1018, 0)), INDEX(Mgt_Unit!$B$5:$B$1018, MATCH(C438, Mgt_Unit!$C$5:$C$1018, 0)), "")</f>
        <v>jennifer.moore</v>
      </c>
      <c r="C438" t="s">
        <v>794</v>
      </c>
      <c r="D438" s="65"/>
      <c r="E438">
        <v>4</v>
      </c>
      <c r="F438" t="s">
        <v>1537</v>
      </c>
      <c r="G438" t="s">
        <v>1535</v>
      </c>
      <c r="H438" t="s">
        <v>441</v>
      </c>
      <c r="I438" t="s">
        <v>88</v>
      </c>
      <c r="J438" s="89">
        <v>43771</v>
      </c>
      <c r="K438" s="89"/>
      <c r="L438" s="89"/>
      <c r="M438" s="31"/>
      <c r="N438" s="9"/>
      <c r="O438" s="33"/>
      <c r="P438" s="33"/>
      <c r="Q438" s="9"/>
      <c r="R438" s="67"/>
      <c r="S438" s="9"/>
    </row>
    <row r="439" spans="1:19" ht="15" customHeight="1" x14ac:dyDescent="0.25">
      <c r="A439" s="4"/>
      <c r="B439" s="28" t="str">
        <f>IF(ISNUMBER(MATCH(C439, Mgt_Unit!$C$5:$C$1018, 0)), INDEX(Mgt_Unit!$B$5:$B$1018, MATCH(C439, Mgt_Unit!$C$5:$C$1018, 0)), "")</f>
        <v>jennifer.moore</v>
      </c>
      <c r="C439" s="87" t="s">
        <v>794</v>
      </c>
      <c r="D439" s="65"/>
      <c r="E439" s="87">
        <v>4</v>
      </c>
      <c r="F439" s="87" t="s">
        <v>1537</v>
      </c>
      <c r="G439" s="87" t="s">
        <v>1535</v>
      </c>
      <c r="H439" s="87" t="s">
        <v>441</v>
      </c>
      <c r="I439" s="87" t="s">
        <v>124</v>
      </c>
      <c r="J439" s="90">
        <v>43771</v>
      </c>
      <c r="K439" s="90"/>
      <c r="L439" s="90"/>
      <c r="M439" s="93"/>
      <c r="N439" s="9"/>
      <c r="O439" s="33"/>
      <c r="P439" s="33"/>
      <c r="Q439" s="9"/>
      <c r="R439" s="67"/>
      <c r="S439" s="9"/>
    </row>
    <row r="440" spans="1:19" ht="15" customHeight="1" x14ac:dyDescent="0.25">
      <c r="A440" s="4"/>
      <c r="B440" s="28" t="str">
        <f>IF(ISNUMBER(MATCH(C440, Mgt_Unit!$C$5:$C$1018, 0)), INDEX(Mgt_Unit!$B$5:$B$1018, MATCH(C440, Mgt_Unit!$C$5:$C$1018, 0)), "")</f>
        <v>jennifer.moore</v>
      </c>
      <c r="C440" t="s">
        <v>795</v>
      </c>
      <c r="D440" s="65"/>
      <c r="E440">
        <v>1</v>
      </c>
      <c r="F440" t="s">
        <v>1537</v>
      </c>
      <c r="G440" t="s">
        <v>1535</v>
      </c>
      <c r="H440" t="s">
        <v>441</v>
      </c>
      <c r="I440" t="s">
        <v>136</v>
      </c>
      <c r="J440" s="89"/>
      <c r="K440" s="89"/>
      <c r="L440" s="89">
        <v>42475</v>
      </c>
      <c r="M440" s="31">
        <v>0</v>
      </c>
      <c r="N440" s="9"/>
      <c r="O440" s="33"/>
      <c r="P440" s="33"/>
      <c r="Q440" s="9"/>
      <c r="R440" s="67"/>
      <c r="S440" s="9"/>
    </row>
    <row r="441" spans="1:19" ht="15" customHeight="1" x14ac:dyDescent="0.25">
      <c r="A441" s="4"/>
      <c r="B441" s="28" t="str">
        <f>IF(ISNUMBER(MATCH(C441, Mgt_Unit!$C$5:$C$1018, 0)), INDEX(Mgt_Unit!$B$5:$B$1018, MATCH(C441, Mgt_Unit!$C$5:$C$1018, 0)), "")</f>
        <v>jennifer.moore</v>
      </c>
      <c r="C441" t="s">
        <v>795</v>
      </c>
      <c r="D441" s="65"/>
      <c r="E441">
        <v>1</v>
      </c>
      <c r="F441" t="s">
        <v>1537</v>
      </c>
      <c r="G441" t="s">
        <v>1535</v>
      </c>
      <c r="H441" t="s">
        <v>441</v>
      </c>
      <c r="I441" t="s">
        <v>88</v>
      </c>
      <c r="J441" s="89"/>
      <c r="K441" s="89"/>
      <c r="L441" s="89">
        <v>42475</v>
      </c>
      <c r="M441" s="31">
        <v>0</v>
      </c>
      <c r="N441" s="9"/>
      <c r="O441" s="33"/>
      <c r="P441" s="33"/>
      <c r="Q441" s="9"/>
      <c r="R441" s="67"/>
      <c r="S441" s="9"/>
    </row>
    <row r="442" spans="1:19" ht="15" customHeight="1" x14ac:dyDescent="0.25">
      <c r="A442" s="4"/>
      <c r="B442" s="28" t="str">
        <f>IF(ISNUMBER(MATCH(C442, Mgt_Unit!$C$5:$C$1018, 0)), INDEX(Mgt_Unit!$B$5:$B$1018, MATCH(C442, Mgt_Unit!$C$5:$C$1018, 0)), "")</f>
        <v>jennifer.moore</v>
      </c>
      <c r="C442" t="s">
        <v>795</v>
      </c>
      <c r="D442" s="65"/>
      <c r="E442">
        <v>2</v>
      </c>
      <c r="F442" t="s">
        <v>1538</v>
      </c>
      <c r="G442" t="s">
        <v>1544</v>
      </c>
      <c r="H442" t="s">
        <v>49</v>
      </c>
      <c r="I442" t="s">
        <v>85</v>
      </c>
      <c r="J442" s="89">
        <v>42490</v>
      </c>
      <c r="K442" s="89">
        <v>42668</v>
      </c>
      <c r="L442" s="89"/>
      <c r="M442" s="31">
        <v>0</v>
      </c>
      <c r="N442" s="9"/>
      <c r="O442" s="33"/>
      <c r="P442" s="33"/>
      <c r="Q442" s="9"/>
      <c r="R442" s="67"/>
      <c r="S442" s="9"/>
    </row>
    <row r="443" spans="1:19" ht="15" customHeight="1" x14ac:dyDescent="0.25">
      <c r="A443" s="4"/>
      <c r="B443" s="28" t="str">
        <f>IF(ISNUMBER(MATCH(C443, Mgt_Unit!$C$5:$C$1018, 0)), INDEX(Mgt_Unit!$B$5:$B$1018, MATCH(C443, Mgt_Unit!$C$5:$C$1018, 0)), "")</f>
        <v>jennifer.moore</v>
      </c>
      <c r="C443" t="s">
        <v>795</v>
      </c>
      <c r="D443" s="65"/>
      <c r="E443">
        <v>3</v>
      </c>
      <c r="F443" t="s">
        <v>1537</v>
      </c>
      <c r="G443" t="s">
        <v>1535</v>
      </c>
      <c r="H443" t="s">
        <v>441</v>
      </c>
      <c r="I443" t="s">
        <v>136</v>
      </c>
      <c r="J443" s="89">
        <v>42674</v>
      </c>
      <c r="K443" s="89"/>
      <c r="L443" s="89">
        <v>42826</v>
      </c>
      <c r="M443" s="31">
        <v>0</v>
      </c>
      <c r="N443" s="9"/>
      <c r="O443" s="33"/>
      <c r="P443" s="33"/>
      <c r="Q443" s="9"/>
      <c r="R443" s="67"/>
      <c r="S443" s="9"/>
    </row>
    <row r="444" spans="1:19" ht="15" customHeight="1" x14ac:dyDescent="0.25">
      <c r="A444" s="4"/>
      <c r="B444" s="28" t="str">
        <f>IF(ISNUMBER(MATCH(C444, Mgt_Unit!$C$5:$C$1018, 0)), INDEX(Mgt_Unit!$B$5:$B$1018, MATCH(C444, Mgt_Unit!$C$5:$C$1018, 0)), "")</f>
        <v>jennifer.moore</v>
      </c>
      <c r="C444" t="s">
        <v>795</v>
      </c>
      <c r="D444" s="65"/>
      <c r="E444">
        <v>3</v>
      </c>
      <c r="F444" t="s">
        <v>1537</v>
      </c>
      <c r="G444" t="s">
        <v>1535</v>
      </c>
      <c r="H444" t="s">
        <v>441</v>
      </c>
      <c r="I444" t="s">
        <v>88</v>
      </c>
      <c r="J444" s="89">
        <v>42674</v>
      </c>
      <c r="K444" s="89"/>
      <c r="L444" s="89">
        <v>42826</v>
      </c>
      <c r="M444" s="31">
        <v>0</v>
      </c>
      <c r="N444" s="9"/>
      <c r="O444" s="33"/>
      <c r="P444" s="33"/>
      <c r="Q444" s="9"/>
      <c r="R444" s="67"/>
      <c r="S444" s="9"/>
    </row>
    <row r="445" spans="1:19" ht="15" customHeight="1" x14ac:dyDescent="0.25">
      <c r="A445" s="4"/>
      <c r="B445" s="28" t="str">
        <f>IF(ISNUMBER(MATCH(C445, Mgt_Unit!$C$5:$C$1018, 0)), INDEX(Mgt_Unit!$B$5:$B$1018, MATCH(C445, Mgt_Unit!$C$5:$C$1018, 0)), "")</f>
        <v>jennifer.moore</v>
      </c>
      <c r="C445" t="s">
        <v>795</v>
      </c>
      <c r="D445" s="65"/>
      <c r="E445">
        <v>4</v>
      </c>
      <c r="F445" t="s">
        <v>1538</v>
      </c>
      <c r="G445" t="s">
        <v>1536</v>
      </c>
      <c r="H445" t="s">
        <v>50</v>
      </c>
      <c r="I445" t="s">
        <v>1279</v>
      </c>
      <c r="J445" s="89">
        <v>42840</v>
      </c>
      <c r="K445"/>
      <c r="L445" s="89">
        <v>43405</v>
      </c>
      <c r="M445" s="31">
        <v>0</v>
      </c>
      <c r="N445" s="9"/>
      <c r="O445" s="33"/>
      <c r="P445" s="33"/>
      <c r="Q445" s="9"/>
      <c r="R445" s="67"/>
      <c r="S445" s="9" t="s">
        <v>1590</v>
      </c>
    </row>
    <row r="446" spans="1:19" ht="15" customHeight="1" x14ac:dyDescent="0.25">
      <c r="A446" s="4"/>
      <c r="B446" s="28" t="str">
        <f>IF(ISNUMBER(MATCH(C446, Mgt_Unit!$C$5:$C$1018, 0)), INDEX(Mgt_Unit!$B$5:$B$1018, MATCH(C446, Mgt_Unit!$C$5:$C$1018, 0)), "")</f>
        <v>jennifer.moore</v>
      </c>
      <c r="C446" t="s">
        <v>795</v>
      </c>
      <c r="D446" s="65"/>
      <c r="E446">
        <v>5</v>
      </c>
      <c r="F446" t="s">
        <v>1537</v>
      </c>
      <c r="G446" t="s">
        <v>1535</v>
      </c>
      <c r="H446" t="s">
        <v>441</v>
      </c>
      <c r="I446" t="s">
        <v>88</v>
      </c>
      <c r="J446" s="89">
        <v>43418</v>
      </c>
      <c r="K446" s="89"/>
      <c r="L446" s="89">
        <v>43576</v>
      </c>
      <c r="M446" s="31">
        <v>0</v>
      </c>
      <c r="N446" s="9"/>
      <c r="O446" s="33"/>
      <c r="P446" s="33"/>
      <c r="Q446" s="9"/>
      <c r="R446" s="67"/>
      <c r="S446" s="9"/>
    </row>
    <row r="447" spans="1:19" ht="15" customHeight="1" x14ac:dyDescent="0.25">
      <c r="A447" s="4"/>
      <c r="B447" s="28" t="str">
        <f>IF(ISNUMBER(MATCH(C447, Mgt_Unit!$C$5:$C$1018, 0)), INDEX(Mgt_Unit!$B$5:$B$1018, MATCH(C447, Mgt_Unit!$C$5:$C$1018, 0)), "")</f>
        <v>jennifer.moore</v>
      </c>
      <c r="C447" t="s">
        <v>795</v>
      </c>
      <c r="D447" s="65"/>
      <c r="E447">
        <v>5</v>
      </c>
      <c r="F447" t="s">
        <v>1537</v>
      </c>
      <c r="G447" t="s">
        <v>1535</v>
      </c>
      <c r="H447" t="s">
        <v>441</v>
      </c>
      <c r="I447" t="s">
        <v>136</v>
      </c>
      <c r="J447" s="89">
        <v>43418</v>
      </c>
      <c r="K447" s="89"/>
      <c r="L447" s="89">
        <v>43576</v>
      </c>
      <c r="M447" s="31">
        <v>0</v>
      </c>
      <c r="N447" s="9"/>
      <c r="O447" s="33"/>
      <c r="P447" s="33"/>
      <c r="Q447" s="9"/>
      <c r="R447" s="67"/>
      <c r="S447" s="9"/>
    </row>
    <row r="448" spans="1:19" ht="15" customHeight="1" x14ac:dyDescent="0.25">
      <c r="A448" s="4"/>
      <c r="B448" s="28" t="str">
        <f>IF(ISNUMBER(MATCH(C448, Mgt_Unit!$C$5:$C$1018, 0)), INDEX(Mgt_Unit!$B$5:$B$1018, MATCH(C448, Mgt_Unit!$C$5:$C$1018, 0)), "")</f>
        <v>jennifer.moore</v>
      </c>
      <c r="C448" t="s">
        <v>795</v>
      </c>
      <c r="D448" s="65"/>
      <c r="E448">
        <v>6</v>
      </c>
      <c r="F448" t="s">
        <v>1538</v>
      </c>
      <c r="G448" t="s">
        <v>1544</v>
      </c>
      <c r="H448" t="s">
        <v>51</v>
      </c>
      <c r="I448" t="s">
        <v>125</v>
      </c>
      <c r="J448" s="89">
        <v>43600</v>
      </c>
      <c r="K448" s="89">
        <v>43769</v>
      </c>
      <c r="L448" s="89"/>
      <c r="M448" s="31">
        <v>0</v>
      </c>
      <c r="N448" s="9"/>
      <c r="O448" s="33"/>
      <c r="P448" s="33"/>
      <c r="Q448" s="9"/>
      <c r="R448" s="67"/>
      <c r="S448" s="9"/>
    </row>
    <row r="449" spans="1:19" ht="15" customHeight="1" x14ac:dyDescent="0.25">
      <c r="A449" s="4"/>
      <c r="B449" s="28" t="str">
        <f>IF(ISNUMBER(MATCH(C449, Mgt_Unit!$C$5:$C$1018, 0)), INDEX(Mgt_Unit!$B$5:$B$1018, MATCH(C449, Mgt_Unit!$C$5:$C$1018, 0)), "")</f>
        <v>jennifer.moore</v>
      </c>
      <c r="C449" t="s">
        <v>795</v>
      </c>
      <c r="D449" s="65"/>
      <c r="E449">
        <v>7</v>
      </c>
      <c r="F449" t="s">
        <v>1537</v>
      </c>
      <c r="G449" t="s">
        <v>1535</v>
      </c>
      <c r="H449" t="s">
        <v>441</v>
      </c>
      <c r="I449" t="s">
        <v>136</v>
      </c>
      <c r="J449" s="89">
        <v>43771</v>
      </c>
      <c r="K449" s="89"/>
      <c r="L449" s="89"/>
      <c r="M449" s="31"/>
      <c r="N449" s="9"/>
      <c r="O449" s="33"/>
      <c r="P449" s="33"/>
      <c r="Q449" s="9"/>
      <c r="R449" s="67"/>
      <c r="S449" s="9"/>
    </row>
    <row r="450" spans="1:19" ht="15" customHeight="1" x14ac:dyDescent="0.25">
      <c r="A450" s="4"/>
      <c r="B450" s="28" t="str">
        <f>IF(ISNUMBER(MATCH(C450, Mgt_Unit!$C$5:$C$1018, 0)), INDEX(Mgt_Unit!$B$5:$B$1018, MATCH(C450, Mgt_Unit!$C$5:$C$1018, 0)), "")</f>
        <v>jennifer.moore</v>
      </c>
      <c r="C450" s="87" t="s">
        <v>795</v>
      </c>
      <c r="D450" s="65"/>
      <c r="E450" s="87">
        <v>7</v>
      </c>
      <c r="F450" s="87" t="s">
        <v>1537</v>
      </c>
      <c r="G450" s="87" t="s">
        <v>1535</v>
      </c>
      <c r="H450" s="87" t="s">
        <v>441</v>
      </c>
      <c r="I450" s="87" t="s">
        <v>88</v>
      </c>
      <c r="J450" s="90">
        <v>43771</v>
      </c>
      <c r="K450" s="90"/>
      <c r="L450" s="90"/>
      <c r="M450" s="93"/>
      <c r="N450" s="9"/>
      <c r="O450" s="33"/>
      <c r="P450" s="33"/>
      <c r="Q450" s="9"/>
      <c r="R450" s="67"/>
      <c r="S450" s="9"/>
    </row>
    <row r="451" spans="1:19" ht="15" customHeight="1" x14ac:dyDescent="0.25">
      <c r="A451" s="4"/>
      <c r="B451" s="28" t="str">
        <f>IF(ISNUMBER(MATCH(C451, Mgt_Unit!$C$5:$C$1018, 0)), INDEX(Mgt_Unit!$B$5:$B$1018, MATCH(C451, Mgt_Unit!$C$5:$C$1018, 0)), "")</f>
        <v>jennifer.moore</v>
      </c>
      <c r="C451" t="s">
        <v>796</v>
      </c>
      <c r="D451" s="65"/>
      <c r="E451">
        <v>1</v>
      </c>
      <c r="F451" t="s">
        <v>1537</v>
      </c>
      <c r="G451" t="s">
        <v>1535</v>
      </c>
      <c r="H451" t="s">
        <v>441</v>
      </c>
      <c r="I451" t="s">
        <v>136</v>
      </c>
      <c r="J451" s="89"/>
      <c r="K451" s="89"/>
      <c r="L451" s="89">
        <v>42475</v>
      </c>
      <c r="M451" s="95">
        <v>0</v>
      </c>
      <c r="N451" s="9"/>
      <c r="O451" s="33"/>
      <c r="P451" s="33"/>
      <c r="Q451" s="9"/>
      <c r="R451" s="67"/>
      <c r="S451" s="9"/>
    </row>
    <row r="452" spans="1:19" ht="15" customHeight="1" x14ac:dyDescent="0.25">
      <c r="A452" s="4"/>
      <c r="B452" s="28" t="str">
        <f>IF(ISNUMBER(MATCH(C452, Mgt_Unit!$C$5:$C$1018, 0)), INDEX(Mgt_Unit!$B$5:$B$1018, MATCH(C452, Mgt_Unit!$C$5:$C$1018, 0)), "")</f>
        <v>jennifer.moore</v>
      </c>
      <c r="C452" t="s">
        <v>796</v>
      </c>
      <c r="D452" s="65"/>
      <c r="E452">
        <v>1</v>
      </c>
      <c r="F452" t="s">
        <v>1537</v>
      </c>
      <c r="G452" t="s">
        <v>1535</v>
      </c>
      <c r="H452" t="s">
        <v>441</v>
      </c>
      <c r="I452" t="s">
        <v>88</v>
      </c>
      <c r="J452" s="89"/>
      <c r="K452" s="89"/>
      <c r="L452" s="89">
        <v>42475</v>
      </c>
      <c r="M452" s="95">
        <v>0</v>
      </c>
      <c r="N452" s="9"/>
      <c r="O452" s="33"/>
      <c r="P452" s="33"/>
      <c r="Q452" s="9"/>
      <c r="R452" s="67"/>
      <c r="S452" s="9"/>
    </row>
    <row r="453" spans="1:19" ht="15" customHeight="1" x14ac:dyDescent="0.25">
      <c r="A453" s="4"/>
      <c r="B453" s="28" t="str">
        <f>IF(ISNUMBER(MATCH(C453, Mgt_Unit!$C$5:$C$1018, 0)), INDEX(Mgt_Unit!$B$5:$B$1018, MATCH(C453, Mgt_Unit!$C$5:$C$1018, 0)), "")</f>
        <v>jennifer.moore</v>
      </c>
      <c r="C453" t="s">
        <v>796</v>
      </c>
      <c r="D453" s="65"/>
      <c r="E453">
        <v>2</v>
      </c>
      <c r="F453" t="s">
        <v>1538</v>
      </c>
      <c r="G453" t="s">
        <v>1544</v>
      </c>
      <c r="H453" t="s">
        <v>49</v>
      </c>
      <c r="I453" t="s">
        <v>85</v>
      </c>
      <c r="J453" s="89">
        <v>42490</v>
      </c>
      <c r="K453" s="89">
        <v>42668</v>
      </c>
      <c r="L453" s="89"/>
      <c r="M453" s="95">
        <v>0</v>
      </c>
      <c r="N453" s="9"/>
      <c r="O453" s="33"/>
      <c r="P453" s="33"/>
      <c r="Q453" s="9"/>
      <c r="R453" s="67"/>
      <c r="S453" s="9"/>
    </row>
    <row r="454" spans="1:19" ht="15" customHeight="1" x14ac:dyDescent="0.25">
      <c r="A454" s="4"/>
      <c r="B454" s="28" t="str">
        <f>IF(ISNUMBER(MATCH(C454, Mgt_Unit!$C$5:$C$1018, 0)), INDEX(Mgt_Unit!$B$5:$B$1018, MATCH(C454, Mgt_Unit!$C$5:$C$1018, 0)), "")</f>
        <v>jennifer.moore</v>
      </c>
      <c r="C454" t="s">
        <v>796</v>
      </c>
      <c r="D454" s="65"/>
      <c r="E454">
        <v>3</v>
      </c>
      <c r="F454" t="s">
        <v>1537</v>
      </c>
      <c r="G454" t="s">
        <v>1535</v>
      </c>
      <c r="H454" t="s">
        <v>441</v>
      </c>
      <c r="I454" t="s">
        <v>136</v>
      </c>
      <c r="J454" s="89">
        <v>42674</v>
      </c>
      <c r="K454" s="89"/>
      <c r="L454" s="89">
        <v>42826</v>
      </c>
      <c r="M454" s="95">
        <v>0</v>
      </c>
      <c r="N454" s="9"/>
      <c r="O454" s="33"/>
      <c r="P454" s="33"/>
      <c r="Q454" s="9"/>
      <c r="R454" s="67"/>
      <c r="S454" s="9"/>
    </row>
    <row r="455" spans="1:19" ht="15" customHeight="1" x14ac:dyDescent="0.25">
      <c r="A455" s="4"/>
      <c r="B455" s="28" t="str">
        <f>IF(ISNUMBER(MATCH(C455, Mgt_Unit!$C$5:$C$1018, 0)), INDEX(Mgt_Unit!$B$5:$B$1018, MATCH(C455, Mgt_Unit!$C$5:$C$1018, 0)), "")</f>
        <v>jennifer.moore</v>
      </c>
      <c r="C455" t="s">
        <v>796</v>
      </c>
      <c r="D455" s="65"/>
      <c r="E455">
        <v>3</v>
      </c>
      <c r="F455" t="s">
        <v>1537</v>
      </c>
      <c r="G455" t="s">
        <v>1535</v>
      </c>
      <c r="H455" t="s">
        <v>441</v>
      </c>
      <c r="I455" t="s">
        <v>88</v>
      </c>
      <c r="J455" s="89">
        <v>42674</v>
      </c>
      <c r="K455" s="89"/>
      <c r="L455" s="89">
        <v>42826</v>
      </c>
      <c r="M455" s="95">
        <v>0</v>
      </c>
      <c r="N455" s="9"/>
      <c r="O455" s="33"/>
      <c r="P455" s="33"/>
      <c r="Q455" s="9"/>
      <c r="R455" s="67"/>
      <c r="S455" s="9"/>
    </row>
    <row r="456" spans="1:19" ht="15" customHeight="1" x14ac:dyDescent="0.25">
      <c r="A456" s="4"/>
      <c r="B456" s="28" t="str">
        <f>IF(ISNUMBER(MATCH(C456, Mgt_Unit!$C$5:$C$1018, 0)), INDEX(Mgt_Unit!$B$5:$B$1018, MATCH(C456, Mgt_Unit!$C$5:$C$1018, 0)), "")</f>
        <v>jennifer.moore</v>
      </c>
      <c r="C456" t="s">
        <v>796</v>
      </c>
      <c r="D456" s="65"/>
      <c r="E456">
        <v>4</v>
      </c>
      <c r="F456" t="s">
        <v>1538</v>
      </c>
      <c r="G456" t="s">
        <v>1536</v>
      </c>
      <c r="H456" t="s">
        <v>50</v>
      </c>
      <c r="I456" t="s">
        <v>1279</v>
      </c>
      <c r="J456" s="89">
        <v>42840</v>
      </c>
      <c r="K456"/>
      <c r="L456" s="89">
        <v>43405</v>
      </c>
      <c r="M456" s="95">
        <v>0</v>
      </c>
      <c r="N456" s="9"/>
      <c r="O456" s="33"/>
      <c r="P456" s="33"/>
      <c r="Q456" s="9"/>
      <c r="R456" s="67"/>
      <c r="S456" s="9" t="s">
        <v>1590</v>
      </c>
    </row>
    <row r="457" spans="1:19" ht="15" customHeight="1" x14ac:dyDescent="0.25">
      <c r="A457" s="4"/>
      <c r="B457" s="28" t="str">
        <f>IF(ISNUMBER(MATCH(C457, Mgt_Unit!$C$5:$C$1018, 0)), INDEX(Mgt_Unit!$B$5:$B$1018, MATCH(C457, Mgt_Unit!$C$5:$C$1018, 0)), "")</f>
        <v>jennifer.moore</v>
      </c>
      <c r="C457" t="s">
        <v>796</v>
      </c>
      <c r="D457" s="65"/>
      <c r="E457">
        <v>5</v>
      </c>
      <c r="F457" t="s">
        <v>1537</v>
      </c>
      <c r="G457" t="s">
        <v>1535</v>
      </c>
      <c r="H457" t="s">
        <v>441</v>
      </c>
      <c r="I457" t="s">
        <v>88</v>
      </c>
      <c r="J457" s="89">
        <v>43418</v>
      </c>
      <c r="K457" s="89"/>
      <c r="L457" s="89">
        <v>43576</v>
      </c>
      <c r="M457" s="95">
        <v>0</v>
      </c>
      <c r="N457" s="9"/>
      <c r="O457" s="33"/>
      <c r="P457" s="33"/>
      <c r="Q457" s="9"/>
      <c r="R457" s="67"/>
      <c r="S457" s="9"/>
    </row>
    <row r="458" spans="1:19" ht="15" customHeight="1" x14ac:dyDescent="0.25">
      <c r="A458" s="4"/>
      <c r="B458" s="28" t="str">
        <f>IF(ISNUMBER(MATCH(C458, Mgt_Unit!$C$5:$C$1018, 0)), INDEX(Mgt_Unit!$B$5:$B$1018, MATCH(C458, Mgt_Unit!$C$5:$C$1018, 0)), "")</f>
        <v>jennifer.moore</v>
      </c>
      <c r="C458" t="s">
        <v>796</v>
      </c>
      <c r="D458" s="65"/>
      <c r="E458">
        <v>5</v>
      </c>
      <c r="F458" t="s">
        <v>1537</v>
      </c>
      <c r="G458" t="s">
        <v>1535</v>
      </c>
      <c r="H458" t="s">
        <v>441</v>
      </c>
      <c r="I458" t="s">
        <v>136</v>
      </c>
      <c r="J458" s="89">
        <v>43418</v>
      </c>
      <c r="K458" s="89"/>
      <c r="L458" s="89">
        <v>43576</v>
      </c>
      <c r="M458" s="95">
        <v>0</v>
      </c>
      <c r="N458" s="9"/>
      <c r="O458" s="33"/>
      <c r="P458" s="33"/>
      <c r="Q458" s="9"/>
      <c r="R458" s="67"/>
      <c r="S458" s="9"/>
    </row>
    <row r="459" spans="1:19" ht="15" customHeight="1" x14ac:dyDescent="0.25">
      <c r="A459" s="4"/>
      <c r="B459" s="28" t="str">
        <f>IF(ISNUMBER(MATCH(C459, Mgt_Unit!$C$5:$C$1018, 0)), INDEX(Mgt_Unit!$B$5:$B$1018, MATCH(C459, Mgt_Unit!$C$5:$C$1018, 0)), "")</f>
        <v>jennifer.moore</v>
      </c>
      <c r="C459" t="s">
        <v>796</v>
      </c>
      <c r="D459" s="65"/>
      <c r="E459">
        <v>6</v>
      </c>
      <c r="F459" t="s">
        <v>1538</v>
      </c>
      <c r="G459" t="s">
        <v>1544</v>
      </c>
      <c r="H459" t="s">
        <v>51</v>
      </c>
      <c r="I459" t="s">
        <v>125</v>
      </c>
      <c r="J459" s="89">
        <v>43600</v>
      </c>
      <c r="K459" s="89">
        <v>43769</v>
      </c>
      <c r="L459" s="89"/>
      <c r="M459" s="95">
        <v>0</v>
      </c>
      <c r="N459" s="9"/>
      <c r="O459" s="33"/>
      <c r="P459" s="33"/>
      <c r="Q459" s="9"/>
      <c r="R459" s="67"/>
      <c r="S459" s="9"/>
    </row>
    <row r="460" spans="1:19" ht="15" customHeight="1" x14ac:dyDescent="0.25">
      <c r="A460" s="4"/>
      <c r="B460" s="28" t="str">
        <f>IF(ISNUMBER(MATCH(C460, Mgt_Unit!$C$5:$C$1018, 0)), INDEX(Mgt_Unit!$B$5:$B$1018, MATCH(C460, Mgt_Unit!$C$5:$C$1018, 0)), "")</f>
        <v>jennifer.moore</v>
      </c>
      <c r="C460" t="s">
        <v>796</v>
      </c>
      <c r="D460" s="65"/>
      <c r="E460">
        <v>7</v>
      </c>
      <c r="F460" t="s">
        <v>1537</v>
      </c>
      <c r="G460" t="s">
        <v>1535</v>
      </c>
      <c r="H460" t="s">
        <v>441</v>
      </c>
      <c r="I460" t="s">
        <v>136</v>
      </c>
      <c r="J460" s="89">
        <v>43771</v>
      </c>
      <c r="K460" s="89"/>
      <c r="L460" s="89"/>
      <c r="M460" s="31"/>
      <c r="N460" s="9"/>
      <c r="O460" s="33"/>
      <c r="P460" s="33"/>
      <c r="Q460" s="9"/>
      <c r="R460" s="67"/>
      <c r="S460" s="9"/>
    </row>
    <row r="461" spans="1:19" ht="15" customHeight="1" x14ac:dyDescent="0.25">
      <c r="A461" s="4"/>
      <c r="B461" s="28" t="str">
        <f>IF(ISNUMBER(MATCH(C461, Mgt_Unit!$C$5:$C$1018, 0)), INDEX(Mgt_Unit!$B$5:$B$1018, MATCH(C461, Mgt_Unit!$C$5:$C$1018, 0)), "")</f>
        <v>jennifer.moore</v>
      </c>
      <c r="C461" s="87" t="s">
        <v>796</v>
      </c>
      <c r="D461" s="65"/>
      <c r="E461" s="87">
        <v>7</v>
      </c>
      <c r="F461" s="87" t="s">
        <v>1537</v>
      </c>
      <c r="G461" s="87" t="s">
        <v>1535</v>
      </c>
      <c r="H461" s="87" t="s">
        <v>441</v>
      </c>
      <c r="I461" s="87" t="s">
        <v>88</v>
      </c>
      <c r="J461" s="90">
        <v>43771</v>
      </c>
      <c r="K461" s="90"/>
      <c r="L461" s="90"/>
      <c r="M461" s="93"/>
      <c r="N461" s="9"/>
      <c r="O461" s="33"/>
      <c r="P461" s="33"/>
      <c r="Q461" s="9"/>
      <c r="R461" s="67"/>
      <c r="S461" s="9"/>
    </row>
    <row r="462" spans="1:19" ht="15" customHeight="1" x14ac:dyDescent="0.25">
      <c r="A462" s="4"/>
      <c r="B462" s="28" t="str">
        <f>IF(ISNUMBER(MATCH(C462, Mgt_Unit!$C$5:$C$1018, 0)), INDEX(Mgt_Unit!$B$5:$B$1018, MATCH(C462, Mgt_Unit!$C$5:$C$1018, 0)), "")</f>
        <v>jennifer.moore</v>
      </c>
      <c r="C462" t="s">
        <v>797</v>
      </c>
      <c r="D462" s="65"/>
      <c r="E462">
        <v>1</v>
      </c>
      <c r="F462" t="s">
        <v>1537</v>
      </c>
      <c r="G462" t="s">
        <v>1535</v>
      </c>
      <c r="H462" t="s">
        <v>441</v>
      </c>
      <c r="I462" t="s">
        <v>136</v>
      </c>
      <c r="J462" s="89"/>
      <c r="K462" s="89"/>
      <c r="L462" s="89">
        <v>43189</v>
      </c>
      <c r="M462" s="31">
        <v>0</v>
      </c>
      <c r="N462" s="9"/>
      <c r="O462" s="33"/>
      <c r="P462" s="33"/>
      <c r="Q462" s="9"/>
      <c r="R462" s="67"/>
      <c r="S462" s="9"/>
    </row>
    <row r="463" spans="1:19" ht="15" customHeight="1" x14ac:dyDescent="0.25">
      <c r="A463" s="4"/>
      <c r="B463" s="28" t="str">
        <f>IF(ISNUMBER(MATCH(C463, Mgt_Unit!$C$5:$C$1018, 0)), INDEX(Mgt_Unit!$B$5:$B$1018, MATCH(C463, Mgt_Unit!$C$5:$C$1018, 0)), "")</f>
        <v>jennifer.moore</v>
      </c>
      <c r="C463" t="s">
        <v>797</v>
      </c>
      <c r="D463" s="65"/>
      <c r="E463">
        <v>1</v>
      </c>
      <c r="F463" t="s">
        <v>1537</v>
      </c>
      <c r="G463" t="s">
        <v>1535</v>
      </c>
      <c r="H463" t="s">
        <v>441</v>
      </c>
      <c r="I463" t="s">
        <v>88</v>
      </c>
      <c r="J463" s="89"/>
      <c r="K463" s="89"/>
      <c r="L463" s="89">
        <v>43189</v>
      </c>
      <c r="M463" s="31">
        <v>0</v>
      </c>
      <c r="N463" s="9"/>
      <c r="O463" s="33"/>
      <c r="P463" s="33"/>
      <c r="Q463" s="9"/>
      <c r="R463" s="67"/>
      <c r="S463" s="9"/>
    </row>
    <row r="464" spans="1:19" ht="15" customHeight="1" x14ac:dyDescent="0.25">
      <c r="A464" s="4"/>
      <c r="B464" s="28" t="str">
        <f>IF(ISNUMBER(MATCH(C464, Mgt_Unit!$C$5:$C$1018, 0)), INDEX(Mgt_Unit!$B$5:$B$1018, MATCH(C464, Mgt_Unit!$C$5:$C$1018, 0)), "")</f>
        <v>jennifer.moore</v>
      </c>
      <c r="C464" t="s">
        <v>797</v>
      </c>
      <c r="D464" s="65"/>
      <c r="E464">
        <v>2</v>
      </c>
      <c r="F464" t="s">
        <v>1538</v>
      </c>
      <c r="G464" t="s">
        <v>1544</v>
      </c>
      <c r="H464" t="s">
        <v>49</v>
      </c>
      <c r="I464" t="s">
        <v>85</v>
      </c>
      <c r="J464" s="89">
        <v>43220</v>
      </c>
      <c r="K464" s="89">
        <v>43398</v>
      </c>
      <c r="L464" s="89"/>
      <c r="M464" s="31">
        <v>0</v>
      </c>
      <c r="N464" s="9"/>
      <c r="O464" s="33"/>
      <c r="P464" s="33"/>
      <c r="Q464" s="9"/>
      <c r="R464" s="67"/>
      <c r="S464" s="9"/>
    </row>
    <row r="465" spans="1:19" ht="15" customHeight="1" x14ac:dyDescent="0.25">
      <c r="A465" s="4"/>
      <c r="B465" s="28" t="str">
        <f>IF(ISNUMBER(MATCH(C465, Mgt_Unit!$C$5:$C$1018, 0)), INDEX(Mgt_Unit!$B$5:$B$1018, MATCH(C465, Mgt_Unit!$C$5:$C$1018, 0)), "")</f>
        <v>jennifer.moore</v>
      </c>
      <c r="C465" t="s">
        <v>797</v>
      </c>
      <c r="D465" s="65"/>
      <c r="E465">
        <v>3</v>
      </c>
      <c r="F465" t="s">
        <v>1537</v>
      </c>
      <c r="G465" t="s">
        <v>1535</v>
      </c>
      <c r="H465" t="s">
        <v>441</v>
      </c>
      <c r="I465" t="s">
        <v>136</v>
      </c>
      <c r="J465" s="89">
        <v>43418</v>
      </c>
      <c r="K465" s="89"/>
      <c r="L465" s="89">
        <v>43576</v>
      </c>
      <c r="M465" s="31">
        <v>0</v>
      </c>
      <c r="N465" s="9"/>
      <c r="O465" s="33"/>
      <c r="P465" s="33"/>
      <c r="Q465" s="9"/>
      <c r="R465" s="67"/>
      <c r="S465" s="9"/>
    </row>
    <row r="466" spans="1:19" ht="15" customHeight="1" x14ac:dyDescent="0.25">
      <c r="A466" s="4"/>
      <c r="B466" s="28" t="str">
        <f>IF(ISNUMBER(MATCH(C466, Mgt_Unit!$C$5:$C$1018, 0)), INDEX(Mgt_Unit!$B$5:$B$1018, MATCH(C466, Mgt_Unit!$C$5:$C$1018, 0)), "")</f>
        <v>jennifer.moore</v>
      </c>
      <c r="C466" t="s">
        <v>797</v>
      </c>
      <c r="D466" s="65"/>
      <c r="E466">
        <v>3</v>
      </c>
      <c r="F466" t="s">
        <v>1537</v>
      </c>
      <c r="G466" t="s">
        <v>1535</v>
      </c>
      <c r="H466" t="s">
        <v>441</v>
      </c>
      <c r="I466" t="s">
        <v>88</v>
      </c>
      <c r="J466" s="89">
        <v>43418</v>
      </c>
      <c r="K466" s="89"/>
      <c r="L466" s="89">
        <v>43576</v>
      </c>
      <c r="M466" s="31">
        <v>0</v>
      </c>
      <c r="N466" s="9"/>
      <c r="O466" s="33"/>
      <c r="P466" s="33"/>
      <c r="Q466" s="9"/>
      <c r="R466" s="67"/>
      <c r="S466" s="9"/>
    </row>
    <row r="467" spans="1:19" ht="15" customHeight="1" x14ac:dyDescent="0.25">
      <c r="A467" s="4"/>
      <c r="B467" s="28" t="str">
        <f>IF(ISNUMBER(MATCH(C467, Mgt_Unit!$C$5:$C$1018, 0)), INDEX(Mgt_Unit!$B$5:$B$1018, MATCH(C467, Mgt_Unit!$C$5:$C$1018, 0)), "")</f>
        <v>jennifer.moore</v>
      </c>
      <c r="C467" t="s">
        <v>797</v>
      </c>
      <c r="D467" s="65"/>
      <c r="E467">
        <v>4</v>
      </c>
      <c r="F467" t="s">
        <v>1538</v>
      </c>
      <c r="G467" t="s">
        <v>1544</v>
      </c>
      <c r="H467" t="s">
        <v>51</v>
      </c>
      <c r="I467" t="s">
        <v>125</v>
      </c>
      <c r="J467" s="89">
        <v>43600</v>
      </c>
      <c r="K467" s="89">
        <v>43769</v>
      </c>
      <c r="L467" s="89"/>
      <c r="M467" s="31">
        <v>0</v>
      </c>
      <c r="N467" s="9"/>
      <c r="O467" s="33"/>
      <c r="P467" s="33"/>
      <c r="Q467" s="9"/>
      <c r="R467" s="67"/>
      <c r="S467" s="9"/>
    </row>
    <row r="468" spans="1:19" ht="15" customHeight="1" x14ac:dyDescent="0.25">
      <c r="A468" s="4"/>
      <c r="B468" s="28" t="str">
        <f>IF(ISNUMBER(MATCH(C468, Mgt_Unit!$C$5:$C$1018, 0)), INDEX(Mgt_Unit!$B$5:$B$1018, MATCH(C468, Mgt_Unit!$C$5:$C$1018, 0)), "")</f>
        <v>jennifer.moore</v>
      </c>
      <c r="C468" t="s">
        <v>797</v>
      </c>
      <c r="D468" s="65"/>
      <c r="E468">
        <v>5</v>
      </c>
      <c r="F468" t="s">
        <v>1537</v>
      </c>
      <c r="G468" t="s">
        <v>1535</v>
      </c>
      <c r="H468" t="s">
        <v>441</v>
      </c>
      <c r="I468" t="s">
        <v>136</v>
      </c>
      <c r="J468" s="89">
        <v>43771</v>
      </c>
      <c r="K468" s="89"/>
      <c r="L468" s="89"/>
      <c r="M468" s="31"/>
      <c r="N468" s="9"/>
      <c r="O468" s="33"/>
      <c r="P468" s="33"/>
      <c r="Q468" s="9"/>
      <c r="R468" s="67"/>
      <c r="S468" s="9"/>
    </row>
    <row r="469" spans="1:19" ht="15" customHeight="1" x14ac:dyDescent="0.25">
      <c r="A469" s="4"/>
      <c r="B469" s="28" t="str">
        <f>IF(ISNUMBER(MATCH(C469, Mgt_Unit!$C$5:$C$1018, 0)), INDEX(Mgt_Unit!$B$5:$B$1018, MATCH(C469, Mgt_Unit!$C$5:$C$1018, 0)), "")</f>
        <v>jennifer.moore</v>
      </c>
      <c r="C469" s="87" t="s">
        <v>797</v>
      </c>
      <c r="D469" s="65"/>
      <c r="E469" s="87">
        <v>5</v>
      </c>
      <c r="F469" s="87" t="s">
        <v>1537</v>
      </c>
      <c r="G469" s="87" t="s">
        <v>1535</v>
      </c>
      <c r="H469" s="87" t="s">
        <v>441</v>
      </c>
      <c r="I469" s="87" t="s">
        <v>88</v>
      </c>
      <c r="J469" s="90">
        <v>43771</v>
      </c>
      <c r="K469" s="90"/>
      <c r="L469" s="90"/>
      <c r="M469" s="93"/>
      <c r="N469" s="9"/>
      <c r="O469" s="33"/>
      <c r="P469" s="33"/>
      <c r="Q469" s="9"/>
      <c r="R469" s="67"/>
      <c r="S469" s="9"/>
    </row>
    <row r="470" spans="1:19" ht="15" customHeight="1" x14ac:dyDescent="0.25">
      <c r="A470" s="4"/>
      <c r="B470" s="28" t="str">
        <f>IF(ISNUMBER(MATCH(C470, Mgt_Unit!$C$5:$C$1018, 0)), INDEX(Mgt_Unit!$B$5:$B$1018, MATCH(C470, Mgt_Unit!$C$5:$C$1018, 0)), "")</f>
        <v>jennifer.moore</v>
      </c>
      <c r="C470" t="s">
        <v>1290</v>
      </c>
      <c r="D470" s="65"/>
      <c r="E470">
        <v>1</v>
      </c>
      <c r="F470" t="s">
        <v>1538</v>
      </c>
      <c r="G470" t="s">
        <v>403</v>
      </c>
      <c r="H470" t="s">
        <v>442</v>
      </c>
      <c r="I470" t="s">
        <v>65</v>
      </c>
      <c r="J470" s="89">
        <v>43466</v>
      </c>
      <c r="K470" s="89">
        <v>43658</v>
      </c>
      <c r="L470" s="89"/>
      <c r="M470" s="31">
        <v>90</v>
      </c>
      <c r="N470" s="9"/>
      <c r="O470" s="33"/>
      <c r="P470" s="33"/>
      <c r="Q470" s="9"/>
      <c r="R470" s="67"/>
      <c r="S470" s="9"/>
    </row>
    <row r="471" spans="1:19" ht="15" customHeight="1" x14ac:dyDescent="0.25">
      <c r="A471" s="4"/>
      <c r="B471" s="28" t="str">
        <f>IF(ISNUMBER(MATCH(C471, Mgt_Unit!$C$5:$C$1018, 0)), INDEX(Mgt_Unit!$B$5:$B$1018, MATCH(C471, Mgt_Unit!$C$5:$C$1018, 0)), "")</f>
        <v>jennifer.moore</v>
      </c>
      <c r="C471" s="87" t="s">
        <v>1290</v>
      </c>
      <c r="D471" s="65"/>
      <c r="E471" s="87">
        <v>1</v>
      </c>
      <c r="F471" s="87" t="s">
        <v>1538</v>
      </c>
      <c r="G471" s="87" t="s">
        <v>403</v>
      </c>
      <c r="H471" s="87" t="s">
        <v>442</v>
      </c>
      <c r="I471" s="87" t="s">
        <v>65</v>
      </c>
      <c r="J471" s="90"/>
      <c r="K471" s="90">
        <v>43711</v>
      </c>
      <c r="L471" s="90">
        <v>43830</v>
      </c>
      <c r="M471" s="93">
        <v>90</v>
      </c>
      <c r="N471" s="9"/>
      <c r="O471" s="33"/>
      <c r="P471" s="33"/>
      <c r="Q471" s="9"/>
      <c r="R471" s="67"/>
      <c r="S471" s="9"/>
    </row>
    <row r="472" spans="1:19" ht="15" customHeight="1" x14ac:dyDescent="0.25">
      <c r="A472" s="4"/>
      <c r="B472" s="28" t="str">
        <f>IF(ISNUMBER(MATCH(C472, Mgt_Unit!$C$5:$C$1018, 0)), INDEX(Mgt_Unit!$B$5:$B$1018, MATCH(C472, Mgt_Unit!$C$5:$C$1018, 0)), "")</f>
        <v>jennifer.moore</v>
      </c>
      <c r="C472" s="100" t="s">
        <v>1291</v>
      </c>
      <c r="D472" s="65"/>
      <c r="E472" s="100">
        <v>1</v>
      </c>
      <c r="F472" s="100" t="s">
        <v>1537</v>
      </c>
      <c r="G472" s="100" t="s">
        <v>1536</v>
      </c>
      <c r="H472" s="101" t="s">
        <v>442</v>
      </c>
      <c r="I472" s="101" t="s">
        <v>65</v>
      </c>
      <c r="J472" s="102">
        <v>43466</v>
      </c>
      <c r="K472" s="102"/>
      <c r="L472" s="102">
        <v>43830</v>
      </c>
      <c r="M472" s="96">
        <v>0</v>
      </c>
      <c r="N472" s="9"/>
      <c r="O472" s="33"/>
      <c r="P472" s="33"/>
      <c r="Q472" s="9"/>
      <c r="R472" s="67"/>
      <c r="S472" s="9"/>
    </row>
    <row r="473" spans="1:19" ht="15" customHeight="1" x14ac:dyDescent="0.25">
      <c r="A473" s="4"/>
      <c r="B473" s="28" t="str">
        <f>IF(ISNUMBER(MATCH(C473, Mgt_Unit!$C$5:$C$1018, 0)), INDEX(Mgt_Unit!$B$5:$B$1018, MATCH(C473, Mgt_Unit!$C$5:$C$1018, 0)), "")</f>
        <v>jennifer.moore</v>
      </c>
      <c r="C473" s="101" t="s">
        <v>1289</v>
      </c>
      <c r="D473" s="65"/>
      <c r="E473" s="101">
        <v>1</v>
      </c>
      <c r="F473" s="101" t="s">
        <v>1537</v>
      </c>
      <c r="G473" s="101" t="s">
        <v>1536</v>
      </c>
      <c r="H473" s="101" t="s">
        <v>442</v>
      </c>
      <c r="I473" s="101" t="s">
        <v>65</v>
      </c>
      <c r="J473" s="103">
        <v>43466</v>
      </c>
      <c r="K473" s="103"/>
      <c r="L473" s="102">
        <v>43830</v>
      </c>
      <c r="M473" s="97">
        <v>0</v>
      </c>
      <c r="N473" s="9"/>
      <c r="O473" s="33"/>
      <c r="P473" s="33"/>
      <c r="Q473" s="9"/>
      <c r="R473" s="67"/>
      <c r="S473" s="9"/>
    </row>
    <row r="474" spans="1:19" ht="15" customHeight="1" x14ac:dyDescent="0.25">
      <c r="A474" s="4"/>
      <c r="B474" s="28" t="str">
        <f>IF(ISNUMBER(MATCH(C474, Mgt_Unit!$C$5:$C$1018, 0)), INDEX(Mgt_Unit!$B$5:$B$1018, MATCH(C474, Mgt_Unit!$C$5:$C$1018, 0)), "")</f>
        <v>jennifer.moore</v>
      </c>
      <c r="C474" s="101" t="s">
        <v>1292</v>
      </c>
      <c r="D474" s="65"/>
      <c r="E474" s="101">
        <v>1</v>
      </c>
      <c r="F474" s="101" t="s">
        <v>1537</v>
      </c>
      <c r="G474" s="101" t="s">
        <v>1536</v>
      </c>
      <c r="H474" s="101" t="s">
        <v>1549</v>
      </c>
      <c r="I474" s="101" t="s">
        <v>1554</v>
      </c>
      <c r="J474" s="103">
        <v>41640</v>
      </c>
      <c r="K474" s="103"/>
      <c r="L474" s="102">
        <v>43830</v>
      </c>
      <c r="M474" s="97">
        <v>0</v>
      </c>
      <c r="N474" s="9"/>
      <c r="O474" s="33"/>
      <c r="P474" s="33"/>
      <c r="Q474" s="9"/>
      <c r="R474" s="67"/>
      <c r="S474" s="9"/>
    </row>
    <row r="475" spans="1:19" ht="15" customHeight="1" x14ac:dyDescent="0.25">
      <c r="A475" s="4"/>
      <c r="B475" s="28" t="str">
        <f>IF(ISNUMBER(MATCH(C475, Mgt_Unit!$C$5:$C$1018, 0)), INDEX(Mgt_Unit!$B$5:$B$1018, MATCH(C475, Mgt_Unit!$C$5:$C$1018, 0)), "")</f>
        <v>jennifer.moore</v>
      </c>
      <c r="C475" s="100" t="s">
        <v>1293</v>
      </c>
      <c r="D475" s="65"/>
      <c r="E475" s="101">
        <v>1</v>
      </c>
      <c r="F475" s="101" t="s">
        <v>1537</v>
      </c>
      <c r="G475" s="101" t="s">
        <v>1536</v>
      </c>
      <c r="H475" s="101" t="s">
        <v>1549</v>
      </c>
      <c r="I475" s="101" t="s">
        <v>1554</v>
      </c>
      <c r="J475" s="103">
        <v>41275</v>
      </c>
      <c r="K475" s="103"/>
      <c r="L475" s="102">
        <v>43830</v>
      </c>
      <c r="M475" s="96">
        <v>0</v>
      </c>
      <c r="N475" s="9"/>
      <c r="O475" s="33"/>
      <c r="P475" s="33"/>
      <c r="Q475" s="9"/>
      <c r="R475" s="67"/>
      <c r="S475" s="9"/>
    </row>
    <row r="476" spans="1:19" ht="15" customHeight="1" x14ac:dyDescent="0.25">
      <c r="A476" s="4"/>
      <c r="B476" s="28" t="str">
        <f>IF(ISNUMBER(MATCH(C476, Mgt_Unit!$C$5:$C$1018, 0)), INDEX(Mgt_Unit!$B$5:$B$1018, MATCH(C476, Mgt_Unit!$C$5:$C$1018, 0)), "")</f>
        <v>jennifer.moore</v>
      </c>
      <c r="C476" s="101" t="s">
        <v>1294</v>
      </c>
      <c r="D476" s="65"/>
      <c r="E476" s="101">
        <v>1</v>
      </c>
      <c r="F476" s="101" t="s">
        <v>1537</v>
      </c>
      <c r="G476" s="101" t="s">
        <v>1536</v>
      </c>
      <c r="H476" s="101" t="s">
        <v>1549</v>
      </c>
      <c r="I476" s="101" t="s">
        <v>1554</v>
      </c>
      <c r="J476" s="103">
        <v>43466</v>
      </c>
      <c r="K476" s="103"/>
      <c r="L476" s="102">
        <v>43830</v>
      </c>
      <c r="M476" s="97">
        <v>0</v>
      </c>
      <c r="N476" s="9"/>
      <c r="O476" s="33"/>
      <c r="P476" s="33"/>
      <c r="Q476" s="9"/>
      <c r="R476" s="67"/>
      <c r="S476" s="9"/>
    </row>
    <row r="477" spans="1:19" ht="15" customHeight="1" x14ac:dyDescent="0.25">
      <c r="A477" s="4"/>
      <c r="B477" s="28" t="str">
        <f>IF(ISNUMBER(MATCH(C477, Mgt_Unit!$C$5:$C$1018, 0)), INDEX(Mgt_Unit!$B$5:$B$1018, MATCH(C477, Mgt_Unit!$C$5:$C$1018, 0)), "")</f>
        <v>jennifer.moore</v>
      </c>
      <c r="C477" s="101" t="s">
        <v>1295</v>
      </c>
      <c r="D477" s="65"/>
      <c r="E477" s="101">
        <v>1</v>
      </c>
      <c r="F477" s="101" t="s">
        <v>1537</v>
      </c>
      <c r="G477" s="101" t="s">
        <v>1536</v>
      </c>
      <c r="H477" s="101" t="s">
        <v>1549</v>
      </c>
      <c r="I477" s="101" t="s">
        <v>1554</v>
      </c>
      <c r="J477" s="103">
        <v>41640</v>
      </c>
      <c r="K477" s="103"/>
      <c r="L477" s="102">
        <v>43830</v>
      </c>
      <c r="M477" s="97">
        <v>0</v>
      </c>
      <c r="N477" s="9"/>
      <c r="O477" s="33"/>
      <c r="P477" s="33"/>
      <c r="Q477" s="9"/>
      <c r="R477" s="67"/>
      <c r="S477" s="9"/>
    </row>
    <row r="478" spans="1:19" ht="15" customHeight="1" x14ac:dyDescent="0.25">
      <c r="A478" s="4"/>
      <c r="B478" s="28" t="str">
        <f>IF(ISNUMBER(MATCH(C478, Mgt_Unit!$C$5:$C$1018, 0)), INDEX(Mgt_Unit!$B$5:$B$1018, MATCH(C478, Mgt_Unit!$C$5:$C$1018, 0)), "")</f>
        <v>jennifer.moore</v>
      </c>
      <c r="C478" s="88" t="s">
        <v>798</v>
      </c>
      <c r="D478" s="65"/>
      <c r="E478" s="88">
        <v>1</v>
      </c>
      <c r="F478" s="88" t="s">
        <v>1538</v>
      </c>
      <c r="G478" s="88" t="s">
        <v>1544</v>
      </c>
      <c r="H478" s="88" t="s">
        <v>441</v>
      </c>
      <c r="I478" s="88" t="s">
        <v>27</v>
      </c>
      <c r="J478" s="91">
        <v>42685</v>
      </c>
      <c r="K478" s="91">
        <v>42929</v>
      </c>
      <c r="L478" s="91"/>
      <c r="M478" s="94">
        <v>90</v>
      </c>
      <c r="N478" s="9"/>
      <c r="O478" s="33"/>
      <c r="P478" s="33"/>
      <c r="Q478" s="9"/>
      <c r="R478" s="67"/>
      <c r="S478" s="9"/>
    </row>
    <row r="479" spans="1:19" ht="15" customHeight="1" x14ac:dyDescent="0.25">
      <c r="A479" s="4"/>
      <c r="B479" s="28" t="str">
        <f>IF(ISNUMBER(MATCH(C479, Mgt_Unit!$C$5:$C$1018, 0)), INDEX(Mgt_Unit!$B$5:$B$1018, MATCH(C479, Mgt_Unit!$C$5:$C$1018, 0)), "")</f>
        <v>jennifer.moore</v>
      </c>
      <c r="C479" s="88" t="s">
        <v>799</v>
      </c>
      <c r="D479" s="65"/>
      <c r="E479" s="88">
        <v>1</v>
      </c>
      <c r="F479" s="88" t="s">
        <v>1538</v>
      </c>
      <c r="G479" s="88" t="s">
        <v>1544</v>
      </c>
      <c r="H479" s="88" t="s">
        <v>441</v>
      </c>
      <c r="I479" s="88" t="s">
        <v>27</v>
      </c>
      <c r="J479" s="91">
        <v>42685</v>
      </c>
      <c r="K479" s="91">
        <v>42929</v>
      </c>
      <c r="L479" s="91"/>
      <c r="M479" s="94">
        <v>90</v>
      </c>
      <c r="N479" s="9"/>
      <c r="O479" s="33"/>
      <c r="P479" s="33"/>
      <c r="Q479" s="9"/>
      <c r="R479" s="67"/>
      <c r="S479" s="9"/>
    </row>
    <row r="480" spans="1:19" ht="15" customHeight="1" x14ac:dyDescent="0.25">
      <c r="A480" s="4"/>
      <c r="B480" s="28" t="str">
        <f>IF(ISNUMBER(MATCH(C480, Mgt_Unit!$C$5:$C$1018, 0)), INDEX(Mgt_Unit!$B$5:$B$1018, MATCH(C480, Mgt_Unit!$C$5:$C$1018, 0)), "")</f>
        <v>jennifer.moore</v>
      </c>
      <c r="C480" t="s">
        <v>800</v>
      </c>
      <c r="D480" s="65"/>
      <c r="E480">
        <v>1</v>
      </c>
      <c r="F480" t="s">
        <v>1537</v>
      </c>
      <c r="G480" t="s">
        <v>1535</v>
      </c>
      <c r="H480" t="s">
        <v>442</v>
      </c>
      <c r="I480" t="s">
        <v>76</v>
      </c>
      <c r="J480" s="89"/>
      <c r="K480" s="89"/>
      <c r="L480" s="89">
        <v>42464</v>
      </c>
      <c r="M480" s="31">
        <v>0</v>
      </c>
      <c r="N480" s="9"/>
      <c r="O480" s="33"/>
      <c r="P480" s="33"/>
      <c r="Q480" s="9"/>
      <c r="R480" s="67"/>
      <c r="S480" s="9"/>
    </row>
    <row r="481" spans="1:19" ht="15" customHeight="1" x14ac:dyDescent="0.25">
      <c r="A481" s="4"/>
      <c r="B481" s="28" t="str">
        <f>IF(ISNUMBER(MATCH(C481, Mgt_Unit!$C$5:$C$1018, 0)), INDEX(Mgt_Unit!$B$5:$B$1018, MATCH(C481, Mgt_Unit!$C$5:$C$1018, 0)), "")</f>
        <v>jennifer.moore</v>
      </c>
      <c r="C481" t="s">
        <v>800</v>
      </c>
      <c r="D481" s="65"/>
      <c r="E481">
        <v>1</v>
      </c>
      <c r="F481" t="s">
        <v>1537</v>
      </c>
      <c r="G481" t="s">
        <v>1535</v>
      </c>
      <c r="H481" t="s">
        <v>442</v>
      </c>
      <c r="I481" t="s">
        <v>1283</v>
      </c>
      <c r="J481" s="89"/>
      <c r="K481" s="89"/>
      <c r="L481" s="89">
        <v>42464</v>
      </c>
      <c r="M481" s="31">
        <v>0</v>
      </c>
      <c r="N481" s="9"/>
      <c r="O481" s="33"/>
      <c r="P481" s="33"/>
      <c r="Q481" s="9"/>
      <c r="R481" s="67"/>
      <c r="S481" s="9"/>
    </row>
    <row r="482" spans="1:19" ht="15" customHeight="1" x14ac:dyDescent="0.25">
      <c r="A482" s="4"/>
      <c r="B482" s="28" t="str">
        <f>IF(ISNUMBER(MATCH(C482, Mgt_Unit!$C$5:$C$1018, 0)), INDEX(Mgt_Unit!$B$5:$B$1018, MATCH(C482, Mgt_Unit!$C$5:$C$1018, 0)), "")</f>
        <v>jennifer.moore</v>
      </c>
      <c r="C482" t="s">
        <v>800</v>
      </c>
      <c r="D482" s="65"/>
      <c r="E482">
        <v>1</v>
      </c>
      <c r="F482" t="s">
        <v>1537</v>
      </c>
      <c r="G482" t="s">
        <v>1535</v>
      </c>
      <c r="H482" t="s">
        <v>441</v>
      </c>
      <c r="I482" t="s">
        <v>88</v>
      </c>
      <c r="J482" s="89"/>
      <c r="K482" s="89"/>
      <c r="L482" s="89">
        <v>42464</v>
      </c>
      <c r="M482" s="31">
        <v>0</v>
      </c>
      <c r="N482" s="9"/>
      <c r="O482" s="33"/>
      <c r="P482" s="33"/>
      <c r="Q482" s="9"/>
      <c r="R482" s="67"/>
      <c r="S482" s="9"/>
    </row>
    <row r="483" spans="1:19" ht="15" customHeight="1" x14ac:dyDescent="0.25">
      <c r="A483" s="4"/>
      <c r="B483" s="28" t="str">
        <f>IF(ISNUMBER(MATCH(C483, Mgt_Unit!$C$5:$C$1018, 0)), INDEX(Mgt_Unit!$B$5:$B$1018, MATCH(C483, Mgt_Unit!$C$5:$C$1018, 0)), "")</f>
        <v>jennifer.moore</v>
      </c>
      <c r="C483" t="s">
        <v>800</v>
      </c>
      <c r="D483" s="65"/>
      <c r="E483">
        <v>2</v>
      </c>
      <c r="F483" t="s">
        <v>1538</v>
      </c>
      <c r="G483" t="s">
        <v>1544</v>
      </c>
      <c r="H483" t="s">
        <v>441</v>
      </c>
      <c r="I483" t="s">
        <v>27</v>
      </c>
      <c r="J483" s="89">
        <v>42685</v>
      </c>
      <c r="K483" s="89">
        <v>42929</v>
      </c>
      <c r="L483" s="89"/>
      <c r="M483" s="31">
        <v>90</v>
      </c>
      <c r="N483" s="9"/>
      <c r="O483" s="33"/>
      <c r="P483" s="33"/>
      <c r="Q483" s="9"/>
      <c r="R483" s="67"/>
      <c r="S483" s="9"/>
    </row>
    <row r="484" spans="1:19" ht="15" customHeight="1" x14ac:dyDescent="0.25">
      <c r="A484" s="4"/>
      <c r="B484" s="28" t="str">
        <f>IF(ISNUMBER(MATCH(C484, Mgt_Unit!$C$5:$C$1018, 0)), INDEX(Mgt_Unit!$B$5:$B$1018, MATCH(C484, Mgt_Unit!$C$5:$C$1018, 0)), "")</f>
        <v>jennifer.moore</v>
      </c>
      <c r="C484" t="s">
        <v>800</v>
      </c>
      <c r="D484" s="65"/>
      <c r="E484">
        <v>3</v>
      </c>
      <c r="F484" t="s">
        <v>1537</v>
      </c>
      <c r="G484" t="s">
        <v>1535</v>
      </c>
      <c r="H484" t="s">
        <v>442</v>
      </c>
      <c r="I484" t="s">
        <v>76</v>
      </c>
      <c r="J484" s="89">
        <v>43039</v>
      </c>
      <c r="K484" s="89"/>
      <c r="L484" s="89"/>
      <c r="M484" s="31"/>
      <c r="N484" s="9"/>
      <c r="O484" s="33"/>
      <c r="P484" s="33"/>
      <c r="Q484" s="9"/>
      <c r="R484" s="67"/>
      <c r="S484" s="9"/>
    </row>
    <row r="485" spans="1:19" ht="15" customHeight="1" x14ac:dyDescent="0.25">
      <c r="A485" s="4"/>
      <c r="B485" s="28" t="str">
        <f>IF(ISNUMBER(MATCH(C485, Mgt_Unit!$C$5:$C$1018, 0)), INDEX(Mgt_Unit!$B$5:$B$1018, MATCH(C485, Mgt_Unit!$C$5:$C$1018, 0)), "")</f>
        <v>jennifer.moore</v>
      </c>
      <c r="C485" t="s">
        <v>800</v>
      </c>
      <c r="D485" s="65"/>
      <c r="E485">
        <v>3</v>
      </c>
      <c r="F485" t="s">
        <v>1537</v>
      </c>
      <c r="G485" t="s">
        <v>1535</v>
      </c>
      <c r="H485" t="s">
        <v>442</v>
      </c>
      <c r="I485" t="s">
        <v>1283</v>
      </c>
      <c r="J485" s="89">
        <v>43039</v>
      </c>
      <c r="K485" s="89"/>
      <c r="L485" s="89"/>
      <c r="M485" s="31"/>
      <c r="N485" s="9"/>
      <c r="O485" s="33"/>
      <c r="P485" s="33"/>
      <c r="Q485" s="9"/>
      <c r="R485" s="67"/>
      <c r="S485" s="9"/>
    </row>
    <row r="486" spans="1:19" ht="15" customHeight="1" x14ac:dyDescent="0.25">
      <c r="A486" s="4"/>
      <c r="B486" s="28" t="str">
        <f>IF(ISNUMBER(MATCH(C486, Mgt_Unit!$C$5:$C$1018, 0)), INDEX(Mgt_Unit!$B$5:$B$1018, MATCH(C486, Mgt_Unit!$C$5:$C$1018, 0)), "")</f>
        <v>jennifer.moore</v>
      </c>
      <c r="C486" s="87" t="s">
        <v>800</v>
      </c>
      <c r="D486" s="65"/>
      <c r="E486" s="87">
        <v>3</v>
      </c>
      <c r="F486" s="87" t="s">
        <v>1537</v>
      </c>
      <c r="G486" s="87" t="s">
        <v>1535</v>
      </c>
      <c r="H486" s="87" t="s">
        <v>441</v>
      </c>
      <c r="I486" s="87" t="s">
        <v>88</v>
      </c>
      <c r="J486" s="90">
        <v>43039</v>
      </c>
      <c r="K486" s="90"/>
      <c r="L486" s="90"/>
      <c r="M486" s="93"/>
      <c r="N486" s="9"/>
      <c r="O486" s="33"/>
      <c r="P486" s="33"/>
      <c r="Q486" s="9"/>
      <c r="R486" s="67"/>
      <c r="S486" s="9"/>
    </row>
    <row r="487" spans="1:19" ht="15" customHeight="1" x14ac:dyDescent="0.25">
      <c r="A487" s="4"/>
      <c r="B487" s="28" t="str">
        <f>IF(ISNUMBER(MATCH(C487, Mgt_Unit!$C$5:$C$1018, 0)), INDEX(Mgt_Unit!$B$5:$B$1018, MATCH(C487, Mgt_Unit!$C$5:$C$1018, 0)), "")</f>
        <v>jennifer.moore</v>
      </c>
      <c r="C487" t="s">
        <v>801</v>
      </c>
      <c r="D487" s="65"/>
      <c r="E487">
        <v>1</v>
      </c>
      <c r="F487" t="s">
        <v>1537</v>
      </c>
      <c r="G487" t="s">
        <v>1535</v>
      </c>
      <c r="H487" t="s">
        <v>442</v>
      </c>
      <c r="I487" t="s">
        <v>76</v>
      </c>
      <c r="J487" s="89"/>
      <c r="K487" s="89"/>
      <c r="L487" s="89">
        <v>42809</v>
      </c>
      <c r="M487" s="31">
        <v>0</v>
      </c>
      <c r="N487" s="9"/>
      <c r="O487" s="33"/>
      <c r="P487" s="33"/>
      <c r="Q487" s="9"/>
      <c r="R487" s="67"/>
      <c r="S487" s="9"/>
    </row>
    <row r="488" spans="1:19" ht="15" customHeight="1" x14ac:dyDescent="0.25">
      <c r="A488" s="4"/>
      <c r="B488" s="28" t="str">
        <f>IF(ISNUMBER(MATCH(C488, Mgt_Unit!$C$5:$C$1018, 0)), INDEX(Mgt_Unit!$B$5:$B$1018, MATCH(C488, Mgt_Unit!$C$5:$C$1018, 0)), "")</f>
        <v>jennifer.moore</v>
      </c>
      <c r="C488" t="s">
        <v>801</v>
      </c>
      <c r="D488" s="65"/>
      <c r="E488">
        <v>1</v>
      </c>
      <c r="F488" t="s">
        <v>1537</v>
      </c>
      <c r="G488" t="s">
        <v>1535</v>
      </c>
      <c r="H488" t="s">
        <v>442</v>
      </c>
      <c r="I488" t="s">
        <v>1283</v>
      </c>
      <c r="J488" s="89"/>
      <c r="K488" s="89"/>
      <c r="L488" s="89">
        <v>42809</v>
      </c>
      <c r="M488" s="31">
        <v>0</v>
      </c>
      <c r="N488" s="9"/>
      <c r="O488" s="33"/>
      <c r="P488" s="33"/>
      <c r="Q488" s="9"/>
      <c r="R488" s="67"/>
      <c r="S488" s="9"/>
    </row>
    <row r="489" spans="1:19" ht="15" customHeight="1" x14ac:dyDescent="0.25">
      <c r="A489" s="4"/>
      <c r="B489" s="28" t="str">
        <f>IF(ISNUMBER(MATCH(C489, Mgt_Unit!$C$5:$C$1018, 0)), INDEX(Mgt_Unit!$B$5:$B$1018, MATCH(C489, Mgt_Unit!$C$5:$C$1018, 0)), "")</f>
        <v>jennifer.moore</v>
      </c>
      <c r="C489" t="s">
        <v>801</v>
      </c>
      <c r="D489" s="65"/>
      <c r="E489">
        <v>1</v>
      </c>
      <c r="F489" t="s">
        <v>1537</v>
      </c>
      <c r="G489" t="s">
        <v>1535</v>
      </c>
      <c r="H489" t="s">
        <v>441</v>
      </c>
      <c r="I489" t="s">
        <v>88</v>
      </c>
      <c r="J489" s="89"/>
      <c r="K489" s="89"/>
      <c r="L489" s="89">
        <v>42809</v>
      </c>
      <c r="M489" s="31">
        <v>0</v>
      </c>
      <c r="N489" s="9"/>
      <c r="O489" s="33"/>
      <c r="P489" s="33"/>
      <c r="Q489" s="9"/>
      <c r="R489" s="67"/>
      <c r="S489" s="9"/>
    </row>
    <row r="490" spans="1:19" ht="15" customHeight="1" x14ac:dyDescent="0.25">
      <c r="A490" s="4"/>
      <c r="B490" s="28" t="str">
        <f>IF(ISNUMBER(MATCH(C490, Mgt_Unit!$C$5:$C$1018, 0)), INDEX(Mgt_Unit!$B$5:$B$1018, MATCH(C490, Mgt_Unit!$C$5:$C$1018, 0)), "")</f>
        <v>jennifer.moore</v>
      </c>
      <c r="C490" t="s">
        <v>801</v>
      </c>
      <c r="D490" s="65"/>
      <c r="E490">
        <v>2</v>
      </c>
      <c r="F490" t="s">
        <v>1538</v>
      </c>
      <c r="G490" t="s">
        <v>1544</v>
      </c>
      <c r="H490" t="s">
        <v>50</v>
      </c>
      <c r="I490" t="s">
        <v>87</v>
      </c>
      <c r="J490" s="89">
        <v>42849</v>
      </c>
      <c r="K490" s="89">
        <v>42996</v>
      </c>
      <c r="L490" s="89"/>
      <c r="M490" s="31">
        <v>90</v>
      </c>
      <c r="N490" s="9"/>
      <c r="O490" s="33"/>
      <c r="P490" s="33"/>
      <c r="Q490" s="9"/>
      <c r="R490" s="67"/>
      <c r="S490" s="9"/>
    </row>
    <row r="491" spans="1:19" ht="15" customHeight="1" x14ac:dyDescent="0.25">
      <c r="A491" s="4"/>
      <c r="B491" s="28" t="str">
        <f>IF(ISNUMBER(MATCH(C491, Mgt_Unit!$C$5:$C$1018, 0)), INDEX(Mgt_Unit!$B$5:$B$1018, MATCH(C491, Mgt_Unit!$C$5:$C$1018, 0)), "")</f>
        <v>jennifer.moore</v>
      </c>
      <c r="C491" t="s">
        <v>801</v>
      </c>
      <c r="D491" s="65"/>
      <c r="E491">
        <v>3</v>
      </c>
      <c r="F491" t="s">
        <v>1537</v>
      </c>
      <c r="G491" t="s">
        <v>1535</v>
      </c>
      <c r="H491" t="s">
        <v>441</v>
      </c>
      <c r="I491" t="s">
        <v>88</v>
      </c>
      <c r="J491" s="89">
        <v>43039</v>
      </c>
      <c r="K491" s="89"/>
      <c r="L491" s="89">
        <v>43154</v>
      </c>
      <c r="M491" s="31">
        <v>0</v>
      </c>
      <c r="N491" s="9"/>
      <c r="O491" s="33"/>
      <c r="P491" s="33"/>
      <c r="Q491" s="9"/>
      <c r="R491" s="67"/>
      <c r="S491" s="9"/>
    </row>
    <row r="492" spans="1:19" ht="15" customHeight="1" x14ac:dyDescent="0.25">
      <c r="A492" s="4"/>
      <c r="B492" s="28" t="str">
        <f>IF(ISNUMBER(MATCH(C492, Mgt_Unit!$C$5:$C$1018, 0)), INDEX(Mgt_Unit!$B$5:$B$1018, MATCH(C492, Mgt_Unit!$C$5:$C$1018, 0)), "")</f>
        <v>jennifer.moore</v>
      </c>
      <c r="C492" t="s">
        <v>801</v>
      </c>
      <c r="D492" s="65"/>
      <c r="E492">
        <v>3</v>
      </c>
      <c r="F492" t="s">
        <v>1537</v>
      </c>
      <c r="G492" t="s">
        <v>1535</v>
      </c>
      <c r="H492" t="s">
        <v>442</v>
      </c>
      <c r="I492" t="s">
        <v>1283</v>
      </c>
      <c r="J492" s="89">
        <v>43039</v>
      </c>
      <c r="K492" s="89"/>
      <c r="L492" s="89">
        <v>43154</v>
      </c>
      <c r="M492" s="31">
        <v>0</v>
      </c>
      <c r="N492" s="9"/>
      <c r="O492" s="33"/>
      <c r="P492" s="33"/>
      <c r="Q492" s="9"/>
      <c r="R492" s="67"/>
      <c r="S492" s="9"/>
    </row>
    <row r="493" spans="1:19" ht="15" customHeight="1" x14ac:dyDescent="0.25">
      <c r="A493" s="4"/>
      <c r="B493" s="28" t="str">
        <f>IF(ISNUMBER(MATCH(C493, Mgt_Unit!$C$5:$C$1018, 0)), INDEX(Mgt_Unit!$B$5:$B$1018, MATCH(C493, Mgt_Unit!$C$5:$C$1018, 0)), "")</f>
        <v>jennifer.moore</v>
      </c>
      <c r="C493" t="s">
        <v>801</v>
      </c>
      <c r="D493" s="65"/>
      <c r="E493">
        <v>3</v>
      </c>
      <c r="F493" t="s">
        <v>1537</v>
      </c>
      <c r="G493" t="s">
        <v>1535</v>
      </c>
      <c r="H493" t="s">
        <v>442</v>
      </c>
      <c r="I493" t="s">
        <v>76</v>
      </c>
      <c r="J493" s="89">
        <v>43039</v>
      </c>
      <c r="K493" s="89"/>
      <c r="L493" s="89">
        <v>43154</v>
      </c>
      <c r="M493" s="31">
        <v>0</v>
      </c>
      <c r="N493" s="9"/>
      <c r="O493" s="33"/>
      <c r="P493" s="33"/>
      <c r="Q493" s="9"/>
      <c r="R493" s="67"/>
      <c r="S493" s="9"/>
    </row>
    <row r="494" spans="1:19" ht="15" customHeight="1" x14ac:dyDescent="0.25">
      <c r="A494" s="4"/>
      <c r="B494" s="28" t="str">
        <f>IF(ISNUMBER(MATCH(C494, Mgt_Unit!$C$5:$C$1018, 0)), INDEX(Mgt_Unit!$B$5:$B$1018, MATCH(C494, Mgt_Unit!$C$5:$C$1018, 0)), "")</f>
        <v>jennifer.moore</v>
      </c>
      <c r="C494" t="s">
        <v>801</v>
      </c>
      <c r="D494" s="65"/>
      <c r="E494">
        <v>4</v>
      </c>
      <c r="F494" t="s">
        <v>1538</v>
      </c>
      <c r="G494" t="s">
        <v>1544</v>
      </c>
      <c r="H494" t="s">
        <v>49</v>
      </c>
      <c r="I494" t="s">
        <v>153</v>
      </c>
      <c r="J494" s="89">
        <v>43221</v>
      </c>
      <c r="K494" s="89">
        <v>43342</v>
      </c>
      <c r="L494" s="89"/>
      <c r="M494" s="31">
        <v>90</v>
      </c>
      <c r="N494" s="9"/>
      <c r="O494" s="33"/>
      <c r="P494" s="33"/>
      <c r="Q494" s="9"/>
      <c r="R494" s="67"/>
      <c r="S494" s="9"/>
    </row>
    <row r="495" spans="1:19" ht="15" customHeight="1" x14ac:dyDescent="0.25">
      <c r="A495" s="4"/>
      <c r="B495" s="28" t="str">
        <f>IF(ISNUMBER(MATCH(C495, Mgt_Unit!$C$5:$C$1018, 0)), INDEX(Mgt_Unit!$B$5:$B$1018, MATCH(C495, Mgt_Unit!$C$5:$C$1018, 0)), "")</f>
        <v>jennifer.moore</v>
      </c>
      <c r="C495" t="s">
        <v>801</v>
      </c>
      <c r="D495" s="65"/>
      <c r="E495">
        <v>5</v>
      </c>
      <c r="F495" t="s">
        <v>1537</v>
      </c>
      <c r="G495" t="s">
        <v>1535</v>
      </c>
      <c r="H495" t="s">
        <v>442</v>
      </c>
      <c r="I495" t="s">
        <v>1283</v>
      </c>
      <c r="J495" s="89">
        <v>43409</v>
      </c>
      <c r="K495" s="89"/>
      <c r="L495" s="89"/>
      <c r="M495" s="31"/>
      <c r="N495" s="9"/>
      <c r="O495" s="33"/>
      <c r="P495" s="33"/>
      <c r="Q495" s="9"/>
      <c r="R495" s="67"/>
      <c r="S495" s="9"/>
    </row>
    <row r="496" spans="1:19" ht="15" customHeight="1" x14ac:dyDescent="0.25">
      <c r="A496" s="4"/>
      <c r="B496" s="28" t="str">
        <f>IF(ISNUMBER(MATCH(C496, Mgt_Unit!$C$5:$C$1018, 0)), INDEX(Mgt_Unit!$B$5:$B$1018, MATCH(C496, Mgt_Unit!$C$5:$C$1018, 0)), "")</f>
        <v>jennifer.moore</v>
      </c>
      <c r="C496" t="s">
        <v>801</v>
      </c>
      <c r="D496" s="65"/>
      <c r="E496">
        <v>5</v>
      </c>
      <c r="F496" t="s">
        <v>1537</v>
      </c>
      <c r="G496" t="s">
        <v>1535</v>
      </c>
      <c r="H496" t="s">
        <v>442</v>
      </c>
      <c r="I496" t="s">
        <v>76</v>
      </c>
      <c r="J496" s="89">
        <v>43409</v>
      </c>
      <c r="K496" s="89"/>
      <c r="L496" s="89"/>
      <c r="M496" s="31"/>
      <c r="N496" s="9"/>
      <c r="O496" s="33"/>
      <c r="P496" s="33"/>
      <c r="Q496" s="9"/>
      <c r="R496" s="67"/>
      <c r="S496" s="9"/>
    </row>
    <row r="497" spans="1:19" ht="15" customHeight="1" x14ac:dyDescent="0.25">
      <c r="A497" s="4"/>
      <c r="B497" s="28" t="str">
        <f>IF(ISNUMBER(MATCH(C497, Mgt_Unit!$C$5:$C$1018, 0)), INDEX(Mgt_Unit!$B$5:$B$1018, MATCH(C497, Mgt_Unit!$C$5:$C$1018, 0)), "")</f>
        <v>jennifer.moore</v>
      </c>
      <c r="C497" s="87" t="s">
        <v>801</v>
      </c>
      <c r="D497" s="65"/>
      <c r="E497" s="87">
        <v>5</v>
      </c>
      <c r="F497" s="87" t="s">
        <v>1537</v>
      </c>
      <c r="G497" s="87" t="s">
        <v>1535</v>
      </c>
      <c r="H497" s="87" t="s">
        <v>441</v>
      </c>
      <c r="I497" s="87" t="s">
        <v>88</v>
      </c>
      <c r="J497" s="90">
        <v>43409</v>
      </c>
      <c r="K497" s="90"/>
      <c r="L497" s="90"/>
      <c r="M497" s="93"/>
      <c r="N497" s="9"/>
      <c r="O497" s="33"/>
      <c r="P497" s="33"/>
      <c r="Q497" s="9"/>
      <c r="R497" s="67"/>
      <c r="S497" s="9"/>
    </row>
    <row r="498" spans="1:19" ht="15" customHeight="1" x14ac:dyDescent="0.25">
      <c r="A498" s="4"/>
      <c r="B498" s="28" t="str">
        <f>IF(ISNUMBER(MATCH(C498, Mgt_Unit!$C$5:$C$1018, 0)), INDEX(Mgt_Unit!$B$5:$B$1018, MATCH(C498, Mgt_Unit!$C$5:$C$1018, 0)), "")</f>
        <v>jennifer.moore</v>
      </c>
      <c r="C498" t="s">
        <v>802</v>
      </c>
      <c r="D498" s="65"/>
      <c r="E498">
        <v>1</v>
      </c>
      <c r="F498" t="s">
        <v>1537</v>
      </c>
      <c r="G498" t="s">
        <v>1535</v>
      </c>
      <c r="H498" t="s">
        <v>441</v>
      </c>
      <c r="I498" t="s">
        <v>88</v>
      </c>
      <c r="J498" s="89"/>
      <c r="K498" s="89"/>
      <c r="L498" s="89">
        <v>42809</v>
      </c>
      <c r="M498" s="31">
        <v>0</v>
      </c>
      <c r="N498" s="9"/>
      <c r="O498" s="33"/>
      <c r="P498" s="33"/>
      <c r="Q498" s="9"/>
      <c r="R498" s="67"/>
      <c r="S498" s="9"/>
    </row>
    <row r="499" spans="1:19" ht="15" customHeight="1" x14ac:dyDescent="0.25">
      <c r="A499" s="4"/>
      <c r="B499" s="28" t="str">
        <f>IF(ISNUMBER(MATCH(C499, Mgt_Unit!$C$5:$C$1018, 0)), INDEX(Mgt_Unit!$B$5:$B$1018, MATCH(C499, Mgt_Unit!$C$5:$C$1018, 0)), "")</f>
        <v>jennifer.moore</v>
      </c>
      <c r="C499" t="s">
        <v>802</v>
      </c>
      <c r="D499" s="65"/>
      <c r="E499">
        <v>1</v>
      </c>
      <c r="F499" t="s">
        <v>1537</v>
      </c>
      <c r="G499" t="s">
        <v>1535</v>
      </c>
      <c r="H499" t="s">
        <v>442</v>
      </c>
      <c r="I499" t="s">
        <v>1283</v>
      </c>
      <c r="J499" s="89"/>
      <c r="K499" s="89"/>
      <c r="L499" s="89">
        <v>42809</v>
      </c>
      <c r="M499" s="31">
        <v>0</v>
      </c>
      <c r="N499" s="9"/>
      <c r="O499" s="33"/>
      <c r="P499" s="33"/>
      <c r="Q499" s="9"/>
      <c r="R499" s="67"/>
      <c r="S499" s="9"/>
    </row>
    <row r="500" spans="1:19" ht="15" customHeight="1" x14ac:dyDescent="0.25">
      <c r="A500" s="4"/>
      <c r="B500" s="28" t="str">
        <f>IF(ISNUMBER(MATCH(C500, Mgt_Unit!$C$5:$C$1018, 0)), INDEX(Mgt_Unit!$B$5:$B$1018, MATCH(C500, Mgt_Unit!$C$5:$C$1018, 0)), "")</f>
        <v>jennifer.moore</v>
      </c>
      <c r="C500" t="s">
        <v>802</v>
      </c>
      <c r="D500" s="65"/>
      <c r="E500">
        <v>1</v>
      </c>
      <c r="F500" t="s">
        <v>1537</v>
      </c>
      <c r="G500" t="s">
        <v>1535</v>
      </c>
      <c r="H500" t="s">
        <v>442</v>
      </c>
      <c r="I500" t="s">
        <v>76</v>
      </c>
      <c r="J500" s="89"/>
      <c r="K500" s="89"/>
      <c r="L500" s="89">
        <v>42809</v>
      </c>
      <c r="M500" s="31">
        <v>0</v>
      </c>
      <c r="N500" s="9"/>
      <c r="O500" s="33"/>
      <c r="P500" s="33"/>
      <c r="Q500" s="9"/>
      <c r="R500" s="67"/>
      <c r="S500" s="9"/>
    </row>
    <row r="501" spans="1:19" ht="15" customHeight="1" x14ac:dyDescent="0.25">
      <c r="A501" s="4"/>
      <c r="B501" s="28" t="str">
        <f>IF(ISNUMBER(MATCH(C501, Mgt_Unit!$C$5:$C$1018, 0)), INDEX(Mgt_Unit!$B$5:$B$1018, MATCH(C501, Mgt_Unit!$C$5:$C$1018, 0)), "")</f>
        <v>jennifer.moore</v>
      </c>
      <c r="C501" t="s">
        <v>802</v>
      </c>
      <c r="D501" s="65"/>
      <c r="E501">
        <v>2</v>
      </c>
      <c r="F501" t="s">
        <v>1538</v>
      </c>
      <c r="G501" t="s">
        <v>1544</v>
      </c>
      <c r="H501" t="s">
        <v>50</v>
      </c>
      <c r="I501" t="s">
        <v>87</v>
      </c>
      <c r="J501" s="89">
        <v>42849</v>
      </c>
      <c r="K501" s="89">
        <v>42996</v>
      </c>
      <c r="L501" s="89"/>
      <c r="M501" s="31">
        <v>90</v>
      </c>
      <c r="N501" s="9"/>
      <c r="O501" s="33"/>
      <c r="P501" s="33"/>
      <c r="Q501" s="9"/>
      <c r="R501" s="67"/>
      <c r="S501" s="9"/>
    </row>
    <row r="502" spans="1:19" ht="15" customHeight="1" x14ac:dyDescent="0.25">
      <c r="A502" s="4"/>
      <c r="B502" s="28" t="str">
        <f>IF(ISNUMBER(MATCH(C502, Mgt_Unit!$C$5:$C$1018, 0)), INDEX(Mgt_Unit!$B$5:$B$1018, MATCH(C502, Mgt_Unit!$C$5:$C$1018, 0)), "")</f>
        <v>jennifer.moore</v>
      </c>
      <c r="C502" t="s">
        <v>802</v>
      </c>
      <c r="D502" s="65"/>
      <c r="E502">
        <v>3</v>
      </c>
      <c r="F502" t="s">
        <v>1537</v>
      </c>
      <c r="G502" t="s">
        <v>1535</v>
      </c>
      <c r="H502" t="s">
        <v>441</v>
      </c>
      <c r="I502" t="s">
        <v>88</v>
      </c>
      <c r="J502" s="89">
        <v>43039</v>
      </c>
      <c r="K502" s="89"/>
      <c r="L502" s="89">
        <v>43154</v>
      </c>
      <c r="M502" s="31">
        <v>0</v>
      </c>
      <c r="N502" s="9"/>
      <c r="O502" s="33"/>
      <c r="P502" s="33"/>
      <c r="Q502" s="9"/>
      <c r="R502" s="67"/>
      <c r="S502" s="9"/>
    </row>
    <row r="503" spans="1:19" ht="15" customHeight="1" x14ac:dyDescent="0.25">
      <c r="A503" s="4"/>
      <c r="B503" s="28" t="str">
        <f>IF(ISNUMBER(MATCH(C503, Mgt_Unit!$C$5:$C$1018, 0)), INDEX(Mgt_Unit!$B$5:$B$1018, MATCH(C503, Mgt_Unit!$C$5:$C$1018, 0)), "")</f>
        <v>jennifer.moore</v>
      </c>
      <c r="C503" t="s">
        <v>802</v>
      </c>
      <c r="D503" s="65"/>
      <c r="E503">
        <v>3</v>
      </c>
      <c r="F503" t="s">
        <v>1537</v>
      </c>
      <c r="G503" t="s">
        <v>1535</v>
      </c>
      <c r="H503" t="s">
        <v>442</v>
      </c>
      <c r="I503" t="s">
        <v>1283</v>
      </c>
      <c r="J503" s="89">
        <v>43039</v>
      </c>
      <c r="K503" s="89"/>
      <c r="L503" s="89">
        <v>43154</v>
      </c>
      <c r="M503" s="31">
        <v>0</v>
      </c>
      <c r="N503" s="9"/>
      <c r="O503" s="33"/>
      <c r="P503" s="33"/>
      <c r="Q503" s="9"/>
      <c r="R503" s="67"/>
      <c r="S503" s="9"/>
    </row>
    <row r="504" spans="1:19" ht="15" customHeight="1" x14ac:dyDescent="0.25">
      <c r="A504" s="4"/>
      <c r="B504" s="28" t="str">
        <f>IF(ISNUMBER(MATCH(C504, Mgt_Unit!$C$5:$C$1018, 0)), INDEX(Mgt_Unit!$B$5:$B$1018, MATCH(C504, Mgt_Unit!$C$5:$C$1018, 0)), "")</f>
        <v>jennifer.moore</v>
      </c>
      <c r="C504" t="s">
        <v>802</v>
      </c>
      <c r="D504" s="65"/>
      <c r="E504">
        <v>3</v>
      </c>
      <c r="F504" t="s">
        <v>1537</v>
      </c>
      <c r="G504" t="s">
        <v>1535</v>
      </c>
      <c r="H504" t="s">
        <v>442</v>
      </c>
      <c r="I504" t="s">
        <v>76</v>
      </c>
      <c r="J504" s="89">
        <v>43039</v>
      </c>
      <c r="K504" s="89"/>
      <c r="L504" s="89">
        <v>43154</v>
      </c>
      <c r="M504" s="31">
        <v>0</v>
      </c>
      <c r="N504" s="9"/>
      <c r="O504" s="33"/>
      <c r="P504" s="33"/>
      <c r="Q504" s="9"/>
      <c r="R504" s="67"/>
      <c r="S504" s="9"/>
    </row>
    <row r="505" spans="1:19" ht="15" customHeight="1" x14ac:dyDescent="0.25">
      <c r="A505" s="4"/>
      <c r="B505" s="28" t="str">
        <f>IF(ISNUMBER(MATCH(C505, Mgt_Unit!$C$5:$C$1018, 0)), INDEX(Mgt_Unit!$B$5:$B$1018, MATCH(C505, Mgt_Unit!$C$5:$C$1018, 0)), "")</f>
        <v>jennifer.moore</v>
      </c>
      <c r="C505" t="s">
        <v>802</v>
      </c>
      <c r="D505" s="65"/>
      <c r="E505">
        <v>4</v>
      </c>
      <c r="F505" t="s">
        <v>1538</v>
      </c>
      <c r="G505" t="s">
        <v>1544</v>
      </c>
      <c r="H505" t="s">
        <v>49</v>
      </c>
      <c r="I505" t="s">
        <v>153</v>
      </c>
      <c r="J505" s="89">
        <v>43221</v>
      </c>
      <c r="K505" s="89">
        <v>43342</v>
      </c>
      <c r="L505" s="89"/>
      <c r="M505" s="31">
        <v>90</v>
      </c>
      <c r="N505" s="9"/>
      <c r="O505" s="33"/>
      <c r="P505" s="33"/>
      <c r="Q505" s="9"/>
      <c r="R505" s="67"/>
      <c r="S505" s="9"/>
    </row>
    <row r="506" spans="1:19" ht="15" customHeight="1" x14ac:dyDescent="0.25">
      <c r="A506" s="4"/>
      <c r="B506" s="28" t="str">
        <f>IF(ISNUMBER(MATCH(C506, Mgt_Unit!$C$5:$C$1018, 0)), INDEX(Mgt_Unit!$B$5:$B$1018, MATCH(C506, Mgt_Unit!$C$5:$C$1018, 0)), "")</f>
        <v>jennifer.moore</v>
      </c>
      <c r="C506" t="s">
        <v>802</v>
      </c>
      <c r="D506" s="65"/>
      <c r="E506">
        <v>5</v>
      </c>
      <c r="F506" t="s">
        <v>1537</v>
      </c>
      <c r="G506" t="s">
        <v>1535</v>
      </c>
      <c r="H506" t="s">
        <v>441</v>
      </c>
      <c r="I506" t="s">
        <v>88</v>
      </c>
      <c r="J506" s="89">
        <v>43409</v>
      </c>
      <c r="K506" s="89"/>
      <c r="L506" s="89"/>
      <c r="M506" s="31"/>
      <c r="N506" s="9"/>
      <c r="O506" s="33"/>
      <c r="P506" s="33"/>
      <c r="Q506" s="9"/>
      <c r="R506" s="67"/>
      <c r="S506" s="9"/>
    </row>
    <row r="507" spans="1:19" ht="15" customHeight="1" x14ac:dyDescent="0.25">
      <c r="A507" s="4"/>
      <c r="B507" s="28" t="str">
        <f>IF(ISNUMBER(MATCH(C507, Mgt_Unit!$C$5:$C$1018, 0)), INDEX(Mgt_Unit!$B$5:$B$1018, MATCH(C507, Mgt_Unit!$C$5:$C$1018, 0)), "")</f>
        <v>jennifer.moore</v>
      </c>
      <c r="C507" t="s">
        <v>802</v>
      </c>
      <c r="D507" s="65"/>
      <c r="E507">
        <v>5</v>
      </c>
      <c r="F507" t="s">
        <v>1537</v>
      </c>
      <c r="G507" t="s">
        <v>1535</v>
      </c>
      <c r="H507" t="s">
        <v>442</v>
      </c>
      <c r="I507" t="s">
        <v>1283</v>
      </c>
      <c r="J507" s="89">
        <v>43409</v>
      </c>
      <c r="K507" s="89"/>
      <c r="L507" s="89"/>
      <c r="M507" s="31"/>
      <c r="N507" s="9"/>
      <c r="O507" s="33"/>
      <c r="P507" s="33"/>
      <c r="Q507" s="9"/>
      <c r="R507" s="67"/>
      <c r="S507" s="9"/>
    </row>
    <row r="508" spans="1:19" ht="15" customHeight="1" x14ac:dyDescent="0.25">
      <c r="A508" s="4"/>
      <c r="B508" s="28" t="str">
        <f>IF(ISNUMBER(MATCH(C508, Mgt_Unit!$C$5:$C$1018, 0)), INDEX(Mgt_Unit!$B$5:$B$1018, MATCH(C508, Mgt_Unit!$C$5:$C$1018, 0)), "")</f>
        <v>jennifer.moore</v>
      </c>
      <c r="C508" s="87" t="s">
        <v>802</v>
      </c>
      <c r="D508" s="65"/>
      <c r="E508" s="87">
        <v>5</v>
      </c>
      <c r="F508" s="87" t="s">
        <v>1537</v>
      </c>
      <c r="G508" s="87" t="s">
        <v>1535</v>
      </c>
      <c r="H508" s="87" t="s">
        <v>442</v>
      </c>
      <c r="I508" s="87" t="s">
        <v>76</v>
      </c>
      <c r="J508" s="90">
        <v>43409</v>
      </c>
      <c r="K508" s="90"/>
      <c r="L508" s="90"/>
      <c r="M508" s="93"/>
      <c r="N508" s="9"/>
      <c r="O508" s="33"/>
      <c r="P508" s="33"/>
      <c r="Q508" s="9"/>
      <c r="R508" s="67"/>
      <c r="S508" s="9"/>
    </row>
    <row r="509" spans="1:19" ht="15" customHeight="1" x14ac:dyDescent="0.25">
      <c r="A509" s="4"/>
      <c r="B509" s="28" t="str">
        <f>IF(ISNUMBER(MATCH(C509, Mgt_Unit!$C$5:$C$1018, 0)), INDEX(Mgt_Unit!$B$5:$B$1018, MATCH(C509, Mgt_Unit!$C$5:$C$1018, 0)), "")</f>
        <v>jennifer.moore</v>
      </c>
      <c r="C509" t="s">
        <v>803</v>
      </c>
      <c r="D509" s="65"/>
      <c r="E509">
        <v>1</v>
      </c>
      <c r="F509" t="s">
        <v>1538</v>
      </c>
      <c r="G509" t="s">
        <v>1544</v>
      </c>
      <c r="H509" t="s">
        <v>50</v>
      </c>
      <c r="I509" t="s">
        <v>87</v>
      </c>
      <c r="J509" s="89">
        <v>42849</v>
      </c>
      <c r="K509" s="89">
        <v>42996</v>
      </c>
      <c r="L509" s="89"/>
      <c r="M509" s="31">
        <v>90</v>
      </c>
      <c r="N509" s="9"/>
      <c r="O509" s="33"/>
      <c r="P509" s="33"/>
      <c r="Q509" s="9"/>
      <c r="R509" s="67"/>
      <c r="S509" s="9"/>
    </row>
    <row r="510" spans="1:19" ht="15" customHeight="1" x14ac:dyDescent="0.25">
      <c r="A510" s="4"/>
      <c r="B510" s="28" t="str">
        <f>IF(ISNUMBER(MATCH(C510, Mgt_Unit!$C$5:$C$1018, 0)), INDEX(Mgt_Unit!$B$5:$B$1018, MATCH(C510, Mgt_Unit!$C$5:$C$1018, 0)), "")</f>
        <v>jennifer.moore</v>
      </c>
      <c r="C510" s="87" t="s">
        <v>803</v>
      </c>
      <c r="D510" s="65"/>
      <c r="E510" s="87">
        <v>2</v>
      </c>
      <c r="F510" s="87" t="s">
        <v>1538</v>
      </c>
      <c r="G510" s="87" t="s">
        <v>1544</v>
      </c>
      <c r="H510" s="87" t="s">
        <v>49</v>
      </c>
      <c r="I510" s="87" t="s">
        <v>153</v>
      </c>
      <c r="J510" s="90">
        <v>43221</v>
      </c>
      <c r="K510" s="90">
        <v>43342</v>
      </c>
      <c r="L510" s="90"/>
      <c r="M510" s="93">
        <v>90</v>
      </c>
      <c r="N510" s="9"/>
      <c r="O510" s="33"/>
      <c r="P510" s="33"/>
      <c r="Q510" s="9"/>
      <c r="R510" s="67"/>
      <c r="S510" s="9"/>
    </row>
    <row r="511" spans="1:19" ht="15" customHeight="1" x14ac:dyDescent="0.25">
      <c r="A511" s="4"/>
      <c r="B511" s="28" t="str">
        <f>IF(ISNUMBER(MATCH(C511, Mgt_Unit!$C$5:$C$1018, 0)), INDEX(Mgt_Unit!$B$5:$B$1018, MATCH(C511, Mgt_Unit!$C$5:$C$1018, 0)), "")</f>
        <v>jennifer.moore</v>
      </c>
      <c r="C511" s="88" t="s">
        <v>1296</v>
      </c>
      <c r="D511" s="65"/>
      <c r="E511" s="88">
        <v>1</v>
      </c>
      <c r="F511" s="88" t="s">
        <v>1537</v>
      </c>
      <c r="G511" s="88" t="s">
        <v>1536</v>
      </c>
      <c r="H511" s="88" t="s">
        <v>1549</v>
      </c>
      <c r="I511" s="88" t="s">
        <v>1555</v>
      </c>
      <c r="J511" s="91">
        <v>42370</v>
      </c>
      <c r="K511" s="88"/>
      <c r="L511" s="91">
        <v>43830</v>
      </c>
      <c r="M511" s="94">
        <v>0</v>
      </c>
      <c r="N511" s="9"/>
      <c r="O511" s="33"/>
      <c r="P511" s="33"/>
      <c r="Q511" s="9"/>
      <c r="R511" s="67"/>
      <c r="S511" s="9"/>
    </row>
    <row r="512" spans="1:19" ht="15" customHeight="1" x14ac:dyDescent="0.25">
      <c r="A512" s="4"/>
      <c r="B512" s="28" t="str">
        <f>IF(ISNUMBER(MATCH(C512, Mgt_Unit!$C$5:$C$1018, 0)), INDEX(Mgt_Unit!$B$5:$B$1018, MATCH(C512, Mgt_Unit!$C$5:$C$1018, 0)), "")</f>
        <v>jennifer.moore</v>
      </c>
      <c r="C512" t="s">
        <v>804</v>
      </c>
      <c r="D512" s="65"/>
      <c r="E512">
        <v>1</v>
      </c>
      <c r="F512" t="s">
        <v>1537</v>
      </c>
      <c r="G512" t="s">
        <v>1535</v>
      </c>
      <c r="H512" t="s">
        <v>441</v>
      </c>
      <c r="I512" t="s">
        <v>136</v>
      </c>
      <c r="J512" s="89"/>
      <c r="K512" s="89"/>
      <c r="L512" s="89">
        <v>41716</v>
      </c>
      <c r="M512" s="31">
        <v>0</v>
      </c>
      <c r="N512" s="9"/>
      <c r="O512" s="33"/>
      <c r="P512" s="33"/>
      <c r="Q512" s="9"/>
      <c r="R512" s="67"/>
      <c r="S512" s="9"/>
    </row>
    <row r="513" spans="1:19" ht="15" customHeight="1" x14ac:dyDescent="0.25">
      <c r="A513" s="4"/>
      <c r="B513" s="28" t="str">
        <f>IF(ISNUMBER(MATCH(C513, Mgt_Unit!$C$5:$C$1018, 0)), INDEX(Mgt_Unit!$B$5:$B$1018, MATCH(C513, Mgt_Unit!$C$5:$C$1018, 0)), "")</f>
        <v>jennifer.moore</v>
      </c>
      <c r="C513" t="s">
        <v>804</v>
      </c>
      <c r="D513" s="65"/>
      <c r="E513">
        <v>1</v>
      </c>
      <c r="F513" t="s">
        <v>1537</v>
      </c>
      <c r="G513" t="s">
        <v>1535</v>
      </c>
      <c r="H513" t="s">
        <v>442</v>
      </c>
      <c r="I513" t="s">
        <v>1282</v>
      </c>
      <c r="J513" s="89"/>
      <c r="K513" s="89"/>
      <c r="L513" s="89">
        <v>41716</v>
      </c>
      <c r="M513" s="31">
        <v>0</v>
      </c>
      <c r="N513" s="9"/>
      <c r="O513" s="33"/>
      <c r="P513" s="33"/>
      <c r="Q513" s="9"/>
      <c r="R513" s="67"/>
      <c r="S513" s="9"/>
    </row>
    <row r="514" spans="1:19" ht="15" customHeight="1" x14ac:dyDescent="0.25">
      <c r="A514" s="14"/>
      <c r="B514" s="28" t="str">
        <f>IF(ISNUMBER(MATCH(C514, Mgt_Unit!$C$5:$C$1018, 0)), INDEX(Mgt_Unit!$B$5:$B$1018, MATCH(C514, Mgt_Unit!$C$5:$C$1018, 0)), "")</f>
        <v>jennifer.moore</v>
      </c>
      <c r="C514" t="s">
        <v>804</v>
      </c>
      <c r="D514" s="65"/>
      <c r="E514">
        <v>1</v>
      </c>
      <c r="F514" t="s">
        <v>1537</v>
      </c>
      <c r="G514" t="s">
        <v>1535</v>
      </c>
      <c r="H514" t="s">
        <v>441</v>
      </c>
      <c r="I514" t="s">
        <v>29</v>
      </c>
      <c r="J514" s="89"/>
      <c r="K514" s="89"/>
      <c r="L514" s="89">
        <v>41716</v>
      </c>
      <c r="M514" s="31">
        <v>0</v>
      </c>
      <c r="N514" s="9"/>
      <c r="O514" s="33"/>
      <c r="P514" s="33"/>
      <c r="Q514" s="9"/>
      <c r="R514" s="67"/>
      <c r="S514" s="9"/>
    </row>
    <row r="515" spans="1:19" ht="15" customHeight="1" x14ac:dyDescent="0.25">
      <c r="A515" s="4"/>
      <c r="B515" s="28" t="str">
        <f>IF(ISNUMBER(MATCH(C515, Mgt_Unit!$C$5:$C$1018, 0)), INDEX(Mgt_Unit!$B$5:$B$1018, MATCH(C515, Mgt_Unit!$C$5:$C$1018, 0)), "")</f>
        <v>jennifer.moore</v>
      </c>
      <c r="C515" t="s">
        <v>804</v>
      </c>
      <c r="D515" s="65"/>
      <c r="E515">
        <v>1</v>
      </c>
      <c r="F515" t="s">
        <v>1537</v>
      </c>
      <c r="G515" t="s">
        <v>1535</v>
      </c>
      <c r="H515" t="s">
        <v>48</v>
      </c>
      <c r="I515" t="s">
        <v>154</v>
      </c>
      <c r="J515" s="89"/>
      <c r="K515" s="89"/>
      <c r="L515" s="89">
        <v>41716</v>
      </c>
      <c r="M515" s="31">
        <v>0</v>
      </c>
      <c r="N515" s="9"/>
      <c r="O515" s="33"/>
      <c r="P515" s="33"/>
      <c r="Q515" s="9"/>
      <c r="R515" s="67"/>
      <c r="S515" s="9"/>
    </row>
    <row r="516" spans="1:19" ht="15" customHeight="1" x14ac:dyDescent="0.25">
      <c r="A516" s="4"/>
      <c r="B516" s="28" t="str">
        <f>IF(ISNUMBER(MATCH(C516, Mgt_Unit!$C$5:$C$1018, 0)), INDEX(Mgt_Unit!$B$5:$B$1018, MATCH(C516, Mgt_Unit!$C$5:$C$1018, 0)), "")</f>
        <v>jennifer.moore</v>
      </c>
      <c r="C516" t="s">
        <v>804</v>
      </c>
      <c r="D516" s="65"/>
      <c r="E516">
        <v>1</v>
      </c>
      <c r="F516" t="s">
        <v>1537</v>
      </c>
      <c r="G516" t="s">
        <v>1535</v>
      </c>
      <c r="H516" t="s">
        <v>442</v>
      </c>
      <c r="I516" t="s">
        <v>148</v>
      </c>
      <c r="J516" s="89"/>
      <c r="K516" s="89"/>
      <c r="L516" s="89">
        <v>41716</v>
      </c>
      <c r="M516" s="31">
        <v>0</v>
      </c>
      <c r="N516" s="9"/>
      <c r="O516" s="33"/>
      <c r="P516" s="33"/>
      <c r="Q516" s="9"/>
      <c r="R516" s="67"/>
      <c r="S516" s="9"/>
    </row>
    <row r="517" spans="1:19" ht="15" customHeight="1" x14ac:dyDescent="0.25">
      <c r="A517" s="4"/>
      <c r="B517" s="28" t="str">
        <f>IF(ISNUMBER(MATCH(C517, Mgt_Unit!$C$5:$C$1018, 0)), INDEX(Mgt_Unit!$B$5:$B$1018, MATCH(C517, Mgt_Unit!$C$5:$C$1018, 0)), "")</f>
        <v>jennifer.moore</v>
      </c>
      <c r="C517" t="s">
        <v>804</v>
      </c>
      <c r="D517" s="65"/>
      <c r="E517">
        <v>2</v>
      </c>
      <c r="F517" t="s">
        <v>1538</v>
      </c>
      <c r="G517" t="s">
        <v>1544</v>
      </c>
      <c r="H517" t="s">
        <v>442</v>
      </c>
      <c r="I517" t="s">
        <v>1281</v>
      </c>
      <c r="J517" s="89">
        <v>41717</v>
      </c>
      <c r="K517" s="89">
        <v>41834</v>
      </c>
      <c r="L517" s="89"/>
      <c r="M517" s="31">
        <v>0</v>
      </c>
      <c r="N517" s="9"/>
      <c r="O517" s="33"/>
      <c r="P517" s="33"/>
      <c r="Q517" s="9"/>
      <c r="R517" s="67"/>
      <c r="S517" s="9"/>
    </row>
    <row r="518" spans="1:19" ht="15" customHeight="1" x14ac:dyDescent="0.25">
      <c r="A518" s="4"/>
      <c r="B518" s="28" t="str">
        <f>IF(ISNUMBER(MATCH(C518, Mgt_Unit!$C$5:$C$1018, 0)), INDEX(Mgt_Unit!$B$5:$B$1018, MATCH(C518, Mgt_Unit!$C$5:$C$1018, 0)), "")</f>
        <v>jennifer.moore</v>
      </c>
      <c r="C518" t="s">
        <v>804</v>
      </c>
      <c r="D518" s="65"/>
      <c r="E518">
        <v>3</v>
      </c>
      <c r="F518" t="s">
        <v>1537</v>
      </c>
      <c r="G518" t="s">
        <v>1535</v>
      </c>
      <c r="H518" t="s">
        <v>441</v>
      </c>
      <c r="I518" t="s">
        <v>136</v>
      </c>
      <c r="J518" s="89">
        <v>41938</v>
      </c>
      <c r="K518" s="89"/>
      <c r="L518" s="89">
        <v>42094</v>
      </c>
      <c r="M518" s="31">
        <v>0</v>
      </c>
      <c r="N518" s="9"/>
      <c r="O518" s="33"/>
      <c r="P518" s="33"/>
      <c r="Q518" s="9"/>
      <c r="R518" s="67"/>
      <c r="S518" s="9"/>
    </row>
    <row r="519" spans="1:19" ht="15" customHeight="1" x14ac:dyDescent="0.25">
      <c r="A519" s="4"/>
      <c r="B519" s="28" t="str">
        <f>IF(ISNUMBER(MATCH(C519, Mgt_Unit!$C$5:$C$1018, 0)), INDEX(Mgt_Unit!$B$5:$B$1018, MATCH(C519, Mgt_Unit!$C$5:$C$1018, 0)), "")</f>
        <v>jennifer.moore</v>
      </c>
      <c r="C519" t="s">
        <v>804</v>
      </c>
      <c r="D519" s="65"/>
      <c r="E519">
        <v>3</v>
      </c>
      <c r="F519" t="s">
        <v>1537</v>
      </c>
      <c r="G519" t="s">
        <v>1535</v>
      </c>
      <c r="H519" t="s">
        <v>442</v>
      </c>
      <c r="I519" t="s">
        <v>1282</v>
      </c>
      <c r="J519" s="89">
        <v>41938</v>
      </c>
      <c r="K519" s="89"/>
      <c r="L519" s="89">
        <v>42094</v>
      </c>
      <c r="M519" s="31">
        <v>0</v>
      </c>
      <c r="N519" s="9"/>
      <c r="O519" s="33"/>
      <c r="P519" s="33"/>
      <c r="Q519" s="9"/>
      <c r="R519" s="67"/>
      <c r="S519" s="9"/>
    </row>
    <row r="520" spans="1:19" ht="15" customHeight="1" x14ac:dyDescent="0.25">
      <c r="A520" s="4"/>
      <c r="B520" s="28" t="str">
        <f>IF(ISNUMBER(MATCH(C520, Mgt_Unit!$C$5:$C$1018, 0)), INDEX(Mgt_Unit!$B$5:$B$1018, MATCH(C520, Mgt_Unit!$C$5:$C$1018, 0)), "")</f>
        <v>jennifer.moore</v>
      </c>
      <c r="C520" t="s">
        <v>804</v>
      </c>
      <c r="D520" s="65"/>
      <c r="E520">
        <v>3</v>
      </c>
      <c r="F520" t="s">
        <v>1537</v>
      </c>
      <c r="G520" t="s">
        <v>1535</v>
      </c>
      <c r="H520" t="s">
        <v>441</v>
      </c>
      <c r="I520" t="s">
        <v>29</v>
      </c>
      <c r="J520" s="89">
        <v>41938</v>
      </c>
      <c r="K520" s="89"/>
      <c r="L520" s="89">
        <v>42094</v>
      </c>
      <c r="M520" s="31">
        <v>0</v>
      </c>
      <c r="N520" s="9"/>
      <c r="O520" s="33"/>
      <c r="P520" s="33"/>
      <c r="Q520" s="9"/>
      <c r="R520" s="67"/>
      <c r="S520" s="9"/>
    </row>
    <row r="521" spans="1:19" ht="15" customHeight="1" x14ac:dyDescent="0.25">
      <c r="A521" s="4"/>
      <c r="B521" s="28" t="str">
        <f>IF(ISNUMBER(MATCH(C521, Mgt_Unit!$C$5:$C$1018, 0)), INDEX(Mgt_Unit!$B$5:$B$1018, MATCH(C521, Mgt_Unit!$C$5:$C$1018, 0)), "")</f>
        <v>jennifer.moore</v>
      </c>
      <c r="C521" t="s">
        <v>804</v>
      </c>
      <c r="D521" s="65"/>
      <c r="E521">
        <v>3</v>
      </c>
      <c r="F521" t="s">
        <v>1537</v>
      </c>
      <c r="G521" t="s">
        <v>1535</v>
      </c>
      <c r="H521" t="s">
        <v>48</v>
      </c>
      <c r="I521" t="s">
        <v>154</v>
      </c>
      <c r="J521" s="89">
        <v>41938</v>
      </c>
      <c r="K521" s="89"/>
      <c r="L521" s="89">
        <v>42094</v>
      </c>
      <c r="M521" s="31">
        <v>0</v>
      </c>
      <c r="N521" s="9"/>
      <c r="O521" s="33"/>
      <c r="P521" s="33"/>
      <c r="Q521" s="9"/>
      <c r="R521" s="67"/>
      <c r="S521" s="9"/>
    </row>
    <row r="522" spans="1:19" ht="15" customHeight="1" x14ac:dyDescent="0.25">
      <c r="A522" s="4"/>
      <c r="B522" s="28" t="str">
        <f>IF(ISNUMBER(MATCH(C522, Mgt_Unit!$C$5:$C$1018, 0)), INDEX(Mgt_Unit!$B$5:$B$1018, MATCH(C522, Mgt_Unit!$C$5:$C$1018, 0)), "")</f>
        <v>jennifer.moore</v>
      </c>
      <c r="C522" t="s">
        <v>804</v>
      </c>
      <c r="D522" s="65"/>
      <c r="E522">
        <v>3</v>
      </c>
      <c r="F522" t="s">
        <v>1537</v>
      </c>
      <c r="G522" t="s">
        <v>1535</v>
      </c>
      <c r="H522" t="s">
        <v>442</v>
      </c>
      <c r="I522" t="s">
        <v>148</v>
      </c>
      <c r="J522" s="89">
        <v>41938</v>
      </c>
      <c r="K522" s="89"/>
      <c r="L522" s="89">
        <v>42094</v>
      </c>
      <c r="M522" s="31">
        <v>0</v>
      </c>
      <c r="N522" s="9"/>
      <c r="O522" s="33"/>
      <c r="P522" s="33"/>
      <c r="Q522" s="9"/>
      <c r="R522" s="67"/>
      <c r="S522" s="9"/>
    </row>
    <row r="523" spans="1:19" ht="15" customHeight="1" x14ac:dyDescent="0.25">
      <c r="A523" s="4"/>
      <c r="B523" s="28" t="str">
        <f>IF(ISNUMBER(MATCH(C523, Mgt_Unit!$C$5:$C$1018, 0)), INDEX(Mgt_Unit!$B$5:$B$1018, MATCH(C523, Mgt_Unit!$C$5:$C$1018, 0)), "")</f>
        <v>jennifer.moore</v>
      </c>
      <c r="C523" t="s">
        <v>804</v>
      </c>
      <c r="D523" s="65"/>
      <c r="E523">
        <v>4</v>
      </c>
      <c r="F523" t="s">
        <v>1538</v>
      </c>
      <c r="G523" t="s">
        <v>1544</v>
      </c>
      <c r="H523" t="s">
        <v>50</v>
      </c>
      <c r="I523" t="s">
        <v>175</v>
      </c>
      <c r="J523" s="89">
        <v>42135</v>
      </c>
      <c r="K523" s="89">
        <v>42293</v>
      </c>
      <c r="L523" s="89"/>
      <c r="M523" s="31">
        <v>0</v>
      </c>
      <c r="N523" s="9"/>
      <c r="O523" s="33"/>
      <c r="P523" s="33"/>
      <c r="Q523" s="9"/>
      <c r="R523" s="67"/>
      <c r="S523" s="9"/>
    </row>
    <row r="524" spans="1:19" ht="15" customHeight="1" x14ac:dyDescent="0.25">
      <c r="A524" s="4"/>
      <c r="B524" s="28" t="str">
        <f>IF(ISNUMBER(MATCH(C524, Mgt_Unit!$C$5:$C$1018, 0)), INDEX(Mgt_Unit!$B$5:$B$1018, MATCH(C524, Mgt_Unit!$C$5:$C$1018, 0)), "")</f>
        <v>jennifer.moore</v>
      </c>
      <c r="C524" t="s">
        <v>804</v>
      </c>
      <c r="D524" s="65"/>
      <c r="E524">
        <v>5</v>
      </c>
      <c r="F524" t="s">
        <v>1537</v>
      </c>
      <c r="G524" t="s">
        <v>1535</v>
      </c>
      <c r="H524" t="s">
        <v>441</v>
      </c>
      <c r="I524" t="s">
        <v>136</v>
      </c>
      <c r="J524" s="89">
        <v>42299</v>
      </c>
      <c r="K524" s="89"/>
      <c r="L524" s="89">
        <v>42380</v>
      </c>
      <c r="M524" s="31">
        <v>0</v>
      </c>
      <c r="N524" s="9"/>
      <c r="O524" s="33"/>
      <c r="P524" s="33"/>
      <c r="Q524" s="9"/>
      <c r="R524" s="67"/>
      <c r="S524" s="9"/>
    </row>
    <row r="525" spans="1:19" ht="15" customHeight="1" x14ac:dyDescent="0.25">
      <c r="A525" s="4"/>
      <c r="B525" s="28" t="str">
        <f>IF(ISNUMBER(MATCH(C525, Mgt_Unit!$C$5:$C$1018, 0)), INDEX(Mgt_Unit!$B$5:$B$1018, MATCH(C525, Mgt_Unit!$C$5:$C$1018, 0)), "")</f>
        <v>jennifer.moore</v>
      </c>
      <c r="C525" t="s">
        <v>804</v>
      </c>
      <c r="D525" s="65"/>
      <c r="E525">
        <v>5</v>
      </c>
      <c r="F525" t="s">
        <v>1537</v>
      </c>
      <c r="G525" t="s">
        <v>1535</v>
      </c>
      <c r="H525" t="s">
        <v>442</v>
      </c>
      <c r="I525" t="s">
        <v>1282</v>
      </c>
      <c r="J525" s="89">
        <v>42299</v>
      </c>
      <c r="K525" s="89"/>
      <c r="L525" s="89">
        <v>42380</v>
      </c>
      <c r="M525" s="31">
        <v>0</v>
      </c>
      <c r="N525" s="9"/>
      <c r="O525" s="33"/>
      <c r="P525" s="33"/>
      <c r="Q525" s="9"/>
      <c r="R525" s="67"/>
      <c r="S525" s="9"/>
    </row>
    <row r="526" spans="1:19" ht="15" customHeight="1" x14ac:dyDescent="0.25">
      <c r="A526" s="4"/>
      <c r="B526" s="28" t="str">
        <f>IF(ISNUMBER(MATCH(C526, Mgt_Unit!$C$5:$C$1018, 0)), INDEX(Mgt_Unit!$B$5:$B$1018, MATCH(C526, Mgt_Unit!$C$5:$C$1018, 0)), "")</f>
        <v>jennifer.moore</v>
      </c>
      <c r="C526" t="s">
        <v>804</v>
      </c>
      <c r="D526" s="65"/>
      <c r="E526">
        <v>5</v>
      </c>
      <c r="F526" t="s">
        <v>1537</v>
      </c>
      <c r="G526" t="s">
        <v>1535</v>
      </c>
      <c r="H526" t="s">
        <v>441</v>
      </c>
      <c r="I526" t="s">
        <v>29</v>
      </c>
      <c r="J526" s="89">
        <v>42299</v>
      </c>
      <c r="K526" s="89"/>
      <c r="L526" s="89">
        <v>42380</v>
      </c>
      <c r="M526" s="31">
        <v>0</v>
      </c>
      <c r="N526" s="9"/>
      <c r="O526" s="33"/>
      <c r="P526" s="33"/>
      <c r="Q526" s="9"/>
      <c r="R526" s="67"/>
      <c r="S526" s="9"/>
    </row>
    <row r="527" spans="1:19" ht="15" customHeight="1" x14ac:dyDescent="0.25">
      <c r="A527" s="4"/>
      <c r="B527" s="28" t="str">
        <f>IF(ISNUMBER(MATCH(C527, Mgt_Unit!$C$5:$C$1018, 0)), INDEX(Mgt_Unit!$B$5:$B$1018, MATCH(C527, Mgt_Unit!$C$5:$C$1018, 0)), "")</f>
        <v>jennifer.moore</v>
      </c>
      <c r="C527" t="s">
        <v>804</v>
      </c>
      <c r="D527" s="65"/>
      <c r="E527">
        <v>5</v>
      </c>
      <c r="F527" t="s">
        <v>1537</v>
      </c>
      <c r="G527" t="s">
        <v>1535</v>
      </c>
      <c r="H527" t="s">
        <v>48</v>
      </c>
      <c r="I527" t="s">
        <v>154</v>
      </c>
      <c r="J527" s="89">
        <v>42299</v>
      </c>
      <c r="K527" s="89"/>
      <c r="L527" s="89">
        <v>42380</v>
      </c>
      <c r="M527" s="31">
        <v>0</v>
      </c>
      <c r="N527" s="9"/>
      <c r="O527" s="33"/>
      <c r="P527" s="33"/>
      <c r="Q527" s="9"/>
      <c r="R527" s="67"/>
      <c r="S527" s="9"/>
    </row>
    <row r="528" spans="1:19" ht="15" customHeight="1" x14ac:dyDescent="0.25">
      <c r="A528" s="4"/>
      <c r="B528" s="28" t="str">
        <f>IF(ISNUMBER(MATCH(C528, Mgt_Unit!$C$5:$C$1018, 0)), INDEX(Mgt_Unit!$B$5:$B$1018, MATCH(C528, Mgt_Unit!$C$5:$C$1018, 0)), "")</f>
        <v>jennifer.moore</v>
      </c>
      <c r="C528" t="s">
        <v>804</v>
      </c>
      <c r="D528" s="65"/>
      <c r="E528">
        <v>5</v>
      </c>
      <c r="F528" t="s">
        <v>1537</v>
      </c>
      <c r="G528" t="s">
        <v>1535</v>
      </c>
      <c r="H528" t="s">
        <v>442</v>
      </c>
      <c r="I528" t="s">
        <v>148</v>
      </c>
      <c r="J528" s="89">
        <v>42299</v>
      </c>
      <c r="K528" s="89"/>
      <c r="L528" s="89">
        <v>42380</v>
      </c>
      <c r="M528" s="31">
        <v>0</v>
      </c>
      <c r="N528" s="9"/>
      <c r="O528" s="33"/>
      <c r="P528" s="33"/>
      <c r="Q528" s="9"/>
      <c r="R528" s="67"/>
      <c r="S528" s="9"/>
    </row>
    <row r="529" spans="1:19" ht="15" customHeight="1" x14ac:dyDescent="0.25">
      <c r="A529" s="4"/>
      <c r="B529" s="28" t="str">
        <f>IF(ISNUMBER(MATCH(C529, Mgt_Unit!$C$5:$C$1018, 0)), INDEX(Mgt_Unit!$B$5:$B$1018, MATCH(C529, Mgt_Unit!$C$5:$C$1018, 0)), "")</f>
        <v>jennifer.moore</v>
      </c>
      <c r="C529" t="s">
        <v>804</v>
      </c>
      <c r="D529" s="65"/>
      <c r="E529">
        <v>6</v>
      </c>
      <c r="F529" t="s">
        <v>1538</v>
      </c>
      <c r="G529" t="s">
        <v>1544</v>
      </c>
      <c r="H529" t="s">
        <v>442</v>
      </c>
      <c r="I529" t="s">
        <v>1281</v>
      </c>
      <c r="J529" s="89">
        <v>42422</v>
      </c>
      <c r="K529" s="89">
        <v>42564</v>
      </c>
      <c r="L529" s="89"/>
      <c r="M529" s="31">
        <v>0</v>
      </c>
      <c r="N529" s="9"/>
      <c r="O529" s="33"/>
      <c r="P529" s="33"/>
      <c r="Q529" s="9"/>
      <c r="R529" s="67"/>
      <c r="S529" s="9"/>
    </row>
    <row r="530" spans="1:19" ht="15" customHeight="1" x14ac:dyDescent="0.25">
      <c r="A530" s="4"/>
      <c r="B530" s="28" t="str">
        <f>IF(ISNUMBER(MATCH(C530, Mgt_Unit!$C$5:$C$1018, 0)), INDEX(Mgt_Unit!$B$5:$B$1018, MATCH(C530, Mgt_Unit!$C$5:$C$1018, 0)), "")</f>
        <v>jennifer.moore</v>
      </c>
      <c r="C530" t="s">
        <v>804</v>
      </c>
      <c r="D530" s="65"/>
      <c r="E530">
        <v>7</v>
      </c>
      <c r="F530" t="s">
        <v>1537</v>
      </c>
      <c r="G530" t="s">
        <v>1535</v>
      </c>
      <c r="H530" t="s">
        <v>441</v>
      </c>
      <c r="I530" t="s">
        <v>136</v>
      </c>
      <c r="J530" s="89">
        <v>42668</v>
      </c>
      <c r="K530" s="89"/>
      <c r="L530" s="89">
        <v>42835</v>
      </c>
      <c r="M530" s="31">
        <v>0</v>
      </c>
      <c r="N530" s="9"/>
      <c r="O530" s="33"/>
      <c r="P530" s="33"/>
      <c r="Q530" s="9"/>
      <c r="R530" s="67"/>
      <c r="S530" s="9"/>
    </row>
    <row r="531" spans="1:19" ht="15" customHeight="1" x14ac:dyDescent="0.25">
      <c r="A531" s="4"/>
      <c r="B531" s="28" t="str">
        <f>IF(ISNUMBER(MATCH(C531, Mgt_Unit!$C$5:$C$1018, 0)), INDEX(Mgt_Unit!$B$5:$B$1018, MATCH(C531, Mgt_Unit!$C$5:$C$1018, 0)), "")</f>
        <v>jennifer.moore</v>
      </c>
      <c r="C531" t="s">
        <v>804</v>
      </c>
      <c r="D531" s="65"/>
      <c r="E531">
        <v>7</v>
      </c>
      <c r="F531" t="s">
        <v>1537</v>
      </c>
      <c r="G531" t="s">
        <v>1535</v>
      </c>
      <c r="H531" t="s">
        <v>442</v>
      </c>
      <c r="I531" t="s">
        <v>1282</v>
      </c>
      <c r="J531" s="89">
        <v>42668</v>
      </c>
      <c r="K531" s="89"/>
      <c r="L531" s="89">
        <v>42835</v>
      </c>
      <c r="M531" s="31">
        <v>0</v>
      </c>
      <c r="N531" s="9"/>
      <c r="O531" s="33"/>
      <c r="P531" s="33"/>
      <c r="Q531" s="9"/>
      <c r="R531" s="67"/>
      <c r="S531" s="9"/>
    </row>
    <row r="532" spans="1:19" ht="15" customHeight="1" x14ac:dyDescent="0.25">
      <c r="A532" s="4"/>
      <c r="B532" s="28" t="str">
        <f>IF(ISNUMBER(MATCH(C532, Mgt_Unit!$C$5:$C$1018, 0)), INDEX(Mgt_Unit!$B$5:$B$1018, MATCH(C532, Mgt_Unit!$C$5:$C$1018, 0)), "")</f>
        <v>jennifer.moore</v>
      </c>
      <c r="C532" t="s">
        <v>804</v>
      </c>
      <c r="D532" s="65"/>
      <c r="E532">
        <v>7</v>
      </c>
      <c r="F532" t="s">
        <v>1537</v>
      </c>
      <c r="G532" t="s">
        <v>1535</v>
      </c>
      <c r="H532" t="s">
        <v>441</v>
      </c>
      <c r="I532" t="s">
        <v>29</v>
      </c>
      <c r="J532" s="89">
        <v>42668</v>
      </c>
      <c r="K532" s="89"/>
      <c r="L532" s="89">
        <v>42835</v>
      </c>
      <c r="M532" s="31">
        <v>0</v>
      </c>
      <c r="N532" s="9"/>
      <c r="O532" s="33"/>
      <c r="P532" s="33"/>
      <c r="Q532" s="9"/>
      <c r="R532" s="67"/>
      <c r="S532" s="9"/>
    </row>
    <row r="533" spans="1:19" ht="15" customHeight="1" x14ac:dyDescent="0.25">
      <c r="A533" s="4"/>
      <c r="B533" s="28" t="str">
        <f>IF(ISNUMBER(MATCH(C533, Mgt_Unit!$C$5:$C$1018, 0)), INDEX(Mgt_Unit!$B$5:$B$1018, MATCH(C533, Mgt_Unit!$C$5:$C$1018, 0)), "")</f>
        <v>jennifer.moore</v>
      </c>
      <c r="C533" t="s">
        <v>804</v>
      </c>
      <c r="D533" s="65"/>
      <c r="E533">
        <v>7</v>
      </c>
      <c r="F533" t="s">
        <v>1537</v>
      </c>
      <c r="G533" t="s">
        <v>1535</v>
      </c>
      <c r="H533" t="s">
        <v>48</v>
      </c>
      <c r="I533" t="s">
        <v>154</v>
      </c>
      <c r="J533" s="89">
        <v>42668</v>
      </c>
      <c r="K533" s="89"/>
      <c r="L533" s="89">
        <v>42835</v>
      </c>
      <c r="M533" s="31">
        <v>0</v>
      </c>
      <c r="N533" s="9"/>
      <c r="O533" s="33"/>
      <c r="P533" s="33"/>
      <c r="Q533" s="9"/>
      <c r="R533" s="67"/>
      <c r="S533" s="9"/>
    </row>
    <row r="534" spans="1:19" ht="15" customHeight="1" x14ac:dyDescent="0.25">
      <c r="A534" s="4"/>
      <c r="B534" s="28" t="str">
        <f>IF(ISNUMBER(MATCH(C534, Mgt_Unit!$C$5:$C$1018, 0)), INDEX(Mgt_Unit!$B$5:$B$1018, MATCH(C534, Mgt_Unit!$C$5:$C$1018, 0)), "")</f>
        <v>jennifer.moore</v>
      </c>
      <c r="C534" t="s">
        <v>804</v>
      </c>
      <c r="D534" s="65"/>
      <c r="E534">
        <v>7</v>
      </c>
      <c r="F534" t="s">
        <v>1537</v>
      </c>
      <c r="G534" t="s">
        <v>1535</v>
      </c>
      <c r="H534" t="s">
        <v>442</v>
      </c>
      <c r="I534" t="s">
        <v>148</v>
      </c>
      <c r="J534" s="89">
        <v>42668</v>
      </c>
      <c r="K534" s="89"/>
      <c r="L534" s="89">
        <v>42835</v>
      </c>
      <c r="M534" s="31">
        <v>0</v>
      </c>
      <c r="N534" s="9"/>
      <c r="O534" s="33"/>
      <c r="P534" s="33"/>
      <c r="Q534" s="9"/>
      <c r="R534" s="67"/>
      <c r="S534" s="9"/>
    </row>
    <row r="535" spans="1:19" ht="15" customHeight="1" x14ac:dyDescent="0.25">
      <c r="A535" s="4"/>
      <c r="B535" s="28" t="str">
        <f>IF(ISNUMBER(MATCH(C535, Mgt_Unit!$C$5:$C$1018, 0)), INDEX(Mgt_Unit!$B$5:$B$1018, MATCH(C535, Mgt_Unit!$C$5:$C$1018, 0)), "")</f>
        <v>jennifer.moore</v>
      </c>
      <c r="C535" t="s">
        <v>804</v>
      </c>
      <c r="D535" s="65"/>
      <c r="E535">
        <v>8</v>
      </c>
      <c r="F535" t="s">
        <v>1538</v>
      </c>
      <c r="G535" t="s">
        <v>1544</v>
      </c>
      <c r="H535" t="s">
        <v>50</v>
      </c>
      <c r="I535" t="s">
        <v>175</v>
      </c>
      <c r="J535" s="89">
        <v>42877</v>
      </c>
      <c r="K535" s="89">
        <v>43023</v>
      </c>
      <c r="L535" s="89"/>
      <c r="M535" s="31">
        <v>0</v>
      </c>
      <c r="N535" s="9"/>
      <c r="O535" s="33"/>
      <c r="P535" s="33"/>
      <c r="Q535" s="9"/>
      <c r="R535" s="67"/>
      <c r="S535" s="9"/>
    </row>
    <row r="536" spans="1:19" ht="15" customHeight="1" x14ac:dyDescent="0.25">
      <c r="A536" s="4"/>
      <c r="B536" s="28" t="str">
        <f>IF(ISNUMBER(MATCH(C536, Mgt_Unit!$C$5:$C$1018, 0)), INDEX(Mgt_Unit!$B$5:$B$1018, MATCH(C536, Mgt_Unit!$C$5:$C$1018, 0)), "")</f>
        <v>jennifer.moore</v>
      </c>
      <c r="C536" t="s">
        <v>804</v>
      </c>
      <c r="D536" s="65"/>
      <c r="E536">
        <v>9</v>
      </c>
      <c r="F536" t="s">
        <v>1537</v>
      </c>
      <c r="G536" t="s">
        <v>1535</v>
      </c>
      <c r="H536" t="s">
        <v>441</v>
      </c>
      <c r="I536" t="s">
        <v>136</v>
      </c>
      <c r="J536" s="89">
        <v>43029</v>
      </c>
      <c r="K536" s="89"/>
      <c r="L536" s="89">
        <v>43176</v>
      </c>
      <c r="M536" s="31">
        <v>0</v>
      </c>
      <c r="N536" s="9"/>
      <c r="O536" s="33"/>
      <c r="P536" s="33"/>
      <c r="Q536" s="9"/>
      <c r="R536" s="67"/>
      <c r="S536" s="9"/>
    </row>
    <row r="537" spans="1:19" ht="15" customHeight="1" x14ac:dyDescent="0.25">
      <c r="A537" s="4"/>
      <c r="B537" s="28" t="str">
        <f>IF(ISNUMBER(MATCH(C537, Mgt_Unit!$C$5:$C$1018, 0)), INDEX(Mgt_Unit!$B$5:$B$1018, MATCH(C537, Mgt_Unit!$C$5:$C$1018, 0)), "")</f>
        <v>jennifer.moore</v>
      </c>
      <c r="C537" t="s">
        <v>804</v>
      </c>
      <c r="D537" s="65"/>
      <c r="E537">
        <v>9</v>
      </c>
      <c r="F537" t="s">
        <v>1537</v>
      </c>
      <c r="G537" t="s">
        <v>1535</v>
      </c>
      <c r="H537" t="s">
        <v>442</v>
      </c>
      <c r="I537" t="s">
        <v>1282</v>
      </c>
      <c r="J537" s="89">
        <v>43029</v>
      </c>
      <c r="K537" s="89"/>
      <c r="L537" s="89">
        <v>43176</v>
      </c>
      <c r="M537" s="31">
        <v>0</v>
      </c>
      <c r="N537" s="9"/>
      <c r="O537" s="33"/>
      <c r="P537" s="33"/>
      <c r="Q537" s="9"/>
      <c r="R537" s="67"/>
      <c r="S537" s="9"/>
    </row>
    <row r="538" spans="1:19" ht="15" customHeight="1" x14ac:dyDescent="0.25">
      <c r="A538" s="4"/>
      <c r="B538" s="28" t="str">
        <f>IF(ISNUMBER(MATCH(C538, Mgt_Unit!$C$5:$C$1018, 0)), INDEX(Mgt_Unit!$B$5:$B$1018, MATCH(C538, Mgt_Unit!$C$5:$C$1018, 0)), "")</f>
        <v>jennifer.moore</v>
      </c>
      <c r="C538" t="s">
        <v>804</v>
      </c>
      <c r="D538" s="65"/>
      <c r="E538">
        <v>9</v>
      </c>
      <c r="F538" t="s">
        <v>1537</v>
      </c>
      <c r="G538" t="s">
        <v>1535</v>
      </c>
      <c r="H538" t="s">
        <v>441</v>
      </c>
      <c r="I538" t="s">
        <v>29</v>
      </c>
      <c r="J538" s="89">
        <v>43029</v>
      </c>
      <c r="K538" s="89"/>
      <c r="L538" s="89">
        <v>43176</v>
      </c>
      <c r="M538" s="31">
        <v>0</v>
      </c>
      <c r="N538" s="9"/>
      <c r="O538" s="33"/>
      <c r="P538" s="33"/>
      <c r="Q538" s="9"/>
      <c r="R538" s="67"/>
      <c r="S538" s="9"/>
    </row>
    <row r="539" spans="1:19" ht="15" customHeight="1" x14ac:dyDescent="0.25">
      <c r="A539" s="4"/>
      <c r="B539" s="28" t="str">
        <f>IF(ISNUMBER(MATCH(C539, Mgt_Unit!$C$5:$C$1018, 0)), INDEX(Mgt_Unit!$B$5:$B$1018, MATCH(C539, Mgt_Unit!$C$5:$C$1018, 0)), "")</f>
        <v>jennifer.moore</v>
      </c>
      <c r="C539" t="s">
        <v>804</v>
      </c>
      <c r="D539" s="65"/>
      <c r="E539">
        <v>9</v>
      </c>
      <c r="F539" t="s">
        <v>1537</v>
      </c>
      <c r="G539" t="s">
        <v>1535</v>
      </c>
      <c r="H539" t="s">
        <v>48</v>
      </c>
      <c r="I539" t="s">
        <v>154</v>
      </c>
      <c r="J539" s="89">
        <v>43029</v>
      </c>
      <c r="K539" s="89"/>
      <c r="L539" s="89">
        <v>43176</v>
      </c>
      <c r="M539" s="31">
        <v>0</v>
      </c>
      <c r="N539" s="9"/>
      <c r="O539" s="33"/>
      <c r="P539" s="33"/>
      <c r="Q539" s="9"/>
      <c r="R539" s="67"/>
      <c r="S539" s="9"/>
    </row>
    <row r="540" spans="1:19" ht="15" customHeight="1" x14ac:dyDescent="0.25">
      <c r="A540" s="4"/>
      <c r="B540" s="28" t="str">
        <f>IF(ISNUMBER(MATCH(C540, Mgt_Unit!$C$5:$C$1018, 0)), INDEX(Mgt_Unit!$B$5:$B$1018, MATCH(C540, Mgt_Unit!$C$5:$C$1018, 0)), "")</f>
        <v>jennifer.moore</v>
      </c>
      <c r="C540" t="s">
        <v>804</v>
      </c>
      <c r="D540" s="65"/>
      <c r="E540">
        <v>9</v>
      </c>
      <c r="F540" t="s">
        <v>1537</v>
      </c>
      <c r="G540" t="s">
        <v>1535</v>
      </c>
      <c r="H540" t="s">
        <v>442</v>
      </c>
      <c r="I540" t="s">
        <v>148</v>
      </c>
      <c r="J540" s="89">
        <v>43029</v>
      </c>
      <c r="K540" s="89"/>
      <c r="L540" s="89">
        <v>43176</v>
      </c>
      <c r="M540" s="31">
        <v>0</v>
      </c>
      <c r="N540" s="9"/>
      <c r="O540" s="33"/>
      <c r="P540" s="33"/>
      <c r="Q540" s="9"/>
      <c r="R540" s="67"/>
      <c r="S540" s="9"/>
    </row>
    <row r="541" spans="1:19" ht="15" customHeight="1" x14ac:dyDescent="0.25">
      <c r="A541" s="4"/>
      <c r="B541" s="28" t="str">
        <f>IF(ISNUMBER(MATCH(C541, Mgt_Unit!$C$5:$C$1018, 0)), INDEX(Mgt_Unit!$B$5:$B$1018, MATCH(C541, Mgt_Unit!$C$5:$C$1018, 0)), "")</f>
        <v>jennifer.moore</v>
      </c>
      <c r="C541" t="s">
        <v>804</v>
      </c>
      <c r="D541" s="65"/>
      <c r="E541">
        <v>10</v>
      </c>
      <c r="F541" t="s">
        <v>1538</v>
      </c>
      <c r="G541" t="s">
        <v>1544</v>
      </c>
      <c r="H541" t="s">
        <v>442</v>
      </c>
      <c r="I541" t="s">
        <v>1281</v>
      </c>
      <c r="J541" s="89">
        <v>43168</v>
      </c>
      <c r="K541" s="89">
        <v>43294</v>
      </c>
      <c r="L541"/>
      <c r="M541" s="31">
        <v>0</v>
      </c>
      <c r="N541" s="9"/>
      <c r="O541" s="33"/>
      <c r="P541" s="33"/>
      <c r="Q541" s="9"/>
      <c r="R541" s="67"/>
      <c r="S541" s="9"/>
    </row>
    <row r="542" spans="1:19" ht="15" customHeight="1" x14ac:dyDescent="0.25">
      <c r="A542" s="4"/>
      <c r="B542" s="28" t="str">
        <f>IF(ISNUMBER(MATCH(C542, Mgt_Unit!$C$5:$C$1018, 0)), INDEX(Mgt_Unit!$B$5:$B$1018, MATCH(C542, Mgt_Unit!$C$5:$C$1018, 0)), "")</f>
        <v>jennifer.moore</v>
      </c>
      <c r="C542" t="s">
        <v>804</v>
      </c>
      <c r="D542" s="65"/>
      <c r="E542">
        <v>11</v>
      </c>
      <c r="F542" t="s">
        <v>1537</v>
      </c>
      <c r="G542" t="s">
        <v>1535</v>
      </c>
      <c r="H542" t="s">
        <v>441</v>
      </c>
      <c r="I542" t="s">
        <v>136</v>
      </c>
      <c r="J542" s="89">
        <v>43398</v>
      </c>
      <c r="K542" s="89"/>
      <c r="L542" s="89"/>
      <c r="M542" s="31"/>
      <c r="N542" s="9"/>
      <c r="O542" s="33"/>
      <c r="P542" s="33"/>
      <c r="Q542" s="9"/>
      <c r="R542" s="67"/>
      <c r="S542" s="9"/>
    </row>
    <row r="543" spans="1:19" ht="15" customHeight="1" x14ac:dyDescent="0.25">
      <c r="A543" s="4"/>
      <c r="B543" s="28" t="str">
        <f>IF(ISNUMBER(MATCH(C543, Mgt_Unit!$C$5:$C$1018, 0)), INDEX(Mgt_Unit!$B$5:$B$1018, MATCH(C543, Mgt_Unit!$C$5:$C$1018, 0)), "")</f>
        <v>jennifer.moore</v>
      </c>
      <c r="C543" t="s">
        <v>804</v>
      </c>
      <c r="D543" s="65"/>
      <c r="E543">
        <v>11</v>
      </c>
      <c r="F543" t="s">
        <v>1537</v>
      </c>
      <c r="G543" t="s">
        <v>1535</v>
      </c>
      <c r="H543" t="s">
        <v>442</v>
      </c>
      <c r="I543" t="s">
        <v>1282</v>
      </c>
      <c r="J543" s="89">
        <v>43398</v>
      </c>
      <c r="K543" s="89"/>
      <c r="L543" s="89"/>
      <c r="M543" s="31"/>
      <c r="N543" s="9"/>
      <c r="O543" s="33"/>
      <c r="P543" s="33"/>
      <c r="Q543" s="9"/>
      <c r="R543" s="67"/>
      <c r="S543" s="9"/>
    </row>
    <row r="544" spans="1:19" ht="15" customHeight="1" x14ac:dyDescent="0.25">
      <c r="A544" s="4"/>
      <c r="B544" s="28" t="str">
        <f>IF(ISNUMBER(MATCH(C544, Mgt_Unit!$C$5:$C$1018, 0)), INDEX(Mgt_Unit!$B$5:$B$1018, MATCH(C544, Mgt_Unit!$C$5:$C$1018, 0)), "")</f>
        <v>jennifer.moore</v>
      </c>
      <c r="C544" t="s">
        <v>804</v>
      </c>
      <c r="D544" s="65"/>
      <c r="E544">
        <v>11</v>
      </c>
      <c r="F544" t="s">
        <v>1537</v>
      </c>
      <c r="G544" t="s">
        <v>1535</v>
      </c>
      <c r="H544" t="s">
        <v>441</v>
      </c>
      <c r="I544" t="s">
        <v>29</v>
      </c>
      <c r="J544" s="89">
        <v>43398</v>
      </c>
      <c r="K544" s="89"/>
      <c r="L544" s="89"/>
      <c r="M544" s="31"/>
      <c r="N544" s="9"/>
      <c r="O544" s="33"/>
      <c r="P544" s="33"/>
      <c r="Q544" s="9"/>
      <c r="R544" s="67"/>
      <c r="S544" s="9"/>
    </row>
    <row r="545" spans="1:19" ht="15" customHeight="1" x14ac:dyDescent="0.25">
      <c r="A545" s="4"/>
      <c r="B545" s="28" t="str">
        <f>IF(ISNUMBER(MATCH(C545, Mgt_Unit!$C$5:$C$1018, 0)), INDEX(Mgt_Unit!$B$5:$B$1018, MATCH(C545, Mgt_Unit!$C$5:$C$1018, 0)), "")</f>
        <v>jennifer.moore</v>
      </c>
      <c r="C545" t="s">
        <v>804</v>
      </c>
      <c r="D545" s="65"/>
      <c r="E545">
        <v>11</v>
      </c>
      <c r="F545" t="s">
        <v>1537</v>
      </c>
      <c r="G545" t="s">
        <v>1535</v>
      </c>
      <c r="H545" t="s">
        <v>48</v>
      </c>
      <c r="I545" t="s">
        <v>154</v>
      </c>
      <c r="J545" s="89">
        <v>43398</v>
      </c>
      <c r="K545" s="89"/>
      <c r="L545" s="89"/>
      <c r="M545" s="31"/>
      <c r="N545" s="9"/>
      <c r="O545" s="33"/>
      <c r="P545" s="33"/>
      <c r="Q545" s="9"/>
      <c r="R545" s="67"/>
      <c r="S545" s="9"/>
    </row>
    <row r="546" spans="1:19" ht="15" customHeight="1" x14ac:dyDescent="0.25">
      <c r="A546" s="4"/>
      <c r="B546" s="28" t="str">
        <f>IF(ISNUMBER(MATCH(C546, Mgt_Unit!$C$5:$C$1018, 0)), INDEX(Mgt_Unit!$B$5:$B$1018, MATCH(C546, Mgt_Unit!$C$5:$C$1018, 0)), "")</f>
        <v>jennifer.moore</v>
      </c>
      <c r="C546" s="87" t="s">
        <v>804</v>
      </c>
      <c r="D546" s="65"/>
      <c r="E546" s="87">
        <v>11</v>
      </c>
      <c r="F546" s="87" t="s">
        <v>1537</v>
      </c>
      <c r="G546" s="87" t="s">
        <v>1535</v>
      </c>
      <c r="H546" s="87" t="s">
        <v>442</v>
      </c>
      <c r="I546" s="87" t="s">
        <v>148</v>
      </c>
      <c r="J546" s="90">
        <v>43398</v>
      </c>
      <c r="K546" s="90"/>
      <c r="L546" s="90"/>
      <c r="M546" s="93"/>
      <c r="N546" s="9"/>
      <c r="O546" s="33"/>
      <c r="P546" s="33"/>
      <c r="Q546" s="9"/>
      <c r="R546" s="67"/>
      <c r="S546" s="9"/>
    </row>
    <row r="547" spans="1:19" ht="15" customHeight="1" x14ac:dyDescent="0.25">
      <c r="A547" s="4"/>
      <c r="B547" s="28" t="str">
        <f>IF(ISNUMBER(MATCH(C547, Mgt_Unit!$C$5:$C$1018, 0)), INDEX(Mgt_Unit!$B$5:$B$1018, MATCH(C547, Mgt_Unit!$C$5:$C$1018, 0)), "")</f>
        <v>jennifer.moore</v>
      </c>
      <c r="C547" t="s">
        <v>805</v>
      </c>
      <c r="D547" s="65"/>
      <c r="E547">
        <v>1</v>
      </c>
      <c r="F547" t="s">
        <v>1538</v>
      </c>
      <c r="G547" t="s">
        <v>1544</v>
      </c>
      <c r="H547" t="s">
        <v>442</v>
      </c>
      <c r="I547" t="s">
        <v>1281</v>
      </c>
      <c r="J547" s="89">
        <v>41703</v>
      </c>
      <c r="K547" s="89">
        <v>41834</v>
      </c>
      <c r="L547" s="89"/>
      <c r="M547" s="31">
        <v>0</v>
      </c>
      <c r="N547" s="9"/>
      <c r="O547" s="33"/>
      <c r="P547" s="33"/>
      <c r="Q547" s="9"/>
      <c r="R547" s="67"/>
      <c r="S547" s="9"/>
    </row>
    <row r="548" spans="1:19" ht="15" customHeight="1" x14ac:dyDescent="0.25">
      <c r="A548" s="4"/>
      <c r="B548" s="28" t="str">
        <f>IF(ISNUMBER(MATCH(C548, Mgt_Unit!$C$5:$C$1018, 0)), INDEX(Mgt_Unit!$B$5:$B$1018, MATCH(C548, Mgt_Unit!$C$5:$C$1018, 0)), "")</f>
        <v>jennifer.moore</v>
      </c>
      <c r="C548" t="s">
        <v>805</v>
      </c>
      <c r="D548" s="65"/>
      <c r="E548">
        <v>2</v>
      </c>
      <c r="F548" t="s">
        <v>1537</v>
      </c>
      <c r="G548" t="s">
        <v>1535</v>
      </c>
      <c r="H548" t="s">
        <v>441</v>
      </c>
      <c r="I548" t="s">
        <v>136</v>
      </c>
      <c r="J548" s="89">
        <v>41938</v>
      </c>
      <c r="K548" s="89"/>
      <c r="L548" s="89">
        <v>42090</v>
      </c>
      <c r="M548" s="31">
        <v>0</v>
      </c>
      <c r="N548" s="9"/>
      <c r="O548" s="33"/>
      <c r="P548" s="33"/>
      <c r="Q548" s="9"/>
      <c r="R548" s="67"/>
      <c r="S548" s="9"/>
    </row>
    <row r="549" spans="1:19" ht="15" customHeight="1" x14ac:dyDescent="0.25">
      <c r="A549" s="4"/>
      <c r="B549" s="28" t="str">
        <f>IF(ISNUMBER(MATCH(C549, Mgt_Unit!$C$5:$C$1018, 0)), INDEX(Mgt_Unit!$B$5:$B$1018, MATCH(C549, Mgt_Unit!$C$5:$C$1018, 0)), "")</f>
        <v>jennifer.moore</v>
      </c>
      <c r="C549" t="s">
        <v>805</v>
      </c>
      <c r="D549" s="65"/>
      <c r="E549">
        <v>2</v>
      </c>
      <c r="F549" t="s">
        <v>1537</v>
      </c>
      <c r="G549" t="s">
        <v>1535</v>
      </c>
      <c r="H549" t="s">
        <v>442</v>
      </c>
      <c r="I549" t="s">
        <v>1282</v>
      </c>
      <c r="J549" s="89">
        <v>41938</v>
      </c>
      <c r="K549" s="89"/>
      <c r="L549" s="89">
        <v>42090</v>
      </c>
      <c r="M549" s="31">
        <v>0</v>
      </c>
      <c r="N549" s="9"/>
      <c r="O549" s="33"/>
      <c r="P549" s="33"/>
      <c r="Q549" s="9"/>
      <c r="R549" s="67"/>
      <c r="S549" s="9"/>
    </row>
    <row r="550" spans="1:19" ht="15" customHeight="1" x14ac:dyDescent="0.25">
      <c r="A550" s="4"/>
      <c r="B550" s="28" t="str">
        <f>IF(ISNUMBER(MATCH(C550, Mgt_Unit!$C$5:$C$1018, 0)), INDEX(Mgt_Unit!$B$5:$B$1018, MATCH(C550, Mgt_Unit!$C$5:$C$1018, 0)), "")</f>
        <v>jennifer.moore</v>
      </c>
      <c r="C550" t="s">
        <v>805</v>
      </c>
      <c r="D550" s="65"/>
      <c r="E550">
        <v>2</v>
      </c>
      <c r="F550" t="s">
        <v>1537</v>
      </c>
      <c r="G550" t="s">
        <v>1535</v>
      </c>
      <c r="H550" t="s">
        <v>441</v>
      </c>
      <c r="I550" t="s">
        <v>29</v>
      </c>
      <c r="J550" s="89">
        <v>41938</v>
      </c>
      <c r="K550" s="89"/>
      <c r="L550" s="89">
        <v>42090</v>
      </c>
      <c r="M550" s="31">
        <v>0</v>
      </c>
      <c r="N550" s="9"/>
      <c r="O550" s="33"/>
      <c r="P550" s="33"/>
      <c r="Q550" s="9"/>
      <c r="R550" s="67"/>
      <c r="S550" s="9"/>
    </row>
    <row r="551" spans="1:19" ht="15" customHeight="1" x14ac:dyDescent="0.25">
      <c r="A551" s="4"/>
      <c r="B551" s="28" t="str">
        <f>IF(ISNUMBER(MATCH(C551, Mgt_Unit!$C$5:$C$1018, 0)), INDEX(Mgt_Unit!$B$5:$B$1018, MATCH(C551, Mgt_Unit!$C$5:$C$1018, 0)), "")</f>
        <v>jennifer.moore</v>
      </c>
      <c r="C551" t="s">
        <v>805</v>
      </c>
      <c r="D551" s="65"/>
      <c r="E551">
        <v>2</v>
      </c>
      <c r="F551" t="s">
        <v>1537</v>
      </c>
      <c r="G551" t="s">
        <v>1535</v>
      </c>
      <c r="H551" t="s">
        <v>48</v>
      </c>
      <c r="I551" t="s">
        <v>154</v>
      </c>
      <c r="J551" s="89">
        <v>41938</v>
      </c>
      <c r="K551" s="89"/>
      <c r="L551" s="89">
        <v>42090</v>
      </c>
      <c r="M551" s="31">
        <v>0</v>
      </c>
      <c r="N551" s="9"/>
      <c r="O551" s="33"/>
      <c r="P551" s="33"/>
      <c r="Q551" s="9"/>
      <c r="R551" s="67"/>
      <c r="S551" s="9"/>
    </row>
    <row r="552" spans="1:19" ht="15" customHeight="1" x14ac:dyDescent="0.25">
      <c r="A552" s="4"/>
      <c r="B552" s="28" t="str">
        <f>IF(ISNUMBER(MATCH(C552, Mgt_Unit!$C$5:$C$1018, 0)), INDEX(Mgt_Unit!$B$5:$B$1018, MATCH(C552, Mgt_Unit!$C$5:$C$1018, 0)), "")</f>
        <v>jennifer.moore</v>
      </c>
      <c r="C552" t="s">
        <v>805</v>
      </c>
      <c r="D552" s="65"/>
      <c r="E552">
        <v>2</v>
      </c>
      <c r="F552" t="s">
        <v>1537</v>
      </c>
      <c r="G552" t="s">
        <v>1535</v>
      </c>
      <c r="H552" t="s">
        <v>442</v>
      </c>
      <c r="I552" t="s">
        <v>148</v>
      </c>
      <c r="J552" s="89">
        <v>41938</v>
      </c>
      <c r="K552" s="89"/>
      <c r="L552" s="89">
        <v>42090</v>
      </c>
      <c r="M552" s="31">
        <v>0</v>
      </c>
      <c r="N552" s="9"/>
      <c r="O552" s="33"/>
      <c r="P552" s="33"/>
      <c r="Q552" s="9"/>
      <c r="R552" s="67"/>
      <c r="S552" s="9"/>
    </row>
    <row r="553" spans="1:19" ht="15" customHeight="1" x14ac:dyDescent="0.25">
      <c r="A553" s="4"/>
      <c r="B553" s="28" t="str">
        <f>IF(ISNUMBER(MATCH(C553, Mgt_Unit!$C$5:$C$1018, 0)), INDEX(Mgt_Unit!$B$5:$B$1018, MATCH(C553, Mgt_Unit!$C$5:$C$1018, 0)), "")</f>
        <v>jennifer.moore</v>
      </c>
      <c r="C553" t="s">
        <v>805</v>
      </c>
      <c r="D553" s="65"/>
      <c r="E553">
        <v>3</v>
      </c>
      <c r="F553" t="s">
        <v>1538</v>
      </c>
      <c r="G553" t="s">
        <v>1544</v>
      </c>
      <c r="H553" t="s">
        <v>50</v>
      </c>
      <c r="I553" t="s">
        <v>175</v>
      </c>
      <c r="J553" s="89">
        <v>42135</v>
      </c>
      <c r="K553" s="89">
        <v>42293</v>
      </c>
      <c r="L553" s="89"/>
      <c r="M553" s="31">
        <v>0</v>
      </c>
      <c r="N553" s="9"/>
      <c r="O553" s="33"/>
      <c r="P553" s="33"/>
      <c r="Q553" s="9"/>
      <c r="R553" s="67"/>
      <c r="S553" s="9"/>
    </row>
    <row r="554" spans="1:19" ht="15" customHeight="1" x14ac:dyDescent="0.25">
      <c r="A554" s="4"/>
      <c r="B554" s="28" t="str">
        <f>IF(ISNUMBER(MATCH(C554, Mgt_Unit!$C$5:$C$1018, 0)), INDEX(Mgt_Unit!$B$5:$B$1018, MATCH(C554, Mgt_Unit!$C$5:$C$1018, 0)), "")</f>
        <v>jennifer.moore</v>
      </c>
      <c r="C554" t="s">
        <v>805</v>
      </c>
      <c r="D554" s="65"/>
      <c r="E554">
        <v>4</v>
      </c>
      <c r="F554" t="s">
        <v>1537</v>
      </c>
      <c r="G554" t="s">
        <v>1535</v>
      </c>
      <c r="H554" t="s">
        <v>441</v>
      </c>
      <c r="I554" t="s">
        <v>136</v>
      </c>
      <c r="J554" s="89">
        <v>42299</v>
      </c>
      <c r="K554" s="89"/>
      <c r="L554" s="89">
        <v>42406</v>
      </c>
      <c r="M554" s="31">
        <v>0</v>
      </c>
      <c r="N554" s="9"/>
      <c r="O554" s="33"/>
      <c r="P554" s="33"/>
      <c r="Q554" s="9"/>
      <c r="R554" s="67"/>
      <c r="S554" s="9"/>
    </row>
    <row r="555" spans="1:19" ht="15" customHeight="1" x14ac:dyDescent="0.25">
      <c r="A555" s="4"/>
      <c r="B555" s="28" t="str">
        <f>IF(ISNUMBER(MATCH(C555, Mgt_Unit!$C$5:$C$1018, 0)), INDEX(Mgt_Unit!$B$5:$B$1018, MATCH(C555, Mgt_Unit!$C$5:$C$1018, 0)), "")</f>
        <v>jennifer.moore</v>
      </c>
      <c r="C555" t="s">
        <v>805</v>
      </c>
      <c r="D555" s="65"/>
      <c r="E555">
        <v>4</v>
      </c>
      <c r="F555" t="s">
        <v>1537</v>
      </c>
      <c r="G555" t="s">
        <v>1535</v>
      </c>
      <c r="H555" t="s">
        <v>442</v>
      </c>
      <c r="I555" t="s">
        <v>1282</v>
      </c>
      <c r="J555" s="89">
        <v>42299</v>
      </c>
      <c r="K555" s="89"/>
      <c r="L555" s="89">
        <v>42406</v>
      </c>
      <c r="M555" s="31">
        <v>0</v>
      </c>
      <c r="N555" s="9"/>
      <c r="O555" s="33"/>
      <c r="P555" s="33"/>
      <c r="Q555" s="9"/>
      <c r="R555" s="67"/>
      <c r="S555" s="9"/>
    </row>
    <row r="556" spans="1:19" ht="15" customHeight="1" x14ac:dyDescent="0.25">
      <c r="A556" s="4"/>
      <c r="B556" s="28" t="str">
        <f>IF(ISNUMBER(MATCH(C556, Mgt_Unit!$C$5:$C$1018, 0)), INDEX(Mgt_Unit!$B$5:$B$1018, MATCH(C556, Mgt_Unit!$C$5:$C$1018, 0)), "")</f>
        <v>jennifer.moore</v>
      </c>
      <c r="C556" t="s">
        <v>805</v>
      </c>
      <c r="D556" s="65"/>
      <c r="E556">
        <v>4</v>
      </c>
      <c r="F556" t="s">
        <v>1537</v>
      </c>
      <c r="G556" t="s">
        <v>1535</v>
      </c>
      <c r="H556" t="s">
        <v>441</v>
      </c>
      <c r="I556" t="s">
        <v>29</v>
      </c>
      <c r="J556" s="89">
        <v>42299</v>
      </c>
      <c r="K556" s="89"/>
      <c r="L556" s="89">
        <v>42406</v>
      </c>
      <c r="M556" s="31">
        <v>0</v>
      </c>
      <c r="N556" s="9"/>
      <c r="O556" s="33"/>
      <c r="P556" s="33"/>
      <c r="Q556" s="9"/>
      <c r="R556" s="67"/>
      <c r="S556" s="9"/>
    </row>
    <row r="557" spans="1:19" ht="15" customHeight="1" x14ac:dyDescent="0.25">
      <c r="A557" s="4"/>
      <c r="B557" s="28" t="str">
        <f>IF(ISNUMBER(MATCH(C557, Mgt_Unit!$C$5:$C$1018, 0)), INDEX(Mgt_Unit!$B$5:$B$1018, MATCH(C557, Mgt_Unit!$C$5:$C$1018, 0)), "")</f>
        <v>jennifer.moore</v>
      </c>
      <c r="C557" t="s">
        <v>805</v>
      </c>
      <c r="D557" s="65"/>
      <c r="E557">
        <v>4</v>
      </c>
      <c r="F557" t="s">
        <v>1537</v>
      </c>
      <c r="G557" t="s">
        <v>1535</v>
      </c>
      <c r="H557" t="s">
        <v>48</v>
      </c>
      <c r="I557" t="s">
        <v>154</v>
      </c>
      <c r="J557" s="89">
        <v>42299</v>
      </c>
      <c r="K557" s="89"/>
      <c r="L557" s="89">
        <v>42406</v>
      </c>
      <c r="M557" s="31">
        <v>0</v>
      </c>
      <c r="N557" s="9"/>
      <c r="O557" s="33"/>
      <c r="P557" s="33"/>
      <c r="Q557" s="9"/>
      <c r="R557" s="67"/>
      <c r="S557" s="9"/>
    </row>
    <row r="558" spans="1:19" ht="15" customHeight="1" x14ac:dyDescent="0.25">
      <c r="A558" s="4"/>
      <c r="B558" s="28" t="str">
        <f>IF(ISNUMBER(MATCH(C558, Mgt_Unit!$C$5:$C$1018, 0)), INDEX(Mgt_Unit!$B$5:$B$1018, MATCH(C558, Mgt_Unit!$C$5:$C$1018, 0)), "")</f>
        <v>jennifer.moore</v>
      </c>
      <c r="C558" t="s">
        <v>805</v>
      </c>
      <c r="D558" s="65"/>
      <c r="E558">
        <v>4</v>
      </c>
      <c r="F558" t="s">
        <v>1537</v>
      </c>
      <c r="G558" t="s">
        <v>1535</v>
      </c>
      <c r="H558" t="s">
        <v>442</v>
      </c>
      <c r="I558" t="s">
        <v>148</v>
      </c>
      <c r="J558" s="89">
        <v>42299</v>
      </c>
      <c r="K558" s="89"/>
      <c r="L558" s="89">
        <v>42406</v>
      </c>
      <c r="M558" s="31">
        <v>0</v>
      </c>
      <c r="N558" s="9"/>
      <c r="O558" s="33"/>
      <c r="P558" s="33"/>
      <c r="Q558" s="9"/>
      <c r="R558" s="67"/>
      <c r="S558" s="9"/>
    </row>
    <row r="559" spans="1:19" ht="15" customHeight="1" x14ac:dyDescent="0.25">
      <c r="A559" s="4"/>
      <c r="B559" s="28" t="str">
        <f>IF(ISNUMBER(MATCH(C559, Mgt_Unit!$C$5:$C$1018, 0)), INDEX(Mgt_Unit!$B$5:$B$1018, MATCH(C559, Mgt_Unit!$C$5:$C$1018, 0)), "")</f>
        <v>jennifer.moore</v>
      </c>
      <c r="C559" t="s">
        <v>805</v>
      </c>
      <c r="D559" s="65"/>
      <c r="E559">
        <v>5</v>
      </c>
      <c r="F559" t="s">
        <v>1538</v>
      </c>
      <c r="G559" t="s">
        <v>1544</v>
      </c>
      <c r="H559" t="s">
        <v>442</v>
      </c>
      <c r="I559" t="s">
        <v>1281</v>
      </c>
      <c r="J559" s="89">
        <v>42422</v>
      </c>
      <c r="K559" s="89">
        <v>42564</v>
      </c>
      <c r="L559" s="89"/>
      <c r="M559" s="31">
        <v>0</v>
      </c>
      <c r="N559" s="9"/>
      <c r="O559" s="33"/>
      <c r="P559" s="33"/>
      <c r="Q559" s="9"/>
      <c r="R559" s="67"/>
      <c r="S559" s="9"/>
    </row>
    <row r="560" spans="1:19" ht="15" customHeight="1" x14ac:dyDescent="0.25">
      <c r="A560" s="4"/>
      <c r="B560" s="28" t="str">
        <f>IF(ISNUMBER(MATCH(C560, Mgt_Unit!$C$5:$C$1018, 0)), INDEX(Mgt_Unit!$B$5:$B$1018, MATCH(C560, Mgt_Unit!$C$5:$C$1018, 0)), "")</f>
        <v>jennifer.moore</v>
      </c>
      <c r="C560" t="s">
        <v>805</v>
      </c>
      <c r="D560" s="65"/>
      <c r="E560">
        <v>6</v>
      </c>
      <c r="F560" t="s">
        <v>1537</v>
      </c>
      <c r="G560" t="s">
        <v>1535</v>
      </c>
      <c r="H560" t="s">
        <v>441</v>
      </c>
      <c r="I560" t="s">
        <v>136</v>
      </c>
      <c r="J560" s="89">
        <v>42668</v>
      </c>
      <c r="K560" s="89"/>
      <c r="L560" s="89">
        <v>42835</v>
      </c>
      <c r="M560" s="31">
        <v>0</v>
      </c>
      <c r="N560" s="9"/>
      <c r="O560" s="33"/>
      <c r="P560" s="33"/>
      <c r="Q560" s="9"/>
      <c r="R560" s="67"/>
      <c r="S560" s="9"/>
    </row>
    <row r="561" spans="1:19" ht="15" customHeight="1" x14ac:dyDescent="0.25">
      <c r="A561" s="4"/>
      <c r="B561" s="28" t="str">
        <f>IF(ISNUMBER(MATCH(C561, Mgt_Unit!$C$5:$C$1018, 0)), INDEX(Mgt_Unit!$B$5:$B$1018, MATCH(C561, Mgt_Unit!$C$5:$C$1018, 0)), "")</f>
        <v>jennifer.moore</v>
      </c>
      <c r="C561" t="s">
        <v>805</v>
      </c>
      <c r="D561" s="65"/>
      <c r="E561">
        <v>6</v>
      </c>
      <c r="F561" t="s">
        <v>1537</v>
      </c>
      <c r="G561" t="s">
        <v>1535</v>
      </c>
      <c r="H561" t="s">
        <v>442</v>
      </c>
      <c r="I561" t="s">
        <v>1282</v>
      </c>
      <c r="J561" s="89">
        <v>42668</v>
      </c>
      <c r="K561" s="89"/>
      <c r="L561" s="89">
        <v>42835</v>
      </c>
      <c r="M561" s="31">
        <v>0</v>
      </c>
      <c r="N561" s="9"/>
      <c r="O561" s="33"/>
      <c r="P561" s="33"/>
      <c r="Q561" s="9"/>
      <c r="R561" s="67"/>
      <c r="S561" s="9"/>
    </row>
    <row r="562" spans="1:19" ht="15" customHeight="1" x14ac:dyDescent="0.25">
      <c r="A562" s="4"/>
      <c r="B562" s="28" t="str">
        <f>IF(ISNUMBER(MATCH(C562, Mgt_Unit!$C$5:$C$1018, 0)), INDEX(Mgt_Unit!$B$5:$B$1018, MATCH(C562, Mgt_Unit!$C$5:$C$1018, 0)), "")</f>
        <v>jennifer.moore</v>
      </c>
      <c r="C562" t="s">
        <v>805</v>
      </c>
      <c r="D562" s="65"/>
      <c r="E562">
        <v>6</v>
      </c>
      <c r="F562" t="s">
        <v>1537</v>
      </c>
      <c r="G562" t="s">
        <v>1535</v>
      </c>
      <c r="H562" t="s">
        <v>441</v>
      </c>
      <c r="I562" t="s">
        <v>29</v>
      </c>
      <c r="J562" s="89">
        <v>42668</v>
      </c>
      <c r="K562" s="89"/>
      <c r="L562" s="89">
        <v>42835</v>
      </c>
      <c r="M562" s="31">
        <v>0</v>
      </c>
      <c r="N562" s="9"/>
      <c r="O562" s="33"/>
      <c r="P562" s="33"/>
      <c r="Q562" s="9"/>
      <c r="R562" s="67"/>
      <c r="S562" s="9"/>
    </row>
    <row r="563" spans="1:19" ht="15" customHeight="1" x14ac:dyDescent="0.25">
      <c r="A563" s="4"/>
      <c r="B563" s="28" t="str">
        <f>IF(ISNUMBER(MATCH(C563, Mgt_Unit!$C$5:$C$1018, 0)), INDEX(Mgt_Unit!$B$5:$B$1018, MATCH(C563, Mgt_Unit!$C$5:$C$1018, 0)), "")</f>
        <v>jennifer.moore</v>
      </c>
      <c r="C563" t="s">
        <v>805</v>
      </c>
      <c r="D563" s="65"/>
      <c r="E563">
        <v>6</v>
      </c>
      <c r="F563" t="s">
        <v>1537</v>
      </c>
      <c r="G563" t="s">
        <v>1535</v>
      </c>
      <c r="H563" t="s">
        <v>48</v>
      </c>
      <c r="I563" t="s">
        <v>154</v>
      </c>
      <c r="J563" s="89">
        <v>42668</v>
      </c>
      <c r="K563" s="89"/>
      <c r="L563" s="89">
        <v>42835</v>
      </c>
      <c r="M563" s="31">
        <v>0</v>
      </c>
      <c r="N563" s="9"/>
      <c r="O563" s="33"/>
      <c r="P563" s="33"/>
      <c r="Q563" s="9"/>
      <c r="R563" s="67"/>
      <c r="S563" s="9"/>
    </row>
    <row r="564" spans="1:19" ht="15" customHeight="1" x14ac:dyDescent="0.25">
      <c r="A564" s="4"/>
      <c r="B564" s="28" t="str">
        <f>IF(ISNUMBER(MATCH(C564, Mgt_Unit!$C$5:$C$1018, 0)), INDEX(Mgt_Unit!$B$5:$B$1018, MATCH(C564, Mgt_Unit!$C$5:$C$1018, 0)), "")</f>
        <v>jennifer.moore</v>
      </c>
      <c r="C564" t="s">
        <v>805</v>
      </c>
      <c r="D564" s="65"/>
      <c r="E564">
        <v>6</v>
      </c>
      <c r="F564" t="s">
        <v>1537</v>
      </c>
      <c r="G564" t="s">
        <v>1535</v>
      </c>
      <c r="H564" t="s">
        <v>442</v>
      </c>
      <c r="I564" t="s">
        <v>148</v>
      </c>
      <c r="J564" s="89">
        <v>42668</v>
      </c>
      <c r="K564" s="89"/>
      <c r="L564" s="89">
        <v>42835</v>
      </c>
      <c r="M564" s="31">
        <v>0</v>
      </c>
      <c r="N564" s="9"/>
      <c r="O564" s="33"/>
      <c r="P564" s="33"/>
      <c r="Q564" s="9"/>
      <c r="R564" s="67"/>
      <c r="S564" s="9"/>
    </row>
    <row r="565" spans="1:19" ht="15" customHeight="1" x14ac:dyDescent="0.25">
      <c r="A565" s="4"/>
      <c r="B565" s="28" t="str">
        <f>IF(ISNUMBER(MATCH(C565, Mgt_Unit!$C$5:$C$1018, 0)), INDEX(Mgt_Unit!$B$5:$B$1018, MATCH(C565, Mgt_Unit!$C$5:$C$1018, 0)), "")</f>
        <v>jennifer.moore</v>
      </c>
      <c r="C565" t="s">
        <v>805</v>
      </c>
      <c r="D565" s="65"/>
      <c r="E565">
        <v>7</v>
      </c>
      <c r="F565" t="s">
        <v>1538</v>
      </c>
      <c r="G565" t="s">
        <v>1544</v>
      </c>
      <c r="H565" t="s">
        <v>50</v>
      </c>
      <c r="I565" t="s">
        <v>175</v>
      </c>
      <c r="J565" s="89">
        <v>42877</v>
      </c>
      <c r="K565" s="89">
        <v>43023</v>
      </c>
      <c r="L565" s="89"/>
      <c r="M565" s="31">
        <v>0</v>
      </c>
      <c r="N565" s="9"/>
      <c r="O565" s="33"/>
      <c r="P565" s="33"/>
      <c r="Q565" s="9"/>
      <c r="R565" s="67"/>
      <c r="S565" s="9"/>
    </row>
    <row r="566" spans="1:19" ht="15" customHeight="1" x14ac:dyDescent="0.25">
      <c r="A566" s="4"/>
      <c r="B566" s="28" t="str">
        <f>IF(ISNUMBER(MATCH(C566, Mgt_Unit!$C$5:$C$1018, 0)), INDEX(Mgt_Unit!$B$5:$B$1018, MATCH(C566, Mgt_Unit!$C$5:$C$1018, 0)), "")</f>
        <v>jennifer.moore</v>
      </c>
      <c r="C566" t="s">
        <v>805</v>
      </c>
      <c r="D566" s="65"/>
      <c r="E566">
        <v>8</v>
      </c>
      <c r="F566" t="s">
        <v>1537</v>
      </c>
      <c r="G566" t="s">
        <v>1535</v>
      </c>
      <c r="H566" t="s">
        <v>441</v>
      </c>
      <c r="I566" t="s">
        <v>136</v>
      </c>
      <c r="J566" s="89">
        <v>43029</v>
      </c>
      <c r="K566" s="89"/>
      <c r="L566" s="89">
        <v>43154</v>
      </c>
      <c r="M566" s="31">
        <v>0</v>
      </c>
      <c r="N566" s="9"/>
      <c r="O566" s="33"/>
      <c r="P566" s="33"/>
      <c r="Q566" s="9"/>
      <c r="R566" s="67"/>
      <c r="S566" s="9"/>
    </row>
    <row r="567" spans="1:19" ht="15" customHeight="1" x14ac:dyDescent="0.25">
      <c r="A567" s="4"/>
      <c r="B567" s="28" t="str">
        <f>IF(ISNUMBER(MATCH(C567, Mgt_Unit!$C$5:$C$1018, 0)), INDEX(Mgt_Unit!$B$5:$B$1018, MATCH(C567, Mgt_Unit!$C$5:$C$1018, 0)), "")</f>
        <v>jennifer.moore</v>
      </c>
      <c r="C567" t="s">
        <v>805</v>
      </c>
      <c r="D567" s="65"/>
      <c r="E567">
        <v>8</v>
      </c>
      <c r="F567" t="s">
        <v>1537</v>
      </c>
      <c r="G567" t="s">
        <v>1535</v>
      </c>
      <c r="H567" t="s">
        <v>442</v>
      </c>
      <c r="I567" t="s">
        <v>1282</v>
      </c>
      <c r="J567" s="89">
        <v>43029</v>
      </c>
      <c r="K567" s="89"/>
      <c r="L567" s="89">
        <v>43154</v>
      </c>
      <c r="M567" s="31">
        <v>0</v>
      </c>
      <c r="N567" s="9"/>
      <c r="O567" s="33"/>
      <c r="P567" s="33"/>
      <c r="Q567" s="9"/>
      <c r="R567" s="67"/>
      <c r="S567" s="9"/>
    </row>
    <row r="568" spans="1:19" ht="15" customHeight="1" x14ac:dyDescent="0.25">
      <c r="A568" s="4"/>
      <c r="B568" s="28" t="str">
        <f>IF(ISNUMBER(MATCH(C568, Mgt_Unit!$C$5:$C$1018, 0)), INDEX(Mgt_Unit!$B$5:$B$1018, MATCH(C568, Mgt_Unit!$C$5:$C$1018, 0)), "")</f>
        <v>jennifer.moore</v>
      </c>
      <c r="C568" t="s">
        <v>805</v>
      </c>
      <c r="D568" s="65"/>
      <c r="E568">
        <v>8</v>
      </c>
      <c r="F568" t="s">
        <v>1537</v>
      </c>
      <c r="G568" t="s">
        <v>1535</v>
      </c>
      <c r="H568" t="s">
        <v>441</v>
      </c>
      <c r="I568" t="s">
        <v>29</v>
      </c>
      <c r="J568" s="89">
        <v>43029</v>
      </c>
      <c r="K568" s="89"/>
      <c r="L568" s="89">
        <v>43154</v>
      </c>
      <c r="M568" s="31">
        <v>0</v>
      </c>
      <c r="N568" s="9"/>
      <c r="O568" s="33"/>
      <c r="P568" s="33"/>
      <c r="Q568" s="9"/>
      <c r="R568" s="67"/>
      <c r="S568" s="9"/>
    </row>
    <row r="569" spans="1:19" ht="15" customHeight="1" x14ac:dyDescent="0.25">
      <c r="A569" s="4"/>
      <c r="B569" s="28" t="str">
        <f>IF(ISNUMBER(MATCH(C569, Mgt_Unit!$C$5:$C$1018, 0)), INDEX(Mgt_Unit!$B$5:$B$1018, MATCH(C569, Mgt_Unit!$C$5:$C$1018, 0)), "")</f>
        <v>jennifer.moore</v>
      </c>
      <c r="C569" t="s">
        <v>805</v>
      </c>
      <c r="D569" s="65"/>
      <c r="E569">
        <v>8</v>
      </c>
      <c r="F569" t="s">
        <v>1537</v>
      </c>
      <c r="G569" t="s">
        <v>1535</v>
      </c>
      <c r="H569" t="s">
        <v>48</v>
      </c>
      <c r="I569" t="s">
        <v>154</v>
      </c>
      <c r="J569" s="89">
        <v>43029</v>
      </c>
      <c r="K569" s="89"/>
      <c r="L569" s="89">
        <v>43154</v>
      </c>
      <c r="M569" s="31">
        <v>0</v>
      </c>
      <c r="N569" s="9"/>
      <c r="O569" s="33"/>
      <c r="P569" s="33"/>
      <c r="Q569" s="9"/>
      <c r="R569" s="67"/>
      <c r="S569" s="9"/>
    </row>
    <row r="570" spans="1:19" ht="15" customHeight="1" x14ac:dyDescent="0.25">
      <c r="A570" s="4"/>
      <c r="B570" s="28" t="str">
        <f>IF(ISNUMBER(MATCH(C570, Mgt_Unit!$C$5:$C$1018, 0)), INDEX(Mgt_Unit!$B$5:$B$1018, MATCH(C570, Mgt_Unit!$C$5:$C$1018, 0)), "")</f>
        <v>jennifer.moore</v>
      </c>
      <c r="C570" t="s">
        <v>805</v>
      </c>
      <c r="D570" s="65"/>
      <c r="E570">
        <v>8</v>
      </c>
      <c r="F570" t="s">
        <v>1537</v>
      </c>
      <c r="G570" t="s">
        <v>1535</v>
      </c>
      <c r="H570" t="s">
        <v>442</v>
      </c>
      <c r="I570" t="s">
        <v>148</v>
      </c>
      <c r="J570" s="89">
        <v>43029</v>
      </c>
      <c r="K570" s="89"/>
      <c r="L570" s="89">
        <v>43154</v>
      </c>
      <c r="M570" s="31">
        <v>0</v>
      </c>
      <c r="N570" s="9"/>
      <c r="O570" s="33"/>
      <c r="P570" s="33"/>
      <c r="Q570" s="9"/>
      <c r="R570" s="67"/>
      <c r="S570" s="9"/>
    </row>
    <row r="571" spans="1:19" ht="15" customHeight="1" x14ac:dyDescent="0.25">
      <c r="A571" s="4"/>
      <c r="B571" s="28" t="str">
        <f>IF(ISNUMBER(MATCH(C571, Mgt_Unit!$C$5:$C$1018, 0)), INDEX(Mgt_Unit!$B$5:$B$1018, MATCH(C571, Mgt_Unit!$C$5:$C$1018, 0)), "")</f>
        <v>jennifer.moore</v>
      </c>
      <c r="C571" t="s">
        <v>805</v>
      </c>
      <c r="D571" s="65"/>
      <c r="E571">
        <v>9</v>
      </c>
      <c r="F571" t="s">
        <v>1538</v>
      </c>
      <c r="G571" t="s">
        <v>1544</v>
      </c>
      <c r="H571" t="s">
        <v>442</v>
      </c>
      <c r="I571" t="s">
        <v>1281</v>
      </c>
      <c r="J571" s="89">
        <v>43168</v>
      </c>
      <c r="K571" s="89">
        <v>43294</v>
      </c>
      <c r="L571" s="89"/>
      <c r="M571" s="31">
        <v>0</v>
      </c>
      <c r="N571" s="9"/>
      <c r="O571" s="33"/>
      <c r="P571" s="33"/>
      <c r="Q571" s="9"/>
      <c r="R571" s="67"/>
      <c r="S571" s="9"/>
    </row>
    <row r="572" spans="1:19" ht="15" customHeight="1" x14ac:dyDescent="0.25">
      <c r="A572" s="4"/>
      <c r="B572" s="28" t="str">
        <f>IF(ISNUMBER(MATCH(C572, Mgt_Unit!$C$5:$C$1018, 0)), INDEX(Mgt_Unit!$B$5:$B$1018, MATCH(C572, Mgt_Unit!$C$5:$C$1018, 0)), "")</f>
        <v>jennifer.moore</v>
      </c>
      <c r="C572" t="s">
        <v>805</v>
      </c>
      <c r="D572" s="65"/>
      <c r="E572">
        <v>10</v>
      </c>
      <c r="F572" t="s">
        <v>1537</v>
      </c>
      <c r="G572" t="s">
        <v>1535</v>
      </c>
      <c r="H572" t="s">
        <v>441</v>
      </c>
      <c r="I572" t="s">
        <v>136</v>
      </c>
      <c r="J572" s="89">
        <v>43398</v>
      </c>
      <c r="K572" s="89"/>
      <c r="L572" s="89"/>
      <c r="M572" s="31"/>
      <c r="N572" s="9"/>
      <c r="O572" s="33"/>
      <c r="P572" s="33"/>
      <c r="Q572" s="9"/>
      <c r="R572" s="67"/>
      <c r="S572" s="9"/>
    </row>
    <row r="573" spans="1:19" ht="15" customHeight="1" x14ac:dyDescent="0.25">
      <c r="A573" s="4"/>
      <c r="B573" s="28" t="str">
        <f>IF(ISNUMBER(MATCH(C573, Mgt_Unit!$C$5:$C$1018, 0)), INDEX(Mgt_Unit!$B$5:$B$1018, MATCH(C573, Mgt_Unit!$C$5:$C$1018, 0)), "")</f>
        <v>jennifer.moore</v>
      </c>
      <c r="C573" t="s">
        <v>805</v>
      </c>
      <c r="D573" s="65"/>
      <c r="E573">
        <v>10</v>
      </c>
      <c r="F573" t="s">
        <v>1537</v>
      </c>
      <c r="G573" t="s">
        <v>1535</v>
      </c>
      <c r="H573" t="s">
        <v>442</v>
      </c>
      <c r="I573" t="s">
        <v>1282</v>
      </c>
      <c r="J573" s="89">
        <v>43398</v>
      </c>
      <c r="K573" s="89"/>
      <c r="L573" s="89"/>
      <c r="M573" s="31"/>
      <c r="N573" s="9"/>
      <c r="O573" s="33"/>
      <c r="P573" s="33"/>
      <c r="Q573" s="9"/>
      <c r="R573" s="67"/>
      <c r="S573" s="9"/>
    </row>
    <row r="574" spans="1:19" ht="15" customHeight="1" x14ac:dyDescent="0.25">
      <c r="A574" s="4"/>
      <c r="B574" s="28" t="str">
        <f>IF(ISNUMBER(MATCH(C574, Mgt_Unit!$C$5:$C$1018, 0)), INDEX(Mgt_Unit!$B$5:$B$1018, MATCH(C574, Mgt_Unit!$C$5:$C$1018, 0)), "")</f>
        <v>jennifer.moore</v>
      </c>
      <c r="C574" t="s">
        <v>805</v>
      </c>
      <c r="D574" s="65"/>
      <c r="E574">
        <v>10</v>
      </c>
      <c r="F574" t="s">
        <v>1537</v>
      </c>
      <c r="G574" t="s">
        <v>1535</v>
      </c>
      <c r="H574" t="s">
        <v>441</v>
      </c>
      <c r="I574" t="s">
        <v>29</v>
      </c>
      <c r="J574" s="89">
        <v>43398</v>
      </c>
      <c r="K574" s="89"/>
      <c r="L574" s="89"/>
      <c r="M574" s="31"/>
      <c r="N574" s="9"/>
      <c r="O574" s="33"/>
      <c r="P574" s="33"/>
      <c r="Q574" s="9"/>
      <c r="R574" s="67"/>
      <c r="S574" s="9"/>
    </row>
    <row r="575" spans="1:19" ht="15" customHeight="1" x14ac:dyDescent="0.25">
      <c r="A575" s="4"/>
      <c r="B575" s="28" t="str">
        <f>IF(ISNUMBER(MATCH(C575, Mgt_Unit!$C$5:$C$1018, 0)), INDEX(Mgt_Unit!$B$5:$B$1018, MATCH(C575, Mgt_Unit!$C$5:$C$1018, 0)), "")</f>
        <v>jennifer.moore</v>
      </c>
      <c r="C575" t="s">
        <v>805</v>
      </c>
      <c r="D575" s="65"/>
      <c r="E575">
        <v>10</v>
      </c>
      <c r="F575" t="s">
        <v>1537</v>
      </c>
      <c r="G575" t="s">
        <v>1535</v>
      </c>
      <c r="H575" t="s">
        <v>48</v>
      </c>
      <c r="I575" t="s">
        <v>154</v>
      </c>
      <c r="J575" s="89">
        <v>43398</v>
      </c>
      <c r="K575" s="89"/>
      <c r="L575" s="89"/>
      <c r="M575" s="31"/>
      <c r="N575" s="9"/>
      <c r="O575" s="33"/>
      <c r="P575" s="33"/>
      <c r="Q575" s="9"/>
      <c r="R575" s="67"/>
      <c r="S575" s="9"/>
    </row>
    <row r="576" spans="1:19" ht="15" customHeight="1" x14ac:dyDescent="0.25">
      <c r="A576" s="4"/>
      <c r="B576" s="28" t="str">
        <f>IF(ISNUMBER(MATCH(C576, Mgt_Unit!$C$5:$C$1018, 0)), INDEX(Mgt_Unit!$B$5:$B$1018, MATCH(C576, Mgt_Unit!$C$5:$C$1018, 0)), "")</f>
        <v>jennifer.moore</v>
      </c>
      <c r="C576" s="87" t="s">
        <v>805</v>
      </c>
      <c r="D576" s="65"/>
      <c r="E576" s="87">
        <v>10</v>
      </c>
      <c r="F576" s="87" t="s">
        <v>1537</v>
      </c>
      <c r="G576" s="87" t="s">
        <v>1535</v>
      </c>
      <c r="H576" s="87" t="s">
        <v>442</v>
      </c>
      <c r="I576" s="87" t="s">
        <v>148</v>
      </c>
      <c r="J576" s="90">
        <v>43398</v>
      </c>
      <c r="K576" s="90"/>
      <c r="L576" s="90"/>
      <c r="M576" s="93"/>
      <c r="N576" s="9"/>
      <c r="O576" s="33"/>
      <c r="P576" s="33"/>
      <c r="Q576" s="9"/>
      <c r="R576" s="67"/>
      <c r="S576" s="9"/>
    </row>
    <row r="577" spans="1:19" ht="15" customHeight="1" x14ac:dyDescent="0.25">
      <c r="A577" s="4"/>
      <c r="B577" s="28" t="str">
        <f>IF(ISNUMBER(MATCH(C577, Mgt_Unit!$C$5:$C$1018, 0)), INDEX(Mgt_Unit!$B$5:$B$1018, MATCH(C577, Mgt_Unit!$C$5:$C$1018, 0)), "")</f>
        <v>jennifer.moore</v>
      </c>
      <c r="C577" t="s">
        <v>806</v>
      </c>
      <c r="D577" s="65"/>
      <c r="E577">
        <v>1</v>
      </c>
      <c r="F577" t="s">
        <v>1538</v>
      </c>
      <c r="G577" t="s">
        <v>1544</v>
      </c>
      <c r="H577" t="s">
        <v>442</v>
      </c>
      <c r="I577" t="s">
        <v>1281</v>
      </c>
      <c r="J577" s="89">
        <v>41717</v>
      </c>
      <c r="K577" s="89">
        <v>41834</v>
      </c>
      <c r="L577" s="89"/>
      <c r="M577" s="31">
        <v>0</v>
      </c>
      <c r="N577" s="9"/>
      <c r="O577" s="33"/>
      <c r="P577" s="33"/>
      <c r="Q577" s="9"/>
      <c r="R577" s="67"/>
      <c r="S577" s="9"/>
    </row>
    <row r="578" spans="1:19" ht="15" customHeight="1" x14ac:dyDescent="0.25">
      <c r="A578" s="4"/>
      <c r="B578" s="28" t="str">
        <f>IF(ISNUMBER(MATCH(C578, Mgt_Unit!$C$5:$C$1018, 0)), INDEX(Mgt_Unit!$B$5:$B$1018, MATCH(C578, Mgt_Unit!$C$5:$C$1018, 0)), "")</f>
        <v>jennifer.moore</v>
      </c>
      <c r="C578" t="s">
        <v>806</v>
      </c>
      <c r="D578" s="65"/>
      <c r="E578">
        <v>2</v>
      </c>
      <c r="F578" t="s">
        <v>1538</v>
      </c>
      <c r="G578" t="s">
        <v>1544</v>
      </c>
      <c r="H578" t="s">
        <v>50</v>
      </c>
      <c r="I578" t="s">
        <v>175</v>
      </c>
      <c r="J578" s="89">
        <v>42135</v>
      </c>
      <c r="K578" s="89">
        <v>42293</v>
      </c>
      <c r="L578" s="89"/>
      <c r="M578" s="31">
        <v>0</v>
      </c>
      <c r="N578" s="9"/>
      <c r="O578" s="33"/>
      <c r="P578" s="33"/>
      <c r="Q578" s="9"/>
      <c r="R578" s="67"/>
      <c r="S578" s="9"/>
    </row>
    <row r="579" spans="1:19" ht="15" customHeight="1" x14ac:dyDescent="0.25">
      <c r="A579" s="4"/>
      <c r="B579" s="28" t="str">
        <f>IF(ISNUMBER(MATCH(C579, Mgt_Unit!$C$5:$C$1018, 0)), INDEX(Mgt_Unit!$B$5:$B$1018, MATCH(C579, Mgt_Unit!$C$5:$C$1018, 0)), "")</f>
        <v>jennifer.moore</v>
      </c>
      <c r="C579" t="s">
        <v>806</v>
      </c>
      <c r="D579" s="65"/>
      <c r="E579">
        <v>3</v>
      </c>
      <c r="F579" t="s">
        <v>1538</v>
      </c>
      <c r="G579" t="s">
        <v>1544</v>
      </c>
      <c r="H579" t="s">
        <v>442</v>
      </c>
      <c r="I579" t="s">
        <v>1281</v>
      </c>
      <c r="J579" s="89">
        <v>42422</v>
      </c>
      <c r="K579" s="89">
        <v>42564</v>
      </c>
      <c r="L579" s="89"/>
      <c r="M579" s="31">
        <v>0</v>
      </c>
      <c r="N579" s="9"/>
      <c r="O579" s="33"/>
      <c r="P579" s="33"/>
      <c r="Q579" s="9"/>
      <c r="R579" s="67"/>
      <c r="S579" s="9"/>
    </row>
    <row r="580" spans="1:19" ht="15" customHeight="1" x14ac:dyDescent="0.25">
      <c r="A580" s="4"/>
      <c r="B580" s="28" t="str">
        <f>IF(ISNUMBER(MATCH(C580, Mgt_Unit!$C$5:$C$1018, 0)), INDEX(Mgt_Unit!$B$5:$B$1018, MATCH(C580, Mgt_Unit!$C$5:$C$1018, 0)), "")</f>
        <v>jennifer.moore</v>
      </c>
      <c r="C580" t="s">
        <v>806</v>
      </c>
      <c r="D580" s="65"/>
      <c r="E580">
        <v>4</v>
      </c>
      <c r="F580" t="s">
        <v>1538</v>
      </c>
      <c r="G580" t="s">
        <v>1544</v>
      </c>
      <c r="H580" t="s">
        <v>50</v>
      </c>
      <c r="I580" t="s">
        <v>175</v>
      </c>
      <c r="J580" s="89">
        <v>42877</v>
      </c>
      <c r="K580" s="89">
        <v>43023</v>
      </c>
      <c r="L580" s="89"/>
      <c r="M580" s="31">
        <v>0</v>
      </c>
      <c r="N580" s="9"/>
      <c r="O580" s="33"/>
      <c r="P580" s="33"/>
      <c r="Q580" s="9"/>
      <c r="R580" s="67"/>
      <c r="S580" s="9"/>
    </row>
    <row r="581" spans="1:19" ht="15" customHeight="1" x14ac:dyDescent="0.25">
      <c r="A581" s="4"/>
      <c r="B581" s="28" t="str">
        <f>IF(ISNUMBER(MATCH(C581, Mgt_Unit!$C$5:$C$1018, 0)), INDEX(Mgt_Unit!$B$5:$B$1018, MATCH(C581, Mgt_Unit!$C$5:$C$1018, 0)), "")</f>
        <v>jennifer.moore</v>
      </c>
      <c r="C581" s="87" t="s">
        <v>806</v>
      </c>
      <c r="D581" s="65"/>
      <c r="E581" s="87">
        <v>5</v>
      </c>
      <c r="F581" s="87" t="s">
        <v>1538</v>
      </c>
      <c r="G581" s="87" t="s">
        <v>1544</v>
      </c>
      <c r="H581" s="87" t="s">
        <v>442</v>
      </c>
      <c r="I581" s="87" t="s">
        <v>1281</v>
      </c>
      <c r="J581" s="90">
        <v>43168</v>
      </c>
      <c r="K581" s="90">
        <v>43294</v>
      </c>
      <c r="L581" s="90"/>
      <c r="M581" s="93">
        <v>0</v>
      </c>
      <c r="N581" s="9"/>
      <c r="O581" s="33"/>
      <c r="P581" s="33"/>
      <c r="Q581" s="9"/>
      <c r="R581" s="67"/>
      <c r="S581" s="9"/>
    </row>
    <row r="582" spans="1:19" ht="15" customHeight="1" x14ac:dyDescent="0.25">
      <c r="A582" s="4"/>
      <c r="B582" s="28" t="str">
        <f>IF(ISNUMBER(MATCH(C582, Mgt_Unit!$C$5:$C$1018, 0)), INDEX(Mgt_Unit!$B$5:$B$1018, MATCH(C582, Mgt_Unit!$C$5:$C$1018, 0)), "")</f>
        <v>jennifer.moore</v>
      </c>
      <c r="C582" t="s">
        <v>807</v>
      </c>
      <c r="D582" s="65"/>
      <c r="E582">
        <v>1</v>
      </c>
      <c r="F582" t="s">
        <v>1538</v>
      </c>
      <c r="G582" t="s">
        <v>1544</v>
      </c>
      <c r="H582" t="s">
        <v>442</v>
      </c>
      <c r="I582" t="s">
        <v>1281</v>
      </c>
      <c r="J582" s="89">
        <v>41717</v>
      </c>
      <c r="K582" s="89">
        <v>41834</v>
      </c>
      <c r="L582" s="89"/>
      <c r="M582" s="31">
        <v>0</v>
      </c>
      <c r="N582" s="9"/>
      <c r="O582" s="33"/>
      <c r="P582" s="33"/>
      <c r="Q582" s="9"/>
      <c r="R582" s="67"/>
      <c r="S582" s="9"/>
    </row>
    <row r="583" spans="1:19" ht="15" customHeight="1" x14ac:dyDescent="0.25">
      <c r="A583" s="4"/>
      <c r="B583" s="28" t="str">
        <f>IF(ISNUMBER(MATCH(C583, Mgt_Unit!$C$5:$C$1018, 0)), INDEX(Mgt_Unit!$B$5:$B$1018, MATCH(C583, Mgt_Unit!$C$5:$C$1018, 0)), "")</f>
        <v>jennifer.moore</v>
      </c>
      <c r="C583" t="s">
        <v>807</v>
      </c>
      <c r="D583" s="65"/>
      <c r="E583">
        <v>2</v>
      </c>
      <c r="F583" t="s">
        <v>1538</v>
      </c>
      <c r="G583" t="s">
        <v>1544</v>
      </c>
      <c r="H583" t="s">
        <v>50</v>
      </c>
      <c r="I583" t="s">
        <v>175</v>
      </c>
      <c r="J583" s="89">
        <v>42135</v>
      </c>
      <c r="K583" s="89">
        <v>42293</v>
      </c>
      <c r="L583" s="89"/>
      <c r="M583" s="31">
        <v>0</v>
      </c>
      <c r="N583" s="9"/>
      <c r="O583" s="33"/>
      <c r="P583" s="33"/>
      <c r="Q583" s="9"/>
      <c r="R583" s="67"/>
      <c r="S583" s="9"/>
    </row>
    <row r="584" spans="1:19" ht="15" customHeight="1" x14ac:dyDescent="0.25">
      <c r="A584" s="4"/>
      <c r="B584" s="28" t="str">
        <f>IF(ISNUMBER(MATCH(C584, Mgt_Unit!$C$5:$C$1018, 0)), INDEX(Mgt_Unit!$B$5:$B$1018, MATCH(C584, Mgt_Unit!$C$5:$C$1018, 0)), "")</f>
        <v>jennifer.moore</v>
      </c>
      <c r="C584" t="s">
        <v>807</v>
      </c>
      <c r="D584" s="65"/>
      <c r="E584">
        <v>3</v>
      </c>
      <c r="F584" t="s">
        <v>1538</v>
      </c>
      <c r="G584" t="s">
        <v>1544</v>
      </c>
      <c r="H584" t="s">
        <v>442</v>
      </c>
      <c r="I584" t="s">
        <v>1281</v>
      </c>
      <c r="J584" s="89">
        <v>42422</v>
      </c>
      <c r="K584" s="89">
        <v>42564</v>
      </c>
      <c r="L584" s="89"/>
      <c r="M584" s="31">
        <v>0</v>
      </c>
      <c r="N584" s="9"/>
      <c r="O584" s="33"/>
      <c r="P584" s="33"/>
      <c r="Q584" s="9"/>
      <c r="R584" s="67"/>
      <c r="S584" s="9"/>
    </row>
    <row r="585" spans="1:19" ht="15" customHeight="1" x14ac:dyDescent="0.25">
      <c r="A585" s="4"/>
      <c r="B585" s="28" t="str">
        <f>IF(ISNUMBER(MATCH(C585, Mgt_Unit!$C$5:$C$1018, 0)), INDEX(Mgt_Unit!$B$5:$B$1018, MATCH(C585, Mgt_Unit!$C$5:$C$1018, 0)), "")</f>
        <v>jennifer.moore</v>
      </c>
      <c r="C585" t="s">
        <v>807</v>
      </c>
      <c r="D585" s="65"/>
      <c r="E585">
        <v>4</v>
      </c>
      <c r="F585" t="s">
        <v>1538</v>
      </c>
      <c r="G585" t="s">
        <v>1544</v>
      </c>
      <c r="H585" t="s">
        <v>50</v>
      </c>
      <c r="I585" t="s">
        <v>175</v>
      </c>
      <c r="J585" s="89">
        <v>42877</v>
      </c>
      <c r="K585" s="89">
        <v>43023</v>
      </c>
      <c r="L585" s="89"/>
      <c r="M585" s="31">
        <v>0</v>
      </c>
      <c r="N585" s="9"/>
      <c r="O585" s="33"/>
      <c r="P585" s="33"/>
      <c r="Q585" s="9"/>
      <c r="R585" s="67"/>
      <c r="S585" s="9"/>
    </row>
    <row r="586" spans="1:19" ht="15" customHeight="1" x14ac:dyDescent="0.25">
      <c r="A586" s="4"/>
      <c r="B586" s="28" t="str">
        <f>IF(ISNUMBER(MATCH(C586, Mgt_Unit!$C$5:$C$1018, 0)), INDEX(Mgt_Unit!$B$5:$B$1018, MATCH(C586, Mgt_Unit!$C$5:$C$1018, 0)), "")</f>
        <v>jennifer.moore</v>
      </c>
      <c r="C586" s="87" t="s">
        <v>807</v>
      </c>
      <c r="D586" s="65"/>
      <c r="E586" s="87">
        <v>5</v>
      </c>
      <c r="F586" s="87" t="s">
        <v>1538</v>
      </c>
      <c r="G586" s="87" t="s">
        <v>1544</v>
      </c>
      <c r="H586" s="87" t="s">
        <v>442</v>
      </c>
      <c r="I586" s="87" t="s">
        <v>1281</v>
      </c>
      <c r="J586" s="90">
        <v>43168</v>
      </c>
      <c r="K586" s="90">
        <v>43294</v>
      </c>
      <c r="L586" s="90"/>
      <c r="M586" s="93">
        <v>0</v>
      </c>
      <c r="N586" s="9"/>
      <c r="O586" s="33"/>
      <c r="P586" s="33"/>
      <c r="Q586" s="9"/>
      <c r="R586" s="67"/>
      <c r="S586" s="9"/>
    </row>
    <row r="587" spans="1:19" ht="15" customHeight="1" x14ac:dyDescent="0.25">
      <c r="A587" s="4"/>
      <c r="B587" s="28" t="str">
        <f>IF(ISNUMBER(MATCH(C587, Mgt_Unit!$C$5:$C$1018, 0)), INDEX(Mgt_Unit!$B$5:$B$1018, MATCH(C587, Mgt_Unit!$C$5:$C$1018, 0)), "")</f>
        <v>jennifer.moore</v>
      </c>
      <c r="C587" t="s">
        <v>808</v>
      </c>
      <c r="D587" s="65"/>
      <c r="E587">
        <v>1</v>
      </c>
      <c r="F587" t="s">
        <v>1538</v>
      </c>
      <c r="G587" t="s">
        <v>1544</v>
      </c>
      <c r="H587" t="s">
        <v>50</v>
      </c>
      <c r="I587" t="s">
        <v>175</v>
      </c>
      <c r="J587" s="89">
        <v>42170</v>
      </c>
      <c r="K587" s="89">
        <v>42323</v>
      </c>
      <c r="L587" s="89"/>
      <c r="M587" s="31">
        <v>90</v>
      </c>
      <c r="N587" s="9"/>
      <c r="O587" s="33"/>
      <c r="P587" s="33"/>
      <c r="Q587" s="9"/>
      <c r="R587" s="67"/>
      <c r="S587" s="9"/>
    </row>
    <row r="588" spans="1:19" ht="15" customHeight="1" x14ac:dyDescent="0.25">
      <c r="A588" s="4"/>
      <c r="B588" s="28" t="str">
        <f>IF(ISNUMBER(MATCH(C588, Mgt_Unit!$C$5:$C$1018, 0)), INDEX(Mgt_Unit!$B$5:$B$1018, MATCH(C588, Mgt_Unit!$C$5:$C$1018, 0)), "")</f>
        <v>jennifer.moore</v>
      </c>
      <c r="C588" t="s">
        <v>808</v>
      </c>
      <c r="D588" s="65"/>
      <c r="E588">
        <v>2</v>
      </c>
      <c r="F588" t="s">
        <v>1538</v>
      </c>
      <c r="G588" t="s">
        <v>1544</v>
      </c>
      <c r="H588" t="s">
        <v>50</v>
      </c>
      <c r="I588" t="s">
        <v>175</v>
      </c>
      <c r="J588" s="89">
        <v>42536</v>
      </c>
      <c r="K588" s="89">
        <v>42689</v>
      </c>
      <c r="L588" s="89"/>
      <c r="M588" s="31">
        <v>90</v>
      </c>
      <c r="N588" s="9"/>
      <c r="O588" s="33"/>
      <c r="P588" s="33"/>
      <c r="Q588" s="9"/>
      <c r="R588" s="67"/>
      <c r="S588" s="9"/>
    </row>
    <row r="589" spans="1:19" ht="15" customHeight="1" x14ac:dyDescent="0.25">
      <c r="A589" s="4"/>
      <c r="B589" s="28" t="str">
        <f>IF(ISNUMBER(MATCH(C589, Mgt_Unit!$C$5:$C$1018, 0)), INDEX(Mgt_Unit!$B$5:$B$1018, MATCH(C589, Mgt_Unit!$C$5:$C$1018, 0)), "")</f>
        <v>jennifer.moore</v>
      </c>
      <c r="C589" t="s">
        <v>808</v>
      </c>
      <c r="D589" s="65"/>
      <c r="E589">
        <v>3</v>
      </c>
      <c r="F589" t="s">
        <v>1538</v>
      </c>
      <c r="G589" t="s">
        <v>1544</v>
      </c>
      <c r="H589" t="s">
        <v>50</v>
      </c>
      <c r="I589" t="s">
        <v>87</v>
      </c>
      <c r="J589" s="89">
        <v>42903</v>
      </c>
      <c r="K589" s="89">
        <v>43054</v>
      </c>
      <c r="L589" s="89"/>
      <c r="M589" s="31">
        <v>0</v>
      </c>
      <c r="N589" s="9"/>
      <c r="O589" s="33"/>
      <c r="P589" s="33"/>
      <c r="Q589" s="9"/>
      <c r="R589" s="67"/>
      <c r="S589" s="9"/>
    </row>
    <row r="590" spans="1:19" ht="15" customHeight="1" x14ac:dyDescent="0.25">
      <c r="A590" s="4"/>
      <c r="B590" s="28" t="str">
        <f>IF(ISNUMBER(MATCH(C590, Mgt_Unit!$C$5:$C$1018, 0)), INDEX(Mgt_Unit!$B$5:$B$1018, MATCH(C590, Mgt_Unit!$C$5:$C$1018, 0)), "")</f>
        <v>jennifer.moore</v>
      </c>
      <c r="C590" t="s">
        <v>808</v>
      </c>
      <c r="D590" s="65"/>
      <c r="E590">
        <v>4</v>
      </c>
      <c r="F590" t="s">
        <v>1538</v>
      </c>
      <c r="G590" t="s">
        <v>1544</v>
      </c>
      <c r="H590" t="s">
        <v>50</v>
      </c>
      <c r="I590" t="s">
        <v>175</v>
      </c>
      <c r="J590" s="89">
        <v>43266</v>
      </c>
      <c r="K590" s="89">
        <v>43419</v>
      </c>
      <c r="L590" s="89"/>
      <c r="M590" s="31">
        <v>0</v>
      </c>
      <c r="N590" s="9"/>
      <c r="O590" s="33"/>
      <c r="P590" s="33"/>
      <c r="Q590" s="9"/>
      <c r="R590" s="67"/>
      <c r="S590" s="9"/>
    </row>
    <row r="591" spans="1:19" ht="15" customHeight="1" x14ac:dyDescent="0.25">
      <c r="A591" s="4"/>
      <c r="B591" s="28" t="str">
        <f>IF(ISNUMBER(MATCH(C591, Mgt_Unit!$C$5:$C$1018, 0)), INDEX(Mgt_Unit!$B$5:$B$1018, MATCH(C591, Mgt_Unit!$C$5:$C$1018, 0)), "")</f>
        <v>jennifer.moore</v>
      </c>
      <c r="C591" s="87" t="s">
        <v>808</v>
      </c>
      <c r="D591" s="65"/>
      <c r="E591" s="87">
        <v>5</v>
      </c>
      <c r="F591" s="87" t="s">
        <v>1538</v>
      </c>
      <c r="G591" s="87" t="s">
        <v>1544</v>
      </c>
      <c r="H591" s="87" t="s">
        <v>50</v>
      </c>
      <c r="I591" s="87" t="s">
        <v>87</v>
      </c>
      <c r="J591" s="90">
        <v>43633</v>
      </c>
      <c r="K591" s="90">
        <v>43784</v>
      </c>
      <c r="L591" s="90"/>
      <c r="M591" s="93">
        <v>0</v>
      </c>
      <c r="N591" s="9"/>
      <c r="O591" s="33"/>
      <c r="P591" s="33"/>
      <c r="Q591" s="9"/>
      <c r="R591" s="67"/>
      <c r="S591" s="9"/>
    </row>
    <row r="592" spans="1:19" ht="15" customHeight="1" x14ac:dyDescent="0.25">
      <c r="A592" s="4"/>
      <c r="B592" s="28" t="str">
        <f>IF(ISNUMBER(MATCH(C592, Mgt_Unit!$C$5:$C$1018, 0)), INDEX(Mgt_Unit!$B$5:$B$1018, MATCH(C592, Mgt_Unit!$C$5:$C$1018, 0)), "")</f>
        <v>jennifer.moore</v>
      </c>
      <c r="C592" t="s">
        <v>809</v>
      </c>
      <c r="D592" s="65"/>
      <c r="E592">
        <v>1</v>
      </c>
      <c r="F592" t="s">
        <v>1538</v>
      </c>
      <c r="G592" t="s">
        <v>1544</v>
      </c>
      <c r="H592" t="s">
        <v>50</v>
      </c>
      <c r="I592" t="s">
        <v>175</v>
      </c>
      <c r="J592" s="89">
        <v>42170</v>
      </c>
      <c r="K592" s="89">
        <v>42323</v>
      </c>
      <c r="L592" s="89"/>
      <c r="M592" s="31">
        <v>90</v>
      </c>
      <c r="N592" s="9"/>
      <c r="O592" s="33"/>
      <c r="P592" s="33"/>
      <c r="Q592" s="9"/>
      <c r="R592" s="67"/>
      <c r="S592" s="9"/>
    </row>
    <row r="593" spans="1:19" ht="15" customHeight="1" x14ac:dyDescent="0.25">
      <c r="A593" s="4"/>
      <c r="B593" s="28" t="str">
        <f>IF(ISNUMBER(MATCH(C593, Mgt_Unit!$C$5:$C$1018, 0)), INDEX(Mgt_Unit!$B$5:$B$1018, MATCH(C593, Mgt_Unit!$C$5:$C$1018, 0)), "")</f>
        <v>jennifer.moore</v>
      </c>
      <c r="C593" t="s">
        <v>809</v>
      </c>
      <c r="D593" s="65"/>
      <c r="E593">
        <v>2</v>
      </c>
      <c r="F593" t="s">
        <v>1538</v>
      </c>
      <c r="G593" t="s">
        <v>1544</v>
      </c>
      <c r="H593" t="s">
        <v>50</v>
      </c>
      <c r="I593" t="s">
        <v>175</v>
      </c>
      <c r="J593" s="89">
        <v>42536</v>
      </c>
      <c r="K593" s="89">
        <v>42689</v>
      </c>
      <c r="L593" s="89"/>
      <c r="M593" s="31">
        <v>90</v>
      </c>
      <c r="N593" s="9"/>
      <c r="O593" s="33"/>
      <c r="P593" s="33"/>
      <c r="Q593" s="9"/>
      <c r="R593" s="67"/>
      <c r="S593" s="9"/>
    </row>
    <row r="594" spans="1:19" ht="15" customHeight="1" x14ac:dyDescent="0.25">
      <c r="A594" s="4"/>
      <c r="B594" s="28" t="str">
        <f>IF(ISNUMBER(MATCH(C594, Mgt_Unit!$C$5:$C$1018, 0)), INDEX(Mgt_Unit!$B$5:$B$1018, MATCH(C594, Mgt_Unit!$C$5:$C$1018, 0)), "")</f>
        <v>jennifer.moore</v>
      </c>
      <c r="C594" t="s">
        <v>809</v>
      </c>
      <c r="D594" s="65"/>
      <c r="E594">
        <v>3</v>
      </c>
      <c r="F594" t="s">
        <v>1538</v>
      </c>
      <c r="G594" t="s">
        <v>1544</v>
      </c>
      <c r="H594" t="s">
        <v>50</v>
      </c>
      <c r="I594" t="s">
        <v>87</v>
      </c>
      <c r="J594" s="89">
        <v>42903</v>
      </c>
      <c r="K594" s="89">
        <v>43054</v>
      </c>
      <c r="L594" s="89"/>
      <c r="M594" s="31">
        <v>0</v>
      </c>
      <c r="N594" s="9"/>
      <c r="O594" s="33"/>
      <c r="P594" s="33"/>
      <c r="Q594" s="9"/>
      <c r="R594" s="67"/>
      <c r="S594" s="9"/>
    </row>
    <row r="595" spans="1:19" ht="15" customHeight="1" x14ac:dyDescent="0.25">
      <c r="A595" s="4"/>
      <c r="B595" s="28" t="str">
        <f>IF(ISNUMBER(MATCH(C595, Mgt_Unit!$C$5:$C$1018, 0)), INDEX(Mgt_Unit!$B$5:$B$1018, MATCH(C595, Mgt_Unit!$C$5:$C$1018, 0)), "")</f>
        <v>jennifer.moore</v>
      </c>
      <c r="C595" t="s">
        <v>809</v>
      </c>
      <c r="D595" s="65"/>
      <c r="E595">
        <v>4</v>
      </c>
      <c r="F595" t="s">
        <v>1538</v>
      </c>
      <c r="G595" t="s">
        <v>1544</v>
      </c>
      <c r="H595" t="s">
        <v>50</v>
      </c>
      <c r="I595" t="s">
        <v>175</v>
      </c>
      <c r="J595" s="89">
        <v>43266</v>
      </c>
      <c r="K595" s="89">
        <v>43419</v>
      </c>
      <c r="L595" s="89"/>
      <c r="M595" s="31">
        <v>0</v>
      </c>
      <c r="N595" s="9"/>
      <c r="O595" s="33"/>
      <c r="P595" s="33"/>
      <c r="Q595" s="9"/>
      <c r="R595" s="67"/>
      <c r="S595" s="9"/>
    </row>
    <row r="596" spans="1:19" ht="15" customHeight="1" x14ac:dyDescent="0.25">
      <c r="A596" s="4"/>
      <c r="B596" s="28" t="str">
        <f>IF(ISNUMBER(MATCH(C596, Mgt_Unit!$C$5:$C$1018, 0)), INDEX(Mgt_Unit!$B$5:$B$1018, MATCH(C596, Mgt_Unit!$C$5:$C$1018, 0)), "")</f>
        <v>jennifer.moore</v>
      </c>
      <c r="C596" s="87" t="s">
        <v>809</v>
      </c>
      <c r="D596" s="65"/>
      <c r="E596" s="87">
        <v>5</v>
      </c>
      <c r="F596" s="87" t="s">
        <v>1538</v>
      </c>
      <c r="G596" s="87" t="s">
        <v>1544</v>
      </c>
      <c r="H596" s="87" t="s">
        <v>50</v>
      </c>
      <c r="I596" s="87" t="s">
        <v>87</v>
      </c>
      <c r="J596" s="90">
        <v>43633</v>
      </c>
      <c r="K596" s="90">
        <v>43784</v>
      </c>
      <c r="L596" s="90"/>
      <c r="M596" s="93">
        <v>0</v>
      </c>
      <c r="N596" s="9"/>
      <c r="O596" s="33"/>
      <c r="P596" s="33"/>
      <c r="Q596" s="9"/>
      <c r="R596" s="67"/>
      <c r="S596" s="9"/>
    </row>
    <row r="597" spans="1:19" ht="15" customHeight="1" x14ac:dyDescent="0.25">
      <c r="A597" s="4"/>
      <c r="B597" s="28" t="str">
        <f>IF(ISNUMBER(MATCH(C597, Mgt_Unit!$C$5:$C$1018, 0)), INDEX(Mgt_Unit!$B$5:$B$1018, MATCH(C597, Mgt_Unit!$C$5:$C$1018, 0)), "")</f>
        <v>jennifer.moore</v>
      </c>
      <c r="C597" t="s">
        <v>810</v>
      </c>
      <c r="D597" s="65"/>
      <c r="E597">
        <v>1</v>
      </c>
      <c r="F597" t="s">
        <v>1538</v>
      </c>
      <c r="G597" t="s">
        <v>1544</v>
      </c>
      <c r="H597" t="s">
        <v>50</v>
      </c>
      <c r="I597" t="s">
        <v>175</v>
      </c>
      <c r="J597" s="89">
        <v>42170</v>
      </c>
      <c r="K597" s="89">
        <v>42323</v>
      </c>
      <c r="L597" s="89"/>
      <c r="M597" s="31">
        <v>90</v>
      </c>
      <c r="N597" s="9"/>
      <c r="O597" s="33"/>
      <c r="P597" s="33"/>
      <c r="Q597" s="9"/>
      <c r="R597" s="67"/>
      <c r="S597" s="9"/>
    </row>
    <row r="598" spans="1:19" ht="15" customHeight="1" x14ac:dyDescent="0.25">
      <c r="A598" s="4"/>
      <c r="B598" s="28" t="str">
        <f>IF(ISNUMBER(MATCH(C598, Mgt_Unit!$C$5:$C$1018, 0)), INDEX(Mgt_Unit!$B$5:$B$1018, MATCH(C598, Mgt_Unit!$C$5:$C$1018, 0)), "")</f>
        <v>jennifer.moore</v>
      </c>
      <c r="C598" t="s">
        <v>810</v>
      </c>
      <c r="D598" s="65"/>
      <c r="E598">
        <v>2</v>
      </c>
      <c r="F598" t="s">
        <v>1538</v>
      </c>
      <c r="G598" t="s">
        <v>1544</v>
      </c>
      <c r="H598" t="s">
        <v>50</v>
      </c>
      <c r="I598" t="s">
        <v>175</v>
      </c>
      <c r="J598" s="89">
        <v>42536</v>
      </c>
      <c r="K598" s="89">
        <v>42689</v>
      </c>
      <c r="L598" s="89"/>
      <c r="M598" s="31">
        <v>90</v>
      </c>
      <c r="N598" s="9"/>
      <c r="O598" s="33"/>
      <c r="P598" s="33"/>
      <c r="Q598" s="9"/>
      <c r="R598" s="67"/>
      <c r="S598" s="9"/>
    </row>
    <row r="599" spans="1:19" ht="15" customHeight="1" x14ac:dyDescent="0.25">
      <c r="A599" s="4"/>
      <c r="B599" s="28" t="str">
        <f>IF(ISNUMBER(MATCH(C599, Mgt_Unit!$C$5:$C$1018, 0)), INDEX(Mgt_Unit!$B$5:$B$1018, MATCH(C599, Mgt_Unit!$C$5:$C$1018, 0)), "")</f>
        <v>jennifer.moore</v>
      </c>
      <c r="C599" t="s">
        <v>810</v>
      </c>
      <c r="D599" s="65"/>
      <c r="E599">
        <v>3</v>
      </c>
      <c r="F599" t="s">
        <v>1538</v>
      </c>
      <c r="G599" t="s">
        <v>1544</v>
      </c>
      <c r="H599" t="s">
        <v>50</v>
      </c>
      <c r="I599" t="s">
        <v>87</v>
      </c>
      <c r="J599" s="89">
        <v>42903</v>
      </c>
      <c r="K599" s="89">
        <v>43054</v>
      </c>
      <c r="L599" s="89"/>
      <c r="M599" s="31">
        <v>0</v>
      </c>
      <c r="N599" s="9"/>
      <c r="O599" s="33"/>
      <c r="P599" s="33"/>
      <c r="Q599" s="9"/>
      <c r="R599" s="67"/>
      <c r="S599" s="9"/>
    </row>
    <row r="600" spans="1:19" ht="15" customHeight="1" x14ac:dyDescent="0.25">
      <c r="A600" s="4"/>
      <c r="B600" s="28" t="str">
        <f>IF(ISNUMBER(MATCH(C600, Mgt_Unit!$C$5:$C$1018, 0)), INDEX(Mgt_Unit!$B$5:$B$1018, MATCH(C600, Mgt_Unit!$C$5:$C$1018, 0)), "")</f>
        <v>jennifer.moore</v>
      </c>
      <c r="C600" t="s">
        <v>810</v>
      </c>
      <c r="D600" s="65"/>
      <c r="E600">
        <v>4</v>
      </c>
      <c r="F600" t="s">
        <v>1538</v>
      </c>
      <c r="G600" t="s">
        <v>1544</v>
      </c>
      <c r="H600" t="s">
        <v>50</v>
      </c>
      <c r="I600" t="s">
        <v>175</v>
      </c>
      <c r="J600" s="89">
        <v>43266</v>
      </c>
      <c r="K600" s="89">
        <v>43419</v>
      </c>
      <c r="L600" s="89"/>
      <c r="M600" s="31">
        <v>0</v>
      </c>
      <c r="N600" s="9"/>
      <c r="O600" s="33"/>
      <c r="P600" s="33"/>
      <c r="Q600" s="9"/>
      <c r="R600" s="67"/>
      <c r="S600" s="9"/>
    </row>
    <row r="601" spans="1:19" ht="15" customHeight="1" x14ac:dyDescent="0.25">
      <c r="A601" s="4"/>
      <c r="B601" s="28" t="str">
        <f>IF(ISNUMBER(MATCH(C601, Mgt_Unit!$C$5:$C$1018, 0)), INDEX(Mgt_Unit!$B$5:$B$1018, MATCH(C601, Mgt_Unit!$C$5:$C$1018, 0)), "")</f>
        <v>jennifer.moore</v>
      </c>
      <c r="C601" s="87" t="s">
        <v>810</v>
      </c>
      <c r="D601" s="65"/>
      <c r="E601" s="87">
        <v>5</v>
      </c>
      <c r="F601" s="87" t="s">
        <v>1538</v>
      </c>
      <c r="G601" s="87" t="s">
        <v>1544</v>
      </c>
      <c r="H601" s="87" t="s">
        <v>50</v>
      </c>
      <c r="I601" s="87" t="s">
        <v>87</v>
      </c>
      <c r="J601" s="90">
        <v>43633</v>
      </c>
      <c r="K601" s="90">
        <v>43784</v>
      </c>
      <c r="L601" s="90"/>
      <c r="M601" s="93">
        <v>0</v>
      </c>
      <c r="N601" s="9"/>
      <c r="O601" s="33"/>
      <c r="P601" s="33"/>
      <c r="Q601" s="9"/>
      <c r="R601" s="67"/>
      <c r="S601" s="9"/>
    </row>
    <row r="602" spans="1:19" ht="15" customHeight="1" x14ac:dyDescent="0.25">
      <c r="A602" s="4"/>
      <c r="B602" s="28" t="str">
        <f>IF(ISNUMBER(MATCH(C602, Mgt_Unit!$C$5:$C$1018, 0)), INDEX(Mgt_Unit!$B$5:$B$1018, MATCH(C602, Mgt_Unit!$C$5:$C$1018, 0)), "")</f>
        <v>jennifer.moore</v>
      </c>
      <c r="C602" s="107" t="s">
        <v>1298</v>
      </c>
      <c r="D602" s="65"/>
      <c r="E602" s="107">
        <v>1</v>
      </c>
      <c r="F602" s="107" t="s">
        <v>1537</v>
      </c>
      <c r="G602" s="107" t="s">
        <v>1536</v>
      </c>
      <c r="H602" s="107" t="s">
        <v>1549</v>
      </c>
      <c r="I602" s="107" t="s">
        <v>1554</v>
      </c>
      <c r="J602" s="109">
        <v>43101</v>
      </c>
      <c r="K602" s="109"/>
      <c r="L602" s="109">
        <v>43830</v>
      </c>
      <c r="M602" s="110">
        <v>0</v>
      </c>
      <c r="N602" s="9"/>
      <c r="O602" s="33"/>
      <c r="P602" s="33"/>
      <c r="Q602" s="9"/>
      <c r="R602" s="67"/>
      <c r="S602" s="9"/>
    </row>
    <row r="603" spans="1:19" ht="15" customHeight="1" x14ac:dyDescent="0.25">
      <c r="A603" s="4"/>
      <c r="B603" s="28" t="str">
        <f>IF(ISNUMBER(MATCH(C603, Mgt_Unit!$C$5:$C$1018, 0)), INDEX(Mgt_Unit!$B$5:$B$1018, MATCH(C603, Mgt_Unit!$C$5:$C$1018, 0)), "")</f>
        <v>jennifer.moore</v>
      </c>
      <c r="C603" s="107" t="s">
        <v>1297</v>
      </c>
      <c r="D603" s="65"/>
      <c r="E603" s="107">
        <v>1</v>
      </c>
      <c r="F603" s="107" t="s">
        <v>1537</v>
      </c>
      <c r="G603" s="107" t="s">
        <v>1536</v>
      </c>
      <c r="H603" s="107" t="s">
        <v>1549</v>
      </c>
      <c r="I603" s="107" t="s">
        <v>1554</v>
      </c>
      <c r="J603" s="109">
        <v>43101</v>
      </c>
      <c r="K603" s="109"/>
      <c r="L603" s="109">
        <v>43830</v>
      </c>
      <c r="M603" s="110">
        <v>0</v>
      </c>
      <c r="N603" s="9"/>
      <c r="O603" s="33"/>
      <c r="P603" s="33"/>
      <c r="Q603" s="9"/>
      <c r="R603" s="67"/>
      <c r="S603" s="9"/>
    </row>
    <row r="604" spans="1:19" ht="15" customHeight="1" x14ac:dyDescent="0.25">
      <c r="A604" s="4"/>
      <c r="B604" s="28" t="str">
        <f>IF(ISNUMBER(MATCH(C604, Mgt_Unit!$C$5:$C$1018, 0)), INDEX(Mgt_Unit!$B$5:$B$1018, MATCH(C604, Mgt_Unit!$C$5:$C$1018, 0)), "")</f>
        <v>jennifer.moore</v>
      </c>
      <c r="C604" s="107" t="s">
        <v>1299</v>
      </c>
      <c r="D604" s="65"/>
      <c r="E604" s="107">
        <v>1</v>
      </c>
      <c r="F604" s="107" t="s">
        <v>1537</v>
      </c>
      <c r="G604" s="107" t="s">
        <v>1536</v>
      </c>
      <c r="H604" s="107" t="s">
        <v>1549</v>
      </c>
      <c r="I604" s="107" t="s">
        <v>1554</v>
      </c>
      <c r="J604" s="109">
        <v>43101</v>
      </c>
      <c r="K604" s="109"/>
      <c r="L604" s="109">
        <v>43830</v>
      </c>
      <c r="M604" s="110">
        <v>0</v>
      </c>
      <c r="N604" s="9"/>
      <c r="O604" s="33"/>
      <c r="P604" s="33"/>
      <c r="Q604" s="9"/>
      <c r="R604" s="67"/>
      <c r="S604" s="9"/>
    </row>
    <row r="605" spans="1:19" ht="15" customHeight="1" x14ac:dyDescent="0.25">
      <c r="A605" s="4"/>
      <c r="B605" s="28" t="str">
        <f>IF(ISNUMBER(MATCH(C605, Mgt_Unit!$C$5:$C$1018, 0)), INDEX(Mgt_Unit!$B$5:$B$1018, MATCH(C605, Mgt_Unit!$C$5:$C$1018, 0)), "")</f>
        <v>jennifer.moore</v>
      </c>
      <c r="C605" s="87" t="s">
        <v>811</v>
      </c>
      <c r="D605" s="65"/>
      <c r="E605" s="87">
        <v>1</v>
      </c>
      <c r="F605" s="87" t="s">
        <v>1538</v>
      </c>
      <c r="G605" s="87" t="s">
        <v>1544</v>
      </c>
      <c r="H605" s="87" t="s">
        <v>441</v>
      </c>
      <c r="I605" s="87" t="s">
        <v>27</v>
      </c>
      <c r="J605" s="90">
        <v>43023</v>
      </c>
      <c r="K605" s="90">
        <v>43296</v>
      </c>
      <c r="L605" s="90"/>
      <c r="M605" s="93">
        <v>0</v>
      </c>
      <c r="N605" s="9"/>
      <c r="O605" s="33"/>
      <c r="P605" s="33"/>
      <c r="Q605" s="9"/>
      <c r="R605" s="67"/>
      <c r="S605" s="9"/>
    </row>
    <row r="606" spans="1:19" ht="15" customHeight="1" x14ac:dyDescent="0.25">
      <c r="A606" s="4"/>
      <c r="B606" s="28" t="str">
        <f>IF(ISNUMBER(MATCH(C606, Mgt_Unit!$C$5:$C$1018, 0)), INDEX(Mgt_Unit!$B$5:$B$1018, MATCH(C606, Mgt_Unit!$C$5:$C$1018, 0)), "")</f>
        <v>jennifer.moore</v>
      </c>
      <c r="C606" s="88" t="s">
        <v>812</v>
      </c>
      <c r="D606" s="65"/>
      <c r="E606" s="88">
        <v>1</v>
      </c>
      <c r="F606" s="88" t="s">
        <v>1538</v>
      </c>
      <c r="G606" s="88" t="s">
        <v>1544</v>
      </c>
      <c r="H606" s="88" t="s">
        <v>441</v>
      </c>
      <c r="I606" s="88" t="s">
        <v>27</v>
      </c>
      <c r="J606" s="91">
        <v>43023</v>
      </c>
      <c r="K606" s="91">
        <v>43296</v>
      </c>
      <c r="L606" s="91"/>
      <c r="M606" s="94">
        <v>0</v>
      </c>
      <c r="N606" s="9"/>
      <c r="O606" s="33"/>
      <c r="P606" s="33"/>
      <c r="Q606" s="9"/>
      <c r="R606" s="67"/>
      <c r="S606" s="9"/>
    </row>
    <row r="607" spans="1:19" ht="15" customHeight="1" x14ac:dyDescent="0.25">
      <c r="A607" s="4"/>
      <c r="B607" s="28" t="str">
        <f>IF(ISNUMBER(MATCH(C607, Mgt_Unit!$C$5:$C$1018, 0)), INDEX(Mgt_Unit!$B$5:$B$1018, MATCH(C607, Mgt_Unit!$C$5:$C$1018, 0)), "")</f>
        <v>jennifer.moore</v>
      </c>
      <c r="C607" s="88" t="s">
        <v>813</v>
      </c>
      <c r="D607" s="65"/>
      <c r="E607" s="88">
        <v>1</v>
      </c>
      <c r="F607" s="88" t="s">
        <v>1538</v>
      </c>
      <c r="G607" s="88" t="s">
        <v>1544</v>
      </c>
      <c r="H607" s="88" t="s">
        <v>441</v>
      </c>
      <c r="I607" s="88" t="s">
        <v>27</v>
      </c>
      <c r="J607" s="91">
        <v>43023</v>
      </c>
      <c r="K607" s="91">
        <v>43296</v>
      </c>
      <c r="L607" s="91"/>
      <c r="M607" s="94">
        <v>0</v>
      </c>
      <c r="N607" s="9"/>
      <c r="O607" s="33"/>
      <c r="P607" s="33"/>
      <c r="Q607" s="9"/>
      <c r="R607" s="67"/>
      <c r="S607" s="9"/>
    </row>
    <row r="608" spans="1:19" ht="15" customHeight="1" x14ac:dyDescent="0.25">
      <c r="A608" s="4"/>
      <c r="B608" s="28" t="str">
        <f>IF(ISNUMBER(MATCH(C608, Mgt_Unit!$C$5:$C$1018, 0)), INDEX(Mgt_Unit!$B$5:$B$1018, MATCH(C608, Mgt_Unit!$C$5:$C$1018, 0)), "")</f>
        <v>jennifer.moore</v>
      </c>
      <c r="C608" t="s">
        <v>814</v>
      </c>
      <c r="D608" s="65"/>
      <c r="E608">
        <v>1</v>
      </c>
      <c r="F608" t="s">
        <v>1538</v>
      </c>
      <c r="G608" t="s">
        <v>1544</v>
      </c>
      <c r="H608" t="s">
        <v>441</v>
      </c>
      <c r="I608" t="s">
        <v>27</v>
      </c>
      <c r="J608" s="89">
        <v>42658</v>
      </c>
      <c r="K608" s="89">
        <v>42931</v>
      </c>
      <c r="L608" s="89"/>
      <c r="M608" s="31">
        <v>0</v>
      </c>
      <c r="N608" s="9"/>
      <c r="O608" s="33"/>
      <c r="P608" s="33"/>
      <c r="Q608" s="9"/>
      <c r="R608" s="67"/>
      <c r="S608" s="9"/>
    </row>
    <row r="609" spans="1:19" ht="15" customHeight="1" x14ac:dyDescent="0.25">
      <c r="A609" s="4"/>
      <c r="B609" s="28" t="str">
        <f>IF(ISNUMBER(MATCH(C609, Mgt_Unit!$C$5:$C$1018, 0)), INDEX(Mgt_Unit!$B$5:$B$1018, MATCH(C609, Mgt_Unit!$C$5:$C$1018, 0)), "")</f>
        <v>jennifer.moore</v>
      </c>
      <c r="C609" s="87" t="s">
        <v>814</v>
      </c>
      <c r="D609" s="65"/>
      <c r="E609" s="87">
        <v>2</v>
      </c>
      <c r="F609" s="87" t="s">
        <v>1538</v>
      </c>
      <c r="G609" s="87" t="s">
        <v>1544</v>
      </c>
      <c r="H609" s="87" t="s">
        <v>50</v>
      </c>
      <c r="I609" s="87" t="s">
        <v>175</v>
      </c>
      <c r="J609" s="90">
        <v>43266</v>
      </c>
      <c r="K609" s="90">
        <v>43419</v>
      </c>
      <c r="L609" s="90"/>
      <c r="M609" s="93">
        <v>0</v>
      </c>
      <c r="N609" s="9"/>
      <c r="O609" s="33"/>
      <c r="P609" s="33"/>
      <c r="Q609" s="9"/>
      <c r="R609" s="67"/>
      <c r="S609" s="9"/>
    </row>
    <row r="610" spans="1:19" ht="15" customHeight="1" x14ac:dyDescent="0.25">
      <c r="A610" s="4"/>
      <c r="B610" s="28" t="str">
        <f>IF(ISNUMBER(MATCH(C610, Mgt_Unit!$C$5:$C$1018, 0)), INDEX(Mgt_Unit!$B$5:$B$1018, MATCH(C610, Mgt_Unit!$C$5:$C$1018, 0)), "")</f>
        <v>jennifer.moore</v>
      </c>
      <c r="C610" t="s">
        <v>815</v>
      </c>
      <c r="D610" s="65"/>
      <c r="E610">
        <v>1</v>
      </c>
      <c r="F610" t="s">
        <v>1538</v>
      </c>
      <c r="G610" t="s">
        <v>1544</v>
      </c>
      <c r="H610" t="s">
        <v>441</v>
      </c>
      <c r="I610" t="s">
        <v>27</v>
      </c>
      <c r="J610" s="89">
        <v>42658</v>
      </c>
      <c r="K610" s="89">
        <v>42931</v>
      </c>
      <c r="L610" s="89"/>
      <c r="M610" s="31">
        <v>0</v>
      </c>
      <c r="N610" s="9"/>
      <c r="O610" s="33"/>
      <c r="P610" s="33"/>
      <c r="Q610" s="9"/>
      <c r="R610" s="67"/>
      <c r="S610" s="9"/>
    </row>
    <row r="611" spans="1:19" ht="15" customHeight="1" x14ac:dyDescent="0.25">
      <c r="A611" s="4"/>
      <c r="B611" s="28" t="str">
        <f>IF(ISNUMBER(MATCH(C611, Mgt_Unit!$C$5:$C$1018, 0)), INDEX(Mgt_Unit!$B$5:$B$1018, MATCH(C611, Mgt_Unit!$C$5:$C$1018, 0)), "")</f>
        <v>jennifer.moore</v>
      </c>
      <c r="C611" s="87" t="s">
        <v>815</v>
      </c>
      <c r="D611" s="65"/>
      <c r="E611" s="87">
        <v>2</v>
      </c>
      <c r="F611" s="87" t="s">
        <v>1538</v>
      </c>
      <c r="G611" s="87" t="s">
        <v>1544</v>
      </c>
      <c r="H611" s="87" t="s">
        <v>50</v>
      </c>
      <c r="I611" s="87" t="s">
        <v>175</v>
      </c>
      <c r="J611" s="90">
        <v>43266</v>
      </c>
      <c r="K611" s="90">
        <v>43419</v>
      </c>
      <c r="L611" s="90"/>
      <c r="M611" s="93">
        <v>0</v>
      </c>
      <c r="N611" s="9"/>
      <c r="O611" s="33"/>
      <c r="P611" s="33"/>
      <c r="Q611" s="9"/>
      <c r="R611" s="67"/>
      <c r="S611" s="9"/>
    </row>
    <row r="612" spans="1:19" ht="15" customHeight="1" x14ac:dyDescent="0.25">
      <c r="A612" s="4"/>
      <c r="B612" s="28" t="str">
        <f>IF(ISNUMBER(MATCH(C612, Mgt_Unit!$C$5:$C$1018, 0)), INDEX(Mgt_Unit!$B$5:$B$1018, MATCH(C612, Mgt_Unit!$C$5:$C$1018, 0)), "")</f>
        <v>jennifer.moore</v>
      </c>
      <c r="C612" t="s">
        <v>816</v>
      </c>
      <c r="D612" s="65"/>
      <c r="E612">
        <v>1</v>
      </c>
      <c r="F612" t="s">
        <v>1538</v>
      </c>
      <c r="G612" t="s">
        <v>1544</v>
      </c>
      <c r="H612" t="s">
        <v>441</v>
      </c>
      <c r="I612" t="s">
        <v>27</v>
      </c>
      <c r="J612" s="89">
        <v>42658</v>
      </c>
      <c r="K612" s="89">
        <v>42931</v>
      </c>
      <c r="L612" s="89"/>
      <c r="M612" s="31">
        <v>0</v>
      </c>
      <c r="N612" s="9"/>
      <c r="O612" s="33"/>
      <c r="P612" s="33"/>
      <c r="Q612" s="9"/>
      <c r="R612" s="67"/>
      <c r="S612" s="9"/>
    </row>
    <row r="613" spans="1:19" ht="15" customHeight="1" x14ac:dyDescent="0.25">
      <c r="A613" s="4"/>
      <c r="B613" s="28" t="str">
        <f>IF(ISNUMBER(MATCH(C613, Mgt_Unit!$C$5:$C$1018, 0)), INDEX(Mgt_Unit!$B$5:$B$1018, MATCH(C613, Mgt_Unit!$C$5:$C$1018, 0)), "")</f>
        <v>jennifer.moore</v>
      </c>
      <c r="C613" s="87" t="s">
        <v>816</v>
      </c>
      <c r="D613" s="65"/>
      <c r="E613" s="87">
        <v>2</v>
      </c>
      <c r="F613" s="87" t="s">
        <v>1538</v>
      </c>
      <c r="G613" s="87" t="s">
        <v>1544</v>
      </c>
      <c r="H613" s="87" t="s">
        <v>50</v>
      </c>
      <c r="I613" s="87" t="s">
        <v>175</v>
      </c>
      <c r="J613" s="90">
        <v>43266</v>
      </c>
      <c r="K613" s="90">
        <v>43419</v>
      </c>
      <c r="L613" s="90"/>
      <c r="M613" s="93">
        <v>0</v>
      </c>
      <c r="N613" s="9"/>
      <c r="O613" s="33"/>
      <c r="P613" s="33"/>
      <c r="Q613" s="9"/>
      <c r="R613" s="67"/>
      <c r="S613" s="9"/>
    </row>
    <row r="614" spans="1:19" ht="15" customHeight="1" x14ac:dyDescent="0.25">
      <c r="A614" s="4"/>
      <c r="B614" s="28" t="str">
        <f>IF(ISNUMBER(MATCH(C614, Mgt_Unit!$C$5:$C$1018, 0)), INDEX(Mgt_Unit!$B$5:$B$1018, MATCH(C614, Mgt_Unit!$C$5:$C$1018, 0)), "")</f>
        <v>jennifer.moore</v>
      </c>
      <c r="C614" t="s">
        <v>817</v>
      </c>
      <c r="D614" s="65"/>
      <c r="E614">
        <v>1</v>
      </c>
      <c r="F614" t="s">
        <v>1538</v>
      </c>
      <c r="G614" t="s">
        <v>1544</v>
      </c>
      <c r="H614" t="s">
        <v>50</v>
      </c>
      <c r="I614" t="s">
        <v>175</v>
      </c>
      <c r="J614" s="89">
        <v>42165</v>
      </c>
      <c r="K614" s="89">
        <v>42250</v>
      </c>
      <c r="L614" s="89"/>
      <c r="M614" s="31">
        <v>90</v>
      </c>
      <c r="N614" s="9"/>
      <c r="O614" s="33"/>
      <c r="P614" s="33"/>
      <c r="Q614" s="9"/>
      <c r="R614" s="67"/>
      <c r="S614" s="9"/>
    </row>
    <row r="615" spans="1:19" ht="15" customHeight="1" x14ac:dyDescent="0.25">
      <c r="A615" s="4"/>
      <c r="B615" s="28" t="str">
        <f>IF(ISNUMBER(MATCH(C615, Mgt_Unit!$C$5:$C$1018, 0)), INDEX(Mgt_Unit!$B$5:$B$1018, MATCH(C615, Mgt_Unit!$C$5:$C$1018, 0)), "")</f>
        <v>jennifer.moore</v>
      </c>
      <c r="C615" t="s">
        <v>817</v>
      </c>
      <c r="D615" s="65"/>
      <c r="E615">
        <v>2</v>
      </c>
      <c r="F615" t="s">
        <v>1538</v>
      </c>
      <c r="G615" t="s">
        <v>1544</v>
      </c>
      <c r="H615" t="s">
        <v>441</v>
      </c>
      <c r="I615" t="s">
        <v>27</v>
      </c>
      <c r="J615" s="89">
        <v>42278</v>
      </c>
      <c r="K615" s="89">
        <v>42561</v>
      </c>
      <c r="L615" s="89"/>
      <c r="M615" s="31">
        <v>0</v>
      </c>
      <c r="N615" s="9"/>
      <c r="O615" s="33"/>
      <c r="P615" s="33"/>
      <c r="Q615" s="9"/>
      <c r="R615" s="67"/>
      <c r="S615" s="9"/>
    </row>
    <row r="616" spans="1:19" ht="15" customHeight="1" x14ac:dyDescent="0.25">
      <c r="A616" s="4"/>
      <c r="B616" s="28" t="str">
        <f>IF(ISNUMBER(MATCH(C616, Mgt_Unit!$C$5:$C$1018, 0)), INDEX(Mgt_Unit!$B$5:$B$1018, MATCH(C616, Mgt_Unit!$C$5:$C$1018, 0)), "")</f>
        <v>jennifer.moore</v>
      </c>
      <c r="C616" t="s">
        <v>817</v>
      </c>
      <c r="D616" s="65"/>
      <c r="E616">
        <v>3</v>
      </c>
      <c r="F616" t="s">
        <v>1538</v>
      </c>
      <c r="G616" t="s">
        <v>1544</v>
      </c>
      <c r="H616" t="s">
        <v>50</v>
      </c>
      <c r="I616" t="s">
        <v>87</v>
      </c>
      <c r="J616" s="89">
        <v>42876</v>
      </c>
      <c r="K616" s="89">
        <v>43056</v>
      </c>
      <c r="L616" s="89"/>
      <c r="M616" s="31">
        <v>0</v>
      </c>
      <c r="N616" s="9"/>
      <c r="O616" s="33"/>
      <c r="P616" s="33"/>
      <c r="Q616" s="9"/>
      <c r="R616" s="67"/>
      <c r="S616" s="9"/>
    </row>
    <row r="617" spans="1:19" ht="15" customHeight="1" x14ac:dyDescent="0.25">
      <c r="A617" s="4"/>
      <c r="B617" s="28" t="str">
        <f>IF(ISNUMBER(MATCH(C617, Mgt_Unit!$C$5:$C$1018, 0)), INDEX(Mgt_Unit!$B$5:$B$1018, MATCH(C617, Mgt_Unit!$C$5:$C$1018, 0)), "")</f>
        <v>jennifer.moore</v>
      </c>
      <c r="C617" s="87" t="s">
        <v>817</v>
      </c>
      <c r="D617" s="65"/>
      <c r="E617" s="87">
        <v>4</v>
      </c>
      <c r="F617" s="87" t="s">
        <v>1538</v>
      </c>
      <c r="G617" s="87" t="s">
        <v>1544</v>
      </c>
      <c r="H617" s="87" t="s">
        <v>50</v>
      </c>
      <c r="I617" s="87" t="s">
        <v>175</v>
      </c>
      <c r="J617" s="90">
        <v>43261</v>
      </c>
      <c r="K617" s="90">
        <v>43346</v>
      </c>
      <c r="L617" s="90"/>
      <c r="M617" s="93">
        <v>90</v>
      </c>
      <c r="N617" s="9"/>
      <c r="O617" s="33"/>
      <c r="P617" s="33"/>
      <c r="Q617" s="9"/>
      <c r="R617" s="67"/>
      <c r="S617" s="9"/>
    </row>
    <row r="618" spans="1:19" ht="15" customHeight="1" x14ac:dyDescent="0.25">
      <c r="A618" s="4"/>
      <c r="B618" s="28" t="str">
        <f>IF(ISNUMBER(MATCH(C618, Mgt_Unit!$C$5:$C$1018, 0)), INDEX(Mgt_Unit!$B$5:$B$1018, MATCH(C618, Mgt_Unit!$C$5:$C$1018, 0)), "")</f>
        <v>jennifer.moore</v>
      </c>
      <c r="C618" t="s">
        <v>818</v>
      </c>
      <c r="D618" s="65"/>
      <c r="E618">
        <v>1</v>
      </c>
      <c r="F618" t="s">
        <v>1538</v>
      </c>
      <c r="G618" t="s">
        <v>1544</v>
      </c>
      <c r="H618" t="s">
        <v>50</v>
      </c>
      <c r="I618" t="s">
        <v>175</v>
      </c>
      <c r="J618" s="89">
        <v>42165</v>
      </c>
      <c r="K618" s="89">
        <v>42250</v>
      </c>
      <c r="L618" s="89"/>
      <c r="M618" s="31">
        <v>90</v>
      </c>
      <c r="N618" s="9"/>
      <c r="O618" s="33"/>
      <c r="P618" s="33"/>
      <c r="Q618" s="9"/>
      <c r="R618" s="67"/>
      <c r="S618" s="9"/>
    </row>
    <row r="619" spans="1:19" ht="15" customHeight="1" x14ac:dyDescent="0.25">
      <c r="A619" s="4"/>
      <c r="B619" s="28" t="str">
        <f>IF(ISNUMBER(MATCH(C619, Mgt_Unit!$C$5:$C$1018, 0)), INDEX(Mgt_Unit!$B$5:$B$1018, MATCH(C619, Mgt_Unit!$C$5:$C$1018, 0)), "")</f>
        <v>jennifer.moore</v>
      </c>
      <c r="C619" t="s">
        <v>818</v>
      </c>
      <c r="D619" s="65"/>
      <c r="E619">
        <v>2</v>
      </c>
      <c r="F619" t="s">
        <v>1538</v>
      </c>
      <c r="G619" t="s">
        <v>1544</v>
      </c>
      <c r="H619" t="s">
        <v>441</v>
      </c>
      <c r="I619" t="s">
        <v>27</v>
      </c>
      <c r="J619" s="89">
        <v>42278</v>
      </c>
      <c r="K619" s="89">
        <v>42561</v>
      </c>
      <c r="L619" s="89"/>
      <c r="M619" s="31">
        <v>0</v>
      </c>
      <c r="N619" s="9"/>
      <c r="O619" s="33"/>
      <c r="P619" s="33"/>
      <c r="Q619" s="9"/>
      <c r="R619" s="67"/>
      <c r="S619" s="9"/>
    </row>
    <row r="620" spans="1:19" ht="15" customHeight="1" x14ac:dyDescent="0.25">
      <c r="A620" s="4"/>
      <c r="B620" s="28" t="str">
        <f>IF(ISNUMBER(MATCH(C620, Mgt_Unit!$C$5:$C$1018, 0)), INDEX(Mgt_Unit!$B$5:$B$1018, MATCH(C620, Mgt_Unit!$C$5:$C$1018, 0)), "")</f>
        <v>jennifer.moore</v>
      </c>
      <c r="C620" t="s">
        <v>818</v>
      </c>
      <c r="D620" s="65"/>
      <c r="E620">
        <v>3</v>
      </c>
      <c r="F620" t="s">
        <v>1538</v>
      </c>
      <c r="G620" t="s">
        <v>1544</v>
      </c>
      <c r="H620" t="s">
        <v>50</v>
      </c>
      <c r="I620" t="s">
        <v>87</v>
      </c>
      <c r="J620" s="89">
        <v>42876</v>
      </c>
      <c r="K620" s="89">
        <v>43056</v>
      </c>
      <c r="L620" s="89"/>
      <c r="M620" s="31">
        <v>0</v>
      </c>
      <c r="N620" s="9"/>
      <c r="O620" s="33"/>
      <c r="P620" s="33"/>
      <c r="Q620" s="9"/>
      <c r="R620" s="67"/>
      <c r="S620" s="9"/>
    </row>
    <row r="621" spans="1:19" ht="15" customHeight="1" x14ac:dyDescent="0.25">
      <c r="A621" s="4"/>
      <c r="B621" s="28" t="str">
        <f>IF(ISNUMBER(MATCH(C621, Mgt_Unit!$C$5:$C$1018, 0)), INDEX(Mgt_Unit!$B$5:$B$1018, MATCH(C621, Mgt_Unit!$C$5:$C$1018, 0)), "")</f>
        <v>jennifer.moore</v>
      </c>
      <c r="C621" s="87" t="s">
        <v>818</v>
      </c>
      <c r="D621" s="65"/>
      <c r="E621" s="87">
        <v>4</v>
      </c>
      <c r="F621" s="87" t="s">
        <v>1538</v>
      </c>
      <c r="G621" s="87" t="s">
        <v>1544</v>
      </c>
      <c r="H621" s="87" t="s">
        <v>50</v>
      </c>
      <c r="I621" s="87" t="s">
        <v>175</v>
      </c>
      <c r="J621" s="90">
        <v>43261</v>
      </c>
      <c r="K621" s="90">
        <v>43346</v>
      </c>
      <c r="L621" s="90"/>
      <c r="M621" s="93">
        <v>90</v>
      </c>
      <c r="N621" s="9"/>
      <c r="O621" s="33"/>
      <c r="P621" s="33"/>
      <c r="Q621" s="9"/>
      <c r="R621" s="67"/>
      <c r="S621" s="9"/>
    </row>
    <row r="622" spans="1:19" ht="15" customHeight="1" x14ac:dyDescent="0.25">
      <c r="A622" s="4"/>
      <c r="B622" s="28" t="str">
        <f>IF(ISNUMBER(MATCH(C622, Mgt_Unit!$C$5:$C$1018, 0)), INDEX(Mgt_Unit!$B$5:$B$1018, MATCH(C622, Mgt_Unit!$C$5:$C$1018, 0)), "")</f>
        <v>jennifer.moore</v>
      </c>
      <c r="C622" t="s">
        <v>819</v>
      </c>
      <c r="D622" s="65"/>
      <c r="E622">
        <v>1</v>
      </c>
      <c r="F622" t="s">
        <v>1538</v>
      </c>
      <c r="G622" t="s">
        <v>1544</v>
      </c>
      <c r="H622" t="s">
        <v>50</v>
      </c>
      <c r="I622" t="s">
        <v>175</v>
      </c>
      <c r="J622" s="89">
        <v>42165</v>
      </c>
      <c r="K622" s="89">
        <v>42250</v>
      </c>
      <c r="L622" s="89"/>
      <c r="M622" s="31">
        <v>90</v>
      </c>
      <c r="N622" s="9"/>
      <c r="O622" s="33"/>
      <c r="P622" s="33"/>
      <c r="Q622" s="9"/>
      <c r="R622" s="67"/>
      <c r="S622" s="9"/>
    </row>
    <row r="623" spans="1:19" ht="15" customHeight="1" x14ac:dyDescent="0.25">
      <c r="A623" s="4"/>
      <c r="B623" s="28" t="str">
        <f>IF(ISNUMBER(MATCH(C623, Mgt_Unit!$C$5:$C$1018, 0)), INDEX(Mgt_Unit!$B$5:$B$1018, MATCH(C623, Mgt_Unit!$C$5:$C$1018, 0)), "")</f>
        <v>jennifer.moore</v>
      </c>
      <c r="C623" t="s">
        <v>819</v>
      </c>
      <c r="D623" s="65"/>
      <c r="E623">
        <v>2</v>
      </c>
      <c r="F623" t="s">
        <v>1538</v>
      </c>
      <c r="G623" t="s">
        <v>1544</v>
      </c>
      <c r="H623" t="s">
        <v>441</v>
      </c>
      <c r="I623" t="s">
        <v>27</v>
      </c>
      <c r="J623" s="89">
        <v>42278</v>
      </c>
      <c r="K623" s="89">
        <v>42561</v>
      </c>
      <c r="L623" s="89"/>
      <c r="M623" s="31">
        <v>0</v>
      </c>
      <c r="N623" s="9"/>
      <c r="O623" s="33"/>
      <c r="P623" s="33"/>
      <c r="Q623" s="9"/>
      <c r="R623" s="67"/>
      <c r="S623" s="9"/>
    </row>
    <row r="624" spans="1:19" ht="15" customHeight="1" x14ac:dyDescent="0.25">
      <c r="A624" s="4"/>
      <c r="B624" s="28" t="str">
        <f>IF(ISNUMBER(MATCH(C624, Mgt_Unit!$C$5:$C$1018, 0)), INDEX(Mgt_Unit!$B$5:$B$1018, MATCH(C624, Mgt_Unit!$C$5:$C$1018, 0)), "")</f>
        <v>jennifer.moore</v>
      </c>
      <c r="C624" t="s">
        <v>819</v>
      </c>
      <c r="D624" s="65"/>
      <c r="E624">
        <v>3</v>
      </c>
      <c r="F624" t="s">
        <v>1538</v>
      </c>
      <c r="G624" t="s">
        <v>1544</v>
      </c>
      <c r="H624" t="s">
        <v>50</v>
      </c>
      <c r="I624" t="s">
        <v>87</v>
      </c>
      <c r="J624" s="89">
        <v>42876</v>
      </c>
      <c r="K624" s="89">
        <v>43056</v>
      </c>
      <c r="L624" s="89"/>
      <c r="M624" s="31">
        <v>0</v>
      </c>
      <c r="N624" s="9"/>
      <c r="O624" s="33"/>
      <c r="P624" s="33"/>
      <c r="Q624" s="9"/>
      <c r="R624" s="67"/>
      <c r="S624" s="9"/>
    </row>
    <row r="625" spans="1:19" ht="15" customHeight="1" x14ac:dyDescent="0.25">
      <c r="A625" s="4"/>
      <c r="B625" s="28" t="str">
        <f>IF(ISNUMBER(MATCH(C625, Mgt_Unit!$C$5:$C$1018, 0)), INDEX(Mgt_Unit!$B$5:$B$1018, MATCH(C625, Mgt_Unit!$C$5:$C$1018, 0)), "")</f>
        <v>jennifer.moore</v>
      </c>
      <c r="C625" s="87" t="s">
        <v>819</v>
      </c>
      <c r="D625" s="65"/>
      <c r="E625" s="87">
        <v>4</v>
      </c>
      <c r="F625" s="87" t="s">
        <v>1538</v>
      </c>
      <c r="G625" s="87" t="s">
        <v>1544</v>
      </c>
      <c r="H625" s="87" t="s">
        <v>50</v>
      </c>
      <c r="I625" s="87" t="s">
        <v>175</v>
      </c>
      <c r="J625" s="90">
        <v>43261</v>
      </c>
      <c r="K625" s="90">
        <v>43346</v>
      </c>
      <c r="L625" s="90"/>
      <c r="M625" s="93">
        <v>90</v>
      </c>
      <c r="N625" s="9"/>
      <c r="O625" s="33"/>
      <c r="P625" s="33"/>
      <c r="Q625" s="9"/>
      <c r="R625" s="67"/>
      <c r="S625" s="9"/>
    </row>
    <row r="626" spans="1:19" ht="15" customHeight="1" x14ac:dyDescent="0.25">
      <c r="A626" s="4"/>
      <c r="B626" s="28" t="str">
        <f>IF(ISNUMBER(MATCH(C626, Mgt_Unit!$C$5:$C$1018, 0)), INDEX(Mgt_Unit!$B$5:$B$1018, MATCH(C626, Mgt_Unit!$C$5:$C$1018, 0)), "")</f>
        <v>jennifer.moore</v>
      </c>
      <c r="C626" s="107" t="s">
        <v>1301</v>
      </c>
      <c r="D626" s="65"/>
      <c r="E626" s="107">
        <v>1</v>
      </c>
      <c r="F626" s="107" t="s">
        <v>1537</v>
      </c>
      <c r="G626" s="107" t="s">
        <v>1536</v>
      </c>
      <c r="H626" s="107" t="s">
        <v>1549</v>
      </c>
      <c r="I626" s="107" t="s">
        <v>1554</v>
      </c>
      <c r="J626" s="109">
        <v>43101</v>
      </c>
      <c r="K626" s="109"/>
      <c r="L626" s="109">
        <v>43830</v>
      </c>
      <c r="M626" s="110">
        <v>0</v>
      </c>
      <c r="N626" s="9"/>
      <c r="O626" s="33"/>
      <c r="P626" s="33"/>
      <c r="Q626" s="9"/>
      <c r="R626" s="67"/>
      <c r="S626" s="9"/>
    </row>
    <row r="627" spans="1:19" ht="15" customHeight="1" x14ac:dyDescent="0.25">
      <c r="A627" s="4"/>
      <c r="B627" s="28" t="str">
        <f>IF(ISNUMBER(MATCH(C627, Mgt_Unit!$C$5:$C$1018, 0)), INDEX(Mgt_Unit!$B$5:$B$1018, MATCH(C627, Mgt_Unit!$C$5:$C$1018, 0)), "")</f>
        <v>jennifer.moore</v>
      </c>
      <c r="C627" s="107" t="s">
        <v>1300</v>
      </c>
      <c r="D627" s="65"/>
      <c r="E627" s="107">
        <v>1</v>
      </c>
      <c r="F627" s="107" t="s">
        <v>1537</v>
      </c>
      <c r="G627" s="107" t="s">
        <v>1536</v>
      </c>
      <c r="H627" s="107" t="s">
        <v>1549</v>
      </c>
      <c r="I627" s="107" t="s">
        <v>1554</v>
      </c>
      <c r="J627" s="109">
        <v>43101</v>
      </c>
      <c r="K627" s="109"/>
      <c r="L627" s="109">
        <v>43830</v>
      </c>
      <c r="M627" s="110">
        <v>0</v>
      </c>
      <c r="N627" s="9"/>
      <c r="O627" s="33"/>
      <c r="P627" s="33"/>
      <c r="Q627" s="9"/>
      <c r="R627" s="67"/>
      <c r="S627" s="9"/>
    </row>
    <row r="628" spans="1:19" ht="15" customHeight="1" x14ac:dyDescent="0.25">
      <c r="A628" s="4"/>
      <c r="B628" s="28" t="str">
        <f>IF(ISNUMBER(MATCH(C628, Mgt_Unit!$C$5:$C$1018, 0)), INDEX(Mgt_Unit!$B$5:$B$1018, MATCH(C628, Mgt_Unit!$C$5:$C$1018, 0)), "")</f>
        <v>jennifer.moore</v>
      </c>
      <c r="C628" s="107" t="s">
        <v>1302</v>
      </c>
      <c r="D628" s="65"/>
      <c r="E628" s="107">
        <v>1</v>
      </c>
      <c r="F628" s="107" t="s">
        <v>1537</v>
      </c>
      <c r="G628" s="107" t="s">
        <v>1536</v>
      </c>
      <c r="H628" s="107" t="s">
        <v>1549</v>
      </c>
      <c r="I628" s="107" t="s">
        <v>1554</v>
      </c>
      <c r="J628" s="109">
        <v>43101</v>
      </c>
      <c r="K628" s="109"/>
      <c r="L628" s="109">
        <v>43830</v>
      </c>
      <c r="M628" s="110">
        <v>0</v>
      </c>
      <c r="N628" s="9"/>
      <c r="O628" s="33"/>
      <c r="P628" s="33"/>
      <c r="Q628" s="9"/>
      <c r="R628" s="67"/>
      <c r="S628" s="9"/>
    </row>
    <row r="629" spans="1:19" ht="15" customHeight="1" x14ac:dyDescent="0.25">
      <c r="A629" s="4"/>
      <c r="B629" s="28" t="str">
        <f>IF(ISNUMBER(MATCH(C629, Mgt_Unit!$C$5:$C$1018, 0)), INDEX(Mgt_Unit!$B$5:$B$1018, MATCH(C629, Mgt_Unit!$C$5:$C$1018, 0)), "")</f>
        <v>jennifer.moore</v>
      </c>
      <c r="C629" t="s">
        <v>820</v>
      </c>
      <c r="D629" s="65"/>
      <c r="E629">
        <v>1</v>
      </c>
      <c r="F629" t="s">
        <v>1538</v>
      </c>
      <c r="G629" t="s">
        <v>1544</v>
      </c>
      <c r="H629" t="s">
        <v>441</v>
      </c>
      <c r="I629" t="s">
        <v>27</v>
      </c>
      <c r="J629" s="89">
        <v>42644</v>
      </c>
      <c r="K629" s="89">
        <v>42926</v>
      </c>
      <c r="L629" s="89"/>
      <c r="M629" s="31">
        <v>0</v>
      </c>
      <c r="N629" s="9"/>
      <c r="O629" s="33"/>
      <c r="P629" s="33"/>
      <c r="Q629" s="9"/>
      <c r="R629" s="67"/>
      <c r="S629" s="9"/>
    </row>
    <row r="630" spans="1:19" ht="15" customHeight="1" x14ac:dyDescent="0.25">
      <c r="A630" s="4"/>
      <c r="B630" s="28" t="str">
        <f>IF(ISNUMBER(MATCH(C630, Mgt_Unit!$C$5:$C$1018, 0)), INDEX(Mgt_Unit!$B$5:$B$1018, MATCH(C630, Mgt_Unit!$C$5:$C$1018, 0)), "")</f>
        <v>jennifer.moore</v>
      </c>
      <c r="C630" s="87" t="s">
        <v>820</v>
      </c>
      <c r="D630" s="65"/>
      <c r="E630" s="87">
        <v>2</v>
      </c>
      <c r="F630" s="87" t="s">
        <v>1538</v>
      </c>
      <c r="G630" s="87" t="s">
        <v>1544</v>
      </c>
      <c r="H630" s="87" t="s">
        <v>50</v>
      </c>
      <c r="I630" s="87" t="s">
        <v>87</v>
      </c>
      <c r="J630" s="90">
        <v>43241</v>
      </c>
      <c r="K630" s="90">
        <v>43421</v>
      </c>
      <c r="L630" s="90"/>
      <c r="M630" s="93">
        <v>0</v>
      </c>
      <c r="N630" s="9"/>
      <c r="O630" s="33"/>
      <c r="P630" s="33"/>
      <c r="Q630" s="9"/>
      <c r="R630" s="67"/>
      <c r="S630" s="9"/>
    </row>
    <row r="631" spans="1:19" ht="15" customHeight="1" x14ac:dyDescent="0.25">
      <c r="A631" s="4"/>
      <c r="B631" s="28" t="str">
        <f>IF(ISNUMBER(MATCH(C631, Mgt_Unit!$C$5:$C$1018, 0)), INDEX(Mgt_Unit!$B$5:$B$1018, MATCH(C631, Mgt_Unit!$C$5:$C$1018, 0)), "")</f>
        <v>jennifer.moore</v>
      </c>
      <c r="C631" t="s">
        <v>821</v>
      </c>
      <c r="D631" s="65"/>
      <c r="E631">
        <v>1</v>
      </c>
      <c r="F631" t="s">
        <v>1538</v>
      </c>
      <c r="G631" t="s">
        <v>1544</v>
      </c>
      <c r="H631" t="s">
        <v>441</v>
      </c>
      <c r="I631" t="s">
        <v>27</v>
      </c>
      <c r="J631" s="89">
        <v>42644</v>
      </c>
      <c r="K631" s="89">
        <v>42926</v>
      </c>
      <c r="L631" s="89"/>
      <c r="M631" s="31">
        <v>0</v>
      </c>
      <c r="N631" s="9"/>
      <c r="O631" s="33"/>
      <c r="P631" s="33"/>
      <c r="Q631" s="9"/>
      <c r="R631" s="67"/>
      <c r="S631" s="9"/>
    </row>
    <row r="632" spans="1:19" ht="15" customHeight="1" x14ac:dyDescent="0.25">
      <c r="A632" s="4"/>
      <c r="B632" s="28" t="str">
        <f>IF(ISNUMBER(MATCH(C632, Mgt_Unit!$C$5:$C$1018, 0)), INDEX(Mgt_Unit!$B$5:$B$1018, MATCH(C632, Mgt_Unit!$C$5:$C$1018, 0)), "")</f>
        <v>jennifer.moore</v>
      </c>
      <c r="C632" s="87" t="s">
        <v>821</v>
      </c>
      <c r="D632" s="65"/>
      <c r="E632" s="87">
        <v>2</v>
      </c>
      <c r="F632" s="87" t="s">
        <v>1538</v>
      </c>
      <c r="G632" s="87" t="s">
        <v>1544</v>
      </c>
      <c r="H632" s="87" t="s">
        <v>50</v>
      </c>
      <c r="I632" s="87" t="s">
        <v>87</v>
      </c>
      <c r="J632" s="90">
        <v>43241</v>
      </c>
      <c r="K632" s="90">
        <v>43421</v>
      </c>
      <c r="L632" s="90"/>
      <c r="M632" s="93">
        <v>0</v>
      </c>
      <c r="N632" s="9"/>
      <c r="O632" s="33"/>
      <c r="P632" s="33"/>
      <c r="Q632" s="9"/>
      <c r="R632" s="67"/>
      <c r="S632" s="9"/>
    </row>
    <row r="633" spans="1:19" ht="15" customHeight="1" x14ac:dyDescent="0.25">
      <c r="A633" s="4"/>
      <c r="B633" s="28" t="str">
        <f>IF(ISNUMBER(MATCH(C633, Mgt_Unit!$C$5:$C$1018, 0)), INDEX(Mgt_Unit!$B$5:$B$1018, MATCH(C633, Mgt_Unit!$C$5:$C$1018, 0)), "")</f>
        <v>jennifer.moore</v>
      </c>
      <c r="C633" t="s">
        <v>822</v>
      </c>
      <c r="D633" s="65"/>
      <c r="E633">
        <v>1</v>
      </c>
      <c r="F633" t="s">
        <v>1538</v>
      </c>
      <c r="G633" t="s">
        <v>1544</v>
      </c>
      <c r="H633" t="s">
        <v>441</v>
      </c>
      <c r="I633" t="s">
        <v>27</v>
      </c>
      <c r="J633" s="89">
        <v>42644</v>
      </c>
      <c r="K633" s="89">
        <v>42926</v>
      </c>
      <c r="L633" s="89"/>
      <c r="M633" s="31">
        <v>0</v>
      </c>
      <c r="N633" s="9"/>
      <c r="O633" s="33"/>
      <c r="P633" s="33"/>
      <c r="Q633" s="9"/>
      <c r="R633" s="67"/>
      <c r="S633" s="9"/>
    </row>
    <row r="634" spans="1:19" ht="15" customHeight="1" x14ac:dyDescent="0.25">
      <c r="A634" s="4"/>
      <c r="B634" s="28" t="str">
        <f>IF(ISNUMBER(MATCH(C634, Mgt_Unit!$C$5:$C$1018, 0)), INDEX(Mgt_Unit!$B$5:$B$1018, MATCH(C634, Mgt_Unit!$C$5:$C$1018, 0)), "")</f>
        <v>jennifer.moore</v>
      </c>
      <c r="C634" s="87" t="s">
        <v>822</v>
      </c>
      <c r="D634" s="65"/>
      <c r="E634" s="87">
        <v>2</v>
      </c>
      <c r="F634" s="87" t="s">
        <v>1538</v>
      </c>
      <c r="G634" s="87" t="s">
        <v>1544</v>
      </c>
      <c r="H634" s="87" t="s">
        <v>50</v>
      </c>
      <c r="I634" s="87" t="s">
        <v>87</v>
      </c>
      <c r="J634" s="90">
        <v>43241</v>
      </c>
      <c r="K634" s="90">
        <v>43421</v>
      </c>
      <c r="L634" s="90"/>
      <c r="M634" s="93">
        <v>0</v>
      </c>
      <c r="N634" s="9"/>
      <c r="O634" s="33"/>
      <c r="P634" s="33"/>
      <c r="Q634" s="9"/>
      <c r="R634" s="67"/>
      <c r="S634" s="9"/>
    </row>
    <row r="635" spans="1:19" ht="15" customHeight="1" x14ac:dyDescent="0.25">
      <c r="A635" s="4"/>
      <c r="B635" s="28" t="str">
        <f>IF(ISNUMBER(MATCH(C635, Mgt_Unit!$C$5:$C$1018, 0)), INDEX(Mgt_Unit!$B$5:$B$1018, MATCH(C635, Mgt_Unit!$C$5:$C$1018, 0)), "")</f>
        <v>jennifer.moore</v>
      </c>
      <c r="C635" s="88" t="s">
        <v>823</v>
      </c>
      <c r="D635" s="65"/>
      <c r="E635" s="88">
        <v>1</v>
      </c>
      <c r="F635" s="88" t="s">
        <v>1538</v>
      </c>
      <c r="G635" s="88" t="s">
        <v>1544</v>
      </c>
      <c r="H635" s="88" t="s">
        <v>441</v>
      </c>
      <c r="I635" s="88" t="s">
        <v>27</v>
      </c>
      <c r="J635" s="91">
        <v>43009</v>
      </c>
      <c r="K635" s="91">
        <v>43291</v>
      </c>
      <c r="L635" s="91"/>
      <c r="M635" s="94">
        <v>0</v>
      </c>
      <c r="N635" s="9"/>
      <c r="O635" s="33"/>
      <c r="P635" s="33"/>
      <c r="Q635" s="9"/>
      <c r="R635" s="67"/>
      <c r="S635" s="9"/>
    </row>
    <row r="636" spans="1:19" ht="15" customHeight="1" x14ac:dyDescent="0.25">
      <c r="A636" s="4"/>
      <c r="B636" s="28" t="str">
        <f>IF(ISNUMBER(MATCH(C636, Mgt_Unit!$C$5:$C$1018, 0)), INDEX(Mgt_Unit!$B$5:$B$1018, MATCH(C636, Mgt_Unit!$C$5:$C$1018, 0)), "")</f>
        <v>jennifer.moore</v>
      </c>
      <c r="C636" s="88" t="s">
        <v>824</v>
      </c>
      <c r="D636" s="65"/>
      <c r="E636" s="88">
        <v>1</v>
      </c>
      <c r="F636" s="88" t="s">
        <v>1538</v>
      </c>
      <c r="G636" s="88" t="s">
        <v>1544</v>
      </c>
      <c r="H636" s="88" t="s">
        <v>441</v>
      </c>
      <c r="I636" s="88" t="s">
        <v>27</v>
      </c>
      <c r="J636" s="91">
        <v>43009</v>
      </c>
      <c r="K636" s="91">
        <v>43291</v>
      </c>
      <c r="L636" s="91"/>
      <c r="M636" s="94">
        <v>0</v>
      </c>
      <c r="N636" s="9"/>
      <c r="O636" s="33"/>
      <c r="P636" s="33"/>
      <c r="Q636" s="9"/>
      <c r="R636" s="67"/>
      <c r="S636" s="9"/>
    </row>
    <row r="637" spans="1:19" ht="15" customHeight="1" x14ac:dyDescent="0.25">
      <c r="A637" s="4"/>
      <c r="B637" s="28" t="str">
        <f>IF(ISNUMBER(MATCH(C637, Mgt_Unit!$C$5:$C$1018, 0)), INDEX(Mgt_Unit!$B$5:$B$1018, MATCH(C637, Mgt_Unit!$C$5:$C$1018, 0)), "")</f>
        <v>jennifer.moore</v>
      </c>
      <c r="C637" s="88" t="s">
        <v>825</v>
      </c>
      <c r="D637" s="65"/>
      <c r="E637" s="88">
        <v>1</v>
      </c>
      <c r="F637" s="88" t="s">
        <v>1538</v>
      </c>
      <c r="G637" s="88" t="s">
        <v>1544</v>
      </c>
      <c r="H637" s="88" t="s">
        <v>441</v>
      </c>
      <c r="I637" s="88" t="s">
        <v>27</v>
      </c>
      <c r="J637" s="91">
        <v>43009</v>
      </c>
      <c r="K637" s="91">
        <v>43291</v>
      </c>
      <c r="L637" s="91"/>
      <c r="M637" s="94">
        <v>0</v>
      </c>
      <c r="N637" s="9"/>
      <c r="O637" s="33"/>
      <c r="P637" s="33"/>
      <c r="Q637" s="9"/>
      <c r="R637" s="67"/>
      <c r="S637" s="9"/>
    </row>
    <row r="638" spans="1:19" ht="15" customHeight="1" x14ac:dyDescent="0.25">
      <c r="A638" s="4"/>
      <c r="B638" s="28" t="str">
        <f>IF(ISNUMBER(MATCH(C638, Mgt_Unit!$C$5:$C$1018, 0)), INDEX(Mgt_Unit!$B$5:$B$1018, MATCH(C638, Mgt_Unit!$C$5:$C$1018, 0)), "")</f>
        <v>jennifer.moore</v>
      </c>
      <c r="C638" t="s">
        <v>826</v>
      </c>
      <c r="D638" s="65"/>
      <c r="E638">
        <v>1</v>
      </c>
      <c r="F638" t="s">
        <v>1538</v>
      </c>
      <c r="G638" t="s">
        <v>1544</v>
      </c>
      <c r="H638" t="s">
        <v>50</v>
      </c>
      <c r="I638" t="s">
        <v>175</v>
      </c>
      <c r="J638" s="89">
        <v>42165</v>
      </c>
      <c r="K638" s="89">
        <v>42250</v>
      </c>
      <c r="L638" s="89"/>
      <c r="M638" s="31">
        <v>90</v>
      </c>
      <c r="N638" s="9"/>
      <c r="O638" s="33"/>
      <c r="P638" s="33"/>
      <c r="Q638" s="9"/>
      <c r="R638" s="67"/>
      <c r="S638" s="9"/>
    </row>
    <row r="639" spans="1:19" ht="15" customHeight="1" x14ac:dyDescent="0.25">
      <c r="A639" s="4"/>
      <c r="B639" s="28" t="str">
        <f>IF(ISNUMBER(MATCH(C639, Mgt_Unit!$C$5:$C$1018, 0)), INDEX(Mgt_Unit!$B$5:$B$1018, MATCH(C639, Mgt_Unit!$C$5:$C$1018, 0)), "")</f>
        <v>jennifer.moore</v>
      </c>
      <c r="C639" t="s">
        <v>826</v>
      </c>
      <c r="D639" s="65"/>
      <c r="E639">
        <v>2</v>
      </c>
      <c r="F639" t="s">
        <v>1538</v>
      </c>
      <c r="G639" t="s">
        <v>1544</v>
      </c>
      <c r="H639" t="s">
        <v>441</v>
      </c>
      <c r="I639" t="s">
        <v>27</v>
      </c>
      <c r="J639" s="89">
        <v>42278</v>
      </c>
      <c r="K639" s="89">
        <v>42561</v>
      </c>
      <c r="L639" s="89"/>
      <c r="M639" s="31">
        <v>0</v>
      </c>
      <c r="N639" s="9"/>
      <c r="O639" s="33"/>
      <c r="P639" s="33"/>
      <c r="Q639" s="9"/>
      <c r="R639" s="67"/>
      <c r="S639" s="9"/>
    </row>
    <row r="640" spans="1:19" ht="15" customHeight="1" x14ac:dyDescent="0.25">
      <c r="A640" s="4"/>
      <c r="B640" s="28" t="str">
        <f>IF(ISNUMBER(MATCH(C640, Mgt_Unit!$C$5:$C$1018, 0)), INDEX(Mgt_Unit!$B$5:$B$1018, MATCH(C640, Mgt_Unit!$C$5:$C$1018, 0)), "")</f>
        <v>jennifer.moore</v>
      </c>
      <c r="C640" t="s">
        <v>826</v>
      </c>
      <c r="D640" s="65"/>
      <c r="E640">
        <v>3</v>
      </c>
      <c r="F640" t="s">
        <v>1538</v>
      </c>
      <c r="G640" t="s">
        <v>1544</v>
      </c>
      <c r="H640" t="s">
        <v>50</v>
      </c>
      <c r="I640" t="s">
        <v>87</v>
      </c>
      <c r="J640" s="89">
        <v>42876</v>
      </c>
      <c r="K640" s="89">
        <v>43056</v>
      </c>
      <c r="L640" s="89"/>
      <c r="M640" s="31">
        <v>0</v>
      </c>
      <c r="N640" s="9"/>
      <c r="O640" s="33"/>
      <c r="P640" s="33"/>
      <c r="Q640" s="9"/>
      <c r="R640" s="67"/>
      <c r="S640" s="9"/>
    </row>
    <row r="641" spans="1:19" ht="15" customHeight="1" x14ac:dyDescent="0.25">
      <c r="A641" s="4"/>
      <c r="B641" s="28" t="str">
        <f>IF(ISNUMBER(MATCH(C641, Mgt_Unit!$C$5:$C$1018, 0)), INDEX(Mgt_Unit!$B$5:$B$1018, MATCH(C641, Mgt_Unit!$C$5:$C$1018, 0)), "")</f>
        <v>jennifer.moore</v>
      </c>
      <c r="C641" s="87" t="s">
        <v>826</v>
      </c>
      <c r="D641" s="65"/>
      <c r="E641" s="87">
        <v>4</v>
      </c>
      <c r="F641" s="87" t="s">
        <v>1538</v>
      </c>
      <c r="G641" s="87" t="s">
        <v>1544</v>
      </c>
      <c r="H641" s="87" t="s">
        <v>50</v>
      </c>
      <c r="I641" s="87" t="s">
        <v>175</v>
      </c>
      <c r="J641" s="90">
        <v>43261</v>
      </c>
      <c r="K641" s="90">
        <v>43346</v>
      </c>
      <c r="L641" s="90"/>
      <c r="M641" s="93">
        <v>90</v>
      </c>
      <c r="N641" s="9"/>
      <c r="O641" s="33"/>
      <c r="P641" s="33"/>
      <c r="Q641" s="9"/>
      <c r="R641" s="67"/>
      <c r="S641" s="9"/>
    </row>
    <row r="642" spans="1:19" ht="15" customHeight="1" x14ac:dyDescent="0.25">
      <c r="A642" s="4"/>
      <c r="B642" s="28" t="str">
        <f>IF(ISNUMBER(MATCH(C642, Mgt_Unit!$C$5:$C$1018, 0)), INDEX(Mgt_Unit!$B$5:$B$1018, MATCH(C642, Mgt_Unit!$C$5:$C$1018, 0)), "")</f>
        <v>jennifer.moore</v>
      </c>
      <c r="C642" t="s">
        <v>827</v>
      </c>
      <c r="D642" s="65"/>
      <c r="E642">
        <v>1</v>
      </c>
      <c r="F642" t="s">
        <v>1538</v>
      </c>
      <c r="G642" t="s">
        <v>1544</v>
      </c>
      <c r="H642" t="s">
        <v>50</v>
      </c>
      <c r="I642" t="s">
        <v>175</v>
      </c>
      <c r="J642" s="89">
        <v>42165</v>
      </c>
      <c r="K642" s="89">
        <v>42250</v>
      </c>
      <c r="L642" s="89"/>
      <c r="M642" s="31">
        <v>90</v>
      </c>
      <c r="N642" s="9"/>
      <c r="O642" s="33"/>
      <c r="P642" s="33"/>
      <c r="Q642" s="9"/>
      <c r="R642" s="67"/>
      <c r="S642" s="9"/>
    </row>
    <row r="643" spans="1:19" ht="15" customHeight="1" x14ac:dyDescent="0.25">
      <c r="A643" s="4"/>
      <c r="B643" s="28" t="str">
        <f>IF(ISNUMBER(MATCH(C643, Mgt_Unit!$C$5:$C$1018, 0)), INDEX(Mgt_Unit!$B$5:$B$1018, MATCH(C643, Mgt_Unit!$C$5:$C$1018, 0)), "")</f>
        <v>jennifer.moore</v>
      </c>
      <c r="C643" t="s">
        <v>827</v>
      </c>
      <c r="D643" s="65"/>
      <c r="E643">
        <v>2</v>
      </c>
      <c r="F643" t="s">
        <v>1538</v>
      </c>
      <c r="G643" t="s">
        <v>1544</v>
      </c>
      <c r="H643" t="s">
        <v>441</v>
      </c>
      <c r="I643" t="s">
        <v>27</v>
      </c>
      <c r="J643" s="89">
        <v>42278</v>
      </c>
      <c r="K643" s="89">
        <v>42561</v>
      </c>
      <c r="L643" s="89"/>
      <c r="M643" s="31">
        <v>0</v>
      </c>
      <c r="N643" s="9"/>
      <c r="O643" s="33"/>
      <c r="P643" s="33"/>
      <c r="Q643" s="9"/>
      <c r="R643" s="67"/>
      <c r="S643" s="9"/>
    </row>
    <row r="644" spans="1:19" ht="15" customHeight="1" x14ac:dyDescent="0.25">
      <c r="A644" s="4"/>
      <c r="B644" s="28" t="str">
        <f>IF(ISNUMBER(MATCH(C644, Mgt_Unit!$C$5:$C$1018, 0)), INDEX(Mgt_Unit!$B$5:$B$1018, MATCH(C644, Mgt_Unit!$C$5:$C$1018, 0)), "")</f>
        <v>jennifer.moore</v>
      </c>
      <c r="C644" t="s">
        <v>827</v>
      </c>
      <c r="D644" s="65"/>
      <c r="E644">
        <v>3</v>
      </c>
      <c r="F644" t="s">
        <v>1538</v>
      </c>
      <c r="G644" t="s">
        <v>1544</v>
      </c>
      <c r="H644" t="s">
        <v>50</v>
      </c>
      <c r="I644" t="s">
        <v>87</v>
      </c>
      <c r="J644" s="89">
        <v>42876</v>
      </c>
      <c r="K644" s="89">
        <v>43056</v>
      </c>
      <c r="L644" s="89"/>
      <c r="M644" s="31">
        <v>0</v>
      </c>
      <c r="N644" s="9"/>
      <c r="O644" s="33"/>
      <c r="P644" s="33"/>
      <c r="Q644" s="9"/>
      <c r="R644" s="67"/>
      <c r="S644" s="9"/>
    </row>
    <row r="645" spans="1:19" ht="15" customHeight="1" x14ac:dyDescent="0.25">
      <c r="A645" s="4"/>
      <c r="B645" s="28" t="str">
        <f>IF(ISNUMBER(MATCH(C645, Mgt_Unit!$C$5:$C$1018, 0)), INDEX(Mgt_Unit!$B$5:$B$1018, MATCH(C645, Mgt_Unit!$C$5:$C$1018, 0)), "")</f>
        <v>jennifer.moore</v>
      </c>
      <c r="C645" s="87" t="s">
        <v>827</v>
      </c>
      <c r="D645" s="65"/>
      <c r="E645" s="87">
        <v>4</v>
      </c>
      <c r="F645" s="87" t="s">
        <v>1538</v>
      </c>
      <c r="G645" s="87" t="s">
        <v>1544</v>
      </c>
      <c r="H645" s="87" t="s">
        <v>50</v>
      </c>
      <c r="I645" s="87" t="s">
        <v>175</v>
      </c>
      <c r="J645" s="90">
        <v>43261</v>
      </c>
      <c r="K645" s="90">
        <v>43346</v>
      </c>
      <c r="L645" s="90"/>
      <c r="M645" s="93">
        <v>90</v>
      </c>
      <c r="N645" s="9"/>
      <c r="O645" s="33"/>
      <c r="P645" s="33"/>
      <c r="Q645" s="9"/>
      <c r="R645" s="67"/>
      <c r="S645" s="9"/>
    </row>
    <row r="646" spans="1:19" ht="15" customHeight="1" x14ac:dyDescent="0.25">
      <c r="A646" s="4"/>
      <c r="B646" s="28" t="str">
        <f>IF(ISNUMBER(MATCH(C646, Mgt_Unit!$C$5:$C$1018, 0)), INDEX(Mgt_Unit!$B$5:$B$1018, MATCH(C646, Mgt_Unit!$C$5:$C$1018, 0)), "")</f>
        <v>jennifer.moore</v>
      </c>
      <c r="C646" t="s">
        <v>828</v>
      </c>
      <c r="D646" s="65"/>
      <c r="E646">
        <v>1</v>
      </c>
      <c r="F646" t="s">
        <v>1538</v>
      </c>
      <c r="G646" t="s">
        <v>1544</v>
      </c>
      <c r="H646" t="s">
        <v>50</v>
      </c>
      <c r="I646" t="s">
        <v>175</v>
      </c>
      <c r="J646" s="89">
        <v>42165</v>
      </c>
      <c r="K646" s="89">
        <v>42250</v>
      </c>
      <c r="L646" s="89"/>
      <c r="M646" s="31">
        <v>90</v>
      </c>
      <c r="N646" s="9"/>
      <c r="O646" s="33"/>
      <c r="P646" s="33"/>
      <c r="Q646" s="9"/>
      <c r="R646" s="67"/>
      <c r="S646" s="9"/>
    </row>
    <row r="647" spans="1:19" ht="15" customHeight="1" x14ac:dyDescent="0.25">
      <c r="A647" s="4"/>
      <c r="B647" s="28" t="str">
        <f>IF(ISNUMBER(MATCH(C647, Mgt_Unit!$C$5:$C$1018, 0)), INDEX(Mgt_Unit!$B$5:$B$1018, MATCH(C647, Mgt_Unit!$C$5:$C$1018, 0)), "")</f>
        <v>jennifer.moore</v>
      </c>
      <c r="C647" t="s">
        <v>828</v>
      </c>
      <c r="D647" s="65"/>
      <c r="E647">
        <v>2</v>
      </c>
      <c r="F647" t="s">
        <v>1538</v>
      </c>
      <c r="G647" t="s">
        <v>1544</v>
      </c>
      <c r="H647" t="s">
        <v>441</v>
      </c>
      <c r="I647" t="s">
        <v>27</v>
      </c>
      <c r="J647" s="89">
        <v>42278</v>
      </c>
      <c r="K647" s="89">
        <v>42561</v>
      </c>
      <c r="L647" s="89"/>
      <c r="M647" s="31">
        <v>0</v>
      </c>
      <c r="N647" s="9"/>
      <c r="O647" s="33"/>
      <c r="P647" s="33"/>
      <c r="Q647" s="9"/>
      <c r="R647" s="67"/>
      <c r="S647" s="9"/>
    </row>
    <row r="648" spans="1:19" ht="15" customHeight="1" x14ac:dyDescent="0.25">
      <c r="A648" s="4"/>
      <c r="B648" s="28" t="str">
        <f>IF(ISNUMBER(MATCH(C648, Mgt_Unit!$C$5:$C$1018, 0)), INDEX(Mgt_Unit!$B$5:$B$1018, MATCH(C648, Mgt_Unit!$C$5:$C$1018, 0)), "")</f>
        <v>jennifer.moore</v>
      </c>
      <c r="C648" t="s">
        <v>828</v>
      </c>
      <c r="D648" s="65"/>
      <c r="E648">
        <v>3</v>
      </c>
      <c r="F648" t="s">
        <v>1538</v>
      </c>
      <c r="G648" t="s">
        <v>1544</v>
      </c>
      <c r="H648" t="s">
        <v>50</v>
      </c>
      <c r="I648" t="s">
        <v>87</v>
      </c>
      <c r="J648" s="89">
        <v>42876</v>
      </c>
      <c r="K648" s="89">
        <v>43056</v>
      </c>
      <c r="L648" s="89"/>
      <c r="M648" s="31">
        <v>0</v>
      </c>
      <c r="N648" s="9"/>
      <c r="O648" s="33"/>
      <c r="P648" s="33"/>
      <c r="Q648" s="9"/>
      <c r="R648" s="67"/>
      <c r="S648" s="9"/>
    </row>
    <row r="649" spans="1:19" ht="15" customHeight="1" x14ac:dyDescent="0.25">
      <c r="A649" s="4"/>
      <c r="B649" s="28" t="str">
        <f>IF(ISNUMBER(MATCH(C649, Mgt_Unit!$C$5:$C$1018, 0)), INDEX(Mgt_Unit!$B$5:$B$1018, MATCH(C649, Mgt_Unit!$C$5:$C$1018, 0)), "")</f>
        <v>jennifer.moore</v>
      </c>
      <c r="C649" s="87" t="s">
        <v>828</v>
      </c>
      <c r="D649" s="65"/>
      <c r="E649" s="87">
        <v>4</v>
      </c>
      <c r="F649" s="87" t="s">
        <v>1538</v>
      </c>
      <c r="G649" s="87" t="s">
        <v>1544</v>
      </c>
      <c r="H649" s="87" t="s">
        <v>50</v>
      </c>
      <c r="I649" s="87" t="s">
        <v>175</v>
      </c>
      <c r="J649" s="90">
        <v>43261</v>
      </c>
      <c r="K649" s="90">
        <v>43346</v>
      </c>
      <c r="L649" s="90"/>
      <c r="M649" s="93">
        <v>90</v>
      </c>
      <c r="N649" s="9"/>
      <c r="O649" s="33"/>
      <c r="P649" s="33"/>
      <c r="Q649" s="9"/>
      <c r="R649" s="67"/>
      <c r="S649" s="9"/>
    </row>
    <row r="650" spans="1:19" ht="15" customHeight="1" x14ac:dyDescent="0.25">
      <c r="A650" s="4"/>
      <c r="B650" s="28" t="str">
        <f>IF(ISNUMBER(MATCH(C650, Mgt_Unit!$C$5:$C$1018, 0)), INDEX(Mgt_Unit!$B$5:$B$1018, MATCH(C650, Mgt_Unit!$C$5:$C$1018, 0)), "")</f>
        <v>jennifer.moore</v>
      </c>
      <c r="C650" s="107" t="s">
        <v>1304</v>
      </c>
      <c r="D650" s="65"/>
      <c r="E650" s="107">
        <v>1</v>
      </c>
      <c r="F650" s="107" t="s">
        <v>1537</v>
      </c>
      <c r="G650" s="107" t="s">
        <v>1536</v>
      </c>
      <c r="H650" s="107" t="s">
        <v>1549</v>
      </c>
      <c r="I650" s="107" t="s">
        <v>1554</v>
      </c>
      <c r="J650" s="109">
        <v>43101</v>
      </c>
      <c r="K650" s="109"/>
      <c r="L650" s="109">
        <v>43830</v>
      </c>
      <c r="M650" s="110">
        <v>0</v>
      </c>
      <c r="N650" s="9"/>
      <c r="O650" s="33"/>
      <c r="P650" s="33"/>
      <c r="Q650" s="9"/>
      <c r="R650" s="67"/>
      <c r="S650" s="9"/>
    </row>
    <row r="651" spans="1:19" ht="15" customHeight="1" x14ac:dyDescent="0.25">
      <c r="A651" s="4"/>
      <c r="B651" s="28" t="str">
        <f>IF(ISNUMBER(MATCH(C651, Mgt_Unit!$C$5:$C$1018, 0)), INDEX(Mgt_Unit!$B$5:$B$1018, MATCH(C651, Mgt_Unit!$C$5:$C$1018, 0)), "")</f>
        <v>jennifer.moore</v>
      </c>
      <c r="C651" s="107" t="s">
        <v>1303</v>
      </c>
      <c r="D651" s="65"/>
      <c r="E651" s="107">
        <v>1</v>
      </c>
      <c r="F651" s="107" t="s">
        <v>1537</v>
      </c>
      <c r="G651" s="107" t="s">
        <v>1536</v>
      </c>
      <c r="H651" s="107" t="s">
        <v>1549</v>
      </c>
      <c r="I651" s="107" t="s">
        <v>1554</v>
      </c>
      <c r="J651" s="109">
        <v>43101</v>
      </c>
      <c r="K651" s="109"/>
      <c r="L651" s="109">
        <v>43830</v>
      </c>
      <c r="M651" s="110">
        <v>0</v>
      </c>
      <c r="N651" s="9"/>
      <c r="O651" s="33"/>
      <c r="P651" s="33"/>
      <c r="Q651" s="9"/>
      <c r="R651" s="67"/>
      <c r="S651" s="9"/>
    </row>
    <row r="652" spans="1:19" ht="15" customHeight="1" x14ac:dyDescent="0.25">
      <c r="A652" s="4"/>
      <c r="B652" s="28" t="str">
        <f>IF(ISNUMBER(MATCH(C652, Mgt_Unit!$C$5:$C$1018, 0)), INDEX(Mgt_Unit!$B$5:$B$1018, MATCH(C652, Mgt_Unit!$C$5:$C$1018, 0)), "")</f>
        <v>jennifer.moore</v>
      </c>
      <c r="C652" s="107" t="s">
        <v>1305</v>
      </c>
      <c r="D652" s="65"/>
      <c r="E652" s="107">
        <v>1</v>
      </c>
      <c r="F652" s="107" t="s">
        <v>1537</v>
      </c>
      <c r="G652" s="107" t="s">
        <v>1536</v>
      </c>
      <c r="H652" s="107" t="s">
        <v>1549</v>
      </c>
      <c r="I652" s="107" t="s">
        <v>1554</v>
      </c>
      <c r="J652" s="109">
        <v>43101</v>
      </c>
      <c r="K652" s="109"/>
      <c r="L652" s="109">
        <v>43830</v>
      </c>
      <c r="M652" s="110">
        <v>0</v>
      </c>
      <c r="N652" s="9"/>
      <c r="O652" s="33"/>
      <c r="P652" s="33"/>
      <c r="Q652" s="9"/>
      <c r="R652" s="67"/>
      <c r="S652" s="9"/>
    </row>
    <row r="653" spans="1:19" ht="15" customHeight="1" x14ac:dyDescent="0.25">
      <c r="A653" s="4"/>
      <c r="B653" s="28" t="str">
        <f>IF(ISNUMBER(MATCH(C653, Mgt_Unit!$C$5:$C$1018, 0)), INDEX(Mgt_Unit!$B$5:$B$1018, MATCH(C653, Mgt_Unit!$C$5:$C$1018, 0)), "")</f>
        <v>jennifer.moore</v>
      </c>
      <c r="C653" t="s">
        <v>829</v>
      </c>
      <c r="D653" s="65"/>
      <c r="E653">
        <v>1</v>
      </c>
      <c r="F653" t="s">
        <v>1538</v>
      </c>
      <c r="G653" t="s">
        <v>1544</v>
      </c>
      <c r="H653" t="s">
        <v>441</v>
      </c>
      <c r="I653" t="s">
        <v>27</v>
      </c>
      <c r="J653" s="89">
        <v>42644</v>
      </c>
      <c r="K653" s="89">
        <v>42926</v>
      </c>
      <c r="L653" s="89"/>
      <c r="M653" s="31">
        <v>0</v>
      </c>
      <c r="N653" s="9"/>
      <c r="O653" s="33"/>
      <c r="P653" s="33"/>
      <c r="Q653" s="9"/>
      <c r="R653" s="67"/>
      <c r="S653" s="9"/>
    </row>
    <row r="654" spans="1:19" ht="15" customHeight="1" x14ac:dyDescent="0.25">
      <c r="A654" s="4"/>
      <c r="B654" s="28" t="str">
        <f>IF(ISNUMBER(MATCH(C654, Mgt_Unit!$C$5:$C$1018, 0)), INDEX(Mgt_Unit!$B$5:$B$1018, MATCH(C654, Mgt_Unit!$C$5:$C$1018, 0)), "")</f>
        <v>jennifer.moore</v>
      </c>
      <c r="C654" s="87" t="s">
        <v>829</v>
      </c>
      <c r="D654" s="65"/>
      <c r="E654" s="87">
        <v>2</v>
      </c>
      <c r="F654" s="87" t="s">
        <v>1538</v>
      </c>
      <c r="G654" s="87" t="s">
        <v>1544</v>
      </c>
      <c r="H654" s="87" t="s">
        <v>50</v>
      </c>
      <c r="I654" s="87" t="s">
        <v>87</v>
      </c>
      <c r="J654" s="90">
        <v>43241</v>
      </c>
      <c r="K654" s="90">
        <v>43421</v>
      </c>
      <c r="L654" s="90"/>
      <c r="M654" s="93">
        <v>0</v>
      </c>
      <c r="N654" s="9"/>
      <c r="O654" s="33"/>
      <c r="P654" s="33"/>
      <c r="Q654" s="9"/>
      <c r="R654" s="67"/>
      <c r="S654" s="9"/>
    </row>
    <row r="655" spans="1:19" ht="15" customHeight="1" x14ac:dyDescent="0.25">
      <c r="A655" s="4"/>
      <c r="B655" s="28" t="str">
        <f>IF(ISNUMBER(MATCH(C655, Mgt_Unit!$C$5:$C$1018, 0)), INDEX(Mgt_Unit!$B$5:$B$1018, MATCH(C655, Mgt_Unit!$C$5:$C$1018, 0)), "")</f>
        <v>jennifer.moore</v>
      </c>
      <c r="C655" t="s">
        <v>830</v>
      </c>
      <c r="D655" s="65"/>
      <c r="E655">
        <v>1</v>
      </c>
      <c r="F655" t="s">
        <v>1538</v>
      </c>
      <c r="G655" t="s">
        <v>1544</v>
      </c>
      <c r="H655" t="s">
        <v>441</v>
      </c>
      <c r="I655" t="s">
        <v>27</v>
      </c>
      <c r="J655" s="89">
        <v>42644</v>
      </c>
      <c r="K655" s="89">
        <v>42926</v>
      </c>
      <c r="L655" s="89"/>
      <c r="M655" s="31">
        <v>0</v>
      </c>
      <c r="N655" s="9"/>
      <c r="O655" s="33"/>
      <c r="P655" s="33"/>
      <c r="Q655" s="9"/>
      <c r="R655" s="67"/>
      <c r="S655" s="9"/>
    </row>
    <row r="656" spans="1:19" ht="15" customHeight="1" x14ac:dyDescent="0.25">
      <c r="A656" s="4"/>
      <c r="B656" s="28" t="str">
        <f>IF(ISNUMBER(MATCH(C656, Mgt_Unit!$C$5:$C$1018, 0)), INDEX(Mgt_Unit!$B$5:$B$1018, MATCH(C656, Mgt_Unit!$C$5:$C$1018, 0)), "")</f>
        <v>jennifer.moore</v>
      </c>
      <c r="C656" s="87" t="s">
        <v>830</v>
      </c>
      <c r="D656" s="65"/>
      <c r="E656" s="87">
        <v>2</v>
      </c>
      <c r="F656" s="87" t="s">
        <v>1538</v>
      </c>
      <c r="G656" s="87" t="s">
        <v>1544</v>
      </c>
      <c r="H656" s="87" t="s">
        <v>50</v>
      </c>
      <c r="I656" s="87" t="s">
        <v>87</v>
      </c>
      <c r="J656" s="90">
        <v>43241</v>
      </c>
      <c r="K656" s="90">
        <v>43421</v>
      </c>
      <c r="L656" s="90"/>
      <c r="M656" s="93">
        <v>0</v>
      </c>
      <c r="N656" s="9"/>
      <c r="O656" s="33"/>
      <c r="P656" s="33"/>
      <c r="Q656" s="9"/>
      <c r="R656" s="67"/>
      <c r="S656" s="9"/>
    </row>
    <row r="657" spans="1:19" ht="15" customHeight="1" x14ac:dyDescent="0.25">
      <c r="A657" s="4"/>
      <c r="B657" s="28" t="str">
        <f>IF(ISNUMBER(MATCH(C657, Mgt_Unit!$C$5:$C$1018, 0)), INDEX(Mgt_Unit!$B$5:$B$1018, MATCH(C657, Mgt_Unit!$C$5:$C$1018, 0)), "")</f>
        <v>jennifer.moore</v>
      </c>
      <c r="C657" t="s">
        <v>831</v>
      </c>
      <c r="D657" s="65"/>
      <c r="E657">
        <v>1</v>
      </c>
      <c r="F657" t="s">
        <v>1538</v>
      </c>
      <c r="G657" t="s">
        <v>1544</v>
      </c>
      <c r="H657" t="s">
        <v>441</v>
      </c>
      <c r="I657" t="s">
        <v>27</v>
      </c>
      <c r="J657" s="89">
        <v>42644</v>
      </c>
      <c r="K657" s="89">
        <v>42926</v>
      </c>
      <c r="L657" s="89"/>
      <c r="M657" s="31">
        <v>0</v>
      </c>
      <c r="N657" s="9"/>
      <c r="O657" s="33"/>
      <c r="P657" s="33"/>
      <c r="Q657" s="9"/>
      <c r="R657" s="67"/>
      <c r="S657" s="9"/>
    </row>
    <row r="658" spans="1:19" ht="15" customHeight="1" x14ac:dyDescent="0.25">
      <c r="A658" s="4"/>
      <c r="B658" s="28" t="str">
        <f>IF(ISNUMBER(MATCH(C658, Mgt_Unit!$C$5:$C$1018, 0)), INDEX(Mgt_Unit!$B$5:$B$1018, MATCH(C658, Mgt_Unit!$C$5:$C$1018, 0)), "")</f>
        <v>jennifer.moore</v>
      </c>
      <c r="C658" s="87" t="s">
        <v>831</v>
      </c>
      <c r="D658" s="65"/>
      <c r="E658" s="87">
        <v>2</v>
      </c>
      <c r="F658" s="87" t="s">
        <v>1538</v>
      </c>
      <c r="G658" s="87" t="s">
        <v>1544</v>
      </c>
      <c r="H658" s="87" t="s">
        <v>50</v>
      </c>
      <c r="I658" s="87" t="s">
        <v>87</v>
      </c>
      <c r="J658" s="90">
        <v>43241</v>
      </c>
      <c r="K658" s="90">
        <v>43421</v>
      </c>
      <c r="L658" s="90"/>
      <c r="M658" s="93">
        <v>0</v>
      </c>
      <c r="N658" s="9"/>
      <c r="O658" s="33"/>
      <c r="P658" s="33"/>
      <c r="Q658" s="9"/>
      <c r="R658" s="67"/>
      <c r="S658" s="9"/>
    </row>
    <row r="659" spans="1:19" ht="15" customHeight="1" x14ac:dyDescent="0.25">
      <c r="A659" s="4"/>
      <c r="B659" s="28" t="str">
        <f>IF(ISNUMBER(MATCH(C659, Mgt_Unit!$C$5:$C$1018, 0)), INDEX(Mgt_Unit!$B$5:$B$1018, MATCH(C659, Mgt_Unit!$C$5:$C$1018, 0)), "")</f>
        <v>jennifer.moore</v>
      </c>
      <c r="C659" s="88" t="s">
        <v>832</v>
      </c>
      <c r="D659" s="65"/>
      <c r="E659" s="88">
        <v>1</v>
      </c>
      <c r="F659" s="88" t="s">
        <v>1538</v>
      </c>
      <c r="G659" s="88" t="s">
        <v>1544</v>
      </c>
      <c r="H659" s="88" t="s">
        <v>441</v>
      </c>
      <c r="I659" s="88" t="s">
        <v>27</v>
      </c>
      <c r="J659" s="91">
        <v>43009</v>
      </c>
      <c r="K659" s="91">
        <v>43291</v>
      </c>
      <c r="L659" s="91"/>
      <c r="M659" s="94">
        <v>0</v>
      </c>
      <c r="N659" s="9"/>
      <c r="O659" s="33"/>
      <c r="P659" s="33"/>
      <c r="Q659" s="9"/>
      <c r="R659" s="67"/>
      <c r="S659" s="9"/>
    </row>
    <row r="660" spans="1:19" ht="15" customHeight="1" x14ac:dyDescent="0.25">
      <c r="A660" s="4"/>
      <c r="B660" s="28" t="str">
        <f>IF(ISNUMBER(MATCH(C660, Mgt_Unit!$C$5:$C$1018, 0)), INDEX(Mgt_Unit!$B$5:$B$1018, MATCH(C660, Mgt_Unit!$C$5:$C$1018, 0)), "")</f>
        <v>jennifer.moore</v>
      </c>
      <c r="C660" s="88" t="s">
        <v>833</v>
      </c>
      <c r="D660" s="65"/>
      <c r="E660" s="88">
        <v>1</v>
      </c>
      <c r="F660" s="88" t="s">
        <v>1538</v>
      </c>
      <c r="G660" s="88" t="s">
        <v>1544</v>
      </c>
      <c r="H660" s="88" t="s">
        <v>441</v>
      </c>
      <c r="I660" s="88" t="s">
        <v>27</v>
      </c>
      <c r="J660" s="91">
        <v>43009</v>
      </c>
      <c r="K660" s="91">
        <v>43291</v>
      </c>
      <c r="L660" s="91"/>
      <c r="M660" s="94">
        <v>0</v>
      </c>
      <c r="N660" s="9"/>
      <c r="O660" s="33"/>
      <c r="P660" s="33"/>
      <c r="Q660" s="9"/>
      <c r="R660" s="67"/>
      <c r="S660" s="9"/>
    </row>
    <row r="661" spans="1:19" ht="15" customHeight="1" x14ac:dyDescent="0.25">
      <c r="A661" s="4"/>
      <c r="B661" s="28" t="str">
        <f>IF(ISNUMBER(MATCH(C661, Mgt_Unit!$C$5:$C$1018, 0)), INDEX(Mgt_Unit!$B$5:$B$1018, MATCH(C661, Mgt_Unit!$C$5:$C$1018, 0)), "")</f>
        <v>jennifer.moore</v>
      </c>
      <c r="C661" s="88" t="s">
        <v>834</v>
      </c>
      <c r="D661" s="65"/>
      <c r="E661" s="88">
        <v>1</v>
      </c>
      <c r="F661" s="88" t="s">
        <v>1538</v>
      </c>
      <c r="G661" s="88" t="s">
        <v>1544</v>
      </c>
      <c r="H661" s="88" t="s">
        <v>441</v>
      </c>
      <c r="I661" s="88" t="s">
        <v>27</v>
      </c>
      <c r="J661" s="91">
        <v>43009</v>
      </c>
      <c r="K661" s="91">
        <v>43291</v>
      </c>
      <c r="L661" s="91"/>
      <c r="M661" s="94">
        <v>0</v>
      </c>
      <c r="N661" s="9"/>
      <c r="O661" s="33"/>
      <c r="P661" s="33"/>
      <c r="Q661" s="9"/>
      <c r="R661" s="67"/>
      <c r="S661" s="9"/>
    </row>
    <row r="662" spans="1:19" ht="15" customHeight="1" x14ac:dyDescent="0.25">
      <c r="A662" s="4"/>
      <c r="B662" s="28" t="str">
        <f>IF(ISNUMBER(MATCH(C662, Mgt_Unit!$C$5:$C$1018, 0)), INDEX(Mgt_Unit!$B$5:$B$1018, MATCH(C662, Mgt_Unit!$C$5:$C$1018, 0)), "")</f>
        <v>jennifer.moore</v>
      </c>
      <c r="C662" t="s">
        <v>835</v>
      </c>
      <c r="D662" s="65"/>
      <c r="E662">
        <v>1</v>
      </c>
      <c r="F662" t="s">
        <v>1538</v>
      </c>
      <c r="G662" t="s">
        <v>1544</v>
      </c>
      <c r="H662" t="s">
        <v>441</v>
      </c>
      <c r="I662" t="s">
        <v>27</v>
      </c>
      <c r="J662" s="89">
        <v>42638</v>
      </c>
      <c r="K662" s="89">
        <v>42931</v>
      </c>
      <c r="L662" s="89"/>
      <c r="M662" s="31">
        <v>0</v>
      </c>
      <c r="N662" s="9"/>
      <c r="O662" s="33"/>
      <c r="P662" s="33"/>
      <c r="Q662" s="9"/>
      <c r="R662" s="67"/>
      <c r="S662" s="9"/>
    </row>
    <row r="663" spans="1:19" ht="15" customHeight="1" x14ac:dyDescent="0.25">
      <c r="A663" s="4"/>
      <c r="B663" s="28" t="str">
        <f>IF(ISNUMBER(MATCH(C663, Mgt_Unit!$C$5:$C$1018, 0)), INDEX(Mgt_Unit!$B$5:$B$1018, MATCH(C663, Mgt_Unit!$C$5:$C$1018, 0)), "")</f>
        <v>jennifer.moore</v>
      </c>
      <c r="C663" s="87" t="s">
        <v>835</v>
      </c>
      <c r="D663" s="65"/>
      <c r="E663" s="87">
        <v>2</v>
      </c>
      <c r="F663" s="87" t="s">
        <v>1538</v>
      </c>
      <c r="G663" s="87" t="s">
        <v>1544</v>
      </c>
      <c r="H663" s="87" t="s">
        <v>50</v>
      </c>
      <c r="I663" s="87" t="s">
        <v>87</v>
      </c>
      <c r="J663" s="90">
        <v>43235</v>
      </c>
      <c r="K663" s="90">
        <v>43374</v>
      </c>
      <c r="L663" s="90"/>
      <c r="M663" s="93">
        <v>0</v>
      </c>
      <c r="N663" s="9"/>
      <c r="O663" s="33"/>
      <c r="P663" s="33"/>
      <c r="Q663" s="9"/>
      <c r="R663" s="67"/>
      <c r="S663" s="9"/>
    </row>
    <row r="664" spans="1:19" ht="15" customHeight="1" x14ac:dyDescent="0.25">
      <c r="A664" s="4"/>
      <c r="B664" s="28" t="str">
        <f>IF(ISNUMBER(MATCH(C664, Mgt_Unit!$C$5:$C$1018, 0)), INDEX(Mgt_Unit!$B$5:$B$1018, MATCH(C664, Mgt_Unit!$C$5:$C$1018, 0)), "")</f>
        <v>jennifer.moore</v>
      </c>
      <c r="C664" t="s">
        <v>836</v>
      </c>
      <c r="D664" s="65"/>
      <c r="E664">
        <v>1</v>
      </c>
      <c r="F664" t="s">
        <v>1538</v>
      </c>
      <c r="G664" t="s">
        <v>1544</v>
      </c>
      <c r="H664" t="s">
        <v>441</v>
      </c>
      <c r="I664" t="s">
        <v>27</v>
      </c>
      <c r="J664" s="89">
        <v>42638</v>
      </c>
      <c r="K664" s="89">
        <v>42931</v>
      </c>
      <c r="L664" s="89"/>
      <c r="M664" s="31">
        <v>0</v>
      </c>
      <c r="N664" s="9"/>
      <c r="O664" s="33"/>
      <c r="P664" s="33"/>
      <c r="Q664" s="9"/>
      <c r="R664" s="67"/>
      <c r="S664" s="9"/>
    </row>
    <row r="665" spans="1:19" ht="15" customHeight="1" x14ac:dyDescent="0.25">
      <c r="A665" s="4"/>
      <c r="B665" s="28" t="str">
        <f>IF(ISNUMBER(MATCH(C665, Mgt_Unit!$C$5:$C$1018, 0)), INDEX(Mgt_Unit!$B$5:$B$1018, MATCH(C665, Mgt_Unit!$C$5:$C$1018, 0)), "")</f>
        <v>jennifer.moore</v>
      </c>
      <c r="C665" s="87" t="s">
        <v>836</v>
      </c>
      <c r="D665" s="65"/>
      <c r="E665" s="87">
        <v>2</v>
      </c>
      <c r="F665" s="87" t="s">
        <v>1538</v>
      </c>
      <c r="G665" s="87" t="s">
        <v>1544</v>
      </c>
      <c r="H665" s="87" t="s">
        <v>50</v>
      </c>
      <c r="I665" s="87" t="s">
        <v>87</v>
      </c>
      <c r="J665" s="90">
        <v>43235</v>
      </c>
      <c r="K665" s="90">
        <v>43374</v>
      </c>
      <c r="L665" s="90"/>
      <c r="M665" s="93">
        <v>0</v>
      </c>
      <c r="N665" s="9"/>
      <c r="O665" s="33"/>
      <c r="P665" s="33"/>
      <c r="Q665" s="9"/>
      <c r="R665" s="67"/>
      <c r="S665" s="9"/>
    </row>
    <row r="666" spans="1:19" ht="15" customHeight="1" x14ac:dyDescent="0.25">
      <c r="A666" s="4"/>
      <c r="B666" s="28" t="str">
        <f>IF(ISNUMBER(MATCH(C666, Mgt_Unit!$C$5:$C$1018, 0)), INDEX(Mgt_Unit!$B$5:$B$1018, MATCH(C666, Mgt_Unit!$C$5:$C$1018, 0)), "")</f>
        <v>jennifer.moore</v>
      </c>
      <c r="C666" s="88" t="s">
        <v>837</v>
      </c>
      <c r="D666" s="65"/>
      <c r="E666" s="88">
        <v>1</v>
      </c>
      <c r="F666" s="88" t="s">
        <v>1538</v>
      </c>
      <c r="G666" s="88" t="s">
        <v>1544</v>
      </c>
      <c r="H666" s="88" t="s">
        <v>441</v>
      </c>
      <c r="I666" s="88" t="s">
        <v>27</v>
      </c>
      <c r="J666" s="91">
        <v>43003</v>
      </c>
      <c r="K666" s="91">
        <v>43296</v>
      </c>
      <c r="L666" s="91"/>
      <c r="M666" s="94">
        <v>0</v>
      </c>
      <c r="N666" s="9"/>
      <c r="O666" s="33"/>
      <c r="P666" s="33"/>
      <c r="Q666" s="9"/>
      <c r="R666" s="67"/>
      <c r="S666" s="9"/>
    </row>
    <row r="667" spans="1:19" ht="15" customHeight="1" x14ac:dyDescent="0.25">
      <c r="A667" s="4"/>
      <c r="B667" s="28" t="str">
        <f>IF(ISNUMBER(MATCH(C667, Mgt_Unit!$C$5:$C$1018, 0)), INDEX(Mgt_Unit!$B$5:$B$1018, MATCH(C667, Mgt_Unit!$C$5:$C$1018, 0)), "")</f>
        <v>jennifer.moore</v>
      </c>
      <c r="C667" s="88" t="s">
        <v>838</v>
      </c>
      <c r="D667" s="65"/>
      <c r="E667" s="88">
        <v>1</v>
      </c>
      <c r="F667" s="88" t="s">
        <v>1538</v>
      </c>
      <c r="G667" s="88" t="s">
        <v>1544</v>
      </c>
      <c r="H667" s="88" t="s">
        <v>441</v>
      </c>
      <c r="I667" s="88" t="s">
        <v>27</v>
      </c>
      <c r="J667" s="91">
        <v>43003</v>
      </c>
      <c r="K667" s="91">
        <v>43296</v>
      </c>
      <c r="L667" s="91"/>
      <c r="M667" s="94">
        <v>0</v>
      </c>
      <c r="N667" s="9"/>
      <c r="O667" s="33"/>
      <c r="P667" s="33"/>
      <c r="Q667" s="9"/>
      <c r="R667" s="67"/>
      <c r="S667" s="9"/>
    </row>
    <row r="668" spans="1:19" ht="15" customHeight="1" x14ac:dyDescent="0.25">
      <c r="A668" s="4"/>
      <c r="B668" s="28" t="str">
        <f>IF(ISNUMBER(MATCH(C668, Mgt_Unit!$C$5:$C$1018, 0)), INDEX(Mgt_Unit!$B$5:$B$1018, MATCH(C668, Mgt_Unit!$C$5:$C$1018, 0)), "")</f>
        <v>jennifer.moore</v>
      </c>
      <c r="C668" s="101" t="s">
        <v>1307</v>
      </c>
      <c r="D668" s="65"/>
      <c r="E668" s="101">
        <v>1</v>
      </c>
      <c r="F668" s="101" t="s">
        <v>1537</v>
      </c>
      <c r="G668" s="101" t="s">
        <v>1536</v>
      </c>
      <c r="H668" s="101" t="s">
        <v>1549</v>
      </c>
      <c r="I668" s="101" t="s">
        <v>1554</v>
      </c>
      <c r="J668" s="103">
        <v>41640</v>
      </c>
      <c r="K668" s="103"/>
      <c r="L668" s="103">
        <v>43465</v>
      </c>
      <c r="M668" s="97">
        <v>0</v>
      </c>
      <c r="N668" s="9"/>
      <c r="O668" s="33"/>
      <c r="P668" s="33"/>
      <c r="Q668" s="9"/>
      <c r="R668" s="67"/>
      <c r="S668" s="9"/>
    </row>
    <row r="669" spans="1:19" ht="15" customHeight="1" x14ac:dyDescent="0.25">
      <c r="A669" s="4"/>
      <c r="B669" s="28" t="str">
        <f>IF(ISNUMBER(MATCH(C669, Mgt_Unit!$C$5:$C$1018, 0)), INDEX(Mgt_Unit!$B$5:$B$1018, MATCH(C669, Mgt_Unit!$C$5:$C$1018, 0)), "")</f>
        <v>jennifer.moore</v>
      </c>
      <c r="C669" s="100" t="s">
        <v>1308</v>
      </c>
      <c r="D669" s="65"/>
      <c r="E669" s="101">
        <v>1</v>
      </c>
      <c r="F669" s="101" t="s">
        <v>1537</v>
      </c>
      <c r="G669" s="101" t="s">
        <v>1536</v>
      </c>
      <c r="H669" s="101" t="s">
        <v>1549</v>
      </c>
      <c r="I669" s="101" t="s">
        <v>1554</v>
      </c>
      <c r="J669" s="103">
        <v>41640</v>
      </c>
      <c r="K669" s="103"/>
      <c r="L669" s="103">
        <v>43465</v>
      </c>
      <c r="M669" s="96">
        <v>0</v>
      </c>
      <c r="N669" s="9"/>
      <c r="O669" s="33"/>
      <c r="P669" s="33"/>
      <c r="Q669" s="9"/>
      <c r="R669" s="67"/>
      <c r="S669" s="9"/>
    </row>
    <row r="670" spans="1:19" ht="15" customHeight="1" x14ac:dyDescent="0.25">
      <c r="A670" s="4"/>
      <c r="B670" s="28" t="str">
        <f>IF(ISNUMBER(MATCH(C670, Mgt_Unit!$C$5:$C$1018, 0)), INDEX(Mgt_Unit!$B$5:$B$1018, MATCH(C670, Mgt_Unit!$C$5:$C$1018, 0)), "")</f>
        <v>jennifer.moore</v>
      </c>
      <c r="C670" s="101" t="s">
        <v>1309</v>
      </c>
      <c r="D670" s="65"/>
      <c r="E670" s="101">
        <v>1</v>
      </c>
      <c r="F670" s="101" t="s">
        <v>1537</v>
      </c>
      <c r="G670" s="101" t="s">
        <v>1536</v>
      </c>
      <c r="H670" s="101" t="s">
        <v>1549</v>
      </c>
      <c r="I670" s="101" t="s">
        <v>1554</v>
      </c>
      <c r="J670" s="103">
        <v>41640</v>
      </c>
      <c r="K670" s="103"/>
      <c r="L670" s="103">
        <v>43465</v>
      </c>
      <c r="M670" s="97">
        <v>0</v>
      </c>
      <c r="N670" s="9"/>
      <c r="O670" s="33"/>
      <c r="P670" s="33"/>
      <c r="Q670" s="9"/>
      <c r="R670" s="67"/>
      <c r="S670" s="9"/>
    </row>
    <row r="671" spans="1:19" ht="15" customHeight="1" x14ac:dyDescent="0.25">
      <c r="A671" s="4"/>
      <c r="B671" s="28" t="str">
        <f>IF(ISNUMBER(MATCH(C671, Mgt_Unit!$C$5:$C$1018, 0)), INDEX(Mgt_Unit!$B$5:$B$1018, MATCH(C671, Mgt_Unit!$C$5:$C$1018, 0)), "")</f>
        <v>jennifer.moore</v>
      </c>
      <c r="C671" s="105" t="s">
        <v>1306</v>
      </c>
      <c r="D671" s="65"/>
      <c r="E671" s="101">
        <v>1</v>
      </c>
      <c r="F671" s="101" t="s">
        <v>1537</v>
      </c>
      <c r="G671" s="101" t="s">
        <v>1536</v>
      </c>
      <c r="H671" s="101" t="s">
        <v>1549</v>
      </c>
      <c r="I671" s="101" t="s">
        <v>1554</v>
      </c>
      <c r="J671" s="103">
        <v>41640</v>
      </c>
      <c r="K671" s="103"/>
      <c r="L671" s="103">
        <v>43465</v>
      </c>
      <c r="M671" s="97">
        <v>0</v>
      </c>
      <c r="N671" s="9"/>
      <c r="O671" s="33"/>
      <c r="P671" s="33"/>
      <c r="Q671" s="9"/>
      <c r="R671" s="67"/>
      <c r="S671" s="9"/>
    </row>
    <row r="672" spans="1:19" ht="15" customHeight="1" x14ac:dyDescent="0.25">
      <c r="A672" s="4"/>
      <c r="B672" s="28" t="str">
        <f>IF(ISNUMBER(MATCH(C672, Mgt_Unit!$C$5:$C$1018, 0)), INDEX(Mgt_Unit!$B$5:$B$1018, MATCH(C672, Mgt_Unit!$C$5:$C$1018, 0)), "")</f>
        <v>jennifer.moore</v>
      </c>
      <c r="C672" t="s">
        <v>839</v>
      </c>
      <c r="D672" s="65"/>
      <c r="E672">
        <v>1</v>
      </c>
      <c r="F672" t="s">
        <v>1538</v>
      </c>
      <c r="G672" t="s">
        <v>1544</v>
      </c>
      <c r="H672" t="s">
        <v>50</v>
      </c>
      <c r="I672" t="s">
        <v>87</v>
      </c>
      <c r="J672" s="89">
        <v>43220</v>
      </c>
      <c r="K672" s="89">
        <v>43378</v>
      </c>
      <c r="L672" s="89"/>
      <c r="M672" s="31">
        <v>0</v>
      </c>
      <c r="N672" s="9"/>
      <c r="O672" s="33"/>
      <c r="P672" s="33"/>
      <c r="Q672" s="9"/>
      <c r="R672" s="67"/>
      <c r="S672" s="9"/>
    </row>
    <row r="673" spans="1:19" ht="15" customHeight="1" x14ac:dyDescent="0.25">
      <c r="A673" s="4"/>
      <c r="B673" s="28" t="str">
        <f>IF(ISNUMBER(MATCH(C673, Mgt_Unit!$C$5:$C$1018, 0)), INDEX(Mgt_Unit!$B$5:$B$1018, MATCH(C673, Mgt_Unit!$C$5:$C$1018, 0)), "")</f>
        <v>jennifer.moore</v>
      </c>
      <c r="C673" s="87" t="s">
        <v>839</v>
      </c>
      <c r="D673" s="65"/>
      <c r="E673" s="87">
        <v>2</v>
      </c>
      <c r="F673" s="87" t="s">
        <v>1538</v>
      </c>
      <c r="G673" s="87" t="s">
        <v>1544</v>
      </c>
      <c r="H673" s="87" t="s">
        <v>51</v>
      </c>
      <c r="I673" s="87" t="s">
        <v>137</v>
      </c>
      <c r="J673" s="90">
        <v>43615</v>
      </c>
      <c r="K673" s="90">
        <v>43769</v>
      </c>
      <c r="L673" s="90"/>
      <c r="M673" s="93">
        <v>0</v>
      </c>
      <c r="N673" s="9"/>
      <c r="O673" s="33"/>
      <c r="P673" s="33"/>
      <c r="Q673" s="9"/>
      <c r="R673" s="67"/>
      <c r="S673" s="9"/>
    </row>
    <row r="674" spans="1:19" ht="15" customHeight="1" x14ac:dyDescent="0.25">
      <c r="A674" s="4"/>
      <c r="B674" s="28" t="str">
        <f>IF(ISNUMBER(MATCH(C674, Mgt_Unit!$C$5:$C$1018, 0)), INDEX(Mgt_Unit!$B$5:$B$1018, MATCH(C674, Mgt_Unit!$C$5:$C$1018, 0)), "")</f>
        <v>jennifer.moore</v>
      </c>
      <c r="C674" t="s">
        <v>840</v>
      </c>
      <c r="D674" s="65"/>
      <c r="E674">
        <v>1</v>
      </c>
      <c r="F674" t="s">
        <v>1538</v>
      </c>
      <c r="G674" t="s">
        <v>1544</v>
      </c>
      <c r="H674" t="s">
        <v>50</v>
      </c>
      <c r="I674" t="s">
        <v>87</v>
      </c>
      <c r="J674" s="89">
        <v>43220</v>
      </c>
      <c r="K674" s="89">
        <v>43378</v>
      </c>
      <c r="L674" s="89"/>
      <c r="M674" s="31">
        <v>0</v>
      </c>
      <c r="N674" s="9"/>
      <c r="O674" s="33"/>
      <c r="P674" s="33"/>
      <c r="Q674" s="9"/>
      <c r="R674" s="67"/>
      <c r="S674" s="9"/>
    </row>
    <row r="675" spans="1:19" ht="15" customHeight="1" x14ac:dyDescent="0.25">
      <c r="A675" s="4"/>
      <c r="B675" s="28" t="str">
        <f>IF(ISNUMBER(MATCH(C675, Mgt_Unit!$C$5:$C$1018, 0)), INDEX(Mgt_Unit!$B$5:$B$1018, MATCH(C675, Mgt_Unit!$C$5:$C$1018, 0)), "")</f>
        <v>jennifer.moore</v>
      </c>
      <c r="C675" s="87" t="s">
        <v>840</v>
      </c>
      <c r="D675" s="65"/>
      <c r="E675" s="87">
        <v>2</v>
      </c>
      <c r="F675" s="87" t="s">
        <v>1538</v>
      </c>
      <c r="G675" s="87" t="s">
        <v>1544</v>
      </c>
      <c r="H675" s="87" t="s">
        <v>51</v>
      </c>
      <c r="I675" s="87" t="s">
        <v>137</v>
      </c>
      <c r="J675" s="90">
        <v>43615</v>
      </c>
      <c r="K675" s="90">
        <v>43769</v>
      </c>
      <c r="L675" s="90"/>
      <c r="M675" s="93">
        <v>0</v>
      </c>
      <c r="N675" s="9"/>
      <c r="O675" s="33"/>
      <c r="P675" s="33"/>
      <c r="Q675" s="9"/>
      <c r="R675" s="67"/>
      <c r="S675" s="9"/>
    </row>
    <row r="676" spans="1:19" ht="15" customHeight="1" x14ac:dyDescent="0.25">
      <c r="A676" s="4"/>
      <c r="B676" s="28" t="str">
        <f>IF(ISNUMBER(MATCH(C676, Mgt_Unit!$C$5:$C$1018, 0)), INDEX(Mgt_Unit!$B$5:$B$1018, MATCH(C676, Mgt_Unit!$C$5:$C$1018, 0)), "")</f>
        <v>jennifer.moore</v>
      </c>
      <c r="C676" t="s">
        <v>841</v>
      </c>
      <c r="D676" s="65"/>
      <c r="E676">
        <v>1</v>
      </c>
      <c r="F676" t="s">
        <v>1537</v>
      </c>
      <c r="G676" t="s">
        <v>1535</v>
      </c>
      <c r="H676" t="s">
        <v>441</v>
      </c>
      <c r="I676" t="s">
        <v>88</v>
      </c>
      <c r="J676" s="89"/>
      <c r="K676" s="89"/>
      <c r="L676" s="89">
        <v>42459</v>
      </c>
      <c r="M676" s="31">
        <v>0</v>
      </c>
      <c r="N676" s="9"/>
      <c r="O676" s="33"/>
      <c r="P676" s="33"/>
      <c r="Q676" s="9"/>
      <c r="R676" s="67"/>
      <c r="S676" s="9"/>
    </row>
    <row r="677" spans="1:19" ht="15" customHeight="1" x14ac:dyDescent="0.25">
      <c r="A677" s="4"/>
      <c r="B677" s="28" t="str">
        <f>IF(ISNUMBER(MATCH(C677, Mgt_Unit!$C$5:$C$1018, 0)), INDEX(Mgt_Unit!$B$5:$B$1018, MATCH(C677, Mgt_Unit!$C$5:$C$1018, 0)), "")</f>
        <v>jennifer.moore</v>
      </c>
      <c r="C677" t="s">
        <v>841</v>
      </c>
      <c r="D677" s="65"/>
      <c r="E677">
        <v>1</v>
      </c>
      <c r="F677" t="s">
        <v>1537</v>
      </c>
      <c r="G677" t="s">
        <v>1535</v>
      </c>
      <c r="H677" t="s">
        <v>441</v>
      </c>
      <c r="I677" t="s">
        <v>124</v>
      </c>
      <c r="J677" s="89"/>
      <c r="K677" s="89"/>
      <c r="L677" s="89">
        <v>42459</v>
      </c>
      <c r="M677" s="31">
        <v>0</v>
      </c>
      <c r="N677" s="9"/>
      <c r="O677" s="33"/>
      <c r="P677" s="33"/>
      <c r="Q677" s="9"/>
      <c r="R677" s="67"/>
      <c r="S677" s="9"/>
    </row>
    <row r="678" spans="1:19" ht="15" customHeight="1" x14ac:dyDescent="0.25">
      <c r="A678" s="4"/>
      <c r="B678" s="28" t="str">
        <f>IF(ISNUMBER(MATCH(C678, Mgt_Unit!$C$5:$C$1018, 0)), INDEX(Mgt_Unit!$B$5:$B$1018, MATCH(C678, Mgt_Unit!$C$5:$C$1018, 0)), "")</f>
        <v>jennifer.moore</v>
      </c>
      <c r="C678" t="s">
        <v>841</v>
      </c>
      <c r="D678" s="65"/>
      <c r="E678">
        <v>2</v>
      </c>
      <c r="F678" t="s">
        <v>1538</v>
      </c>
      <c r="G678" t="s">
        <v>1544</v>
      </c>
      <c r="H678" t="s">
        <v>51</v>
      </c>
      <c r="I678" t="s">
        <v>125</v>
      </c>
      <c r="J678" s="89">
        <v>42505</v>
      </c>
      <c r="K678" s="89">
        <v>42673</v>
      </c>
      <c r="L678" s="89"/>
      <c r="M678" s="31">
        <v>0</v>
      </c>
      <c r="N678" s="9"/>
      <c r="O678" s="33"/>
      <c r="P678" s="33"/>
      <c r="Q678" s="9"/>
      <c r="R678" s="67"/>
      <c r="S678" s="9"/>
    </row>
    <row r="679" spans="1:19" ht="15" customHeight="1" x14ac:dyDescent="0.25">
      <c r="A679" s="4"/>
      <c r="B679" s="28" t="str">
        <f>IF(ISNUMBER(MATCH(C679, Mgt_Unit!$C$5:$C$1018, 0)), INDEX(Mgt_Unit!$B$5:$B$1018, MATCH(C679, Mgt_Unit!$C$5:$C$1018, 0)), "")</f>
        <v>jennifer.moore</v>
      </c>
      <c r="C679" t="s">
        <v>841</v>
      </c>
      <c r="D679" s="65"/>
      <c r="E679">
        <v>3</v>
      </c>
      <c r="F679" t="s">
        <v>1537</v>
      </c>
      <c r="G679" t="s">
        <v>1535</v>
      </c>
      <c r="H679" t="s">
        <v>441</v>
      </c>
      <c r="I679" t="s">
        <v>88</v>
      </c>
      <c r="J679" s="89">
        <v>42689</v>
      </c>
      <c r="K679" s="89"/>
      <c r="L679" s="89">
        <v>42809</v>
      </c>
      <c r="M679" s="31">
        <v>0</v>
      </c>
      <c r="N679" s="9"/>
      <c r="O679" s="33"/>
      <c r="P679" s="33"/>
      <c r="Q679" s="9"/>
      <c r="R679" s="67"/>
      <c r="S679" s="9"/>
    </row>
    <row r="680" spans="1:19" ht="15" customHeight="1" x14ac:dyDescent="0.25">
      <c r="A680" s="4"/>
      <c r="B680" s="28" t="str">
        <f>IF(ISNUMBER(MATCH(C680, Mgt_Unit!$C$5:$C$1018, 0)), INDEX(Mgt_Unit!$B$5:$B$1018, MATCH(C680, Mgt_Unit!$C$5:$C$1018, 0)), "")</f>
        <v>jennifer.moore</v>
      </c>
      <c r="C680" t="s">
        <v>841</v>
      </c>
      <c r="D680" s="65"/>
      <c r="E680">
        <v>3</v>
      </c>
      <c r="F680" t="s">
        <v>1537</v>
      </c>
      <c r="G680" t="s">
        <v>1535</v>
      </c>
      <c r="H680" t="s">
        <v>441</v>
      </c>
      <c r="I680" t="s">
        <v>124</v>
      </c>
      <c r="J680" s="89">
        <v>42689</v>
      </c>
      <c r="K680" s="89"/>
      <c r="L680" s="89">
        <v>42809</v>
      </c>
      <c r="M680" s="31">
        <v>0</v>
      </c>
      <c r="N680" s="9"/>
      <c r="O680" s="33"/>
      <c r="P680" s="33"/>
      <c r="Q680" s="9"/>
      <c r="R680" s="67"/>
      <c r="S680" s="9"/>
    </row>
    <row r="681" spans="1:19" ht="15" customHeight="1" x14ac:dyDescent="0.25">
      <c r="A681" s="4"/>
      <c r="B681" s="28" t="str">
        <f>IF(ISNUMBER(MATCH(C681, Mgt_Unit!$C$5:$C$1018, 0)), INDEX(Mgt_Unit!$B$5:$B$1018, MATCH(C681, Mgt_Unit!$C$5:$C$1018, 0)), "")</f>
        <v>jennifer.moore</v>
      </c>
      <c r="C681" t="s">
        <v>841</v>
      </c>
      <c r="D681" s="65"/>
      <c r="E681">
        <v>4</v>
      </c>
      <c r="F681" t="s">
        <v>1538</v>
      </c>
      <c r="G681" t="s">
        <v>1544</v>
      </c>
      <c r="H681" t="s">
        <v>49</v>
      </c>
      <c r="I681" t="s">
        <v>85</v>
      </c>
      <c r="J681" s="89">
        <v>42855</v>
      </c>
      <c r="K681" s="89">
        <v>43038</v>
      </c>
      <c r="L681" s="89"/>
      <c r="M681" s="31">
        <v>0</v>
      </c>
      <c r="N681" s="9"/>
      <c r="O681" s="33"/>
      <c r="P681" s="33"/>
      <c r="Q681" s="9"/>
      <c r="R681" s="67"/>
      <c r="S681" s="9"/>
    </row>
    <row r="682" spans="1:19" ht="15" customHeight="1" x14ac:dyDescent="0.25">
      <c r="A682" s="4"/>
      <c r="B682" s="28" t="str">
        <f>IF(ISNUMBER(MATCH(C682, Mgt_Unit!$C$5:$C$1018, 0)), INDEX(Mgt_Unit!$B$5:$B$1018, MATCH(C682, Mgt_Unit!$C$5:$C$1018, 0)), "")</f>
        <v>jennifer.moore</v>
      </c>
      <c r="C682" t="s">
        <v>841</v>
      </c>
      <c r="D682" s="65"/>
      <c r="E682">
        <v>5</v>
      </c>
      <c r="F682" t="s">
        <v>1537</v>
      </c>
      <c r="G682" t="s">
        <v>1535</v>
      </c>
      <c r="H682" t="s">
        <v>441</v>
      </c>
      <c r="I682" t="s">
        <v>88</v>
      </c>
      <c r="J682" s="89">
        <v>43054</v>
      </c>
      <c r="K682" s="89"/>
      <c r="L682" s="89">
        <v>43151</v>
      </c>
      <c r="M682" s="31">
        <v>0</v>
      </c>
      <c r="N682" s="9"/>
      <c r="O682" s="33"/>
      <c r="P682" s="33"/>
      <c r="Q682" s="9"/>
      <c r="R682" s="67"/>
      <c r="S682" s="9"/>
    </row>
    <row r="683" spans="1:19" ht="15" customHeight="1" x14ac:dyDescent="0.25">
      <c r="A683" s="4"/>
      <c r="B683" s="28" t="str">
        <f>IF(ISNUMBER(MATCH(C683, Mgt_Unit!$C$5:$C$1018, 0)), INDEX(Mgt_Unit!$B$5:$B$1018, MATCH(C683, Mgt_Unit!$C$5:$C$1018, 0)), "")</f>
        <v>jennifer.moore</v>
      </c>
      <c r="C683" t="s">
        <v>841</v>
      </c>
      <c r="D683" s="65"/>
      <c r="E683">
        <v>5</v>
      </c>
      <c r="F683" t="s">
        <v>1537</v>
      </c>
      <c r="G683" t="s">
        <v>1535</v>
      </c>
      <c r="H683" t="s">
        <v>441</v>
      </c>
      <c r="I683" t="s">
        <v>124</v>
      </c>
      <c r="J683" s="89">
        <v>43054</v>
      </c>
      <c r="K683" s="89"/>
      <c r="L683" s="89">
        <v>43151</v>
      </c>
      <c r="M683" s="31">
        <v>0</v>
      </c>
      <c r="N683" s="9"/>
      <c r="O683" s="33"/>
      <c r="P683" s="33"/>
      <c r="Q683" s="9"/>
      <c r="R683" s="67"/>
      <c r="S683" s="9"/>
    </row>
    <row r="684" spans="1:19" ht="15" customHeight="1" x14ac:dyDescent="0.25">
      <c r="A684" s="4"/>
      <c r="B684" s="28" t="str">
        <f>IF(ISNUMBER(MATCH(C684, Mgt_Unit!$C$5:$C$1018, 0)), INDEX(Mgt_Unit!$B$5:$B$1018, MATCH(C684, Mgt_Unit!$C$5:$C$1018, 0)), "")</f>
        <v>jennifer.moore</v>
      </c>
      <c r="C684" t="s">
        <v>841</v>
      </c>
      <c r="D684" s="65"/>
      <c r="E684">
        <v>6</v>
      </c>
      <c r="F684" t="s">
        <v>1538</v>
      </c>
      <c r="G684" t="s">
        <v>1536</v>
      </c>
      <c r="H684" t="s">
        <v>50</v>
      </c>
      <c r="I684" t="s">
        <v>1279</v>
      </c>
      <c r="J684" s="89">
        <v>43174</v>
      </c>
      <c r="K684" s="89"/>
      <c r="L684" s="89">
        <v>43374</v>
      </c>
      <c r="M684" s="31">
        <v>0</v>
      </c>
      <c r="N684" s="9"/>
      <c r="O684" s="33"/>
      <c r="P684" s="33"/>
      <c r="Q684" s="9"/>
      <c r="R684" s="67"/>
      <c r="S684" s="9"/>
    </row>
    <row r="685" spans="1:19" ht="15" customHeight="1" x14ac:dyDescent="0.25">
      <c r="A685" s="4"/>
      <c r="B685" s="28" t="str">
        <f>IF(ISNUMBER(MATCH(C685, Mgt_Unit!$C$5:$C$1018, 0)), INDEX(Mgt_Unit!$B$5:$B$1018, MATCH(C685, Mgt_Unit!$C$5:$C$1018, 0)), "")</f>
        <v>jennifer.moore</v>
      </c>
      <c r="C685" t="s">
        <v>841</v>
      </c>
      <c r="D685" s="65"/>
      <c r="E685">
        <v>7</v>
      </c>
      <c r="F685" t="s">
        <v>1537</v>
      </c>
      <c r="G685" t="s">
        <v>1544</v>
      </c>
      <c r="H685" t="s">
        <v>441</v>
      </c>
      <c r="I685" t="s">
        <v>88</v>
      </c>
      <c r="J685" s="89">
        <v>43374</v>
      </c>
      <c r="K685" s="89"/>
      <c r="L685" s="89">
        <v>43516</v>
      </c>
      <c r="M685" s="31">
        <v>0</v>
      </c>
      <c r="N685" s="9"/>
      <c r="O685" s="33"/>
      <c r="P685" s="33"/>
      <c r="Q685" s="9"/>
      <c r="R685" s="67"/>
      <c r="S685" s="9"/>
    </row>
    <row r="686" spans="1:19" ht="15" customHeight="1" x14ac:dyDescent="0.25">
      <c r="A686" s="4"/>
      <c r="B686" s="28" t="str">
        <f>IF(ISNUMBER(MATCH(C686, Mgt_Unit!$C$5:$C$1018, 0)), INDEX(Mgt_Unit!$B$5:$B$1018, MATCH(C686, Mgt_Unit!$C$5:$C$1018, 0)), "")</f>
        <v>jennifer.moore</v>
      </c>
      <c r="C686" s="87" t="s">
        <v>841</v>
      </c>
      <c r="D686" s="65"/>
      <c r="E686" s="87">
        <v>7</v>
      </c>
      <c r="F686" s="87" t="s">
        <v>1537</v>
      </c>
      <c r="G686" s="87" t="s">
        <v>1544</v>
      </c>
      <c r="H686" s="87" t="s">
        <v>441</v>
      </c>
      <c r="I686" s="87" t="s">
        <v>124</v>
      </c>
      <c r="J686" s="90">
        <v>43374</v>
      </c>
      <c r="K686" s="90"/>
      <c r="L686" s="90">
        <v>43516</v>
      </c>
      <c r="M686" s="115">
        <v>0</v>
      </c>
      <c r="N686" s="9"/>
      <c r="O686" s="33"/>
      <c r="P686" s="33"/>
      <c r="Q686" s="9"/>
      <c r="R686" s="67"/>
      <c r="S686" s="9"/>
    </row>
    <row r="687" spans="1:19" ht="15" customHeight="1" x14ac:dyDescent="0.25">
      <c r="A687" s="4"/>
      <c r="B687" s="122" t="str">
        <f>IF(ISNUMBER(MATCH(C687, Mgt_Unit!$C$5:$C$1018, 0)), INDEX(Mgt_Unit!$B$5:$B$1018, MATCH(C687, Mgt_Unit!$C$5:$C$1018, 0)), "")</f>
        <v>jennifer.moore</v>
      </c>
      <c r="C687" t="s">
        <v>842</v>
      </c>
      <c r="D687" s="114"/>
      <c r="E687">
        <v>1</v>
      </c>
      <c r="F687" t="s">
        <v>1537</v>
      </c>
      <c r="G687" t="s">
        <v>1535</v>
      </c>
      <c r="H687" t="s">
        <v>441</v>
      </c>
      <c r="I687" t="s">
        <v>88</v>
      </c>
      <c r="J687" s="89"/>
      <c r="K687" s="89"/>
      <c r="L687" s="89">
        <v>42449</v>
      </c>
      <c r="M687" s="31">
        <v>0</v>
      </c>
      <c r="N687" s="9"/>
      <c r="O687" s="33"/>
      <c r="P687" s="33"/>
      <c r="Q687" s="9"/>
      <c r="R687" s="67"/>
      <c r="S687" s="9"/>
    </row>
    <row r="688" spans="1:19" ht="15" customHeight="1" x14ac:dyDescent="0.25">
      <c r="A688" s="4"/>
      <c r="B688" s="28" t="str">
        <f>IF(ISNUMBER(MATCH(C688, Mgt_Unit!$C$5:$C$1018, 0)), INDEX(Mgt_Unit!$B$5:$B$1018, MATCH(C688, Mgt_Unit!$C$5:$C$1018, 0)), "")</f>
        <v>jennifer.moore</v>
      </c>
      <c r="C688" t="s">
        <v>842</v>
      </c>
      <c r="D688" s="65"/>
      <c r="E688">
        <v>1</v>
      </c>
      <c r="F688" t="s">
        <v>1537</v>
      </c>
      <c r="G688" t="s">
        <v>1535</v>
      </c>
      <c r="H688" t="s">
        <v>441</v>
      </c>
      <c r="I688" t="s">
        <v>124</v>
      </c>
      <c r="J688" s="89"/>
      <c r="K688" s="89"/>
      <c r="L688" s="89">
        <v>42449</v>
      </c>
      <c r="M688" s="31">
        <v>0</v>
      </c>
      <c r="N688" s="9"/>
      <c r="O688" s="33"/>
      <c r="P688" s="33"/>
      <c r="Q688" s="9"/>
      <c r="R688" s="67"/>
      <c r="S688" s="9"/>
    </row>
    <row r="689" spans="1:19" ht="15" customHeight="1" x14ac:dyDescent="0.25">
      <c r="A689" s="4"/>
      <c r="B689" s="28" t="str">
        <f>IF(ISNUMBER(MATCH(C689, Mgt_Unit!$C$5:$C$1018, 0)), INDEX(Mgt_Unit!$B$5:$B$1018, MATCH(C689, Mgt_Unit!$C$5:$C$1018, 0)), "")</f>
        <v>jennifer.moore</v>
      </c>
      <c r="C689" t="s">
        <v>842</v>
      </c>
      <c r="D689" s="65"/>
      <c r="E689">
        <v>2</v>
      </c>
      <c r="F689" t="s">
        <v>1538</v>
      </c>
      <c r="G689" t="s">
        <v>1544</v>
      </c>
      <c r="H689" t="s">
        <v>51</v>
      </c>
      <c r="I689" t="s">
        <v>125</v>
      </c>
      <c r="J689" s="89">
        <v>42505</v>
      </c>
      <c r="K689" s="89">
        <v>42673</v>
      </c>
      <c r="L689" s="89"/>
      <c r="M689" s="31">
        <v>0</v>
      </c>
      <c r="N689" s="9"/>
      <c r="O689" s="33"/>
      <c r="P689" s="33"/>
      <c r="Q689" s="9"/>
      <c r="R689" s="67"/>
      <c r="S689" s="9"/>
    </row>
    <row r="690" spans="1:19" ht="15" customHeight="1" x14ac:dyDescent="0.25">
      <c r="A690" s="4"/>
      <c r="B690" s="28" t="str">
        <f>IF(ISNUMBER(MATCH(C690, Mgt_Unit!$C$5:$C$1018, 0)), INDEX(Mgt_Unit!$B$5:$B$1018, MATCH(C690, Mgt_Unit!$C$5:$C$1018, 0)), "")</f>
        <v>jennifer.moore</v>
      </c>
      <c r="C690" t="s">
        <v>842</v>
      </c>
      <c r="D690" s="65"/>
      <c r="E690">
        <v>3</v>
      </c>
      <c r="F690" t="s">
        <v>1537</v>
      </c>
      <c r="G690" t="s">
        <v>1535</v>
      </c>
      <c r="H690" t="s">
        <v>441</v>
      </c>
      <c r="I690" t="s">
        <v>88</v>
      </c>
      <c r="J690" s="89">
        <v>42689</v>
      </c>
      <c r="K690" s="89"/>
      <c r="L690" s="89">
        <v>42809</v>
      </c>
      <c r="M690" s="31">
        <v>0</v>
      </c>
      <c r="N690" s="9"/>
      <c r="O690" s="33"/>
      <c r="P690" s="33"/>
      <c r="Q690" s="9"/>
      <c r="R690" s="67"/>
      <c r="S690" s="9"/>
    </row>
    <row r="691" spans="1:19" ht="15" customHeight="1" x14ac:dyDescent="0.25">
      <c r="A691" s="4"/>
      <c r="B691" s="28" t="str">
        <f>IF(ISNUMBER(MATCH(C691, Mgt_Unit!$C$5:$C$1018, 0)), INDEX(Mgt_Unit!$B$5:$B$1018, MATCH(C691, Mgt_Unit!$C$5:$C$1018, 0)), "")</f>
        <v>jennifer.moore</v>
      </c>
      <c r="C691" t="s">
        <v>842</v>
      </c>
      <c r="D691" s="65"/>
      <c r="E691">
        <v>3</v>
      </c>
      <c r="F691" t="s">
        <v>1537</v>
      </c>
      <c r="G691" t="s">
        <v>1535</v>
      </c>
      <c r="H691" t="s">
        <v>441</v>
      </c>
      <c r="I691" t="s">
        <v>124</v>
      </c>
      <c r="J691" s="89">
        <v>42689</v>
      </c>
      <c r="K691" s="89"/>
      <c r="L691" s="89">
        <v>42809</v>
      </c>
      <c r="M691" s="31">
        <v>0</v>
      </c>
      <c r="N691" s="9"/>
      <c r="O691" s="33"/>
      <c r="P691" s="33"/>
      <c r="Q691" s="9"/>
      <c r="R691" s="67"/>
      <c r="S691" s="9"/>
    </row>
    <row r="692" spans="1:19" ht="15" customHeight="1" x14ac:dyDescent="0.25">
      <c r="A692" s="4"/>
      <c r="B692" s="28" t="str">
        <f>IF(ISNUMBER(MATCH(C692, Mgt_Unit!$C$5:$C$1018, 0)), INDEX(Mgt_Unit!$B$5:$B$1018, MATCH(C692, Mgt_Unit!$C$5:$C$1018, 0)), "")</f>
        <v>jennifer.moore</v>
      </c>
      <c r="C692" t="s">
        <v>842</v>
      </c>
      <c r="D692" s="65"/>
      <c r="E692">
        <v>4</v>
      </c>
      <c r="F692" t="s">
        <v>1538</v>
      </c>
      <c r="G692" t="s">
        <v>1544</v>
      </c>
      <c r="H692" t="s">
        <v>49</v>
      </c>
      <c r="I692" t="s">
        <v>85</v>
      </c>
      <c r="J692" s="89">
        <v>42855</v>
      </c>
      <c r="K692" s="89">
        <v>43038</v>
      </c>
      <c r="L692" s="89"/>
      <c r="M692" s="31">
        <v>0</v>
      </c>
      <c r="N692" s="9"/>
      <c r="O692" s="33"/>
      <c r="P692" s="33"/>
      <c r="Q692" s="9"/>
      <c r="R692" s="67"/>
      <c r="S692" s="9"/>
    </row>
    <row r="693" spans="1:19" ht="15" customHeight="1" x14ac:dyDescent="0.25">
      <c r="A693" s="4"/>
      <c r="B693" s="28" t="str">
        <f>IF(ISNUMBER(MATCH(C693, Mgt_Unit!$C$5:$C$1018, 0)), INDEX(Mgt_Unit!$B$5:$B$1018, MATCH(C693, Mgt_Unit!$C$5:$C$1018, 0)), "")</f>
        <v>jennifer.moore</v>
      </c>
      <c r="C693" t="s">
        <v>842</v>
      </c>
      <c r="D693" s="65"/>
      <c r="E693">
        <v>5</v>
      </c>
      <c r="F693" t="s">
        <v>1537</v>
      </c>
      <c r="G693" t="s">
        <v>1535</v>
      </c>
      <c r="H693" t="s">
        <v>441</v>
      </c>
      <c r="I693" t="s">
        <v>88</v>
      </c>
      <c r="J693" s="89">
        <v>43054</v>
      </c>
      <c r="K693" s="89"/>
      <c r="L693" s="89">
        <v>43151</v>
      </c>
      <c r="M693" s="31">
        <v>0</v>
      </c>
      <c r="N693" s="9"/>
      <c r="O693" s="33"/>
      <c r="P693" s="33"/>
      <c r="Q693" s="9"/>
      <c r="R693" s="67"/>
      <c r="S693" s="9"/>
    </row>
    <row r="694" spans="1:19" ht="15" customHeight="1" x14ac:dyDescent="0.25">
      <c r="A694" s="4"/>
      <c r="B694" s="28" t="str">
        <f>IF(ISNUMBER(MATCH(C694, Mgt_Unit!$C$5:$C$1018, 0)), INDEX(Mgt_Unit!$B$5:$B$1018, MATCH(C694, Mgt_Unit!$C$5:$C$1018, 0)), "")</f>
        <v>jennifer.moore</v>
      </c>
      <c r="C694" t="s">
        <v>842</v>
      </c>
      <c r="D694" s="65"/>
      <c r="E694">
        <v>5</v>
      </c>
      <c r="F694" t="s">
        <v>1537</v>
      </c>
      <c r="G694" t="s">
        <v>1535</v>
      </c>
      <c r="H694" t="s">
        <v>441</v>
      </c>
      <c r="I694" t="s">
        <v>124</v>
      </c>
      <c r="J694" s="89">
        <v>43054</v>
      </c>
      <c r="K694" s="89"/>
      <c r="L694" s="89">
        <v>43151</v>
      </c>
      <c r="M694" s="31">
        <v>0</v>
      </c>
      <c r="N694" s="9"/>
      <c r="O694" s="33"/>
      <c r="P694" s="33"/>
      <c r="Q694" s="9"/>
      <c r="R694" s="67"/>
      <c r="S694" s="9"/>
    </row>
    <row r="695" spans="1:19" ht="15" customHeight="1" x14ac:dyDescent="0.25">
      <c r="A695" s="4"/>
      <c r="B695" s="28" t="str">
        <f>IF(ISNUMBER(MATCH(C695, Mgt_Unit!$C$5:$C$1018, 0)), INDEX(Mgt_Unit!$B$5:$B$1018, MATCH(C695, Mgt_Unit!$C$5:$C$1018, 0)), "")</f>
        <v>jennifer.moore</v>
      </c>
      <c r="C695" t="s">
        <v>842</v>
      </c>
      <c r="D695" s="65"/>
      <c r="E695">
        <v>6</v>
      </c>
      <c r="F695" t="s">
        <v>1538</v>
      </c>
      <c r="G695" t="s">
        <v>1536</v>
      </c>
      <c r="H695" t="s">
        <v>50</v>
      </c>
      <c r="I695" t="s">
        <v>1279</v>
      </c>
      <c r="J695" s="89">
        <v>43174</v>
      </c>
      <c r="K695" s="89">
        <v>43647</v>
      </c>
      <c r="L695" s="89"/>
      <c r="M695" s="31">
        <v>0</v>
      </c>
      <c r="N695" s="9"/>
      <c r="O695" s="33"/>
      <c r="P695" s="33"/>
      <c r="Q695" s="9"/>
      <c r="R695" s="67"/>
      <c r="S695" s="9"/>
    </row>
    <row r="696" spans="1:19" ht="15" customHeight="1" x14ac:dyDescent="0.25">
      <c r="A696" s="4"/>
      <c r="B696" s="28" t="str">
        <f>IF(ISNUMBER(MATCH(C696, Mgt_Unit!$C$5:$C$1018, 0)), INDEX(Mgt_Unit!$B$5:$B$1018, MATCH(C696, Mgt_Unit!$C$5:$C$1018, 0)), "")</f>
        <v>jennifer.moore</v>
      </c>
      <c r="C696" t="s">
        <v>842</v>
      </c>
      <c r="D696" s="65"/>
      <c r="E696">
        <v>6</v>
      </c>
      <c r="F696" t="s">
        <v>1538</v>
      </c>
      <c r="G696" t="s">
        <v>1536</v>
      </c>
      <c r="H696" t="s">
        <v>50</v>
      </c>
      <c r="I696" t="s">
        <v>1279</v>
      </c>
      <c r="J696" s="89"/>
      <c r="K696" s="89">
        <v>43707</v>
      </c>
      <c r="L696" s="89">
        <v>43707</v>
      </c>
      <c r="M696" s="31">
        <v>0</v>
      </c>
      <c r="N696" s="9"/>
      <c r="O696" s="33"/>
      <c r="P696" s="33"/>
      <c r="Q696" s="9"/>
      <c r="R696" s="67"/>
      <c r="S696" s="9"/>
    </row>
    <row r="697" spans="1:19" ht="15" customHeight="1" x14ac:dyDescent="0.25">
      <c r="A697" s="4"/>
      <c r="B697" s="28" t="str">
        <f>IF(ISNUMBER(MATCH(C697, Mgt_Unit!$C$5:$C$1018, 0)), INDEX(Mgt_Unit!$B$5:$B$1018, MATCH(C697, Mgt_Unit!$C$5:$C$1018, 0)), "")</f>
        <v>jennifer.moore</v>
      </c>
      <c r="C697" t="s">
        <v>842</v>
      </c>
      <c r="D697" s="65"/>
      <c r="E697">
        <v>7</v>
      </c>
      <c r="F697" t="s">
        <v>1537</v>
      </c>
      <c r="G697" t="s">
        <v>1535</v>
      </c>
      <c r="H697" t="s">
        <v>441</v>
      </c>
      <c r="I697" t="s">
        <v>88</v>
      </c>
      <c r="J697" s="89">
        <v>43784</v>
      </c>
      <c r="K697" s="89"/>
      <c r="L697" s="89"/>
      <c r="M697" s="31"/>
      <c r="N697" s="9"/>
      <c r="O697" s="33"/>
      <c r="P697" s="33"/>
      <c r="Q697" s="9"/>
      <c r="R697" s="67"/>
      <c r="S697" s="9"/>
    </row>
    <row r="698" spans="1:19" ht="15" customHeight="1" x14ac:dyDescent="0.25">
      <c r="A698" s="4"/>
      <c r="B698" s="28" t="str">
        <f>IF(ISNUMBER(MATCH(C698, Mgt_Unit!$C$5:$C$1018, 0)), INDEX(Mgt_Unit!$B$5:$B$1018, MATCH(C698, Mgt_Unit!$C$5:$C$1018, 0)), "")</f>
        <v>jennifer.moore</v>
      </c>
      <c r="C698" s="87" t="s">
        <v>842</v>
      </c>
      <c r="D698" s="65"/>
      <c r="E698" s="87">
        <v>7</v>
      </c>
      <c r="F698" s="87" t="s">
        <v>1537</v>
      </c>
      <c r="G698" s="87" t="s">
        <v>1535</v>
      </c>
      <c r="H698" s="87" t="s">
        <v>441</v>
      </c>
      <c r="I698" s="87" t="s">
        <v>124</v>
      </c>
      <c r="J698" s="90">
        <v>43784</v>
      </c>
      <c r="K698" s="90"/>
      <c r="L698" s="90"/>
      <c r="M698" s="93"/>
      <c r="N698" s="9"/>
      <c r="O698" s="33"/>
      <c r="P698" s="33"/>
      <c r="Q698" s="9"/>
      <c r="R698" s="67"/>
      <c r="S698" s="9"/>
    </row>
    <row r="699" spans="1:19" ht="15" customHeight="1" x14ac:dyDescent="0.25">
      <c r="A699" s="4"/>
      <c r="B699" s="28" t="str">
        <f>IF(ISNUMBER(MATCH(C699, Mgt_Unit!$C$5:$C$1018, 0)), INDEX(Mgt_Unit!$B$5:$B$1018, MATCH(C699, Mgt_Unit!$C$5:$C$1018, 0)), "")</f>
        <v>jennifer.moore</v>
      </c>
      <c r="C699" t="s">
        <v>843</v>
      </c>
      <c r="D699" s="65"/>
      <c r="E699">
        <v>1</v>
      </c>
      <c r="F699" t="s">
        <v>1538</v>
      </c>
      <c r="G699" t="s">
        <v>1535</v>
      </c>
      <c r="H699" t="s">
        <v>441</v>
      </c>
      <c r="I699" t="s">
        <v>88</v>
      </c>
      <c r="J699" s="89"/>
      <c r="K699" s="89"/>
      <c r="L699" s="89">
        <v>42467</v>
      </c>
      <c r="M699" s="31">
        <v>0</v>
      </c>
      <c r="N699" s="9"/>
      <c r="O699" s="33"/>
      <c r="P699" s="33"/>
      <c r="Q699" s="9"/>
      <c r="R699" s="67"/>
      <c r="S699" s="9"/>
    </row>
    <row r="700" spans="1:19" ht="15" customHeight="1" x14ac:dyDescent="0.25">
      <c r="A700" s="4"/>
      <c r="B700" s="28" t="str">
        <f>IF(ISNUMBER(MATCH(C700, Mgt_Unit!$C$5:$C$1018, 0)), INDEX(Mgt_Unit!$B$5:$B$1018, MATCH(C700, Mgt_Unit!$C$5:$C$1018, 0)), "")</f>
        <v>jennifer.moore</v>
      </c>
      <c r="C700" t="s">
        <v>843</v>
      </c>
      <c r="D700" s="65"/>
      <c r="E700">
        <v>2</v>
      </c>
      <c r="F700" t="s">
        <v>1538</v>
      </c>
      <c r="G700" t="s">
        <v>1544</v>
      </c>
      <c r="H700" t="s">
        <v>49</v>
      </c>
      <c r="I700" t="s">
        <v>85</v>
      </c>
      <c r="J700" s="89">
        <v>42481</v>
      </c>
      <c r="K700" s="89">
        <v>42643</v>
      </c>
      <c r="L700" s="89"/>
      <c r="M700" s="31">
        <v>0</v>
      </c>
      <c r="N700" s="9"/>
      <c r="O700" s="33"/>
      <c r="P700" s="33"/>
      <c r="Q700" s="9"/>
      <c r="R700" s="67"/>
      <c r="S700" s="9"/>
    </row>
    <row r="701" spans="1:19" ht="15" customHeight="1" x14ac:dyDescent="0.25">
      <c r="A701" s="4"/>
      <c r="B701" s="28" t="str">
        <f>IF(ISNUMBER(MATCH(C701, Mgt_Unit!$C$5:$C$1018, 0)), INDEX(Mgt_Unit!$B$5:$B$1018, MATCH(C701, Mgt_Unit!$C$5:$C$1018, 0)), "")</f>
        <v>jennifer.moore</v>
      </c>
      <c r="C701" t="s">
        <v>843</v>
      </c>
      <c r="D701" s="65"/>
      <c r="E701">
        <v>3</v>
      </c>
      <c r="F701" t="s">
        <v>1538</v>
      </c>
      <c r="G701" t="s">
        <v>1535</v>
      </c>
      <c r="H701" t="s">
        <v>441</v>
      </c>
      <c r="I701" t="s">
        <v>88</v>
      </c>
      <c r="J701" s="89">
        <v>42702</v>
      </c>
      <c r="K701" s="89"/>
      <c r="L701" s="89">
        <v>42802</v>
      </c>
      <c r="M701" s="31">
        <v>0</v>
      </c>
      <c r="N701" s="9"/>
      <c r="O701" s="33"/>
      <c r="P701" s="33"/>
      <c r="Q701" s="9"/>
      <c r="R701" s="67"/>
      <c r="S701" s="9"/>
    </row>
    <row r="702" spans="1:19" ht="15" customHeight="1" x14ac:dyDescent="0.25">
      <c r="A702" s="4"/>
      <c r="B702" s="28" t="str">
        <f>IF(ISNUMBER(MATCH(C702, Mgt_Unit!$C$5:$C$1018, 0)), INDEX(Mgt_Unit!$B$5:$B$1018, MATCH(C702, Mgt_Unit!$C$5:$C$1018, 0)), "")</f>
        <v>jennifer.moore</v>
      </c>
      <c r="C702" t="s">
        <v>843</v>
      </c>
      <c r="D702" s="65"/>
      <c r="E702">
        <v>4</v>
      </c>
      <c r="F702" t="s">
        <v>1538</v>
      </c>
      <c r="G702" t="s">
        <v>1536</v>
      </c>
      <c r="H702" t="s">
        <v>50</v>
      </c>
      <c r="I702" t="s">
        <v>1279</v>
      </c>
      <c r="J702" s="89">
        <v>42815</v>
      </c>
      <c r="K702" s="89">
        <v>42915</v>
      </c>
      <c r="L702" s="89"/>
      <c r="M702" s="31">
        <v>0</v>
      </c>
      <c r="N702" s="9"/>
      <c r="O702" s="33"/>
      <c r="P702" s="33"/>
      <c r="Q702" s="9"/>
      <c r="R702" s="67"/>
      <c r="S702" s="9"/>
    </row>
    <row r="703" spans="1:19" ht="15" customHeight="1" x14ac:dyDescent="0.25">
      <c r="A703" s="4"/>
      <c r="B703" s="28" t="str">
        <f>IF(ISNUMBER(MATCH(C703, Mgt_Unit!$C$5:$C$1018, 0)), INDEX(Mgt_Unit!$B$5:$B$1018, MATCH(C703, Mgt_Unit!$C$5:$C$1018, 0)), "")</f>
        <v>jennifer.moore</v>
      </c>
      <c r="C703" t="s">
        <v>843</v>
      </c>
      <c r="D703" s="65"/>
      <c r="E703">
        <v>4</v>
      </c>
      <c r="F703" t="s">
        <v>1538</v>
      </c>
      <c r="G703" t="s">
        <v>1536</v>
      </c>
      <c r="H703" t="s">
        <v>50</v>
      </c>
      <c r="I703" t="s">
        <v>1279</v>
      </c>
      <c r="J703" s="89"/>
      <c r="K703" s="89">
        <v>42956</v>
      </c>
      <c r="L703" s="89">
        <v>42956</v>
      </c>
      <c r="M703" s="31">
        <v>0</v>
      </c>
      <c r="N703" s="9"/>
      <c r="O703" s="33"/>
      <c r="P703" s="33"/>
      <c r="Q703" s="9"/>
      <c r="R703" s="67"/>
      <c r="S703" s="9"/>
    </row>
    <row r="704" spans="1:19" ht="15" customHeight="1" x14ac:dyDescent="0.25">
      <c r="A704" s="4"/>
      <c r="B704" s="28" t="str">
        <f>IF(ISNUMBER(MATCH(C704, Mgt_Unit!$C$5:$C$1018, 0)), INDEX(Mgt_Unit!$B$5:$B$1018, MATCH(C704, Mgt_Unit!$C$5:$C$1018, 0)), "")</f>
        <v>jennifer.moore</v>
      </c>
      <c r="C704" t="s">
        <v>843</v>
      </c>
      <c r="D704" s="65"/>
      <c r="E704">
        <v>5</v>
      </c>
      <c r="F704" t="s">
        <v>1538</v>
      </c>
      <c r="G704" t="s">
        <v>1535</v>
      </c>
      <c r="H704" t="s">
        <v>441</v>
      </c>
      <c r="I704" t="s">
        <v>88</v>
      </c>
      <c r="J704" s="89">
        <v>43075</v>
      </c>
      <c r="K704" s="89"/>
      <c r="L704" s="89">
        <v>43192</v>
      </c>
      <c r="M704" s="31">
        <v>0</v>
      </c>
      <c r="N704" s="9"/>
      <c r="O704" s="33"/>
      <c r="P704" s="33"/>
      <c r="Q704" s="9"/>
      <c r="R704" s="67"/>
      <c r="S704" s="9"/>
    </row>
    <row r="705" spans="1:19" ht="15" customHeight="1" x14ac:dyDescent="0.25">
      <c r="A705" s="4"/>
      <c r="B705" s="28" t="str">
        <f>IF(ISNUMBER(MATCH(C705, Mgt_Unit!$C$5:$C$1018, 0)), INDEX(Mgt_Unit!$B$5:$B$1018, MATCH(C705, Mgt_Unit!$C$5:$C$1018, 0)), "")</f>
        <v>jennifer.moore</v>
      </c>
      <c r="C705" t="s">
        <v>843</v>
      </c>
      <c r="D705" s="65"/>
      <c r="E705">
        <v>6</v>
      </c>
      <c r="F705" t="s">
        <v>1538</v>
      </c>
      <c r="G705" t="s">
        <v>1544</v>
      </c>
      <c r="H705" t="s">
        <v>51</v>
      </c>
      <c r="I705" t="s">
        <v>125</v>
      </c>
      <c r="J705" s="89">
        <v>43594</v>
      </c>
      <c r="K705" s="89">
        <v>43759</v>
      </c>
      <c r="L705" s="89"/>
      <c r="M705" s="31">
        <v>0</v>
      </c>
      <c r="N705" s="9"/>
      <c r="O705" s="33"/>
      <c r="P705" s="33"/>
      <c r="Q705" s="9"/>
      <c r="R705" s="67"/>
      <c r="S705" s="9"/>
    </row>
    <row r="706" spans="1:19" ht="15" customHeight="1" x14ac:dyDescent="0.25">
      <c r="A706" s="4"/>
      <c r="B706" s="28" t="str">
        <f>IF(ISNUMBER(MATCH(C706, Mgt_Unit!$C$5:$C$1018, 0)), INDEX(Mgt_Unit!$B$5:$B$1018, MATCH(C706, Mgt_Unit!$C$5:$C$1018, 0)), "")</f>
        <v>jennifer.moore</v>
      </c>
      <c r="C706" s="87" t="s">
        <v>843</v>
      </c>
      <c r="D706" s="65"/>
      <c r="E706" s="87">
        <v>7</v>
      </c>
      <c r="F706" s="87" t="s">
        <v>1538</v>
      </c>
      <c r="G706" s="87" t="s">
        <v>1535</v>
      </c>
      <c r="H706" s="87" t="s">
        <v>441</v>
      </c>
      <c r="I706" s="87" t="s">
        <v>88</v>
      </c>
      <c r="J706" s="90">
        <v>43770</v>
      </c>
      <c r="K706" s="90"/>
      <c r="L706" s="90"/>
      <c r="M706" s="93"/>
      <c r="N706" s="9"/>
      <c r="O706" s="33"/>
      <c r="P706" s="33"/>
      <c r="Q706" s="9"/>
      <c r="R706" s="67"/>
      <c r="S706" s="9"/>
    </row>
    <row r="707" spans="1:19" ht="15" customHeight="1" x14ac:dyDescent="0.25">
      <c r="A707" s="4"/>
      <c r="B707" s="28" t="str">
        <f>IF(ISNUMBER(MATCH(C707, Mgt_Unit!$C$5:$C$1018, 0)), INDEX(Mgt_Unit!$B$5:$B$1018, MATCH(C707, Mgt_Unit!$C$5:$C$1018, 0)), "")</f>
        <v>jennifer.moore</v>
      </c>
      <c r="C707" t="s">
        <v>844</v>
      </c>
      <c r="D707" s="65"/>
      <c r="E707">
        <v>1</v>
      </c>
      <c r="F707" t="s">
        <v>1538</v>
      </c>
      <c r="G707" t="s">
        <v>1535</v>
      </c>
      <c r="H707" t="s">
        <v>441</v>
      </c>
      <c r="I707" t="s">
        <v>88</v>
      </c>
      <c r="J707" s="89"/>
      <c r="K707" s="89"/>
      <c r="L707" s="89">
        <v>42467</v>
      </c>
      <c r="M707" s="31">
        <v>0</v>
      </c>
      <c r="N707" s="9"/>
      <c r="O707" s="33"/>
      <c r="P707" s="33"/>
      <c r="Q707" s="9"/>
      <c r="R707" s="67"/>
      <c r="S707" s="9"/>
    </row>
    <row r="708" spans="1:19" ht="15" customHeight="1" x14ac:dyDescent="0.25">
      <c r="A708" s="4"/>
      <c r="B708" s="28" t="str">
        <f>IF(ISNUMBER(MATCH(C708, Mgt_Unit!$C$5:$C$1018, 0)), INDEX(Mgt_Unit!$B$5:$B$1018, MATCH(C708, Mgt_Unit!$C$5:$C$1018, 0)), "")</f>
        <v>jennifer.moore</v>
      </c>
      <c r="C708" t="s">
        <v>844</v>
      </c>
      <c r="D708" s="65"/>
      <c r="E708">
        <v>2</v>
      </c>
      <c r="F708" t="s">
        <v>1538</v>
      </c>
      <c r="G708" t="s">
        <v>1544</v>
      </c>
      <c r="H708" t="s">
        <v>49</v>
      </c>
      <c r="I708" t="s">
        <v>85</v>
      </c>
      <c r="J708" s="89">
        <v>42853</v>
      </c>
      <c r="K708" s="89">
        <v>43025</v>
      </c>
      <c r="L708" s="89"/>
      <c r="M708" s="31">
        <v>0</v>
      </c>
      <c r="N708" s="9"/>
      <c r="O708" s="33"/>
      <c r="P708" s="33"/>
      <c r="Q708" s="9"/>
      <c r="R708" s="67"/>
      <c r="S708" s="9"/>
    </row>
    <row r="709" spans="1:19" ht="15" customHeight="1" x14ac:dyDescent="0.25">
      <c r="A709" s="4"/>
      <c r="B709" s="28" t="str">
        <f>IF(ISNUMBER(MATCH(C709, Mgt_Unit!$C$5:$C$1018, 0)), INDEX(Mgt_Unit!$B$5:$B$1018, MATCH(C709, Mgt_Unit!$C$5:$C$1018, 0)), "")</f>
        <v>jennifer.moore</v>
      </c>
      <c r="C709" t="s">
        <v>844</v>
      </c>
      <c r="D709" s="65"/>
      <c r="E709">
        <v>3</v>
      </c>
      <c r="F709" t="s">
        <v>1538</v>
      </c>
      <c r="G709" t="s">
        <v>1535</v>
      </c>
      <c r="H709" t="s">
        <v>441</v>
      </c>
      <c r="I709" t="s">
        <v>88</v>
      </c>
      <c r="J709" s="89">
        <v>43073</v>
      </c>
      <c r="K709" s="89"/>
      <c r="L709" s="89">
        <v>43192</v>
      </c>
      <c r="M709" s="31">
        <v>0</v>
      </c>
      <c r="N709" s="9"/>
      <c r="O709" s="33"/>
      <c r="P709" s="33"/>
      <c r="Q709" s="9"/>
      <c r="R709" s="67"/>
      <c r="S709" s="9"/>
    </row>
    <row r="710" spans="1:19" ht="15" customHeight="1" x14ac:dyDescent="0.25">
      <c r="A710" s="4"/>
      <c r="B710" s="28" t="str">
        <f>IF(ISNUMBER(MATCH(C710, Mgt_Unit!$C$5:$C$1018, 0)), INDEX(Mgt_Unit!$B$5:$B$1018, MATCH(C710, Mgt_Unit!$C$5:$C$1018, 0)), "")</f>
        <v>jennifer.moore</v>
      </c>
      <c r="C710" t="s">
        <v>844</v>
      </c>
      <c r="D710" s="65"/>
      <c r="E710">
        <v>4</v>
      </c>
      <c r="F710" t="s">
        <v>1538</v>
      </c>
      <c r="G710" t="s">
        <v>1544</v>
      </c>
      <c r="H710" t="s">
        <v>49</v>
      </c>
      <c r="I710" t="s">
        <v>85</v>
      </c>
      <c r="J710" s="89">
        <v>43217</v>
      </c>
      <c r="K710" s="89">
        <v>43381</v>
      </c>
      <c r="L710" s="89"/>
      <c r="M710" s="31">
        <v>0</v>
      </c>
      <c r="N710" s="9"/>
      <c r="O710" s="33"/>
      <c r="P710" s="33"/>
      <c r="Q710" s="9"/>
      <c r="R710" s="67"/>
      <c r="S710" s="9"/>
    </row>
    <row r="711" spans="1:19" ht="15" customHeight="1" x14ac:dyDescent="0.25">
      <c r="A711" s="4"/>
      <c r="B711" s="28" t="str">
        <f>IF(ISNUMBER(MATCH(C711, Mgt_Unit!$C$5:$C$1018, 0)), INDEX(Mgt_Unit!$B$5:$B$1018, MATCH(C711, Mgt_Unit!$C$5:$C$1018, 0)), "")</f>
        <v>jennifer.moore</v>
      </c>
      <c r="C711" t="s">
        <v>844</v>
      </c>
      <c r="D711" s="65"/>
      <c r="E711">
        <v>5</v>
      </c>
      <c r="F711" t="s">
        <v>1538</v>
      </c>
      <c r="G711" t="s">
        <v>1535</v>
      </c>
      <c r="H711" t="s">
        <v>441</v>
      </c>
      <c r="I711" t="s">
        <v>88</v>
      </c>
      <c r="J711" s="89">
        <v>43441</v>
      </c>
      <c r="K711" s="89"/>
      <c r="L711" s="89">
        <v>43481</v>
      </c>
      <c r="M711" s="31">
        <v>0</v>
      </c>
      <c r="N711" s="9"/>
      <c r="O711" s="33"/>
      <c r="P711" s="33"/>
      <c r="Q711" s="9"/>
      <c r="R711" s="67"/>
      <c r="S711" s="9"/>
    </row>
    <row r="712" spans="1:19" ht="15" customHeight="1" x14ac:dyDescent="0.25">
      <c r="A712" s="4"/>
      <c r="B712" s="28" t="str">
        <f>IF(ISNUMBER(MATCH(C712, Mgt_Unit!$C$5:$C$1018, 0)), INDEX(Mgt_Unit!$B$5:$B$1018, MATCH(C712, Mgt_Unit!$C$5:$C$1018, 0)), "")</f>
        <v>jennifer.moore</v>
      </c>
      <c r="C712" t="s">
        <v>844</v>
      </c>
      <c r="D712" s="65"/>
      <c r="E712">
        <v>6</v>
      </c>
      <c r="F712" t="s">
        <v>1538</v>
      </c>
      <c r="G712" t="s">
        <v>1544</v>
      </c>
      <c r="H712" t="s">
        <v>51</v>
      </c>
      <c r="I712" t="s">
        <v>125</v>
      </c>
      <c r="J712" s="89">
        <v>43594</v>
      </c>
      <c r="K712" s="89">
        <v>43759</v>
      </c>
      <c r="L712" s="89"/>
      <c r="M712" s="31">
        <v>0</v>
      </c>
      <c r="N712" s="9"/>
      <c r="O712" s="33"/>
      <c r="P712" s="33"/>
      <c r="Q712" s="9"/>
      <c r="R712" s="67"/>
      <c r="S712" s="9"/>
    </row>
    <row r="713" spans="1:19" ht="15" customHeight="1" x14ac:dyDescent="0.25">
      <c r="A713" s="4"/>
      <c r="B713" s="28" t="str">
        <f>IF(ISNUMBER(MATCH(C713, Mgt_Unit!$C$5:$C$1018, 0)), INDEX(Mgt_Unit!$B$5:$B$1018, MATCH(C713, Mgt_Unit!$C$5:$C$1018, 0)), "")</f>
        <v>jennifer.moore</v>
      </c>
      <c r="C713" s="87" t="s">
        <v>844</v>
      </c>
      <c r="D713" s="65"/>
      <c r="E713" s="87">
        <v>7</v>
      </c>
      <c r="F713" s="87" t="s">
        <v>1538</v>
      </c>
      <c r="G713" s="87" t="s">
        <v>1535</v>
      </c>
      <c r="H713" s="87" t="s">
        <v>441</v>
      </c>
      <c r="I713" s="87" t="s">
        <v>88</v>
      </c>
      <c r="J713" s="90">
        <v>43770</v>
      </c>
      <c r="K713" s="90"/>
      <c r="L713" s="90"/>
      <c r="M713" s="93"/>
      <c r="N713" s="9"/>
      <c r="O713" s="33"/>
      <c r="P713" s="33"/>
      <c r="Q713" s="9"/>
      <c r="R713" s="67"/>
      <c r="S713" s="9"/>
    </row>
    <row r="714" spans="1:19" ht="15" customHeight="1" x14ac:dyDescent="0.25">
      <c r="A714" s="4"/>
      <c r="B714" s="28" t="str">
        <f>IF(ISNUMBER(MATCH(C714, Mgt_Unit!$C$5:$C$1018, 0)), INDEX(Mgt_Unit!$B$5:$B$1018, MATCH(C714, Mgt_Unit!$C$5:$C$1018, 0)), "")</f>
        <v>jennifer.moore</v>
      </c>
      <c r="C714" t="s">
        <v>845</v>
      </c>
      <c r="D714" s="65"/>
      <c r="E714">
        <v>1</v>
      </c>
      <c r="F714" t="s">
        <v>1538</v>
      </c>
      <c r="G714" t="s">
        <v>1544</v>
      </c>
      <c r="H714" t="s">
        <v>50</v>
      </c>
      <c r="I714" t="s">
        <v>87</v>
      </c>
      <c r="J714" s="89">
        <v>42448</v>
      </c>
      <c r="K714" s="89">
        <v>42612</v>
      </c>
      <c r="L714" s="89"/>
      <c r="M714" s="31">
        <v>0</v>
      </c>
      <c r="N714" s="9"/>
      <c r="O714" s="33"/>
      <c r="P714" s="33"/>
      <c r="Q714" s="9"/>
      <c r="R714" s="67"/>
      <c r="S714" s="9"/>
    </row>
    <row r="715" spans="1:19" ht="15" customHeight="1" x14ac:dyDescent="0.25">
      <c r="A715" s="4"/>
      <c r="B715" s="28" t="str">
        <f>IF(ISNUMBER(MATCH(C715, Mgt_Unit!$C$5:$C$1018, 0)), INDEX(Mgt_Unit!$B$5:$B$1018, MATCH(C715, Mgt_Unit!$C$5:$C$1018, 0)), "")</f>
        <v>jennifer.moore</v>
      </c>
      <c r="C715" t="s">
        <v>845</v>
      </c>
      <c r="D715" s="65"/>
      <c r="E715">
        <v>2</v>
      </c>
      <c r="F715" t="s">
        <v>1538</v>
      </c>
      <c r="G715" t="s">
        <v>1544</v>
      </c>
      <c r="H715" t="s">
        <v>51</v>
      </c>
      <c r="I715" t="s">
        <v>137</v>
      </c>
      <c r="J715" s="89">
        <v>42888</v>
      </c>
      <c r="K715" s="89">
        <v>43023</v>
      </c>
      <c r="L715" s="89"/>
      <c r="M715" s="31">
        <v>0</v>
      </c>
      <c r="N715" s="9"/>
      <c r="O715" s="33"/>
      <c r="P715" s="33"/>
      <c r="Q715" s="9"/>
      <c r="R715" s="67"/>
      <c r="S715" s="9"/>
    </row>
    <row r="716" spans="1:19" ht="15" customHeight="1" x14ac:dyDescent="0.25">
      <c r="A716" s="4"/>
      <c r="B716" s="28" t="str">
        <f>IF(ISNUMBER(MATCH(C716, Mgt_Unit!$C$5:$C$1018, 0)), INDEX(Mgt_Unit!$B$5:$B$1018, MATCH(C716, Mgt_Unit!$C$5:$C$1018, 0)), "")</f>
        <v>jennifer.moore</v>
      </c>
      <c r="C716" t="s">
        <v>845</v>
      </c>
      <c r="D716" s="65"/>
      <c r="E716">
        <v>3</v>
      </c>
      <c r="F716" t="s">
        <v>1538</v>
      </c>
      <c r="G716" t="s">
        <v>1535</v>
      </c>
      <c r="H716" t="s">
        <v>441</v>
      </c>
      <c r="I716" t="s">
        <v>124</v>
      </c>
      <c r="J716" s="89">
        <v>43070</v>
      </c>
      <c r="K716" s="89"/>
      <c r="L716" s="89">
        <v>43151</v>
      </c>
      <c r="M716" s="31">
        <v>0</v>
      </c>
      <c r="N716" s="9"/>
      <c r="O716" s="33"/>
      <c r="P716" s="33"/>
      <c r="Q716" s="9"/>
      <c r="R716" s="67"/>
      <c r="S716" s="9"/>
    </row>
    <row r="717" spans="1:19" ht="15" customHeight="1" x14ac:dyDescent="0.25">
      <c r="A717" s="4"/>
      <c r="B717" s="28" t="str">
        <f>IF(ISNUMBER(MATCH(C717, Mgt_Unit!$C$5:$C$1018, 0)), INDEX(Mgt_Unit!$B$5:$B$1018, MATCH(C717, Mgt_Unit!$C$5:$C$1018, 0)), "")</f>
        <v>jennifer.moore</v>
      </c>
      <c r="C717" t="s">
        <v>845</v>
      </c>
      <c r="D717" s="65"/>
      <c r="E717">
        <v>4</v>
      </c>
      <c r="F717" t="s">
        <v>1538</v>
      </c>
      <c r="G717" t="s">
        <v>1544</v>
      </c>
      <c r="H717" t="s">
        <v>49</v>
      </c>
      <c r="I717" t="s">
        <v>85</v>
      </c>
      <c r="J717" s="89">
        <v>43223</v>
      </c>
      <c r="K717" s="89">
        <v>43418</v>
      </c>
      <c r="L717" s="89"/>
      <c r="M717" s="31">
        <v>0</v>
      </c>
      <c r="N717" s="9"/>
      <c r="O717" s="33"/>
      <c r="P717" s="33"/>
      <c r="Q717" s="9"/>
      <c r="R717" s="67"/>
      <c r="S717" s="9"/>
    </row>
    <row r="718" spans="1:19" ht="15" customHeight="1" x14ac:dyDescent="0.25">
      <c r="A718" s="4"/>
      <c r="B718" s="28" t="str">
        <f>IF(ISNUMBER(MATCH(C718, Mgt_Unit!$C$5:$C$1018, 0)), INDEX(Mgt_Unit!$B$5:$B$1018, MATCH(C718, Mgt_Unit!$C$5:$C$1018, 0)), "")</f>
        <v>jennifer.moore</v>
      </c>
      <c r="C718" t="s">
        <v>845</v>
      </c>
      <c r="D718" s="65"/>
      <c r="E718">
        <v>5</v>
      </c>
      <c r="F718" t="s">
        <v>1538</v>
      </c>
      <c r="G718" t="s">
        <v>1535</v>
      </c>
      <c r="H718" t="s">
        <v>441</v>
      </c>
      <c r="I718" t="s">
        <v>27</v>
      </c>
      <c r="J718" s="89">
        <v>43433</v>
      </c>
      <c r="K718" s="89"/>
      <c r="L718" s="89">
        <v>43593</v>
      </c>
      <c r="M718" s="31">
        <v>0</v>
      </c>
      <c r="N718" s="9"/>
      <c r="O718" s="33"/>
      <c r="P718" s="33"/>
      <c r="Q718" s="9"/>
      <c r="R718" s="67"/>
      <c r="S718" s="9"/>
    </row>
    <row r="719" spans="1:19" ht="15" customHeight="1" x14ac:dyDescent="0.25">
      <c r="A719" s="4"/>
      <c r="B719" s="28" t="str">
        <f>IF(ISNUMBER(MATCH(C719, Mgt_Unit!$C$5:$C$1018, 0)), INDEX(Mgt_Unit!$B$5:$B$1018, MATCH(C719, Mgt_Unit!$C$5:$C$1018, 0)), "")</f>
        <v>jennifer.moore</v>
      </c>
      <c r="C719" t="s">
        <v>845</v>
      </c>
      <c r="D719" s="65"/>
      <c r="E719">
        <v>6</v>
      </c>
      <c r="F719" t="s">
        <v>1538</v>
      </c>
      <c r="G719" t="s">
        <v>1544</v>
      </c>
      <c r="H719" t="s">
        <v>51</v>
      </c>
      <c r="I719" t="s">
        <v>125</v>
      </c>
      <c r="J719" s="89">
        <v>43600</v>
      </c>
      <c r="K719" s="89">
        <v>43743</v>
      </c>
      <c r="L719" s="89"/>
      <c r="M719" s="31">
        <v>0</v>
      </c>
      <c r="N719" s="9"/>
      <c r="O719" s="33"/>
      <c r="P719" s="33"/>
      <c r="Q719" s="9"/>
      <c r="R719" s="67"/>
      <c r="S719" s="9"/>
    </row>
    <row r="720" spans="1:19" ht="15" customHeight="1" x14ac:dyDescent="0.25">
      <c r="A720" s="4"/>
      <c r="B720" s="28" t="str">
        <f>IF(ISNUMBER(MATCH(C720, Mgt_Unit!$C$5:$C$1018, 0)), INDEX(Mgt_Unit!$B$5:$B$1018, MATCH(C720, Mgt_Unit!$C$5:$C$1018, 0)), "")</f>
        <v>jennifer.moore</v>
      </c>
      <c r="C720" t="s">
        <v>845</v>
      </c>
      <c r="D720" s="65"/>
      <c r="E720">
        <v>7</v>
      </c>
      <c r="F720" t="s">
        <v>1537</v>
      </c>
      <c r="G720" t="s">
        <v>1544</v>
      </c>
      <c r="H720" t="s">
        <v>441</v>
      </c>
      <c r="I720" t="s">
        <v>124</v>
      </c>
      <c r="J720" s="89">
        <v>43760</v>
      </c>
      <c r="K720" s="89"/>
      <c r="L720" s="89"/>
      <c r="M720" s="31"/>
      <c r="N720" s="9"/>
      <c r="O720" s="33"/>
      <c r="P720" s="33"/>
      <c r="Q720" s="9"/>
      <c r="R720" s="67"/>
      <c r="S720" s="9"/>
    </row>
    <row r="721" spans="1:19" ht="15" customHeight="1" x14ac:dyDescent="0.25">
      <c r="A721" s="4"/>
      <c r="B721" s="28" t="str">
        <f>IF(ISNUMBER(MATCH(C721, Mgt_Unit!$C$5:$C$1018, 0)), INDEX(Mgt_Unit!$B$5:$B$1018, MATCH(C721, Mgt_Unit!$C$5:$C$1018, 0)), "")</f>
        <v>jennifer.moore</v>
      </c>
      <c r="C721" s="87" t="s">
        <v>845</v>
      </c>
      <c r="D721" s="65"/>
      <c r="E721" s="87">
        <v>7</v>
      </c>
      <c r="F721" s="87" t="s">
        <v>1537</v>
      </c>
      <c r="G721" s="87" t="s">
        <v>1544</v>
      </c>
      <c r="H721" s="87" t="s">
        <v>441</v>
      </c>
      <c r="I721" s="87" t="s">
        <v>27</v>
      </c>
      <c r="J721" s="90">
        <v>43760</v>
      </c>
      <c r="K721" s="90"/>
      <c r="L721" s="90"/>
      <c r="M721" s="93"/>
      <c r="N721" s="9"/>
      <c r="O721" s="33"/>
      <c r="P721" s="33"/>
      <c r="Q721" s="9"/>
      <c r="R721" s="67"/>
      <c r="S721" s="9"/>
    </row>
    <row r="722" spans="1:19" ht="15" customHeight="1" x14ac:dyDescent="0.25">
      <c r="A722" s="4"/>
      <c r="B722" s="28" t="str">
        <f>IF(ISNUMBER(MATCH(C722, Mgt_Unit!$C$5:$C$1018, 0)), INDEX(Mgt_Unit!$B$5:$B$1018, MATCH(C722, Mgt_Unit!$C$5:$C$1018, 0)), "")</f>
        <v>jennifer.moore</v>
      </c>
      <c r="C722" t="s">
        <v>846</v>
      </c>
      <c r="D722" s="65"/>
      <c r="E722">
        <v>1</v>
      </c>
      <c r="F722" t="s">
        <v>1538</v>
      </c>
      <c r="G722" t="s">
        <v>1544</v>
      </c>
      <c r="H722" t="s">
        <v>50</v>
      </c>
      <c r="I722" t="s">
        <v>87</v>
      </c>
      <c r="J722" s="89">
        <v>42448</v>
      </c>
      <c r="K722" s="89">
        <v>42612</v>
      </c>
      <c r="L722" s="89"/>
      <c r="M722" s="31">
        <v>0</v>
      </c>
      <c r="N722" s="9"/>
      <c r="O722" s="33"/>
      <c r="P722" s="33"/>
      <c r="Q722" s="9"/>
      <c r="R722" s="67"/>
      <c r="S722" s="9"/>
    </row>
    <row r="723" spans="1:19" ht="15" customHeight="1" x14ac:dyDescent="0.25">
      <c r="A723" s="4"/>
      <c r="B723" s="28" t="str">
        <f>IF(ISNUMBER(MATCH(C723, Mgt_Unit!$C$5:$C$1018, 0)), INDEX(Mgt_Unit!$B$5:$B$1018, MATCH(C723, Mgt_Unit!$C$5:$C$1018, 0)), "")</f>
        <v>jennifer.moore</v>
      </c>
      <c r="C723" t="s">
        <v>846</v>
      </c>
      <c r="D723" s="65"/>
      <c r="E723">
        <v>2</v>
      </c>
      <c r="F723" t="s">
        <v>1538</v>
      </c>
      <c r="G723" t="s">
        <v>1544</v>
      </c>
      <c r="H723" t="s">
        <v>51</v>
      </c>
      <c r="I723" t="s">
        <v>137</v>
      </c>
      <c r="J723" s="89">
        <v>42888</v>
      </c>
      <c r="K723" s="89">
        <v>43023</v>
      </c>
      <c r="L723" s="89"/>
      <c r="M723" s="31">
        <v>0</v>
      </c>
      <c r="N723" s="9"/>
      <c r="O723" s="33"/>
      <c r="P723" s="33"/>
      <c r="Q723" s="9"/>
      <c r="R723" s="67"/>
      <c r="S723" s="9"/>
    </row>
    <row r="724" spans="1:19" ht="15" customHeight="1" x14ac:dyDescent="0.25">
      <c r="A724" s="4"/>
      <c r="B724" s="28" t="str">
        <f>IF(ISNUMBER(MATCH(C724, Mgt_Unit!$C$5:$C$1018, 0)), INDEX(Mgt_Unit!$B$5:$B$1018, MATCH(C724, Mgt_Unit!$C$5:$C$1018, 0)), "")</f>
        <v>jennifer.moore</v>
      </c>
      <c r="C724" t="s">
        <v>846</v>
      </c>
      <c r="D724" s="65"/>
      <c r="E724">
        <v>3</v>
      </c>
      <c r="F724" t="s">
        <v>1538</v>
      </c>
      <c r="G724" t="s">
        <v>1535</v>
      </c>
      <c r="H724" t="s">
        <v>441</v>
      </c>
      <c r="I724" t="s">
        <v>124</v>
      </c>
      <c r="J724" s="89">
        <v>43070</v>
      </c>
      <c r="K724" s="89"/>
      <c r="L724" s="89">
        <v>43151</v>
      </c>
      <c r="M724" s="31">
        <v>0</v>
      </c>
      <c r="N724" s="9"/>
      <c r="O724" s="33"/>
      <c r="P724" s="33"/>
      <c r="Q724" s="9"/>
      <c r="R724" s="67"/>
      <c r="S724" s="9"/>
    </row>
    <row r="725" spans="1:19" ht="15" customHeight="1" x14ac:dyDescent="0.25">
      <c r="A725" s="4"/>
      <c r="B725" s="28" t="str">
        <f>IF(ISNUMBER(MATCH(C725, Mgt_Unit!$C$5:$C$1018, 0)), INDEX(Mgt_Unit!$B$5:$B$1018, MATCH(C725, Mgt_Unit!$C$5:$C$1018, 0)), "")</f>
        <v>jennifer.moore</v>
      </c>
      <c r="C725" t="s">
        <v>846</v>
      </c>
      <c r="D725" s="65"/>
      <c r="E725">
        <v>4</v>
      </c>
      <c r="F725" t="s">
        <v>1538</v>
      </c>
      <c r="G725" t="s">
        <v>1544</v>
      </c>
      <c r="H725" t="s">
        <v>49</v>
      </c>
      <c r="I725" t="s">
        <v>85</v>
      </c>
      <c r="J725" s="89">
        <v>43223</v>
      </c>
      <c r="K725" s="89">
        <v>43418</v>
      </c>
      <c r="L725" s="89"/>
      <c r="M725" s="31">
        <v>0</v>
      </c>
      <c r="N725" s="9"/>
      <c r="O725" s="33"/>
      <c r="P725" s="33"/>
      <c r="Q725" s="9"/>
      <c r="R725" s="67"/>
      <c r="S725" s="9"/>
    </row>
    <row r="726" spans="1:19" ht="15" customHeight="1" x14ac:dyDescent="0.25">
      <c r="A726" s="4"/>
      <c r="B726" s="28" t="str">
        <f>IF(ISNUMBER(MATCH(C726, Mgt_Unit!$C$5:$C$1018, 0)), INDEX(Mgt_Unit!$B$5:$B$1018, MATCH(C726, Mgt_Unit!$C$5:$C$1018, 0)), "")</f>
        <v>jennifer.moore</v>
      </c>
      <c r="C726" t="s">
        <v>846</v>
      </c>
      <c r="D726" s="65"/>
      <c r="E726">
        <v>5</v>
      </c>
      <c r="F726" t="s">
        <v>1538</v>
      </c>
      <c r="G726" t="s">
        <v>1535</v>
      </c>
      <c r="H726" t="s">
        <v>441</v>
      </c>
      <c r="I726" t="s">
        <v>27</v>
      </c>
      <c r="J726" s="89">
        <v>43433</v>
      </c>
      <c r="K726" s="89"/>
      <c r="L726" s="89">
        <v>43572</v>
      </c>
      <c r="M726" s="31">
        <v>0</v>
      </c>
      <c r="N726" s="9"/>
      <c r="O726" s="33"/>
      <c r="P726" s="33"/>
      <c r="Q726" s="9"/>
      <c r="R726" s="67"/>
      <c r="S726" s="9"/>
    </row>
    <row r="727" spans="1:19" ht="15" customHeight="1" x14ac:dyDescent="0.25">
      <c r="A727" s="4"/>
      <c r="B727" s="28" t="str">
        <f>IF(ISNUMBER(MATCH(C727, Mgt_Unit!$C$5:$C$1018, 0)), INDEX(Mgt_Unit!$B$5:$B$1018, MATCH(C727, Mgt_Unit!$C$5:$C$1018, 0)), "")</f>
        <v>jennifer.moore</v>
      </c>
      <c r="C727" t="s">
        <v>846</v>
      </c>
      <c r="D727" s="65"/>
      <c r="E727">
        <v>6</v>
      </c>
      <c r="F727" t="s">
        <v>1538</v>
      </c>
      <c r="G727" t="s">
        <v>1544</v>
      </c>
      <c r="H727" t="s">
        <v>51</v>
      </c>
      <c r="I727" t="s">
        <v>125</v>
      </c>
      <c r="J727" s="89">
        <v>43600</v>
      </c>
      <c r="K727" s="89">
        <v>43743</v>
      </c>
      <c r="L727" s="89"/>
      <c r="M727" s="31">
        <v>0</v>
      </c>
      <c r="N727" s="9"/>
      <c r="O727" s="33"/>
      <c r="P727" s="33"/>
      <c r="Q727" s="9"/>
      <c r="R727" s="67"/>
      <c r="S727" s="9"/>
    </row>
    <row r="728" spans="1:19" ht="15" customHeight="1" x14ac:dyDescent="0.25">
      <c r="A728" s="4"/>
      <c r="B728" s="28" t="str">
        <f>IF(ISNUMBER(MATCH(C728, Mgt_Unit!$C$5:$C$1018, 0)), INDEX(Mgt_Unit!$B$5:$B$1018, MATCH(C728, Mgt_Unit!$C$5:$C$1018, 0)), "")</f>
        <v>jennifer.moore</v>
      </c>
      <c r="C728" t="s">
        <v>846</v>
      </c>
      <c r="D728" s="65"/>
      <c r="E728">
        <v>7</v>
      </c>
      <c r="F728" t="s">
        <v>1537</v>
      </c>
      <c r="G728" t="s">
        <v>1535</v>
      </c>
      <c r="H728" t="s">
        <v>441</v>
      </c>
      <c r="I728" t="s">
        <v>124</v>
      </c>
      <c r="J728" s="89">
        <v>43760</v>
      </c>
      <c r="K728" s="89"/>
      <c r="L728" s="89"/>
      <c r="M728" s="31"/>
      <c r="N728" s="9"/>
      <c r="O728" s="33"/>
      <c r="P728" s="33"/>
      <c r="Q728" s="9"/>
      <c r="R728" s="67"/>
      <c r="S728" s="9"/>
    </row>
    <row r="729" spans="1:19" ht="15" customHeight="1" x14ac:dyDescent="0.25">
      <c r="A729" s="4"/>
      <c r="B729" s="28" t="str">
        <f>IF(ISNUMBER(MATCH(C729, Mgt_Unit!$C$5:$C$1018, 0)), INDEX(Mgt_Unit!$B$5:$B$1018, MATCH(C729, Mgt_Unit!$C$5:$C$1018, 0)), "")</f>
        <v>jennifer.moore</v>
      </c>
      <c r="C729" s="87" t="s">
        <v>846</v>
      </c>
      <c r="D729" s="65"/>
      <c r="E729" s="87">
        <v>7</v>
      </c>
      <c r="F729" s="87" t="s">
        <v>1537</v>
      </c>
      <c r="G729" s="87" t="s">
        <v>1535</v>
      </c>
      <c r="H729" s="87" t="s">
        <v>441</v>
      </c>
      <c r="I729" s="87" t="s">
        <v>27</v>
      </c>
      <c r="J729" s="90">
        <v>43760</v>
      </c>
      <c r="K729" s="90"/>
      <c r="L729" s="90"/>
      <c r="M729" s="93"/>
      <c r="N729" s="9"/>
      <c r="O729" s="33"/>
      <c r="P729" s="33"/>
      <c r="Q729" s="9"/>
      <c r="R729" s="67"/>
      <c r="S729" s="9"/>
    </row>
    <row r="730" spans="1:19" ht="15" customHeight="1" x14ac:dyDescent="0.25">
      <c r="A730" s="4"/>
      <c r="B730" s="28" t="str">
        <f>IF(ISNUMBER(MATCH(C730, Mgt_Unit!$C$5:$C$1018, 0)), INDEX(Mgt_Unit!$B$5:$B$1018, MATCH(C730, Mgt_Unit!$C$5:$C$1018, 0)), "")</f>
        <v>jennifer.moore</v>
      </c>
      <c r="C730" s="88" t="s">
        <v>1310</v>
      </c>
      <c r="D730" s="65"/>
      <c r="E730" s="88">
        <v>1</v>
      </c>
      <c r="F730" s="88" t="s">
        <v>1537</v>
      </c>
      <c r="G730" s="88" t="s">
        <v>1536</v>
      </c>
      <c r="H730" s="88" t="s">
        <v>1549</v>
      </c>
      <c r="I730" s="88" t="s">
        <v>1554</v>
      </c>
      <c r="J730" s="91">
        <v>43101</v>
      </c>
      <c r="K730" s="91"/>
      <c r="L730" s="91">
        <v>43465</v>
      </c>
      <c r="M730" s="94">
        <v>90</v>
      </c>
      <c r="N730" s="9"/>
      <c r="O730" s="33"/>
      <c r="P730" s="33"/>
      <c r="Q730" s="9"/>
      <c r="R730" s="67"/>
      <c r="S730" s="9"/>
    </row>
    <row r="731" spans="1:19" ht="15" customHeight="1" x14ac:dyDescent="0.25">
      <c r="A731" s="4"/>
      <c r="B731" s="28" t="str">
        <f>IF(ISNUMBER(MATCH(C731, Mgt_Unit!$C$5:$C$1018, 0)), INDEX(Mgt_Unit!$B$5:$B$1018, MATCH(C731, Mgt_Unit!$C$5:$C$1018, 0)), "")</f>
        <v>jennifer.moore</v>
      </c>
      <c r="C731" t="s">
        <v>847</v>
      </c>
      <c r="D731" s="65"/>
      <c r="E731">
        <v>1</v>
      </c>
      <c r="F731" t="s">
        <v>1538</v>
      </c>
      <c r="G731" t="s">
        <v>1544</v>
      </c>
      <c r="H731" t="s">
        <v>51</v>
      </c>
      <c r="I731" t="s">
        <v>137</v>
      </c>
      <c r="J731" s="89">
        <v>42861</v>
      </c>
      <c r="K731" s="89">
        <v>43006</v>
      </c>
      <c r="L731" s="89"/>
      <c r="M731" s="31">
        <v>0</v>
      </c>
      <c r="N731" s="9"/>
      <c r="O731" s="33"/>
      <c r="P731" s="33"/>
      <c r="Q731" s="9"/>
      <c r="R731" s="67"/>
      <c r="S731" s="9"/>
    </row>
    <row r="732" spans="1:19" ht="15" customHeight="1" x14ac:dyDescent="0.25">
      <c r="A732" s="4"/>
      <c r="B732" s="28" t="str">
        <f>IF(ISNUMBER(MATCH(C732, Mgt_Unit!$C$5:$C$1018, 0)), INDEX(Mgt_Unit!$B$5:$B$1018, MATCH(C732, Mgt_Unit!$C$5:$C$1018, 0)), "")</f>
        <v>jennifer.moore</v>
      </c>
      <c r="C732" s="87" t="s">
        <v>847</v>
      </c>
      <c r="D732" s="65"/>
      <c r="E732" s="87">
        <v>2</v>
      </c>
      <c r="F732" s="87" t="s">
        <v>1538</v>
      </c>
      <c r="G732" s="87" t="s">
        <v>1544</v>
      </c>
      <c r="H732" s="87" t="s">
        <v>50</v>
      </c>
      <c r="I732" s="87" t="s">
        <v>87</v>
      </c>
      <c r="J732" s="90">
        <v>43226</v>
      </c>
      <c r="K732" s="90">
        <v>43410</v>
      </c>
      <c r="L732" s="90"/>
      <c r="M732" s="93">
        <v>0</v>
      </c>
      <c r="N732" s="9"/>
      <c r="O732" s="33"/>
      <c r="P732" s="33"/>
      <c r="Q732" s="9"/>
      <c r="R732" s="67"/>
      <c r="S732" s="9"/>
    </row>
    <row r="733" spans="1:19" ht="15" customHeight="1" x14ac:dyDescent="0.25">
      <c r="A733" s="4"/>
      <c r="B733" s="28" t="str">
        <f>IF(ISNUMBER(MATCH(C733, Mgt_Unit!$C$5:$C$1018, 0)), INDEX(Mgt_Unit!$B$5:$B$1018, MATCH(C733, Mgt_Unit!$C$5:$C$1018, 0)), "")</f>
        <v>jennifer.moore</v>
      </c>
      <c r="C733" t="s">
        <v>848</v>
      </c>
      <c r="D733" s="65"/>
      <c r="E733">
        <v>1</v>
      </c>
      <c r="F733" t="s">
        <v>1538</v>
      </c>
      <c r="G733" t="s">
        <v>1544</v>
      </c>
      <c r="H733" t="s">
        <v>51</v>
      </c>
      <c r="I733" t="s">
        <v>137</v>
      </c>
      <c r="J733" s="89">
        <v>42861</v>
      </c>
      <c r="K733" s="89">
        <v>43006</v>
      </c>
      <c r="L733" s="89"/>
      <c r="M733" s="31">
        <v>0</v>
      </c>
      <c r="N733" s="9"/>
      <c r="O733" s="33"/>
      <c r="P733" s="33"/>
      <c r="Q733" s="9"/>
      <c r="R733" s="67"/>
      <c r="S733" s="9"/>
    </row>
    <row r="734" spans="1:19" ht="15" customHeight="1" x14ac:dyDescent="0.25">
      <c r="A734" s="4"/>
      <c r="B734" s="28" t="str">
        <f>IF(ISNUMBER(MATCH(C734, Mgt_Unit!$C$5:$C$1018, 0)), INDEX(Mgt_Unit!$B$5:$B$1018, MATCH(C734, Mgt_Unit!$C$5:$C$1018, 0)), "")</f>
        <v>jennifer.moore</v>
      </c>
      <c r="C734" s="87" t="s">
        <v>848</v>
      </c>
      <c r="D734" s="65"/>
      <c r="E734" s="87">
        <v>2</v>
      </c>
      <c r="F734" s="87" t="s">
        <v>1538</v>
      </c>
      <c r="G734" s="87" t="s">
        <v>1544</v>
      </c>
      <c r="H734" s="87" t="s">
        <v>50</v>
      </c>
      <c r="I734" s="87" t="s">
        <v>87</v>
      </c>
      <c r="J734" s="90">
        <v>43226</v>
      </c>
      <c r="K734" s="90">
        <v>43410</v>
      </c>
      <c r="L734" s="90"/>
      <c r="M734" s="93">
        <v>0</v>
      </c>
      <c r="N734" s="9"/>
      <c r="O734" s="33"/>
      <c r="P734" s="33"/>
      <c r="Q734" s="9"/>
      <c r="R734" s="67"/>
      <c r="S734" s="9"/>
    </row>
    <row r="735" spans="1:19" ht="15" customHeight="1" x14ac:dyDescent="0.25">
      <c r="A735" s="4"/>
      <c r="B735" s="28" t="str">
        <f>IF(ISNUMBER(MATCH(C735, Mgt_Unit!$C$5:$C$1018, 0)), INDEX(Mgt_Unit!$B$5:$B$1018, MATCH(C735, Mgt_Unit!$C$5:$C$1018, 0)), "")</f>
        <v>jennifer.moore</v>
      </c>
      <c r="C735" s="88" t="s">
        <v>849</v>
      </c>
      <c r="D735" s="65"/>
      <c r="E735" s="88">
        <v>1</v>
      </c>
      <c r="F735" s="88" t="s">
        <v>1538</v>
      </c>
      <c r="G735" s="88" t="s">
        <v>1544</v>
      </c>
      <c r="H735" s="88" t="s">
        <v>50</v>
      </c>
      <c r="I735" s="88" t="s">
        <v>87</v>
      </c>
      <c r="J735" s="91">
        <v>43235</v>
      </c>
      <c r="K735" s="91">
        <v>43391</v>
      </c>
      <c r="L735" s="91"/>
      <c r="M735" s="94">
        <v>90</v>
      </c>
      <c r="N735" s="9"/>
      <c r="O735" s="33"/>
      <c r="P735" s="33"/>
      <c r="Q735" s="9"/>
      <c r="R735" s="67"/>
      <c r="S735" s="9"/>
    </row>
    <row r="736" spans="1:19" ht="15" customHeight="1" x14ac:dyDescent="0.25">
      <c r="A736" s="4"/>
      <c r="B736" s="28" t="str">
        <f>IF(ISNUMBER(MATCH(C736, Mgt_Unit!$C$5:$C$1018, 0)), INDEX(Mgt_Unit!$B$5:$B$1018, MATCH(C736, Mgt_Unit!$C$5:$C$1018, 0)), "")</f>
        <v>jennifer.moore</v>
      </c>
      <c r="C736" t="s">
        <v>850</v>
      </c>
      <c r="D736" s="65"/>
      <c r="E736">
        <v>1</v>
      </c>
      <c r="F736" t="s">
        <v>1537</v>
      </c>
      <c r="G736" t="s">
        <v>1544</v>
      </c>
      <c r="H736" t="s">
        <v>50</v>
      </c>
      <c r="I736" t="s">
        <v>87</v>
      </c>
      <c r="J736" s="89">
        <v>43235</v>
      </c>
      <c r="K736" s="89">
        <v>43391</v>
      </c>
      <c r="L736" s="89"/>
      <c r="M736" s="31">
        <v>90</v>
      </c>
      <c r="N736" s="9"/>
      <c r="O736" s="33"/>
      <c r="P736" s="33"/>
      <c r="Q736" s="9"/>
      <c r="R736" s="67"/>
      <c r="S736" s="9"/>
    </row>
    <row r="737" spans="1:19" ht="15" customHeight="1" x14ac:dyDescent="0.25">
      <c r="A737" s="4"/>
      <c r="B737" s="28" t="str">
        <f>IF(ISNUMBER(MATCH(C737, Mgt_Unit!$C$5:$C$1018, 0)), INDEX(Mgt_Unit!$B$5:$B$1018, MATCH(C737, Mgt_Unit!$C$5:$C$1018, 0)), "")</f>
        <v>jennifer.moore</v>
      </c>
      <c r="C737" s="87" t="s">
        <v>850</v>
      </c>
      <c r="D737" s="65"/>
      <c r="E737" s="87">
        <v>1</v>
      </c>
      <c r="F737" t="s">
        <v>1537</v>
      </c>
      <c r="G737" s="87" t="s">
        <v>1535</v>
      </c>
      <c r="H737" s="87" t="s">
        <v>441</v>
      </c>
      <c r="I737" s="87" t="s">
        <v>124</v>
      </c>
      <c r="J737" s="102">
        <v>43337</v>
      </c>
      <c r="K737" s="90"/>
      <c r="L737" s="90"/>
      <c r="M737" s="93"/>
      <c r="N737" s="9"/>
      <c r="O737" s="33"/>
      <c r="P737" s="33"/>
      <c r="Q737" s="9"/>
      <c r="R737" s="67"/>
      <c r="S737" s="9"/>
    </row>
    <row r="738" spans="1:19" ht="15" customHeight="1" x14ac:dyDescent="0.25">
      <c r="A738" s="4"/>
      <c r="B738" s="28" t="str">
        <f>IF(ISNUMBER(MATCH(C738, Mgt_Unit!$C$5:$C$1018, 0)), INDEX(Mgt_Unit!$B$5:$B$1018, MATCH(C738, Mgt_Unit!$C$5:$C$1018, 0)), "")</f>
        <v>jennifer.moore</v>
      </c>
      <c r="C738" s="88" t="s">
        <v>1312</v>
      </c>
      <c r="D738" s="65"/>
      <c r="E738" s="88">
        <v>1</v>
      </c>
      <c r="F738" s="88" t="s">
        <v>1537</v>
      </c>
      <c r="G738" s="88" t="s">
        <v>1536</v>
      </c>
      <c r="H738" s="88" t="s">
        <v>1549</v>
      </c>
      <c r="I738" s="88" t="s">
        <v>1554</v>
      </c>
      <c r="J738" s="91">
        <v>43101</v>
      </c>
      <c r="K738" s="91"/>
      <c r="L738" s="91">
        <v>43465</v>
      </c>
      <c r="M738" s="94">
        <v>90</v>
      </c>
      <c r="N738" s="9"/>
      <c r="O738" s="33"/>
      <c r="P738" s="33"/>
      <c r="Q738" s="9"/>
      <c r="R738" s="67"/>
      <c r="S738" s="9"/>
    </row>
    <row r="739" spans="1:19" ht="15" customHeight="1" x14ac:dyDescent="0.25">
      <c r="A739" s="4"/>
      <c r="B739" s="28" t="str">
        <f>IF(ISNUMBER(MATCH(C739, Mgt_Unit!$C$5:$C$1018, 0)), INDEX(Mgt_Unit!$B$5:$B$1018, MATCH(C739, Mgt_Unit!$C$5:$C$1018, 0)), "")</f>
        <v>jennifer.moore</v>
      </c>
      <c r="C739" s="88" t="s">
        <v>1311</v>
      </c>
      <c r="D739" s="65"/>
      <c r="E739" s="88">
        <v>1</v>
      </c>
      <c r="F739" s="88" t="s">
        <v>1537</v>
      </c>
      <c r="G739" s="88" t="s">
        <v>1536</v>
      </c>
      <c r="H739" s="88" t="s">
        <v>1549</v>
      </c>
      <c r="I739" s="88" t="s">
        <v>1554</v>
      </c>
      <c r="J739" s="91">
        <v>43101</v>
      </c>
      <c r="K739" s="91"/>
      <c r="L739" s="91">
        <v>43465</v>
      </c>
      <c r="M739" s="94">
        <v>90</v>
      </c>
      <c r="N739" s="9"/>
      <c r="O739" s="33"/>
      <c r="P739" s="33"/>
      <c r="Q739" s="9"/>
      <c r="R739" s="67"/>
      <c r="S739" s="9"/>
    </row>
    <row r="740" spans="1:19" ht="15" customHeight="1" x14ac:dyDescent="0.25">
      <c r="A740" s="4"/>
      <c r="B740" s="28" t="str">
        <f>IF(ISNUMBER(MATCH(C740, Mgt_Unit!$C$5:$C$1018, 0)), INDEX(Mgt_Unit!$B$5:$B$1018, MATCH(C740, Mgt_Unit!$C$5:$C$1018, 0)), "")</f>
        <v>jennifer.moore</v>
      </c>
      <c r="C740" t="s">
        <v>851</v>
      </c>
      <c r="D740" s="65"/>
      <c r="E740">
        <v>1</v>
      </c>
      <c r="F740" t="s">
        <v>1538</v>
      </c>
      <c r="G740" t="s">
        <v>1544</v>
      </c>
      <c r="H740" t="s">
        <v>50</v>
      </c>
      <c r="I740" t="s">
        <v>87</v>
      </c>
      <c r="J740" s="89">
        <v>42870</v>
      </c>
      <c r="K740" s="89">
        <v>43026</v>
      </c>
      <c r="L740" s="89"/>
      <c r="M740" s="31">
        <v>0</v>
      </c>
      <c r="N740" s="9"/>
      <c r="O740" s="33"/>
      <c r="P740" s="33"/>
      <c r="Q740" s="9"/>
      <c r="R740" s="67"/>
      <c r="S740" s="9"/>
    </row>
    <row r="741" spans="1:19" ht="15" customHeight="1" x14ac:dyDescent="0.25">
      <c r="A741" s="4"/>
      <c r="B741" s="28" t="str">
        <f>IF(ISNUMBER(MATCH(C741, Mgt_Unit!$C$5:$C$1018, 0)), INDEX(Mgt_Unit!$B$5:$B$1018, MATCH(C741, Mgt_Unit!$C$5:$C$1018, 0)), "")</f>
        <v>jennifer.moore</v>
      </c>
      <c r="C741" s="87" t="s">
        <v>851</v>
      </c>
      <c r="D741" s="65"/>
      <c r="E741" s="87">
        <v>2</v>
      </c>
      <c r="F741" s="87" t="s">
        <v>1538</v>
      </c>
      <c r="G741" s="87" t="s">
        <v>1544</v>
      </c>
      <c r="H741" s="87" t="s">
        <v>51</v>
      </c>
      <c r="I741" s="87" t="s">
        <v>137</v>
      </c>
      <c r="J741" s="90">
        <v>43237</v>
      </c>
      <c r="K741" s="90">
        <v>43396</v>
      </c>
      <c r="L741" s="90"/>
      <c r="M741" s="93">
        <v>0</v>
      </c>
      <c r="N741" s="9"/>
      <c r="O741" s="33"/>
      <c r="P741" s="33"/>
      <c r="Q741" s="9"/>
      <c r="R741" s="67"/>
      <c r="S741" s="9"/>
    </row>
    <row r="742" spans="1:19" ht="15" customHeight="1" x14ac:dyDescent="0.25">
      <c r="A742" s="4"/>
      <c r="B742" s="28" t="str">
        <f>IF(ISNUMBER(MATCH(C742, Mgt_Unit!$C$5:$C$1018, 0)), INDEX(Mgt_Unit!$B$5:$B$1018, MATCH(C742, Mgt_Unit!$C$5:$C$1018, 0)), "")</f>
        <v>jennifer.moore</v>
      </c>
      <c r="C742" t="s">
        <v>852</v>
      </c>
      <c r="D742" s="65"/>
      <c r="E742">
        <v>1</v>
      </c>
      <c r="F742" t="s">
        <v>1538</v>
      </c>
      <c r="G742" t="s">
        <v>1544</v>
      </c>
      <c r="H742" t="s">
        <v>51</v>
      </c>
      <c r="I742" t="s">
        <v>137</v>
      </c>
      <c r="J742" s="89">
        <v>42885</v>
      </c>
      <c r="K742" s="89">
        <v>43027</v>
      </c>
      <c r="L742" s="89"/>
      <c r="M742" s="31">
        <v>0</v>
      </c>
      <c r="N742" s="9"/>
      <c r="O742" s="33"/>
      <c r="P742" s="33"/>
      <c r="Q742" s="9"/>
      <c r="R742" s="67"/>
      <c r="S742" s="9"/>
    </row>
    <row r="743" spans="1:19" ht="15" customHeight="1" x14ac:dyDescent="0.25">
      <c r="A743" s="4"/>
      <c r="B743" s="28" t="str">
        <f>IF(ISNUMBER(MATCH(C743, Mgt_Unit!$C$5:$C$1018, 0)), INDEX(Mgt_Unit!$B$5:$B$1018, MATCH(C743, Mgt_Unit!$C$5:$C$1018, 0)), "")</f>
        <v>jennifer.moore</v>
      </c>
      <c r="C743" s="87" t="s">
        <v>852</v>
      </c>
      <c r="D743" s="65"/>
      <c r="E743" s="87">
        <v>2</v>
      </c>
      <c r="F743" s="87" t="s">
        <v>1538</v>
      </c>
      <c r="G743" s="87" t="s">
        <v>1544</v>
      </c>
      <c r="H743" s="87" t="s">
        <v>50</v>
      </c>
      <c r="I743" s="87" t="s">
        <v>87</v>
      </c>
      <c r="J743" s="90">
        <v>43237</v>
      </c>
      <c r="K743" s="90">
        <v>43390</v>
      </c>
      <c r="L743" s="90"/>
      <c r="M743" s="93">
        <v>0</v>
      </c>
      <c r="N743" s="9"/>
      <c r="O743" s="33"/>
      <c r="P743" s="33"/>
      <c r="Q743" s="9"/>
      <c r="R743" s="67"/>
      <c r="S743" s="9"/>
    </row>
    <row r="744" spans="1:19" ht="15" customHeight="1" x14ac:dyDescent="0.25">
      <c r="A744" s="4"/>
      <c r="B744" s="28" t="str">
        <f>IF(ISNUMBER(MATCH(C744, Mgt_Unit!$C$5:$C$1018, 0)), INDEX(Mgt_Unit!$B$5:$B$1018, MATCH(C744, Mgt_Unit!$C$5:$C$1018, 0)), "")</f>
        <v>jennifer.moore</v>
      </c>
      <c r="C744" t="s">
        <v>853</v>
      </c>
      <c r="D744" s="65"/>
      <c r="E744">
        <v>1</v>
      </c>
      <c r="F744" t="s">
        <v>1538</v>
      </c>
      <c r="G744" t="s">
        <v>1544</v>
      </c>
      <c r="H744" t="s">
        <v>50</v>
      </c>
      <c r="I744" t="s">
        <v>87</v>
      </c>
      <c r="J744" s="89">
        <v>42864</v>
      </c>
      <c r="K744" s="89">
        <v>43017</v>
      </c>
      <c r="L744" s="89"/>
      <c r="M744" s="31">
        <v>0</v>
      </c>
      <c r="N744" s="9"/>
      <c r="O744" s="33"/>
      <c r="P744" s="33"/>
      <c r="Q744" s="9"/>
      <c r="R744" s="67"/>
      <c r="S744" s="9"/>
    </row>
    <row r="745" spans="1:19" ht="15" customHeight="1" x14ac:dyDescent="0.25">
      <c r="A745" s="4"/>
      <c r="B745" s="28" t="str">
        <f>IF(ISNUMBER(MATCH(C745, Mgt_Unit!$C$5:$C$1018, 0)), INDEX(Mgt_Unit!$B$5:$B$1018, MATCH(C745, Mgt_Unit!$C$5:$C$1018, 0)), "")</f>
        <v>jennifer.moore</v>
      </c>
      <c r="C745" s="87" t="s">
        <v>853</v>
      </c>
      <c r="D745" s="65"/>
      <c r="E745" s="87">
        <v>2</v>
      </c>
      <c r="F745" s="87" t="s">
        <v>1538</v>
      </c>
      <c r="G745" s="87" t="s">
        <v>1544</v>
      </c>
      <c r="H745" s="87" t="s">
        <v>51</v>
      </c>
      <c r="I745" s="87" t="s">
        <v>137</v>
      </c>
      <c r="J745" s="90">
        <v>43237</v>
      </c>
      <c r="K745" s="90">
        <v>43402</v>
      </c>
      <c r="L745" s="90"/>
      <c r="M745" s="93">
        <v>0</v>
      </c>
      <c r="N745" s="9"/>
      <c r="O745" s="33"/>
      <c r="P745" s="33"/>
      <c r="Q745" s="9"/>
      <c r="R745" s="67"/>
      <c r="S745" s="9"/>
    </row>
    <row r="746" spans="1:19" ht="15" customHeight="1" x14ac:dyDescent="0.25">
      <c r="A746" s="4"/>
      <c r="B746" s="28" t="str">
        <f>IF(ISNUMBER(MATCH(C746, Mgt_Unit!$C$5:$C$1018, 0)), INDEX(Mgt_Unit!$B$5:$B$1018, MATCH(C746, Mgt_Unit!$C$5:$C$1018, 0)), "")</f>
        <v>jennifer.moore</v>
      </c>
      <c r="C746" t="s">
        <v>854</v>
      </c>
      <c r="D746" s="65"/>
      <c r="E746">
        <v>1</v>
      </c>
      <c r="F746" t="s">
        <v>1538</v>
      </c>
      <c r="G746" t="s">
        <v>1544</v>
      </c>
      <c r="H746" t="s">
        <v>50</v>
      </c>
      <c r="I746" t="s">
        <v>87</v>
      </c>
      <c r="J746" s="89">
        <v>42496</v>
      </c>
      <c r="K746" s="89">
        <v>42647</v>
      </c>
      <c r="L746" s="89"/>
      <c r="M746" s="31">
        <v>0</v>
      </c>
      <c r="N746" s="9"/>
      <c r="O746" s="33"/>
      <c r="P746" s="33"/>
      <c r="Q746" s="9"/>
      <c r="R746" s="67"/>
      <c r="S746" s="9"/>
    </row>
    <row r="747" spans="1:19" ht="15" customHeight="1" x14ac:dyDescent="0.25">
      <c r="A747" s="4"/>
      <c r="B747" s="28" t="str">
        <f>IF(ISNUMBER(MATCH(C747, Mgt_Unit!$C$5:$C$1018, 0)), INDEX(Mgt_Unit!$B$5:$B$1018, MATCH(C747, Mgt_Unit!$C$5:$C$1018, 0)), "")</f>
        <v>jennifer.moore</v>
      </c>
      <c r="C747" t="s">
        <v>854</v>
      </c>
      <c r="D747" s="65"/>
      <c r="E747">
        <v>2</v>
      </c>
      <c r="F747" t="s">
        <v>1538</v>
      </c>
      <c r="G747" t="s">
        <v>1544</v>
      </c>
      <c r="H747" t="s">
        <v>51</v>
      </c>
      <c r="I747" t="s">
        <v>137</v>
      </c>
      <c r="J747" s="89">
        <v>42871</v>
      </c>
      <c r="K747" s="89">
        <v>43027</v>
      </c>
      <c r="L747" s="89"/>
      <c r="M747" s="31">
        <v>0</v>
      </c>
      <c r="N747" s="9"/>
      <c r="O747" s="33"/>
      <c r="P747" s="33"/>
      <c r="Q747" s="9"/>
      <c r="R747" s="67"/>
      <c r="S747" s="9"/>
    </row>
    <row r="748" spans="1:19" ht="15" customHeight="1" x14ac:dyDescent="0.25">
      <c r="A748" s="4"/>
      <c r="B748" s="28" t="str">
        <f>IF(ISNUMBER(MATCH(C748, Mgt_Unit!$C$5:$C$1018, 0)), INDEX(Mgt_Unit!$B$5:$B$1018, MATCH(C748, Mgt_Unit!$C$5:$C$1018, 0)), "")</f>
        <v>jennifer.moore</v>
      </c>
      <c r="C748" t="s">
        <v>854</v>
      </c>
      <c r="D748" s="65"/>
      <c r="E748">
        <v>3</v>
      </c>
      <c r="F748" t="s">
        <v>1538</v>
      </c>
      <c r="G748" t="s">
        <v>1544</v>
      </c>
      <c r="H748" t="s">
        <v>441</v>
      </c>
      <c r="I748" t="s">
        <v>88</v>
      </c>
      <c r="J748" s="89">
        <v>43214</v>
      </c>
      <c r="K748" s="89">
        <v>43304</v>
      </c>
      <c r="L748" s="89"/>
      <c r="M748" s="31">
        <v>90</v>
      </c>
      <c r="N748" s="9"/>
      <c r="O748" s="33"/>
      <c r="P748" s="33"/>
      <c r="Q748" s="9"/>
      <c r="R748" s="67"/>
      <c r="S748" s="9"/>
    </row>
    <row r="749" spans="1:19" ht="15" customHeight="1" x14ac:dyDescent="0.25">
      <c r="A749" s="4"/>
      <c r="B749" s="28" t="str">
        <f>IF(ISNUMBER(MATCH(C749, Mgt_Unit!$C$5:$C$1018, 0)), INDEX(Mgt_Unit!$B$5:$B$1018, MATCH(C749, Mgt_Unit!$C$5:$C$1018, 0)), "")</f>
        <v>jennifer.moore</v>
      </c>
      <c r="C749" s="87" t="s">
        <v>854</v>
      </c>
      <c r="D749" s="65"/>
      <c r="E749" s="87">
        <v>3</v>
      </c>
      <c r="F749" s="87" t="s">
        <v>1538</v>
      </c>
      <c r="G749" s="87" t="s">
        <v>1544</v>
      </c>
      <c r="H749" s="87" t="s">
        <v>442</v>
      </c>
      <c r="I749" s="87" t="s">
        <v>190</v>
      </c>
      <c r="J749" s="90">
        <v>43214</v>
      </c>
      <c r="K749" s="90">
        <v>43304</v>
      </c>
      <c r="L749" s="90"/>
      <c r="M749" s="93">
        <v>90</v>
      </c>
      <c r="N749" s="9"/>
      <c r="O749" s="33"/>
      <c r="P749" s="33"/>
      <c r="Q749" s="9"/>
      <c r="R749" s="67"/>
      <c r="S749" s="9"/>
    </row>
    <row r="750" spans="1:19" ht="15" customHeight="1" x14ac:dyDescent="0.25">
      <c r="A750" s="4"/>
      <c r="B750" s="28" t="str">
        <f>IF(ISNUMBER(MATCH(C750, Mgt_Unit!$C$5:$C$1018, 0)), INDEX(Mgt_Unit!$B$5:$B$1018, MATCH(C750, Mgt_Unit!$C$5:$C$1018, 0)), "")</f>
        <v>jennifer.moore</v>
      </c>
      <c r="C750" t="s">
        <v>855</v>
      </c>
      <c r="D750" s="65"/>
      <c r="E750">
        <v>1</v>
      </c>
      <c r="F750" t="s">
        <v>1538</v>
      </c>
      <c r="G750" t="s">
        <v>1544</v>
      </c>
      <c r="H750" t="s">
        <v>50</v>
      </c>
      <c r="I750" t="s">
        <v>87</v>
      </c>
      <c r="J750" s="89">
        <v>42143</v>
      </c>
      <c r="K750" s="89">
        <v>42303</v>
      </c>
      <c r="L750" s="89"/>
      <c r="M750" s="31">
        <v>0</v>
      </c>
      <c r="N750" s="9"/>
      <c r="O750" s="33"/>
      <c r="P750" s="33"/>
      <c r="Q750" s="9"/>
      <c r="R750" s="67"/>
      <c r="S750" s="9"/>
    </row>
    <row r="751" spans="1:19" ht="15" customHeight="1" x14ac:dyDescent="0.25">
      <c r="A751" s="4"/>
      <c r="B751" s="28" t="str">
        <f>IF(ISNUMBER(MATCH(C751, Mgt_Unit!$C$5:$C$1018, 0)), INDEX(Mgt_Unit!$B$5:$B$1018, MATCH(C751, Mgt_Unit!$C$5:$C$1018, 0)), "")</f>
        <v>jennifer.moore</v>
      </c>
      <c r="C751" t="s">
        <v>855</v>
      </c>
      <c r="D751" s="65"/>
      <c r="E751">
        <v>2</v>
      </c>
      <c r="F751" t="s">
        <v>1538</v>
      </c>
      <c r="G751" t="s">
        <v>1544</v>
      </c>
      <c r="H751" t="s">
        <v>51</v>
      </c>
      <c r="I751" t="s">
        <v>137</v>
      </c>
      <c r="J751" s="89">
        <v>42510</v>
      </c>
      <c r="K751" s="89">
        <v>42647</v>
      </c>
      <c r="L751" s="89"/>
      <c r="M751" s="31">
        <v>0</v>
      </c>
      <c r="N751" s="9"/>
      <c r="O751" s="33"/>
      <c r="P751" s="33"/>
      <c r="Q751" s="9"/>
      <c r="R751" s="67"/>
      <c r="S751" s="9"/>
    </row>
    <row r="752" spans="1:19" ht="15" customHeight="1" x14ac:dyDescent="0.25">
      <c r="A752" s="4"/>
      <c r="B752" s="28" t="str">
        <f>IF(ISNUMBER(MATCH(C752, Mgt_Unit!$C$5:$C$1018, 0)), INDEX(Mgt_Unit!$B$5:$B$1018, MATCH(C752, Mgt_Unit!$C$5:$C$1018, 0)), "")</f>
        <v>jennifer.moore</v>
      </c>
      <c r="C752" t="s">
        <v>855</v>
      </c>
      <c r="D752" s="65"/>
      <c r="E752">
        <v>3</v>
      </c>
      <c r="F752" t="s">
        <v>1537</v>
      </c>
      <c r="G752" t="s">
        <v>1544</v>
      </c>
      <c r="H752" t="s">
        <v>441</v>
      </c>
      <c r="I752" t="s">
        <v>88</v>
      </c>
      <c r="J752" s="89">
        <v>42837</v>
      </c>
      <c r="K752" s="89">
        <v>42933</v>
      </c>
      <c r="L752" s="89"/>
      <c r="M752" s="31">
        <v>0</v>
      </c>
      <c r="N752" s="9"/>
      <c r="O752" s="33"/>
      <c r="P752" s="33"/>
      <c r="Q752" s="9"/>
      <c r="R752" s="67"/>
      <c r="S752" s="9" t="s">
        <v>1591</v>
      </c>
    </row>
    <row r="753" spans="1:19" ht="15" customHeight="1" x14ac:dyDescent="0.25">
      <c r="A753" s="4"/>
      <c r="B753" s="28" t="str">
        <f>IF(ISNUMBER(MATCH(C753, Mgt_Unit!$C$5:$C$1018, 0)), INDEX(Mgt_Unit!$B$5:$B$1018, MATCH(C753, Mgt_Unit!$C$5:$C$1018, 0)), "")</f>
        <v>jennifer.moore</v>
      </c>
      <c r="C753" t="s">
        <v>855</v>
      </c>
      <c r="D753" s="65"/>
      <c r="E753">
        <v>3</v>
      </c>
      <c r="F753" t="s">
        <v>1537</v>
      </c>
      <c r="G753" t="s">
        <v>1536</v>
      </c>
      <c r="H753" t="s">
        <v>442</v>
      </c>
      <c r="I753" t="s">
        <v>65</v>
      </c>
      <c r="J753" s="89">
        <v>42837</v>
      </c>
      <c r="K753" s="89">
        <v>42934</v>
      </c>
      <c r="L753" s="89"/>
      <c r="M753" s="31">
        <v>90</v>
      </c>
      <c r="N753" s="9"/>
      <c r="O753" s="33"/>
      <c r="P753" s="33"/>
      <c r="Q753" s="9"/>
      <c r="R753" s="67"/>
      <c r="S753" s="9"/>
    </row>
    <row r="754" spans="1:19" ht="15" customHeight="1" x14ac:dyDescent="0.25">
      <c r="A754" s="4"/>
      <c r="B754" s="28" t="str">
        <f>IF(ISNUMBER(MATCH(C754, Mgt_Unit!$C$5:$C$1018, 0)), INDEX(Mgt_Unit!$B$5:$B$1018, MATCH(C754, Mgt_Unit!$C$5:$C$1018, 0)), "")</f>
        <v>jennifer.moore</v>
      </c>
      <c r="C754" t="s">
        <v>855</v>
      </c>
      <c r="D754" s="65"/>
      <c r="E754">
        <v>3</v>
      </c>
      <c r="F754" t="s">
        <v>1537</v>
      </c>
      <c r="G754" t="s">
        <v>1536</v>
      </c>
      <c r="H754" t="s">
        <v>442</v>
      </c>
      <c r="I754" t="s">
        <v>65</v>
      </c>
      <c r="J754" s="89"/>
      <c r="K754" s="89">
        <v>43255</v>
      </c>
      <c r="L754" s="89"/>
      <c r="M754" s="31">
        <v>90</v>
      </c>
      <c r="N754" s="9"/>
      <c r="O754" s="33"/>
      <c r="P754" s="33"/>
      <c r="Q754" s="9"/>
      <c r="R754" s="67"/>
      <c r="S754" s="9"/>
    </row>
    <row r="755" spans="1:19" ht="15" customHeight="1" x14ac:dyDescent="0.25">
      <c r="A755" s="4"/>
      <c r="B755" s="28" t="str">
        <f>IF(ISNUMBER(MATCH(C755, Mgt_Unit!$C$5:$C$1018, 0)), INDEX(Mgt_Unit!$B$5:$B$1018, MATCH(C755, Mgt_Unit!$C$5:$C$1018, 0)), "")</f>
        <v>jennifer.moore</v>
      </c>
      <c r="C755" t="s">
        <v>855</v>
      </c>
      <c r="D755" s="65"/>
      <c r="E755">
        <v>3</v>
      </c>
      <c r="F755" t="s">
        <v>1537</v>
      </c>
      <c r="G755" t="s">
        <v>1536</v>
      </c>
      <c r="H755" t="s">
        <v>442</v>
      </c>
      <c r="I755" t="s">
        <v>65</v>
      </c>
      <c r="J755" s="89"/>
      <c r="K755" s="89">
        <v>43290</v>
      </c>
      <c r="L755" s="89"/>
      <c r="M755" s="31">
        <v>90</v>
      </c>
      <c r="N755" s="9"/>
      <c r="O755" s="33"/>
      <c r="P755" s="33"/>
      <c r="Q755" s="9"/>
      <c r="R755" s="67"/>
      <c r="S755" s="9"/>
    </row>
    <row r="756" spans="1:19" ht="15" customHeight="1" x14ac:dyDescent="0.25">
      <c r="A756" s="4"/>
      <c r="B756" s="28" t="str">
        <f>IF(ISNUMBER(MATCH(C756, Mgt_Unit!$C$5:$C$1018, 0)), INDEX(Mgt_Unit!$B$5:$B$1018, MATCH(C756, Mgt_Unit!$C$5:$C$1018, 0)), "")</f>
        <v>jennifer.moore</v>
      </c>
      <c r="C756" s="87" t="s">
        <v>855</v>
      </c>
      <c r="D756" s="65"/>
      <c r="E756" s="87">
        <v>3</v>
      </c>
      <c r="F756" s="87" t="s">
        <v>1537</v>
      </c>
      <c r="G756" s="87" t="s">
        <v>1536</v>
      </c>
      <c r="H756" s="87" t="s">
        <v>442</v>
      </c>
      <c r="I756" s="87" t="s">
        <v>65</v>
      </c>
      <c r="J756" s="90"/>
      <c r="K756" s="90">
        <v>43354</v>
      </c>
      <c r="L756" s="90">
        <v>43430</v>
      </c>
      <c r="M756" s="93">
        <v>90</v>
      </c>
      <c r="N756" s="9"/>
      <c r="O756" s="33"/>
      <c r="P756" s="33"/>
      <c r="Q756" s="9"/>
      <c r="R756" s="67"/>
      <c r="S756" s="9"/>
    </row>
    <row r="757" spans="1:19" ht="15" customHeight="1" x14ac:dyDescent="0.25">
      <c r="A757" s="4"/>
      <c r="B757" s="28" t="str">
        <f>IF(ISNUMBER(MATCH(C757, Mgt_Unit!$C$5:$C$1018, 0)), INDEX(Mgt_Unit!$B$5:$B$1018, MATCH(C757, Mgt_Unit!$C$5:$C$1018, 0)), "")</f>
        <v>jennifer.moore</v>
      </c>
      <c r="C757" t="s">
        <v>856</v>
      </c>
      <c r="D757" s="65"/>
      <c r="E757">
        <v>1</v>
      </c>
      <c r="F757" t="s">
        <v>1538</v>
      </c>
      <c r="G757" t="s">
        <v>1544</v>
      </c>
      <c r="H757" t="s">
        <v>441</v>
      </c>
      <c r="I757" t="s">
        <v>63</v>
      </c>
      <c r="J757" s="89">
        <v>42094</v>
      </c>
      <c r="K757" s="89">
        <v>42220</v>
      </c>
      <c r="L757" s="89"/>
      <c r="M757" s="31">
        <v>90</v>
      </c>
      <c r="N757" s="9"/>
      <c r="O757" s="33"/>
      <c r="P757" s="33"/>
      <c r="Q757" s="9"/>
      <c r="R757" s="67"/>
      <c r="S757" s="9"/>
    </row>
    <row r="758" spans="1:19" ht="15" customHeight="1" x14ac:dyDescent="0.25">
      <c r="A758" s="4"/>
      <c r="B758" s="28" t="str">
        <f>IF(ISNUMBER(MATCH(C758, Mgt_Unit!$C$5:$C$1018, 0)), INDEX(Mgt_Unit!$B$5:$B$1018, MATCH(C758, Mgt_Unit!$C$5:$C$1018, 0)), "")</f>
        <v>jennifer.moore</v>
      </c>
      <c r="C758" t="s">
        <v>856</v>
      </c>
      <c r="D758" s="65"/>
      <c r="E758">
        <v>2</v>
      </c>
      <c r="F758" t="s">
        <v>1538</v>
      </c>
      <c r="G758" t="s">
        <v>1544</v>
      </c>
      <c r="H758" t="s">
        <v>440</v>
      </c>
      <c r="I758" t="s">
        <v>1286</v>
      </c>
      <c r="J758" s="89">
        <v>42499</v>
      </c>
      <c r="K758" s="89">
        <v>42683</v>
      </c>
      <c r="L758" s="89"/>
      <c r="M758" s="31">
        <v>100</v>
      </c>
      <c r="N758" s="9"/>
      <c r="O758" s="33"/>
      <c r="P758" s="33"/>
      <c r="Q758" s="9"/>
      <c r="R758" s="67"/>
      <c r="S758" s="9"/>
    </row>
    <row r="759" spans="1:19" ht="15" customHeight="1" x14ac:dyDescent="0.25">
      <c r="A759" s="4"/>
      <c r="B759" s="28" t="str">
        <f>IF(ISNUMBER(MATCH(C759, Mgt_Unit!$C$5:$C$1018, 0)), INDEX(Mgt_Unit!$B$5:$B$1018, MATCH(C759, Mgt_Unit!$C$5:$C$1018, 0)), "")</f>
        <v>jennifer.moore</v>
      </c>
      <c r="C759" t="s">
        <v>856</v>
      </c>
      <c r="D759" s="65"/>
      <c r="E759">
        <v>3</v>
      </c>
      <c r="F759" t="s">
        <v>1538</v>
      </c>
      <c r="G759" t="s">
        <v>1544</v>
      </c>
      <c r="H759" t="s">
        <v>441</v>
      </c>
      <c r="I759" t="s">
        <v>202</v>
      </c>
      <c r="J759" s="89">
        <v>42827</v>
      </c>
      <c r="K759" s="89">
        <v>42952</v>
      </c>
      <c r="L759" s="89"/>
      <c r="M759" s="31">
        <v>90</v>
      </c>
      <c r="N759" s="9"/>
      <c r="O759" s="33"/>
      <c r="P759" s="33"/>
      <c r="Q759" s="9"/>
      <c r="R759" s="67"/>
      <c r="S759" s="9"/>
    </row>
    <row r="760" spans="1:19" ht="15" customHeight="1" x14ac:dyDescent="0.25">
      <c r="A760" s="4"/>
      <c r="B760" s="28" t="str">
        <f>IF(ISNUMBER(MATCH(C760, Mgt_Unit!$C$5:$C$1018, 0)), INDEX(Mgt_Unit!$B$5:$B$1018, MATCH(C760, Mgt_Unit!$C$5:$C$1018, 0)), "")</f>
        <v>jennifer.moore</v>
      </c>
      <c r="C760" s="87" t="s">
        <v>856</v>
      </c>
      <c r="D760" s="65"/>
      <c r="E760" s="87">
        <v>4</v>
      </c>
      <c r="F760" s="87" t="s">
        <v>1538</v>
      </c>
      <c r="G760" s="87" t="s">
        <v>1544</v>
      </c>
      <c r="H760" s="87" t="s">
        <v>440</v>
      </c>
      <c r="I760" s="87" t="s">
        <v>144</v>
      </c>
      <c r="J760" s="90">
        <v>43219</v>
      </c>
      <c r="K760" s="90">
        <v>43400</v>
      </c>
      <c r="L760" s="90"/>
      <c r="M760" s="93">
        <v>100</v>
      </c>
      <c r="N760" s="9"/>
      <c r="O760" s="33"/>
      <c r="P760" s="33"/>
      <c r="Q760" s="9"/>
      <c r="R760" s="67"/>
      <c r="S760" s="9"/>
    </row>
    <row r="761" spans="1:19" ht="15" customHeight="1" x14ac:dyDescent="0.25">
      <c r="A761" s="4"/>
      <c r="B761" s="28" t="str">
        <f>IF(ISNUMBER(MATCH(C761, Mgt_Unit!$C$5:$C$1018, 0)), INDEX(Mgt_Unit!$B$5:$B$1018, MATCH(C761, Mgt_Unit!$C$5:$C$1018, 0)), "")</f>
        <v>jennifer.moore</v>
      </c>
      <c r="C761" t="s">
        <v>857</v>
      </c>
      <c r="D761" s="65"/>
      <c r="E761">
        <v>1</v>
      </c>
      <c r="F761" t="s">
        <v>1538</v>
      </c>
      <c r="G761" t="s">
        <v>1544</v>
      </c>
      <c r="H761" t="s">
        <v>441</v>
      </c>
      <c r="I761" t="s">
        <v>63</v>
      </c>
      <c r="J761" s="89">
        <v>42094</v>
      </c>
      <c r="K761" s="89">
        <v>42220</v>
      </c>
      <c r="L761" s="89"/>
      <c r="M761" s="31">
        <v>90</v>
      </c>
      <c r="N761" s="9"/>
      <c r="O761" s="33"/>
      <c r="P761" s="33"/>
      <c r="Q761" s="9"/>
      <c r="R761" s="67"/>
      <c r="S761" s="9"/>
    </row>
    <row r="762" spans="1:19" ht="15" customHeight="1" x14ac:dyDescent="0.25">
      <c r="A762" s="4"/>
      <c r="B762" s="28" t="str">
        <f>IF(ISNUMBER(MATCH(C762, Mgt_Unit!$C$5:$C$1018, 0)), INDEX(Mgt_Unit!$B$5:$B$1018, MATCH(C762, Mgt_Unit!$C$5:$C$1018, 0)), "")</f>
        <v>jennifer.moore</v>
      </c>
      <c r="C762" t="s">
        <v>857</v>
      </c>
      <c r="D762" s="65"/>
      <c r="E762">
        <v>2</v>
      </c>
      <c r="F762" t="s">
        <v>1538</v>
      </c>
      <c r="G762" t="s">
        <v>1544</v>
      </c>
      <c r="H762" t="s">
        <v>440</v>
      </c>
      <c r="I762" t="s">
        <v>1286</v>
      </c>
      <c r="J762" s="89">
        <v>42499</v>
      </c>
      <c r="K762" s="89">
        <v>42683</v>
      </c>
      <c r="L762" s="89"/>
      <c r="M762" s="31">
        <v>100</v>
      </c>
      <c r="N762" s="9"/>
      <c r="O762" s="33"/>
      <c r="P762" s="33"/>
      <c r="Q762" s="9"/>
      <c r="R762" s="67"/>
      <c r="S762" s="9"/>
    </row>
    <row r="763" spans="1:19" ht="15" customHeight="1" x14ac:dyDescent="0.25">
      <c r="A763" s="4"/>
      <c r="B763" s="28" t="str">
        <f>IF(ISNUMBER(MATCH(C763, Mgt_Unit!$C$5:$C$1018, 0)), INDEX(Mgt_Unit!$B$5:$B$1018, MATCH(C763, Mgt_Unit!$C$5:$C$1018, 0)), "")</f>
        <v>jennifer.moore</v>
      </c>
      <c r="C763" t="s">
        <v>857</v>
      </c>
      <c r="D763" s="65"/>
      <c r="E763">
        <v>3</v>
      </c>
      <c r="F763" t="s">
        <v>1538</v>
      </c>
      <c r="G763" t="s">
        <v>1544</v>
      </c>
      <c r="H763" t="s">
        <v>441</v>
      </c>
      <c r="I763" t="s">
        <v>202</v>
      </c>
      <c r="J763" s="89">
        <v>42827</v>
      </c>
      <c r="K763" s="89">
        <v>42952</v>
      </c>
      <c r="L763" s="89"/>
      <c r="M763" s="31">
        <v>90</v>
      </c>
      <c r="N763" s="9"/>
      <c r="O763" s="33"/>
      <c r="P763" s="33"/>
      <c r="Q763" s="9"/>
      <c r="R763" s="67"/>
      <c r="S763" s="9"/>
    </row>
    <row r="764" spans="1:19" ht="15" customHeight="1" x14ac:dyDescent="0.25">
      <c r="A764" s="4"/>
      <c r="B764" s="28" t="str">
        <f>IF(ISNUMBER(MATCH(C764, Mgt_Unit!$C$5:$C$1018, 0)), INDEX(Mgt_Unit!$B$5:$B$1018, MATCH(C764, Mgt_Unit!$C$5:$C$1018, 0)), "")</f>
        <v>jennifer.moore</v>
      </c>
      <c r="C764" s="87" t="s">
        <v>857</v>
      </c>
      <c r="D764" s="65"/>
      <c r="E764" s="87">
        <v>4</v>
      </c>
      <c r="F764" s="87" t="s">
        <v>1538</v>
      </c>
      <c r="G764" s="87" t="s">
        <v>1544</v>
      </c>
      <c r="H764" s="87" t="s">
        <v>440</v>
      </c>
      <c r="I764" s="87" t="s">
        <v>144</v>
      </c>
      <c r="J764" s="90">
        <v>43219</v>
      </c>
      <c r="K764" s="90">
        <v>43400</v>
      </c>
      <c r="L764" s="90"/>
      <c r="M764" s="93">
        <v>100</v>
      </c>
      <c r="N764" s="9"/>
      <c r="O764" s="33"/>
      <c r="P764" s="33"/>
      <c r="Q764" s="9"/>
      <c r="R764" s="67"/>
      <c r="S764" s="9"/>
    </row>
    <row r="765" spans="1:19" ht="15" customHeight="1" x14ac:dyDescent="0.25">
      <c r="A765" s="4"/>
      <c r="B765" s="28" t="str">
        <f>IF(ISNUMBER(MATCH(C765, Mgt_Unit!$C$5:$C$1018, 0)), INDEX(Mgt_Unit!$B$5:$B$1018, MATCH(C765, Mgt_Unit!$C$5:$C$1018, 0)), "")</f>
        <v>jennifer.moore</v>
      </c>
      <c r="C765" t="s">
        <v>858</v>
      </c>
      <c r="D765" s="65"/>
      <c r="E765">
        <v>1</v>
      </c>
      <c r="F765" t="s">
        <v>1538</v>
      </c>
      <c r="G765" t="s">
        <v>1544</v>
      </c>
      <c r="H765" t="s">
        <v>441</v>
      </c>
      <c r="I765" t="s">
        <v>63</v>
      </c>
      <c r="J765" s="89">
        <v>42094</v>
      </c>
      <c r="K765" s="89">
        <v>42220</v>
      </c>
      <c r="L765" s="89"/>
      <c r="M765" s="31">
        <v>90</v>
      </c>
      <c r="N765" s="9"/>
      <c r="O765" s="33"/>
      <c r="P765" s="33"/>
      <c r="Q765" s="9"/>
      <c r="R765" s="67"/>
      <c r="S765" s="9"/>
    </row>
    <row r="766" spans="1:19" ht="15" customHeight="1" x14ac:dyDescent="0.25">
      <c r="A766" s="4"/>
      <c r="B766" s="28" t="str">
        <f>IF(ISNUMBER(MATCH(C766, Mgt_Unit!$C$5:$C$1018, 0)), INDEX(Mgt_Unit!$B$5:$B$1018, MATCH(C766, Mgt_Unit!$C$5:$C$1018, 0)), "")</f>
        <v>jennifer.moore</v>
      </c>
      <c r="C766" t="s">
        <v>858</v>
      </c>
      <c r="D766" s="65"/>
      <c r="E766">
        <v>2</v>
      </c>
      <c r="F766" t="s">
        <v>1538</v>
      </c>
      <c r="G766" t="s">
        <v>1544</v>
      </c>
      <c r="H766" t="s">
        <v>440</v>
      </c>
      <c r="I766" t="s">
        <v>1286</v>
      </c>
      <c r="J766" s="89">
        <v>42499</v>
      </c>
      <c r="K766" s="89">
        <v>42683</v>
      </c>
      <c r="L766" s="89"/>
      <c r="M766" s="31">
        <v>100</v>
      </c>
      <c r="N766" s="9"/>
      <c r="O766" s="33"/>
      <c r="P766" s="33"/>
      <c r="Q766" s="9"/>
      <c r="R766" s="67"/>
      <c r="S766" s="9"/>
    </row>
    <row r="767" spans="1:19" ht="15" customHeight="1" x14ac:dyDescent="0.25">
      <c r="A767" s="4"/>
      <c r="B767" s="28" t="str">
        <f>IF(ISNUMBER(MATCH(C767, Mgt_Unit!$C$5:$C$1018, 0)), INDEX(Mgt_Unit!$B$5:$B$1018, MATCH(C767, Mgt_Unit!$C$5:$C$1018, 0)), "")</f>
        <v>jennifer.moore</v>
      </c>
      <c r="C767" t="s">
        <v>858</v>
      </c>
      <c r="D767" s="65"/>
      <c r="E767">
        <v>3</v>
      </c>
      <c r="F767" t="s">
        <v>1538</v>
      </c>
      <c r="G767" t="s">
        <v>1544</v>
      </c>
      <c r="H767" t="s">
        <v>441</v>
      </c>
      <c r="I767" t="s">
        <v>202</v>
      </c>
      <c r="J767" s="89">
        <v>42827</v>
      </c>
      <c r="K767" s="89">
        <v>42952</v>
      </c>
      <c r="L767" s="89"/>
      <c r="M767" s="31">
        <v>90</v>
      </c>
      <c r="N767" s="9"/>
      <c r="O767" s="33"/>
      <c r="P767" s="33"/>
      <c r="Q767" s="9"/>
      <c r="R767" s="67"/>
      <c r="S767" s="9"/>
    </row>
    <row r="768" spans="1:19" ht="15" customHeight="1" x14ac:dyDescent="0.25">
      <c r="A768" s="4"/>
      <c r="B768" s="28" t="str">
        <f>IF(ISNUMBER(MATCH(C768, Mgt_Unit!$C$5:$C$1018, 0)), INDEX(Mgt_Unit!$B$5:$B$1018, MATCH(C768, Mgt_Unit!$C$5:$C$1018, 0)), "")</f>
        <v>jennifer.moore</v>
      </c>
      <c r="C768" s="87" t="s">
        <v>858</v>
      </c>
      <c r="D768" s="65"/>
      <c r="E768" s="87">
        <v>4</v>
      </c>
      <c r="F768" s="87" t="s">
        <v>1538</v>
      </c>
      <c r="G768" s="87" t="s">
        <v>1544</v>
      </c>
      <c r="H768" s="87" t="s">
        <v>440</v>
      </c>
      <c r="I768" s="87" t="s">
        <v>144</v>
      </c>
      <c r="J768" s="90">
        <v>43219</v>
      </c>
      <c r="K768" s="90">
        <v>43400</v>
      </c>
      <c r="L768" s="90"/>
      <c r="M768" s="93">
        <v>100</v>
      </c>
      <c r="N768" s="9"/>
      <c r="O768" s="33"/>
      <c r="P768" s="33"/>
      <c r="Q768" s="9"/>
      <c r="R768" s="67"/>
      <c r="S768" s="9"/>
    </row>
    <row r="769" spans="1:19" ht="15" customHeight="1" x14ac:dyDescent="0.25">
      <c r="A769" s="4"/>
      <c r="B769" s="28" t="str">
        <f>IF(ISNUMBER(MATCH(C769, Mgt_Unit!$C$5:$C$1018, 0)), INDEX(Mgt_Unit!$B$5:$B$1018, MATCH(C769, Mgt_Unit!$C$5:$C$1018, 0)), "")</f>
        <v>jennifer.moore</v>
      </c>
      <c r="C769" t="s">
        <v>859</v>
      </c>
      <c r="D769" s="65"/>
      <c r="E769">
        <v>1</v>
      </c>
      <c r="F769" t="s">
        <v>1538</v>
      </c>
      <c r="G769" t="s">
        <v>1544</v>
      </c>
      <c r="H769" t="s">
        <v>441</v>
      </c>
      <c r="I769" t="s">
        <v>63</v>
      </c>
      <c r="J769" s="89">
        <v>42094</v>
      </c>
      <c r="K769" s="89">
        <v>42220</v>
      </c>
      <c r="L769" s="89"/>
      <c r="M769" s="31">
        <v>90</v>
      </c>
      <c r="N769" s="9"/>
      <c r="O769" s="33"/>
      <c r="P769" s="33"/>
      <c r="Q769" s="9"/>
      <c r="R769" s="67"/>
      <c r="S769" s="9"/>
    </row>
    <row r="770" spans="1:19" ht="15" customHeight="1" x14ac:dyDescent="0.25">
      <c r="A770" s="4"/>
      <c r="B770" s="28" t="str">
        <f>IF(ISNUMBER(MATCH(C770, Mgt_Unit!$C$5:$C$1018, 0)), INDEX(Mgt_Unit!$B$5:$B$1018, MATCH(C770, Mgt_Unit!$C$5:$C$1018, 0)), "")</f>
        <v>jennifer.moore</v>
      </c>
      <c r="C770" t="s">
        <v>859</v>
      </c>
      <c r="D770" s="65"/>
      <c r="E770">
        <v>2</v>
      </c>
      <c r="F770" t="s">
        <v>1538</v>
      </c>
      <c r="G770" t="s">
        <v>1544</v>
      </c>
      <c r="H770" t="s">
        <v>440</v>
      </c>
      <c r="I770" t="s">
        <v>1286</v>
      </c>
      <c r="J770" s="89">
        <v>42499</v>
      </c>
      <c r="K770" s="89">
        <v>42683</v>
      </c>
      <c r="L770" s="89"/>
      <c r="M770" s="31">
        <v>100</v>
      </c>
      <c r="N770" s="9"/>
      <c r="O770" s="33"/>
      <c r="P770" s="33"/>
      <c r="Q770" s="9"/>
      <c r="R770" s="67"/>
      <c r="S770" s="9"/>
    </row>
    <row r="771" spans="1:19" ht="15" customHeight="1" x14ac:dyDescent="0.25">
      <c r="A771" s="4"/>
      <c r="B771" s="28" t="str">
        <f>IF(ISNUMBER(MATCH(C771, Mgt_Unit!$C$5:$C$1018, 0)), INDEX(Mgt_Unit!$B$5:$B$1018, MATCH(C771, Mgt_Unit!$C$5:$C$1018, 0)), "")</f>
        <v>jennifer.moore</v>
      </c>
      <c r="C771" t="s">
        <v>859</v>
      </c>
      <c r="D771" s="65"/>
      <c r="E771">
        <v>3</v>
      </c>
      <c r="F771" t="s">
        <v>1538</v>
      </c>
      <c r="G771" t="s">
        <v>1544</v>
      </c>
      <c r="H771" t="s">
        <v>441</v>
      </c>
      <c r="I771" t="s">
        <v>202</v>
      </c>
      <c r="J771" s="89">
        <v>42827</v>
      </c>
      <c r="K771" s="89">
        <v>42952</v>
      </c>
      <c r="L771" s="89"/>
      <c r="M771" s="31">
        <v>90</v>
      </c>
      <c r="N771" s="9"/>
      <c r="O771" s="33"/>
      <c r="P771" s="33"/>
      <c r="Q771" s="9"/>
      <c r="R771" s="67"/>
      <c r="S771" s="9"/>
    </row>
    <row r="772" spans="1:19" ht="15" customHeight="1" x14ac:dyDescent="0.25">
      <c r="A772" s="4"/>
      <c r="B772" s="28" t="str">
        <f>IF(ISNUMBER(MATCH(C772, Mgt_Unit!$C$5:$C$1018, 0)), INDEX(Mgt_Unit!$B$5:$B$1018, MATCH(C772, Mgt_Unit!$C$5:$C$1018, 0)), "")</f>
        <v>jennifer.moore</v>
      </c>
      <c r="C772" s="87" t="s">
        <v>859</v>
      </c>
      <c r="D772" s="65"/>
      <c r="E772" s="87">
        <v>4</v>
      </c>
      <c r="F772" s="87" t="s">
        <v>1538</v>
      </c>
      <c r="G772" s="87" t="s">
        <v>1544</v>
      </c>
      <c r="H772" s="87" t="s">
        <v>440</v>
      </c>
      <c r="I772" s="87" t="s">
        <v>144</v>
      </c>
      <c r="J772" s="90">
        <v>43219</v>
      </c>
      <c r="K772" s="90">
        <v>43400</v>
      </c>
      <c r="L772" s="90"/>
      <c r="M772" s="93">
        <v>100</v>
      </c>
      <c r="N772" s="9"/>
      <c r="O772" s="33"/>
      <c r="P772" s="33"/>
      <c r="Q772" s="9"/>
      <c r="R772" s="67"/>
      <c r="S772" s="9"/>
    </row>
    <row r="773" spans="1:19" ht="15" customHeight="1" x14ac:dyDescent="0.25">
      <c r="A773" s="4"/>
      <c r="B773" s="28" t="str">
        <f>IF(ISNUMBER(MATCH(C773, Mgt_Unit!$C$5:$C$1018, 0)), INDEX(Mgt_Unit!$B$5:$B$1018, MATCH(C773, Mgt_Unit!$C$5:$C$1018, 0)), "")</f>
        <v>jennifer.moore</v>
      </c>
      <c r="C773" s="88" t="s">
        <v>860</v>
      </c>
      <c r="D773" s="65"/>
      <c r="E773" s="88">
        <v>1</v>
      </c>
      <c r="F773" s="88" t="s">
        <v>1538</v>
      </c>
      <c r="G773" s="88" t="s">
        <v>1544</v>
      </c>
      <c r="H773" s="88" t="s">
        <v>50</v>
      </c>
      <c r="I773" s="88" t="s">
        <v>87</v>
      </c>
      <c r="J773" s="91">
        <v>43586</v>
      </c>
      <c r="K773" s="91">
        <v>43738</v>
      </c>
      <c r="L773" s="91"/>
      <c r="M773" s="94">
        <v>0</v>
      </c>
      <c r="N773" s="9"/>
      <c r="O773" s="33"/>
      <c r="P773" s="33"/>
      <c r="Q773" s="9"/>
      <c r="R773" s="67"/>
      <c r="S773" s="9"/>
    </row>
    <row r="774" spans="1:19" ht="15" customHeight="1" x14ac:dyDescent="0.25">
      <c r="A774" s="4"/>
      <c r="B774" s="28" t="str">
        <f>IF(ISNUMBER(MATCH(C774, Mgt_Unit!$C$5:$C$1018, 0)), INDEX(Mgt_Unit!$B$5:$B$1018, MATCH(C774, Mgt_Unit!$C$5:$C$1018, 0)), "")</f>
        <v>jennifer.moore</v>
      </c>
      <c r="C774" t="s">
        <v>861</v>
      </c>
      <c r="D774" s="65"/>
      <c r="E774">
        <v>1</v>
      </c>
      <c r="F774" t="s">
        <v>1538</v>
      </c>
      <c r="G774" t="s">
        <v>1544</v>
      </c>
      <c r="H774" t="s">
        <v>50</v>
      </c>
      <c r="I774" t="s">
        <v>87</v>
      </c>
      <c r="J774" s="89">
        <v>43586</v>
      </c>
      <c r="K774" s="89">
        <v>43738</v>
      </c>
      <c r="L774" s="89"/>
      <c r="M774" s="31">
        <v>0</v>
      </c>
      <c r="N774" s="9"/>
      <c r="O774" s="33"/>
      <c r="P774" s="33"/>
      <c r="Q774" s="9"/>
      <c r="R774" s="67"/>
      <c r="S774" s="9"/>
    </row>
    <row r="775" spans="1:19" ht="15" customHeight="1" x14ac:dyDescent="0.25">
      <c r="A775" s="4"/>
      <c r="B775" s="28" t="str">
        <f>IF(ISNUMBER(MATCH(C775, Mgt_Unit!$C$5:$C$1018, 0)), INDEX(Mgt_Unit!$B$5:$B$1018, MATCH(C775, Mgt_Unit!$C$5:$C$1018, 0)), "")</f>
        <v>jennifer.moore</v>
      </c>
      <c r="C775" s="87" t="s">
        <v>861</v>
      </c>
      <c r="D775" s="65"/>
      <c r="E775" s="87">
        <v>2</v>
      </c>
      <c r="F775" s="87" t="s">
        <v>1538</v>
      </c>
      <c r="G775" s="87" t="s">
        <v>1544</v>
      </c>
      <c r="H775" s="87" t="s">
        <v>51</v>
      </c>
      <c r="I775" s="87" t="s">
        <v>137</v>
      </c>
      <c r="J775" s="90">
        <v>43952</v>
      </c>
      <c r="K775" s="90">
        <v>44111</v>
      </c>
      <c r="L775" s="90"/>
      <c r="M775" s="93">
        <v>0</v>
      </c>
      <c r="N775" s="9"/>
      <c r="O775" s="33"/>
      <c r="P775" s="33"/>
      <c r="Q775" s="9"/>
      <c r="R775" s="67"/>
      <c r="S775" s="9"/>
    </row>
    <row r="776" spans="1:19" ht="15" customHeight="1" x14ac:dyDescent="0.25">
      <c r="A776" s="4"/>
      <c r="B776" s="28" t="str">
        <f>IF(ISNUMBER(MATCH(C776, Mgt_Unit!$C$5:$C$1018, 0)), INDEX(Mgt_Unit!$B$5:$B$1018, MATCH(C776, Mgt_Unit!$C$5:$C$1018, 0)), "")</f>
        <v>jennifer.moore</v>
      </c>
      <c r="C776" s="88" t="s">
        <v>862</v>
      </c>
      <c r="D776" s="65"/>
      <c r="E776" s="88">
        <v>1</v>
      </c>
      <c r="F776" s="88" t="s">
        <v>1538</v>
      </c>
      <c r="G776" s="88" t="s">
        <v>1544</v>
      </c>
      <c r="H776" s="88" t="s">
        <v>51</v>
      </c>
      <c r="I776" s="88" t="s">
        <v>137</v>
      </c>
      <c r="J776" s="91">
        <v>43586</v>
      </c>
      <c r="K776" s="91">
        <v>43745</v>
      </c>
      <c r="L776" s="91"/>
      <c r="M776" s="94">
        <v>0</v>
      </c>
      <c r="N776" s="9"/>
      <c r="O776" s="33"/>
      <c r="P776" s="33"/>
      <c r="Q776" s="9"/>
      <c r="R776" s="67"/>
      <c r="S776" s="9"/>
    </row>
    <row r="777" spans="1:19" ht="15" customHeight="1" x14ac:dyDescent="0.25">
      <c r="A777" s="4"/>
      <c r="B777" s="28" t="str">
        <f>IF(ISNUMBER(MATCH(C777, Mgt_Unit!$C$5:$C$1018, 0)), INDEX(Mgt_Unit!$B$5:$B$1018, MATCH(C777, Mgt_Unit!$C$5:$C$1018, 0)), "")</f>
        <v>jennifer.moore</v>
      </c>
      <c r="C777" s="88" t="s">
        <v>863</v>
      </c>
      <c r="D777" s="65"/>
      <c r="E777" s="88">
        <v>2</v>
      </c>
      <c r="F777" s="88" t="s">
        <v>1538</v>
      </c>
      <c r="G777" s="88" t="s">
        <v>1544</v>
      </c>
      <c r="H777" s="88" t="s">
        <v>50</v>
      </c>
      <c r="I777" s="88" t="s">
        <v>87</v>
      </c>
      <c r="J777" s="91">
        <v>43586</v>
      </c>
      <c r="K777" s="91">
        <v>43738</v>
      </c>
      <c r="L777" s="91"/>
      <c r="M777" s="94">
        <v>0</v>
      </c>
      <c r="N777" s="9"/>
      <c r="O777" s="33"/>
      <c r="P777" s="33"/>
      <c r="Q777" s="9"/>
      <c r="R777" s="67"/>
      <c r="S777" s="9"/>
    </row>
    <row r="778" spans="1:19" ht="15" customHeight="1" x14ac:dyDescent="0.25">
      <c r="A778" s="4"/>
      <c r="B778" s="28" t="str">
        <f>IF(ISNUMBER(MATCH(C778, Mgt_Unit!$C$5:$C$1018, 0)), INDEX(Mgt_Unit!$B$5:$B$1018, MATCH(C778, Mgt_Unit!$C$5:$C$1018, 0)), "")</f>
        <v>jennifer.moore</v>
      </c>
      <c r="C778" t="s">
        <v>864</v>
      </c>
      <c r="D778" s="65"/>
      <c r="E778">
        <v>1</v>
      </c>
      <c r="F778" t="s">
        <v>1538</v>
      </c>
      <c r="G778" t="s">
        <v>1544</v>
      </c>
      <c r="H778" t="s">
        <v>50</v>
      </c>
      <c r="I778" t="s">
        <v>87</v>
      </c>
      <c r="J778" s="89">
        <v>43586</v>
      </c>
      <c r="K778" s="89">
        <v>43738</v>
      </c>
      <c r="L778" s="89"/>
      <c r="M778" s="31">
        <v>0</v>
      </c>
      <c r="N778" s="9"/>
      <c r="O778" s="33"/>
      <c r="P778" s="33"/>
      <c r="Q778" s="9"/>
      <c r="R778" s="67"/>
      <c r="S778" s="9"/>
    </row>
    <row r="779" spans="1:19" ht="15" customHeight="1" x14ac:dyDescent="0.25">
      <c r="A779" s="4"/>
      <c r="B779" s="28" t="str">
        <f>IF(ISNUMBER(MATCH(C779, Mgt_Unit!$C$5:$C$1018, 0)), INDEX(Mgt_Unit!$B$5:$B$1018, MATCH(C779, Mgt_Unit!$C$5:$C$1018, 0)), "")</f>
        <v>jennifer.moore</v>
      </c>
      <c r="C779" s="87" t="s">
        <v>864</v>
      </c>
      <c r="D779" s="65"/>
      <c r="E779" s="87">
        <v>2</v>
      </c>
      <c r="F779" s="87" t="s">
        <v>1538</v>
      </c>
      <c r="G779" s="87" t="s">
        <v>1544</v>
      </c>
      <c r="H779" s="87" t="s">
        <v>51</v>
      </c>
      <c r="I779" s="87" t="s">
        <v>137</v>
      </c>
      <c r="J779" s="90">
        <v>43952</v>
      </c>
      <c r="K779" s="90">
        <v>44111</v>
      </c>
      <c r="L779" s="90"/>
      <c r="M779" s="93">
        <v>0</v>
      </c>
      <c r="N779" s="9"/>
      <c r="O779" s="33"/>
      <c r="P779" s="33"/>
      <c r="Q779" s="9"/>
      <c r="R779" s="67"/>
      <c r="S779" s="9"/>
    </row>
    <row r="780" spans="1:19" ht="15" customHeight="1" x14ac:dyDescent="0.25">
      <c r="A780" s="4"/>
      <c r="B780" s="28" t="str">
        <f>IF(ISNUMBER(MATCH(C780, Mgt_Unit!$C$5:$C$1018, 0)), INDEX(Mgt_Unit!$B$5:$B$1018, MATCH(C780, Mgt_Unit!$C$5:$C$1018, 0)), "")</f>
        <v>jennifer.moore</v>
      </c>
      <c r="C780" s="88" t="s">
        <v>865</v>
      </c>
      <c r="D780" s="65"/>
      <c r="E780" s="88">
        <v>1</v>
      </c>
      <c r="F780" s="88" t="s">
        <v>1538</v>
      </c>
      <c r="G780" s="88" t="s">
        <v>1544</v>
      </c>
      <c r="H780" s="88" t="s">
        <v>51</v>
      </c>
      <c r="I780" s="88" t="s">
        <v>137</v>
      </c>
      <c r="J780" s="91">
        <v>43586</v>
      </c>
      <c r="K780" s="91">
        <v>43745</v>
      </c>
      <c r="L780" s="91"/>
      <c r="M780" s="94">
        <v>0</v>
      </c>
      <c r="N780" s="9"/>
      <c r="O780" s="33"/>
      <c r="P780" s="33"/>
      <c r="Q780" s="9"/>
      <c r="R780" s="67"/>
      <c r="S780" s="9"/>
    </row>
    <row r="781" spans="1:19" ht="15" customHeight="1" x14ac:dyDescent="0.25">
      <c r="A781" s="4"/>
      <c r="B781" s="28" t="str">
        <f>IF(ISNUMBER(MATCH(C781, Mgt_Unit!$C$5:$C$1018, 0)), INDEX(Mgt_Unit!$B$5:$B$1018, MATCH(C781, Mgt_Unit!$C$5:$C$1018, 0)), "")</f>
        <v>jennifer.moore</v>
      </c>
      <c r="C781" s="88" t="s">
        <v>866</v>
      </c>
      <c r="D781" s="65"/>
      <c r="E781" s="88">
        <v>1</v>
      </c>
      <c r="F781" s="88" t="s">
        <v>1538</v>
      </c>
      <c r="G781" s="88" t="s">
        <v>1544</v>
      </c>
      <c r="H781" s="88" t="s">
        <v>50</v>
      </c>
      <c r="I781" s="88" t="s">
        <v>87</v>
      </c>
      <c r="J781" s="91">
        <v>43586</v>
      </c>
      <c r="K781" s="91">
        <v>43738</v>
      </c>
      <c r="L781" s="91"/>
      <c r="M781" s="94">
        <v>0</v>
      </c>
      <c r="N781" s="9"/>
      <c r="O781" s="33"/>
      <c r="P781" s="33"/>
      <c r="Q781" s="9"/>
      <c r="R781" s="67"/>
      <c r="S781" s="9"/>
    </row>
    <row r="782" spans="1:19" ht="15" customHeight="1" x14ac:dyDescent="0.25">
      <c r="A782" s="4"/>
      <c r="B782" s="28" t="str">
        <f>IF(ISNUMBER(MATCH(C782, Mgt_Unit!$C$5:$C$1018, 0)), INDEX(Mgt_Unit!$B$5:$B$1018, MATCH(C782, Mgt_Unit!$C$5:$C$1018, 0)), "")</f>
        <v>jennifer.moore</v>
      </c>
      <c r="C782" t="s">
        <v>867</v>
      </c>
      <c r="D782" s="65"/>
      <c r="E782">
        <v>1</v>
      </c>
      <c r="F782" t="s">
        <v>1538</v>
      </c>
      <c r="G782" t="s">
        <v>1544</v>
      </c>
      <c r="H782" t="s">
        <v>50</v>
      </c>
      <c r="I782" t="s">
        <v>87</v>
      </c>
      <c r="J782" s="89">
        <v>43586</v>
      </c>
      <c r="K782" s="89">
        <v>43738</v>
      </c>
      <c r="L782" s="89"/>
      <c r="M782" s="31">
        <v>0</v>
      </c>
      <c r="N782" s="9"/>
      <c r="O782" s="33"/>
      <c r="P782" s="33"/>
      <c r="Q782" s="9"/>
      <c r="R782" s="67"/>
      <c r="S782" s="9"/>
    </row>
    <row r="783" spans="1:19" ht="15" customHeight="1" x14ac:dyDescent="0.25">
      <c r="A783" s="4"/>
      <c r="B783" s="28" t="str">
        <f>IF(ISNUMBER(MATCH(C783, Mgt_Unit!$C$5:$C$1018, 0)), INDEX(Mgt_Unit!$B$5:$B$1018, MATCH(C783, Mgt_Unit!$C$5:$C$1018, 0)), "")</f>
        <v>jennifer.moore</v>
      </c>
      <c r="C783" s="87" t="s">
        <v>867</v>
      </c>
      <c r="D783" s="65"/>
      <c r="E783" s="87">
        <v>2</v>
      </c>
      <c r="F783" s="87" t="s">
        <v>1538</v>
      </c>
      <c r="G783" s="87" t="s">
        <v>1544</v>
      </c>
      <c r="H783" s="87" t="s">
        <v>51</v>
      </c>
      <c r="I783" s="87" t="s">
        <v>137</v>
      </c>
      <c r="J783" s="90">
        <v>43952</v>
      </c>
      <c r="K783" s="90">
        <v>44111</v>
      </c>
      <c r="L783" s="90"/>
      <c r="M783" s="93">
        <v>0</v>
      </c>
      <c r="N783" s="9"/>
      <c r="O783" s="33"/>
      <c r="P783" s="33"/>
      <c r="Q783" s="9"/>
      <c r="R783" s="67"/>
      <c r="S783" s="9"/>
    </row>
    <row r="784" spans="1:19" ht="15" customHeight="1" x14ac:dyDescent="0.25">
      <c r="A784" s="4"/>
      <c r="B784" s="28" t="str">
        <f>IF(ISNUMBER(MATCH(C784, Mgt_Unit!$C$5:$C$1018, 0)), INDEX(Mgt_Unit!$B$5:$B$1018, MATCH(C784, Mgt_Unit!$C$5:$C$1018, 0)), "")</f>
        <v>jennifer.moore</v>
      </c>
      <c r="C784" s="88" t="s">
        <v>868</v>
      </c>
      <c r="D784" s="65"/>
      <c r="E784" s="88">
        <v>1</v>
      </c>
      <c r="F784" s="88" t="s">
        <v>1538</v>
      </c>
      <c r="G784" s="88" t="s">
        <v>1544</v>
      </c>
      <c r="H784" s="88" t="s">
        <v>51</v>
      </c>
      <c r="I784" s="88" t="s">
        <v>137</v>
      </c>
      <c r="J784" s="91">
        <v>43586</v>
      </c>
      <c r="K784" s="91">
        <v>43745</v>
      </c>
      <c r="L784" s="91"/>
      <c r="M784" s="94">
        <v>0</v>
      </c>
      <c r="N784" s="9"/>
      <c r="O784" s="33"/>
      <c r="P784" s="33"/>
      <c r="Q784" s="9"/>
      <c r="R784" s="67"/>
      <c r="S784" s="9"/>
    </row>
    <row r="785" spans="1:19" ht="15" customHeight="1" x14ac:dyDescent="0.25">
      <c r="A785" s="4"/>
      <c r="B785" s="28" t="str">
        <f>IF(ISNUMBER(MATCH(C785, Mgt_Unit!$C$5:$C$1018, 0)), INDEX(Mgt_Unit!$B$5:$B$1018, MATCH(C785, Mgt_Unit!$C$5:$C$1018, 0)), "")</f>
        <v>jennifer.moore</v>
      </c>
      <c r="C785" t="s">
        <v>869</v>
      </c>
      <c r="D785" s="65"/>
      <c r="E785">
        <v>1</v>
      </c>
      <c r="F785" t="s">
        <v>1538</v>
      </c>
      <c r="G785" t="s">
        <v>1544</v>
      </c>
      <c r="H785" t="s">
        <v>50</v>
      </c>
      <c r="I785" t="s">
        <v>175</v>
      </c>
      <c r="J785" s="89">
        <v>42502</v>
      </c>
      <c r="K785" s="89">
        <v>42664</v>
      </c>
      <c r="L785" s="89"/>
      <c r="M785" s="31">
        <v>0</v>
      </c>
      <c r="N785" s="9"/>
      <c r="O785" s="33"/>
      <c r="P785" s="33"/>
      <c r="Q785" s="9"/>
      <c r="R785" s="67"/>
      <c r="S785" s="9"/>
    </row>
    <row r="786" spans="1:19" ht="15" customHeight="1" x14ac:dyDescent="0.25">
      <c r="A786" s="4"/>
      <c r="B786" s="28" t="str">
        <f>IF(ISNUMBER(MATCH(C786, Mgt_Unit!$C$5:$C$1018, 0)), INDEX(Mgt_Unit!$B$5:$B$1018, MATCH(C786, Mgt_Unit!$C$5:$C$1018, 0)), "")</f>
        <v>jennifer.moore</v>
      </c>
      <c r="C786" t="s">
        <v>869</v>
      </c>
      <c r="D786" s="65"/>
      <c r="E786">
        <v>2</v>
      </c>
      <c r="F786" t="s">
        <v>1538</v>
      </c>
      <c r="G786" t="s">
        <v>1544</v>
      </c>
      <c r="H786" t="s">
        <v>51</v>
      </c>
      <c r="I786" t="s">
        <v>137</v>
      </c>
      <c r="J786" s="89">
        <v>42871</v>
      </c>
      <c r="K786" s="89">
        <v>43020</v>
      </c>
      <c r="L786" s="89"/>
      <c r="M786" s="31">
        <v>0</v>
      </c>
      <c r="N786" s="9"/>
      <c r="O786" s="33"/>
      <c r="P786" s="33"/>
      <c r="Q786" s="9"/>
      <c r="R786" s="67"/>
      <c r="S786" s="9"/>
    </row>
    <row r="787" spans="1:19" ht="15" customHeight="1" x14ac:dyDescent="0.25">
      <c r="A787" s="4"/>
      <c r="B787" s="28" t="str">
        <f>IF(ISNUMBER(MATCH(C787, Mgt_Unit!$C$5:$C$1018, 0)), INDEX(Mgt_Unit!$B$5:$B$1018, MATCH(C787, Mgt_Unit!$C$5:$C$1018, 0)), "")</f>
        <v>jennifer.moore</v>
      </c>
      <c r="C787" s="87" t="s">
        <v>869</v>
      </c>
      <c r="D787" s="65"/>
      <c r="E787" s="87">
        <v>3</v>
      </c>
      <c r="F787" s="87" t="s">
        <v>1538</v>
      </c>
      <c r="G787" s="87" t="s">
        <v>1544</v>
      </c>
      <c r="H787" s="87" t="s">
        <v>441</v>
      </c>
      <c r="I787" s="87" t="s">
        <v>27</v>
      </c>
      <c r="J787" s="90">
        <v>43020</v>
      </c>
      <c r="K787" s="90">
        <v>43269</v>
      </c>
      <c r="L787" s="90"/>
      <c r="M787" s="93">
        <v>0</v>
      </c>
      <c r="N787" s="9"/>
      <c r="O787" s="33"/>
      <c r="P787" s="33"/>
      <c r="Q787" s="9"/>
      <c r="R787" s="67"/>
      <c r="S787" s="9"/>
    </row>
    <row r="788" spans="1:19" ht="15" customHeight="1" x14ac:dyDescent="0.25">
      <c r="A788" s="4"/>
      <c r="B788" s="28" t="str">
        <f>IF(ISNUMBER(MATCH(C788, Mgt_Unit!$C$5:$C$1018, 0)), INDEX(Mgt_Unit!$B$5:$B$1018, MATCH(C788, Mgt_Unit!$C$5:$C$1018, 0)), "")</f>
        <v>jennifer.moore</v>
      </c>
      <c r="C788" t="s">
        <v>870</v>
      </c>
      <c r="D788" s="65"/>
      <c r="E788">
        <v>1</v>
      </c>
      <c r="F788" t="s">
        <v>1538</v>
      </c>
      <c r="G788" t="s">
        <v>1544</v>
      </c>
      <c r="H788" t="s">
        <v>50</v>
      </c>
      <c r="I788" t="s">
        <v>175</v>
      </c>
      <c r="J788" s="89">
        <v>42502</v>
      </c>
      <c r="K788" s="89">
        <v>42664</v>
      </c>
      <c r="L788" s="89"/>
      <c r="M788" s="31">
        <v>0</v>
      </c>
      <c r="N788" s="9"/>
      <c r="O788" s="33"/>
      <c r="P788" s="33"/>
      <c r="Q788" s="9"/>
      <c r="R788" s="67"/>
      <c r="S788" s="9"/>
    </row>
    <row r="789" spans="1:19" ht="15" customHeight="1" x14ac:dyDescent="0.25">
      <c r="A789" s="4"/>
      <c r="B789" s="28" t="str">
        <f>IF(ISNUMBER(MATCH(C789, Mgt_Unit!$C$5:$C$1018, 0)), INDEX(Mgt_Unit!$B$5:$B$1018, MATCH(C789, Mgt_Unit!$C$5:$C$1018, 0)), "")</f>
        <v>jennifer.moore</v>
      </c>
      <c r="C789" t="s">
        <v>870</v>
      </c>
      <c r="D789" s="65"/>
      <c r="E789">
        <v>2</v>
      </c>
      <c r="F789" t="s">
        <v>1538</v>
      </c>
      <c r="G789" t="s">
        <v>1544</v>
      </c>
      <c r="H789" t="s">
        <v>51</v>
      </c>
      <c r="I789" t="s">
        <v>137</v>
      </c>
      <c r="J789" s="89">
        <v>42871</v>
      </c>
      <c r="K789" s="89">
        <v>43020</v>
      </c>
      <c r="L789" s="89"/>
      <c r="M789" s="31">
        <v>0</v>
      </c>
      <c r="N789" s="9"/>
      <c r="O789" s="33"/>
      <c r="P789" s="33"/>
      <c r="Q789" s="9"/>
      <c r="R789" s="67"/>
      <c r="S789" s="9"/>
    </row>
    <row r="790" spans="1:19" ht="15" customHeight="1" x14ac:dyDescent="0.25">
      <c r="A790" s="4"/>
      <c r="B790" s="28" t="str">
        <f>IF(ISNUMBER(MATCH(C790, Mgt_Unit!$C$5:$C$1018, 0)), INDEX(Mgt_Unit!$B$5:$B$1018, MATCH(C790, Mgt_Unit!$C$5:$C$1018, 0)), "")</f>
        <v>jennifer.moore</v>
      </c>
      <c r="C790" s="87" t="s">
        <v>870</v>
      </c>
      <c r="D790" s="65"/>
      <c r="E790" s="87">
        <v>3</v>
      </c>
      <c r="F790" s="87" t="s">
        <v>1538</v>
      </c>
      <c r="G790" s="87" t="s">
        <v>1544</v>
      </c>
      <c r="H790" s="87" t="s">
        <v>441</v>
      </c>
      <c r="I790" s="87" t="s">
        <v>27</v>
      </c>
      <c r="J790" s="90">
        <v>43020</v>
      </c>
      <c r="K790" s="90">
        <v>43269</v>
      </c>
      <c r="L790" s="90"/>
      <c r="M790" s="93">
        <v>0</v>
      </c>
      <c r="N790" s="9"/>
      <c r="O790" s="33"/>
      <c r="P790" s="33"/>
      <c r="Q790" s="9"/>
      <c r="R790" s="67"/>
      <c r="S790" s="9"/>
    </row>
    <row r="791" spans="1:19" ht="15" customHeight="1" x14ac:dyDescent="0.25">
      <c r="A791" s="4"/>
      <c r="B791" s="28" t="str">
        <f>IF(ISNUMBER(MATCH(C791, Mgt_Unit!$C$5:$C$1018, 0)), INDEX(Mgt_Unit!$B$5:$B$1018, MATCH(C791, Mgt_Unit!$C$5:$C$1018, 0)), "")</f>
        <v>jennifer.moore</v>
      </c>
      <c r="C791" t="s">
        <v>871</v>
      </c>
      <c r="D791" s="65"/>
      <c r="E791">
        <v>1</v>
      </c>
      <c r="F791" t="s">
        <v>1538</v>
      </c>
      <c r="G791" t="s">
        <v>1544</v>
      </c>
      <c r="H791" t="s">
        <v>50</v>
      </c>
      <c r="I791" t="s">
        <v>175</v>
      </c>
      <c r="J791" s="89">
        <v>42502</v>
      </c>
      <c r="K791" s="89">
        <v>42664</v>
      </c>
      <c r="L791" s="89"/>
      <c r="M791" s="31">
        <v>0</v>
      </c>
      <c r="N791" s="9"/>
      <c r="O791" s="33"/>
      <c r="P791" s="33"/>
      <c r="Q791" s="9"/>
      <c r="R791" s="67"/>
      <c r="S791" s="9"/>
    </row>
    <row r="792" spans="1:19" ht="15" customHeight="1" x14ac:dyDescent="0.25">
      <c r="A792" s="4"/>
      <c r="B792" s="28" t="str">
        <f>IF(ISNUMBER(MATCH(C792, Mgt_Unit!$C$5:$C$1018, 0)), INDEX(Mgt_Unit!$B$5:$B$1018, MATCH(C792, Mgt_Unit!$C$5:$C$1018, 0)), "")</f>
        <v>jennifer.moore</v>
      </c>
      <c r="C792" t="s">
        <v>871</v>
      </c>
      <c r="D792" s="65"/>
      <c r="E792">
        <v>2</v>
      </c>
      <c r="F792" t="s">
        <v>1538</v>
      </c>
      <c r="G792" t="s">
        <v>1544</v>
      </c>
      <c r="H792" t="s">
        <v>51</v>
      </c>
      <c r="I792" t="s">
        <v>137</v>
      </c>
      <c r="J792" s="89">
        <v>42871</v>
      </c>
      <c r="K792" s="89">
        <v>43020</v>
      </c>
      <c r="L792" s="89"/>
      <c r="M792" s="31">
        <v>0</v>
      </c>
      <c r="N792" s="9"/>
      <c r="O792" s="33"/>
      <c r="P792" s="33"/>
      <c r="Q792" s="9"/>
      <c r="R792" s="67"/>
      <c r="S792" s="9"/>
    </row>
    <row r="793" spans="1:19" ht="15" customHeight="1" x14ac:dyDescent="0.25">
      <c r="A793" s="4"/>
      <c r="B793" s="28" t="str">
        <f>IF(ISNUMBER(MATCH(C793, Mgt_Unit!$C$5:$C$1018, 0)), INDEX(Mgt_Unit!$B$5:$B$1018, MATCH(C793, Mgt_Unit!$C$5:$C$1018, 0)), "")</f>
        <v>jennifer.moore</v>
      </c>
      <c r="C793" t="s">
        <v>871</v>
      </c>
      <c r="D793" s="65"/>
      <c r="E793">
        <v>3</v>
      </c>
      <c r="F793" t="s">
        <v>1538</v>
      </c>
      <c r="G793" t="s">
        <v>1544</v>
      </c>
      <c r="H793" t="s">
        <v>441</v>
      </c>
      <c r="I793" t="s">
        <v>27</v>
      </c>
      <c r="J793" s="89">
        <v>43020</v>
      </c>
      <c r="K793" s="89">
        <v>43269</v>
      </c>
      <c r="L793" s="89"/>
      <c r="M793" s="31">
        <v>0</v>
      </c>
      <c r="N793" s="9"/>
      <c r="O793" s="33"/>
      <c r="P793" s="33"/>
      <c r="Q793" s="9"/>
      <c r="R793" s="67"/>
      <c r="S793" s="9"/>
    </row>
    <row r="794" spans="1:19" ht="15" customHeight="1" x14ac:dyDescent="0.25">
      <c r="A794" s="4"/>
      <c r="B794" s="28" t="str">
        <f>IF(ISNUMBER(MATCH(C794, Mgt_Unit!$C$5:$C$1018, 0)), INDEX(Mgt_Unit!$B$5:$B$1018, MATCH(C794, Mgt_Unit!$C$5:$C$1018, 0)), "")</f>
        <v>jennifer.moore</v>
      </c>
      <c r="C794" s="87" t="s">
        <v>871</v>
      </c>
      <c r="D794" s="65"/>
      <c r="E794" s="87">
        <v>4</v>
      </c>
      <c r="F794" s="87" t="s">
        <v>1538</v>
      </c>
      <c r="G794" s="87" t="s">
        <v>1544</v>
      </c>
      <c r="H794" s="87" t="s">
        <v>51</v>
      </c>
      <c r="I794" s="87" t="s">
        <v>137</v>
      </c>
      <c r="J794" s="90">
        <v>43278</v>
      </c>
      <c r="K794" s="90">
        <v>43404</v>
      </c>
      <c r="L794" s="90"/>
      <c r="M794" s="93">
        <v>0</v>
      </c>
      <c r="N794" s="9"/>
      <c r="O794" s="33"/>
      <c r="P794" s="33"/>
      <c r="Q794" s="9"/>
      <c r="R794" s="67"/>
      <c r="S794" s="9"/>
    </row>
    <row r="795" spans="1:19" ht="15" customHeight="1" x14ac:dyDescent="0.25">
      <c r="A795" s="4"/>
      <c r="B795" s="28" t="str">
        <f>IF(ISNUMBER(MATCH(C795, Mgt_Unit!$C$5:$C$1018, 0)), INDEX(Mgt_Unit!$B$5:$B$1018, MATCH(C795, Mgt_Unit!$C$5:$C$1018, 0)), "")</f>
        <v>jennifer.moore</v>
      </c>
      <c r="C795" t="s">
        <v>872</v>
      </c>
      <c r="D795" s="65"/>
      <c r="E795">
        <v>1</v>
      </c>
      <c r="F795" t="s">
        <v>1538</v>
      </c>
      <c r="G795" t="s">
        <v>1544</v>
      </c>
      <c r="H795" t="s">
        <v>50</v>
      </c>
      <c r="I795" t="s">
        <v>175</v>
      </c>
      <c r="J795" s="89">
        <v>42502</v>
      </c>
      <c r="K795" s="89">
        <v>42664</v>
      </c>
      <c r="L795" s="89"/>
      <c r="M795" s="31">
        <v>0</v>
      </c>
      <c r="N795" s="9"/>
      <c r="O795" s="33"/>
      <c r="P795" s="33"/>
      <c r="Q795" s="9"/>
      <c r="R795" s="67"/>
      <c r="S795" s="9"/>
    </row>
    <row r="796" spans="1:19" ht="15" customHeight="1" x14ac:dyDescent="0.25">
      <c r="A796" s="4"/>
      <c r="B796" s="28" t="str">
        <f>IF(ISNUMBER(MATCH(C796, Mgt_Unit!$C$5:$C$1018, 0)), INDEX(Mgt_Unit!$B$5:$B$1018, MATCH(C796, Mgt_Unit!$C$5:$C$1018, 0)), "")</f>
        <v>jennifer.moore</v>
      </c>
      <c r="C796" t="s">
        <v>872</v>
      </c>
      <c r="D796" s="65"/>
      <c r="E796">
        <v>2</v>
      </c>
      <c r="F796" t="s">
        <v>1538</v>
      </c>
      <c r="G796" t="s">
        <v>1544</v>
      </c>
      <c r="H796" t="s">
        <v>51</v>
      </c>
      <c r="I796" t="s">
        <v>137</v>
      </c>
      <c r="J796" s="89">
        <v>42871</v>
      </c>
      <c r="K796" s="89">
        <v>43020</v>
      </c>
      <c r="L796" s="89"/>
      <c r="M796" s="31">
        <v>0</v>
      </c>
      <c r="N796" s="9"/>
      <c r="O796" s="33"/>
      <c r="P796" s="33"/>
      <c r="Q796" s="9"/>
      <c r="R796" s="67"/>
      <c r="S796" s="9"/>
    </row>
    <row r="797" spans="1:19" ht="15" customHeight="1" x14ac:dyDescent="0.25">
      <c r="A797" s="4"/>
      <c r="B797" s="28" t="str">
        <f>IF(ISNUMBER(MATCH(C797, Mgt_Unit!$C$5:$C$1018, 0)), INDEX(Mgt_Unit!$B$5:$B$1018, MATCH(C797, Mgt_Unit!$C$5:$C$1018, 0)), "")</f>
        <v>jennifer.moore</v>
      </c>
      <c r="C797" t="s">
        <v>872</v>
      </c>
      <c r="D797" s="65"/>
      <c r="E797">
        <v>3</v>
      </c>
      <c r="F797" t="s">
        <v>1538</v>
      </c>
      <c r="G797" t="s">
        <v>1544</v>
      </c>
      <c r="H797" t="s">
        <v>441</v>
      </c>
      <c r="I797" t="s">
        <v>27</v>
      </c>
      <c r="J797" s="89">
        <v>43020</v>
      </c>
      <c r="K797" s="89">
        <v>43269</v>
      </c>
      <c r="L797" s="89"/>
      <c r="M797" s="31">
        <v>0</v>
      </c>
      <c r="N797" s="9"/>
      <c r="O797" s="33"/>
      <c r="P797" s="33"/>
      <c r="Q797" s="9"/>
      <c r="R797" s="67"/>
      <c r="S797" s="9"/>
    </row>
    <row r="798" spans="1:19" ht="15" customHeight="1" x14ac:dyDescent="0.25">
      <c r="A798" s="4"/>
      <c r="B798" s="28" t="str">
        <f>IF(ISNUMBER(MATCH(C798, Mgt_Unit!$C$5:$C$1018, 0)), INDEX(Mgt_Unit!$B$5:$B$1018, MATCH(C798, Mgt_Unit!$C$5:$C$1018, 0)), "")</f>
        <v>jennifer.moore</v>
      </c>
      <c r="C798" s="87" t="s">
        <v>872</v>
      </c>
      <c r="D798" s="65"/>
      <c r="E798" s="87">
        <v>4</v>
      </c>
      <c r="F798" s="87" t="s">
        <v>1538</v>
      </c>
      <c r="G798" s="87" t="s">
        <v>1544</v>
      </c>
      <c r="H798" s="87" t="s">
        <v>51</v>
      </c>
      <c r="I798" s="87" t="s">
        <v>137</v>
      </c>
      <c r="J798" s="90">
        <v>43278</v>
      </c>
      <c r="K798" s="90">
        <v>43404</v>
      </c>
      <c r="L798" s="90"/>
      <c r="M798" s="93">
        <v>0</v>
      </c>
      <c r="N798" s="9"/>
      <c r="O798" s="33"/>
      <c r="P798" s="33"/>
      <c r="Q798" s="9"/>
      <c r="R798" s="67"/>
      <c r="S798" s="9"/>
    </row>
    <row r="799" spans="1:19" ht="15" customHeight="1" x14ac:dyDescent="0.25">
      <c r="A799" s="4"/>
      <c r="B799" s="28" t="str">
        <f>IF(ISNUMBER(MATCH(C799, Mgt_Unit!$C$5:$C$1018, 0)), INDEX(Mgt_Unit!$B$5:$B$1018, MATCH(C799, Mgt_Unit!$C$5:$C$1018, 0)), "")</f>
        <v>jennifer.moore</v>
      </c>
      <c r="C799" t="s">
        <v>873</v>
      </c>
      <c r="D799" s="65"/>
      <c r="E799">
        <v>1</v>
      </c>
      <c r="F799" t="s">
        <v>1538</v>
      </c>
      <c r="G799" t="s">
        <v>1544</v>
      </c>
      <c r="H799" t="s">
        <v>50</v>
      </c>
      <c r="I799" t="s">
        <v>175</v>
      </c>
      <c r="J799" s="89">
        <v>42502</v>
      </c>
      <c r="K799" s="89">
        <v>42664</v>
      </c>
      <c r="L799" s="89"/>
      <c r="M799" s="31">
        <v>0</v>
      </c>
      <c r="N799" s="9"/>
      <c r="O799" s="33"/>
      <c r="P799" s="33"/>
      <c r="Q799" s="9"/>
      <c r="R799" s="67"/>
      <c r="S799" s="9"/>
    </row>
    <row r="800" spans="1:19" ht="15" customHeight="1" x14ac:dyDescent="0.25">
      <c r="A800" s="4"/>
      <c r="B800" s="28" t="str">
        <f>IF(ISNUMBER(MATCH(C800, Mgt_Unit!$C$5:$C$1018, 0)), INDEX(Mgt_Unit!$B$5:$B$1018, MATCH(C800, Mgt_Unit!$C$5:$C$1018, 0)), "")</f>
        <v>jennifer.moore</v>
      </c>
      <c r="C800" t="s">
        <v>873</v>
      </c>
      <c r="D800" s="65"/>
      <c r="E800">
        <v>2</v>
      </c>
      <c r="F800" t="s">
        <v>1538</v>
      </c>
      <c r="G800" t="s">
        <v>1544</v>
      </c>
      <c r="H800" t="s">
        <v>51</v>
      </c>
      <c r="I800" t="s">
        <v>137</v>
      </c>
      <c r="J800" s="89">
        <v>42871</v>
      </c>
      <c r="K800" s="89">
        <v>43020</v>
      </c>
      <c r="L800" s="89"/>
      <c r="M800" s="31">
        <v>0</v>
      </c>
      <c r="N800" s="9"/>
      <c r="O800" s="33"/>
      <c r="P800" s="33"/>
      <c r="Q800" s="9"/>
      <c r="R800" s="67"/>
      <c r="S800" s="9"/>
    </row>
    <row r="801" spans="1:19" ht="15" customHeight="1" x14ac:dyDescent="0.25">
      <c r="A801" s="4"/>
      <c r="B801" s="28" t="str">
        <f>IF(ISNUMBER(MATCH(C801, Mgt_Unit!$C$5:$C$1018, 0)), INDEX(Mgt_Unit!$B$5:$B$1018, MATCH(C801, Mgt_Unit!$C$5:$C$1018, 0)), "")</f>
        <v>jennifer.moore</v>
      </c>
      <c r="C801" t="s">
        <v>873</v>
      </c>
      <c r="D801" s="65"/>
      <c r="E801">
        <v>3</v>
      </c>
      <c r="F801" t="s">
        <v>1538</v>
      </c>
      <c r="G801" t="s">
        <v>1544</v>
      </c>
      <c r="H801" t="s">
        <v>441</v>
      </c>
      <c r="I801" t="s">
        <v>27</v>
      </c>
      <c r="J801" s="89">
        <v>43020</v>
      </c>
      <c r="K801" s="89">
        <v>43269</v>
      </c>
      <c r="L801" s="89"/>
      <c r="M801" s="31">
        <v>0</v>
      </c>
      <c r="N801" s="9"/>
      <c r="O801" s="33"/>
      <c r="P801" s="33"/>
      <c r="Q801" s="9"/>
      <c r="R801" s="67"/>
      <c r="S801" s="9"/>
    </row>
    <row r="802" spans="1:19" ht="15" customHeight="1" x14ac:dyDescent="0.25">
      <c r="A802" s="4"/>
      <c r="B802" s="28" t="str">
        <f>IF(ISNUMBER(MATCH(C802, Mgt_Unit!$C$5:$C$1018, 0)), INDEX(Mgt_Unit!$B$5:$B$1018, MATCH(C802, Mgt_Unit!$C$5:$C$1018, 0)), "")</f>
        <v>jennifer.moore</v>
      </c>
      <c r="C802" s="87" t="s">
        <v>873</v>
      </c>
      <c r="D802" s="65"/>
      <c r="E802" s="87">
        <v>4</v>
      </c>
      <c r="F802" s="87" t="s">
        <v>1537</v>
      </c>
      <c r="G802" s="87" t="s">
        <v>1535</v>
      </c>
      <c r="H802" s="87" t="s">
        <v>1549</v>
      </c>
      <c r="I802" s="87" t="s">
        <v>1554</v>
      </c>
      <c r="J802" s="90">
        <v>43322</v>
      </c>
      <c r="K802" s="90"/>
      <c r="L802" s="90"/>
      <c r="M802" s="93"/>
      <c r="N802" s="9"/>
      <c r="O802" s="33"/>
      <c r="P802" s="33"/>
      <c r="Q802" s="9"/>
      <c r="R802" s="67"/>
      <c r="S802" s="9"/>
    </row>
    <row r="803" spans="1:19" ht="15" customHeight="1" x14ac:dyDescent="0.25">
      <c r="A803" s="4"/>
      <c r="B803" s="28" t="str">
        <f>IF(ISNUMBER(MATCH(C803, Mgt_Unit!$C$5:$C$1018, 0)), INDEX(Mgt_Unit!$B$5:$B$1018, MATCH(C803, Mgt_Unit!$C$5:$C$1018, 0)), "")</f>
        <v>jennifer.moore</v>
      </c>
      <c r="C803" t="s">
        <v>874</v>
      </c>
      <c r="D803" s="65"/>
      <c r="E803">
        <v>1</v>
      </c>
      <c r="F803" t="s">
        <v>1538</v>
      </c>
      <c r="G803" t="s">
        <v>1544</v>
      </c>
      <c r="H803" t="s">
        <v>50</v>
      </c>
      <c r="I803" t="s">
        <v>175</v>
      </c>
      <c r="J803" s="89">
        <v>42502</v>
      </c>
      <c r="K803" s="89">
        <v>42664</v>
      </c>
      <c r="L803" s="89"/>
      <c r="M803" s="31">
        <v>0</v>
      </c>
      <c r="N803" s="9"/>
      <c r="O803" s="33"/>
      <c r="P803" s="33"/>
      <c r="Q803" s="9"/>
      <c r="R803" s="67"/>
      <c r="S803" s="9"/>
    </row>
    <row r="804" spans="1:19" ht="15" customHeight="1" x14ac:dyDescent="0.25">
      <c r="A804" s="4"/>
      <c r="B804" s="28" t="str">
        <f>IF(ISNUMBER(MATCH(C804, Mgt_Unit!$C$5:$C$1018, 0)), INDEX(Mgt_Unit!$B$5:$B$1018, MATCH(C804, Mgt_Unit!$C$5:$C$1018, 0)), "")</f>
        <v>jennifer.moore</v>
      </c>
      <c r="C804" t="s">
        <v>874</v>
      </c>
      <c r="D804" s="65"/>
      <c r="E804">
        <v>2</v>
      </c>
      <c r="F804" t="s">
        <v>1538</v>
      </c>
      <c r="G804" t="s">
        <v>1544</v>
      </c>
      <c r="H804" t="s">
        <v>51</v>
      </c>
      <c r="I804" t="s">
        <v>137</v>
      </c>
      <c r="J804" s="89">
        <v>42871</v>
      </c>
      <c r="K804" s="89">
        <v>43020</v>
      </c>
      <c r="L804" s="89"/>
      <c r="M804" s="31">
        <v>0</v>
      </c>
      <c r="N804" s="9"/>
      <c r="O804" s="33"/>
      <c r="P804" s="33"/>
      <c r="Q804" s="9"/>
      <c r="R804" s="67"/>
      <c r="S804" s="9"/>
    </row>
    <row r="805" spans="1:19" ht="15" customHeight="1" x14ac:dyDescent="0.25">
      <c r="A805" s="4"/>
      <c r="B805" s="28" t="str">
        <f>IF(ISNUMBER(MATCH(C805, Mgt_Unit!$C$5:$C$1018, 0)), INDEX(Mgt_Unit!$B$5:$B$1018, MATCH(C805, Mgt_Unit!$C$5:$C$1018, 0)), "")</f>
        <v>jennifer.moore</v>
      </c>
      <c r="C805" t="s">
        <v>874</v>
      </c>
      <c r="D805" s="65"/>
      <c r="E805">
        <v>3</v>
      </c>
      <c r="F805" t="s">
        <v>1538</v>
      </c>
      <c r="G805" t="s">
        <v>1544</v>
      </c>
      <c r="H805" t="s">
        <v>441</v>
      </c>
      <c r="I805" t="s">
        <v>27</v>
      </c>
      <c r="J805" s="89">
        <v>43020</v>
      </c>
      <c r="K805" s="89">
        <v>43269</v>
      </c>
      <c r="L805" s="89"/>
      <c r="M805" s="31">
        <v>0</v>
      </c>
      <c r="N805" s="9"/>
      <c r="O805" s="33"/>
      <c r="P805" s="33"/>
      <c r="Q805" s="9"/>
      <c r="R805" s="67"/>
      <c r="S805" s="9"/>
    </row>
    <row r="806" spans="1:19" ht="15" customHeight="1" x14ac:dyDescent="0.25">
      <c r="A806" s="4"/>
      <c r="B806" s="28" t="str">
        <f>IF(ISNUMBER(MATCH(C806, Mgt_Unit!$C$5:$C$1018, 0)), INDEX(Mgt_Unit!$B$5:$B$1018, MATCH(C806, Mgt_Unit!$C$5:$C$1018, 0)), "")</f>
        <v>jennifer.moore</v>
      </c>
      <c r="C806" s="87" t="s">
        <v>874</v>
      </c>
      <c r="D806" s="65"/>
      <c r="E806" s="87">
        <v>4</v>
      </c>
      <c r="F806" s="87" t="s">
        <v>1537</v>
      </c>
      <c r="G806" s="87" t="s">
        <v>1535</v>
      </c>
      <c r="H806" s="87" t="s">
        <v>1549</v>
      </c>
      <c r="I806" s="87" t="s">
        <v>1554</v>
      </c>
      <c r="J806" s="90">
        <v>43322</v>
      </c>
      <c r="K806" s="90"/>
      <c r="L806" s="90"/>
      <c r="M806" s="93"/>
      <c r="N806" s="9"/>
      <c r="O806" s="33"/>
      <c r="P806" s="33"/>
      <c r="Q806" s="9"/>
      <c r="R806" s="67"/>
      <c r="S806" s="9"/>
    </row>
    <row r="807" spans="1:19" ht="15" customHeight="1" x14ac:dyDescent="0.25">
      <c r="A807" s="4"/>
      <c r="B807" s="28" t="str">
        <f>IF(ISNUMBER(MATCH(C807, Mgt_Unit!$C$5:$C$1018, 0)), INDEX(Mgt_Unit!$B$5:$B$1018, MATCH(C807, Mgt_Unit!$C$5:$C$1018, 0)), "")</f>
        <v>jennifer.moore</v>
      </c>
      <c r="C807" s="107" t="s">
        <v>1313</v>
      </c>
      <c r="D807" s="65"/>
      <c r="E807" s="107">
        <v>1</v>
      </c>
      <c r="F807" s="107" t="s">
        <v>1537</v>
      </c>
      <c r="G807" s="107" t="s">
        <v>1536</v>
      </c>
      <c r="H807" s="107" t="s">
        <v>1549</v>
      </c>
      <c r="I807" s="107" t="s">
        <v>1554</v>
      </c>
      <c r="J807" s="109">
        <v>43101</v>
      </c>
      <c r="K807" s="109"/>
      <c r="L807" s="109">
        <v>43465</v>
      </c>
      <c r="M807" s="110">
        <v>0</v>
      </c>
      <c r="N807" s="9"/>
      <c r="O807" s="33"/>
      <c r="P807" s="33"/>
      <c r="Q807" s="9"/>
      <c r="R807" s="67"/>
      <c r="S807" s="9"/>
    </row>
    <row r="808" spans="1:19" ht="15" customHeight="1" x14ac:dyDescent="0.25">
      <c r="A808" s="4"/>
      <c r="B808" s="28" t="str">
        <f>IF(ISNUMBER(MATCH(C808, Mgt_Unit!$C$5:$C$1018, 0)), INDEX(Mgt_Unit!$B$5:$B$1018, MATCH(C808, Mgt_Unit!$C$5:$C$1018, 0)), "")</f>
        <v>jennifer.moore</v>
      </c>
      <c r="C808" t="s">
        <v>875</v>
      </c>
      <c r="D808" s="65"/>
      <c r="E808">
        <v>1</v>
      </c>
      <c r="F808" t="s">
        <v>1538</v>
      </c>
      <c r="G808" t="s">
        <v>1544</v>
      </c>
      <c r="H808" t="s">
        <v>441</v>
      </c>
      <c r="I808" t="s">
        <v>27</v>
      </c>
      <c r="J808" s="89">
        <v>42275</v>
      </c>
      <c r="K808" s="89">
        <v>42550</v>
      </c>
      <c r="L808" s="89"/>
      <c r="M808" s="31">
        <v>0</v>
      </c>
      <c r="N808" s="9"/>
      <c r="O808" s="33"/>
      <c r="P808" s="33"/>
      <c r="Q808" s="9"/>
      <c r="R808" s="67"/>
      <c r="S808" s="9"/>
    </row>
    <row r="809" spans="1:19" ht="15" customHeight="1" x14ac:dyDescent="0.25">
      <c r="A809" s="4"/>
      <c r="B809" s="28" t="str">
        <f>IF(ISNUMBER(MATCH(C809, Mgt_Unit!$C$5:$C$1018, 0)), INDEX(Mgt_Unit!$B$5:$B$1018, MATCH(C809, Mgt_Unit!$C$5:$C$1018, 0)), "")</f>
        <v>jennifer.moore</v>
      </c>
      <c r="C809" s="87" t="s">
        <v>875</v>
      </c>
      <c r="D809" s="65"/>
      <c r="E809" s="87">
        <v>2</v>
      </c>
      <c r="F809" s="87" t="s">
        <v>1538</v>
      </c>
      <c r="G809" s="87" t="s">
        <v>1544</v>
      </c>
      <c r="H809" s="87" t="s">
        <v>50</v>
      </c>
      <c r="I809" s="87" t="s">
        <v>175</v>
      </c>
      <c r="J809" s="90">
        <v>42889</v>
      </c>
      <c r="K809" s="90">
        <v>43033</v>
      </c>
      <c r="L809" s="90"/>
      <c r="M809" s="93">
        <v>0</v>
      </c>
      <c r="N809" s="9"/>
      <c r="O809" s="33"/>
      <c r="P809" s="33"/>
      <c r="Q809" s="9"/>
      <c r="R809" s="67"/>
      <c r="S809" s="9"/>
    </row>
    <row r="810" spans="1:19" ht="15" customHeight="1" x14ac:dyDescent="0.25">
      <c r="A810" s="4"/>
      <c r="B810" s="28" t="str">
        <f>IF(ISNUMBER(MATCH(C810, Mgt_Unit!$C$5:$C$1018, 0)), INDEX(Mgt_Unit!$B$5:$B$1018, MATCH(C810, Mgt_Unit!$C$5:$C$1018, 0)), "")</f>
        <v>jennifer.moore</v>
      </c>
      <c r="C810" t="s">
        <v>876</v>
      </c>
      <c r="D810" s="65"/>
      <c r="E810">
        <v>1</v>
      </c>
      <c r="F810" t="s">
        <v>1538</v>
      </c>
      <c r="G810" t="s">
        <v>1544</v>
      </c>
      <c r="H810" t="s">
        <v>441</v>
      </c>
      <c r="I810" t="s">
        <v>27</v>
      </c>
      <c r="J810" s="89">
        <v>42275</v>
      </c>
      <c r="K810" s="89">
        <v>42550</v>
      </c>
      <c r="L810" s="89"/>
      <c r="M810" s="31">
        <v>0</v>
      </c>
      <c r="N810" s="9"/>
      <c r="O810" s="33"/>
      <c r="P810" s="33"/>
      <c r="Q810" s="9"/>
      <c r="R810" s="67"/>
      <c r="S810" s="9"/>
    </row>
    <row r="811" spans="1:19" ht="15" customHeight="1" x14ac:dyDescent="0.25">
      <c r="A811" s="4"/>
      <c r="B811" s="28" t="str">
        <f>IF(ISNUMBER(MATCH(C811, Mgt_Unit!$C$5:$C$1018, 0)), INDEX(Mgt_Unit!$B$5:$B$1018, MATCH(C811, Mgt_Unit!$C$5:$C$1018, 0)), "")</f>
        <v>jennifer.moore</v>
      </c>
      <c r="C811" s="87" t="s">
        <v>876</v>
      </c>
      <c r="D811" s="65"/>
      <c r="E811" s="87">
        <v>2</v>
      </c>
      <c r="F811" s="87" t="s">
        <v>1538</v>
      </c>
      <c r="G811" s="87" t="s">
        <v>1544</v>
      </c>
      <c r="H811" s="87" t="s">
        <v>50</v>
      </c>
      <c r="I811" s="87" t="s">
        <v>175</v>
      </c>
      <c r="J811" s="90">
        <v>42889</v>
      </c>
      <c r="K811" s="90">
        <v>43033</v>
      </c>
      <c r="L811" s="90"/>
      <c r="M811" s="93">
        <v>0</v>
      </c>
      <c r="N811" s="9"/>
      <c r="O811" s="33"/>
      <c r="P811" s="33"/>
      <c r="Q811" s="9"/>
      <c r="R811" s="67"/>
      <c r="S811" s="9"/>
    </row>
    <row r="812" spans="1:19" ht="15" customHeight="1" x14ac:dyDescent="0.25">
      <c r="A812" s="4"/>
      <c r="B812" s="28" t="str">
        <f>IF(ISNUMBER(MATCH(C812, Mgt_Unit!$C$5:$C$1018, 0)), INDEX(Mgt_Unit!$B$5:$B$1018, MATCH(C812, Mgt_Unit!$C$5:$C$1018, 0)), "")</f>
        <v>jennifer.moore</v>
      </c>
      <c r="C812" t="s">
        <v>877</v>
      </c>
      <c r="D812" s="65"/>
      <c r="E812">
        <v>1</v>
      </c>
      <c r="F812" t="s">
        <v>1538</v>
      </c>
      <c r="G812" t="s">
        <v>1544</v>
      </c>
      <c r="H812" t="s">
        <v>441</v>
      </c>
      <c r="I812" t="s">
        <v>27</v>
      </c>
      <c r="J812" s="89">
        <v>42275</v>
      </c>
      <c r="K812" s="89">
        <v>42550</v>
      </c>
      <c r="L812" s="89"/>
      <c r="M812" s="31">
        <v>0</v>
      </c>
      <c r="N812" s="9"/>
      <c r="O812" s="33"/>
      <c r="P812" s="33"/>
      <c r="Q812" s="9"/>
      <c r="R812" s="67"/>
      <c r="S812" s="9"/>
    </row>
    <row r="813" spans="1:19" ht="15" customHeight="1" x14ac:dyDescent="0.25">
      <c r="A813" s="4"/>
      <c r="B813" s="28" t="str">
        <f>IF(ISNUMBER(MATCH(C813, Mgt_Unit!$C$5:$C$1018, 0)), INDEX(Mgt_Unit!$B$5:$B$1018, MATCH(C813, Mgt_Unit!$C$5:$C$1018, 0)), "")</f>
        <v>jennifer.moore</v>
      </c>
      <c r="C813" s="87" t="s">
        <v>877</v>
      </c>
      <c r="D813" s="65"/>
      <c r="E813" s="87">
        <v>2</v>
      </c>
      <c r="F813" s="87" t="s">
        <v>1538</v>
      </c>
      <c r="G813" s="87" t="s">
        <v>1544</v>
      </c>
      <c r="H813" s="87" t="s">
        <v>50</v>
      </c>
      <c r="I813" s="87" t="s">
        <v>175</v>
      </c>
      <c r="J813" s="90">
        <v>42889</v>
      </c>
      <c r="K813" s="90">
        <v>43033</v>
      </c>
      <c r="L813" s="90"/>
      <c r="M813" s="93">
        <v>0</v>
      </c>
      <c r="N813" s="9"/>
      <c r="O813" s="33"/>
      <c r="P813" s="33"/>
      <c r="Q813" s="9"/>
      <c r="R813" s="67"/>
      <c r="S813" s="9"/>
    </row>
    <row r="814" spans="1:19" ht="15" customHeight="1" x14ac:dyDescent="0.25">
      <c r="A814" s="4"/>
      <c r="B814" s="28" t="str">
        <f>IF(ISNUMBER(MATCH(C814, Mgt_Unit!$C$5:$C$1018, 0)), INDEX(Mgt_Unit!$B$5:$B$1018, MATCH(C814, Mgt_Unit!$C$5:$C$1018, 0)), "")</f>
        <v>jennifer.moore</v>
      </c>
      <c r="C814" t="s">
        <v>878</v>
      </c>
      <c r="D814" s="65"/>
      <c r="E814">
        <v>1</v>
      </c>
      <c r="F814" t="s">
        <v>1538</v>
      </c>
      <c r="G814" t="s">
        <v>1544</v>
      </c>
      <c r="H814" t="s">
        <v>441</v>
      </c>
      <c r="I814" t="s">
        <v>27</v>
      </c>
      <c r="J814" s="89"/>
      <c r="K814" s="89">
        <v>43283</v>
      </c>
      <c r="L814" s="89"/>
      <c r="M814" s="31">
        <v>0</v>
      </c>
      <c r="N814" s="9"/>
      <c r="O814" s="33"/>
      <c r="P814" s="33"/>
      <c r="Q814" s="9"/>
      <c r="R814" s="67"/>
      <c r="S814" s="9"/>
    </row>
    <row r="815" spans="1:19" ht="15" customHeight="1" x14ac:dyDescent="0.25">
      <c r="A815" s="4"/>
      <c r="B815" s="28" t="str">
        <f>IF(ISNUMBER(MATCH(C815, Mgt_Unit!$C$5:$C$1018, 0)), INDEX(Mgt_Unit!$B$5:$B$1018, MATCH(C815, Mgt_Unit!$C$5:$C$1018, 0)), "")</f>
        <v>jennifer.moore</v>
      </c>
      <c r="C815" t="s">
        <v>878</v>
      </c>
      <c r="D815" s="65"/>
      <c r="E815">
        <v>2</v>
      </c>
      <c r="F815" t="s">
        <v>1538</v>
      </c>
      <c r="G815" t="s">
        <v>1544</v>
      </c>
      <c r="H815" t="s">
        <v>51</v>
      </c>
      <c r="I815" t="s">
        <v>137</v>
      </c>
      <c r="J815" s="89">
        <v>43299</v>
      </c>
      <c r="K815" s="89">
        <v>43432</v>
      </c>
      <c r="L815" s="89"/>
      <c r="M815" s="31">
        <v>0</v>
      </c>
      <c r="N815" s="9"/>
      <c r="O815" s="33"/>
      <c r="P815" s="33"/>
      <c r="Q815" s="9"/>
      <c r="R815" s="67"/>
      <c r="S815" s="9"/>
    </row>
    <row r="816" spans="1:19" ht="15" customHeight="1" x14ac:dyDescent="0.25">
      <c r="A816" s="4"/>
      <c r="B816" s="28" t="str">
        <f>IF(ISNUMBER(MATCH(C816, Mgt_Unit!$C$5:$C$1018, 0)), INDEX(Mgt_Unit!$B$5:$B$1018, MATCH(C816, Mgt_Unit!$C$5:$C$1018, 0)), "")</f>
        <v>jennifer.moore</v>
      </c>
      <c r="C816" t="s">
        <v>878</v>
      </c>
      <c r="D816" s="65"/>
      <c r="E816">
        <v>3</v>
      </c>
      <c r="F816" t="s">
        <v>1538</v>
      </c>
      <c r="G816" t="s">
        <v>1544</v>
      </c>
      <c r="H816" t="s">
        <v>50</v>
      </c>
      <c r="I816" t="s">
        <v>87</v>
      </c>
      <c r="J816" s="89">
        <v>43620</v>
      </c>
      <c r="K816" s="89">
        <v>43755</v>
      </c>
      <c r="L816" s="89"/>
      <c r="M816" s="31">
        <v>0</v>
      </c>
      <c r="N816" s="9"/>
      <c r="O816" s="33"/>
      <c r="P816" s="33"/>
      <c r="Q816" s="9"/>
      <c r="R816" s="67"/>
      <c r="S816" s="9"/>
    </row>
    <row r="817" spans="1:19" ht="15" customHeight="1" x14ac:dyDescent="0.25">
      <c r="A817" s="4"/>
      <c r="B817" s="28" t="str">
        <f>IF(ISNUMBER(MATCH(C817, Mgt_Unit!$C$5:$C$1018, 0)), INDEX(Mgt_Unit!$B$5:$B$1018, MATCH(C817, Mgt_Unit!$C$5:$C$1018, 0)), "")</f>
        <v>jennifer.moore</v>
      </c>
      <c r="C817" s="87" t="s">
        <v>878</v>
      </c>
      <c r="D817" s="65"/>
      <c r="E817" s="87">
        <v>4</v>
      </c>
      <c r="F817" s="87" t="s">
        <v>1538</v>
      </c>
      <c r="G817" s="87" t="s">
        <v>1544</v>
      </c>
      <c r="H817" s="87" t="s">
        <v>441</v>
      </c>
      <c r="I817" s="87" t="s">
        <v>27</v>
      </c>
      <c r="J817" s="90">
        <v>43769</v>
      </c>
      <c r="K817" s="90"/>
      <c r="L817" s="90"/>
      <c r="M817" s="93">
        <v>0</v>
      </c>
      <c r="N817" s="9"/>
      <c r="O817" s="33"/>
      <c r="P817" s="33"/>
      <c r="Q817" s="9"/>
      <c r="R817" s="67"/>
      <c r="S817" s="9"/>
    </row>
    <row r="818" spans="1:19" ht="15" customHeight="1" x14ac:dyDescent="0.25">
      <c r="A818" s="4"/>
      <c r="B818" s="28" t="str">
        <f>IF(ISNUMBER(MATCH(C818, Mgt_Unit!$C$5:$C$1018, 0)), INDEX(Mgt_Unit!$B$5:$B$1018, MATCH(C818, Mgt_Unit!$C$5:$C$1018, 0)), "")</f>
        <v>jennifer.moore</v>
      </c>
      <c r="C818" t="s">
        <v>879</v>
      </c>
      <c r="D818" s="65"/>
      <c r="E818">
        <v>1</v>
      </c>
      <c r="F818" t="s">
        <v>1538</v>
      </c>
      <c r="G818" t="s">
        <v>1544</v>
      </c>
      <c r="H818" t="s">
        <v>441</v>
      </c>
      <c r="I818" t="s">
        <v>27</v>
      </c>
      <c r="J818" s="89"/>
      <c r="K818" s="89">
        <v>43283</v>
      </c>
      <c r="L818" s="89"/>
      <c r="M818" s="31">
        <v>0</v>
      </c>
      <c r="N818" s="9"/>
      <c r="O818" s="33"/>
      <c r="P818" s="33"/>
      <c r="Q818" s="9"/>
      <c r="R818" s="67"/>
      <c r="S818" s="9"/>
    </row>
    <row r="819" spans="1:19" ht="15" customHeight="1" x14ac:dyDescent="0.25">
      <c r="A819" s="4"/>
      <c r="B819" s="28" t="str">
        <f>IF(ISNUMBER(MATCH(C819, Mgt_Unit!$C$5:$C$1018, 0)), INDEX(Mgt_Unit!$B$5:$B$1018, MATCH(C819, Mgt_Unit!$C$5:$C$1018, 0)), "")</f>
        <v>jennifer.moore</v>
      </c>
      <c r="C819" t="s">
        <v>879</v>
      </c>
      <c r="D819" s="65"/>
      <c r="E819">
        <v>2</v>
      </c>
      <c r="F819" t="s">
        <v>1538</v>
      </c>
      <c r="G819" t="s">
        <v>1544</v>
      </c>
      <c r="H819" t="s">
        <v>51</v>
      </c>
      <c r="I819" t="s">
        <v>137</v>
      </c>
      <c r="J819" s="89">
        <v>43299</v>
      </c>
      <c r="K819" s="89">
        <v>43432</v>
      </c>
      <c r="L819" s="89"/>
      <c r="M819" s="31">
        <v>0</v>
      </c>
      <c r="N819" s="9"/>
      <c r="O819" s="33"/>
      <c r="P819" s="33"/>
      <c r="Q819" s="9"/>
      <c r="R819" s="67"/>
      <c r="S819" s="9"/>
    </row>
    <row r="820" spans="1:19" ht="15" customHeight="1" x14ac:dyDescent="0.25">
      <c r="A820" s="4"/>
      <c r="B820" s="28" t="str">
        <f>IF(ISNUMBER(MATCH(C820, Mgt_Unit!$C$5:$C$1018, 0)), INDEX(Mgt_Unit!$B$5:$B$1018, MATCH(C820, Mgt_Unit!$C$5:$C$1018, 0)), "")</f>
        <v>jennifer.moore</v>
      </c>
      <c r="C820" t="s">
        <v>879</v>
      </c>
      <c r="D820" s="65"/>
      <c r="E820">
        <v>3</v>
      </c>
      <c r="F820" t="s">
        <v>1538</v>
      </c>
      <c r="G820" t="s">
        <v>1544</v>
      </c>
      <c r="H820" t="s">
        <v>50</v>
      </c>
      <c r="I820" t="s">
        <v>87</v>
      </c>
      <c r="J820" s="89">
        <v>43620</v>
      </c>
      <c r="K820" s="89">
        <v>43755</v>
      </c>
      <c r="L820" s="89"/>
      <c r="M820" s="31">
        <v>0</v>
      </c>
      <c r="N820" s="9"/>
      <c r="O820" s="33"/>
      <c r="P820" s="33"/>
      <c r="Q820" s="9"/>
      <c r="R820" s="67"/>
      <c r="S820" s="9"/>
    </row>
    <row r="821" spans="1:19" ht="15" customHeight="1" x14ac:dyDescent="0.25">
      <c r="A821" s="4"/>
      <c r="B821" s="28" t="str">
        <f>IF(ISNUMBER(MATCH(C821, Mgt_Unit!$C$5:$C$1018, 0)), INDEX(Mgt_Unit!$B$5:$B$1018, MATCH(C821, Mgt_Unit!$C$5:$C$1018, 0)), "")</f>
        <v>jennifer.moore</v>
      </c>
      <c r="C821" s="87" t="s">
        <v>879</v>
      </c>
      <c r="D821" s="65"/>
      <c r="E821" s="87">
        <v>4</v>
      </c>
      <c r="F821" s="87" t="s">
        <v>1538</v>
      </c>
      <c r="G821" s="87" t="s">
        <v>1544</v>
      </c>
      <c r="H821" s="87" t="s">
        <v>441</v>
      </c>
      <c r="I821" s="87" t="s">
        <v>27</v>
      </c>
      <c r="J821" s="90">
        <v>43769</v>
      </c>
      <c r="K821" s="90"/>
      <c r="L821" s="90"/>
      <c r="M821" s="93">
        <v>0</v>
      </c>
      <c r="N821" s="9"/>
      <c r="O821" s="33"/>
      <c r="P821" s="33"/>
      <c r="Q821" s="9"/>
      <c r="R821" s="67"/>
      <c r="S821" s="9"/>
    </row>
    <row r="822" spans="1:19" ht="15" customHeight="1" x14ac:dyDescent="0.25">
      <c r="A822" s="4"/>
      <c r="B822" s="28" t="str">
        <f>IF(ISNUMBER(MATCH(C822, Mgt_Unit!$C$5:$C$1018, 0)), INDEX(Mgt_Unit!$B$5:$B$1018, MATCH(C822, Mgt_Unit!$C$5:$C$1018, 0)), "")</f>
        <v>jennifer.moore</v>
      </c>
      <c r="C822" s="88" t="s">
        <v>880</v>
      </c>
      <c r="D822" s="65"/>
      <c r="E822" s="88">
        <v>1</v>
      </c>
      <c r="F822" s="88" t="s">
        <v>1538</v>
      </c>
      <c r="G822" s="88" t="s">
        <v>1544</v>
      </c>
      <c r="H822" s="88" t="s">
        <v>50</v>
      </c>
      <c r="I822" s="88" t="s">
        <v>87</v>
      </c>
      <c r="J822" s="91">
        <v>43590</v>
      </c>
      <c r="K822" s="91">
        <v>43738</v>
      </c>
      <c r="L822" s="91"/>
      <c r="M822" s="94">
        <v>0</v>
      </c>
      <c r="N822" s="9"/>
      <c r="O822" s="33"/>
      <c r="P822" s="33"/>
      <c r="Q822" s="9"/>
      <c r="R822" s="67"/>
      <c r="S822" s="9"/>
    </row>
    <row r="823" spans="1:19" ht="15" customHeight="1" x14ac:dyDescent="0.25">
      <c r="A823" s="4"/>
      <c r="B823" s="28" t="str">
        <f>IF(ISNUMBER(MATCH(C823, Mgt_Unit!$C$5:$C$1018, 0)), INDEX(Mgt_Unit!$B$5:$B$1018, MATCH(C823, Mgt_Unit!$C$5:$C$1018, 0)), "")</f>
        <v>jennifer.moore</v>
      </c>
      <c r="C823" s="88" t="s">
        <v>881</v>
      </c>
      <c r="D823" s="65"/>
      <c r="E823" s="88">
        <v>1</v>
      </c>
      <c r="F823" s="88" t="s">
        <v>1538</v>
      </c>
      <c r="G823" s="88" t="s">
        <v>1544</v>
      </c>
      <c r="H823" s="88" t="s">
        <v>50</v>
      </c>
      <c r="I823" s="88" t="s">
        <v>87</v>
      </c>
      <c r="J823" s="91">
        <v>43590</v>
      </c>
      <c r="K823" s="91">
        <v>43738</v>
      </c>
      <c r="L823" s="91"/>
      <c r="M823" s="94">
        <v>0</v>
      </c>
      <c r="N823" s="9"/>
      <c r="O823" s="33"/>
      <c r="P823" s="33"/>
      <c r="Q823" s="9"/>
      <c r="R823" s="67"/>
      <c r="S823" s="9"/>
    </row>
    <row r="824" spans="1:19" ht="15" customHeight="1" x14ac:dyDescent="0.25">
      <c r="A824" s="4"/>
      <c r="B824" s="28" t="str">
        <f>IF(ISNUMBER(MATCH(C824, Mgt_Unit!$C$5:$C$1018, 0)), INDEX(Mgt_Unit!$B$5:$B$1018, MATCH(C824, Mgt_Unit!$C$5:$C$1018, 0)), "")</f>
        <v>jennifer.moore</v>
      </c>
      <c r="C824" t="s">
        <v>882</v>
      </c>
      <c r="D824" s="65"/>
      <c r="E824">
        <v>1</v>
      </c>
      <c r="F824" t="s">
        <v>1538</v>
      </c>
      <c r="G824" t="s">
        <v>1544</v>
      </c>
      <c r="H824" t="s">
        <v>50</v>
      </c>
      <c r="I824" t="s">
        <v>87</v>
      </c>
      <c r="J824" s="89">
        <v>43590</v>
      </c>
      <c r="K824" s="89">
        <v>43738</v>
      </c>
      <c r="L824" s="89"/>
      <c r="M824" s="31">
        <v>0</v>
      </c>
      <c r="N824" s="9"/>
      <c r="O824" s="33"/>
      <c r="P824" s="33"/>
      <c r="Q824" s="9"/>
      <c r="R824" s="67"/>
      <c r="S824" s="9"/>
    </row>
    <row r="825" spans="1:19" ht="15" customHeight="1" x14ac:dyDescent="0.25">
      <c r="A825" s="4"/>
      <c r="B825" s="28" t="str">
        <f>IF(ISNUMBER(MATCH(C825, Mgt_Unit!$C$5:$C$1018, 0)), INDEX(Mgt_Unit!$B$5:$B$1018, MATCH(C825, Mgt_Unit!$C$5:$C$1018, 0)), "")</f>
        <v>jennifer.moore</v>
      </c>
      <c r="C825" t="s">
        <v>882</v>
      </c>
      <c r="D825" s="65"/>
      <c r="E825">
        <v>2</v>
      </c>
      <c r="F825" t="s">
        <v>1538</v>
      </c>
      <c r="G825" t="s">
        <v>1544</v>
      </c>
      <c r="H825" t="s">
        <v>51</v>
      </c>
      <c r="I825" t="s">
        <v>137</v>
      </c>
      <c r="J825" s="89">
        <v>43981</v>
      </c>
      <c r="K825" s="89">
        <v>44104</v>
      </c>
      <c r="L825" s="89"/>
      <c r="M825" s="31">
        <v>0</v>
      </c>
      <c r="N825" s="9"/>
      <c r="O825" s="33"/>
      <c r="P825" s="33"/>
      <c r="Q825" s="9"/>
      <c r="R825" s="67"/>
      <c r="S825" s="9"/>
    </row>
    <row r="826" spans="1:19" ht="15" customHeight="1" x14ac:dyDescent="0.25">
      <c r="A826" s="4"/>
      <c r="B826" s="28" t="str">
        <f>IF(ISNUMBER(MATCH(C826, Mgt_Unit!$C$5:$C$1018, 0)), INDEX(Mgt_Unit!$B$5:$B$1018, MATCH(C826, Mgt_Unit!$C$5:$C$1018, 0)), "")</f>
        <v>jennifer.moore</v>
      </c>
      <c r="C826" s="92" t="s">
        <v>883</v>
      </c>
      <c r="D826" s="65"/>
      <c r="E826" s="92">
        <v>1</v>
      </c>
      <c r="F826" s="92" t="s">
        <v>1538</v>
      </c>
      <c r="G826" s="92" t="s">
        <v>1544</v>
      </c>
      <c r="H826" s="92" t="s">
        <v>50</v>
      </c>
      <c r="I826" s="92" t="s">
        <v>87</v>
      </c>
      <c r="J826" s="98">
        <v>43590</v>
      </c>
      <c r="K826" s="98">
        <v>43738</v>
      </c>
      <c r="L826" s="98"/>
      <c r="M826" s="99">
        <v>0</v>
      </c>
      <c r="N826" s="9"/>
      <c r="O826" s="33"/>
      <c r="P826" s="33"/>
      <c r="Q826" s="9"/>
      <c r="R826" s="67"/>
      <c r="S826" s="9"/>
    </row>
    <row r="827" spans="1:19" ht="15" customHeight="1" x14ac:dyDescent="0.25">
      <c r="A827" s="4"/>
      <c r="B827" s="28" t="str">
        <f>IF(ISNUMBER(MATCH(C827, Mgt_Unit!$C$5:$C$1018, 0)), INDEX(Mgt_Unit!$B$5:$B$1018, MATCH(C827, Mgt_Unit!$C$5:$C$1018, 0)), "")</f>
        <v>jennifer.moore</v>
      </c>
      <c r="C827" s="87" t="s">
        <v>883</v>
      </c>
      <c r="D827" s="65"/>
      <c r="E827" s="87">
        <v>2</v>
      </c>
      <c r="F827" s="87" t="s">
        <v>1538</v>
      </c>
      <c r="G827" s="87" t="s">
        <v>1544</v>
      </c>
      <c r="H827" s="87" t="s">
        <v>51</v>
      </c>
      <c r="I827" s="87" t="s">
        <v>137</v>
      </c>
      <c r="J827" s="90">
        <v>43981</v>
      </c>
      <c r="K827" s="90">
        <v>44104</v>
      </c>
      <c r="L827" s="90"/>
      <c r="M827" s="93">
        <v>0</v>
      </c>
      <c r="N827" s="9"/>
      <c r="O827" s="33"/>
      <c r="P827" s="33"/>
      <c r="Q827" s="9"/>
      <c r="R827" s="67"/>
      <c r="S827" s="9"/>
    </row>
    <row r="828" spans="1:19" ht="15" customHeight="1" x14ac:dyDescent="0.25">
      <c r="A828" s="4"/>
      <c r="B828" s="28" t="str">
        <f>IF(ISNUMBER(MATCH(C828, Mgt_Unit!$C$5:$C$1018, 0)), INDEX(Mgt_Unit!$B$5:$B$1018, MATCH(C828, Mgt_Unit!$C$5:$C$1018, 0)), "")</f>
        <v>jennifer.moore</v>
      </c>
      <c r="C828" t="s">
        <v>884</v>
      </c>
      <c r="D828" s="65"/>
      <c r="E828">
        <v>1</v>
      </c>
      <c r="F828" t="s">
        <v>1538</v>
      </c>
      <c r="G828" t="s">
        <v>1544</v>
      </c>
      <c r="H828" t="s">
        <v>50</v>
      </c>
      <c r="I828" t="s">
        <v>87</v>
      </c>
      <c r="J828" s="89">
        <v>43590</v>
      </c>
      <c r="K828" s="89">
        <v>43738</v>
      </c>
      <c r="L828" s="89"/>
      <c r="M828" s="31">
        <v>0</v>
      </c>
      <c r="N828" s="9"/>
      <c r="O828" s="33"/>
      <c r="P828" s="33"/>
      <c r="Q828" s="9"/>
      <c r="R828" s="67"/>
      <c r="S828" s="9"/>
    </row>
    <row r="829" spans="1:19" ht="15" customHeight="1" x14ac:dyDescent="0.25">
      <c r="A829" s="4"/>
      <c r="B829" s="28" t="str">
        <f>IF(ISNUMBER(MATCH(C829, Mgt_Unit!$C$5:$C$1018, 0)), INDEX(Mgt_Unit!$B$5:$B$1018, MATCH(C829, Mgt_Unit!$C$5:$C$1018, 0)), "")</f>
        <v>jennifer.moore</v>
      </c>
      <c r="C829" t="s">
        <v>884</v>
      </c>
      <c r="D829" s="65"/>
      <c r="E829">
        <v>2</v>
      </c>
      <c r="F829" t="s">
        <v>1538</v>
      </c>
      <c r="G829" t="s">
        <v>1544</v>
      </c>
      <c r="H829" t="s">
        <v>441</v>
      </c>
      <c r="I829" t="s">
        <v>195</v>
      </c>
      <c r="J829" s="89">
        <v>43743</v>
      </c>
      <c r="K829" s="89">
        <v>44013</v>
      </c>
      <c r="L829" s="89"/>
      <c r="M829" s="31">
        <v>0</v>
      </c>
      <c r="N829" s="9"/>
      <c r="O829" s="33"/>
      <c r="P829" s="33"/>
      <c r="Q829" s="9"/>
      <c r="R829" s="67"/>
      <c r="S829" s="9"/>
    </row>
    <row r="830" spans="1:19" ht="15" customHeight="1" x14ac:dyDescent="0.25">
      <c r="A830" s="4"/>
      <c r="B830" s="28" t="str">
        <f>IF(ISNUMBER(MATCH(C830, Mgt_Unit!$C$5:$C$1018, 0)), INDEX(Mgt_Unit!$B$5:$B$1018, MATCH(C830, Mgt_Unit!$C$5:$C$1018, 0)), "")</f>
        <v>jennifer.moore</v>
      </c>
      <c r="C830" s="87" t="s">
        <v>884</v>
      </c>
      <c r="D830" s="65"/>
      <c r="E830" s="87">
        <v>3</v>
      </c>
      <c r="F830" s="87" t="s">
        <v>1538</v>
      </c>
      <c r="G830" s="87" t="s">
        <v>1544</v>
      </c>
      <c r="H830" s="87" t="s">
        <v>51</v>
      </c>
      <c r="I830" s="87" t="s">
        <v>137</v>
      </c>
      <c r="J830" s="90">
        <v>44017</v>
      </c>
      <c r="K830" s="90">
        <v>44119</v>
      </c>
      <c r="L830" s="90"/>
      <c r="M830" s="93">
        <v>0</v>
      </c>
      <c r="N830" s="9"/>
      <c r="O830" s="33"/>
      <c r="P830" s="33"/>
      <c r="Q830" s="9"/>
      <c r="R830" s="67"/>
      <c r="S830" s="9"/>
    </row>
    <row r="831" spans="1:19" ht="15" customHeight="1" x14ac:dyDescent="0.25">
      <c r="A831" s="4"/>
      <c r="B831" s="28" t="str">
        <f>IF(ISNUMBER(MATCH(C831, Mgt_Unit!$C$5:$C$1018, 0)), INDEX(Mgt_Unit!$B$5:$B$1018, MATCH(C831, Mgt_Unit!$C$5:$C$1018, 0)), "")</f>
        <v>jennifer.moore</v>
      </c>
      <c r="C831" t="s">
        <v>885</v>
      </c>
      <c r="D831" s="65"/>
      <c r="E831">
        <v>1</v>
      </c>
      <c r="F831" t="s">
        <v>1538</v>
      </c>
      <c r="G831" t="s">
        <v>1544</v>
      </c>
      <c r="H831" t="s">
        <v>50</v>
      </c>
      <c r="I831" t="s">
        <v>87</v>
      </c>
      <c r="J831" s="89">
        <v>43590</v>
      </c>
      <c r="K831" s="89">
        <v>43738</v>
      </c>
      <c r="L831" s="89"/>
      <c r="M831" s="31">
        <v>0</v>
      </c>
      <c r="N831" s="9"/>
      <c r="O831" s="33"/>
      <c r="P831" s="33"/>
      <c r="Q831" s="9"/>
      <c r="R831" s="67"/>
      <c r="S831" s="9"/>
    </row>
    <row r="832" spans="1:19" ht="15" customHeight="1" x14ac:dyDescent="0.25">
      <c r="A832" s="4"/>
      <c r="B832" s="28" t="str">
        <f>IF(ISNUMBER(MATCH(C832, Mgt_Unit!$C$5:$C$1018, 0)), INDEX(Mgt_Unit!$B$5:$B$1018, MATCH(C832, Mgt_Unit!$C$5:$C$1018, 0)), "")</f>
        <v>jennifer.moore</v>
      </c>
      <c r="C832" t="s">
        <v>885</v>
      </c>
      <c r="D832" s="65"/>
      <c r="E832">
        <v>2</v>
      </c>
      <c r="F832" t="s">
        <v>1538</v>
      </c>
      <c r="G832" t="s">
        <v>1544</v>
      </c>
      <c r="H832" t="s">
        <v>441</v>
      </c>
      <c r="I832" t="s">
        <v>195</v>
      </c>
      <c r="J832" s="89">
        <v>43743</v>
      </c>
      <c r="K832" s="89">
        <v>44013</v>
      </c>
      <c r="L832" s="89"/>
      <c r="M832" s="31">
        <v>0</v>
      </c>
      <c r="N832" s="9"/>
      <c r="O832" s="33"/>
      <c r="P832" s="33"/>
      <c r="Q832" s="9"/>
      <c r="R832" s="67"/>
      <c r="S832" s="9"/>
    </row>
    <row r="833" spans="1:19" ht="15" customHeight="1" x14ac:dyDescent="0.25">
      <c r="A833" s="4"/>
      <c r="B833" s="28" t="str">
        <f>IF(ISNUMBER(MATCH(C833, Mgt_Unit!$C$5:$C$1018, 0)), INDEX(Mgt_Unit!$B$5:$B$1018, MATCH(C833, Mgt_Unit!$C$5:$C$1018, 0)), "")</f>
        <v>jennifer.moore</v>
      </c>
      <c r="C833" s="87" t="s">
        <v>885</v>
      </c>
      <c r="D833" s="65"/>
      <c r="E833" s="87">
        <v>3</v>
      </c>
      <c r="F833" s="87" t="s">
        <v>1538</v>
      </c>
      <c r="G833" s="87" t="s">
        <v>1544</v>
      </c>
      <c r="H833" s="87" t="s">
        <v>51</v>
      </c>
      <c r="I833" s="87" t="s">
        <v>137</v>
      </c>
      <c r="J833" s="90">
        <v>44017</v>
      </c>
      <c r="K833" s="90">
        <v>44119</v>
      </c>
      <c r="L833" s="90"/>
      <c r="M833" s="93">
        <v>0</v>
      </c>
      <c r="N833" s="9"/>
      <c r="O833" s="33"/>
      <c r="P833" s="33"/>
      <c r="Q833" s="9"/>
      <c r="R833" s="67"/>
      <c r="S833" s="9"/>
    </row>
    <row r="834" spans="1:19" ht="15" customHeight="1" x14ac:dyDescent="0.25">
      <c r="A834" s="4"/>
      <c r="B834" s="28" t="str">
        <f>IF(ISNUMBER(MATCH(C834, Mgt_Unit!$C$5:$C$1018, 0)), INDEX(Mgt_Unit!$B$5:$B$1018, MATCH(C834, Mgt_Unit!$C$5:$C$1018, 0)), "")</f>
        <v>jennifer.moore</v>
      </c>
      <c r="C834" t="s">
        <v>886</v>
      </c>
      <c r="D834" s="65"/>
      <c r="E834">
        <v>1</v>
      </c>
      <c r="F834" t="s">
        <v>1538</v>
      </c>
      <c r="G834" t="s">
        <v>1544</v>
      </c>
      <c r="H834" t="s">
        <v>50</v>
      </c>
      <c r="I834" t="s">
        <v>87</v>
      </c>
      <c r="J834" s="89">
        <v>43221</v>
      </c>
      <c r="K834" s="89">
        <v>43374</v>
      </c>
      <c r="L834" s="89"/>
      <c r="M834" s="31">
        <v>0</v>
      </c>
      <c r="N834" s="9"/>
      <c r="O834" s="33"/>
      <c r="P834" s="33"/>
      <c r="Q834" s="9"/>
      <c r="R834" s="67"/>
      <c r="S834" s="9"/>
    </row>
    <row r="835" spans="1:19" ht="15" customHeight="1" x14ac:dyDescent="0.25">
      <c r="A835" s="4"/>
      <c r="B835" s="28" t="str">
        <f>IF(ISNUMBER(MATCH(C835, Mgt_Unit!$C$5:$C$1018, 0)), INDEX(Mgt_Unit!$B$5:$B$1018, MATCH(C835, Mgt_Unit!$C$5:$C$1018, 0)), "")</f>
        <v>jennifer.moore</v>
      </c>
      <c r="C835" s="87" t="s">
        <v>886</v>
      </c>
      <c r="D835" s="65"/>
      <c r="E835" s="87">
        <v>2</v>
      </c>
      <c r="F835" s="87" t="s">
        <v>1538</v>
      </c>
      <c r="G835" s="87" t="s">
        <v>1544</v>
      </c>
      <c r="H835" s="87" t="s">
        <v>441</v>
      </c>
      <c r="I835" s="87" t="s">
        <v>195</v>
      </c>
      <c r="J835" s="90">
        <v>43378</v>
      </c>
      <c r="K835" s="90"/>
      <c r="L835" s="90"/>
      <c r="M835" s="93"/>
      <c r="N835" s="9"/>
      <c r="O835" s="33"/>
      <c r="P835" s="33"/>
      <c r="Q835" s="9"/>
      <c r="R835" s="67"/>
      <c r="S835" s="9"/>
    </row>
    <row r="836" spans="1:19" ht="15" customHeight="1" x14ac:dyDescent="0.25">
      <c r="A836" s="4"/>
      <c r="B836" s="28" t="str">
        <f>IF(ISNUMBER(MATCH(C836, Mgt_Unit!$C$5:$C$1018, 0)), INDEX(Mgt_Unit!$B$5:$B$1018, MATCH(C836, Mgt_Unit!$C$5:$C$1018, 0)), "")</f>
        <v>jennifer.moore</v>
      </c>
      <c r="C836" t="s">
        <v>887</v>
      </c>
      <c r="D836" s="65"/>
      <c r="E836">
        <v>1</v>
      </c>
      <c r="F836" t="s">
        <v>1538</v>
      </c>
      <c r="G836" t="s">
        <v>1544</v>
      </c>
      <c r="H836" t="s">
        <v>50</v>
      </c>
      <c r="I836" t="s">
        <v>87</v>
      </c>
      <c r="J836" s="89">
        <v>43221</v>
      </c>
      <c r="K836" s="89">
        <v>43374</v>
      </c>
      <c r="L836" s="89"/>
      <c r="M836" s="31">
        <v>0</v>
      </c>
      <c r="N836" s="9"/>
      <c r="O836" s="33"/>
      <c r="P836" s="33"/>
      <c r="Q836" s="9"/>
      <c r="R836" s="67"/>
      <c r="S836" s="9"/>
    </row>
    <row r="837" spans="1:19" ht="15" customHeight="1" x14ac:dyDescent="0.25">
      <c r="A837" s="4"/>
      <c r="B837" s="28" t="str">
        <f>IF(ISNUMBER(MATCH(C837, Mgt_Unit!$C$5:$C$1018, 0)), INDEX(Mgt_Unit!$B$5:$B$1018, MATCH(C837, Mgt_Unit!$C$5:$C$1018, 0)), "")</f>
        <v>jennifer.moore</v>
      </c>
      <c r="C837" s="87" t="s">
        <v>887</v>
      </c>
      <c r="D837" s="65"/>
      <c r="E837" s="87">
        <v>2</v>
      </c>
      <c r="F837" s="87" t="s">
        <v>1538</v>
      </c>
      <c r="G837" s="87" t="s">
        <v>1544</v>
      </c>
      <c r="H837" s="87" t="s">
        <v>441</v>
      </c>
      <c r="I837" s="87" t="s">
        <v>195</v>
      </c>
      <c r="J837" s="90">
        <v>43378</v>
      </c>
      <c r="K837" s="90"/>
      <c r="L837" s="90"/>
      <c r="M837" s="93"/>
      <c r="N837" s="9"/>
      <c r="O837" s="33"/>
      <c r="P837" s="33"/>
      <c r="Q837" s="9"/>
      <c r="R837" s="67"/>
      <c r="S837" s="9"/>
    </row>
    <row r="838" spans="1:19" ht="15" customHeight="1" x14ac:dyDescent="0.25">
      <c r="A838" s="4"/>
      <c r="B838" s="28" t="str">
        <f>IF(ISNUMBER(MATCH(C838, Mgt_Unit!$C$5:$C$1018, 0)), INDEX(Mgt_Unit!$B$5:$B$1018, MATCH(C838, Mgt_Unit!$C$5:$C$1018, 0)), "")</f>
        <v>jennifer.moore</v>
      </c>
      <c r="C838" t="s">
        <v>888</v>
      </c>
      <c r="D838" s="65"/>
      <c r="E838">
        <v>1</v>
      </c>
      <c r="F838" t="s">
        <v>1538</v>
      </c>
      <c r="G838" t="s">
        <v>1544</v>
      </c>
      <c r="H838" t="s">
        <v>50</v>
      </c>
      <c r="I838" t="s">
        <v>87</v>
      </c>
      <c r="J838" s="89">
        <v>43221</v>
      </c>
      <c r="K838" s="89">
        <v>43374</v>
      </c>
      <c r="L838" s="89"/>
      <c r="M838" s="31">
        <v>0</v>
      </c>
      <c r="N838" s="9"/>
      <c r="O838" s="33"/>
      <c r="P838" s="33"/>
      <c r="Q838" s="9"/>
      <c r="R838" s="67"/>
      <c r="S838" s="9"/>
    </row>
    <row r="839" spans="1:19" ht="15" customHeight="1" x14ac:dyDescent="0.25">
      <c r="A839" s="4"/>
      <c r="B839" s="28" t="str">
        <f>IF(ISNUMBER(MATCH(C839, Mgt_Unit!$C$5:$C$1018, 0)), INDEX(Mgt_Unit!$B$5:$B$1018, MATCH(C839, Mgt_Unit!$C$5:$C$1018, 0)), "")</f>
        <v>jennifer.moore</v>
      </c>
      <c r="C839" s="87" t="s">
        <v>888</v>
      </c>
      <c r="D839" s="65"/>
      <c r="E839" s="87">
        <v>2</v>
      </c>
      <c r="F839" s="87" t="s">
        <v>1538</v>
      </c>
      <c r="G839" s="87" t="s">
        <v>1544</v>
      </c>
      <c r="H839" s="87" t="s">
        <v>441</v>
      </c>
      <c r="I839" s="87" t="s">
        <v>195</v>
      </c>
      <c r="J839" s="90">
        <v>43378</v>
      </c>
      <c r="K839" s="90"/>
      <c r="L839" s="90"/>
      <c r="M839" s="93"/>
      <c r="N839" s="9"/>
      <c r="O839" s="33"/>
      <c r="P839" s="33"/>
      <c r="Q839" s="9"/>
      <c r="R839" s="67"/>
      <c r="S839" s="9"/>
    </row>
    <row r="840" spans="1:19" ht="15" customHeight="1" x14ac:dyDescent="0.25">
      <c r="A840" s="4"/>
      <c r="B840" s="28" t="str">
        <f>IF(ISNUMBER(MATCH(C840, Mgt_Unit!$C$5:$C$1018, 0)), INDEX(Mgt_Unit!$B$5:$B$1018, MATCH(C840, Mgt_Unit!$C$5:$C$1018, 0)), "")</f>
        <v>jennifer.moore</v>
      </c>
      <c r="C840" t="s">
        <v>889</v>
      </c>
      <c r="D840" s="65"/>
      <c r="E840">
        <v>1</v>
      </c>
      <c r="F840" t="s">
        <v>1538</v>
      </c>
      <c r="G840" t="s">
        <v>1544</v>
      </c>
      <c r="H840" t="s">
        <v>50</v>
      </c>
      <c r="I840" t="s">
        <v>87</v>
      </c>
      <c r="J840" s="89">
        <v>43221</v>
      </c>
      <c r="K840" s="89">
        <v>43374</v>
      </c>
      <c r="L840" s="89"/>
      <c r="M840" s="31">
        <v>0</v>
      </c>
      <c r="N840" s="9"/>
      <c r="O840" s="33"/>
      <c r="P840" s="33"/>
      <c r="Q840" s="9"/>
      <c r="R840" s="67"/>
      <c r="S840" s="9"/>
    </row>
    <row r="841" spans="1:19" ht="15" customHeight="1" x14ac:dyDescent="0.25">
      <c r="A841" s="4"/>
      <c r="B841" s="28" t="str">
        <f>IF(ISNUMBER(MATCH(C841, Mgt_Unit!$C$5:$C$1018, 0)), INDEX(Mgt_Unit!$B$5:$B$1018, MATCH(C841, Mgt_Unit!$C$5:$C$1018, 0)), "")</f>
        <v>jennifer.moore</v>
      </c>
      <c r="C841" s="87" t="s">
        <v>889</v>
      </c>
      <c r="D841" s="65"/>
      <c r="E841" s="87">
        <v>2</v>
      </c>
      <c r="F841" s="87" t="s">
        <v>1538</v>
      </c>
      <c r="G841" s="87" t="s">
        <v>1544</v>
      </c>
      <c r="H841" s="87" t="s">
        <v>441</v>
      </c>
      <c r="I841" s="87" t="s">
        <v>195</v>
      </c>
      <c r="J841" s="90">
        <v>43378</v>
      </c>
      <c r="K841" s="90"/>
      <c r="L841" s="90"/>
      <c r="M841" s="93"/>
      <c r="N841" s="9"/>
      <c r="O841" s="33"/>
      <c r="P841" s="33"/>
      <c r="Q841" s="9"/>
      <c r="R841" s="67"/>
      <c r="S841" s="9"/>
    </row>
    <row r="842" spans="1:19" ht="15" customHeight="1" x14ac:dyDescent="0.25">
      <c r="A842" s="4"/>
      <c r="B842" s="28" t="str">
        <f>IF(ISNUMBER(MATCH(C842, Mgt_Unit!$C$5:$C$1018, 0)), INDEX(Mgt_Unit!$B$5:$B$1018, MATCH(C842, Mgt_Unit!$C$5:$C$1018, 0)), "")</f>
        <v>jennifer.moore</v>
      </c>
      <c r="C842" t="s">
        <v>890</v>
      </c>
      <c r="D842" s="65"/>
      <c r="E842">
        <v>1</v>
      </c>
      <c r="F842" t="s">
        <v>1538</v>
      </c>
      <c r="G842" t="s">
        <v>1544</v>
      </c>
      <c r="H842" t="s">
        <v>48</v>
      </c>
      <c r="I842" t="s">
        <v>1280</v>
      </c>
      <c r="J842" s="89">
        <v>42191</v>
      </c>
      <c r="K842" s="89">
        <v>42251</v>
      </c>
      <c r="L842" s="89"/>
      <c r="M842" s="31">
        <v>0</v>
      </c>
      <c r="N842" s="9"/>
      <c r="O842" s="33"/>
      <c r="P842" s="33"/>
      <c r="Q842" s="9"/>
      <c r="R842" s="67"/>
      <c r="S842" s="9"/>
    </row>
    <row r="843" spans="1:19" ht="15" customHeight="1" x14ac:dyDescent="0.25">
      <c r="A843" s="4"/>
      <c r="B843" s="28" t="str">
        <f>IF(ISNUMBER(MATCH(C843, Mgt_Unit!$C$5:$C$1018, 0)), INDEX(Mgt_Unit!$B$5:$B$1018, MATCH(C843, Mgt_Unit!$C$5:$C$1018, 0)), "")</f>
        <v>jennifer.moore</v>
      </c>
      <c r="C843" t="s">
        <v>890</v>
      </c>
      <c r="D843" s="65"/>
      <c r="E843">
        <v>2</v>
      </c>
      <c r="F843" t="s">
        <v>1537</v>
      </c>
      <c r="G843" t="s">
        <v>1535</v>
      </c>
      <c r="H843" t="s">
        <v>441</v>
      </c>
      <c r="I843" t="s">
        <v>124</v>
      </c>
      <c r="J843" s="89">
        <v>42262</v>
      </c>
      <c r="K843" s="89"/>
      <c r="L843" s="89">
        <v>42492</v>
      </c>
      <c r="M843" s="31">
        <v>0</v>
      </c>
      <c r="N843" s="9"/>
      <c r="O843" s="33"/>
      <c r="P843" s="33"/>
      <c r="Q843" s="9"/>
      <c r="R843" s="67"/>
      <c r="S843" s="9"/>
    </row>
    <row r="844" spans="1:19" ht="15" customHeight="1" x14ac:dyDescent="0.25">
      <c r="A844" s="4"/>
      <c r="B844" s="28" t="str">
        <f>IF(ISNUMBER(MATCH(C844, Mgt_Unit!$C$5:$C$1018, 0)), INDEX(Mgt_Unit!$B$5:$B$1018, MATCH(C844, Mgt_Unit!$C$5:$C$1018, 0)), "")</f>
        <v>jennifer.moore</v>
      </c>
      <c r="C844" t="s">
        <v>890</v>
      </c>
      <c r="D844" s="65"/>
      <c r="E844">
        <v>2</v>
      </c>
      <c r="F844" t="s">
        <v>1537</v>
      </c>
      <c r="G844" t="s">
        <v>1535</v>
      </c>
      <c r="H844" t="s">
        <v>442</v>
      </c>
      <c r="I844" t="s">
        <v>245</v>
      </c>
      <c r="J844" s="89">
        <v>42262</v>
      </c>
      <c r="K844" s="89"/>
      <c r="L844" s="89">
        <v>42492</v>
      </c>
      <c r="M844" s="31">
        <v>0</v>
      </c>
      <c r="N844" s="9"/>
      <c r="O844" s="33"/>
      <c r="P844" s="33"/>
      <c r="Q844" s="9"/>
      <c r="R844" s="67"/>
      <c r="S844" s="9"/>
    </row>
    <row r="845" spans="1:19" ht="15" customHeight="1" x14ac:dyDescent="0.25">
      <c r="A845" s="4"/>
      <c r="B845" s="28" t="str">
        <f>IF(ISNUMBER(MATCH(C845, Mgt_Unit!$C$5:$C$1018, 0)), INDEX(Mgt_Unit!$B$5:$B$1018, MATCH(C845, Mgt_Unit!$C$5:$C$1018, 0)), "")</f>
        <v>jennifer.moore</v>
      </c>
      <c r="C845" t="s">
        <v>890</v>
      </c>
      <c r="D845" s="65"/>
      <c r="E845">
        <v>3</v>
      </c>
      <c r="F845" t="s">
        <v>1538</v>
      </c>
      <c r="G845" t="s">
        <v>1544</v>
      </c>
      <c r="H845" t="s">
        <v>442</v>
      </c>
      <c r="I845" t="s">
        <v>126</v>
      </c>
      <c r="J845" s="89">
        <v>42531</v>
      </c>
      <c r="K845" s="89">
        <v>42583</v>
      </c>
      <c r="L845" s="89"/>
      <c r="M845" s="31">
        <v>0</v>
      </c>
      <c r="N845" s="9"/>
      <c r="O845" s="33"/>
      <c r="P845" s="33"/>
      <c r="Q845" s="9"/>
      <c r="R845" s="67"/>
      <c r="S845" s="9"/>
    </row>
    <row r="846" spans="1:19" ht="15" customHeight="1" x14ac:dyDescent="0.25">
      <c r="A846" s="4"/>
      <c r="B846" s="28" t="str">
        <f>IF(ISNUMBER(MATCH(C846, Mgt_Unit!$C$5:$C$1018, 0)), INDEX(Mgt_Unit!$B$5:$B$1018, MATCH(C846, Mgt_Unit!$C$5:$C$1018, 0)), "")</f>
        <v>jennifer.moore</v>
      </c>
      <c r="C846" t="s">
        <v>890</v>
      </c>
      <c r="D846" s="65"/>
      <c r="E846">
        <v>4</v>
      </c>
      <c r="F846" t="s">
        <v>1537</v>
      </c>
      <c r="G846" t="s">
        <v>1535</v>
      </c>
      <c r="H846" t="s">
        <v>442</v>
      </c>
      <c r="I846" t="s">
        <v>245</v>
      </c>
      <c r="J846" s="89">
        <v>42615</v>
      </c>
      <c r="K846" s="89"/>
      <c r="L846" s="89">
        <v>42895</v>
      </c>
      <c r="M846" s="31">
        <v>0</v>
      </c>
      <c r="N846" s="9"/>
      <c r="O846" s="33"/>
      <c r="P846" s="33"/>
      <c r="Q846" s="9"/>
      <c r="R846" s="67"/>
      <c r="S846" s="9"/>
    </row>
    <row r="847" spans="1:19" ht="15" customHeight="1" x14ac:dyDescent="0.25">
      <c r="A847" s="4"/>
      <c r="B847" s="28" t="str">
        <f>IF(ISNUMBER(MATCH(C847, Mgt_Unit!$C$5:$C$1018, 0)), INDEX(Mgt_Unit!$B$5:$B$1018, MATCH(C847, Mgt_Unit!$C$5:$C$1018, 0)), "")</f>
        <v>jennifer.moore</v>
      </c>
      <c r="C847" t="s">
        <v>890</v>
      </c>
      <c r="D847" s="65"/>
      <c r="E847">
        <v>4</v>
      </c>
      <c r="F847" t="s">
        <v>1537</v>
      </c>
      <c r="G847" t="s">
        <v>1535</v>
      </c>
      <c r="H847" t="s">
        <v>441</v>
      </c>
      <c r="I847" t="s">
        <v>124</v>
      </c>
      <c r="J847" s="89">
        <v>42615</v>
      </c>
      <c r="K847" s="89"/>
      <c r="L847" s="89">
        <v>42895</v>
      </c>
      <c r="M847" s="31">
        <v>0</v>
      </c>
      <c r="N847" s="9"/>
      <c r="O847" s="33"/>
      <c r="P847" s="33"/>
      <c r="Q847" s="9"/>
      <c r="R847" s="67"/>
      <c r="S847" s="9"/>
    </row>
    <row r="848" spans="1:19" ht="15" customHeight="1" x14ac:dyDescent="0.25">
      <c r="A848" s="4"/>
      <c r="B848" s="28" t="str">
        <f>IF(ISNUMBER(MATCH(C848, Mgt_Unit!$C$5:$C$1018, 0)), INDEX(Mgt_Unit!$B$5:$B$1018, MATCH(C848, Mgt_Unit!$C$5:$C$1018, 0)), "")</f>
        <v>jennifer.moore</v>
      </c>
      <c r="C848" t="s">
        <v>890</v>
      </c>
      <c r="D848" s="65"/>
      <c r="E848">
        <v>5</v>
      </c>
      <c r="F848" t="s">
        <v>1538</v>
      </c>
      <c r="G848" t="s">
        <v>1544</v>
      </c>
      <c r="H848" t="s">
        <v>50</v>
      </c>
      <c r="I848" t="s">
        <v>87</v>
      </c>
      <c r="J848" s="89">
        <v>42899</v>
      </c>
      <c r="K848" s="89">
        <v>42977</v>
      </c>
      <c r="L848" s="89"/>
      <c r="M848" s="31">
        <v>0</v>
      </c>
      <c r="N848" s="9"/>
      <c r="O848" s="33"/>
      <c r="P848" s="33"/>
      <c r="Q848" s="9"/>
      <c r="R848" s="67"/>
      <c r="S848" s="9"/>
    </row>
    <row r="849" spans="1:19" ht="15" customHeight="1" x14ac:dyDescent="0.25">
      <c r="A849" s="4"/>
      <c r="B849" s="28" t="str">
        <f>IF(ISNUMBER(MATCH(C849, Mgt_Unit!$C$5:$C$1018, 0)), INDEX(Mgt_Unit!$B$5:$B$1018, MATCH(C849, Mgt_Unit!$C$5:$C$1018, 0)), "")</f>
        <v>jennifer.moore</v>
      </c>
      <c r="C849" t="s">
        <v>890</v>
      </c>
      <c r="D849" s="65"/>
      <c r="E849">
        <v>6</v>
      </c>
      <c r="F849" t="s">
        <v>1537</v>
      </c>
      <c r="G849" t="s">
        <v>1535</v>
      </c>
      <c r="H849" t="s">
        <v>442</v>
      </c>
      <c r="I849" t="s">
        <v>245</v>
      </c>
      <c r="J849" s="89">
        <v>43000</v>
      </c>
      <c r="K849" s="89"/>
      <c r="L849" s="89">
        <v>43266</v>
      </c>
      <c r="M849" s="31">
        <v>0</v>
      </c>
      <c r="N849" s="9"/>
      <c r="O849" s="33"/>
      <c r="P849" s="33"/>
      <c r="Q849" s="9"/>
      <c r="R849" s="67"/>
      <c r="S849" s="9"/>
    </row>
    <row r="850" spans="1:19" ht="15" customHeight="1" x14ac:dyDescent="0.25">
      <c r="A850" s="4"/>
      <c r="B850" s="28" t="str">
        <f>IF(ISNUMBER(MATCH(C850, Mgt_Unit!$C$5:$C$1018, 0)), INDEX(Mgt_Unit!$B$5:$B$1018, MATCH(C850, Mgt_Unit!$C$5:$C$1018, 0)), "")</f>
        <v>jennifer.moore</v>
      </c>
      <c r="C850" t="s">
        <v>890</v>
      </c>
      <c r="D850" s="65"/>
      <c r="E850">
        <v>6</v>
      </c>
      <c r="F850" t="s">
        <v>1537</v>
      </c>
      <c r="G850" t="s">
        <v>1535</v>
      </c>
      <c r="H850" t="s">
        <v>441</v>
      </c>
      <c r="I850" t="s">
        <v>124</v>
      </c>
      <c r="J850" s="89">
        <v>43000</v>
      </c>
      <c r="K850" s="89"/>
      <c r="L850" s="89">
        <v>43266</v>
      </c>
      <c r="M850" s="31">
        <v>0</v>
      </c>
      <c r="N850" s="9"/>
      <c r="O850" s="33"/>
      <c r="P850" s="33"/>
      <c r="Q850" s="9"/>
      <c r="R850" s="67"/>
      <c r="S850" s="9"/>
    </row>
    <row r="851" spans="1:19" ht="15" customHeight="1" x14ac:dyDescent="0.25">
      <c r="A851" s="4"/>
      <c r="B851" s="28" t="str">
        <f>IF(ISNUMBER(MATCH(C851, Mgt_Unit!$C$5:$C$1018, 0)), INDEX(Mgt_Unit!$B$5:$B$1018, MATCH(C851, Mgt_Unit!$C$5:$C$1018, 0)), "")</f>
        <v>jennifer.moore</v>
      </c>
      <c r="C851" t="s">
        <v>890</v>
      </c>
      <c r="D851" s="65"/>
      <c r="E851">
        <v>7</v>
      </c>
      <c r="F851" t="s">
        <v>1538</v>
      </c>
      <c r="G851" t="s">
        <v>1544</v>
      </c>
      <c r="H851" t="s">
        <v>440</v>
      </c>
      <c r="I851" t="s">
        <v>1287</v>
      </c>
      <c r="J851" s="89">
        <v>43267</v>
      </c>
      <c r="K851" s="89">
        <v>43355</v>
      </c>
      <c r="L851" s="89"/>
      <c r="M851" s="31">
        <v>0</v>
      </c>
      <c r="N851" s="9"/>
      <c r="O851" s="33"/>
      <c r="P851" s="33"/>
      <c r="Q851" s="9"/>
      <c r="R851" s="67"/>
      <c r="S851" s="9"/>
    </row>
    <row r="852" spans="1:19" ht="15" customHeight="1" x14ac:dyDescent="0.25">
      <c r="A852" s="4"/>
      <c r="B852" s="28" t="str">
        <f>IF(ISNUMBER(MATCH(C852, Mgt_Unit!$C$5:$C$1018, 0)), INDEX(Mgt_Unit!$B$5:$B$1018, MATCH(C852, Mgt_Unit!$C$5:$C$1018, 0)), "")</f>
        <v>jennifer.moore</v>
      </c>
      <c r="C852" t="s">
        <v>890</v>
      </c>
      <c r="D852" s="65"/>
      <c r="E852">
        <v>8</v>
      </c>
      <c r="F852" t="s">
        <v>1537</v>
      </c>
      <c r="G852" t="s">
        <v>1535</v>
      </c>
      <c r="H852" t="s">
        <v>441</v>
      </c>
      <c r="I852" t="s">
        <v>124</v>
      </c>
      <c r="J852" s="89">
        <v>43374</v>
      </c>
      <c r="K852" s="89"/>
      <c r="L852" s="89"/>
      <c r="M852" s="31">
        <v>0</v>
      </c>
      <c r="N852" s="9"/>
      <c r="O852" s="33"/>
      <c r="P852" s="33"/>
      <c r="Q852" s="9"/>
      <c r="R852" s="67"/>
      <c r="S852" s="9"/>
    </row>
    <row r="853" spans="1:19" ht="15" customHeight="1" x14ac:dyDescent="0.25">
      <c r="A853" s="4"/>
      <c r="B853" s="28" t="str">
        <f>IF(ISNUMBER(MATCH(C853, Mgt_Unit!$C$5:$C$1018, 0)), INDEX(Mgt_Unit!$B$5:$B$1018, MATCH(C853, Mgt_Unit!$C$5:$C$1018, 0)), "")</f>
        <v>jennifer.moore</v>
      </c>
      <c r="C853" s="87" t="s">
        <v>890</v>
      </c>
      <c r="D853" s="65"/>
      <c r="E853" s="87">
        <v>8</v>
      </c>
      <c r="F853" s="87" t="s">
        <v>1537</v>
      </c>
      <c r="G853" s="87" t="s">
        <v>1535</v>
      </c>
      <c r="H853" s="87" t="s">
        <v>442</v>
      </c>
      <c r="I853" s="87" t="s">
        <v>245</v>
      </c>
      <c r="J853" s="90">
        <v>43374</v>
      </c>
      <c r="K853" s="90"/>
      <c r="L853" s="90"/>
      <c r="M853" s="93">
        <v>0</v>
      </c>
      <c r="N853" s="9"/>
      <c r="O853" s="33"/>
      <c r="P853" s="33"/>
      <c r="Q853" s="9"/>
      <c r="R853" s="67"/>
      <c r="S853" s="9"/>
    </row>
    <row r="854" spans="1:19" ht="15" customHeight="1" x14ac:dyDescent="0.25">
      <c r="A854" s="4"/>
      <c r="B854" s="28" t="str">
        <f>IF(ISNUMBER(MATCH(C854, Mgt_Unit!$C$5:$C$1018, 0)), INDEX(Mgt_Unit!$B$5:$B$1018, MATCH(C854, Mgt_Unit!$C$5:$C$1018, 0)), "")</f>
        <v>jennifer.moore</v>
      </c>
      <c r="C854" t="s">
        <v>891</v>
      </c>
      <c r="D854" s="65"/>
      <c r="E854">
        <v>1</v>
      </c>
      <c r="F854" t="s">
        <v>1538</v>
      </c>
      <c r="G854" t="s">
        <v>1544</v>
      </c>
      <c r="H854" t="s">
        <v>48</v>
      </c>
      <c r="I854" t="s">
        <v>1280</v>
      </c>
      <c r="J854" s="89">
        <v>42191</v>
      </c>
      <c r="K854" s="89">
        <v>42251</v>
      </c>
      <c r="L854" s="89"/>
      <c r="M854" s="31">
        <v>0</v>
      </c>
      <c r="N854" s="9"/>
      <c r="O854" s="33"/>
      <c r="P854" s="33"/>
      <c r="Q854" s="9"/>
      <c r="R854" s="67"/>
      <c r="S854" s="9"/>
    </row>
    <row r="855" spans="1:19" ht="15" customHeight="1" x14ac:dyDescent="0.25">
      <c r="A855" s="4"/>
      <c r="B855" s="28" t="str">
        <f>IF(ISNUMBER(MATCH(C855, Mgt_Unit!$C$5:$C$1018, 0)), INDEX(Mgt_Unit!$B$5:$B$1018, MATCH(C855, Mgt_Unit!$C$5:$C$1018, 0)), "")</f>
        <v>jennifer.moore</v>
      </c>
      <c r="C855" t="s">
        <v>891</v>
      </c>
      <c r="D855" s="65"/>
      <c r="E855">
        <v>2</v>
      </c>
      <c r="F855" t="s">
        <v>1537</v>
      </c>
      <c r="G855" t="s">
        <v>1535</v>
      </c>
      <c r="H855" t="s">
        <v>441</v>
      </c>
      <c r="I855" t="s">
        <v>124</v>
      </c>
      <c r="J855" s="89">
        <v>42262</v>
      </c>
      <c r="K855" s="89"/>
      <c r="L855" s="89">
        <v>42492</v>
      </c>
      <c r="M855" s="31">
        <v>0</v>
      </c>
      <c r="N855" s="9"/>
      <c r="O855" s="33"/>
      <c r="P855" s="33"/>
      <c r="Q855" s="9"/>
      <c r="R855" s="67"/>
      <c r="S855" s="9"/>
    </row>
    <row r="856" spans="1:19" ht="15" customHeight="1" x14ac:dyDescent="0.25">
      <c r="A856" s="4"/>
      <c r="B856" s="28" t="str">
        <f>IF(ISNUMBER(MATCH(C856, Mgt_Unit!$C$5:$C$1018, 0)), INDEX(Mgt_Unit!$B$5:$B$1018, MATCH(C856, Mgt_Unit!$C$5:$C$1018, 0)), "")</f>
        <v>jennifer.moore</v>
      </c>
      <c r="C856" t="s">
        <v>891</v>
      </c>
      <c r="D856" s="65"/>
      <c r="E856">
        <v>2</v>
      </c>
      <c r="F856" t="s">
        <v>1537</v>
      </c>
      <c r="G856" t="s">
        <v>1535</v>
      </c>
      <c r="H856" t="s">
        <v>442</v>
      </c>
      <c r="I856" t="s">
        <v>245</v>
      </c>
      <c r="J856" s="89">
        <v>42262</v>
      </c>
      <c r="K856" s="89"/>
      <c r="L856" s="89">
        <v>42492</v>
      </c>
      <c r="M856" s="31">
        <v>0</v>
      </c>
      <c r="N856" s="9"/>
      <c r="O856" s="33"/>
      <c r="P856" s="33"/>
      <c r="Q856" s="9"/>
      <c r="R856" s="67"/>
      <c r="S856" s="9"/>
    </row>
    <row r="857" spans="1:19" ht="15" customHeight="1" x14ac:dyDescent="0.25">
      <c r="A857" s="4"/>
      <c r="B857" s="28" t="str">
        <f>IF(ISNUMBER(MATCH(C857, Mgt_Unit!$C$5:$C$1018, 0)), INDEX(Mgt_Unit!$B$5:$B$1018, MATCH(C857, Mgt_Unit!$C$5:$C$1018, 0)), "")</f>
        <v>jennifer.moore</v>
      </c>
      <c r="C857" t="s">
        <v>891</v>
      </c>
      <c r="D857" s="65"/>
      <c r="E857">
        <v>3</v>
      </c>
      <c r="F857" t="s">
        <v>1538</v>
      </c>
      <c r="G857" t="s">
        <v>1544</v>
      </c>
      <c r="H857" t="s">
        <v>442</v>
      </c>
      <c r="I857" t="s">
        <v>126</v>
      </c>
      <c r="J857" s="89">
        <v>42531</v>
      </c>
      <c r="K857" s="89">
        <v>42583</v>
      </c>
      <c r="L857" s="89"/>
      <c r="M857" s="31">
        <v>0</v>
      </c>
      <c r="N857" s="9"/>
      <c r="O857" s="33"/>
      <c r="P857" s="33"/>
      <c r="Q857" s="9"/>
      <c r="R857" s="67"/>
      <c r="S857" s="9"/>
    </row>
    <row r="858" spans="1:19" ht="15" customHeight="1" x14ac:dyDescent="0.25">
      <c r="A858" s="4"/>
      <c r="B858" s="28" t="str">
        <f>IF(ISNUMBER(MATCH(C858, Mgt_Unit!$C$5:$C$1018, 0)), INDEX(Mgt_Unit!$B$5:$B$1018, MATCH(C858, Mgt_Unit!$C$5:$C$1018, 0)), "")</f>
        <v>jennifer.moore</v>
      </c>
      <c r="C858" t="s">
        <v>891</v>
      </c>
      <c r="D858" s="65"/>
      <c r="E858">
        <v>4</v>
      </c>
      <c r="F858" t="s">
        <v>1537</v>
      </c>
      <c r="G858" t="s">
        <v>1535</v>
      </c>
      <c r="H858" t="s">
        <v>442</v>
      </c>
      <c r="I858" t="s">
        <v>245</v>
      </c>
      <c r="J858" s="89">
        <v>42615</v>
      </c>
      <c r="K858" s="89"/>
      <c r="L858" s="89">
        <v>42895</v>
      </c>
      <c r="M858" s="31">
        <v>0</v>
      </c>
      <c r="N858" s="9"/>
      <c r="O858" s="33"/>
      <c r="P858" s="33"/>
      <c r="Q858" s="9"/>
      <c r="R858" s="67"/>
      <c r="S858" s="9"/>
    </row>
    <row r="859" spans="1:19" ht="15" customHeight="1" x14ac:dyDescent="0.25">
      <c r="A859" s="4"/>
      <c r="B859" s="28" t="str">
        <f>IF(ISNUMBER(MATCH(C859, Mgt_Unit!$C$5:$C$1018, 0)), INDEX(Mgt_Unit!$B$5:$B$1018, MATCH(C859, Mgt_Unit!$C$5:$C$1018, 0)), "")</f>
        <v>jennifer.moore</v>
      </c>
      <c r="C859" t="s">
        <v>891</v>
      </c>
      <c r="D859" s="65"/>
      <c r="E859">
        <v>4</v>
      </c>
      <c r="F859" t="s">
        <v>1537</v>
      </c>
      <c r="G859" t="s">
        <v>1535</v>
      </c>
      <c r="H859" t="s">
        <v>441</v>
      </c>
      <c r="I859" t="s">
        <v>124</v>
      </c>
      <c r="J859" s="89">
        <v>42615</v>
      </c>
      <c r="K859" s="89"/>
      <c r="L859" s="89">
        <v>42895</v>
      </c>
      <c r="M859" s="31">
        <v>0</v>
      </c>
      <c r="N859" s="9"/>
      <c r="O859" s="33"/>
      <c r="P859" s="33"/>
      <c r="Q859" s="9"/>
      <c r="R859" s="67"/>
      <c r="S859" s="9"/>
    </row>
    <row r="860" spans="1:19" ht="15" customHeight="1" x14ac:dyDescent="0.25">
      <c r="A860" s="4"/>
      <c r="B860" s="28" t="str">
        <f>IF(ISNUMBER(MATCH(C860, Mgt_Unit!$C$5:$C$1018, 0)), INDEX(Mgt_Unit!$B$5:$B$1018, MATCH(C860, Mgt_Unit!$C$5:$C$1018, 0)), "")</f>
        <v>jennifer.moore</v>
      </c>
      <c r="C860" t="s">
        <v>891</v>
      </c>
      <c r="D860" s="65"/>
      <c r="E860">
        <v>5</v>
      </c>
      <c r="F860" t="s">
        <v>1538</v>
      </c>
      <c r="G860" t="s">
        <v>1544</v>
      </c>
      <c r="H860" t="s">
        <v>50</v>
      </c>
      <c r="I860" t="s">
        <v>87</v>
      </c>
      <c r="J860" s="89">
        <v>42899</v>
      </c>
      <c r="K860" s="89">
        <v>42977</v>
      </c>
      <c r="L860" s="89"/>
      <c r="M860" s="31">
        <v>0</v>
      </c>
      <c r="N860" s="9"/>
      <c r="O860" s="33"/>
      <c r="P860" s="33"/>
      <c r="Q860" s="9"/>
      <c r="R860" s="67"/>
      <c r="S860" s="9"/>
    </row>
    <row r="861" spans="1:19" ht="15" customHeight="1" x14ac:dyDescent="0.25">
      <c r="A861" s="4"/>
      <c r="B861" s="28" t="str">
        <f>IF(ISNUMBER(MATCH(C861, Mgt_Unit!$C$5:$C$1018, 0)), INDEX(Mgt_Unit!$B$5:$B$1018, MATCH(C861, Mgt_Unit!$C$5:$C$1018, 0)), "")</f>
        <v>jennifer.moore</v>
      </c>
      <c r="C861" t="s">
        <v>891</v>
      </c>
      <c r="D861" s="65"/>
      <c r="E861">
        <v>6</v>
      </c>
      <c r="F861" t="s">
        <v>1537</v>
      </c>
      <c r="G861" t="s">
        <v>1535</v>
      </c>
      <c r="H861" t="s">
        <v>442</v>
      </c>
      <c r="I861" t="s">
        <v>245</v>
      </c>
      <c r="J861" s="89">
        <v>43000</v>
      </c>
      <c r="K861" s="89"/>
      <c r="L861" s="89">
        <v>43266</v>
      </c>
      <c r="M861" s="31">
        <v>0</v>
      </c>
      <c r="N861" s="9"/>
      <c r="O861" s="33"/>
      <c r="P861" s="33"/>
      <c r="Q861" s="9"/>
      <c r="R861" s="67"/>
      <c r="S861" s="9"/>
    </row>
    <row r="862" spans="1:19" ht="15" customHeight="1" x14ac:dyDescent="0.25">
      <c r="A862" s="4"/>
      <c r="B862" s="28" t="str">
        <f>IF(ISNUMBER(MATCH(C862, Mgt_Unit!$C$5:$C$1018, 0)), INDEX(Mgt_Unit!$B$5:$B$1018, MATCH(C862, Mgt_Unit!$C$5:$C$1018, 0)), "")</f>
        <v>jennifer.moore</v>
      </c>
      <c r="C862" t="s">
        <v>891</v>
      </c>
      <c r="D862" s="65"/>
      <c r="E862">
        <v>6</v>
      </c>
      <c r="F862" t="s">
        <v>1537</v>
      </c>
      <c r="G862" t="s">
        <v>1535</v>
      </c>
      <c r="H862" t="s">
        <v>441</v>
      </c>
      <c r="I862" t="s">
        <v>124</v>
      </c>
      <c r="J862" s="89">
        <v>43000</v>
      </c>
      <c r="K862" s="89"/>
      <c r="L862" s="89">
        <v>43266</v>
      </c>
      <c r="M862" s="31">
        <v>0</v>
      </c>
      <c r="N862" s="9"/>
      <c r="O862" s="33"/>
      <c r="P862" s="33"/>
      <c r="Q862" s="9"/>
      <c r="R862" s="67"/>
      <c r="S862" s="9"/>
    </row>
    <row r="863" spans="1:19" ht="15" customHeight="1" x14ac:dyDescent="0.25">
      <c r="A863" s="4"/>
      <c r="B863" s="28" t="str">
        <f>IF(ISNUMBER(MATCH(C863, Mgt_Unit!$C$5:$C$1018, 0)), INDEX(Mgt_Unit!$B$5:$B$1018, MATCH(C863, Mgt_Unit!$C$5:$C$1018, 0)), "")</f>
        <v>jennifer.moore</v>
      </c>
      <c r="C863" t="s">
        <v>891</v>
      </c>
      <c r="D863" s="65"/>
      <c r="E863">
        <v>7</v>
      </c>
      <c r="F863" t="s">
        <v>1538</v>
      </c>
      <c r="G863" t="s">
        <v>1544</v>
      </c>
      <c r="H863" t="s">
        <v>440</v>
      </c>
      <c r="I863" t="s">
        <v>1287</v>
      </c>
      <c r="J863" s="89">
        <v>43267</v>
      </c>
      <c r="K863" s="89">
        <v>43355</v>
      </c>
      <c r="L863" s="89"/>
      <c r="M863" s="31">
        <v>0</v>
      </c>
      <c r="N863" s="9"/>
      <c r="O863" s="33"/>
      <c r="P863" s="33"/>
      <c r="Q863" s="9"/>
      <c r="R863" s="67"/>
      <c r="S863" s="9"/>
    </row>
    <row r="864" spans="1:19" ht="15" customHeight="1" x14ac:dyDescent="0.25">
      <c r="A864" s="4"/>
      <c r="B864" s="28" t="str">
        <f>IF(ISNUMBER(MATCH(C864, Mgt_Unit!$C$5:$C$1018, 0)), INDEX(Mgt_Unit!$B$5:$B$1018, MATCH(C864, Mgt_Unit!$C$5:$C$1018, 0)), "")</f>
        <v>jennifer.moore</v>
      </c>
      <c r="C864" t="s">
        <v>891</v>
      </c>
      <c r="D864" s="65"/>
      <c r="E864">
        <v>8</v>
      </c>
      <c r="F864" t="s">
        <v>1537</v>
      </c>
      <c r="G864" t="s">
        <v>1535</v>
      </c>
      <c r="H864" t="s">
        <v>441</v>
      </c>
      <c r="I864" t="s">
        <v>124</v>
      </c>
      <c r="J864" s="89">
        <v>43374</v>
      </c>
      <c r="K864" s="89"/>
      <c r="L864" s="89"/>
      <c r="M864" s="31">
        <v>0</v>
      </c>
      <c r="N864" s="9"/>
      <c r="O864" s="33"/>
      <c r="P864" s="33"/>
      <c r="Q864" s="9"/>
      <c r="R864" s="67"/>
      <c r="S864" s="9"/>
    </row>
    <row r="865" spans="1:19" ht="15" customHeight="1" x14ac:dyDescent="0.25">
      <c r="A865" s="4"/>
      <c r="B865" s="28" t="str">
        <f>IF(ISNUMBER(MATCH(C865, Mgt_Unit!$C$5:$C$1018, 0)), INDEX(Mgt_Unit!$B$5:$B$1018, MATCH(C865, Mgt_Unit!$C$5:$C$1018, 0)), "")</f>
        <v>jennifer.moore</v>
      </c>
      <c r="C865" s="87" t="s">
        <v>891</v>
      </c>
      <c r="D865" s="65"/>
      <c r="E865" s="87">
        <v>8</v>
      </c>
      <c r="F865" s="87" t="s">
        <v>1537</v>
      </c>
      <c r="G865" s="87" t="s">
        <v>1535</v>
      </c>
      <c r="H865" s="87" t="s">
        <v>442</v>
      </c>
      <c r="I865" s="87" t="s">
        <v>245</v>
      </c>
      <c r="J865" s="90">
        <v>43374</v>
      </c>
      <c r="K865" s="90"/>
      <c r="L865" s="90"/>
      <c r="M865" s="93">
        <v>0</v>
      </c>
      <c r="N865" s="9"/>
      <c r="O865" s="33"/>
      <c r="P865" s="33"/>
      <c r="Q865" s="9"/>
      <c r="R865" s="67"/>
      <c r="S865" s="9"/>
    </row>
    <row r="866" spans="1:19" ht="15" customHeight="1" x14ac:dyDescent="0.25">
      <c r="A866" s="4"/>
      <c r="B866" s="28" t="str">
        <f>IF(ISNUMBER(MATCH(C866, Mgt_Unit!$C$5:$C$1018, 0)), INDEX(Mgt_Unit!$B$5:$B$1018, MATCH(C866, Mgt_Unit!$C$5:$C$1018, 0)), "")</f>
        <v>jennifer.moore</v>
      </c>
      <c r="C866" t="s">
        <v>892</v>
      </c>
      <c r="D866" s="65"/>
      <c r="E866">
        <v>1</v>
      </c>
      <c r="F866" t="s">
        <v>1538</v>
      </c>
      <c r="G866" t="s">
        <v>1544</v>
      </c>
      <c r="H866" t="s">
        <v>48</v>
      </c>
      <c r="I866" t="s">
        <v>1280</v>
      </c>
      <c r="J866" s="89">
        <v>42191</v>
      </c>
      <c r="K866" s="89">
        <v>42251</v>
      </c>
      <c r="L866" s="89"/>
      <c r="M866" s="31">
        <v>0</v>
      </c>
      <c r="N866" s="9"/>
      <c r="O866" s="33"/>
      <c r="P866" s="33"/>
      <c r="Q866" s="9"/>
      <c r="R866" s="67"/>
      <c r="S866" s="9"/>
    </row>
    <row r="867" spans="1:19" ht="15" customHeight="1" x14ac:dyDescent="0.25">
      <c r="A867" s="4"/>
      <c r="B867" s="28" t="str">
        <f>IF(ISNUMBER(MATCH(C867, Mgt_Unit!$C$5:$C$1018, 0)), INDEX(Mgt_Unit!$B$5:$B$1018, MATCH(C867, Mgt_Unit!$C$5:$C$1018, 0)), "")</f>
        <v>jennifer.moore</v>
      </c>
      <c r="C867" t="s">
        <v>892</v>
      </c>
      <c r="D867" s="65"/>
      <c r="E867">
        <v>2</v>
      </c>
      <c r="F867" t="s">
        <v>1537</v>
      </c>
      <c r="G867" t="s">
        <v>1535</v>
      </c>
      <c r="H867" t="s">
        <v>441</v>
      </c>
      <c r="I867" t="s">
        <v>124</v>
      </c>
      <c r="J867" s="89">
        <v>42262</v>
      </c>
      <c r="K867" s="89"/>
      <c r="L867" s="89">
        <v>42492</v>
      </c>
      <c r="M867" s="31">
        <v>0</v>
      </c>
      <c r="N867" s="9"/>
      <c r="O867" s="33"/>
      <c r="P867" s="33"/>
      <c r="Q867" s="9"/>
      <c r="R867" s="67"/>
      <c r="S867" s="9"/>
    </row>
    <row r="868" spans="1:19" ht="15" customHeight="1" x14ac:dyDescent="0.25">
      <c r="A868" s="4"/>
      <c r="B868" s="28" t="str">
        <f>IF(ISNUMBER(MATCH(C868, Mgt_Unit!$C$5:$C$1018, 0)), INDEX(Mgt_Unit!$B$5:$B$1018, MATCH(C868, Mgt_Unit!$C$5:$C$1018, 0)), "")</f>
        <v>jennifer.moore</v>
      </c>
      <c r="C868" t="s">
        <v>892</v>
      </c>
      <c r="D868" s="65"/>
      <c r="E868">
        <v>2</v>
      </c>
      <c r="F868" t="s">
        <v>1537</v>
      </c>
      <c r="G868" t="s">
        <v>1535</v>
      </c>
      <c r="H868" t="s">
        <v>442</v>
      </c>
      <c r="I868" t="s">
        <v>245</v>
      </c>
      <c r="J868" s="89">
        <v>42262</v>
      </c>
      <c r="K868" s="89"/>
      <c r="L868" s="89">
        <v>42492</v>
      </c>
      <c r="M868" s="31">
        <v>0</v>
      </c>
      <c r="N868" s="9"/>
      <c r="O868" s="33"/>
      <c r="P868" s="33"/>
      <c r="Q868" s="9"/>
      <c r="R868" s="67"/>
      <c r="S868" s="9"/>
    </row>
    <row r="869" spans="1:19" ht="15" customHeight="1" x14ac:dyDescent="0.25">
      <c r="A869" s="4"/>
      <c r="B869" s="28" t="str">
        <f>IF(ISNUMBER(MATCH(C869, Mgt_Unit!$C$5:$C$1018, 0)), INDEX(Mgt_Unit!$B$5:$B$1018, MATCH(C869, Mgt_Unit!$C$5:$C$1018, 0)), "")</f>
        <v>jennifer.moore</v>
      </c>
      <c r="C869" t="s">
        <v>892</v>
      </c>
      <c r="D869" s="65"/>
      <c r="E869">
        <v>3</v>
      </c>
      <c r="F869" t="s">
        <v>1538</v>
      </c>
      <c r="G869" t="s">
        <v>1544</v>
      </c>
      <c r="H869" t="s">
        <v>442</v>
      </c>
      <c r="I869" t="s">
        <v>126</v>
      </c>
      <c r="J869" s="89">
        <v>42531</v>
      </c>
      <c r="K869" s="89">
        <v>42583</v>
      </c>
      <c r="L869" s="89"/>
      <c r="M869" s="31">
        <v>0</v>
      </c>
      <c r="N869" s="9"/>
      <c r="O869" s="33"/>
      <c r="P869" s="33"/>
      <c r="Q869" s="9"/>
      <c r="R869" s="67"/>
      <c r="S869" s="9"/>
    </row>
    <row r="870" spans="1:19" ht="15" customHeight="1" x14ac:dyDescent="0.25">
      <c r="A870" s="4"/>
      <c r="B870" s="28" t="str">
        <f>IF(ISNUMBER(MATCH(C870, Mgt_Unit!$C$5:$C$1018, 0)), INDEX(Mgt_Unit!$B$5:$B$1018, MATCH(C870, Mgt_Unit!$C$5:$C$1018, 0)), "")</f>
        <v>jennifer.moore</v>
      </c>
      <c r="C870" t="s">
        <v>892</v>
      </c>
      <c r="D870" s="65"/>
      <c r="E870">
        <v>4</v>
      </c>
      <c r="F870" t="s">
        <v>1537</v>
      </c>
      <c r="G870" t="s">
        <v>1535</v>
      </c>
      <c r="H870" t="s">
        <v>442</v>
      </c>
      <c r="I870" t="s">
        <v>245</v>
      </c>
      <c r="J870" s="89">
        <v>42615</v>
      </c>
      <c r="K870" s="89"/>
      <c r="L870" s="89">
        <v>42895</v>
      </c>
      <c r="M870" s="31">
        <v>0</v>
      </c>
      <c r="N870" s="9"/>
      <c r="O870" s="33"/>
      <c r="P870" s="33"/>
      <c r="Q870" s="9"/>
      <c r="R870" s="67"/>
      <c r="S870" s="9"/>
    </row>
    <row r="871" spans="1:19" ht="15" customHeight="1" x14ac:dyDescent="0.25">
      <c r="A871" s="4"/>
      <c r="B871" s="28" t="str">
        <f>IF(ISNUMBER(MATCH(C871, Mgt_Unit!$C$5:$C$1018, 0)), INDEX(Mgt_Unit!$B$5:$B$1018, MATCH(C871, Mgt_Unit!$C$5:$C$1018, 0)), "")</f>
        <v>jennifer.moore</v>
      </c>
      <c r="C871" t="s">
        <v>892</v>
      </c>
      <c r="D871" s="65"/>
      <c r="E871">
        <v>4</v>
      </c>
      <c r="F871" t="s">
        <v>1537</v>
      </c>
      <c r="G871" t="s">
        <v>1535</v>
      </c>
      <c r="H871" t="s">
        <v>441</v>
      </c>
      <c r="I871" t="s">
        <v>124</v>
      </c>
      <c r="J871" s="89">
        <v>42615</v>
      </c>
      <c r="K871" s="89"/>
      <c r="L871" s="89">
        <v>42895</v>
      </c>
      <c r="M871" s="31">
        <v>0</v>
      </c>
      <c r="N871" s="9"/>
      <c r="O871" s="33"/>
      <c r="P871" s="33"/>
      <c r="Q871" s="9"/>
      <c r="R871" s="67"/>
      <c r="S871" s="9"/>
    </row>
    <row r="872" spans="1:19" ht="15" customHeight="1" x14ac:dyDescent="0.25">
      <c r="A872" s="4"/>
      <c r="B872" s="28" t="str">
        <f>IF(ISNUMBER(MATCH(C872, Mgt_Unit!$C$5:$C$1018, 0)), INDEX(Mgt_Unit!$B$5:$B$1018, MATCH(C872, Mgt_Unit!$C$5:$C$1018, 0)), "")</f>
        <v>jennifer.moore</v>
      </c>
      <c r="C872" t="s">
        <v>892</v>
      </c>
      <c r="D872" s="65"/>
      <c r="E872">
        <v>5</v>
      </c>
      <c r="F872" t="s">
        <v>1538</v>
      </c>
      <c r="G872" t="s">
        <v>1544</v>
      </c>
      <c r="H872" t="s">
        <v>50</v>
      </c>
      <c r="I872" t="s">
        <v>87</v>
      </c>
      <c r="J872" s="89">
        <v>42899</v>
      </c>
      <c r="K872" s="89">
        <v>42977</v>
      </c>
      <c r="L872" s="89"/>
      <c r="M872" s="31">
        <v>0</v>
      </c>
      <c r="N872" s="9"/>
      <c r="O872" s="33"/>
      <c r="P872" s="33"/>
      <c r="Q872" s="9"/>
      <c r="R872" s="67"/>
      <c r="S872" s="9"/>
    </row>
    <row r="873" spans="1:19" ht="15" customHeight="1" x14ac:dyDescent="0.25">
      <c r="A873" s="4"/>
      <c r="B873" s="28" t="str">
        <f>IF(ISNUMBER(MATCH(C873, Mgt_Unit!$C$5:$C$1018, 0)), INDEX(Mgt_Unit!$B$5:$B$1018, MATCH(C873, Mgt_Unit!$C$5:$C$1018, 0)), "")</f>
        <v>jennifer.moore</v>
      </c>
      <c r="C873" t="s">
        <v>892</v>
      </c>
      <c r="D873" s="65"/>
      <c r="E873">
        <v>6</v>
      </c>
      <c r="F873" t="s">
        <v>1537</v>
      </c>
      <c r="G873" t="s">
        <v>1535</v>
      </c>
      <c r="H873" t="s">
        <v>442</v>
      </c>
      <c r="I873" t="s">
        <v>245</v>
      </c>
      <c r="J873" s="89">
        <v>43000</v>
      </c>
      <c r="K873" s="89"/>
      <c r="L873" s="89">
        <v>43266</v>
      </c>
      <c r="M873" s="31">
        <v>0</v>
      </c>
      <c r="N873" s="9"/>
      <c r="O873" s="33"/>
      <c r="P873" s="33"/>
      <c r="Q873" s="9"/>
      <c r="R873" s="67"/>
      <c r="S873" s="9"/>
    </row>
    <row r="874" spans="1:19" ht="15" customHeight="1" x14ac:dyDescent="0.25">
      <c r="A874" s="4"/>
      <c r="B874" s="28" t="str">
        <f>IF(ISNUMBER(MATCH(C874, Mgt_Unit!$C$5:$C$1018, 0)), INDEX(Mgt_Unit!$B$5:$B$1018, MATCH(C874, Mgt_Unit!$C$5:$C$1018, 0)), "")</f>
        <v>jennifer.moore</v>
      </c>
      <c r="C874" t="s">
        <v>892</v>
      </c>
      <c r="D874" s="65"/>
      <c r="E874">
        <v>6</v>
      </c>
      <c r="F874" t="s">
        <v>1537</v>
      </c>
      <c r="G874" t="s">
        <v>1535</v>
      </c>
      <c r="H874" t="s">
        <v>441</v>
      </c>
      <c r="I874" t="s">
        <v>124</v>
      </c>
      <c r="J874" s="89">
        <v>43000</v>
      </c>
      <c r="K874" s="89"/>
      <c r="L874" s="89">
        <v>43266</v>
      </c>
      <c r="M874" s="31">
        <v>0</v>
      </c>
      <c r="N874" s="9"/>
      <c r="O874" s="33"/>
      <c r="P874" s="33"/>
      <c r="Q874" s="9"/>
      <c r="R874" s="67"/>
      <c r="S874" s="9"/>
    </row>
    <row r="875" spans="1:19" ht="15" customHeight="1" x14ac:dyDescent="0.25">
      <c r="A875" s="4"/>
      <c r="B875" s="28" t="str">
        <f>IF(ISNUMBER(MATCH(C875, Mgt_Unit!$C$5:$C$1018, 0)), INDEX(Mgt_Unit!$B$5:$B$1018, MATCH(C875, Mgt_Unit!$C$5:$C$1018, 0)), "")</f>
        <v>jennifer.moore</v>
      </c>
      <c r="C875" t="s">
        <v>892</v>
      </c>
      <c r="D875" s="65"/>
      <c r="E875">
        <v>7</v>
      </c>
      <c r="F875" t="s">
        <v>1538</v>
      </c>
      <c r="G875" t="s">
        <v>1544</v>
      </c>
      <c r="H875" t="s">
        <v>440</v>
      </c>
      <c r="I875" t="s">
        <v>1287</v>
      </c>
      <c r="J875" s="89">
        <v>43267</v>
      </c>
      <c r="K875" s="89">
        <v>43355</v>
      </c>
      <c r="L875" s="89"/>
      <c r="M875" s="31">
        <v>0</v>
      </c>
      <c r="N875" s="9"/>
      <c r="O875" s="33"/>
      <c r="P875" s="33"/>
      <c r="Q875" s="9"/>
      <c r="R875" s="67"/>
      <c r="S875" s="9"/>
    </row>
    <row r="876" spans="1:19" ht="15" customHeight="1" x14ac:dyDescent="0.25">
      <c r="A876" s="4"/>
      <c r="B876" s="28" t="str">
        <f>IF(ISNUMBER(MATCH(C876, Mgt_Unit!$C$5:$C$1018, 0)), INDEX(Mgt_Unit!$B$5:$B$1018, MATCH(C876, Mgt_Unit!$C$5:$C$1018, 0)), "")</f>
        <v>jennifer.moore</v>
      </c>
      <c r="C876" t="s">
        <v>892</v>
      </c>
      <c r="D876" s="65"/>
      <c r="E876">
        <v>8</v>
      </c>
      <c r="F876" t="s">
        <v>1537</v>
      </c>
      <c r="G876" t="s">
        <v>1535</v>
      </c>
      <c r="H876" t="s">
        <v>441</v>
      </c>
      <c r="I876" t="s">
        <v>124</v>
      </c>
      <c r="J876" s="89">
        <v>43374</v>
      </c>
      <c r="K876" s="89"/>
      <c r="L876" s="89"/>
      <c r="M876" s="31">
        <v>0</v>
      </c>
      <c r="N876" s="9"/>
      <c r="O876" s="33"/>
      <c r="P876" s="33"/>
      <c r="Q876" s="9"/>
      <c r="R876" s="67"/>
      <c r="S876" s="9"/>
    </row>
    <row r="877" spans="1:19" ht="15" customHeight="1" x14ac:dyDescent="0.25">
      <c r="A877" s="4"/>
      <c r="B877" s="28" t="str">
        <f>IF(ISNUMBER(MATCH(C877, Mgt_Unit!$C$5:$C$1018, 0)), INDEX(Mgt_Unit!$B$5:$B$1018, MATCH(C877, Mgt_Unit!$C$5:$C$1018, 0)), "")</f>
        <v>jennifer.moore</v>
      </c>
      <c r="C877" s="87" t="s">
        <v>892</v>
      </c>
      <c r="D877" s="65"/>
      <c r="E877" s="87">
        <v>8</v>
      </c>
      <c r="F877" s="87" t="s">
        <v>1537</v>
      </c>
      <c r="G877" s="87" t="s">
        <v>1535</v>
      </c>
      <c r="H877" s="87" t="s">
        <v>442</v>
      </c>
      <c r="I877" s="87" t="s">
        <v>245</v>
      </c>
      <c r="J877" s="90">
        <v>43374</v>
      </c>
      <c r="K877" s="90"/>
      <c r="L877" s="90"/>
      <c r="M877" s="93">
        <v>0</v>
      </c>
      <c r="N877" s="9"/>
      <c r="O877" s="33"/>
      <c r="P877" s="33"/>
      <c r="Q877" s="9"/>
      <c r="R877" s="67"/>
      <c r="S877" s="9"/>
    </row>
    <row r="878" spans="1:19" ht="15" customHeight="1" x14ac:dyDescent="0.25">
      <c r="A878" s="4"/>
      <c r="B878" s="28" t="str">
        <f>IF(ISNUMBER(MATCH(C878, Mgt_Unit!$C$5:$C$1018, 0)), INDEX(Mgt_Unit!$B$5:$B$1018, MATCH(C878, Mgt_Unit!$C$5:$C$1018, 0)), "")</f>
        <v>jennifer.moore</v>
      </c>
      <c r="C878" t="s">
        <v>893</v>
      </c>
      <c r="D878" s="65"/>
      <c r="E878">
        <v>1</v>
      </c>
      <c r="F878" t="s">
        <v>1538</v>
      </c>
      <c r="G878" t="s">
        <v>1544</v>
      </c>
      <c r="H878" t="s">
        <v>48</v>
      </c>
      <c r="I878" t="s">
        <v>1280</v>
      </c>
      <c r="J878" s="89">
        <v>42191</v>
      </c>
      <c r="K878" s="89">
        <v>42251</v>
      </c>
      <c r="L878" s="89"/>
      <c r="M878" s="31">
        <v>0</v>
      </c>
      <c r="N878" s="9"/>
      <c r="O878" s="33"/>
      <c r="P878" s="33"/>
      <c r="Q878" s="9"/>
      <c r="R878" s="67"/>
      <c r="S878" s="9"/>
    </row>
    <row r="879" spans="1:19" ht="15" customHeight="1" x14ac:dyDescent="0.25">
      <c r="A879" s="4"/>
      <c r="B879" s="28" t="str">
        <f>IF(ISNUMBER(MATCH(C879, Mgt_Unit!$C$5:$C$1018, 0)), INDEX(Mgt_Unit!$B$5:$B$1018, MATCH(C879, Mgt_Unit!$C$5:$C$1018, 0)), "")</f>
        <v>jennifer.moore</v>
      </c>
      <c r="C879" t="s">
        <v>893</v>
      </c>
      <c r="D879" s="65"/>
      <c r="E879">
        <v>2</v>
      </c>
      <c r="F879" t="s">
        <v>1537</v>
      </c>
      <c r="G879" t="s">
        <v>1535</v>
      </c>
      <c r="H879" t="s">
        <v>441</v>
      </c>
      <c r="I879" t="s">
        <v>124</v>
      </c>
      <c r="J879" s="89">
        <v>42262</v>
      </c>
      <c r="K879" s="89"/>
      <c r="L879" s="89">
        <v>42492</v>
      </c>
      <c r="M879" s="31">
        <v>0</v>
      </c>
      <c r="N879" s="9"/>
      <c r="O879" s="33"/>
      <c r="P879" s="33"/>
      <c r="Q879" s="9"/>
      <c r="R879" s="67"/>
      <c r="S879" s="9"/>
    </row>
    <row r="880" spans="1:19" ht="15" customHeight="1" x14ac:dyDescent="0.25">
      <c r="A880" s="4"/>
      <c r="B880" s="28" t="str">
        <f>IF(ISNUMBER(MATCH(C880, Mgt_Unit!$C$5:$C$1018, 0)), INDEX(Mgt_Unit!$B$5:$B$1018, MATCH(C880, Mgt_Unit!$C$5:$C$1018, 0)), "")</f>
        <v>jennifer.moore</v>
      </c>
      <c r="C880" t="s">
        <v>893</v>
      </c>
      <c r="D880" s="65"/>
      <c r="E880">
        <v>2</v>
      </c>
      <c r="F880" t="s">
        <v>1537</v>
      </c>
      <c r="G880" t="s">
        <v>1535</v>
      </c>
      <c r="H880" t="s">
        <v>442</v>
      </c>
      <c r="I880" t="s">
        <v>245</v>
      </c>
      <c r="J880" s="89">
        <v>42262</v>
      </c>
      <c r="K880" s="89"/>
      <c r="L880" s="89">
        <v>42492</v>
      </c>
      <c r="M880" s="31">
        <v>0</v>
      </c>
      <c r="N880" s="9"/>
      <c r="O880" s="33"/>
      <c r="P880" s="33"/>
      <c r="Q880" s="9"/>
      <c r="R880" s="67"/>
      <c r="S880" s="9"/>
    </row>
    <row r="881" spans="1:19" ht="15" customHeight="1" x14ac:dyDescent="0.25">
      <c r="A881" s="4"/>
      <c r="B881" s="28" t="str">
        <f>IF(ISNUMBER(MATCH(C881, Mgt_Unit!$C$5:$C$1018, 0)), INDEX(Mgt_Unit!$B$5:$B$1018, MATCH(C881, Mgt_Unit!$C$5:$C$1018, 0)), "")</f>
        <v>jennifer.moore</v>
      </c>
      <c r="C881" t="s">
        <v>893</v>
      </c>
      <c r="D881" s="65"/>
      <c r="E881">
        <v>3</v>
      </c>
      <c r="F881" t="s">
        <v>1538</v>
      </c>
      <c r="G881" t="s">
        <v>1544</v>
      </c>
      <c r="H881" t="s">
        <v>442</v>
      </c>
      <c r="I881" t="s">
        <v>126</v>
      </c>
      <c r="J881" s="89">
        <v>42531</v>
      </c>
      <c r="K881" s="89">
        <v>42583</v>
      </c>
      <c r="L881" s="89"/>
      <c r="M881" s="31">
        <v>0</v>
      </c>
      <c r="N881" s="9"/>
      <c r="O881" s="33"/>
      <c r="P881" s="33"/>
      <c r="Q881" s="9"/>
      <c r="R881" s="67"/>
      <c r="S881" s="9"/>
    </row>
    <row r="882" spans="1:19" ht="15" customHeight="1" x14ac:dyDescent="0.25">
      <c r="A882" s="4"/>
      <c r="B882" s="28" t="str">
        <f>IF(ISNUMBER(MATCH(C882, Mgt_Unit!$C$5:$C$1018, 0)), INDEX(Mgt_Unit!$B$5:$B$1018, MATCH(C882, Mgt_Unit!$C$5:$C$1018, 0)), "")</f>
        <v>jennifer.moore</v>
      </c>
      <c r="C882" t="s">
        <v>893</v>
      </c>
      <c r="D882" s="65"/>
      <c r="E882">
        <v>4</v>
      </c>
      <c r="F882" t="s">
        <v>1537</v>
      </c>
      <c r="G882" t="s">
        <v>1535</v>
      </c>
      <c r="H882" t="s">
        <v>442</v>
      </c>
      <c r="I882" t="s">
        <v>245</v>
      </c>
      <c r="J882" s="89">
        <v>42615</v>
      </c>
      <c r="K882" s="89"/>
      <c r="L882" s="89">
        <v>42895</v>
      </c>
      <c r="M882" s="31">
        <v>0</v>
      </c>
      <c r="N882" s="9"/>
      <c r="O882" s="33"/>
      <c r="P882" s="33"/>
      <c r="Q882" s="9"/>
      <c r="R882" s="67"/>
      <c r="S882" s="9"/>
    </row>
    <row r="883" spans="1:19" ht="15" customHeight="1" x14ac:dyDescent="0.25">
      <c r="A883" s="4"/>
      <c r="B883" s="28" t="str">
        <f>IF(ISNUMBER(MATCH(C883, Mgt_Unit!$C$5:$C$1018, 0)), INDEX(Mgt_Unit!$B$5:$B$1018, MATCH(C883, Mgt_Unit!$C$5:$C$1018, 0)), "")</f>
        <v>jennifer.moore</v>
      </c>
      <c r="C883" t="s">
        <v>893</v>
      </c>
      <c r="D883" s="65"/>
      <c r="E883">
        <v>4</v>
      </c>
      <c r="F883" t="s">
        <v>1537</v>
      </c>
      <c r="G883" t="s">
        <v>1535</v>
      </c>
      <c r="H883" t="s">
        <v>441</v>
      </c>
      <c r="I883" t="s">
        <v>124</v>
      </c>
      <c r="J883" s="89">
        <v>42615</v>
      </c>
      <c r="K883" s="89"/>
      <c r="L883" s="89">
        <v>42895</v>
      </c>
      <c r="M883" s="31">
        <v>0</v>
      </c>
      <c r="N883" s="9"/>
      <c r="O883" s="33"/>
      <c r="P883" s="33"/>
      <c r="Q883" s="9"/>
      <c r="R883" s="67"/>
      <c r="S883" s="9"/>
    </row>
    <row r="884" spans="1:19" ht="15" customHeight="1" x14ac:dyDescent="0.25">
      <c r="A884" s="4"/>
      <c r="B884" s="28" t="str">
        <f>IF(ISNUMBER(MATCH(C884, Mgt_Unit!$C$5:$C$1018, 0)), INDEX(Mgt_Unit!$B$5:$B$1018, MATCH(C884, Mgt_Unit!$C$5:$C$1018, 0)), "")</f>
        <v>jennifer.moore</v>
      </c>
      <c r="C884" t="s">
        <v>893</v>
      </c>
      <c r="D884" s="65"/>
      <c r="E884">
        <v>5</v>
      </c>
      <c r="F884" t="s">
        <v>1538</v>
      </c>
      <c r="G884" t="s">
        <v>1544</v>
      </c>
      <c r="H884" t="s">
        <v>50</v>
      </c>
      <c r="I884" t="s">
        <v>87</v>
      </c>
      <c r="J884" s="89">
        <v>42899</v>
      </c>
      <c r="K884" s="89">
        <v>42977</v>
      </c>
      <c r="L884" s="89"/>
      <c r="M884" s="31">
        <v>0</v>
      </c>
      <c r="N884" s="9"/>
      <c r="O884" s="33"/>
      <c r="P884" s="33"/>
      <c r="Q884" s="9"/>
      <c r="R884" s="67"/>
      <c r="S884" s="9"/>
    </row>
    <row r="885" spans="1:19" ht="15" customHeight="1" x14ac:dyDescent="0.25">
      <c r="A885" s="4"/>
      <c r="B885" s="28" t="str">
        <f>IF(ISNUMBER(MATCH(C885, Mgt_Unit!$C$5:$C$1018, 0)), INDEX(Mgt_Unit!$B$5:$B$1018, MATCH(C885, Mgt_Unit!$C$5:$C$1018, 0)), "")</f>
        <v>jennifer.moore</v>
      </c>
      <c r="C885" t="s">
        <v>893</v>
      </c>
      <c r="D885" s="65"/>
      <c r="E885">
        <v>6</v>
      </c>
      <c r="F885" t="s">
        <v>1537</v>
      </c>
      <c r="G885" t="s">
        <v>1535</v>
      </c>
      <c r="H885" t="s">
        <v>442</v>
      </c>
      <c r="I885" t="s">
        <v>245</v>
      </c>
      <c r="J885" s="89">
        <v>43000</v>
      </c>
      <c r="K885" s="89"/>
      <c r="L885" s="89">
        <v>43266</v>
      </c>
      <c r="M885" s="31">
        <v>0</v>
      </c>
      <c r="N885" s="9"/>
      <c r="O885" s="33"/>
      <c r="P885" s="33"/>
      <c r="Q885" s="9"/>
      <c r="R885" s="67"/>
      <c r="S885" s="9"/>
    </row>
    <row r="886" spans="1:19" ht="15" customHeight="1" x14ac:dyDescent="0.25">
      <c r="A886" s="4"/>
      <c r="B886" s="28" t="str">
        <f>IF(ISNUMBER(MATCH(C886, Mgt_Unit!$C$5:$C$1018, 0)), INDEX(Mgt_Unit!$B$5:$B$1018, MATCH(C886, Mgt_Unit!$C$5:$C$1018, 0)), "")</f>
        <v>jennifer.moore</v>
      </c>
      <c r="C886" t="s">
        <v>893</v>
      </c>
      <c r="D886" s="65"/>
      <c r="E886">
        <v>6</v>
      </c>
      <c r="F886" t="s">
        <v>1537</v>
      </c>
      <c r="G886" t="s">
        <v>1535</v>
      </c>
      <c r="H886" t="s">
        <v>441</v>
      </c>
      <c r="I886" t="s">
        <v>124</v>
      </c>
      <c r="J886" s="89">
        <v>43000</v>
      </c>
      <c r="K886" s="89"/>
      <c r="L886" s="89">
        <v>43266</v>
      </c>
      <c r="M886" s="31">
        <v>0</v>
      </c>
      <c r="N886" s="9"/>
      <c r="O886" s="33"/>
      <c r="P886" s="33"/>
      <c r="Q886" s="9"/>
      <c r="R886" s="67"/>
      <c r="S886" s="9"/>
    </row>
    <row r="887" spans="1:19" ht="15" customHeight="1" x14ac:dyDescent="0.25">
      <c r="A887" s="4"/>
      <c r="B887" s="28" t="str">
        <f>IF(ISNUMBER(MATCH(C887, Mgt_Unit!$C$5:$C$1018, 0)), INDEX(Mgt_Unit!$B$5:$B$1018, MATCH(C887, Mgt_Unit!$C$5:$C$1018, 0)), "")</f>
        <v>jennifer.moore</v>
      </c>
      <c r="C887" t="s">
        <v>893</v>
      </c>
      <c r="D887" s="65"/>
      <c r="E887">
        <v>7</v>
      </c>
      <c r="F887" t="s">
        <v>1538</v>
      </c>
      <c r="G887" t="s">
        <v>1544</v>
      </c>
      <c r="H887" t="s">
        <v>440</v>
      </c>
      <c r="I887" t="s">
        <v>1287</v>
      </c>
      <c r="J887" s="89">
        <v>43267</v>
      </c>
      <c r="K887" s="89">
        <v>43355</v>
      </c>
      <c r="L887" s="89"/>
      <c r="M887" s="31">
        <v>0</v>
      </c>
      <c r="N887" s="9"/>
      <c r="O887" s="33"/>
      <c r="P887" s="33"/>
      <c r="Q887" s="9"/>
      <c r="R887" s="67"/>
      <c r="S887" s="9"/>
    </row>
    <row r="888" spans="1:19" ht="15" customHeight="1" x14ac:dyDescent="0.25">
      <c r="A888" s="4"/>
      <c r="B888" s="28" t="str">
        <f>IF(ISNUMBER(MATCH(C888, Mgt_Unit!$C$5:$C$1018, 0)), INDEX(Mgt_Unit!$B$5:$B$1018, MATCH(C888, Mgt_Unit!$C$5:$C$1018, 0)), "")</f>
        <v>jennifer.moore</v>
      </c>
      <c r="C888" t="s">
        <v>893</v>
      </c>
      <c r="D888" s="65"/>
      <c r="E888">
        <v>8</v>
      </c>
      <c r="F888" t="s">
        <v>1537</v>
      </c>
      <c r="G888" t="s">
        <v>1535</v>
      </c>
      <c r="H888" t="s">
        <v>441</v>
      </c>
      <c r="I888" t="s">
        <v>124</v>
      </c>
      <c r="J888" s="89">
        <v>43374</v>
      </c>
      <c r="K888" s="89"/>
      <c r="L888" s="89"/>
      <c r="M888" s="31">
        <v>0</v>
      </c>
      <c r="N888" s="9"/>
      <c r="O888" s="33"/>
      <c r="P888" s="33"/>
      <c r="Q888" s="9"/>
      <c r="R888" s="67"/>
      <c r="S888" s="9"/>
    </row>
    <row r="889" spans="1:19" ht="15" customHeight="1" x14ac:dyDescent="0.25">
      <c r="A889" s="4"/>
      <c r="B889" s="28" t="str">
        <f>IF(ISNUMBER(MATCH(C889, Mgt_Unit!$C$5:$C$1018, 0)), INDEX(Mgt_Unit!$B$5:$B$1018, MATCH(C889, Mgt_Unit!$C$5:$C$1018, 0)), "")</f>
        <v>jennifer.moore</v>
      </c>
      <c r="C889" s="87" t="s">
        <v>893</v>
      </c>
      <c r="D889" s="65"/>
      <c r="E889" s="87">
        <v>8</v>
      </c>
      <c r="F889" s="87" t="s">
        <v>1537</v>
      </c>
      <c r="G889" s="87" t="s">
        <v>1535</v>
      </c>
      <c r="H889" s="87" t="s">
        <v>442</v>
      </c>
      <c r="I889" s="87" t="s">
        <v>245</v>
      </c>
      <c r="J889" s="90">
        <v>43374</v>
      </c>
      <c r="K889" s="90"/>
      <c r="L889" s="90"/>
      <c r="M889" s="93">
        <v>0</v>
      </c>
      <c r="N889" s="9"/>
      <c r="O889" s="33"/>
      <c r="P889" s="33"/>
      <c r="Q889" s="9"/>
      <c r="R889" s="67"/>
      <c r="S889" s="9"/>
    </row>
    <row r="890" spans="1:19" ht="15" customHeight="1" x14ac:dyDescent="0.25">
      <c r="A890" s="4"/>
      <c r="B890" s="28" t="str">
        <f>IF(ISNUMBER(MATCH(C890, Mgt_Unit!$C$5:$C$1018, 0)), INDEX(Mgt_Unit!$B$5:$B$1018, MATCH(C890, Mgt_Unit!$C$5:$C$1018, 0)), "")</f>
        <v>jennifer.moore</v>
      </c>
      <c r="C890" t="s">
        <v>894</v>
      </c>
      <c r="D890" s="65"/>
      <c r="E890">
        <v>1</v>
      </c>
      <c r="F890" t="s">
        <v>1538</v>
      </c>
      <c r="G890" t="s">
        <v>1544</v>
      </c>
      <c r="H890" t="s">
        <v>442</v>
      </c>
      <c r="I890" t="s">
        <v>126</v>
      </c>
      <c r="J890" s="89">
        <v>42523</v>
      </c>
      <c r="K890" s="89">
        <v>42579</v>
      </c>
      <c r="L890" s="89"/>
      <c r="M890" s="31">
        <v>0</v>
      </c>
      <c r="N890" s="9"/>
      <c r="O890" s="33"/>
      <c r="P890" s="33"/>
      <c r="Q890" s="9"/>
      <c r="R890" s="67"/>
      <c r="S890" s="9"/>
    </row>
    <row r="891" spans="1:19" ht="15" customHeight="1" x14ac:dyDescent="0.25">
      <c r="A891" s="4"/>
      <c r="B891" s="28" t="str">
        <f>IF(ISNUMBER(MATCH(C891, Mgt_Unit!$C$5:$C$1018, 0)), INDEX(Mgt_Unit!$B$5:$B$1018, MATCH(C891, Mgt_Unit!$C$5:$C$1018, 0)), "")</f>
        <v>jennifer.moore</v>
      </c>
      <c r="C891" t="s">
        <v>894</v>
      </c>
      <c r="D891" s="65"/>
      <c r="E891">
        <v>2</v>
      </c>
      <c r="F891" t="s">
        <v>1538</v>
      </c>
      <c r="G891" t="s">
        <v>1544</v>
      </c>
      <c r="H891" t="s">
        <v>440</v>
      </c>
      <c r="I891" t="s">
        <v>1278</v>
      </c>
      <c r="J891" s="89">
        <v>42888</v>
      </c>
      <c r="K891" s="89">
        <v>42992</v>
      </c>
      <c r="L891" s="89"/>
      <c r="M891" s="31">
        <v>0</v>
      </c>
      <c r="N891" s="9"/>
      <c r="O891" s="33"/>
      <c r="P891" s="33"/>
      <c r="Q891" s="9"/>
      <c r="R891" s="67"/>
      <c r="S891" s="9"/>
    </row>
    <row r="892" spans="1:19" ht="15" customHeight="1" x14ac:dyDescent="0.25">
      <c r="A892" s="4"/>
      <c r="B892" s="28" t="str">
        <f>IF(ISNUMBER(MATCH(C892, Mgt_Unit!$C$5:$C$1018, 0)), INDEX(Mgt_Unit!$B$5:$B$1018, MATCH(C892, Mgt_Unit!$C$5:$C$1018, 0)), "")</f>
        <v>jennifer.moore</v>
      </c>
      <c r="C892" s="87" t="s">
        <v>894</v>
      </c>
      <c r="D892" s="65"/>
      <c r="E892" s="87">
        <v>3</v>
      </c>
      <c r="F892" s="87" t="s">
        <v>1538</v>
      </c>
      <c r="G892" s="87" t="s">
        <v>1544</v>
      </c>
      <c r="H892" s="87" t="s">
        <v>50</v>
      </c>
      <c r="I892" s="87" t="s">
        <v>87</v>
      </c>
      <c r="J892" s="90">
        <v>43265</v>
      </c>
      <c r="K892" s="90">
        <v>43342</v>
      </c>
      <c r="L892" s="90"/>
      <c r="M892" s="93">
        <v>0</v>
      </c>
      <c r="N892" s="9"/>
      <c r="O892" s="33"/>
      <c r="P892" s="33"/>
      <c r="Q892" s="9"/>
      <c r="R892" s="67"/>
      <c r="S892" s="9"/>
    </row>
    <row r="893" spans="1:19" ht="15" customHeight="1" x14ac:dyDescent="0.25">
      <c r="A893" s="4"/>
      <c r="B893" s="28" t="str">
        <f>IF(ISNUMBER(MATCH(C893, Mgt_Unit!$C$5:$C$1018, 0)), INDEX(Mgt_Unit!$B$5:$B$1018, MATCH(C893, Mgt_Unit!$C$5:$C$1018, 0)), "")</f>
        <v>jennifer.moore</v>
      </c>
      <c r="C893" t="s">
        <v>895</v>
      </c>
      <c r="D893" s="65"/>
      <c r="E893">
        <v>1</v>
      </c>
      <c r="F893" t="s">
        <v>1538</v>
      </c>
      <c r="G893" t="s">
        <v>1544</v>
      </c>
      <c r="H893" t="s">
        <v>442</v>
      </c>
      <c r="I893" t="s">
        <v>126</v>
      </c>
      <c r="J893" s="89">
        <v>42523</v>
      </c>
      <c r="K893" s="89">
        <v>42579</v>
      </c>
      <c r="L893" s="89"/>
      <c r="M893" s="31">
        <v>0</v>
      </c>
      <c r="N893" s="9"/>
      <c r="O893" s="33"/>
      <c r="P893" s="33"/>
      <c r="Q893" s="9"/>
      <c r="R893" s="67"/>
      <c r="S893" s="9"/>
    </row>
    <row r="894" spans="1:19" ht="15" customHeight="1" x14ac:dyDescent="0.25">
      <c r="A894" s="4"/>
      <c r="B894" s="28" t="str">
        <f>IF(ISNUMBER(MATCH(C894, Mgt_Unit!$C$5:$C$1018, 0)), INDEX(Mgt_Unit!$B$5:$B$1018, MATCH(C894, Mgt_Unit!$C$5:$C$1018, 0)), "")</f>
        <v>jennifer.moore</v>
      </c>
      <c r="C894" t="s">
        <v>895</v>
      </c>
      <c r="D894" s="65"/>
      <c r="E894">
        <v>2</v>
      </c>
      <c r="F894" t="s">
        <v>1537</v>
      </c>
      <c r="G894" t="s">
        <v>1535</v>
      </c>
      <c r="H894" t="s">
        <v>442</v>
      </c>
      <c r="I894" t="s">
        <v>245</v>
      </c>
      <c r="J894" s="89">
        <v>42605</v>
      </c>
      <c r="K894" s="89"/>
      <c r="L894" s="89">
        <v>42866</v>
      </c>
      <c r="M894" s="31">
        <v>0</v>
      </c>
      <c r="N894" s="9"/>
      <c r="O894" s="33"/>
      <c r="P894" s="33"/>
      <c r="Q894" s="9"/>
      <c r="R894" s="67"/>
      <c r="S894" s="9"/>
    </row>
    <row r="895" spans="1:19" ht="15" customHeight="1" x14ac:dyDescent="0.25">
      <c r="A895" s="4"/>
      <c r="B895" s="28" t="str">
        <f>IF(ISNUMBER(MATCH(C895, Mgt_Unit!$C$5:$C$1018, 0)), INDEX(Mgt_Unit!$B$5:$B$1018, MATCH(C895, Mgt_Unit!$C$5:$C$1018, 0)), "")</f>
        <v>jennifer.moore</v>
      </c>
      <c r="C895" t="s">
        <v>895</v>
      </c>
      <c r="D895" s="65"/>
      <c r="E895">
        <v>2</v>
      </c>
      <c r="F895" t="s">
        <v>1537</v>
      </c>
      <c r="G895" t="s">
        <v>1535</v>
      </c>
      <c r="H895" t="s">
        <v>441</v>
      </c>
      <c r="I895" t="s">
        <v>124</v>
      </c>
      <c r="J895" s="89">
        <v>42605</v>
      </c>
      <c r="K895" s="89"/>
      <c r="L895" s="89">
        <v>42866</v>
      </c>
      <c r="M895" s="31">
        <v>0</v>
      </c>
      <c r="N895" s="9"/>
      <c r="O895" s="33"/>
      <c r="P895" s="33"/>
      <c r="Q895" s="9"/>
      <c r="R895" s="67"/>
      <c r="S895" s="9"/>
    </row>
    <row r="896" spans="1:19" ht="15" customHeight="1" x14ac:dyDescent="0.25">
      <c r="A896" s="4"/>
      <c r="B896" s="28" t="str">
        <f>IF(ISNUMBER(MATCH(C896, Mgt_Unit!$C$5:$C$1018, 0)), INDEX(Mgt_Unit!$B$5:$B$1018, MATCH(C896, Mgt_Unit!$C$5:$C$1018, 0)), "")</f>
        <v>jennifer.moore</v>
      </c>
      <c r="C896" t="s">
        <v>895</v>
      </c>
      <c r="D896" s="65"/>
      <c r="E896">
        <v>3</v>
      </c>
      <c r="F896" t="s">
        <v>1538</v>
      </c>
      <c r="G896" t="s">
        <v>1544</v>
      </c>
      <c r="H896" t="s">
        <v>440</v>
      </c>
      <c r="I896" t="s">
        <v>1278</v>
      </c>
      <c r="J896" s="89">
        <v>42888</v>
      </c>
      <c r="K896" s="89">
        <v>42992</v>
      </c>
      <c r="L896" s="89"/>
      <c r="M896" s="31">
        <v>0</v>
      </c>
      <c r="N896" s="9"/>
      <c r="O896" s="33"/>
      <c r="P896" s="33"/>
      <c r="Q896" s="9"/>
      <c r="R896" s="67"/>
      <c r="S896" s="9"/>
    </row>
    <row r="897" spans="1:19" ht="15" customHeight="1" x14ac:dyDescent="0.25">
      <c r="A897" s="4"/>
      <c r="B897" s="28" t="str">
        <f>IF(ISNUMBER(MATCH(C897, Mgt_Unit!$C$5:$C$1018, 0)), INDEX(Mgt_Unit!$B$5:$B$1018, MATCH(C897, Mgt_Unit!$C$5:$C$1018, 0)), "")</f>
        <v>jennifer.moore</v>
      </c>
      <c r="C897" t="s">
        <v>895</v>
      </c>
      <c r="D897" s="65"/>
      <c r="E897">
        <v>4</v>
      </c>
      <c r="F897" t="s">
        <v>1537</v>
      </c>
      <c r="G897" t="s">
        <v>1535</v>
      </c>
      <c r="H897" t="s">
        <v>442</v>
      </c>
      <c r="I897" t="s">
        <v>245</v>
      </c>
      <c r="J897" s="89">
        <v>43000</v>
      </c>
      <c r="K897" s="89"/>
      <c r="L897" s="89">
        <v>43252</v>
      </c>
      <c r="M897" s="31">
        <v>0</v>
      </c>
      <c r="N897" s="9"/>
      <c r="O897" s="33"/>
      <c r="P897" s="33"/>
      <c r="Q897" s="9"/>
      <c r="R897" s="67"/>
      <c r="S897" s="9"/>
    </row>
    <row r="898" spans="1:19" ht="15" customHeight="1" x14ac:dyDescent="0.25">
      <c r="A898" s="4"/>
      <c r="B898" s="28" t="str">
        <f>IF(ISNUMBER(MATCH(C898, Mgt_Unit!$C$5:$C$1018, 0)), INDEX(Mgt_Unit!$B$5:$B$1018, MATCH(C898, Mgt_Unit!$C$5:$C$1018, 0)), "")</f>
        <v>jennifer.moore</v>
      </c>
      <c r="C898" t="s">
        <v>895</v>
      </c>
      <c r="D898" s="65"/>
      <c r="E898">
        <v>4</v>
      </c>
      <c r="F898" t="s">
        <v>1537</v>
      </c>
      <c r="G898" t="s">
        <v>1535</v>
      </c>
      <c r="H898" t="s">
        <v>441</v>
      </c>
      <c r="I898" t="s">
        <v>124</v>
      </c>
      <c r="J898" s="89">
        <v>43000</v>
      </c>
      <c r="K898" s="89"/>
      <c r="L898" s="89">
        <v>43252</v>
      </c>
      <c r="M898" s="31">
        <v>0</v>
      </c>
      <c r="N898" s="9"/>
      <c r="O898" s="33"/>
      <c r="P898" s="33"/>
      <c r="Q898" s="9"/>
      <c r="R898" s="67"/>
      <c r="S898" s="9"/>
    </row>
    <row r="899" spans="1:19" ht="15" customHeight="1" x14ac:dyDescent="0.25">
      <c r="A899" s="4"/>
      <c r="B899" s="28" t="str">
        <f>IF(ISNUMBER(MATCH(C899, Mgt_Unit!$C$5:$C$1018, 0)), INDEX(Mgt_Unit!$B$5:$B$1018, MATCH(C899, Mgt_Unit!$C$5:$C$1018, 0)), "")</f>
        <v>jennifer.moore</v>
      </c>
      <c r="C899" t="s">
        <v>895</v>
      </c>
      <c r="D899" s="65"/>
      <c r="E899">
        <v>5</v>
      </c>
      <c r="F899" t="s">
        <v>1538</v>
      </c>
      <c r="G899" t="s">
        <v>1544</v>
      </c>
      <c r="H899" t="s">
        <v>50</v>
      </c>
      <c r="I899" t="s">
        <v>87</v>
      </c>
      <c r="J899" s="89">
        <v>43265</v>
      </c>
      <c r="K899" s="89">
        <v>43342</v>
      </c>
      <c r="L899" s="89"/>
      <c r="M899" s="31">
        <v>0</v>
      </c>
      <c r="N899" s="9"/>
      <c r="O899" s="33"/>
      <c r="P899" s="33"/>
      <c r="Q899" s="9"/>
      <c r="R899" s="67"/>
      <c r="S899" s="9"/>
    </row>
    <row r="900" spans="1:19" ht="15" customHeight="1" x14ac:dyDescent="0.25">
      <c r="A900" s="4"/>
      <c r="B900" s="28" t="str">
        <f>IF(ISNUMBER(MATCH(C900, Mgt_Unit!$C$5:$C$1018, 0)), INDEX(Mgt_Unit!$B$5:$B$1018, MATCH(C900, Mgt_Unit!$C$5:$C$1018, 0)), "")</f>
        <v>jennifer.moore</v>
      </c>
      <c r="C900" t="s">
        <v>895</v>
      </c>
      <c r="D900" s="65"/>
      <c r="E900">
        <v>6</v>
      </c>
      <c r="F900" t="s">
        <v>1537</v>
      </c>
      <c r="G900" t="s">
        <v>1535</v>
      </c>
      <c r="H900" t="s">
        <v>442</v>
      </c>
      <c r="I900" t="s">
        <v>245</v>
      </c>
      <c r="J900" s="89">
        <v>43382</v>
      </c>
      <c r="K900" s="89"/>
      <c r="L900" s="89"/>
      <c r="M900" s="31"/>
      <c r="N900" s="9"/>
      <c r="O900" s="33"/>
      <c r="P900" s="33"/>
      <c r="Q900" s="9"/>
      <c r="R900" s="67"/>
      <c r="S900" s="9"/>
    </row>
    <row r="901" spans="1:19" ht="15" customHeight="1" x14ac:dyDescent="0.25">
      <c r="A901" s="4"/>
      <c r="B901" s="28" t="str">
        <f>IF(ISNUMBER(MATCH(C901, Mgt_Unit!$C$5:$C$1018, 0)), INDEX(Mgt_Unit!$B$5:$B$1018, MATCH(C901, Mgt_Unit!$C$5:$C$1018, 0)), "")</f>
        <v>jennifer.moore</v>
      </c>
      <c r="C901" s="87" t="s">
        <v>895</v>
      </c>
      <c r="D901" s="65"/>
      <c r="E901" s="87">
        <v>6</v>
      </c>
      <c r="F901" s="87" t="s">
        <v>1537</v>
      </c>
      <c r="G901" s="87" t="s">
        <v>1535</v>
      </c>
      <c r="H901" s="87" t="s">
        <v>441</v>
      </c>
      <c r="I901" s="87" t="s">
        <v>124</v>
      </c>
      <c r="J901" s="90">
        <v>43382</v>
      </c>
      <c r="K901" s="90"/>
      <c r="L901" s="90"/>
      <c r="M901" s="93"/>
      <c r="N901" s="9"/>
      <c r="O901" s="33"/>
      <c r="P901" s="33"/>
      <c r="Q901" s="9"/>
      <c r="R901" s="67"/>
      <c r="S901" s="9"/>
    </row>
    <row r="902" spans="1:19" ht="15" customHeight="1" x14ac:dyDescent="0.25">
      <c r="A902" s="4"/>
      <c r="B902" s="28" t="str">
        <f>IF(ISNUMBER(MATCH(C902, Mgt_Unit!$C$5:$C$1018, 0)), INDEX(Mgt_Unit!$B$5:$B$1018, MATCH(C902, Mgt_Unit!$C$5:$C$1018, 0)), "")</f>
        <v>jennifer.moore</v>
      </c>
      <c r="C902" t="s">
        <v>896</v>
      </c>
      <c r="D902" s="65"/>
      <c r="E902">
        <v>1</v>
      </c>
      <c r="F902" t="s">
        <v>1538</v>
      </c>
      <c r="G902" t="s">
        <v>1544</v>
      </c>
      <c r="H902" t="s">
        <v>442</v>
      </c>
      <c r="I902" t="s">
        <v>126</v>
      </c>
      <c r="J902" s="89">
        <v>42523</v>
      </c>
      <c r="K902" s="89">
        <v>42579</v>
      </c>
      <c r="L902" s="89"/>
      <c r="M902" s="31">
        <v>0</v>
      </c>
      <c r="N902" s="9"/>
      <c r="O902" s="33"/>
      <c r="P902" s="33"/>
      <c r="Q902" s="9"/>
      <c r="R902" s="67"/>
      <c r="S902" s="9"/>
    </row>
    <row r="903" spans="1:19" ht="15" customHeight="1" x14ac:dyDescent="0.25">
      <c r="A903" s="4"/>
      <c r="B903" s="28" t="str">
        <f>IF(ISNUMBER(MATCH(C903, Mgt_Unit!$C$5:$C$1018, 0)), INDEX(Mgt_Unit!$B$5:$B$1018, MATCH(C903, Mgt_Unit!$C$5:$C$1018, 0)), "")</f>
        <v>jennifer.moore</v>
      </c>
      <c r="C903" t="s">
        <v>896</v>
      </c>
      <c r="D903" s="65"/>
      <c r="E903">
        <v>2</v>
      </c>
      <c r="F903" t="s">
        <v>1538</v>
      </c>
      <c r="G903" t="s">
        <v>1535</v>
      </c>
      <c r="H903" t="s">
        <v>441</v>
      </c>
      <c r="I903" t="s">
        <v>124</v>
      </c>
      <c r="J903" s="89">
        <v>42605</v>
      </c>
      <c r="K903" s="89"/>
      <c r="L903" s="89">
        <v>42866</v>
      </c>
      <c r="M903" s="31">
        <v>0</v>
      </c>
      <c r="N903" s="9"/>
      <c r="O903" s="33"/>
      <c r="P903" s="33"/>
      <c r="Q903" s="9"/>
      <c r="R903" s="67"/>
      <c r="S903" s="9"/>
    </row>
    <row r="904" spans="1:19" ht="15" customHeight="1" x14ac:dyDescent="0.25">
      <c r="A904" s="4"/>
      <c r="B904" s="28" t="str">
        <f>IF(ISNUMBER(MATCH(C904, Mgt_Unit!$C$5:$C$1018, 0)), INDEX(Mgt_Unit!$B$5:$B$1018, MATCH(C904, Mgt_Unit!$C$5:$C$1018, 0)), "")</f>
        <v>jennifer.moore</v>
      </c>
      <c r="C904" t="s">
        <v>896</v>
      </c>
      <c r="D904" s="65"/>
      <c r="E904">
        <v>3</v>
      </c>
      <c r="F904" t="s">
        <v>1538</v>
      </c>
      <c r="G904" t="s">
        <v>1544</v>
      </c>
      <c r="H904" t="s">
        <v>440</v>
      </c>
      <c r="I904" t="s">
        <v>1278</v>
      </c>
      <c r="J904" s="89">
        <v>42888</v>
      </c>
      <c r="K904" s="89">
        <v>42992</v>
      </c>
      <c r="L904" s="89"/>
      <c r="M904" s="31">
        <v>0</v>
      </c>
      <c r="N904" s="9"/>
      <c r="O904" s="33"/>
      <c r="P904" s="33"/>
      <c r="Q904" s="9"/>
      <c r="R904" s="67"/>
      <c r="S904" s="9"/>
    </row>
    <row r="905" spans="1:19" ht="15" customHeight="1" x14ac:dyDescent="0.25">
      <c r="A905" s="4"/>
      <c r="B905" s="28" t="str">
        <f>IF(ISNUMBER(MATCH(C905, Mgt_Unit!$C$5:$C$1018, 0)), INDEX(Mgt_Unit!$B$5:$B$1018, MATCH(C905, Mgt_Unit!$C$5:$C$1018, 0)), "")</f>
        <v>jennifer.moore</v>
      </c>
      <c r="C905" t="s">
        <v>896</v>
      </c>
      <c r="D905" s="65"/>
      <c r="E905">
        <v>4</v>
      </c>
      <c r="F905" t="s">
        <v>1538</v>
      </c>
      <c r="G905" t="s">
        <v>1535</v>
      </c>
      <c r="H905" t="s">
        <v>441</v>
      </c>
      <c r="I905" t="s">
        <v>124</v>
      </c>
      <c r="J905" s="89">
        <v>43000</v>
      </c>
      <c r="K905" s="89"/>
      <c r="L905" s="89">
        <v>43252</v>
      </c>
      <c r="M905" s="31">
        <v>0</v>
      </c>
      <c r="N905" s="9"/>
      <c r="O905" s="33"/>
      <c r="P905" s="33"/>
      <c r="Q905" s="9"/>
      <c r="R905" s="67"/>
      <c r="S905" s="9"/>
    </row>
    <row r="906" spans="1:19" ht="15" customHeight="1" x14ac:dyDescent="0.25">
      <c r="A906" s="4"/>
      <c r="B906" s="28" t="str">
        <f>IF(ISNUMBER(MATCH(C906, Mgt_Unit!$C$5:$C$1018, 0)), INDEX(Mgt_Unit!$B$5:$B$1018, MATCH(C906, Mgt_Unit!$C$5:$C$1018, 0)), "")</f>
        <v>jennifer.moore</v>
      </c>
      <c r="C906" t="s">
        <v>896</v>
      </c>
      <c r="D906" s="65"/>
      <c r="E906">
        <v>5</v>
      </c>
      <c r="F906" t="s">
        <v>1538</v>
      </c>
      <c r="G906" t="s">
        <v>1544</v>
      </c>
      <c r="H906" t="s">
        <v>50</v>
      </c>
      <c r="I906" t="s">
        <v>87</v>
      </c>
      <c r="J906" s="89">
        <v>43265</v>
      </c>
      <c r="K906" s="89">
        <v>43342</v>
      </c>
      <c r="L906" s="89"/>
      <c r="M906" s="31">
        <v>0</v>
      </c>
      <c r="N906" s="9"/>
      <c r="O906" s="33"/>
      <c r="P906" s="33"/>
      <c r="Q906" s="9"/>
      <c r="R906" s="67"/>
      <c r="S906" s="9"/>
    </row>
    <row r="907" spans="1:19" ht="15" customHeight="1" x14ac:dyDescent="0.25">
      <c r="A907" s="4"/>
      <c r="B907" s="28" t="str">
        <f>IF(ISNUMBER(MATCH(C907, Mgt_Unit!$C$5:$C$1018, 0)), INDEX(Mgt_Unit!$B$5:$B$1018, MATCH(C907, Mgt_Unit!$C$5:$C$1018, 0)), "")</f>
        <v>jennifer.moore</v>
      </c>
      <c r="C907" s="87" t="s">
        <v>896</v>
      </c>
      <c r="D907" s="65"/>
      <c r="E907" s="87">
        <v>6</v>
      </c>
      <c r="F907" s="87" t="s">
        <v>1538</v>
      </c>
      <c r="G907" s="87" t="s">
        <v>1535</v>
      </c>
      <c r="H907" s="87" t="s">
        <v>441</v>
      </c>
      <c r="I907" s="87" t="s">
        <v>124</v>
      </c>
      <c r="J907" s="90">
        <v>43382</v>
      </c>
      <c r="K907" s="90"/>
      <c r="L907" s="90"/>
      <c r="M907" s="93"/>
      <c r="N907" s="9"/>
      <c r="O907" s="33"/>
      <c r="P907" s="33"/>
      <c r="Q907" s="9"/>
      <c r="R907" s="67"/>
      <c r="S907" s="9"/>
    </row>
    <row r="908" spans="1:19" ht="15" customHeight="1" x14ac:dyDescent="0.25">
      <c r="A908" s="4"/>
      <c r="B908" s="28" t="str">
        <f>IF(ISNUMBER(MATCH(C908, Mgt_Unit!$C$5:$C$1018, 0)), INDEX(Mgt_Unit!$B$5:$B$1018, MATCH(C908, Mgt_Unit!$C$5:$C$1018, 0)), "")</f>
        <v>jennifer.moore</v>
      </c>
      <c r="C908" t="s">
        <v>897</v>
      </c>
      <c r="D908" s="65"/>
      <c r="E908">
        <v>1</v>
      </c>
      <c r="F908" t="s">
        <v>1538</v>
      </c>
      <c r="G908" t="s">
        <v>1544</v>
      </c>
      <c r="H908" t="s">
        <v>442</v>
      </c>
      <c r="I908" t="s">
        <v>126</v>
      </c>
      <c r="J908" s="89">
        <v>42523</v>
      </c>
      <c r="K908" s="89">
        <v>42579</v>
      </c>
      <c r="L908" s="89"/>
      <c r="M908" s="31">
        <v>0</v>
      </c>
      <c r="N908" s="9"/>
      <c r="O908" s="33"/>
      <c r="P908" s="33"/>
      <c r="Q908" s="9"/>
      <c r="R908" s="67"/>
      <c r="S908" s="9"/>
    </row>
    <row r="909" spans="1:19" ht="15" customHeight="1" x14ac:dyDescent="0.25">
      <c r="A909" s="4"/>
      <c r="B909" s="28" t="str">
        <f>IF(ISNUMBER(MATCH(C909, Mgt_Unit!$C$5:$C$1018, 0)), INDEX(Mgt_Unit!$B$5:$B$1018, MATCH(C909, Mgt_Unit!$C$5:$C$1018, 0)), "")</f>
        <v>jennifer.moore</v>
      </c>
      <c r="C909" t="s">
        <v>897</v>
      </c>
      <c r="D909" s="65"/>
      <c r="E909">
        <v>2</v>
      </c>
      <c r="F909" t="s">
        <v>1538</v>
      </c>
      <c r="G909" t="s">
        <v>1544</v>
      </c>
      <c r="H909" t="s">
        <v>440</v>
      </c>
      <c r="I909" t="s">
        <v>1278</v>
      </c>
      <c r="J909" s="89">
        <v>42888</v>
      </c>
      <c r="K909" s="89">
        <v>42992</v>
      </c>
      <c r="L909" s="89"/>
      <c r="M909" s="31">
        <v>0</v>
      </c>
      <c r="N909" s="9"/>
      <c r="O909" s="33"/>
      <c r="P909" s="33"/>
      <c r="Q909" s="9"/>
      <c r="R909" s="67"/>
      <c r="S909" s="9"/>
    </row>
    <row r="910" spans="1:19" ht="15" customHeight="1" x14ac:dyDescent="0.25">
      <c r="A910" s="4"/>
      <c r="B910" s="28" t="str">
        <f>IF(ISNUMBER(MATCH(C910, Mgt_Unit!$C$5:$C$1018, 0)), INDEX(Mgt_Unit!$B$5:$B$1018, MATCH(C910, Mgt_Unit!$C$5:$C$1018, 0)), "")</f>
        <v>jennifer.moore</v>
      </c>
      <c r="C910" s="87" t="s">
        <v>897</v>
      </c>
      <c r="D910" s="65"/>
      <c r="E910" s="87">
        <v>3</v>
      </c>
      <c r="F910" s="87" t="s">
        <v>1538</v>
      </c>
      <c r="G910" s="87" t="s">
        <v>1544</v>
      </c>
      <c r="H910" s="87" t="s">
        <v>50</v>
      </c>
      <c r="I910" s="87" t="s">
        <v>87</v>
      </c>
      <c r="J910" s="90">
        <v>43265</v>
      </c>
      <c r="K910" s="90">
        <v>43342</v>
      </c>
      <c r="L910" s="90"/>
      <c r="M910" s="93">
        <v>0</v>
      </c>
      <c r="N910" s="9"/>
      <c r="O910" s="33"/>
      <c r="P910" s="33"/>
      <c r="Q910" s="9"/>
      <c r="R910" s="67"/>
      <c r="S910" s="9"/>
    </row>
    <row r="911" spans="1:19" ht="15" customHeight="1" x14ac:dyDescent="0.25">
      <c r="A911" s="4"/>
      <c r="B911" s="28" t="str">
        <f>IF(ISNUMBER(MATCH(C911, Mgt_Unit!$C$5:$C$1018, 0)), INDEX(Mgt_Unit!$B$5:$B$1018, MATCH(C911, Mgt_Unit!$C$5:$C$1018, 0)), "")</f>
        <v>jennifer.moore</v>
      </c>
      <c r="C911" t="s">
        <v>898</v>
      </c>
      <c r="D911" s="65"/>
      <c r="E911">
        <v>1</v>
      </c>
      <c r="F911" t="s">
        <v>1538</v>
      </c>
      <c r="G911" t="s">
        <v>1544</v>
      </c>
      <c r="H911" t="s">
        <v>442</v>
      </c>
      <c r="I911" t="s">
        <v>126</v>
      </c>
      <c r="J911" s="89">
        <v>42523</v>
      </c>
      <c r="K911" s="89">
        <v>42579</v>
      </c>
      <c r="L911" s="89"/>
      <c r="M911" s="31">
        <v>0</v>
      </c>
      <c r="N911" s="9"/>
      <c r="O911" s="33"/>
      <c r="P911" s="33"/>
      <c r="Q911" s="9"/>
      <c r="R911" s="67"/>
      <c r="S911" s="9"/>
    </row>
    <row r="912" spans="1:19" ht="15" customHeight="1" x14ac:dyDescent="0.25">
      <c r="A912" s="4"/>
      <c r="B912" s="28" t="str">
        <f>IF(ISNUMBER(MATCH(C912, Mgt_Unit!$C$5:$C$1018, 0)), INDEX(Mgt_Unit!$B$5:$B$1018, MATCH(C912, Mgt_Unit!$C$5:$C$1018, 0)), "")</f>
        <v>jennifer.moore</v>
      </c>
      <c r="C912" t="s">
        <v>898</v>
      </c>
      <c r="D912" s="65"/>
      <c r="E912">
        <v>2</v>
      </c>
      <c r="F912" t="s">
        <v>1537</v>
      </c>
      <c r="G912" t="s">
        <v>1535</v>
      </c>
      <c r="H912" t="s">
        <v>442</v>
      </c>
      <c r="I912" t="s">
        <v>245</v>
      </c>
      <c r="J912" s="89">
        <v>42605</v>
      </c>
      <c r="K912" s="89"/>
      <c r="L912" s="89">
        <v>42866</v>
      </c>
      <c r="M912" s="31">
        <v>0</v>
      </c>
      <c r="N912" s="9"/>
      <c r="O912" s="33"/>
      <c r="P912" s="33"/>
      <c r="Q912" s="9"/>
      <c r="R912" s="67"/>
      <c r="S912" s="9"/>
    </row>
    <row r="913" spans="1:19" ht="15" customHeight="1" x14ac:dyDescent="0.25">
      <c r="A913" s="4"/>
      <c r="B913" s="28" t="str">
        <f>IF(ISNUMBER(MATCH(C913, Mgt_Unit!$C$5:$C$1018, 0)), INDEX(Mgt_Unit!$B$5:$B$1018, MATCH(C913, Mgt_Unit!$C$5:$C$1018, 0)), "")</f>
        <v>jennifer.moore</v>
      </c>
      <c r="C913" t="s">
        <v>898</v>
      </c>
      <c r="D913" s="65"/>
      <c r="E913">
        <v>2</v>
      </c>
      <c r="F913" t="s">
        <v>1537</v>
      </c>
      <c r="G913" t="s">
        <v>1535</v>
      </c>
      <c r="H913" t="s">
        <v>441</v>
      </c>
      <c r="I913" t="s">
        <v>124</v>
      </c>
      <c r="J913" s="89">
        <v>42605</v>
      </c>
      <c r="K913" s="89"/>
      <c r="L913" s="89">
        <v>42866</v>
      </c>
      <c r="M913" s="31">
        <v>0</v>
      </c>
      <c r="N913" s="9"/>
      <c r="O913" s="33"/>
      <c r="P913" s="33"/>
      <c r="Q913" s="9"/>
      <c r="R913" s="67"/>
      <c r="S913" s="9"/>
    </row>
    <row r="914" spans="1:19" ht="15" customHeight="1" x14ac:dyDescent="0.25">
      <c r="A914" s="4"/>
      <c r="B914" s="28" t="str">
        <f>IF(ISNUMBER(MATCH(C914, Mgt_Unit!$C$5:$C$1018, 0)), INDEX(Mgt_Unit!$B$5:$B$1018, MATCH(C914, Mgt_Unit!$C$5:$C$1018, 0)), "")</f>
        <v>jennifer.moore</v>
      </c>
      <c r="C914" t="s">
        <v>898</v>
      </c>
      <c r="D914" s="65"/>
      <c r="E914">
        <v>3</v>
      </c>
      <c r="F914" t="s">
        <v>1538</v>
      </c>
      <c r="G914" t="s">
        <v>1544</v>
      </c>
      <c r="H914" t="s">
        <v>440</v>
      </c>
      <c r="I914" t="s">
        <v>1278</v>
      </c>
      <c r="J914" s="89">
        <v>42888</v>
      </c>
      <c r="K914" s="89">
        <v>42992</v>
      </c>
      <c r="L914" s="89"/>
      <c r="M914" s="31">
        <v>0</v>
      </c>
      <c r="N914" s="9"/>
      <c r="O914" s="33"/>
      <c r="P914" s="33"/>
      <c r="Q914" s="9"/>
      <c r="R914" s="67"/>
      <c r="S914" s="9"/>
    </row>
    <row r="915" spans="1:19" ht="15" customHeight="1" x14ac:dyDescent="0.25">
      <c r="A915" s="4"/>
      <c r="B915" s="28" t="str">
        <f>IF(ISNUMBER(MATCH(C915, Mgt_Unit!$C$5:$C$1018, 0)), INDEX(Mgt_Unit!$B$5:$B$1018, MATCH(C915, Mgt_Unit!$C$5:$C$1018, 0)), "")</f>
        <v>jennifer.moore</v>
      </c>
      <c r="C915" t="s">
        <v>898</v>
      </c>
      <c r="D915" s="65"/>
      <c r="E915">
        <v>4</v>
      </c>
      <c r="F915" t="s">
        <v>1537</v>
      </c>
      <c r="G915" t="s">
        <v>1535</v>
      </c>
      <c r="H915" t="s">
        <v>442</v>
      </c>
      <c r="I915" t="s">
        <v>245</v>
      </c>
      <c r="J915" s="89">
        <v>43000</v>
      </c>
      <c r="K915" s="89"/>
      <c r="L915" s="89">
        <v>43252</v>
      </c>
      <c r="M915" s="31">
        <v>0</v>
      </c>
      <c r="N915" s="9"/>
      <c r="O915" s="33"/>
      <c r="P915" s="33"/>
      <c r="Q915" s="9"/>
      <c r="R915" s="67"/>
      <c r="S915" s="9"/>
    </row>
    <row r="916" spans="1:19" ht="15" customHeight="1" x14ac:dyDescent="0.25">
      <c r="A916" s="4"/>
      <c r="B916" s="28" t="str">
        <f>IF(ISNUMBER(MATCH(C916, Mgt_Unit!$C$5:$C$1018, 0)), INDEX(Mgt_Unit!$B$5:$B$1018, MATCH(C916, Mgt_Unit!$C$5:$C$1018, 0)), "")</f>
        <v>jennifer.moore</v>
      </c>
      <c r="C916" t="s">
        <v>898</v>
      </c>
      <c r="D916" s="65"/>
      <c r="E916">
        <v>4</v>
      </c>
      <c r="F916" t="s">
        <v>1537</v>
      </c>
      <c r="G916" t="s">
        <v>1535</v>
      </c>
      <c r="H916" t="s">
        <v>441</v>
      </c>
      <c r="I916" t="s">
        <v>124</v>
      </c>
      <c r="J916" s="89">
        <v>43000</v>
      </c>
      <c r="K916" s="89"/>
      <c r="L916" s="89">
        <v>43252</v>
      </c>
      <c r="M916" s="31">
        <v>0</v>
      </c>
      <c r="N916" s="9"/>
      <c r="O916" s="33"/>
      <c r="P916" s="33"/>
      <c r="Q916" s="9"/>
      <c r="R916" s="67"/>
      <c r="S916" s="9"/>
    </row>
    <row r="917" spans="1:19" ht="15" customHeight="1" x14ac:dyDescent="0.25">
      <c r="A917" s="4"/>
      <c r="B917" s="28" t="str">
        <f>IF(ISNUMBER(MATCH(C917, Mgt_Unit!$C$5:$C$1018, 0)), INDEX(Mgt_Unit!$B$5:$B$1018, MATCH(C917, Mgt_Unit!$C$5:$C$1018, 0)), "")</f>
        <v>jennifer.moore</v>
      </c>
      <c r="C917" t="s">
        <v>898</v>
      </c>
      <c r="D917" s="65"/>
      <c r="E917">
        <v>5</v>
      </c>
      <c r="F917" t="s">
        <v>1538</v>
      </c>
      <c r="G917" t="s">
        <v>1544</v>
      </c>
      <c r="H917" t="s">
        <v>50</v>
      </c>
      <c r="I917" t="s">
        <v>87</v>
      </c>
      <c r="J917" s="89">
        <v>43265</v>
      </c>
      <c r="K917" s="89">
        <v>43342</v>
      </c>
      <c r="L917" s="89"/>
      <c r="M917" s="31">
        <v>0</v>
      </c>
      <c r="N917" s="9"/>
      <c r="O917" s="33"/>
      <c r="P917" s="33"/>
      <c r="Q917" s="9"/>
      <c r="R917" s="67"/>
      <c r="S917" s="9"/>
    </row>
    <row r="918" spans="1:19" ht="15" customHeight="1" x14ac:dyDescent="0.25">
      <c r="A918" s="4"/>
      <c r="B918" s="28" t="str">
        <f>IF(ISNUMBER(MATCH(C918, Mgt_Unit!$C$5:$C$1018, 0)), INDEX(Mgt_Unit!$B$5:$B$1018, MATCH(C918, Mgt_Unit!$C$5:$C$1018, 0)), "")</f>
        <v>jennifer.moore</v>
      </c>
      <c r="C918" t="s">
        <v>898</v>
      </c>
      <c r="D918" s="65"/>
      <c r="E918">
        <v>6</v>
      </c>
      <c r="F918" t="s">
        <v>1537</v>
      </c>
      <c r="G918" t="s">
        <v>1535</v>
      </c>
      <c r="H918" t="s">
        <v>441</v>
      </c>
      <c r="I918" t="s">
        <v>124</v>
      </c>
      <c r="J918" s="89">
        <v>43382</v>
      </c>
      <c r="K918" s="89"/>
      <c r="L918" s="89"/>
      <c r="M918" s="31"/>
      <c r="N918" s="9"/>
      <c r="O918" s="33"/>
      <c r="P918" s="33"/>
      <c r="Q918" s="9"/>
      <c r="R918" s="67"/>
      <c r="S918" s="9"/>
    </row>
    <row r="919" spans="1:19" ht="15" customHeight="1" x14ac:dyDescent="0.25">
      <c r="A919" s="4"/>
      <c r="B919" s="28" t="str">
        <f>IF(ISNUMBER(MATCH(C919, Mgt_Unit!$C$5:$C$1018, 0)), INDEX(Mgt_Unit!$B$5:$B$1018, MATCH(C919, Mgt_Unit!$C$5:$C$1018, 0)), "")</f>
        <v>jennifer.moore</v>
      </c>
      <c r="C919" s="87" t="s">
        <v>898</v>
      </c>
      <c r="D919" s="65"/>
      <c r="E919" s="87">
        <v>6</v>
      </c>
      <c r="F919" s="87" t="s">
        <v>1537</v>
      </c>
      <c r="G919" s="87" t="s">
        <v>1535</v>
      </c>
      <c r="H919" s="87" t="s">
        <v>442</v>
      </c>
      <c r="I919" s="87" t="s">
        <v>245</v>
      </c>
      <c r="J919" s="90">
        <v>43382</v>
      </c>
      <c r="K919" s="90"/>
      <c r="L919" s="90"/>
      <c r="M919" s="93"/>
      <c r="N919" s="9"/>
      <c r="O919" s="33"/>
      <c r="P919" s="33"/>
      <c r="Q919" s="9"/>
      <c r="R919" s="67"/>
      <c r="S919" s="9"/>
    </row>
    <row r="920" spans="1:19" ht="15" customHeight="1" x14ac:dyDescent="0.25">
      <c r="A920" s="4"/>
      <c r="B920" s="28" t="str">
        <f>IF(ISNUMBER(MATCH(C920, Mgt_Unit!$C$5:$C$1018, 0)), INDEX(Mgt_Unit!$B$5:$B$1018, MATCH(C920, Mgt_Unit!$C$5:$C$1018, 0)), "")</f>
        <v>jennifer.moore</v>
      </c>
      <c r="C920" t="s">
        <v>899</v>
      </c>
      <c r="D920" s="65"/>
      <c r="E920">
        <v>1</v>
      </c>
      <c r="F920" t="s">
        <v>1537</v>
      </c>
      <c r="G920" t="s">
        <v>1544</v>
      </c>
      <c r="H920" t="s">
        <v>442</v>
      </c>
      <c r="I920" t="s">
        <v>126</v>
      </c>
      <c r="J920" s="89">
        <v>42523</v>
      </c>
      <c r="K920" s="89">
        <v>42579</v>
      </c>
      <c r="L920" s="89"/>
      <c r="M920" s="31">
        <v>0</v>
      </c>
      <c r="N920" s="9"/>
      <c r="O920" s="33"/>
      <c r="P920" s="33"/>
      <c r="Q920" s="9"/>
      <c r="R920" s="67"/>
      <c r="S920" s="9"/>
    </row>
    <row r="921" spans="1:19" ht="15" customHeight="1" x14ac:dyDescent="0.25">
      <c r="A921" s="4"/>
      <c r="B921" s="28" t="str">
        <f>IF(ISNUMBER(MATCH(C921, Mgt_Unit!$C$5:$C$1018, 0)), INDEX(Mgt_Unit!$B$5:$B$1018, MATCH(C921, Mgt_Unit!$C$5:$C$1018, 0)), "")</f>
        <v>jennifer.moore</v>
      </c>
      <c r="C921" t="s">
        <v>899</v>
      </c>
      <c r="D921" s="65"/>
      <c r="E921">
        <v>2</v>
      </c>
      <c r="F921" t="s">
        <v>1537</v>
      </c>
      <c r="G921" t="s">
        <v>1535</v>
      </c>
      <c r="H921" t="s">
        <v>441</v>
      </c>
      <c r="I921" t="s">
        <v>124</v>
      </c>
      <c r="J921" s="89">
        <v>42605</v>
      </c>
      <c r="K921" s="89"/>
      <c r="L921" s="89">
        <v>42866</v>
      </c>
      <c r="M921" s="31">
        <v>0</v>
      </c>
      <c r="N921" s="9"/>
      <c r="O921" s="33"/>
      <c r="P921" s="33"/>
      <c r="Q921" s="9"/>
      <c r="R921" s="67"/>
      <c r="S921" s="9"/>
    </row>
    <row r="922" spans="1:19" ht="15" customHeight="1" x14ac:dyDescent="0.25">
      <c r="A922" s="4"/>
      <c r="B922" s="28" t="str">
        <f>IF(ISNUMBER(MATCH(C922, Mgt_Unit!$C$5:$C$1018, 0)), INDEX(Mgt_Unit!$B$5:$B$1018, MATCH(C922, Mgt_Unit!$C$5:$C$1018, 0)), "")</f>
        <v>jennifer.moore</v>
      </c>
      <c r="C922" t="s">
        <v>899</v>
      </c>
      <c r="D922" s="65"/>
      <c r="E922">
        <v>3</v>
      </c>
      <c r="F922" t="s">
        <v>1537</v>
      </c>
      <c r="G922" t="s">
        <v>1544</v>
      </c>
      <c r="H922" t="s">
        <v>440</v>
      </c>
      <c r="I922" t="s">
        <v>1278</v>
      </c>
      <c r="J922" s="89">
        <v>42888</v>
      </c>
      <c r="K922" s="89">
        <v>42992</v>
      </c>
      <c r="L922" s="89"/>
      <c r="M922" s="31">
        <v>0</v>
      </c>
      <c r="N922" s="9"/>
      <c r="O922" s="33"/>
      <c r="P922" s="33"/>
      <c r="Q922" s="9"/>
      <c r="R922" s="67"/>
      <c r="S922" s="9"/>
    </row>
    <row r="923" spans="1:19" ht="15" customHeight="1" x14ac:dyDescent="0.25">
      <c r="A923" s="4"/>
      <c r="B923" s="28" t="str">
        <f>IF(ISNUMBER(MATCH(C923, Mgt_Unit!$C$5:$C$1018, 0)), INDEX(Mgt_Unit!$B$5:$B$1018, MATCH(C923, Mgt_Unit!$C$5:$C$1018, 0)), "")</f>
        <v>jennifer.moore</v>
      </c>
      <c r="C923" t="s">
        <v>899</v>
      </c>
      <c r="D923" s="65"/>
      <c r="E923">
        <v>4</v>
      </c>
      <c r="F923" t="s">
        <v>1537</v>
      </c>
      <c r="G923" t="s">
        <v>1535</v>
      </c>
      <c r="H923" t="s">
        <v>441</v>
      </c>
      <c r="I923" t="s">
        <v>124</v>
      </c>
      <c r="J923" s="89">
        <v>43000</v>
      </c>
      <c r="K923" s="89"/>
      <c r="L923" s="89">
        <v>43252</v>
      </c>
      <c r="M923" s="31">
        <v>0</v>
      </c>
      <c r="N923" s="9"/>
      <c r="O923" s="33"/>
      <c r="P923" s="33"/>
      <c r="Q923" s="9"/>
      <c r="R923" s="67"/>
      <c r="S923" s="9"/>
    </row>
    <row r="924" spans="1:19" ht="15" customHeight="1" x14ac:dyDescent="0.25">
      <c r="A924" s="4"/>
      <c r="B924" s="28" t="str">
        <f>IF(ISNUMBER(MATCH(C924, Mgt_Unit!$C$5:$C$1018, 0)), INDEX(Mgt_Unit!$B$5:$B$1018, MATCH(C924, Mgt_Unit!$C$5:$C$1018, 0)), "")</f>
        <v>jennifer.moore</v>
      </c>
      <c r="C924" t="s">
        <v>899</v>
      </c>
      <c r="D924" s="65"/>
      <c r="E924">
        <v>5</v>
      </c>
      <c r="F924" t="s">
        <v>1537</v>
      </c>
      <c r="G924" t="s">
        <v>1544</v>
      </c>
      <c r="H924" t="s">
        <v>50</v>
      </c>
      <c r="I924" t="s">
        <v>87</v>
      </c>
      <c r="J924" s="89">
        <v>43265</v>
      </c>
      <c r="K924" s="89">
        <v>43342</v>
      </c>
      <c r="L924" s="89"/>
      <c r="M924" s="31">
        <v>0</v>
      </c>
      <c r="N924" s="9"/>
      <c r="O924" s="33"/>
      <c r="P924" s="33"/>
      <c r="Q924" s="9"/>
      <c r="R924" s="67"/>
      <c r="S924" s="9"/>
    </row>
    <row r="925" spans="1:19" ht="15" customHeight="1" x14ac:dyDescent="0.25">
      <c r="A925" s="4"/>
      <c r="B925" s="28" t="str">
        <f>IF(ISNUMBER(MATCH(C925, Mgt_Unit!$C$5:$C$1018, 0)), INDEX(Mgt_Unit!$B$5:$B$1018, MATCH(C925, Mgt_Unit!$C$5:$C$1018, 0)), "")</f>
        <v>jennifer.moore</v>
      </c>
      <c r="C925" s="87" t="s">
        <v>899</v>
      </c>
      <c r="D925" s="65"/>
      <c r="E925" s="87">
        <v>6</v>
      </c>
      <c r="F925" s="87" t="s">
        <v>1537</v>
      </c>
      <c r="G925" s="87" t="s">
        <v>1535</v>
      </c>
      <c r="H925" s="87" t="s">
        <v>441</v>
      </c>
      <c r="I925" s="87" t="s">
        <v>124</v>
      </c>
      <c r="J925" s="90">
        <v>43382</v>
      </c>
      <c r="K925" s="90"/>
      <c r="L925" s="90"/>
      <c r="M925" s="93"/>
      <c r="N925" s="9"/>
      <c r="O925" s="33"/>
      <c r="P925" s="33"/>
      <c r="Q925" s="9"/>
      <c r="R925" s="67"/>
      <c r="S925" s="9"/>
    </row>
    <row r="926" spans="1:19" ht="15" customHeight="1" x14ac:dyDescent="0.25">
      <c r="A926" s="4"/>
      <c r="B926" s="28" t="str">
        <f>IF(ISNUMBER(MATCH(C926, Mgt_Unit!$C$5:$C$1018, 0)), INDEX(Mgt_Unit!$B$5:$B$1018, MATCH(C926, Mgt_Unit!$C$5:$C$1018, 0)), "")</f>
        <v>jennifer.moore</v>
      </c>
      <c r="C926" s="88" t="s">
        <v>900</v>
      </c>
      <c r="D926" s="65"/>
      <c r="E926" s="88">
        <v>1</v>
      </c>
      <c r="F926" s="88" t="s">
        <v>1538</v>
      </c>
      <c r="G926" s="88" t="s">
        <v>1544</v>
      </c>
      <c r="H926" s="88" t="s">
        <v>50</v>
      </c>
      <c r="I926" s="88" t="s">
        <v>87</v>
      </c>
      <c r="J926" s="91">
        <v>43266</v>
      </c>
      <c r="K926" s="91">
        <v>43424</v>
      </c>
      <c r="L926" s="91"/>
      <c r="M926" s="94">
        <v>0</v>
      </c>
      <c r="N926" s="9"/>
      <c r="O926" s="33"/>
      <c r="P926" s="33"/>
      <c r="Q926" s="9"/>
      <c r="R926" s="67"/>
      <c r="S926" s="9"/>
    </row>
    <row r="927" spans="1:19" ht="15" customHeight="1" x14ac:dyDescent="0.25">
      <c r="A927" s="4"/>
      <c r="B927" s="28" t="str">
        <f>IF(ISNUMBER(MATCH(C927, Mgt_Unit!$C$5:$C$1018, 0)), INDEX(Mgt_Unit!$B$5:$B$1018, MATCH(C927, Mgt_Unit!$C$5:$C$1018, 0)), "")</f>
        <v>jennifer.moore</v>
      </c>
      <c r="C927" t="s">
        <v>901</v>
      </c>
      <c r="D927" s="65"/>
      <c r="E927">
        <v>1</v>
      </c>
      <c r="F927" t="s">
        <v>1538</v>
      </c>
      <c r="G927" t="s">
        <v>1544</v>
      </c>
      <c r="H927" t="s">
        <v>50</v>
      </c>
      <c r="I927" t="s">
        <v>87</v>
      </c>
      <c r="J927" s="89">
        <v>42892</v>
      </c>
      <c r="K927" s="89">
        <v>43035</v>
      </c>
      <c r="L927" s="89"/>
      <c r="M927" s="31">
        <v>0</v>
      </c>
      <c r="N927" s="9"/>
      <c r="O927" s="33"/>
      <c r="P927" s="33"/>
      <c r="Q927" s="9"/>
      <c r="R927" s="67"/>
      <c r="S927" s="9"/>
    </row>
    <row r="928" spans="1:19" ht="15" customHeight="1" x14ac:dyDescent="0.25">
      <c r="A928" s="4"/>
      <c r="B928" s="28" t="str">
        <f>IF(ISNUMBER(MATCH(C928, Mgt_Unit!$C$5:$C$1018, 0)), INDEX(Mgt_Unit!$B$5:$B$1018, MATCH(C928, Mgt_Unit!$C$5:$C$1018, 0)), "")</f>
        <v>jennifer.moore</v>
      </c>
      <c r="C928" s="87" t="s">
        <v>901</v>
      </c>
      <c r="D928" s="65"/>
      <c r="E928" s="87">
        <v>2</v>
      </c>
      <c r="F928" s="87" t="s">
        <v>1538</v>
      </c>
      <c r="G928" s="87" t="s">
        <v>1544</v>
      </c>
      <c r="H928" s="87" t="s">
        <v>51</v>
      </c>
      <c r="I928" s="87" t="s">
        <v>137</v>
      </c>
      <c r="J928" s="90">
        <v>43266</v>
      </c>
      <c r="K928" s="90">
        <v>43391</v>
      </c>
      <c r="L928" s="90"/>
      <c r="M928" s="93">
        <v>0</v>
      </c>
      <c r="N928" s="9"/>
      <c r="O928" s="33"/>
      <c r="P928" s="33"/>
      <c r="Q928" s="9"/>
      <c r="R928" s="67"/>
      <c r="S928" s="9"/>
    </row>
    <row r="929" spans="1:19" ht="15" customHeight="1" x14ac:dyDescent="0.25">
      <c r="A929" s="4"/>
      <c r="B929" s="28" t="str">
        <f>IF(ISNUMBER(MATCH(C929, Mgt_Unit!$C$5:$C$1018, 0)), INDEX(Mgt_Unit!$B$5:$B$1018, MATCH(C929, Mgt_Unit!$C$5:$C$1018, 0)), "")</f>
        <v>jennifer.moore</v>
      </c>
      <c r="C929" t="s">
        <v>902</v>
      </c>
      <c r="D929" s="65"/>
      <c r="E929">
        <v>1</v>
      </c>
      <c r="F929" t="s">
        <v>1538</v>
      </c>
      <c r="G929" t="s">
        <v>1544</v>
      </c>
      <c r="H929" t="s">
        <v>50</v>
      </c>
      <c r="I929" t="s">
        <v>87</v>
      </c>
      <c r="J929" s="89">
        <v>42530</v>
      </c>
      <c r="K929" s="89">
        <v>42667</v>
      </c>
      <c r="L929" s="89"/>
      <c r="M929" s="31">
        <v>0</v>
      </c>
      <c r="N929" s="9"/>
      <c r="O929" s="33"/>
      <c r="P929" s="33"/>
      <c r="Q929" s="9"/>
      <c r="R929" s="67"/>
      <c r="S929" s="9"/>
    </row>
    <row r="930" spans="1:19" ht="15" customHeight="1" x14ac:dyDescent="0.25">
      <c r="A930" s="4"/>
      <c r="B930" s="28" t="str">
        <f>IF(ISNUMBER(MATCH(C930, Mgt_Unit!$C$5:$C$1018, 0)), INDEX(Mgt_Unit!$B$5:$B$1018, MATCH(C930, Mgt_Unit!$C$5:$C$1018, 0)), "")</f>
        <v>jennifer.moore</v>
      </c>
      <c r="C930" t="s">
        <v>902</v>
      </c>
      <c r="D930" s="65"/>
      <c r="E930">
        <v>2</v>
      </c>
      <c r="F930" t="s">
        <v>1538</v>
      </c>
      <c r="G930" t="s">
        <v>1544</v>
      </c>
      <c r="H930" t="s">
        <v>51</v>
      </c>
      <c r="I930" t="s">
        <v>137</v>
      </c>
      <c r="J930" s="89">
        <v>42893</v>
      </c>
      <c r="K930" s="89">
        <v>43049</v>
      </c>
      <c r="L930" s="89"/>
      <c r="M930" s="31">
        <v>0</v>
      </c>
      <c r="N930" s="9"/>
      <c r="O930" s="33"/>
      <c r="P930" s="33"/>
      <c r="Q930" s="9"/>
      <c r="R930" s="67"/>
      <c r="S930" s="9"/>
    </row>
    <row r="931" spans="1:19" ht="15" customHeight="1" x14ac:dyDescent="0.25">
      <c r="A931" s="4"/>
      <c r="B931" s="28" t="str">
        <f>IF(ISNUMBER(MATCH(C931, Mgt_Unit!$C$5:$C$1018, 0)), INDEX(Mgt_Unit!$B$5:$B$1018, MATCH(C931, Mgt_Unit!$C$5:$C$1018, 0)), "")</f>
        <v>jennifer.moore</v>
      </c>
      <c r="C931" s="87" t="s">
        <v>902</v>
      </c>
      <c r="D931" s="65"/>
      <c r="E931" s="87">
        <v>3</v>
      </c>
      <c r="F931" s="87" t="s">
        <v>1538</v>
      </c>
      <c r="G931" s="87" t="s">
        <v>1544</v>
      </c>
      <c r="H931" s="87" t="s">
        <v>441</v>
      </c>
      <c r="I931" s="87" t="s">
        <v>27</v>
      </c>
      <c r="J931" s="90">
        <v>43070</v>
      </c>
      <c r="K931" s="90">
        <v>43298</v>
      </c>
      <c r="L931" s="90"/>
      <c r="M931" s="93">
        <v>0</v>
      </c>
      <c r="N931" s="9"/>
      <c r="O931" s="33"/>
      <c r="P931" s="33"/>
      <c r="Q931" s="9"/>
      <c r="R931" s="67"/>
      <c r="S931" s="9"/>
    </row>
    <row r="932" spans="1:19" ht="15" customHeight="1" x14ac:dyDescent="0.25">
      <c r="A932" s="4"/>
      <c r="B932" s="28" t="str">
        <f>IF(ISNUMBER(MATCH(C932, Mgt_Unit!$C$5:$C$1018, 0)), INDEX(Mgt_Unit!$B$5:$B$1018, MATCH(C932, Mgt_Unit!$C$5:$C$1018, 0)), "")</f>
        <v>jennifer.moore</v>
      </c>
      <c r="C932" t="s">
        <v>903</v>
      </c>
      <c r="D932" s="65"/>
      <c r="E932">
        <v>1</v>
      </c>
      <c r="F932" t="s">
        <v>1537</v>
      </c>
      <c r="G932" t="s">
        <v>1544</v>
      </c>
      <c r="H932" t="s">
        <v>50</v>
      </c>
      <c r="I932" t="s">
        <v>87</v>
      </c>
      <c r="J932" s="89">
        <v>43266</v>
      </c>
      <c r="K932" s="89">
        <v>43424</v>
      </c>
      <c r="L932" s="89"/>
      <c r="M932" s="31">
        <v>0</v>
      </c>
      <c r="N932" s="9"/>
      <c r="O932" s="33"/>
      <c r="P932" s="33"/>
      <c r="Q932" s="9"/>
      <c r="R932" s="67"/>
      <c r="S932" s="9"/>
    </row>
    <row r="933" spans="1:19" ht="15" customHeight="1" x14ac:dyDescent="0.25">
      <c r="A933" s="4"/>
      <c r="B933" s="28" t="str">
        <f>IF(ISNUMBER(MATCH(C933, Mgt_Unit!$C$5:$C$1018, 0)), INDEX(Mgt_Unit!$B$5:$B$1018, MATCH(C933, Mgt_Unit!$C$5:$C$1018, 0)), "")</f>
        <v>jennifer.moore</v>
      </c>
      <c r="C933" s="87" t="s">
        <v>903</v>
      </c>
      <c r="D933" s="65"/>
      <c r="E933" s="87">
        <v>1</v>
      </c>
      <c r="F933" s="87" t="s">
        <v>1537</v>
      </c>
      <c r="G933" s="87" t="s">
        <v>1535</v>
      </c>
      <c r="H933" s="87" t="s">
        <v>442</v>
      </c>
      <c r="I933" s="87" t="s">
        <v>190</v>
      </c>
      <c r="J933" s="102">
        <v>43306</v>
      </c>
      <c r="K933" s="90"/>
      <c r="L933" s="90"/>
      <c r="M933" s="93"/>
      <c r="N933" s="9"/>
      <c r="O933" s="33"/>
      <c r="P933" s="33"/>
      <c r="Q933" s="9"/>
      <c r="R933" s="67"/>
      <c r="S933" s="9"/>
    </row>
    <row r="934" spans="1:19" ht="15" customHeight="1" x14ac:dyDescent="0.25">
      <c r="A934" s="4"/>
      <c r="B934" s="28" t="str">
        <f>IF(ISNUMBER(MATCH(C934, Mgt_Unit!$C$5:$C$1018, 0)), INDEX(Mgt_Unit!$B$5:$B$1018, MATCH(C934, Mgt_Unit!$C$5:$C$1018, 0)), "")</f>
        <v>jennifer.moore</v>
      </c>
      <c r="C934" t="s">
        <v>904</v>
      </c>
      <c r="D934" s="65"/>
      <c r="E934">
        <v>1</v>
      </c>
      <c r="F934" t="s">
        <v>1537</v>
      </c>
      <c r="G934" t="s">
        <v>1544</v>
      </c>
      <c r="H934" t="s">
        <v>50</v>
      </c>
      <c r="I934" t="s">
        <v>87</v>
      </c>
      <c r="J934" s="89">
        <v>42530</v>
      </c>
      <c r="K934" s="89">
        <v>42667</v>
      </c>
      <c r="L934" s="89"/>
      <c r="M934" s="31">
        <v>0</v>
      </c>
      <c r="N934" s="9"/>
      <c r="O934" s="33"/>
      <c r="P934" s="33"/>
      <c r="Q934" s="9"/>
      <c r="R934" s="67"/>
      <c r="S934" s="9"/>
    </row>
    <row r="935" spans="1:19" ht="15" customHeight="1" x14ac:dyDescent="0.25">
      <c r="A935" s="4"/>
      <c r="B935" s="28" t="str">
        <f>IF(ISNUMBER(MATCH(C935, Mgt_Unit!$C$5:$C$1018, 0)), INDEX(Mgt_Unit!$B$5:$B$1018, MATCH(C935, Mgt_Unit!$C$5:$C$1018, 0)), "")</f>
        <v>jennifer.moore</v>
      </c>
      <c r="C935" t="s">
        <v>904</v>
      </c>
      <c r="D935" s="65"/>
      <c r="E935">
        <v>1</v>
      </c>
      <c r="F935" t="s">
        <v>1537</v>
      </c>
      <c r="G935" t="s">
        <v>1535</v>
      </c>
      <c r="H935" t="s">
        <v>442</v>
      </c>
      <c r="I935" t="s">
        <v>190</v>
      </c>
      <c r="J935" s="104">
        <v>42572</v>
      </c>
      <c r="K935" s="89">
        <v>42879</v>
      </c>
      <c r="L935" s="89"/>
      <c r="M935" s="31">
        <v>0</v>
      </c>
      <c r="N935" s="9"/>
      <c r="O935" s="33"/>
      <c r="P935" s="33"/>
      <c r="Q935" s="9"/>
      <c r="R935" s="67"/>
      <c r="S935" s="9"/>
    </row>
    <row r="936" spans="1:19" ht="15" customHeight="1" x14ac:dyDescent="0.25">
      <c r="A936" s="4"/>
      <c r="B936" s="28" t="str">
        <f>IF(ISNUMBER(MATCH(C936, Mgt_Unit!$C$5:$C$1018, 0)), INDEX(Mgt_Unit!$B$5:$B$1018, MATCH(C936, Mgt_Unit!$C$5:$C$1018, 0)), "")</f>
        <v>jennifer.moore</v>
      </c>
      <c r="C936" t="s">
        <v>904</v>
      </c>
      <c r="D936" s="65"/>
      <c r="E936">
        <v>2</v>
      </c>
      <c r="F936" t="s">
        <v>1538</v>
      </c>
      <c r="G936" t="s">
        <v>1544</v>
      </c>
      <c r="H936" t="s">
        <v>51</v>
      </c>
      <c r="I936" t="s">
        <v>137</v>
      </c>
      <c r="J936" s="89">
        <v>42893</v>
      </c>
      <c r="K936" s="89">
        <v>43049</v>
      </c>
      <c r="L936" s="89"/>
      <c r="M936" s="31">
        <v>0</v>
      </c>
      <c r="N936" s="9"/>
      <c r="O936" s="33"/>
      <c r="P936" s="33"/>
      <c r="Q936" s="9"/>
      <c r="R936" s="67"/>
      <c r="S936" s="9"/>
    </row>
    <row r="937" spans="1:19" ht="15" customHeight="1" x14ac:dyDescent="0.25">
      <c r="A937" s="4"/>
      <c r="B937" s="28" t="str">
        <f>IF(ISNUMBER(MATCH(C937, Mgt_Unit!$C$5:$C$1018, 0)), INDEX(Mgt_Unit!$B$5:$B$1018, MATCH(C937, Mgt_Unit!$C$5:$C$1018, 0)), "")</f>
        <v>jennifer.moore</v>
      </c>
      <c r="C937" t="s">
        <v>904</v>
      </c>
      <c r="D937" s="65"/>
      <c r="E937">
        <v>3</v>
      </c>
      <c r="F937" t="s">
        <v>1537</v>
      </c>
      <c r="G937" t="s">
        <v>1544</v>
      </c>
      <c r="H937" t="s">
        <v>441</v>
      </c>
      <c r="I937" t="s">
        <v>27</v>
      </c>
      <c r="J937" s="89">
        <v>43070</v>
      </c>
      <c r="K937" s="89">
        <v>43293</v>
      </c>
      <c r="L937" s="89"/>
      <c r="M937" s="31">
        <v>0</v>
      </c>
      <c r="N937" s="9"/>
      <c r="O937" s="33"/>
      <c r="P937" s="33"/>
      <c r="Q937" s="9"/>
      <c r="R937" s="67"/>
      <c r="S937" s="9"/>
    </row>
    <row r="938" spans="1:19" ht="15" customHeight="1" x14ac:dyDescent="0.25">
      <c r="A938" s="4"/>
      <c r="B938" s="28" t="str">
        <f>IF(ISNUMBER(MATCH(C938, Mgt_Unit!$C$5:$C$1018, 0)), INDEX(Mgt_Unit!$B$5:$B$1018, MATCH(C938, Mgt_Unit!$C$5:$C$1018, 0)), "")</f>
        <v>jennifer.moore</v>
      </c>
      <c r="C938" s="87" t="s">
        <v>904</v>
      </c>
      <c r="D938" s="65"/>
      <c r="E938" s="87">
        <v>3</v>
      </c>
      <c r="F938" s="87" t="s">
        <v>1537</v>
      </c>
      <c r="G938" s="87" t="s">
        <v>1535</v>
      </c>
      <c r="H938" s="87" t="s">
        <v>442</v>
      </c>
      <c r="I938" s="87" t="s">
        <v>190</v>
      </c>
      <c r="J938" s="102">
        <v>43164</v>
      </c>
      <c r="K938" s="90"/>
      <c r="L938" s="90"/>
      <c r="M938" s="93">
        <v>0</v>
      </c>
      <c r="N938" s="9"/>
      <c r="O938" s="33"/>
      <c r="P938" s="33"/>
      <c r="Q938" s="9"/>
      <c r="R938" s="67"/>
      <c r="S938" s="9"/>
    </row>
    <row r="939" spans="1:19" ht="15" customHeight="1" x14ac:dyDescent="0.25">
      <c r="A939" s="4"/>
      <c r="B939" s="28" t="str">
        <f>IF(ISNUMBER(MATCH(C939, Mgt_Unit!$C$5:$C$1018, 0)), INDEX(Mgt_Unit!$B$5:$B$1018, MATCH(C939, Mgt_Unit!$C$5:$C$1018, 0)), "")</f>
        <v>jennifer.moore</v>
      </c>
      <c r="C939" t="s">
        <v>905</v>
      </c>
      <c r="D939" s="65"/>
      <c r="E939">
        <v>1</v>
      </c>
      <c r="F939" t="s">
        <v>1537</v>
      </c>
      <c r="G939" t="s">
        <v>1544</v>
      </c>
      <c r="H939" t="s">
        <v>50</v>
      </c>
      <c r="I939" t="s">
        <v>87</v>
      </c>
      <c r="J939" s="89">
        <v>42530</v>
      </c>
      <c r="K939" s="89">
        <v>42667</v>
      </c>
      <c r="L939" s="89"/>
      <c r="M939" s="31">
        <v>0</v>
      </c>
      <c r="N939" s="9"/>
      <c r="O939" s="33"/>
      <c r="P939" s="33"/>
      <c r="Q939" s="9"/>
      <c r="R939" s="67"/>
      <c r="S939" s="9"/>
    </row>
    <row r="940" spans="1:19" ht="15" customHeight="1" x14ac:dyDescent="0.25">
      <c r="A940" s="4"/>
      <c r="B940" s="28" t="str">
        <f>IF(ISNUMBER(MATCH(C940, Mgt_Unit!$C$5:$C$1018, 0)), INDEX(Mgt_Unit!$B$5:$B$1018, MATCH(C940, Mgt_Unit!$C$5:$C$1018, 0)), "")</f>
        <v>jennifer.moore</v>
      </c>
      <c r="C940" t="s">
        <v>905</v>
      </c>
      <c r="D940" s="65"/>
      <c r="E940">
        <v>1</v>
      </c>
      <c r="F940" t="s">
        <v>1537</v>
      </c>
      <c r="G940" t="s">
        <v>1535</v>
      </c>
      <c r="H940" t="s">
        <v>442</v>
      </c>
      <c r="I940" t="s">
        <v>190</v>
      </c>
      <c r="J940" s="104">
        <v>42572</v>
      </c>
      <c r="K940" s="89">
        <v>42879</v>
      </c>
      <c r="L940" s="89"/>
      <c r="M940" s="31">
        <v>0</v>
      </c>
      <c r="N940" s="9"/>
      <c r="O940" s="33"/>
      <c r="P940" s="33"/>
      <c r="Q940" s="9"/>
      <c r="R940" s="67"/>
      <c r="S940" s="9"/>
    </row>
    <row r="941" spans="1:19" ht="15" customHeight="1" x14ac:dyDescent="0.25">
      <c r="A941" s="4"/>
      <c r="B941" s="28" t="str">
        <f>IF(ISNUMBER(MATCH(C941, Mgt_Unit!$C$5:$C$1018, 0)), INDEX(Mgt_Unit!$B$5:$B$1018, MATCH(C941, Mgt_Unit!$C$5:$C$1018, 0)), "")</f>
        <v>jennifer.moore</v>
      </c>
      <c r="C941" t="s">
        <v>905</v>
      </c>
      <c r="D941" s="65"/>
      <c r="E941">
        <v>2</v>
      </c>
      <c r="F941" t="s">
        <v>1538</v>
      </c>
      <c r="G941" t="s">
        <v>1544</v>
      </c>
      <c r="H941" t="s">
        <v>51</v>
      </c>
      <c r="I941" t="s">
        <v>137</v>
      </c>
      <c r="J941" s="89">
        <v>42893</v>
      </c>
      <c r="K941" s="89">
        <v>43049</v>
      </c>
      <c r="L941" s="89"/>
      <c r="M941" s="31">
        <v>0</v>
      </c>
      <c r="N941" s="9"/>
      <c r="O941" s="33"/>
      <c r="P941" s="33"/>
      <c r="Q941" s="9"/>
      <c r="R941" s="67"/>
      <c r="S941" s="9"/>
    </row>
    <row r="942" spans="1:19" ht="15" customHeight="1" x14ac:dyDescent="0.25">
      <c r="A942" s="4"/>
      <c r="B942" s="28" t="str">
        <f>IF(ISNUMBER(MATCH(C942, Mgt_Unit!$C$5:$C$1018, 0)), INDEX(Mgt_Unit!$B$5:$B$1018, MATCH(C942, Mgt_Unit!$C$5:$C$1018, 0)), "")</f>
        <v>jennifer.moore</v>
      </c>
      <c r="C942" t="s">
        <v>905</v>
      </c>
      <c r="D942" s="65"/>
      <c r="E942">
        <v>3</v>
      </c>
      <c r="F942" t="s">
        <v>1537</v>
      </c>
      <c r="G942" t="s">
        <v>1544</v>
      </c>
      <c r="H942" t="s">
        <v>441</v>
      </c>
      <c r="I942" t="s">
        <v>27</v>
      </c>
      <c r="J942" s="89">
        <v>43070</v>
      </c>
      <c r="K942" s="89">
        <v>43293</v>
      </c>
      <c r="L942" s="89"/>
      <c r="M942" s="31">
        <v>0</v>
      </c>
      <c r="N942" s="9"/>
      <c r="O942" s="33"/>
      <c r="P942" s="33"/>
      <c r="Q942" s="9"/>
      <c r="R942" s="67"/>
      <c r="S942" s="9"/>
    </row>
    <row r="943" spans="1:19" ht="15" customHeight="1" x14ac:dyDescent="0.25">
      <c r="A943" s="4"/>
      <c r="B943" s="28" t="str">
        <f>IF(ISNUMBER(MATCH(C943, Mgt_Unit!$C$5:$C$1018, 0)), INDEX(Mgt_Unit!$B$5:$B$1018, MATCH(C943, Mgt_Unit!$C$5:$C$1018, 0)), "")</f>
        <v>jennifer.moore</v>
      </c>
      <c r="C943" s="87" t="s">
        <v>905</v>
      </c>
      <c r="D943" s="65"/>
      <c r="E943" s="87">
        <v>3</v>
      </c>
      <c r="F943" s="87" t="s">
        <v>1537</v>
      </c>
      <c r="G943" s="87" t="s">
        <v>1535</v>
      </c>
      <c r="H943" s="87" t="s">
        <v>442</v>
      </c>
      <c r="I943" s="87" t="s">
        <v>190</v>
      </c>
      <c r="J943" s="102">
        <v>43164</v>
      </c>
      <c r="K943" s="90"/>
      <c r="L943" s="90"/>
      <c r="M943" s="93">
        <v>0</v>
      </c>
      <c r="N943" s="9"/>
      <c r="O943" s="33"/>
      <c r="P943" s="33"/>
      <c r="Q943" s="9"/>
      <c r="R943" s="67"/>
      <c r="S943" s="9"/>
    </row>
    <row r="944" spans="1:19" ht="15" customHeight="1" x14ac:dyDescent="0.25">
      <c r="A944" s="4"/>
      <c r="B944" s="28" t="str">
        <f>IF(ISNUMBER(MATCH(C944, Mgt_Unit!$C$5:$C$1018, 0)), INDEX(Mgt_Unit!$B$5:$B$1018, MATCH(C944, Mgt_Unit!$C$5:$C$1018, 0)), "")</f>
        <v>jennifer.moore</v>
      </c>
      <c r="C944" s="88" t="s">
        <v>1314</v>
      </c>
      <c r="D944" s="65"/>
      <c r="E944" s="88">
        <v>1</v>
      </c>
      <c r="F944" s="88" t="s">
        <v>1538</v>
      </c>
      <c r="G944" s="88" t="s">
        <v>1552</v>
      </c>
      <c r="H944" s="88" t="s">
        <v>1552</v>
      </c>
      <c r="I944" s="88" t="s">
        <v>1552</v>
      </c>
      <c r="J944" s="103">
        <v>43101</v>
      </c>
      <c r="K944" s="109">
        <v>43465</v>
      </c>
      <c r="L944" s="91"/>
      <c r="M944" s="94">
        <v>0</v>
      </c>
      <c r="N944" s="9"/>
      <c r="O944" s="33"/>
      <c r="P944" s="33"/>
      <c r="Q944" s="9"/>
      <c r="R944" s="67"/>
      <c r="S944" s="9"/>
    </row>
    <row r="945" spans="1:19" ht="15" customHeight="1" x14ac:dyDescent="0.25">
      <c r="A945" s="4"/>
      <c r="B945" s="28" t="str">
        <f>IF(ISNUMBER(MATCH(C945, Mgt_Unit!$C$5:$C$1018, 0)), INDEX(Mgt_Unit!$B$5:$B$1018, MATCH(C945, Mgt_Unit!$C$5:$C$1018, 0)), "")</f>
        <v>jennifer.moore</v>
      </c>
      <c r="C945" s="87" t="s">
        <v>1315</v>
      </c>
      <c r="D945" s="65"/>
      <c r="E945" s="88">
        <v>1</v>
      </c>
      <c r="F945" s="88" t="s">
        <v>1538</v>
      </c>
      <c r="G945" s="88" t="s">
        <v>1552</v>
      </c>
      <c r="H945" s="88" t="s">
        <v>1552</v>
      </c>
      <c r="I945" s="88" t="s">
        <v>1552</v>
      </c>
      <c r="J945" s="103">
        <v>43101</v>
      </c>
      <c r="K945" s="109">
        <v>43465</v>
      </c>
      <c r="L945" s="91"/>
      <c r="M945" s="94">
        <v>0</v>
      </c>
      <c r="N945" s="9"/>
      <c r="O945" s="33"/>
      <c r="P945" s="33"/>
      <c r="Q945" s="9"/>
      <c r="R945" s="67"/>
      <c r="S945" s="9"/>
    </row>
    <row r="946" spans="1:19" ht="15" customHeight="1" x14ac:dyDescent="0.25">
      <c r="A946" s="4"/>
      <c r="B946" s="28" t="str">
        <f>IF(ISNUMBER(MATCH(C946, Mgt_Unit!$C$5:$C$1018, 0)), INDEX(Mgt_Unit!$B$5:$B$1018, MATCH(C946, Mgt_Unit!$C$5:$C$1018, 0)), "")</f>
        <v>jennifer.moore</v>
      </c>
      <c r="C946" t="s">
        <v>1317</v>
      </c>
      <c r="D946" s="65"/>
      <c r="E946">
        <v>1</v>
      </c>
      <c r="F946" t="s">
        <v>1538</v>
      </c>
      <c r="G946" t="s">
        <v>1536</v>
      </c>
      <c r="H946" t="s">
        <v>442</v>
      </c>
      <c r="I946" t="s">
        <v>65</v>
      </c>
      <c r="J946" s="89">
        <v>43101</v>
      </c>
      <c r="K946" s="89">
        <v>43236</v>
      </c>
      <c r="L946"/>
      <c r="M946" s="31">
        <v>0</v>
      </c>
      <c r="N946" s="9"/>
      <c r="O946" s="33"/>
      <c r="P946" s="33"/>
      <c r="Q946" s="9"/>
      <c r="R946" s="67"/>
      <c r="S946" s="9"/>
    </row>
    <row r="947" spans="1:19" ht="15" customHeight="1" x14ac:dyDescent="0.25">
      <c r="A947" s="4"/>
      <c r="B947" s="28" t="str">
        <f>IF(ISNUMBER(MATCH(C947, Mgt_Unit!$C$5:$C$1018, 0)), INDEX(Mgt_Unit!$B$5:$B$1018, MATCH(C947, Mgt_Unit!$C$5:$C$1018, 0)), "")</f>
        <v>jennifer.moore</v>
      </c>
      <c r="C947" t="s">
        <v>1317</v>
      </c>
      <c r="D947" s="65"/>
      <c r="E947">
        <v>1</v>
      </c>
      <c r="F947" t="s">
        <v>1538</v>
      </c>
      <c r="G947" t="s">
        <v>1536</v>
      </c>
      <c r="H947" t="s">
        <v>442</v>
      </c>
      <c r="I947" t="s">
        <v>65</v>
      </c>
      <c r="J947" s="89"/>
      <c r="K947" s="89">
        <v>43264</v>
      </c>
      <c r="L947" s="89"/>
      <c r="M947" s="31">
        <v>0</v>
      </c>
      <c r="N947" s="9"/>
      <c r="O947" s="33"/>
      <c r="P947" s="33"/>
      <c r="Q947" s="9"/>
      <c r="R947" s="67"/>
      <c r="S947" s="9"/>
    </row>
    <row r="948" spans="1:19" ht="15" customHeight="1" x14ac:dyDescent="0.25">
      <c r="A948" s="4"/>
      <c r="B948" s="28" t="str">
        <f>IF(ISNUMBER(MATCH(C948, Mgt_Unit!$C$5:$C$1018, 0)), INDEX(Mgt_Unit!$B$5:$B$1018, MATCH(C948, Mgt_Unit!$C$5:$C$1018, 0)), "")</f>
        <v>jennifer.moore</v>
      </c>
      <c r="C948" t="s">
        <v>1317</v>
      </c>
      <c r="D948" s="65"/>
      <c r="E948">
        <v>1</v>
      </c>
      <c r="F948" t="s">
        <v>1538</v>
      </c>
      <c r="G948" t="s">
        <v>1536</v>
      </c>
      <c r="H948" t="s">
        <v>442</v>
      </c>
      <c r="I948" t="s">
        <v>65</v>
      </c>
      <c r="J948" s="89"/>
      <c r="K948" s="89">
        <v>43311</v>
      </c>
      <c r="L948" s="89"/>
      <c r="M948" s="31">
        <v>0</v>
      </c>
      <c r="N948" s="9"/>
      <c r="O948" s="33"/>
      <c r="P948" s="33"/>
      <c r="Q948" s="9"/>
      <c r="R948" s="67"/>
      <c r="S948" s="9"/>
    </row>
    <row r="949" spans="1:19" ht="15" customHeight="1" x14ac:dyDescent="0.25">
      <c r="A949" s="4"/>
      <c r="B949" s="28" t="str">
        <f>IF(ISNUMBER(MATCH(C949, Mgt_Unit!$C$5:$C$1018, 0)), INDEX(Mgt_Unit!$B$5:$B$1018, MATCH(C949, Mgt_Unit!$C$5:$C$1018, 0)), "")</f>
        <v>jennifer.moore</v>
      </c>
      <c r="C949" s="87" t="s">
        <v>1317</v>
      </c>
      <c r="D949" s="65"/>
      <c r="E949" s="87">
        <v>1</v>
      </c>
      <c r="F949" s="87" t="s">
        <v>1538</v>
      </c>
      <c r="G949" s="87" t="s">
        <v>1536</v>
      </c>
      <c r="H949" s="87" t="s">
        <v>442</v>
      </c>
      <c r="I949" s="87" t="s">
        <v>65</v>
      </c>
      <c r="J949" s="90"/>
      <c r="K949" s="90">
        <v>43313</v>
      </c>
      <c r="L949" s="109">
        <v>43465</v>
      </c>
      <c r="M949" s="93">
        <v>90</v>
      </c>
      <c r="N949" s="9"/>
      <c r="O949" s="33"/>
      <c r="P949" s="33"/>
      <c r="Q949" s="9"/>
      <c r="R949" s="67"/>
      <c r="S949" s="9"/>
    </row>
    <row r="950" spans="1:19" ht="15" customHeight="1" x14ac:dyDescent="0.25">
      <c r="A950" s="4"/>
      <c r="B950" s="28" t="str">
        <f>IF(ISNUMBER(MATCH(C950, Mgt_Unit!$C$5:$C$1018, 0)), INDEX(Mgt_Unit!$B$5:$B$1018, MATCH(C950, Mgt_Unit!$C$5:$C$1018, 0)), "")</f>
        <v>jennifer.moore</v>
      </c>
      <c r="C950" t="s">
        <v>906</v>
      </c>
      <c r="D950" s="65"/>
      <c r="E950">
        <v>1</v>
      </c>
      <c r="F950" t="s">
        <v>1538</v>
      </c>
      <c r="G950" t="s">
        <v>1544</v>
      </c>
      <c r="H950" t="s">
        <v>442</v>
      </c>
      <c r="I950" t="s">
        <v>190</v>
      </c>
      <c r="J950" s="89">
        <v>42452</v>
      </c>
      <c r="K950" s="89">
        <v>42563</v>
      </c>
      <c r="L950" s="89"/>
      <c r="M950" s="31">
        <v>0</v>
      </c>
      <c r="N950" s="9"/>
      <c r="O950" s="33"/>
      <c r="P950" s="33"/>
      <c r="Q950" s="9"/>
      <c r="R950" s="67"/>
      <c r="S950" s="9"/>
    </row>
    <row r="951" spans="1:19" ht="15" customHeight="1" x14ac:dyDescent="0.25">
      <c r="A951" s="4"/>
      <c r="B951" s="28" t="str">
        <f>IF(ISNUMBER(MATCH(C951, Mgt_Unit!$C$5:$C$1018, 0)), INDEX(Mgt_Unit!$B$5:$B$1018, MATCH(C951, Mgt_Unit!$C$5:$C$1018, 0)), "")</f>
        <v>jennifer.moore</v>
      </c>
      <c r="C951" t="s">
        <v>906</v>
      </c>
      <c r="D951" s="65"/>
      <c r="E951">
        <v>2</v>
      </c>
      <c r="F951" t="s">
        <v>1538</v>
      </c>
      <c r="G951" t="s">
        <v>1544</v>
      </c>
      <c r="H951" t="s">
        <v>50</v>
      </c>
      <c r="I951" t="s">
        <v>87</v>
      </c>
      <c r="J951" s="89">
        <v>42889</v>
      </c>
      <c r="K951" s="89">
        <v>43026</v>
      </c>
      <c r="L951" s="89"/>
      <c r="M951" s="31">
        <v>0</v>
      </c>
      <c r="N951" s="9"/>
      <c r="O951" s="33"/>
      <c r="P951" s="33"/>
      <c r="Q951" s="9"/>
      <c r="R951" s="67"/>
      <c r="S951" s="9"/>
    </row>
    <row r="952" spans="1:19" ht="15" customHeight="1" x14ac:dyDescent="0.25">
      <c r="A952" s="4"/>
      <c r="B952" s="28" t="str">
        <f>IF(ISNUMBER(MATCH(C952, Mgt_Unit!$C$5:$C$1018, 0)), INDEX(Mgt_Unit!$B$5:$B$1018, MATCH(C952, Mgt_Unit!$C$5:$C$1018, 0)), "")</f>
        <v>jennifer.moore</v>
      </c>
      <c r="C952" t="s">
        <v>906</v>
      </c>
      <c r="D952" s="65"/>
      <c r="E952">
        <v>3</v>
      </c>
      <c r="F952" t="s">
        <v>1538</v>
      </c>
      <c r="G952" t="s">
        <v>1535</v>
      </c>
      <c r="H952" t="s">
        <v>441</v>
      </c>
      <c r="I952" t="s">
        <v>124</v>
      </c>
      <c r="J952" s="89">
        <v>43040</v>
      </c>
      <c r="K952" s="89"/>
      <c r="L952" s="89">
        <v>43228</v>
      </c>
      <c r="M952" s="31">
        <v>0</v>
      </c>
      <c r="N952" s="9"/>
      <c r="O952" s="33"/>
      <c r="P952" s="33"/>
      <c r="Q952" s="9"/>
      <c r="R952" s="67"/>
      <c r="S952" s="9"/>
    </row>
    <row r="953" spans="1:19" ht="15" customHeight="1" x14ac:dyDescent="0.25">
      <c r="A953" s="4"/>
      <c r="B953" s="28" t="str">
        <f>IF(ISNUMBER(MATCH(C953, Mgt_Unit!$C$5:$C$1018, 0)), INDEX(Mgt_Unit!$B$5:$B$1018, MATCH(C953, Mgt_Unit!$C$5:$C$1018, 0)), "")</f>
        <v>jennifer.moore</v>
      </c>
      <c r="C953" t="s">
        <v>906</v>
      </c>
      <c r="D953" s="65"/>
      <c r="E953">
        <v>4</v>
      </c>
      <c r="F953" t="s">
        <v>1538</v>
      </c>
      <c r="G953" t="s">
        <v>1544</v>
      </c>
      <c r="H953" t="s">
        <v>51</v>
      </c>
      <c r="I953" t="s">
        <v>137</v>
      </c>
      <c r="J953" s="89">
        <v>43265</v>
      </c>
      <c r="K953" s="89">
        <v>43391</v>
      </c>
      <c r="L953" s="89"/>
      <c r="M953" s="31">
        <v>0</v>
      </c>
      <c r="N953" s="9"/>
      <c r="O953" s="33"/>
      <c r="P953" s="33"/>
      <c r="Q953" s="9"/>
      <c r="R953" s="67"/>
      <c r="S953" s="9"/>
    </row>
    <row r="954" spans="1:19" ht="15" customHeight="1" x14ac:dyDescent="0.25">
      <c r="A954" s="4"/>
      <c r="B954" s="28" t="str">
        <f>IF(ISNUMBER(MATCH(C954, Mgt_Unit!$C$5:$C$1018, 0)), INDEX(Mgt_Unit!$B$5:$B$1018, MATCH(C954, Mgt_Unit!$C$5:$C$1018, 0)), "")</f>
        <v>jennifer.moore</v>
      </c>
      <c r="C954" s="87" t="s">
        <v>906</v>
      </c>
      <c r="D954" s="65"/>
      <c r="E954" s="87">
        <v>5</v>
      </c>
      <c r="F954" s="87" t="s">
        <v>1538</v>
      </c>
      <c r="G954" s="87" t="s">
        <v>1544</v>
      </c>
      <c r="H954" s="87" t="s">
        <v>441</v>
      </c>
      <c r="I954" s="87" t="s">
        <v>27</v>
      </c>
      <c r="J954" s="90">
        <v>43400</v>
      </c>
      <c r="K954" s="90"/>
      <c r="L954" s="90"/>
      <c r="M954" s="93">
        <v>0</v>
      </c>
      <c r="N954" s="9"/>
      <c r="O954" s="33"/>
      <c r="P954" s="33"/>
      <c r="Q954" s="9"/>
      <c r="R954" s="67"/>
      <c r="S954" s="9"/>
    </row>
    <row r="955" spans="1:19" ht="15" customHeight="1" x14ac:dyDescent="0.25">
      <c r="A955" s="4"/>
      <c r="B955" s="28" t="str">
        <f>IF(ISNUMBER(MATCH(C955, Mgt_Unit!$C$5:$C$1018, 0)), INDEX(Mgt_Unit!$B$5:$B$1018, MATCH(C955, Mgt_Unit!$C$5:$C$1018, 0)), "")</f>
        <v>jennifer.moore</v>
      </c>
      <c r="C955" t="s">
        <v>907</v>
      </c>
      <c r="D955" s="65"/>
      <c r="E955">
        <v>1</v>
      </c>
      <c r="F955" t="s">
        <v>1538</v>
      </c>
      <c r="G955" t="s">
        <v>1544</v>
      </c>
      <c r="H955" t="s">
        <v>441</v>
      </c>
      <c r="I955" t="s">
        <v>27</v>
      </c>
      <c r="J955" s="89"/>
      <c r="K955" s="89">
        <v>42563</v>
      </c>
      <c r="L955" s="89"/>
      <c r="M955" s="31">
        <v>0</v>
      </c>
      <c r="N955" s="9"/>
      <c r="O955" s="33"/>
      <c r="P955" s="33"/>
      <c r="Q955" s="9"/>
      <c r="R955" s="67"/>
      <c r="S955" s="9"/>
    </row>
    <row r="956" spans="1:19" ht="15" customHeight="1" x14ac:dyDescent="0.25">
      <c r="A956" s="4"/>
      <c r="B956" s="28" t="str">
        <f>IF(ISNUMBER(MATCH(C956, Mgt_Unit!$C$5:$C$1018, 0)), INDEX(Mgt_Unit!$B$5:$B$1018, MATCH(C956, Mgt_Unit!$C$5:$C$1018, 0)), "")</f>
        <v>jennifer.moore</v>
      </c>
      <c r="C956" t="s">
        <v>907</v>
      </c>
      <c r="D956" s="65"/>
      <c r="E956">
        <v>2</v>
      </c>
      <c r="F956" t="s">
        <v>1538</v>
      </c>
      <c r="G956" t="s">
        <v>1544</v>
      </c>
      <c r="H956" t="s">
        <v>50</v>
      </c>
      <c r="I956" t="s">
        <v>87</v>
      </c>
      <c r="J956" s="89">
        <v>42871</v>
      </c>
      <c r="K956" s="89">
        <v>43026</v>
      </c>
      <c r="L956" s="89"/>
      <c r="M956" s="31">
        <v>0</v>
      </c>
      <c r="N956" s="9"/>
      <c r="O956" s="33"/>
      <c r="P956" s="33"/>
      <c r="Q956" s="9"/>
      <c r="R956" s="67"/>
      <c r="S956" s="9"/>
    </row>
    <row r="957" spans="1:19" ht="15" customHeight="1" x14ac:dyDescent="0.25">
      <c r="A957" s="4"/>
      <c r="B957" s="28" t="str">
        <f>IF(ISNUMBER(MATCH(C957, Mgt_Unit!$C$5:$C$1018, 0)), INDEX(Mgt_Unit!$B$5:$B$1018, MATCH(C957, Mgt_Unit!$C$5:$C$1018, 0)), "")</f>
        <v>jennifer.moore</v>
      </c>
      <c r="C957" t="s">
        <v>907</v>
      </c>
      <c r="D957" s="65"/>
      <c r="E957">
        <v>3</v>
      </c>
      <c r="F957" t="s">
        <v>1538</v>
      </c>
      <c r="G957" t="s">
        <v>1544</v>
      </c>
      <c r="H957" t="s">
        <v>51</v>
      </c>
      <c r="I957" t="s">
        <v>137</v>
      </c>
      <c r="J957" s="89">
        <v>43247</v>
      </c>
      <c r="K957" s="89">
        <v>43382</v>
      </c>
      <c r="L957" s="89"/>
      <c r="M957" s="31">
        <v>0</v>
      </c>
      <c r="N957" s="9"/>
      <c r="O957" s="33"/>
      <c r="P957" s="33"/>
      <c r="Q957" s="9"/>
      <c r="R957" s="67"/>
      <c r="S957" s="9"/>
    </row>
    <row r="958" spans="1:19" ht="15" customHeight="1" x14ac:dyDescent="0.25">
      <c r="A958" s="4"/>
      <c r="B958" s="28" t="str">
        <f>IF(ISNUMBER(MATCH(C958, Mgt_Unit!$C$5:$C$1018, 0)), INDEX(Mgt_Unit!$B$5:$B$1018, MATCH(C958, Mgt_Unit!$C$5:$C$1018, 0)), "")</f>
        <v>jennifer.moore</v>
      </c>
      <c r="C958" s="87" t="s">
        <v>907</v>
      </c>
      <c r="D958" s="65"/>
      <c r="E958" s="87">
        <v>4</v>
      </c>
      <c r="F958" s="87" t="s">
        <v>1538</v>
      </c>
      <c r="G958" s="87" t="s">
        <v>1544</v>
      </c>
      <c r="H958" s="87" t="s">
        <v>441</v>
      </c>
      <c r="I958" s="87" t="s">
        <v>27</v>
      </c>
      <c r="J958" s="90">
        <v>43392</v>
      </c>
      <c r="K958" s="90"/>
      <c r="L958" s="90"/>
      <c r="M958" s="93"/>
      <c r="N958" s="9"/>
      <c r="O958" s="33"/>
      <c r="P958" s="33"/>
      <c r="Q958" s="9"/>
      <c r="R958" s="67"/>
      <c r="S958" s="9"/>
    </row>
    <row r="959" spans="1:19" ht="15" customHeight="1" x14ac:dyDescent="0.25">
      <c r="A959" s="4"/>
      <c r="B959" s="28" t="str">
        <f>IF(ISNUMBER(MATCH(C959, Mgt_Unit!$C$5:$C$1018, 0)), INDEX(Mgt_Unit!$B$5:$B$1018, MATCH(C959, Mgt_Unit!$C$5:$C$1018, 0)), "")</f>
        <v>jennifer.moore</v>
      </c>
      <c r="C959" t="s">
        <v>908</v>
      </c>
      <c r="D959" s="65"/>
      <c r="E959">
        <v>1</v>
      </c>
      <c r="F959" t="s">
        <v>1538</v>
      </c>
      <c r="G959" t="s">
        <v>1544</v>
      </c>
      <c r="H959" t="s">
        <v>441</v>
      </c>
      <c r="I959" t="s">
        <v>27</v>
      </c>
      <c r="J959" s="89"/>
      <c r="K959" s="89">
        <v>42563</v>
      </c>
      <c r="L959" s="89"/>
      <c r="M959" s="31">
        <v>0</v>
      </c>
      <c r="N959" s="9"/>
      <c r="O959" s="33"/>
      <c r="P959" s="33"/>
      <c r="Q959" s="9"/>
      <c r="R959" s="67"/>
      <c r="S959" s="9"/>
    </row>
    <row r="960" spans="1:19" ht="15" customHeight="1" x14ac:dyDescent="0.25">
      <c r="A960" s="4"/>
      <c r="B960" s="28" t="str">
        <f>IF(ISNUMBER(MATCH(C960, Mgt_Unit!$C$5:$C$1018, 0)), INDEX(Mgt_Unit!$B$5:$B$1018, MATCH(C960, Mgt_Unit!$C$5:$C$1018, 0)), "")</f>
        <v>jennifer.moore</v>
      </c>
      <c r="C960" t="s">
        <v>908</v>
      </c>
      <c r="D960" s="65"/>
      <c r="E960">
        <v>2</v>
      </c>
      <c r="F960" t="s">
        <v>1538</v>
      </c>
      <c r="G960" t="s">
        <v>1544</v>
      </c>
      <c r="H960" t="s">
        <v>50</v>
      </c>
      <c r="I960" t="s">
        <v>87</v>
      </c>
      <c r="J960" s="89">
        <v>42870</v>
      </c>
      <c r="K960" s="89">
        <v>43026</v>
      </c>
      <c r="L960" s="89"/>
      <c r="M960" s="31">
        <v>0</v>
      </c>
      <c r="N960" s="9"/>
      <c r="O960" s="33"/>
      <c r="P960" s="33"/>
      <c r="Q960" s="9"/>
      <c r="R960" s="67"/>
      <c r="S960" s="9"/>
    </row>
    <row r="961" spans="1:19" ht="15" customHeight="1" x14ac:dyDescent="0.25">
      <c r="A961" s="4"/>
      <c r="B961" s="28" t="str">
        <f>IF(ISNUMBER(MATCH(C961, Mgt_Unit!$C$5:$C$1018, 0)), INDEX(Mgt_Unit!$B$5:$B$1018, MATCH(C961, Mgt_Unit!$C$5:$C$1018, 0)), "")</f>
        <v>jennifer.moore</v>
      </c>
      <c r="C961" t="s">
        <v>908</v>
      </c>
      <c r="D961" s="65"/>
      <c r="E961">
        <v>3</v>
      </c>
      <c r="F961" t="s">
        <v>1538</v>
      </c>
      <c r="G961" t="s">
        <v>1544</v>
      </c>
      <c r="H961" t="s">
        <v>51</v>
      </c>
      <c r="I961" t="s">
        <v>137</v>
      </c>
      <c r="J961" s="89">
        <v>43245</v>
      </c>
      <c r="K961" s="89">
        <v>43382</v>
      </c>
      <c r="L961" s="89"/>
      <c r="M961" s="31">
        <v>0</v>
      </c>
      <c r="N961" s="9"/>
      <c r="O961" s="33"/>
      <c r="P961" s="33"/>
      <c r="Q961" s="9"/>
      <c r="R961" s="67"/>
      <c r="S961" s="9"/>
    </row>
    <row r="962" spans="1:19" ht="15" customHeight="1" x14ac:dyDescent="0.25">
      <c r="A962" s="4"/>
      <c r="B962" s="28" t="str">
        <f>IF(ISNUMBER(MATCH(C962, Mgt_Unit!$C$5:$C$1018, 0)), INDEX(Mgt_Unit!$B$5:$B$1018, MATCH(C962, Mgt_Unit!$C$5:$C$1018, 0)), "")</f>
        <v>jennifer.moore</v>
      </c>
      <c r="C962" s="87" t="s">
        <v>908</v>
      </c>
      <c r="D962" s="65"/>
      <c r="E962" s="87">
        <v>4</v>
      </c>
      <c r="F962" s="87" t="s">
        <v>1538</v>
      </c>
      <c r="G962" s="87" t="s">
        <v>1544</v>
      </c>
      <c r="H962" s="87" t="s">
        <v>441</v>
      </c>
      <c r="I962" s="87" t="s">
        <v>27</v>
      </c>
      <c r="J962" s="90">
        <v>43383</v>
      </c>
      <c r="K962" s="90"/>
      <c r="L962" s="90"/>
      <c r="M962" s="93"/>
      <c r="N962" s="9"/>
      <c r="O962" s="33"/>
      <c r="P962" s="33"/>
      <c r="Q962" s="9"/>
      <c r="R962" s="67"/>
      <c r="S962" s="9"/>
    </row>
    <row r="963" spans="1:19" ht="15" customHeight="1" x14ac:dyDescent="0.25">
      <c r="A963" s="4"/>
      <c r="B963" s="28" t="str">
        <f>IF(ISNUMBER(MATCH(C963, Mgt_Unit!$C$5:$C$1018, 0)), INDEX(Mgt_Unit!$B$5:$B$1018, MATCH(C963, Mgt_Unit!$C$5:$C$1018, 0)), "")</f>
        <v>jennifer.moore</v>
      </c>
      <c r="C963" t="s">
        <v>909</v>
      </c>
      <c r="D963" s="65"/>
      <c r="E963">
        <v>1</v>
      </c>
      <c r="F963" t="s">
        <v>1538</v>
      </c>
      <c r="G963" t="s">
        <v>1544</v>
      </c>
      <c r="H963" t="s">
        <v>441</v>
      </c>
      <c r="I963" t="s">
        <v>27</v>
      </c>
      <c r="J963" s="89"/>
      <c r="K963" s="89">
        <v>42563</v>
      </c>
      <c r="L963" s="89"/>
      <c r="M963" s="31">
        <v>0</v>
      </c>
      <c r="N963" s="9"/>
      <c r="O963" s="33"/>
      <c r="P963" s="33"/>
      <c r="Q963" s="9"/>
      <c r="R963" s="67"/>
      <c r="S963" s="9"/>
    </row>
    <row r="964" spans="1:19" ht="15" customHeight="1" x14ac:dyDescent="0.25">
      <c r="A964" s="4"/>
      <c r="B964" s="28" t="str">
        <f>IF(ISNUMBER(MATCH(C964, Mgt_Unit!$C$5:$C$1018, 0)), INDEX(Mgt_Unit!$B$5:$B$1018, MATCH(C964, Mgt_Unit!$C$5:$C$1018, 0)), "")</f>
        <v>jennifer.moore</v>
      </c>
      <c r="C964" t="s">
        <v>909</v>
      </c>
      <c r="D964" s="65"/>
      <c r="E964">
        <v>2</v>
      </c>
      <c r="F964" t="s">
        <v>1538</v>
      </c>
      <c r="G964" t="s">
        <v>1535</v>
      </c>
      <c r="H964" t="s">
        <v>442</v>
      </c>
      <c r="I964" t="s">
        <v>190</v>
      </c>
      <c r="J964" s="89">
        <v>42585</v>
      </c>
      <c r="K964" s="89"/>
      <c r="L964" s="89">
        <v>42868</v>
      </c>
      <c r="M964" s="31">
        <v>0</v>
      </c>
      <c r="N964" s="9"/>
      <c r="O964" s="33"/>
      <c r="P964" s="33"/>
      <c r="Q964" s="9"/>
      <c r="R964" s="67"/>
      <c r="S964" s="9"/>
    </row>
    <row r="965" spans="1:19" ht="15" customHeight="1" x14ac:dyDescent="0.25">
      <c r="A965" s="4"/>
      <c r="B965" s="28" t="str">
        <f>IF(ISNUMBER(MATCH(C965, Mgt_Unit!$C$5:$C$1018, 0)), INDEX(Mgt_Unit!$B$5:$B$1018, MATCH(C965, Mgt_Unit!$C$5:$C$1018, 0)), "")</f>
        <v>jennifer.moore</v>
      </c>
      <c r="C965" t="s">
        <v>909</v>
      </c>
      <c r="D965" s="65"/>
      <c r="E965">
        <v>3</v>
      </c>
      <c r="F965" t="s">
        <v>1538</v>
      </c>
      <c r="G965" t="s">
        <v>1544</v>
      </c>
      <c r="H965" t="s">
        <v>50</v>
      </c>
      <c r="I965" t="s">
        <v>87</v>
      </c>
      <c r="J965" s="89">
        <v>42879</v>
      </c>
      <c r="K965" s="89">
        <v>43026</v>
      </c>
      <c r="L965" s="89"/>
      <c r="M965" s="31">
        <v>0</v>
      </c>
      <c r="N965" s="9"/>
      <c r="O965" s="33"/>
      <c r="P965" s="33"/>
      <c r="Q965" s="9"/>
      <c r="R965" s="67"/>
      <c r="S965" s="9"/>
    </row>
    <row r="966" spans="1:19" ht="15" customHeight="1" x14ac:dyDescent="0.25">
      <c r="A966" s="4"/>
      <c r="B966" s="28" t="str">
        <f>IF(ISNUMBER(MATCH(C966, Mgt_Unit!$C$5:$C$1018, 0)), INDEX(Mgt_Unit!$B$5:$B$1018, MATCH(C966, Mgt_Unit!$C$5:$C$1018, 0)), "")</f>
        <v>jennifer.moore</v>
      </c>
      <c r="C966" t="s">
        <v>909</v>
      </c>
      <c r="D966" s="65"/>
      <c r="E966">
        <v>4</v>
      </c>
      <c r="F966" t="s">
        <v>1538</v>
      </c>
      <c r="G966" t="s">
        <v>1535</v>
      </c>
      <c r="H966" t="s">
        <v>441</v>
      </c>
      <c r="I966" t="s">
        <v>124</v>
      </c>
      <c r="J966" s="89">
        <v>43047</v>
      </c>
      <c r="K966" s="89"/>
      <c r="L966" s="89">
        <v>43229</v>
      </c>
      <c r="M966" s="31">
        <v>0</v>
      </c>
      <c r="N966" s="9"/>
      <c r="O966" s="33"/>
      <c r="P966" s="33"/>
      <c r="Q966" s="9"/>
      <c r="R966" s="67"/>
      <c r="S966" s="9"/>
    </row>
    <row r="967" spans="1:19" ht="15" customHeight="1" x14ac:dyDescent="0.25">
      <c r="A967" s="4"/>
      <c r="B967" s="28" t="str">
        <f>IF(ISNUMBER(MATCH(C967, Mgt_Unit!$C$5:$C$1018, 0)), INDEX(Mgt_Unit!$B$5:$B$1018, MATCH(C967, Mgt_Unit!$C$5:$C$1018, 0)), "")</f>
        <v>jennifer.moore</v>
      </c>
      <c r="C967" t="s">
        <v>909</v>
      </c>
      <c r="D967" s="65"/>
      <c r="E967">
        <v>5</v>
      </c>
      <c r="F967" t="s">
        <v>1538</v>
      </c>
      <c r="G967" t="s">
        <v>1544</v>
      </c>
      <c r="H967" t="s">
        <v>51</v>
      </c>
      <c r="I967" t="s">
        <v>137</v>
      </c>
      <c r="J967" s="89">
        <v>43249</v>
      </c>
      <c r="K967" s="89">
        <v>43382</v>
      </c>
      <c r="L967" s="89"/>
      <c r="M967" s="31">
        <v>0</v>
      </c>
      <c r="N967" s="9"/>
      <c r="O967" s="33"/>
      <c r="P967" s="33"/>
      <c r="Q967" s="9"/>
      <c r="R967" s="67"/>
      <c r="S967" s="9"/>
    </row>
    <row r="968" spans="1:19" ht="15" customHeight="1" x14ac:dyDescent="0.25">
      <c r="A968" s="4"/>
      <c r="B968" s="28" t="str">
        <f>IF(ISNUMBER(MATCH(C968, Mgt_Unit!$C$5:$C$1018, 0)), INDEX(Mgt_Unit!$B$5:$B$1018, MATCH(C968, Mgt_Unit!$C$5:$C$1018, 0)), "")</f>
        <v>jennifer.moore</v>
      </c>
      <c r="C968" s="87" t="s">
        <v>909</v>
      </c>
      <c r="D968" s="65"/>
      <c r="E968" s="87">
        <v>6</v>
      </c>
      <c r="F968" s="87" t="s">
        <v>1538</v>
      </c>
      <c r="G968" s="87" t="s">
        <v>1544</v>
      </c>
      <c r="H968" s="87" t="s">
        <v>441</v>
      </c>
      <c r="I968" s="87" t="s">
        <v>27</v>
      </c>
      <c r="J968" s="90">
        <v>43399</v>
      </c>
      <c r="K968" s="90"/>
      <c r="L968" s="90"/>
      <c r="M968" s="93"/>
      <c r="N968" s="9"/>
      <c r="O968" s="33"/>
      <c r="P968" s="33"/>
      <c r="Q968" s="9"/>
      <c r="R968" s="67"/>
      <c r="S968" s="9"/>
    </row>
    <row r="969" spans="1:19" ht="15" customHeight="1" x14ac:dyDescent="0.25">
      <c r="A969" s="4"/>
      <c r="B969" s="28" t="str">
        <f>IF(ISNUMBER(MATCH(C969, Mgt_Unit!$C$5:$C$1018, 0)), INDEX(Mgt_Unit!$B$5:$B$1018, MATCH(C969, Mgt_Unit!$C$5:$C$1018, 0)), "")</f>
        <v>jennifer.moore</v>
      </c>
      <c r="C969" s="101" t="s">
        <v>1318</v>
      </c>
      <c r="D969" s="65"/>
      <c r="E969" s="101">
        <v>1</v>
      </c>
      <c r="F969" s="101" t="s">
        <v>1537</v>
      </c>
      <c r="G969" s="101" t="s">
        <v>1536</v>
      </c>
      <c r="H969" s="101" t="s">
        <v>1549</v>
      </c>
      <c r="I969" s="101" t="s">
        <v>1554</v>
      </c>
      <c r="J969" s="103">
        <v>43101</v>
      </c>
      <c r="K969" s="103"/>
      <c r="L969" s="103">
        <v>43465</v>
      </c>
      <c r="M969" s="97">
        <v>100</v>
      </c>
      <c r="N969" s="9"/>
      <c r="O969" s="33"/>
      <c r="P969" s="33"/>
      <c r="Q969" s="9"/>
      <c r="R969" s="67"/>
      <c r="S969" s="9"/>
    </row>
    <row r="970" spans="1:19" ht="15" customHeight="1" x14ac:dyDescent="0.25">
      <c r="A970" s="4"/>
      <c r="B970" s="28" t="str">
        <f>IF(ISNUMBER(MATCH(C970, Mgt_Unit!$C$5:$C$1018, 0)), INDEX(Mgt_Unit!$B$5:$B$1018, MATCH(C970, Mgt_Unit!$C$5:$C$1018, 0)), "")</f>
        <v>jennifer.moore</v>
      </c>
      <c r="C970" t="s">
        <v>910</v>
      </c>
      <c r="D970" s="65"/>
      <c r="E970">
        <v>1</v>
      </c>
      <c r="F970" t="s">
        <v>1538</v>
      </c>
      <c r="G970" t="s">
        <v>1544</v>
      </c>
      <c r="H970" t="s">
        <v>441</v>
      </c>
      <c r="I970" t="s">
        <v>27</v>
      </c>
      <c r="J970" s="89"/>
      <c r="K970" s="89">
        <v>42570</v>
      </c>
      <c r="L970" s="89"/>
      <c r="M970" s="31">
        <v>0</v>
      </c>
      <c r="N970" s="9"/>
      <c r="O970" s="33"/>
      <c r="P970" s="33"/>
      <c r="Q970" s="9"/>
      <c r="R970" s="67"/>
      <c r="S970" s="9"/>
    </row>
    <row r="971" spans="1:19" ht="15" customHeight="1" x14ac:dyDescent="0.25">
      <c r="A971" s="4"/>
      <c r="B971" s="28" t="str">
        <f>IF(ISNUMBER(MATCH(C971, Mgt_Unit!$C$5:$C$1018, 0)), INDEX(Mgt_Unit!$B$5:$B$1018, MATCH(C971, Mgt_Unit!$C$5:$C$1018, 0)), "")</f>
        <v>jennifer.moore</v>
      </c>
      <c r="C971" t="s">
        <v>910</v>
      </c>
      <c r="D971" s="65"/>
      <c r="E971">
        <v>2</v>
      </c>
      <c r="F971" t="s">
        <v>1538</v>
      </c>
      <c r="G971" t="s">
        <v>1544</v>
      </c>
      <c r="H971" t="s">
        <v>50</v>
      </c>
      <c r="I971" t="s">
        <v>87</v>
      </c>
      <c r="J971" s="89">
        <v>42865</v>
      </c>
      <c r="K971" s="89">
        <v>43035</v>
      </c>
      <c r="L971" s="89"/>
      <c r="M971" s="31">
        <v>0</v>
      </c>
      <c r="N971" s="9"/>
      <c r="O971" s="33"/>
      <c r="P971" s="33"/>
      <c r="Q971" s="9"/>
      <c r="R971" s="67"/>
      <c r="S971" s="9"/>
    </row>
    <row r="972" spans="1:19" ht="15" customHeight="1" x14ac:dyDescent="0.25">
      <c r="A972" s="4"/>
      <c r="B972" s="28" t="str">
        <f>IF(ISNUMBER(MATCH(C972, Mgt_Unit!$C$5:$C$1018, 0)), INDEX(Mgt_Unit!$B$5:$B$1018, MATCH(C972, Mgt_Unit!$C$5:$C$1018, 0)), "")</f>
        <v>jennifer.moore</v>
      </c>
      <c r="C972" t="s">
        <v>910</v>
      </c>
      <c r="D972" s="65"/>
      <c r="E972">
        <v>3</v>
      </c>
      <c r="F972" t="s">
        <v>1538</v>
      </c>
      <c r="G972" t="s">
        <v>1544</v>
      </c>
      <c r="H972" t="s">
        <v>51</v>
      </c>
      <c r="I972" t="s">
        <v>137</v>
      </c>
      <c r="J972" s="89">
        <v>43246</v>
      </c>
      <c r="K972" s="89">
        <v>43389</v>
      </c>
      <c r="L972" s="89"/>
      <c r="M972" s="31">
        <v>0</v>
      </c>
      <c r="N972" s="9"/>
      <c r="O972" s="33"/>
      <c r="P972" s="33"/>
      <c r="Q972" s="9"/>
      <c r="R972" s="67"/>
      <c r="S972" s="9"/>
    </row>
    <row r="973" spans="1:19" ht="15" customHeight="1" x14ac:dyDescent="0.25">
      <c r="A973" s="4"/>
      <c r="B973" s="28" t="str">
        <f>IF(ISNUMBER(MATCH(C973, Mgt_Unit!$C$5:$C$1018, 0)), INDEX(Mgt_Unit!$B$5:$B$1018, MATCH(C973, Mgt_Unit!$C$5:$C$1018, 0)), "")</f>
        <v>jennifer.moore</v>
      </c>
      <c r="C973" s="87" t="s">
        <v>910</v>
      </c>
      <c r="D973" s="65"/>
      <c r="E973" s="87">
        <v>4</v>
      </c>
      <c r="F973" s="87" t="s">
        <v>1538</v>
      </c>
      <c r="G973" s="87" t="s">
        <v>1544</v>
      </c>
      <c r="H973" s="87" t="s">
        <v>441</v>
      </c>
      <c r="I973" s="87" t="s">
        <v>27</v>
      </c>
      <c r="J973" s="90">
        <v>43390</v>
      </c>
      <c r="K973" s="90"/>
      <c r="L973" s="90"/>
      <c r="M973" s="93"/>
      <c r="N973" s="9"/>
      <c r="O973" s="33"/>
      <c r="P973" s="33"/>
      <c r="Q973" s="9"/>
      <c r="R973" s="67"/>
      <c r="S973" s="9"/>
    </row>
    <row r="974" spans="1:19" ht="15" customHeight="1" x14ac:dyDescent="0.25">
      <c r="A974" s="4"/>
      <c r="B974" s="28" t="str">
        <f>IF(ISNUMBER(MATCH(C974, Mgt_Unit!$C$5:$C$1018, 0)), INDEX(Mgt_Unit!$B$5:$B$1018, MATCH(C974, Mgt_Unit!$C$5:$C$1018, 0)), "")</f>
        <v>jennifer.moore</v>
      </c>
      <c r="C974" s="107" t="s">
        <v>1316</v>
      </c>
      <c r="D974" s="65"/>
      <c r="E974" s="107">
        <v>1</v>
      </c>
      <c r="F974" s="107" t="s">
        <v>1538</v>
      </c>
      <c r="G974" s="107" t="s">
        <v>1536</v>
      </c>
      <c r="H974" s="107" t="s">
        <v>52</v>
      </c>
      <c r="I974" s="107" t="s">
        <v>1540</v>
      </c>
      <c r="J974" s="109">
        <v>39945</v>
      </c>
      <c r="K974" s="109"/>
      <c r="L974" s="109">
        <v>43465</v>
      </c>
      <c r="M974" s="110">
        <v>0</v>
      </c>
      <c r="N974" s="9"/>
      <c r="O974" s="33"/>
      <c r="P974" s="33"/>
      <c r="Q974" s="9"/>
      <c r="R974" s="67"/>
      <c r="S974" s="9"/>
    </row>
    <row r="975" spans="1:19" ht="15" customHeight="1" x14ac:dyDescent="0.25">
      <c r="A975" s="4"/>
      <c r="B975" s="28" t="str">
        <f>IF(ISNUMBER(MATCH(C975, Mgt_Unit!$C$5:$C$1018, 0)), INDEX(Mgt_Unit!$B$5:$B$1018, MATCH(C975, Mgt_Unit!$C$5:$C$1018, 0)), "")</f>
        <v>jennifer.moore</v>
      </c>
      <c r="C975" t="s">
        <v>911</v>
      </c>
      <c r="D975" s="65"/>
      <c r="E975">
        <v>1</v>
      </c>
      <c r="F975" t="s">
        <v>1538</v>
      </c>
      <c r="G975" t="s">
        <v>1544</v>
      </c>
      <c r="H975" t="s">
        <v>50</v>
      </c>
      <c r="I975" t="s">
        <v>87</v>
      </c>
      <c r="J975" s="89">
        <v>42864</v>
      </c>
      <c r="K975" s="89">
        <v>43038</v>
      </c>
      <c r="L975" s="89"/>
      <c r="M975" s="31">
        <v>0</v>
      </c>
      <c r="N975" s="9"/>
      <c r="O975" s="33"/>
      <c r="P975" s="33"/>
      <c r="Q975" s="9"/>
      <c r="R975" s="67"/>
      <c r="S975" s="9"/>
    </row>
    <row r="976" spans="1:19" ht="15" customHeight="1" x14ac:dyDescent="0.25">
      <c r="A976" s="4"/>
      <c r="B976" s="28" t="str">
        <f>IF(ISNUMBER(MATCH(C976, Mgt_Unit!$C$5:$C$1018, 0)), INDEX(Mgt_Unit!$B$5:$B$1018, MATCH(C976, Mgt_Unit!$C$5:$C$1018, 0)), "")</f>
        <v>jennifer.moore</v>
      </c>
      <c r="C976" t="s">
        <v>911</v>
      </c>
      <c r="D976" s="65"/>
      <c r="E976">
        <v>2</v>
      </c>
      <c r="F976" t="s">
        <v>1538</v>
      </c>
      <c r="G976" t="s">
        <v>1535</v>
      </c>
      <c r="H976" t="s">
        <v>441</v>
      </c>
      <c r="I976" t="s">
        <v>124</v>
      </c>
      <c r="J976" s="89">
        <v>43039</v>
      </c>
      <c r="K976" s="89"/>
      <c r="L976" s="89">
        <v>43221</v>
      </c>
      <c r="M976" s="31">
        <v>0</v>
      </c>
      <c r="N976" s="9"/>
      <c r="O976" s="33"/>
      <c r="P976" s="33"/>
      <c r="Q976" s="9"/>
      <c r="R976" s="67"/>
      <c r="S976" s="9"/>
    </row>
    <row r="977" spans="1:19" ht="15" customHeight="1" x14ac:dyDescent="0.25">
      <c r="A977" s="4"/>
      <c r="B977" s="28" t="str">
        <f>IF(ISNUMBER(MATCH(C977, Mgt_Unit!$C$5:$C$1018, 0)), INDEX(Mgt_Unit!$B$5:$B$1018, MATCH(C977, Mgt_Unit!$C$5:$C$1018, 0)), "")</f>
        <v>jennifer.moore</v>
      </c>
      <c r="C977" t="s">
        <v>911</v>
      </c>
      <c r="D977" s="65"/>
      <c r="E977">
        <v>3</v>
      </c>
      <c r="F977" t="s">
        <v>1538</v>
      </c>
      <c r="G977" t="s">
        <v>1544</v>
      </c>
      <c r="H977" t="s">
        <v>51</v>
      </c>
      <c r="I977" t="s">
        <v>137</v>
      </c>
      <c r="J977" s="89">
        <v>43222</v>
      </c>
      <c r="K977" s="89">
        <v>43378</v>
      </c>
      <c r="L977" s="89"/>
      <c r="M977" s="31">
        <v>0</v>
      </c>
      <c r="N977" s="9"/>
      <c r="O977" s="33"/>
      <c r="P977" s="33"/>
      <c r="Q977" s="9"/>
      <c r="R977" s="67"/>
      <c r="S977" s="9"/>
    </row>
    <row r="978" spans="1:19" ht="15" customHeight="1" x14ac:dyDescent="0.25">
      <c r="A978" s="4"/>
      <c r="B978" s="28" t="str">
        <f>IF(ISNUMBER(MATCH(C978, Mgt_Unit!$C$5:$C$1018, 0)), INDEX(Mgt_Unit!$B$5:$B$1018, MATCH(C978, Mgt_Unit!$C$5:$C$1018, 0)), "")</f>
        <v>jennifer.moore</v>
      </c>
      <c r="C978" s="87" t="s">
        <v>911</v>
      </c>
      <c r="D978" s="65"/>
      <c r="E978" s="87">
        <v>4</v>
      </c>
      <c r="F978" s="87" t="s">
        <v>1538</v>
      </c>
      <c r="G978" s="87" t="s">
        <v>1535</v>
      </c>
      <c r="H978" s="87" t="s">
        <v>441</v>
      </c>
      <c r="I978" s="87" t="s">
        <v>124</v>
      </c>
      <c r="J978" s="90">
        <v>43381</v>
      </c>
      <c r="K978" s="90"/>
      <c r="L978" s="90"/>
      <c r="M978" s="93"/>
      <c r="N978" s="9"/>
      <c r="O978" s="33"/>
      <c r="P978" s="33"/>
      <c r="Q978" s="9"/>
      <c r="R978" s="67"/>
      <c r="S978" s="9"/>
    </row>
    <row r="979" spans="1:19" ht="15" customHeight="1" x14ac:dyDescent="0.25">
      <c r="A979" s="4"/>
      <c r="B979" s="28" t="str">
        <f>IF(ISNUMBER(MATCH(C979, Mgt_Unit!$C$5:$C$1018, 0)), INDEX(Mgt_Unit!$B$5:$B$1018, MATCH(C979, Mgt_Unit!$C$5:$C$1018, 0)), "")</f>
        <v>jennifer.moore</v>
      </c>
      <c r="C979" t="s">
        <v>912</v>
      </c>
      <c r="D979" s="65"/>
      <c r="E979">
        <v>1</v>
      </c>
      <c r="F979" t="s">
        <v>1538</v>
      </c>
      <c r="G979" t="s">
        <v>1544</v>
      </c>
      <c r="H979" t="s">
        <v>50</v>
      </c>
      <c r="I979" t="s">
        <v>87</v>
      </c>
      <c r="J979" s="89">
        <v>41751</v>
      </c>
      <c r="K979" s="89">
        <v>41933</v>
      </c>
      <c r="L979" s="89"/>
      <c r="M979" s="31">
        <v>0</v>
      </c>
      <c r="N979" s="9"/>
      <c r="O979" s="33"/>
      <c r="P979" s="33"/>
      <c r="Q979" s="9"/>
      <c r="R979" s="67"/>
      <c r="S979" s="9"/>
    </row>
    <row r="980" spans="1:19" ht="15" customHeight="1" x14ac:dyDescent="0.25">
      <c r="A980" s="4"/>
      <c r="B980" s="28" t="str">
        <f>IF(ISNUMBER(MATCH(C980, Mgt_Unit!$C$5:$C$1018, 0)), INDEX(Mgt_Unit!$B$5:$B$1018, MATCH(C980, Mgt_Unit!$C$5:$C$1018, 0)), "")</f>
        <v>jennifer.moore</v>
      </c>
      <c r="C980" t="s">
        <v>912</v>
      </c>
      <c r="D980" s="65"/>
      <c r="E980">
        <v>2</v>
      </c>
      <c r="F980" t="s">
        <v>1538</v>
      </c>
      <c r="G980" t="s">
        <v>1544</v>
      </c>
      <c r="H980" t="s">
        <v>50</v>
      </c>
      <c r="I980" t="s">
        <v>87</v>
      </c>
      <c r="J980" s="89">
        <v>42116</v>
      </c>
      <c r="K980" s="89">
        <v>42298</v>
      </c>
      <c r="L980" s="89"/>
      <c r="M980" s="31">
        <v>0</v>
      </c>
      <c r="N980" s="9"/>
      <c r="O980" s="33"/>
      <c r="P980" s="33"/>
      <c r="Q980" s="9"/>
      <c r="R980" s="67"/>
      <c r="S980" s="9"/>
    </row>
    <row r="981" spans="1:19" ht="15" customHeight="1" x14ac:dyDescent="0.25">
      <c r="A981" s="4"/>
      <c r="B981" s="28" t="str">
        <f>IF(ISNUMBER(MATCH(C981, Mgt_Unit!$C$5:$C$1018, 0)), INDEX(Mgt_Unit!$B$5:$B$1018, MATCH(C981, Mgt_Unit!$C$5:$C$1018, 0)), "")</f>
        <v>jennifer.moore</v>
      </c>
      <c r="C981" t="s">
        <v>912</v>
      </c>
      <c r="D981" s="65"/>
      <c r="E981">
        <v>3</v>
      </c>
      <c r="F981" t="s">
        <v>1538</v>
      </c>
      <c r="G981" t="s">
        <v>1536</v>
      </c>
      <c r="H981" t="s">
        <v>442</v>
      </c>
      <c r="I981" t="s">
        <v>65</v>
      </c>
      <c r="J981" s="89">
        <v>42475</v>
      </c>
      <c r="K981" s="89">
        <v>42564</v>
      </c>
      <c r="L981" s="89"/>
      <c r="M981" s="31">
        <v>90</v>
      </c>
      <c r="N981" s="9"/>
      <c r="O981" s="33"/>
      <c r="P981" s="33"/>
      <c r="Q981" s="9"/>
      <c r="R981" s="67"/>
      <c r="S981" s="9"/>
    </row>
    <row r="982" spans="1:19" ht="15" customHeight="1" x14ac:dyDescent="0.25">
      <c r="A982" s="4"/>
      <c r="B982" s="28" t="str">
        <f>IF(ISNUMBER(MATCH(C982, Mgt_Unit!$C$5:$C$1018, 0)), INDEX(Mgt_Unit!$B$5:$B$1018, MATCH(C982, Mgt_Unit!$C$5:$C$1018, 0)), "")</f>
        <v>jennifer.moore</v>
      </c>
      <c r="C982" t="s">
        <v>912</v>
      </c>
      <c r="D982" s="65"/>
      <c r="E982">
        <v>3</v>
      </c>
      <c r="F982" t="s">
        <v>1538</v>
      </c>
      <c r="G982" t="s">
        <v>1536</v>
      </c>
      <c r="H982" t="s">
        <v>442</v>
      </c>
      <c r="I982" t="s">
        <v>65</v>
      </c>
      <c r="J982" s="89"/>
      <c r="K982" s="89">
        <v>42612</v>
      </c>
      <c r="L982" s="89"/>
      <c r="M982" s="31">
        <v>90</v>
      </c>
      <c r="N982" s="9"/>
      <c r="O982" s="33"/>
      <c r="P982" s="33"/>
      <c r="Q982" s="9"/>
      <c r="R982" s="67"/>
      <c r="S982" s="9"/>
    </row>
    <row r="983" spans="1:19" ht="15" customHeight="1" x14ac:dyDescent="0.25">
      <c r="A983" s="4"/>
      <c r="B983" s="28" t="str">
        <f>IF(ISNUMBER(MATCH(C983, Mgt_Unit!$C$5:$C$1018, 0)), INDEX(Mgt_Unit!$B$5:$B$1018, MATCH(C983, Mgt_Unit!$C$5:$C$1018, 0)), "")</f>
        <v>jennifer.moore</v>
      </c>
      <c r="C983" t="s">
        <v>912</v>
      </c>
      <c r="D983" s="65"/>
      <c r="E983">
        <v>3</v>
      </c>
      <c r="F983" t="s">
        <v>1538</v>
      </c>
      <c r="G983" t="s">
        <v>1536</v>
      </c>
      <c r="H983" t="s">
        <v>442</v>
      </c>
      <c r="I983" t="s">
        <v>65</v>
      </c>
      <c r="J983" s="89"/>
      <c r="K983" s="89">
        <v>42884</v>
      </c>
      <c r="L983" s="89"/>
      <c r="M983" s="31">
        <v>90</v>
      </c>
      <c r="N983" s="9"/>
      <c r="O983" s="33"/>
      <c r="P983" s="33"/>
      <c r="Q983" s="9"/>
      <c r="R983" s="67"/>
      <c r="S983" s="9"/>
    </row>
    <row r="984" spans="1:19" ht="15" customHeight="1" x14ac:dyDescent="0.25">
      <c r="A984" s="4"/>
      <c r="B984" s="28" t="str">
        <f>IF(ISNUMBER(MATCH(C984, Mgt_Unit!$C$5:$C$1018, 0)), INDEX(Mgt_Unit!$B$5:$B$1018, MATCH(C984, Mgt_Unit!$C$5:$C$1018, 0)), "")</f>
        <v>jennifer.moore</v>
      </c>
      <c r="C984" t="s">
        <v>912</v>
      </c>
      <c r="D984" s="65"/>
      <c r="E984">
        <v>3</v>
      </c>
      <c r="F984" t="s">
        <v>1538</v>
      </c>
      <c r="G984" t="s">
        <v>1536</v>
      </c>
      <c r="H984" t="s">
        <v>442</v>
      </c>
      <c r="I984" t="s">
        <v>65</v>
      </c>
      <c r="J984" s="89"/>
      <c r="K984" s="89">
        <v>42915</v>
      </c>
      <c r="L984" s="89"/>
      <c r="M984" s="31">
        <v>90</v>
      </c>
      <c r="N984" s="9"/>
      <c r="O984" s="33"/>
      <c r="P984" s="33"/>
      <c r="Q984" s="9"/>
      <c r="R984" s="67"/>
      <c r="S984" s="9"/>
    </row>
    <row r="985" spans="1:19" ht="15" customHeight="1" x14ac:dyDescent="0.25">
      <c r="A985" s="4"/>
      <c r="B985" s="28" t="str">
        <f>IF(ISNUMBER(MATCH(C985, Mgt_Unit!$C$5:$C$1018, 0)), INDEX(Mgt_Unit!$B$5:$B$1018, MATCH(C985, Mgt_Unit!$C$5:$C$1018, 0)), "")</f>
        <v>jennifer.moore</v>
      </c>
      <c r="C985" t="s">
        <v>912</v>
      </c>
      <c r="D985" s="65"/>
      <c r="E985">
        <v>3</v>
      </c>
      <c r="F985" t="s">
        <v>1538</v>
      </c>
      <c r="G985" t="s">
        <v>1536</v>
      </c>
      <c r="H985" t="s">
        <v>442</v>
      </c>
      <c r="I985" t="s">
        <v>65</v>
      </c>
      <c r="J985" s="89"/>
      <c r="K985" s="89">
        <v>42944</v>
      </c>
      <c r="L985" s="89"/>
      <c r="M985" s="31">
        <v>90</v>
      </c>
      <c r="N985" s="9"/>
      <c r="O985" s="33"/>
      <c r="P985" s="33"/>
      <c r="Q985" s="9"/>
      <c r="R985" s="67"/>
      <c r="S985" s="9"/>
    </row>
    <row r="986" spans="1:19" ht="15" customHeight="1" x14ac:dyDescent="0.25">
      <c r="A986" s="4"/>
      <c r="B986" s="28" t="str">
        <f>IF(ISNUMBER(MATCH(C986, Mgt_Unit!$C$5:$C$1018, 0)), INDEX(Mgt_Unit!$B$5:$B$1018, MATCH(C986, Mgt_Unit!$C$5:$C$1018, 0)), "")</f>
        <v>jennifer.moore</v>
      </c>
      <c r="C986" t="s">
        <v>912</v>
      </c>
      <c r="D986" s="65"/>
      <c r="E986">
        <v>3</v>
      </c>
      <c r="F986" t="s">
        <v>1538</v>
      </c>
      <c r="G986" t="s">
        <v>1536</v>
      </c>
      <c r="H986" t="s">
        <v>442</v>
      </c>
      <c r="I986" t="s">
        <v>65</v>
      </c>
      <c r="J986" s="89"/>
      <c r="K986" s="89">
        <v>42976</v>
      </c>
      <c r="L986" s="89"/>
      <c r="M986" s="31">
        <v>90</v>
      </c>
      <c r="N986" s="9"/>
      <c r="O986" s="33"/>
      <c r="P986" s="33"/>
      <c r="Q986" s="9"/>
      <c r="R986" s="67"/>
      <c r="S986" s="9"/>
    </row>
    <row r="987" spans="1:19" ht="15" customHeight="1" x14ac:dyDescent="0.25">
      <c r="A987" s="4"/>
      <c r="B987" s="28" t="str">
        <f>IF(ISNUMBER(MATCH(C987, Mgt_Unit!$C$5:$C$1018, 0)), INDEX(Mgt_Unit!$B$5:$B$1018, MATCH(C987, Mgt_Unit!$C$5:$C$1018, 0)), "")</f>
        <v>jennifer.moore</v>
      </c>
      <c r="C987" t="s">
        <v>912</v>
      </c>
      <c r="D987" s="65"/>
      <c r="E987">
        <v>3</v>
      </c>
      <c r="F987" t="s">
        <v>1538</v>
      </c>
      <c r="G987" t="s">
        <v>1536</v>
      </c>
      <c r="H987" t="s">
        <v>442</v>
      </c>
      <c r="I987" t="s">
        <v>65</v>
      </c>
      <c r="J987" s="89"/>
      <c r="K987" s="89">
        <v>43249</v>
      </c>
      <c r="L987" s="89"/>
      <c r="M987" s="31">
        <v>90</v>
      </c>
      <c r="N987" s="9"/>
      <c r="O987" s="33"/>
      <c r="P987" s="33"/>
      <c r="Q987" s="9"/>
      <c r="R987" s="67"/>
      <c r="S987" s="9"/>
    </row>
    <row r="988" spans="1:19" ht="15" customHeight="1" x14ac:dyDescent="0.25">
      <c r="A988" s="4"/>
      <c r="B988" s="28" t="str">
        <f>IF(ISNUMBER(MATCH(C988, Mgt_Unit!$C$5:$C$1018, 0)), INDEX(Mgt_Unit!$B$5:$B$1018, MATCH(C988, Mgt_Unit!$C$5:$C$1018, 0)), "")</f>
        <v>jennifer.moore</v>
      </c>
      <c r="C988" t="s">
        <v>912</v>
      </c>
      <c r="D988" s="65"/>
      <c r="E988">
        <v>3</v>
      </c>
      <c r="F988" t="s">
        <v>1538</v>
      </c>
      <c r="G988" t="s">
        <v>1536</v>
      </c>
      <c r="H988" t="s">
        <v>442</v>
      </c>
      <c r="I988" t="s">
        <v>65</v>
      </c>
      <c r="J988" s="89"/>
      <c r="K988" s="89">
        <v>43280</v>
      </c>
      <c r="L988" s="89"/>
      <c r="M988" s="31">
        <v>90</v>
      </c>
      <c r="N988" s="9"/>
      <c r="O988" s="33"/>
      <c r="P988" s="33"/>
      <c r="Q988" s="9"/>
      <c r="R988" s="67"/>
      <c r="S988" s="9"/>
    </row>
    <row r="989" spans="1:19" ht="15" customHeight="1" x14ac:dyDescent="0.25">
      <c r="A989" s="4"/>
      <c r="B989" s="28" t="str">
        <f>IF(ISNUMBER(MATCH(C989, Mgt_Unit!$C$5:$C$1018, 0)), INDEX(Mgt_Unit!$B$5:$B$1018, MATCH(C989, Mgt_Unit!$C$5:$C$1018, 0)), "")</f>
        <v>jennifer.moore</v>
      </c>
      <c r="C989" t="s">
        <v>912</v>
      </c>
      <c r="D989" s="65"/>
      <c r="E989">
        <v>3</v>
      </c>
      <c r="F989" t="s">
        <v>1538</v>
      </c>
      <c r="G989" t="s">
        <v>1536</v>
      </c>
      <c r="H989" t="s">
        <v>442</v>
      </c>
      <c r="I989" t="s">
        <v>65</v>
      </c>
      <c r="J989" s="89"/>
      <c r="K989" s="89">
        <v>43309</v>
      </c>
      <c r="L989" s="89"/>
      <c r="M989" s="31">
        <v>90</v>
      </c>
      <c r="N989" s="9"/>
      <c r="O989" s="33"/>
      <c r="P989" s="33"/>
      <c r="Q989" s="9"/>
      <c r="R989" s="67"/>
      <c r="S989" s="9"/>
    </row>
    <row r="990" spans="1:19" ht="15" customHeight="1" x14ac:dyDescent="0.25">
      <c r="A990" s="4"/>
      <c r="B990" s="28" t="str">
        <f>IF(ISNUMBER(MATCH(C990, Mgt_Unit!$C$5:$C$1018, 0)), INDEX(Mgt_Unit!$B$5:$B$1018, MATCH(C990, Mgt_Unit!$C$5:$C$1018, 0)), "")</f>
        <v>jennifer.moore</v>
      </c>
      <c r="C990" s="87" t="s">
        <v>912</v>
      </c>
      <c r="D990" s="65"/>
      <c r="E990" s="87">
        <v>3</v>
      </c>
      <c r="F990" s="87" t="s">
        <v>1538</v>
      </c>
      <c r="G990" s="87" t="s">
        <v>1536</v>
      </c>
      <c r="H990" s="87" t="s">
        <v>442</v>
      </c>
      <c r="I990" s="87" t="s">
        <v>65</v>
      </c>
      <c r="J990" s="90"/>
      <c r="K990" s="90">
        <v>43341</v>
      </c>
      <c r="L990" s="90">
        <v>43406</v>
      </c>
      <c r="M990" s="93">
        <v>90</v>
      </c>
      <c r="N990" s="9"/>
      <c r="O990" s="33"/>
      <c r="P990" s="33"/>
      <c r="Q990" s="9"/>
      <c r="R990" s="67"/>
      <c r="S990" s="9"/>
    </row>
    <row r="991" spans="1:19" ht="15" customHeight="1" x14ac:dyDescent="0.25">
      <c r="A991" s="4"/>
      <c r="B991" s="28" t="str">
        <f>IF(ISNUMBER(MATCH(C991, Mgt_Unit!$C$5:$C$1018, 0)), INDEX(Mgt_Unit!$B$5:$B$1018, MATCH(C991, Mgt_Unit!$C$5:$C$1018, 0)), "")</f>
        <v>jennifer.moore</v>
      </c>
      <c r="C991" t="s">
        <v>913</v>
      </c>
      <c r="D991" s="65"/>
      <c r="E991">
        <v>1</v>
      </c>
      <c r="F991" t="s">
        <v>1538</v>
      </c>
      <c r="G991" t="s">
        <v>1544</v>
      </c>
      <c r="H991" t="s">
        <v>50</v>
      </c>
      <c r="I991" t="s">
        <v>87</v>
      </c>
      <c r="J991" s="89">
        <v>42850</v>
      </c>
      <c r="K991" s="89">
        <v>43038</v>
      </c>
      <c r="L991" s="89"/>
      <c r="M991" s="31">
        <v>0</v>
      </c>
      <c r="N991" s="9"/>
      <c r="O991" s="33"/>
      <c r="P991" s="33"/>
      <c r="Q991" s="9"/>
      <c r="R991" s="67"/>
      <c r="S991" s="9"/>
    </row>
    <row r="992" spans="1:19" ht="15" customHeight="1" x14ac:dyDescent="0.25">
      <c r="A992" s="4"/>
      <c r="B992" s="28" t="str">
        <f>IF(ISNUMBER(MATCH(C992, Mgt_Unit!$C$5:$C$1018, 0)), INDEX(Mgt_Unit!$B$5:$B$1018, MATCH(C992, Mgt_Unit!$C$5:$C$1018, 0)), "")</f>
        <v>jennifer.moore</v>
      </c>
      <c r="C992" s="87" t="s">
        <v>913</v>
      </c>
      <c r="D992" s="65"/>
      <c r="E992" s="87">
        <v>2</v>
      </c>
      <c r="F992" s="87" t="s">
        <v>1538</v>
      </c>
      <c r="G992" s="87" t="s">
        <v>1544</v>
      </c>
      <c r="H992" s="87" t="s">
        <v>51</v>
      </c>
      <c r="I992" s="87" t="s">
        <v>137</v>
      </c>
      <c r="J992" s="90">
        <v>43222</v>
      </c>
      <c r="K992" s="90">
        <v>43378</v>
      </c>
      <c r="L992" s="90"/>
      <c r="M992" s="93">
        <v>0</v>
      </c>
      <c r="N992" s="9"/>
      <c r="O992" s="33"/>
      <c r="P992" s="33"/>
      <c r="Q992" s="9"/>
      <c r="R992" s="67"/>
      <c r="S992" s="9"/>
    </row>
    <row r="993" spans="1:19" ht="15" customHeight="1" x14ac:dyDescent="0.25">
      <c r="A993" s="4"/>
      <c r="B993" s="28" t="str">
        <f>IF(ISNUMBER(MATCH(C993, Mgt_Unit!$C$5:$C$1018, 0)), INDEX(Mgt_Unit!$B$5:$B$1018, MATCH(C993, Mgt_Unit!$C$5:$C$1018, 0)), "")</f>
        <v>jennifer.moore</v>
      </c>
      <c r="C993" t="s">
        <v>1322</v>
      </c>
      <c r="D993" s="65"/>
      <c r="E993">
        <v>1</v>
      </c>
      <c r="F993" t="s">
        <v>1538</v>
      </c>
      <c r="G993" t="s">
        <v>1544</v>
      </c>
      <c r="H993" t="s">
        <v>50</v>
      </c>
      <c r="I993" t="s">
        <v>87</v>
      </c>
      <c r="J993" s="89">
        <v>42867</v>
      </c>
      <c r="K993" s="89">
        <v>43034</v>
      </c>
      <c r="L993" s="89"/>
      <c r="M993" s="31">
        <v>0</v>
      </c>
      <c r="N993" s="9"/>
      <c r="O993" s="33"/>
      <c r="P993" s="33"/>
      <c r="Q993" s="9"/>
      <c r="R993" s="67"/>
      <c r="S993" s="9"/>
    </row>
    <row r="994" spans="1:19" ht="15" customHeight="1" x14ac:dyDescent="0.25">
      <c r="A994" s="4"/>
      <c r="B994" s="28" t="str">
        <f>IF(ISNUMBER(MATCH(C994, Mgt_Unit!$C$5:$C$1018, 0)), INDEX(Mgt_Unit!$B$5:$B$1018, MATCH(C994, Mgt_Unit!$C$5:$C$1018, 0)), "")</f>
        <v>jennifer.moore</v>
      </c>
      <c r="C994" s="87" t="s">
        <v>1322</v>
      </c>
      <c r="D994" s="65"/>
      <c r="E994" s="87">
        <v>2</v>
      </c>
      <c r="F994" s="87" t="s">
        <v>1538</v>
      </c>
      <c r="G994" s="87" t="s">
        <v>1544</v>
      </c>
      <c r="H994" s="87" t="s">
        <v>51</v>
      </c>
      <c r="I994" s="87" t="s">
        <v>137</v>
      </c>
      <c r="J994" s="90">
        <v>43252</v>
      </c>
      <c r="K994" s="90">
        <v>43391</v>
      </c>
      <c r="L994" s="90"/>
      <c r="M994" s="93">
        <v>0</v>
      </c>
      <c r="N994" s="9"/>
      <c r="O994" s="33"/>
      <c r="P994" s="33"/>
      <c r="Q994" s="9"/>
      <c r="R994" s="67"/>
      <c r="S994" s="9"/>
    </row>
    <row r="995" spans="1:19" ht="15" customHeight="1" x14ac:dyDescent="0.25">
      <c r="A995" s="4"/>
      <c r="B995" s="28" t="str">
        <f>IF(ISNUMBER(MATCH(C995, Mgt_Unit!$C$5:$C$1018, 0)), INDEX(Mgt_Unit!$B$5:$B$1018, MATCH(C995, Mgt_Unit!$C$5:$C$1018, 0)), "")</f>
        <v>jennifer.moore</v>
      </c>
      <c r="C995" t="s">
        <v>1319</v>
      </c>
      <c r="D995" s="65"/>
      <c r="E995">
        <v>1</v>
      </c>
      <c r="F995" t="s">
        <v>1538</v>
      </c>
      <c r="G995" t="s">
        <v>1544</v>
      </c>
      <c r="H995" t="s">
        <v>50</v>
      </c>
      <c r="I995" t="s">
        <v>87</v>
      </c>
      <c r="J995" s="89">
        <v>42867</v>
      </c>
      <c r="K995" s="89">
        <v>43034</v>
      </c>
      <c r="L995" s="89"/>
      <c r="M995" s="31">
        <v>0</v>
      </c>
      <c r="N995" s="9"/>
      <c r="O995" s="33"/>
      <c r="P995" s="33"/>
      <c r="Q995" s="9"/>
      <c r="R995" s="67"/>
      <c r="S995" s="9"/>
    </row>
    <row r="996" spans="1:19" ht="15" customHeight="1" x14ac:dyDescent="0.25">
      <c r="A996" s="4"/>
      <c r="B996" s="28" t="str">
        <f>IF(ISNUMBER(MATCH(C996, Mgt_Unit!$C$5:$C$1018, 0)), INDEX(Mgt_Unit!$B$5:$B$1018, MATCH(C996, Mgt_Unit!$C$5:$C$1018, 0)), "")</f>
        <v>jennifer.moore</v>
      </c>
      <c r="C996" s="87" t="s">
        <v>1319</v>
      </c>
      <c r="D996" s="65"/>
      <c r="E996" s="87">
        <v>2</v>
      </c>
      <c r="F996" s="87" t="s">
        <v>1538</v>
      </c>
      <c r="G996" s="87" t="s">
        <v>1544</v>
      </c>
      <c r="H996" s="87" t="s">
        <v>51</v>
      </c>
      <c r="I996" s="87" t="s">
        <v>137</v>
      </c>
      <c r="J996" s="90">
        <v>43252</v>
      </c>
      <c r="K996" s="90">
        <v>43391</v>
      </c>
      <c r="L996" s="90"/>
      <c r="M996" s="93">
        <v>0</v>
      </c>
      <c r="N996" s="9"/>
      <c r="O996" s="33"/>
      <c r="P996" s="33"/>
      <c r="Q996" s="9"/>
      <c r="R996" s="67"/>
      <c r="S996" s="9"/>
    </row>
    <row r="997" spans="1:19" ht="15" customHeight="1" x14ac:dyDescent="0.25">
      <c r="A997" s="4"/>
      <c r="B997" s="28" t="str">
        <f>IF(ISNUMBER(MATCH(C997, Mgt_Unit!$C$5:$C$1018, 0)), INDEX(Mgt_Unit!$B$5:$B$1018, MATCH(C997, Mgt_Unit!$C$5:$C$1018, 0)), "")</f>
        <v>jennifer.moore</v>
      </c>
      <c r="C997" t="s">
        <v>1320</v>
      </c>
      <c r="D997" s="65"/>
      <c r="E997">
        <v>1</v>
      </c>
      <c r="F997" t="s">
        <v>1538</v>
      </c>
      <c r="G997" t="s">
        <v>1544</v>
      </c>
      <c r="H997" t="s">
        <v>50</v>
      </c>
      <c r="I997" t="s">
        <v>87</v>
      </c>
      <c r="J997" s="89">
        <v>42867</v>
      </c>
      <c r="K997" s="89">
        <v>43034</v>
      </c>
      <c r="L997" s="89"/>
      <c r="M997" s="31">
        <v>0</v>
      </c>
      <c r="N997" s="9"/>
      <c r="O997" s="33"/>
      <c r="P997" s="33"/>
      <c r="Q997" s="9"/>
      <c r="R997" s="67"/>
      <c r="S997" s="9"/>
    </row>
    <row r="998" spans="1:19" ht="15" customHeight="1" x14ac:dyDescent="0.25">
      <c r="A998" s="4"/>
      <c r="B998" s="28" t="str">
        <f>IF(ISNUMBER(MATCH(C998, Mgt_Unit!$C$5:$C$1018, 0)), INDEX(Mgt_Unit!$B$5:$B$1018, MATCH(C998, Mgt_Unit!$C$5:$C$1018, 0)), "")</f>
        <v>jennifer.moore</v>
      </c>
      <c r="C998" s="87" t="s">
        <v>1320</v>
      </c>
      <c r="D998" s="65"/>
      <c r="E998" s="87">
        <v>2</v>
      </c>
      <c r="F998" s="87" t="s">
        <v>1538</v>
      </c>
      <c r="G998" s="87" t="s">
        <v>1544</v>
      </c>
      <c r="H998" s="87" t="s">
        <v>51</v>
      </c>
      <c r="I998" s="87" t="s">
        <v>137</v>
      </c>
      <c r="J998" s="90">
        <v>43252</v>
      </c>
      <c r="K998" s="90">
        <v>43391</v>
      </c>
      <c r="L998" s="90"/>
      <c r="M998" s="93">
        <v>0</v>
      </c>
      <c r="N998" s="9"/>
      <c r="O998" s="33"/>
      <c r="P998" s="33"/>
      <c r="Q998" s="9"/>
      <c r="R998" s="67"/>
      <c r="S998" s="9"/>
    </row>
    <row r="999" spans="1:19" ht="15" customHeight="1" x14ac:dyDescent="0.25">
      <c r="A999" s="4"/>
      <c r="B999" s="28" t="str">
        <f>IF(ISNUMBER(MATCH(C999, Mgt_Unit!$C$5:$C$1018, 0)), INDEX(Mgt_Unit!$B$5:$B$1018, MATCH(C999, Mgt_Unit!$C$5:$C$1018, 0)), "")</f>
        <v>jennifer.moore</v>
      </c>
      <c r="C999" t="s">
        <v>1321</v>
      </c>
      <c r="D999" s="65"/>
      <c r="E999">
        <v>1</v>
      </c>
      <c r="F999" t="s">
        <v>1538</v>
      </c>
      <c r="G999" t="s">
        <v>1544</v>
      </c>
      <c r="H999" t="s">
        <v>50</v>
      </c>
      <c r="I999" t="s">
        <v>87</v>
      </c>
      <c r="J999" s="89">
        <v>42867</v>
      </c>
      <c r="K999" s="89">
        <v>43034</v>
      </c>
      <c r="L999" s="89"/>
      <c r="M999" s="31">
        <v>0</v>
      </c>
      <c r="N999" s="9"/>
      <c r="O999" s="33"/>
      <c r="P999" s="33"/>
      <c r="Q999" s="9"/>
      <c r="R999" s="67"/>
      <c r="S999" s="9"/>
    </row>
    <row r="1000" spans="1:19" ht="15" customHeight="1" x14ac:dyDescent="0.25">
      <c r="A1000" s="4"/>
      <c r="B1000" s="28" t="str">
        <f>IF(ISNUMBER(MATCH(C1000, Mgt_Unit!$C$5:$C$1018, 0)), INDEX(Mgt_Unit!$B$5:$B$1018, MATCH(C1000, Mgt_Unit!$C$5:$C$1018, 0)), "")</f>
        <v>jennifer.moore</v>
      </c>
      <c r="C1000" s="87" t="s">
        <v>1321</v>
      </c>
      <c r="D1000" s="65"/>
      <c r="E1000" s="87">
        <v>2</v>
      </c>
      <c r="F1000" s="87" t="s">
        <v>1538</v>
      </c>
      <c r="G1000" s="87" t="s">
        <v>1544</v>
      </c>
      <c r="H1000" s="87" t="s">
        <v>51</v>
      </c>
      <c r="I1000" s="87" t="s">
        <v>137</v>
      </c>
      <c r="J1000" s="90">
        <v>43252</v>
      </c>
      <c r="K1000" s="90">
        <v>43391</v>
      </c>
      <c r="L1000" s="90"/>
      <c r="M1000" s="93">
        <v>0</v>
      </c>
      <c r="N1000" s="9"/>
      <c r="O1000" s="33"/>
      <c r="P1000" s="33"/>
      <c r="Q1000" s="9"/>
      <c r="R1000" s="67"/>
      <c r="S1000" s="9"/>
    </row>
    <row r="1001" spans="1:19" ht="15" customHeight="1" x14ac:dyDescent="0.25">
      <c r="A1001" s="4"/>
      <c r="B1001" s="28" t="str">
        <f>IF(ISNUMBER(MATCH(C1001, Mgt_Unit!$C$5:$C$1018, 0)), INDEX(Mgt_Unit!$B$5:$B$1018, MATCH(C1001, Mgt_Unit!$C$5:$C$1018, 0)), "")</f>
        <v>jennifer.moore</v>
      </c>
      <c r="C1001" t="s">
        <v>914</v>
      </c>
      <c r="D1001" s="65"/>
      <c r="E1001">
        <v>1</v>
      </c>
      <c r="F1001" t="s">
        <v>1538</v>
      </c>
      <c r="G1001" t="s">
        <v>1544</v>
      </c>
      <c r="H1001" t="s">
        <v>50</v>
      </c>
      <c r="I1001" t="s">
        <v>87</v>
      </c>
      <c r="J1001" s="89">
        <v>42864</v>
      </c>
      <c r="K1001" s="89">
        <v>43038</v>
      </c>
      <c r="L1001" s="89"/>
      <c r="M1001" s="31">
        <v>0</v>
      </c>
      <c r="N1001" s="9"/>
      <c r="O1001" s="33"/>
      <c r="P1001" s="33"/>
      <c r="Q1001" s="9"/>
      <c r="R1001" s="67"/>
      <c r="S1001" s="9"/>
    </row>
    <row r="1002" spans="1:19" ht="15" customHeight="1" x14ac:dyDescent="0.25">
      <c r="A1002" s="4"/>
      <c r="B1002" s="28" t="str">
        <f>IF(ISNUMBER(MATCH(C1002, Mgt_Unit!$C$5:$C$1018, 0)), INDEX(Mgt_Unit!$B$5:$B$1018, MATCH(C1002, Mgt_Unit!$C$5:$C$1018, 0)), "")</f>
        <v>jennifer.moore</v>
      </c>
      <c r="C1002" t="s">
        <v>914</v>
      </c>
      <c r="D1002" s="65"/>
      <c r="E1002">
        <v>2</v>
      </c>
      <c r="F1002" t="s">
        <v>1538</v>
      </c>
      <c r="G1002" t="s">
        <v>1535</v>
      </c>
      <c r="H1002" t="s">
        <v>441</v>
      </c>
      <c r="I1002" t="s">
        <v>124</v>
      </c>
      <c r="J1002" s="89">
        <v>43039</v>
      </c>
      <c r="K1002" s="89"/>
      <c r="L1002" s="89">
        <v>43221</v>
      </c>
      <c r="M1002" s="31">
        <v>0</v>
      </c>
      <c r="N1002" s="9"/>
      <c r="O1002" s="33"/>
      <c r="P1002" s="33"/>
      <c r="Q1002" s="9"/>
      <c r="R1002" s="67"/>
      <c r="S1002" s="9"/>
    </row>
    <row r="1003" spans="1:19" ht="15" customHeight="1" x14ac:dyDescent="0.25">
      <c r="A1003" s="4"/>
      <c r="B1003" s="28" t="str">
        <f>IF(ISNUMBER(MATCH(C1003, Mgt_Unit!$C$5:$C$1018, 0)), INDEX(Mgt_Unit!$B$5:$B$1018, MATCH(C1003, Mgt_Unit!$C$5:$C$1018, 0)), "")</f>
        <v>jennifer.moore</v>
      </c>
      <c r="C1003" t="s">
        <v>914</v>
      </c>
      <c r="D1003" s="65"/>
      <c r="E1003">
        <v>3</v>
      </c>
      <c r="F1003" t="s">
        <v>1538</v>
      </c>
      <c r="G1003" t="s">
        <v>1544</v>
      </c>
      <c r="H1003" t="s">
        <v>51</v>
      </c>
      <c r="I1003" t="s">
        <v>137</v>
      </c>
      <c r="J1003" s="89">
        <v>43222</v>
      </c>
      <c r="K1003" s="89">
        <v>43378</v>
      </c>
      <c r="L1003" s="89"/>
      <c r="M1003" s="31">
        <v>0</v>
      </c>
      <c r="N1003" s="9"/>
      <c r="O1003" s="33"/>
      <c r="P1003" s="33"/>
      <c r="Q1003" s="9"/>
      <c r="R1003" s="67"/>
      <c r="S1003" s="9"/>
    </row>
    <row r="1004" spans="1:19" ht="15" customHeight="1" x14ac:dyDescent="0.25">
      <c r="A1004" s="4"/>
      <c r="B1004" s="28" t="str">
        <f>IF(ISNUMBER(MATCH(C1004, Mgt_Unit!$C$5:$C$1018, 0)), INDEX(Mgt_Unit!$B$5:$B$1018, MATCH(C1004, Mgt_Unit!$C$5:$C$1018, 0)), "")</f>
        <v>jennifer.moore</v>
      </c>
      <c r="C1004" s="87" t="s">
        <v>914</v>
      </c>
      <c r="D1004" s="65"/>
      <c r="E1004" s="87">
        <v>4</v>
      </c>
      <c r="F1004" s="87" t="s">
        <v>1538</v>
      </c>
      <c r="G1004" s="87" t="s">
        <v>1535</v>
      </c>
      <c r="H1004" s="87" t="s">
        <v>441</v>
      </c>
      <c r="I1004" s="87" t="s">
        <v>124</v>
      </c>
      <c r="J1004" s="90">
        <v>43381</v>
      </c>
      <c r="K1004" s="90"/>
      <c r="L1004" s="90"/>
      <c r="M1004" s="93"/>
      <c r="N1004" s="9"/>
      <c r="O1004" s="33"/>
      <c r="P1004" s="33"/>
      <c r="Q1004" s="9"/>
      <c r="R1004" s="67"/>
      <c r="S1004" s="9"/>
    </row>
    <row r="1005" spans="1:19" ht="15" customHeight="1" x14ac:dyDescent="0.25">
      <c r="A1005" s="4"/>
      <c r="B1005" s="28" t="str">
        <f>IF(ISNUMBER(MATCH(C1005, Mgt_Unit!$C$5:$C$1018, 0)), INDEX(Mgt_Unit!$B$5:$B$1018, MATCH(C1005, Mgt_Unit!$C$5:$C$1018, 0)), "")</f>
        <v>jennifer.moore</v>
      </c>
      <c r="C1005" t="s">
        <v>915</v>
      </c>
      <c r="D1005" s="65"/>
      <c r="E1005">
        <v>1</v>
      </c>
      <c r="F1005" t="s">
        <v>1538</v>
      </c>
      <c r="G1005" t="s">
        <v>1544</v>
      </c>
      <c r="H1005" t="s">
        <v>50</v>
      </c>
      <c r="I1005" t="s">
        <v>87</v>
      </c>
      <c r="J1005" s="89">
        <v>41751</v>
      </c>
      <c r="K1005" s="89">
        <v>41933</v>
      </c>
      <c r="L1005" s="89"/>
      <c r="M1005" s="31">
        <v>0</v>
      </c>
      <c r="N1005" s="9"/>
      <c r="O1005" s="33"/>
      <c r="P1005" s="33"/>
      <c r="Q1005" s="9"/>
      <c r="R1005" s="67"/>
      <c r="S1005" s="9"/>
    </row>
    <row r="1006" spans="1:19" ht="15" customHeight="1" x14ac:dyDescent="0.25">
      <c r="A1006" s="4"/>
      <c r="B1006" s="28" t="str">
        <f>IF(ISNUMBER(MATCH(C1006, Mgt_Unit!$C$5:$C$1018, 0)), INDEX(Mgt_Unit!$B$5:$B$1018, MATCH(C1006, Mgt_Unit!$C$5:$C$1018, 0)), "")</f>
        <v>jennifer.moore</v>
      </c>
      <c r="C1006" t="s">
        <v>915</v>
      </c>
      <c r="D1006" s="65"/>
      <c r="E1006">
        <v>2</v>
      </c>
      <c r="F1006" t="s">
        <v>1538</v>
      </c>
      <c r="G1006" t="s">
        <v>1544</v>
      </c>
      <c r="H1006" t="s">
        <v>50</v>
      </c>
      <c r="I1006" t="s">
        <v>87</v>
      </c>
      <c r="J1006" s="89">
        <v>42116</v>
      </c>
      <c r="K1006" s="89">
        <v>42298</v>
      </c>
      <c r="L1006" s="89"/>
      <c r="M1006" s="31">
        <v>0</v>
      </c>
      <c r="N1006" s="9"/>
      <c r="O1006" s="33"/>
      <c r="P1006" s="33"/>
      <c r="Q1006" s="9"/>
      <c r="R1006" s="67"/>
      <c r="S1006" s="9"/>
    </row>
    <row r="1007" spans="1:19" ht="15" customHeight="1" x14ac:dyDescent="0.25">
      <c r="A1007" s="4"/>
      <c r="B1007" s="28" t="str">
        <f>IF(ISNUMBER(MATCH(C1007, Mgt_Unit!$C$5:$C$1018, 0)), INDEX(Mgt_Unit!$B$5:$B$1018, MATCH(C1007, Mgt_Unit!$C$5:$C$1018, 0)), "")</f>
        <v>jennifer.moore</v>
      </c>
      <c r="C1007" t="s">
        <v>915</v>
      </c>
      <c r="D1007" s="65"/>
      <c r="E1007">
        <v>3</v>
      </c>
      <c r="F1007" t="s">
        <v>1538</v>
      </c>
      <c r="G1007" t="s">
        <v>1536</v>
      </c>
      <c r="H1007" t="s">
        <v>442</v>
      </c>
      <c r="I1007" t="s">
        <v>65</v>
      </c>
      <c r="J1007" s="89">
        <v>42475</v>
      </c>
      <c r="K1007" s="89">
        <v>42564</v>
      </c>
      <c r="L1007" s="89"/>
      <c r="M1007" s="31">
        <v>0</v>
      </c>
      <c r="N1007" s="9"/>
      <c r="O1007" s="33"/>
      <c r="P1007" s="33"/>
      <c r="Q1007" s="9"/>
      <c r="R1007" s="67"/>
      <c r="S1007" s="9"/>
    </row>
    <row r="1008" spans="1:19" ht="15" customHeight="1" x14ac:dyDescent="0.25">
      <c r="A1008" s="4"/>
      <c r="B1008" s="28" t="str">
        <f>IF(ISNUMBER(MATCH(C1008, Mgt_Unit!$C$5:$C$1018, 0)), INDEX(Mgt_Unit!$B$5:$B$1018, MATCH(C1008, Mgt_Unit!$C$5:$C$1018, 0)), "")</f>
        <v>jennifer.moore</v>
      </c>
      <c r="C1008" t="s">
        <v>915</v>
      </c>
      <c r="D1008" s="65"/>
      <c r="E1008">
        <v>3</v>
      </c>
      <c r="F1008" t="s">
        <v>1538</v>
      </c>
      <c r="G1008" t="s">
        <v>1536</v>
      </c>
      <c r="H1008" t="s">
        <v>442</v>
      </c>
      <c r="I1008" t="s">
        <v>65</v>
      </c>
      <c r="J1008" s="89"/>
      <c r="K1008" s="89">
        <v>42564</v>
      </c>
      <c r="L1008" s="89"/>
      <c r="M1008" s="31">
        <v>90</v>
      </c>
      <c r="N1008" s="9"/>
      <c r="O1008" s="33"/>
      <c r="P1008" s="33"/>
      <c r="Q1008" s="9"/>
      <c r="R1008" s="67"/>
      <c r="S1008" s="9"/>
    </row>
    <row r="1009" spans="1:19" ht="15" customHeight="1" x14ac:dyDescent="0.25">
      <c r="A1009" s="14"/>
      <c r="B1009" s="28" t="str">
        <f>IF(ISNUMBER(MATCH(C1009, Mgt_Unit!$C$5:$C$1018, 0)), INDEX(Mgt_Unit!$B$5:$B$1018, MATCH(C1009, Mgt_Unit!$C$5:$C$1018, 0)), "")</f>
        <v>jennifer.moore</v>
      </c>
      <c r="C1009" t="s">
        <v>915</v>
      </c>
      <c r="D1009" s="65"/>
      <c r="E1009">
        <v>3</v>
      </c>
      <c r="F1009" t="s">
        <v>1538</v>
      </c>
      <c r="G1009" t="s">
        <v>1536</v>
      </c>
      <c r="H1009" t="s">
        <v>442</v>
      </c>
      <c r="I1009" t="s">
        <v>65</v>
      </c>
      <c r="J1009" s="89"/>
      <c r="K1009" s="89">
        <v>42612</v>
      </c>
      <c r="L1009" s="89"/>
      <c r="M1009" s="31">
        <v>90</v>
      </c>
      <c r="N1009" s="9"/>
      <c r="O1009" s="33"/>
      <c r="P1009" s="33"/>
      <c r="Q1009" s="9"/>
      <c r="R1009" s="67"/>
      <c r="S1009" s="9"/>
    </row>
    <row r="1010" spans="1:19" ht="15" customHeight="1" x14ac:dyDescent="0.25">
      <c r="A1010" s="14"/>
      <c r="B1010" s="28" t="str">
        <f>IF(ISNUMBER(MATCH(C1010, Mgt_Unit!$C$5:$C$1018, 0)), INDEX(Mgt_Unit!$B$5:$B$1018, MATCH(C1010, Mgt_Unit!$C$5:$C$1018, 0)), "")</f>
        <v>jennifer.moore</v>
      </c>
      <c r="C1010" t="s">
        <v>915</v>
      </c>
      <c r="D1010" s="65"/>
      <c r="E1010">
        <v>3</v>
      </c>
      <c r="F1010" t="s">
        <v>1538</v>
      </c>
      <c r="G1010" t="s">
        <v>1536</v>
      </c>
      <c r="H1010" t="s">
        <v>442</v>
      </c>
      <c r="I1010" t="s">
        <v>65</v>
      </c>
      <c r="J1010" s="89"/>
      <c r="K1010" s="89">
        <v>42884</v>
      </c>
      <c r="L1010" s="89"/>
      <c r="M1010" s="31">
        <v>90</v>
      </c>
      <c r="N1010" s="9"/>
      <c r="O1010" s="33"/>
      <c r="P1010" s="33"/>
      <c r="Q1010" s="9"/>
      <c r="R1010" s="67"/>
      <c r="S1010" s="9"/>
    </row>
    <row r="1011" spans="1:19" ht="15" customHeight="1" x14ac:dyDescent="0.25">
      <c r="A1011" s="14"/>
      <c r="B1011" s="28" t="str">
        <f>IF(ISNUMBER(MATCH(C1011, Mgt_Unit!$C$5:$C$1018, 0)), INDEX(Mgt_Unit!$B$5:$B$1018, MATCH(C1011, Mgt_Unit!$C$5:$C$1018, 0)), "")</f>
        <v>jennifer.moore</v>
      </c>
      <c r="C1011" t="s">
        <v>915</v>
      </c>
      <c r="D1011" s="65"/>
      <c r="E1011">
        <v>3</v>
      </c>
      <c r="F1011" t="s">
        <v>1538</v>
      </c>
      <c r="G1011" t="s">
        <v>1536</v>
      </c>
      <c r="H1011" t="s">
        <v>442</v>
      </c>
      <c r="I1011" t="s">
        <v>65</v>
      </c>
      <c r="J1011" s="89"/>
      <c r="K1011" s="89">
        <v>42915</v>
      </c>
      <c r="L1011" s="89"/>
      <c r="M1011" s="31">
        <v>90</v>
      </c>
      <c r="N1011" s="9"/>
      <c r="O1011" s="33"/>
      <c r="P1011" s="33"/>
      <c r="Q1011" s="9"/>
      <c r="R1011" s="67"/>
      <c r="S1011" s="9"/>
    </row>
    <row r="1012" spans="1:19" ht="15" customHeight="1" x14ac:dyDescent="0.25">
      <c r="A1012" s="14"/>
      <c r="B1012" s="28" t="str">
        <f>IF(ISNUMBER(MATCH(C1012, Mgt_Unit!$C$5:$C$1018, 0)), INDEX(Mgt_Unit!$B$5:$B$1018, MATCH(C1012, Mgt_Unit!$C$5:$C$1018, 0)), "")</f>
        <v>jennifer.moore</v>
      </c>
      <c r="C1012" t="s">
        <v>915</v>
      </c>
      <c r="D1012" s="65"/>
      <c r="E1012">
        <v>3</v>
      </c>
      <c r="F1012" t="s">
        <v>1538</v>
      </c>
      <c r="G1012" t="s">
        <v>1536</v>
      </c>
      <c r="H1012" t="s">
        <v>442</v>
      </c>
      <c r="I1012" t="s">
        <v>65</v>
      </c>
      <c r="J1012" s="89"/>
      <c r="K1012" s="89">
        <v>42944</v>
      </c>
      <c r="L1012" s="89"/>
      <c r="M1012" s="31">
        <v>90</v>
      </c>
      <c r="N1012" s="9"/>
      <c r="O1012" s="33"/>
      <c r="P1012" s="33"/>
      <c r="Q1012" s="9"/>
      <c r="R1012" s="67"/>
      <c r="S1012" s="9"/>
    </row>
    <row r="1013" spans="1:19" ht="15" customHeight="1" x14ac:dyDescent="0.25">
      <c r="A1013" s="14"/>
      <c r="B1013" s="28" t="str">
        <f>IF(ISNUMBER(MATCH(C1013, Mgt_Unit!$C$5:$C$1018, 0)), INDEX(Mgt_Unit!$B$5:$B$1018, MATCH(C1013, Mgt_Unit!$C$5:$C$1018, 0)), "")</f>
        <v>jennifer.moore</v>
      </c>
      <c r="C1013" t="s">
        <v>915</v>
      </c>
      <c r="D1013" s="65"/>
      <c r="E1013">
        <v>3</v>
      </c>
      <c r="F1013" t="s">
        <v>1538</v>
      </c>
      <c r="G1013" t="s">
        <v>1536</v>
      </c>
      <c r="H1013" t="s">
        <v>442</v>
      </c>
      <c r="I1013" t="s">
        <v>65</v>
      </c>
      <c r="J1013" s="89"/>
      <c r="K1013" s="89">
        <v>42976</v>
      </c>
      <c r="L1013" s="89"/>
      <c r="M1013" s="31">
        <v>90</v>
      </c>
      <c r="N1013" s="9"/>
      <c r="O1013" s="33"/>
      <c r="P1013" s="33"/>
      <c r="Q1013" s="9"/>
      <c r="R1013" s="67"/>
      <c r="S1013" s="9"/>
    </row>
    <row r="1014" spans="1:19" ht="15" customHeight="1" x14ac:dyDescent="0.25">
      <c r="A1014" s="14"/>
      <c r="B1014" s="28" t="str">
        <f>IF(ISNUMBER(MATCH(C1014, Mgt_Unit!$C$5:$C$1018, 0)), INDEX(Mgt_Unit!$B$5:$B$1018, MATCH(C1014, Mgt_Unit!$C$5:$C$1018, 0)), "")</f>
        <v>jennifer.moore</v>
      </c>
      <c r="C1014" t="s">
        <v>915</v>
      </c>
      <c r="D1014" s="65"/>
      <c r="E1014">
        <v>3</v>
      </c>
      <c r="F1014" t="s">
        <v>1538</v>
      </c>
      <c r="G1014" t="s">
        <v>1536</v>
      </c>
      <c r="H1014" t="s">
        <v>442</v>
      </c>
      <c r="I1014" t="s">
        <v>65</v>
      </c>
      <c r="J1014" s="89"/>
      <c r="K1014" s="89">
        <v>43249</v>
      </c>
      <c r="L1014" s="89"/>
      <c r="M1014" s="31">
        <v>90</v>
      </c>
      <c r="N1014" s="9"/>
      <c r="O1014" s="33"/>
      <c r="P1014" s="33"/>
      <c r="Q1014" s="9"/>
      <c r="R1014" s="67"/>
      <c r="S1014" s="9"/>
    </row>
    <row r="1015" spans="1:19" ht="15" customHeight="1" x14ac:dyDescent="0.25">
      <c r="A1015" s="14"/>
      <c r="B1015" s="28" t="str">
        <f>IF(ISNUMBER(MATCH(C1015, Mgt_Unit!$C$5:$C$1018, 0)), INDEX(Mgt_Unit!$B$5:$B$1018, MATCH(C1015, Mgt_Unit!$C$5:$C$1018, 0)), "")</f>
        <v>jennifer.moore</v>
      </c>
      <c r="C1015" t="s">
        <v>915</v>
      </c>
      <c r="D1015" s="65"/>
      <c r="E1015">
        <v>3</v>
      </c>
      <c r="F1015" t="s">
        <v>1538</v>
      </c>
      <c r="G1015" t="s">
        <v>1536</v>
      </c>
      <c r="H1015" t="s">
        <v>442</v>
      </c>
      <c r="I1015" t="s">
        <v>65</v>
      </c>
      <c r="J1015" s="89"/>
      <c r="K1015" s="89">
        <v>43280</v>
      </c>
      <c r="L1015" s="89"/>
      <c r="M1015" s="31">
        <v>90</v>
      </c>
      <c r="N1015" s="9"/>
      <c r="O1015" s="33"/>
      <c r="P1015" s="33"/>
      <c r="Q1015" s="9"/>
      <c r="R1015" s="67"/>
      <c r="S1015" s="9"/>
    </row>
    <row r="1016" spans="1:19" ht="15" customHeight="1" x14ac:dyDescent="0.25">
      <c r="A1016" s="14"/>
      <c r="B1016" s="28" t="str">
        <f>IF(ISNUMBER(MATCH(C1016, Mgt_Unit!$C$5:$C$1018, 0)), INDEX(Mgt_Unit!$B$5:$B$1018, MATCH(C1016, Mgt_Unit!$C$5:$C$1018, 0)), "")</f>
        <v>jennifer.moore</v>
      </c>
      <c r="C1016" t="s">
        <v>915</v>
      </c>
      <c r="D1016" s="65"/>
      <c r="E1016">
        <v>3</v>
      </c>
      <c r="F1016" t="s">
        <v>1538</v>
      </c>
      <c r="G1016" t="s">
        <v>1536</v>
      </c>
      <c r="H1016" t="s">
        <v>442</v>
      </c>
      <c r="I1016" t="s">
        <v>65</v>
      </c>
      <c r="J1016" s="89"/>
      <c r="K1016" s="89">
        <v>43309</v>
      </c>
      <c r="L1016" s="89"/>
      <c r="M1016" s="31">
        <v>90</v>
      </c>
      <c r="N1016" s="9"/>
      <c r="O1016" s="33"/>
      <c r="P1016" s="33"/>
      <c r="Q1016" s="9"/>
      <c r="R1016" s="67"/>
      <c r="S1016" s="9"/>
    </row>
    <row r="1017" spans="1:19" ht="15" customHeight="1" x14ac:dyDescent="0.25">
      <c r="A1017" s="14"/>
      <c r="B1017" s="28" t="str">
        <f>IF(ISNUMBER(MATCH(C1017, Mgt_Unit!$C$5:$C$1018, 0)), INDEX(Mgt_Unit!$B$5:$B$1018, MATCH(C1017, Mgt_Unit!$C$5:$C$1018, 0)), "")</f>
        <v>jennifer.moore</v>
      </c>
      <c r="C1017" s="87" t="s">
        <v>915</v>
      </c>
      <c r="D1017" s="65"/>
      <c r="E1017" s="87">
        <v>3</v>
      </c>
      <c r="F1017" s="87" t="s">
        <v>1538</v>
      </c>
      <c r="G1017" s="87" t="s">
        <v>1536</v>
      </c>
      <c r="H1017" s="87" t="s">
        <v>442</v>
      </c>
      <c r="I1017" s="87" t="s">
        <v>65</v>
      </c>
      <c r="J1017" s="90"/>
      <c r="K1017" s="90">
        <v>43341</v>
      </c>
      <c r="L1017" s="90"/>
      <c r="M1017" s="93">
        <v>90</v>
      </c>
      <c r="N1017" s="9"/>
      <c r="O1017" s="33"/>
      <c r="P1017" s="33"/>
      <c r="Q1017" s="9"/>
      <c r="R1017" s="67"/>
      <c r="S1017" s="9"/>
    </row>
    <row r="1018" spans="1:19" ht="15" customHeight="1" x14ac:dyDescent="0.25">
      <c r="A1018" s="14"/>
      <c r="B1018" s="28" t="str">
        <f>IF(ISNUMBER(MATCH(C1018, Mgt_Unit!$C$5:$C$1018, 0)), INDEX(Mgt_Unit!$B$5:$B$1018, MATCH(C1018, Mgt_Unit!$C$5:$C$1018, 0)), "")</f>
        <v>jennifer.moore</v>
      </c>
      <c r="C1018" t="s">
        <v>916</v>
      </c>
      <c r="D1018" s="65"/>
      <c r="E1018">
        <v>1</v>
      </c>
      <c r="F1018" t="s">
        <v>1538</v>
      </c>
      <c r="G1018" t="s">
        <v>1544</v>
      </c>
      <c r="H1018" t="s">
        <v>50</v>
      </c>
      <c r="I1018" t="s">
        <v>87</v>
      </c>
      <c r="J1018" s="89">
        <v>42865</v>
      </c>
      <c r="K1018" s="89">
        <v>43038</v>
      </c>
      <c r="L1018" s="89"/>
      <c r="M1018" s="31">
        <v>0</v>
      </c>
      <c r="N1018" s="9"/>
      <c r="O1018" s="33"/>
      <c r="P1018" s="33"/>
      <c r="Q1018" s="9"/>
      <c r="R1018" s="67"/>
      <c r="S1018" s="9"/>
    </row>
    <row r="1019" spans="1:19" ht="15" customHeight="1" x14ac:dyDescent="0.25">
      <c r="A1019" s="14"/>
      <c r="B1019" s="28" t="str">
        <f>IF(ISNUMBER(MATCH(C1019, Mgt_Unit!$C$5:$C$1018, 0)), INDEX(Mgt_Unit!$B$5:$B$1018, MATCH(C1019, Mgt_Unit!$C$5:$C$1018, 0)), "")</f>
        <v>jennifer.moore</v>
      </c>
      <c r="C1019" t="s">
        <v>916</v>
      </c>
      <c r="D1019" s="65"/>
      <c r="E1019">
        <v>2</v>
      </c>
      <c r="F1019" t="s">
        <v>1538</v>
      </c>
      <c r="G1019" t="s">
        <v>1544</v>
      </c>
      <c r="H1019" t="s">
        <v>51</v>
      </c>
      <c r="I1019" s="87" t="s">
        <v>137</v>
      </c>
      <c r="J1019" s="89">
        <v>43222</v>
      </c>
      <c r="K1019" s="89">
        <v>43378</v>
      </c>
      <c r="L1019" s="89"/>
      <c r="M1019" s="31">
        <v>0</v>
      </c>
      <c r="N1019" s="9"/>
      <c r="O1019" s="33"/>
      <c r="P1019" s="33"/>
      <c r="Q1019" s="9"/>
      <c r="R1019" s="67"/>
      <c r="S1019" s="9"/>
    </row>
    <row r="1020" spans="1:19" ht="15" customHeight="1" x14ac:dyDescent="0.25">
      <c r="A1020" s="14"/>
      <c r="B1020" s="28" t="str">
        <f>IF(ISNUMBER(MATCH(C1020, Mgt_Unit!$C$5:$C$1018, 0)), INDEX(Mgt_Unit!$B$5:$B$1018, MATCH(C1020, Mgt_Unit!$C$5:$C$1018, 0)), "")</f>
        <v>jennifer.moore</v>
      </c>
      <c r="C1020" s="92" t="s">
        <v>1323</v>
      </c>
      <c r="D1020" s="65"/>
      <c r="E1020" s="92">
        <v>1</v>
      </c>
      <c r="F1020" s="92" t="s">
        <v>1537</v>
      </c>
      <c r="G1020" s="92" t="s">
        <v>1536</v>
      </c>
      <c r="H1020" s="92" t="s">
        <v>441</v>
      </c>
      <c r="I1020" t="s">
        <v>1550</v>
      </c>
      <c r="J1020" s="98">
        <v>36892</v>
      </c>
      <c r="K1020" s="98">
        <v>37408</v>
      </c>
      <c r="L1020" s="98"/>
      <c r="M1020" s="99">
        <v>90</v>
      </c>
      <c r="N1020" s="9"/>
      <c r="O1020" s="33"/>
      <c r="P1020" s="33"/>
      <c r="Q1020" s="9"/>
      <c r="R1020" s="67"/>
      <c r="S1020" s="9"/>
    </row>
    <row r="1021" spans="1:19" ht="15" customHeight="1" x14ac:dyDescent="0.25">
      <c r="A1021" s="14"/>
      <c r="B1021" s="28" t="str">
        <f>IF(ISNUMBER(MATCH(C1021, Mgt_Unit!$C$5:$C$1018, 0)), INDEX(Mgt_Unit!$B$5:$B$1018, MATCH(C1021, Mgt_Unit!$C$5:$C$1018, 0)), "")</f>
        <v>jennifer.moore</v>
      </c>
      <c r="C1021" t="s">
        <v>1323</v>
      </c>
      <c r="D1021" s="65"/>
      <c r="E1021">
        <v>1</v>
      </c>
      <c r="F1021" t="s">
        <v>1537</v>
      </c>
      <c r="G1021" t="s">
        <v>1536</v>
      </c>
      <c r="H1021" t="s">
        <v>442</v>
      </c>
      <c r="I1021" s="87" t="s">
        <v>1556</v>
      </c>
      <c r="J1021" s="89">
        <v>36892</v>
      </c>
      <c r="K1021" s="89">
        <v>37408</v>
      </c>
      <c r="L1021" s="89"/>
      <c r="M1021" s="31">
        <v>90</v>
      </c>
      <c r="N1021" s="9"/>
      <c r="O1021" s="33"/>
      <c r="P1021" s="33"/>
      <c r="Q1021" s="9"/>
      <c r="R1021" s="67"/>
      <c r="S1021" s="9"/>
    </row>
    <row r="1022" spans="1:19" ht="15" customHeight="1" x14ac:dyDescent="0.25">
      <c r="A1022" s="14"/>
      <c r="B1022" s="28" t="str">
        <f>IF(ISNUMBER(MATCH(C1022, Mgt_Unit!$C$5:$C$1018, 0)), INDEX(Mgt_Unit!$B$5:$B$1018, MATCH(C1022, Mgt_Unit!$C$5:$C$1018, 0)), "")</f>
        <v>jennifer.moore</v>
      </c>
      <c r="C1022" t="s">
        <v>1323</v>
      </c>
      <c r="D1022" s="65"/>
      <c r="E1022">
        <v>1</v>
      </c>
      <c r="F1022" t="s">
        <v>1537</v>
      </c>
      <c r="G1022" t="s">
        <v>1536</v>
      </c>
      <c r="H1022" t="s">
        <v>441</v>
      </c>
      <c r="I1022" t="s">
        <v>1550</v>
      </c>
      <c r="J1022" s="89"/>
      <c r="K1022" s="89">
        <v>37498</v>
      </c>
      <c r="L1022" s="89">
        <v>39813</v>
      </c>
      <c r="M1022" s="31">
        <v>90</v>
      </c>
      <c r="N1022" s="9"/>
      <c r="O1022" s="33"/>
      <c r="P1022" s="33"/>
      <c r="Q1022" s="9"/>
      <c r="R1022" s="67"/>
      <c r="S1022" s="9"/>
    </row>
    <row r="1023" spans="1:19" ht="15" customHeight="1" x14ac:dyDescent="0.25">
      <c r="A1023" s="14"/>
      <c r="B1023" s="28" t="str">
        <f>IF(ISNUMBER(MATCH(C1023, Mgt_Unit!$C$5:$C$1018, 0)), INDEX(Mgt_Unit!$B$5:$B$1018, MATCH(C1023, Mgt_Unit!$C$5:$C$1018, 0)), "")</f>
        <v>jennifer.moore</v>
      </c>
      <c r="C1023" s="87" t="s">
        <v>1323</v>
      </c>
      <c r="D1023" s="65"/>
      <c r="E1023" s="87">
        <v>1</v>
      </c>
      <c r="F1023" s="87" t="s">
        <v>1537</v>
      </c>
      <c r="G1023" s="87" t="s">
        <v>1536</v>
      </c>
      <c r="H1023" s="87" t="s">
        <v>442</v>
      </c>
      <c r="I1023" s="87" t="s">
        <v>1556</v>
      </c>
      <c r="J1023" s="90"/>
      <c r="K1023" s="90">
        <v>37498</v>
      </c>
      <c r="L1023" s="90">
        <v>39813</v>
      </c>
      <c r="M1023" s="93">
        <v>90</v>
      </c>
      <c r="N1023" s="9"/>
      <c r="O1023" s="33"/>
      <c r="P1023" s="33"/>
      <c r="Q1023" s="9"/>
      <c r="R1023" s="67"/>
      <c r="S1023" s="9"/>
    </row>
    <row r="1024" spans="1:19" ht="15" customHeight="1" x14ac:dyDescent="0.25">
      <c r="A1024" s="14"/>
      <c r="B1024" s="28" t="str">
        <f>IF(ISNUMBER(MATCH(C1024, Mgt_Unit!$C$5:$C$1018, 0)), INDEX(Mgt_Unit!$B$5:$B$1018, MATCH(C1024, Mgt_Unit!$C$5:$C$1018, 0)), "")</f>
        <v>jennifer.moore</v>
      </c>
      <c r="C1024" t="s">
        <v>917</v>
      </c>
      <c r="D1024" s="65"/>
      <c r="E1024">
        <v>1</v>
      </c>
      <c r="F1024" t="s">
        <v>1538</v>
      </c>
      <c r="G1024" t="s">
        <v>1544</v>
      </c>
      <c r="H1024" t="s">
        <v>441</v>
      </c>
      <c r="I1024" t="s">
        <v>27</v>
      </c>
      <c r="J1024" s="89"/>
      <c r="K1024" s="89">
        <v>42215</v>
      </c>
      <c r="L1024" s="89"/>
      <c r="M1024" s="31">
        <v>0</v>
      </c>
      <c r="N1024" s="9"/>
      <c r="O1024" s="33"/>
      <c r="P1024" s="33"/>
      <c r="Q1024" s="9"/>
      <c r="R1024" s="67"/>
      <c r="S1024" s="9"/>
    </row>
    <row r="1025" spans="1:19" ht="15" customHeight="1" x14ac:dyDescent="0.25">
      <c r="A1025" s="14"/>
      <c r="B1025" s="28" t="str">
        <f>IF(ISNUMBER(MATCH(C1025, Mgt_Unit!$C$5:$C$1018, 0)), INDEX(Mgt_Unit!$B$5:$B$1018, MATCH(C1025, Mgt_Unit!$C$5:$C$1018, 0)), "")</f>
        <v>jennifer.moore</v>
      </c>
      <c r="C1025" t="s">
        <v>917</v>
      </c>
      <c r="D1025" s="65"/>
      <c r="E1025">
        <v>2</v>
      </c>
      <c r="F1025" t="s">
        <v>1537</v>
      </c>
      <c r="G1025" t="s">
        <v>1535</v>
      </c>
      <c r="H1025" t="s">
        <v>48</v>
      </c>
      <c r="I1025" t="s">
        <v>154</v>
      </c>
      <c r="J1025" s="89">
        <v>42233</v>
      </c>
      <c r="K1025" s="89"/>
      <c r="L1025" s="89">
        <v>42468</v>
      </c>
      <c r="M1025" s="31">
        <v>0</v>
      </c>
      <c r="N1025" s="9"/>
      <c r="O1025" s="33"/>
      <c r="P1025" s="33"/>
      <c r="Q1025" s="9"/>
      <c r="R1025" s="67"/>
      <c r="S1025" s="9"/>
    </row>
    <row r="1026" spans="1:19" ht="15" customHeight="1" x14ac:dyDescent="0.25">
      <c r="A1026" s="14"/>
      <c r="B1026" s="28" t="str">
        <f>IF(ISNUMBER(MATCH(C1026, Mgt_Unit!$C$5:$C$1018, 0)), INDEX(Mgt_Unit!$B$5:$B$1018, MATCH(C1026, Mgt_Unit!$C$5:$C$1018, 0)), "")</f>
        <v>jennifer.moore</v>
      </c>
      <c r="C1026" t="s">
        <v>917</v>
      </c>
      <c r="D1026" s="65"/>
      <c r="E1026">
        <v>2</v>
      </c>
      <c r="F1026" t="s">
        <v>1537</v>
      </c>
      <c r="G1026" t="s">
        <v>1535</v>
      </c>
      <c r="H1026" t="s">
        <v>51</v>
      </c>
      <c r="I1026" t="s">
        <v>177</v>
      </c>
      <c r="J1026" s="89">
        <v>42233</v>
      </c>
      <c r="K1026" s="89"/>
      <c r="L1026" s="89">
        <v>42468</v>
      </c>
      <c r="M1026" s="31">
        <v>0</v>
      </c>
      <c r="N1026" s="9"/>
      <c r="O1026" s="33"/>
      <c r="P1026" s="33"/>
      <c r="Q1026" s="9"/>
      <c r="R1026" s="67"/>
      <c r="S1026" s="9"/>
    </row>
    <row r="1027" spans="1:19" ht="15" customHeight="1" x14ac:dyDescent="0.25">
      <c r="A1027" s="14"/>
      <c r="B1027" s="28" t="str">
        <f>IF(ISNUMBER(MATCH(C1027, Mgt_Unit!$C$5:$C$1018, 0)), INDEX(Mgt_Unit!$B$5:$B$1018, MATCH(C1027, Mgt_Unit!$C$5:$C$1018, 0)), "")</f>
        <v>jennifer.moore</v>
      </c>
      <c r="C1027" t="s">
        <v>917</v>
      </c>
      <c r="D1027" s="65"/>
      <c r="E1027">
        <v>2</v>
      </c>
      <c r="F1027" t="s">
        <v>1537</v>
      </c>
      <c r="G1027" t="s">
        <v>1535</v>
      </c>
      <c r="H1027" t="s">
        <v>51</v>
      </c>
      <c r="I1027" t="s">
        <v>137</v>
      </c>
      <c r="J1027" s="89">
        <v>42233</v>
      </c>
      <c r="K1027" s="89"/>
      <c r="L1027" s="89">
        <v>42468</v>
      </c>
      <c r="M1027" s="31">
        <v>0</v>
      </c>
      <c r="N1027" s="9"/>
      <c r="O1027" s="33"/>
      <c r="P1027" s="33"/>
      <c r="Q1027" s="9"/>
      <c r="R1027" s="67"/>
      <c r="S1027" s="9"/>
    </row>
    <row r="1028" spans="1:19" ht="15" customHeight="1" x14ac:dyDescent="0.25">
      <c r="A1028" s="14"/>
      <c r="B1028" s="28" t="str">
        <f>IF(ISNUMBER(MATCH(C1028, Mgt_Unit!$C$5:$C$1018, 0)), INDEX(Mgt_Unit!$B$5:$B$1018, MATCH(C1028, Mgt_Unit!$C$5:$C$1018, 0)), "")</f>
        <v>jennifer.moore</v>
      </c>
      <c r="C1028" t="s">
        <v>917</v>
      </c>
      <c r="D1028" s="65"/>
      <c r="E1028">
        <v>2</v>
      </c>
      <c r="F1028" t="s">
        <v>1537</v>
      </c>
      <c r="G1028" t="s">
        <v>1535</v>
      </c>
      <c r="H1028" t="s">
        <v>48</v>
      </c>
      <c r="I1028" t="s">
        <v>84</v>
      </c>
      <c r="J1028" s="89">
        <v>42233</v>
      </c>
      <c r="K1028" s="89"/>
      <c r="L1028" s="89">
        <v>42468</v>
      </c>
      <c r="M1028" s="31">
        <v>0</v>
      </c>
      <c r="N1028" s="9"/>
      <c r="O1028" s="33"/>
      <c r="P1028" s="33"/>
      <c r="Q1028" s="9"/>
      <c r="R1028" s="67"/>
      <c r="S1028" s="9"/>
    </row>
    <row r="1029" spans="1:19" ht="15" customHeight="1" x14ac:dyDescent="0.25">
      <c r="A1029" s="14"/>
      <c r="B1029" s="28" t="str">
        <f>IF(ISNUMBER(MATCH(C1029, Mgt_Unit!$C$5:$C$1018, 0)), INDEX(Mgt_Unit!$B$5:$B$1018, MATCH(C1029, Mgt_Unit!$C$5:$C$1018, 0)), "")</f>
        <v>jennifer.moore</v>
      </c>
      <c r="C1029" t="s">
        <v>917</v>
      </c>
      <c r="D1029" s="65"/>
      <c r="E1029">
        <v>3</v>
      </c>
      <c r="F1029" t="s">
        <v>1538</v>
      </c>
      <c r="G1029" t="s">
        <v>1544</v>
      </c>
      <c r="H1029" t="s">
        <v>50</v>
      </c>
      <c r="I1029" t="s">
        <v>87</v>
      </c>
      <c r="J1029" s="89">
        <v>42476</v>
      </c>
      <c r="K1029" s="89">
        <v>42643</v>
      </c>
      <c r="L1029" s="89"/>
      <c r="M1029" s="31">
        <v>0</v>
      </c>
      <c r="N1029" s="9"/>
      <c r="O1029" s="33"/>
      <c r="P1029" s="33"/>
      <c r="Q1029" s="9"/>
      <c r="R1029" s="67"/>
      <c r="S1029" s="9"/>
    </row>
    <row r="1030" spans="1:19" ht="15" customHeight="1" x14ac:dyDescent="0.25">
      <c r="A1030" s="14"/>
      <c r="B1030" s="28" t="str">
        <f>IF(ISNUMBER(MATCH(C1030, Mgt_Unit!$C$5:$C$1018, 0)), INDEX(Mgt_Unit!$B$5:$B$1018, MATCH(C1030, Mgt_Unit!$C$5:$C$1018, 0)), "")</f>
        <v>jennifer.moore</v>
      </c>
      <c r="C1030" t="s">
        <v>917</v>
      </c>
      <c r="D1030" s="65"/>
      <c r="E1030">
        <v>4</v>
      </c>
      <c r="F1030" t="s">
        <v>1537</v>
      </c>
      <c r="G1030" t="s">
        <v>1535</v>
      </c>
      <c r="H1030" t="s">
        <v>441</v>
      </c>
      <c r="I1030" t="s">
        <v>136</v>
      </c>
      <c r="J1030" s="89">
        <v>42646</v>
      </c>
      <c r="K1030" s="89"/>
      <c r="L1030" s="89">
        <v>42856</v>
      </c>
      <c r="M1030" s="31">
        <v>0</v>
      </c>
      <c r="N1030" s="9"/>
      <c r="O1030" s="33"/>
      <c r="P1030" s="33"/>
      <c r="Q1030" s="9"/>
      <c r="R1030" s="67"/>
      <c r="S1030" s="9"/>
    </row>
    <row r="1031" spans="1:19" ht="15" customHeight="1" x14ac:dyDescent="0.25">
      <c r="A1031" s="14"/>
      <c r="B1031" s="28" t="str">
        <f>IF(ISNUMBER(MATCH(C1031, Mgt_Unit!$C$5:$C$1018, 0)), INDEX(Mgt_Unit!$B$5:$B$1018, MATCH(C1031, Mgt_Unit!$C$5:$C$1018, 0)), "")</f>
        <v>jennifer.moore</v>
      </c>
      <c r="C1031" t="s">
        <v>917</v>
      </c>
      <c r="D1031" s="65"/>
      <c r="E1031">
        <v>4</v>
      </c>
      <c r="F1031" t="s">
        <v>1537</v>
      </c>
      <c r="G1031" t="s">
        <v>1535</v>
      </c>
      <c r="H1031" t="s">
        <v>441</v>
      </c>
      <c r="I1031" t="s">
        <v>27</v>
      </c>
      <c r="J1031" s="89">
        <v>42646</v>
      </c>
      <c r="K1031" s="89"/>
      <c r="L1031" s="89">
        <v>42856</v>
      </c>
      <c r="M1031" s="31">
        <v>0</v>
      </c>
      <c r="N1031" s="9"/>
      <c r="O1031" s="33"/>
      <c r="P1031" s="33"/>
      <c r="Q1031" s="9"/>
      <c r="R1031" s="67"/>
      <c r="S1031" s="9"/>
    </row>
    <row r="1032" spans="1:19" ht="15" customHeight="1" x14ac:dyDescent="0.25">
      <c r="A1032" s="14"/>
      <c r="B1032" s="28" t="str">
        <f>IF(ISNUMBER(MATCH(C1032, Mgt_Unit!$C$5:$C$1018, 0)), INDEX(Mgt_Unit!$B$5:$B$1018, MATCH(C1032, Mgt_Unit!$C$5:$C$1018, 0)), "")</f>
        <v>jennifer.moore</v>
      </c>
      <c r="C1032" t="s">
        <v>917</v>
      </c>
      <c r="D1032" s="65"/>
      <c r="E1032">
        <v>4</v>
      </c>
      <c r="F1032" t="s">
        <v>1537</v>
      </c>
      <c r="G1032" t="s">
        <v>1535</v>
      </c>
      <c r="H1032" t="s">
        <v>442</v>
      </c>
      <c r="I1032" t="s">
        <v>1288</v>
      </c>
      <c r="J1032" s="89">
        <v>42646</v>
      </c>
      <c r="K1032" s="89"/>
      <c r="L1032" s="89">
        <v>42856</v>
      </c>
      <c r="M1032" s="31">
        <v>0</v>
      </c>
      <c r="N1032" s="9"/>
      <c r="O1032" s="33"/>
      <c r="P1032" s="33"/>
      <c r="Q1032" s="9"/>
      <c r="R1032" s="67"/>
      <c r="S1032" s="9"/>
    </row>
    <row r="1033" spans="1:19" ht="15" customHeight="1" x14ac:dyDescent="0.25">
      <c r="A1033" s="14"/>
      <c r="B1033" s="28" t="str">
        <f>IF(ISNUMBER(MATCH(C1033, Mgt_Unit!$C$5:$C$1018, 0)), INDEX(Mgt_Unit!$B$5:$B$1018, MATCH(C1033, Mgt_Unit!$C$5:$C$1018, 0)), "")</f>
        <v>jennifer.moore</v>
      </c>
      <c r="C1033" t="s">
        <v>917</v>
      </c>
      <c r="D1033" s="65"/>
      <c r="E1033">
        <v>4</v>
      </c>
      <c r="F1033" t="s">
        <v>1537</v>
      </c>
      <c r="G1033" t="s">
        <v>1535</v>
      </c>
      <c r="H1033" t="s">
        <v>48</v>
      </c>
      <c r="I1033" t="s">
        <v>84</v>
      </c>
      <c r="J1033" s="89">
        <v>42646</v>
      </c>
      <c r="K1033" s="89"/>
      <c r="L1033" s="89">
        <v>42856</v>
      </c>
      <c r="M1033" s="31">
        <v>0</v>
      </c>
      <c r="N1033" s="9"/>
      <c r="O1033" s="33"/>
      <c r="P1033" s="33"/>
      <c r="Q1033" s="9"/>
      <c r="R1033" s="67"/>
      <c r="S1033" s="9"/>
    </row>
    <row r="1034" spans="1:19" ht="15" customHeight="1" x14ac:dyDescent="0.25">
      <c r="A1034" s="14"/>
      <c r="B1034" s="28" t="str">
        <f>IF(ISNUMBER(MATCH(C1034, Mgt_Unit!$C$5:$C$1018, 0)), INDEX(Mgt_Unit!$B$5:$B$1018, MATCH(C1034, Mgt_Unit!$C$5:$C$1018, 0)), "")</f>
        <v>jennifer.moore</v>
      </c>
      <c r="C1034" t="s">
        <v>917</v>
      </c>
      <c r="D1034" s="65"/>
      <c r="E1034">
        <v>4</v>
      </c>
      <c r="F1034" t="s">
        <v>1537</v>
      </c>
      <c r="G1034" t="s">
        <v>1535</v>
      </c>
      <c r="H1034" t="s">
        <v>442</v>
      </c>
      <c r="I1034" t="s">
        <v>245</v>
      </c>
      <c r="J1034" s="89">
        <v>42646</v>
      </c>
      <c r="K1034" s="89"/>
      <c r="L1034" s="89">
        <v>42856</v>
      </c>
      <c r="M1034" s="31">
        <v>0</v>
      </c>
      <c r="N1034" s="9"/>
      <c r="O1034" s="33"/>
      <c r="P1034" s="33"/>
      <c r="Q1034" s="9"/>
      <c r="R1034" s="67"/>
      <c r="S1034" s="9"/>
    </row>
    <row r="1035" spans="1:19" ht="15" customHeight="1" x14ac:dyDescent="0.25">
      <c r="A1035" s="14"/>
      <c r="B1035" s="28" t="str">
        <f>IF(ISNUMBER(MATCH(C1035, Mgt_Unit!$C$5:$C$1018, 0)), INDEX(Mgt_Unit!$B$5:$B$1018, MATCH(C1035, Mgt_Unit!$C$5:$C$1018, 0)), "")</f>
        <v>jennifer.moore</v>
      </c>
      <c r="C1035" t="s">
        <v>917</v>
      </c>
      <c r="D1035" s="65"/>
      <c r="E1035">
        <v>5</v>
      </c>
      <c r="F1035" t="s">
        <v>1538</v>
      </c>
      <c r="G1035" t="s">
        <v>1544</v>
      </c>
      <c r="H1035" t="s">
        <v>51</v>
      </c>
      <c r="I1035" t="s">
        <v>137</v>
      </c>
      <c r="J1035" s="89">
        <v>42872</v>
      </c>
      <c r="K1035" s="89">
        <v>43023</v>
      </c>
      <c r="L1035" s="89"/>
      <c r="M1035" s="31">
        <v>0</v>
      </c>
      <c r="N1035" s="9"/>
      <c r="O1035" s="33"/>
      <c r="P1035" s="33"/>
      <c r="Q1035" s="9"/>
      <c r="R1035" s="67"/>
      <c r="S1035" s="9"/>
    </row>
    <row r="1036" spans="1:19" ht="15" customHeight="1" x14ac:dyDescent="0.25">
      <c r="A1036" s="14"/>
      <c r="B1036" s="28" t="str">
        <f>IF(ISNUMBER(MATCH(C1036, Mgt_Unit!$C$5:$C$1018, 0)), INDEX(Mgt_Unit!$B$5:$B$1018, MATCH(C1036, Mgt_Unit!$C$5:$C$1018, 0)), "")</f>
        <v>jennifer.moore</v>
      </c>
      <c r="C1036" s="87" t="s">
        <v>917</v>
      </c>
      <c r="D1036" s="65"/>
      <c r="E1036" s="87">
        <v>6</v>
      </c>
      <c r="F1036" s="87" t="s">
        <v>1538</v>
      </c>
      <c r="G1036" s="87" t="s">
        <v>1544</v>
      </c>
      <c r="H1036" s="87" t="s">
        <v>441</v>
      </c>
      <c r="I1036" s="87" t="s">
        <v>27</v>
      </c>
      <c r="J1036" s="90">
        <v>43038</v>
      </c>
      <c r="K1036" s="90"/>
      <c r="L1036" s="90"/>
      <c r="M1036" s="93"/>
      <c r="N1036" s="9"/>
      <c r="O1036" s="33"/>
      <c r="P1036" s="33"/>
      <c r="Q1036" s="9"/>
      <c r="R1036" s="67"/>
      <c r="S1036" s="9"/>
    </row>
    <row r="1037" spans="1:19" ht="15" customHeight="1" x14ac:dyDescent="0.25">
      <c r="A1037" s="14"/>
      <c r="B1037" s="28" t="str">
        <f>IF(ISNUMBER(MATCH(C1037, Mgt_Unit!$C$5:$C$1018, 0)), INDEX(Mgt_Unit!$B$5:$B$1018, MATCH(C1037, Mgt_Unit!$C$5:$C$1018, 0)), "")</f>
        <v>jennifer.moore</v>
      </c>
      <c r="C1037" t="s">
        <v>918</v>
      </c>
      <c r="D1037" s="65"/>
      <c r="E1037">
        <v>1</v>
      </c>
      <c r="F1037" t="s">
        <v>1538</v>
      </c>
      <c r="G1037" t="s">
        <v>1544</v>
      </c>
      <c r="H1037" t="s">
        <v>50</v>
      </c>
      <c r="I1037" t="s">
        <v>87</v>
      </c>
      <c r="J1037" s="89">
        <v>42130</v>
      </c>
      <c r="K1037" s="89">
        <v>42277</v>
      </c>
      <c r="L1037" s="89"/>
      <c r="M1037" s="31">
        <v>0</v>
      </c>
      <c r="N1037" s="9"/>
      <c r="O1037" s="33"/>
      <c r="P1037" s="33"/>
      <c r="Q1037" s="9"/>
      <c r="R1037" s="67"/>
      <c r="S1037" s="9"/>
    </row>
    <row r="1038" spans="1:19" ht="15" customHeight="1" x14ac:dyDescent="0.25">
      <c r="A1038" s="14"/>
      <c r="B1038" s="28" t="str">
        <f>IF(ISNUMBER(MATCH(C1038, Mgt_Unit!$C$5:$C$1018, 0)), INDEX(Mgt_Unit!$B$5:$B$1018, MATCH(C1038, Mgt_Unit!$C$5:$C$1018, 0)), "")</f>
        <v>jennifer.moore</v>
      </c>
      <c r="C1038" s="87" t="s">
        <v>918</v>
      </c>
      <c r="D1038" s="65"/>
      <c r="E1038" s="87">
        <v>2</v>
      </c>
      <c r="F1038" s="87" t="s">
        <v>1538</v>
      </c>
      <c r="G1038" s="87" t="s">
        <v>1544</v>
      </c>
      <c r="H1038" s="87" t="s">
        <v>51</v>
      </c>
      <c r="I1038" s="87" t="s">
        <v>137</v>
      </c>
      <c r="J1038" s="90">
        <v>42497</v>
      </c>
      <c r="K1038" s="90">
        <v>42668</v>
      </c>
      <c r="L1038" s="90"/>
      <c r="M1038" s="93">
        <v>0</v>
      </c>
      <c r="N1038" s="9"/>
      <c r="O1038" s="33"/>
      <c r="P1038" s="33"/>
      <c r="Q1038" s="9"/>
      <c r="R1038" s="67"/>
      <c r="S1038" s="9"/>
    </row>
    <row r="1039" spans="1:19" ht="15" customHeight="1" x14ac:dyDescent="0.25">
      <c r="A1039" s="14"/>
      <c r="B1039" s="28" t="str">
        <f>IF(ISNUMBER(MATCH(C1039, Mgt_Unit!$C$5:$C$1018, 0)), INDEX(Mgt_Unit!$B$5:$B$1018, MATCH(C1039, Mgt_Unit!$C$5:$C$1018, 0)), "")</f>
        <v>jennifer.moore</v>
      </c>
      <c r="C1039" t="s">
        <v>919</v>
      </c>
      <c r="D1039" s="65"/>
      <c r="E1039">
        <v>1</v>
      </c>
      <c r="F1039" t="s">
        <v>1538</v>
      </c>
      <c r="G1039" t="s">
        <v>1544</v>
      </c>
      <c r="H1039" t="s">
        <v>50</v>
      </c>
      <c r="I1039" t="s">
        <v>87</v>
      </c>
      <c r="J1039" s="89">
        <v>42130</v>
      </c>
      <c r="K1039" s="89">
        <v>42277</v>
      </c>
      <c r="L1039" s="89"/>
      <c r="M1039" s="31">
        <v>0</v>
      </c>
      <c r="N1039" s="9"/>
      <c r="O1039" s="33"/>
      <c r="P1039" s="33"/>
      <c r="Q1039" s="9"/>
      <c r="R1039" s="67"/>
      <c r="S1039" s="9"/>
    </row>
    <row r="1040" spans="1:19" ht="15" customHeight="1" x14ac:dyDescent="0.25">
      <c r="A1040" s="14"/>
      <c r="B1040" s="28" t="str">
        <f>IF(ISNUMBER(MATCH(C1040, Mgt_Unit!$C$5:$C$1018, 0)), INDEX(Mgt_Unit!$B$5:$B$1018, MATCH(C1040, Mgt_Unit!$C$5:$C$1018, 0)), "")</f>
        <v>jennifer.moore</v>
      </c>
      <c r="C1040" s="87" t="s">
        <v>919</v>
      </c>
      <c r="D1040" s="65"/>
      <c r="E1040" s="87">
        <v>2</v>
      </c>
      <c r="F1040" s="87" t="s">
        <v>1538</v>
      </c>
      <c r="G1040" s="87" t="s">
        <v>1544</v>
      </c>
      <c r="H1040" s="87" t="s">
        <v>51</v>
      </c>
      <c r="I1040" s="87" t="s">
        <v>137</v>
      </c>
      <c r="J1040" s="90">
        <v>42496</v>
      </c>
      <c r="K1040" s="90">
        <v>42668</v>
      </c>
      <c r="L1040" s="90"/>
      <c r="M1040" s="93">
        <v>0</v>
      </c>
      <c r="N1040" s="9"/>
      <c r="O1040" s="33"/>
      <c r="P1040" s="33"/>
      <c r="Q1040" s="9"/>
      <c r="R1040" s="67"/>
      <c r="S1040" s="9"/>
    </row>
    <row r="1041" spans="1:19" ht="15" customHeight="1" x14ac:dyDescent="0.25">
      <c r="A1041" s="14"/>
      <c r="B1041" s="28" t="str">
        <f>IF(ISNUMBER(MATCH(C1041, Mgt_Unit!$C$5:$C$1018, 0)), INDEX(Mgt_Unit!$B$5:$B$1018, MATCH(C1041, Mgt_Unit!$C$5:$C$1018, 0)), "")</f>
        <v>jennifer.moore</v>
      </c>
      <c r="C1041" t="s">
        <v>920</v>
      </c>
      <c r="D1041" s="65"/>
      <c r="E1041">
        <v>1</v>
      </c>
      <c r="F1041" t="s">
        <v>1538</v>
      </c>
      <c r="G1041" t="s">
        <v>1544</v>
      </c>
      <c r="H1041" t="s">
        <v>441</v>
      </c>
      <c r="I1041" t="s">
        <v>27</v>
      </c>
      <c r="J1041" s="89"/>
      <c r="K1041" s="89">
        <v>42906</v>
      </c>
      <c r="L1041" s="89"/>
      <c r="M1041" s="31">
        <v>0</v>
      </c>
      <c r="N1041" s="9"/>
      <c r="O1041" s="33"/>
      <c r="P1041" s="33"/>
      <c r="Q1041" s="9"/>
      <c r="R1041" s="67"/>
      <c r="S1041" s="9"/>
    </row>
    <row r="1042" spans="1:19" ht="15" customHeight="1" x14ac:dyDescent="0.25">
      <c r="A1042" s="14"/>
      <c r="B1042" s="28" t="str">
        <f>IF(ISNUMBER(MATCH(C1042, Mgt_Unit!$C$5:$C$1018, 0)), INDEX(Mgt_Unit!$B$5:$B$1018, MATCH(C1042, Mgt_Unit!$C$5:$C$1018, 0)), "")</f>
        <v>jennifer.moore</v>
      </c>
      <c r="C1042" t="s">
        <v>920</v>
      </c>
      <c r="D1042" s="65"/>
      <c r="E1042">
        <v>2</v>
      </c>
      <c r="F1042" t="s">
        <v>1538</v>
      </c>
      <c r="G1042" t="s">
        <v>1544</v>
      </c>
      <c r="H1042" t="s">
        <v>50</v>
      </c>
      <c r="I1042" t="s">
        <v>87</v>
      </c>
      <c r="J1042" s="89">
        <v>43220</v>
      </c>
      <c r="K1042" s="89">
        <v>43358</v>
      </c>
      <c r="L1042" s="89"/>
      <c r="M1042" s="31">
        <v>0</v>
      </c>
      <c r="N1042" s="9"/>
      <c r="O1042" s="33"/>
      <c r="P1042" s="33"/>
      <c r="Q1042" s="9"/>
      <c r="R1042" s="67"/>
      <c r="S1042" s="9"/>
    </row>
    <row r="1043" spans="1:19" ht="15" customHeight="1" x14ac:dyDescent="0.25">
      <c r="A1043" s="14"/>
      <c r="B1043" s="28" t="str">
        <f>IF(ISNUMBER(MATCH(C1043, Mgt_Unit!$C$5:$C$1018, 0)), INDEX(Mgt_Unit!$B$5:$B$1018, MATCH(C1043, Mgt_Unit!$C$5:$C$1018, 0)), "")</f>
        <v>jennifer.moore</v>
      </c>
      <c r="C1043" t="s">
        <v>920</v>
      </c>
      <c r="D1043" s="65"/>
      <c r="E1043">
        <v>3</v>
      </c>
      <c r="F1043" t="s">
        <v>1538</v>
      </c>
      <c r="G1043" t="s">
        <v>1544</v>
      </c>
      <c r="H1043" t="s">
        <v>51</v>
      </c>
      <c r="I1043" t="s">
        <v>137</v>
      </c>
      <c r="J1043" s="89">
        <v>43600</v>
      </c>
      <c r="K1043" s="89">
        <v>43743</v>
      </c>
      <c r="L1043" s="89"/>
      <c r="M1043" s="31">
        <v>0</v>
      </c>
      <c r="N1043" s="9"/>
      <c r="O1043" s="33"/>
      <c r="P1043" s="33"/>
      <c r="Q1043" s="9"/>
      <c r="R1043" s="67"/>
      <c r="S1043" s="9"/>
    </row>
    <row r="1044" spans="1:19" ht="15" customHeight="1" x14ac:dyDescent="0.25">
      <c r="A1044" s="14"/>
      <c r="B1044" s="28" t="str">
        <f>IF(ISNUMBER(MATCH(C1044, Mgt_Unit!$C$5:$C$1018, 0)), INDEX(Mgt_Unit!$B$5:$B$1018, MATCH(C1044, Mgt_Unit!$C$5:$C$1018, 0)), "")</f>
        <v>jennifer.moore</v>
      </c>
      <c r="C1044" s="87" t="s">
        <v>920</v>
      </c>
      <c r="D1044" s="65"/>
      <c r="E1044" s="87">
        <v>4</v>
      </c>
      <c r="F1044" s="87" t="s">
        <v>1538</v>
      </c>
      <c r="G1044" s="87" t="s">
        <v>1544</v>
      </c>
      <c r="H1044" s="87" t="s">
        <v>441</v>
      </c>
      <c r="I1044" s="87" t="s">
        <v>27</v>
      </c>
      <c r="J1044" s="90">
        <v>43753</v>
      </c>
      <c r="K1044" s="90"/>
      <c r="L1044" s="90"/>
      <c r="M1044" s="93"/>
      <c r="N1044" s="9"/>
      <c r="O1044" s="33"/>
      <c r="P1044" s="33"/>
      <c r="Q1044" s="9"/>
      <c r="R1044" s="67"/>
      <c r="S1044" s="9"/>
    </row>
    <row r="1045" spans="1:19" ht="15" customHeight="1" x14ac:dyDescent="0.25">
      <c r="A1045" s="14"/>
      <c r="B1045" s="28" t="str">
        <f>IF(ISNUMBER(MATCH(C1045, Mgt_Unit!$C$5:$C$1018, 0)), INDEX(Mgt_Unit!$B$5:$B$1018, MATCH(C1045, Mgt_Unit!$C$5:$C$1018, 0)), "")</f>
        <v>jennifer.moore</v>
      </c>
      <c r="C1045" t="s">
        <v>921</v>
      </c>
      <c r="D1045" s="65"/>
      <c r="E1045">
        <v>1</v>
      </c>
      <c r="F1045" t="s">
        <v>1538</v>
      </c>
      <c r="G1045" t="s">
        <v>1544</v>
      </c>
      <c r="H1045" t="s">
        <v>441</v>
      </c>
      <c r="I1045" t="s">
        <v>27</v>
      </c>
      <c r="J1045" s="89"/>
      <c r="K1045" s="89">
        <v>42906</v>
      </c>
      <c r="L1045" s="89"/>
      <c r="M1045" s="31">
        <v>0</v>
      </c>
      <c r="N1045" s="9"/>
      <c r="O1045" s="33"/>
      <c r="P1045" s="33"/>
      <c r="Q1045" s="9"/>
      <c r="R1045" s="67"/>
      <c r="S1045" s="9"/>
    </row>
    <row r="1046" spans="1:19" ht="15" customHeight="1" x14ac:dyDescent="0.25">
      <c r="A1046" s="14"/>
      <c r="B1046" s="28" t="str">
        <f>IF(ISNUMBER(MATCH(C1046, Mgt_Unit!$C$5:$C$1018, 0)), INDEX(Mgt_Unit!$B$5:$B$1018, MATCH(C1046, Mgt_Unit!$C$5:$C$1018, 0)), "")</f>
        <v>jennifer.moore</v>
      </c>
      <c r="C1046" t="s">
        <v>921</v>
      </c>
      <c r="D1046" s="65"/>
      <c r="E1046">
        <v>2</v>
      </c>
      <c r="F1046" t="s">
        <v>1538</v>
      </c>
      <c r="G1046" t="s">
        <v>1544</v>
      </c>
      <c r="H1046" t="s">
        <v>50</v>
      </c>
      <c r="I1046" t="s">
        <v>87</v>
      </c>
      <c r="J1046" s="89">
        <v>43220</v>
      </c>
      <c r="K1046" s="89">
        <v>43358</v>
      </c>
      <c r="L1046" s="89"/>
      <c r="M1046" s="31">
        <v>0</v>
      </c>
      <c r="N1046" s="9"/>
      <c r="O1046" s="33"/>
      <c r="P1046" s="33"/>
      <c r="Q1046" s="9"/>
      <c r="R1046" s="67"/>
      <c r="S1046" s="9"/>
    </row>
    <row r="1047" spans="1:19" ht="15" customHeight="1" x14ac:dyDescent="0.25">
      <c r="A1047" s="14"/>
      <c r="B1047" s="28" t="str">
        <f>IF(ISNUMBER(MATCH(C1047, Mgt_Unit!$C$5:$C$1018, 0)), INDEX(Mgt_Unit!$B$5:$B$1018, MATCH(C1047, Mgt_Unit!$C$5:$C$1018, 0)), "")</f>
        <v>jennifer.moore</v>
      </c>
      <c r="C1047" t="s">
        <v>921</v>
      </c>
      <c r="D1047" s="65"/>
      <c r="E1047">
        <v>3</v>
      </c>
      <c r="F1047" t="s">
        <v>1538</v>
      </c>
      <c r="G1047" t="s">
        <v>1544</v>
      </c>
      <c r="H1047" t="s">
        <v>51</v>
      </c>
      <c r="I1047" t="s">
        <v>137</v>
      </c>
      <c r="J1047" s="89">
        <v>43600</v>
      </c>
      <c r="K1047" s="89">
        <v>43743</v>
      </c>
      <c r="L1047" s="89"/>
      <c r="M1047" s="31">
        <v>0</v>
      </c>
      <c r="N1047" s="9"/>
      <c r="O1047" s="33"/>
      <c r="P1047" s="33"/>
      <c r="Q1047" s="9"/>
      <c r="R1047" s="67"/>
      <c r="S1047" s="9"/>
    </row>
    <row r="1048" spans="1:19" ht="15" customHeight="1" x14ac:dyDescent="0.25">
      <c r="A1048" s="14"/>
      <c r="B1048" s="28" t="str">
        <f>IF(ISNUMBER(MATCH(C1048, Mgt_Unit!$C$5:$C$1018, 0)), INDEX(Mgt_Unit!$B$5:$B$1018, MATCH(C1048, Mgt_Unit!$C$5:$C$1018, 0)), "")</f>
        <v>jennifer.moore</v>
      </c>
      <c r="C1048" s="87" t="s">
        <v>921</v>
      </c>
      <c r="D1048" s="65"/>
      <c r="E1048" s="87">
        <v>4</v>
      </c>
      <c r="F1048" s="87" t="s">
        <v>1538</v>
      </c>
      <c r="G1048" s="87" t="s">
        <v>1544</v>
      </c>
      <c r="H1048" s="87" t="s">
        <v>441</v>
      </c>
      <c r="I1048" s="87" t="s">
        <v>27</v>
      </c>
      <c r="J1048" s="90">
        <v>43753</v>
      </c>
      <c r="K1048" s="90"/>
      <c r="L1048" s="90"/>
      <c r="M1048" s="93"/>
      <c r="N1048" s="9"/>
      <c r="O1048" s="33"/>
      <c r="P1048" s="33"/>
      <c r="Q1048" s="9"/>
      <c r="R1048" s="67"/>
      <c r="S1048" s="9"/>
    </row>
    <row r="1049" spans="1:19" ht="15" customHeight="1" x14ac:dyDescent="0.25">
      <c r="A1049" s="14"/>
      <c r="B1049" s="28" t="str">
        <f>IF(ISNUMBER(MATCH(C1049, Mgt_Unit!$C$5:$C$1018, 0)), INDEX(Mgt_Unit!$B$5:$B$1018, MATCH(C1049, Mgt_Unit!$C$5:$C$1018, 0)), "")</f>
        <v>jennifer.moore</v>
      </c>
      <c r="C1049" t="s">
        <v>922</v>
      </c>
      <c r="D1049" s="65"/>
      <c r="E1049">
        <v>1</v>
      </c>
      <c r="F1049" t="s">
        <v>1538</v>
      </c>
      <c r="G1049" t="s">
        <v>1544</v>
      </c>
      <c r="H1049" t="s">
        <v>50</v>
      </c>
      <c r="I1049" t="s">
        <v>87</v>
      </c>
      <c r="J1049" s="89">
        <v>43220</v>
      </c>
      <c r="K1049" s="89">
        <v>43358</v>
      </c>
      <c r="L1049" s="89"/>
      <c r="M1049" s="31">
        <v>0</v>
      </c>
      <c r="N1049" s="9"/>
      <c r="O1049" s="33"/>
      <c r="P1049" s="33"/>
      <c r="Q1049" s="9"/>
      <c r="R1049" s="67"/>
      <c r="S1049" s="9"/>
    </row>
    <row r="1050" spans="1:19" ht="15" customHeight="1" x14ac:dyDescent="0.25">
      <c r="A1050" s="14"/>
      <c r="B1050" s="28" t="str">
        <f>IF(ISNUMBER(MATCH(C1050, Mgt_Unit!$C$5:$C$1018, 0)), INDEX(Mgt_Unit!$B$5:$B$1018, MATCH(C1050, Mgt_Unit!$C$5:$C$1018, 0)), "")</f>
        <v>jennifer.moore</v>
      </c>
      <c r="C1050" t="s">
        <v>922</v>
      </c>
      <c r="D1050" s="65"/>
      <c r="E1050">
        <v>2</v>
      </c>
      <c r="F1050" t="s">
        <v>1538</v>
      </c>
      <c r="G1050" t="s">
        <v>1544</v>
      </c>
      <c r="H1050" t="s">
        <v>51</v>
      </c>
      <c r="I1050" t="s">
        <v>137</v>
      </c>
      <c r="J1050" s="89">
        <v>43600</v>
      </c>
      <c r="K1050" s="89">
        <v>43743</v>
      </c>
      <c r="L1050" s="89"/>
      <c r="M1050" s="31">
        <v>0</v>
      </c>
      <c r="N1050" s="9"/>
      <c r="O1050" s="33"/>
      <c r="P1050" s="33"/>
      <c r="Q1050" s="9"/>
      <c r="R1050" s="67"/>
      <c r="S1050" s="9"/>
    </row>
    <row r="1051" spans="1:19" ht="15" customHeight="1" x14ac:dyDescent="0.25">
      <c r="A1051" s="14"/>
      <c r="B1051" s="28" t="str">
        <f>IF(ISNUMBER(MATCH(C1051, Mgt_Unit!$C$5:$C$1018, 0)), INDEX(Mgt_Unit!$B$5:$B$1018, MATCH(C1051, Mgt_Unit!$C$5:$C$1018, 0)), "")</f>
        <v>jennifer.moore</v>
      </c>
      <c r="C1051" s="87" t="s">
        <v>922</v>
      </c>
      <c r="D1051" s="65"/>
      <c r="E1051" s="87">
        <v>3</v>
      </c>
      <c r="F1051" s="87" t="s">
        <v>1538</v>
      </c>
      <c r="G1051" s="87" t="s">
        <v>1544</v>
      </c>
      <c r="H1051" s="87" t="s">
        <v>441</v>
      </c>
      <c r="I1051" s="87" t="s">
        <v>27</v>
      </c>
      <c r="J1051" s="90">
        <v>43753</v>
      </c>
      <c r="K1051" s="90"/>
      <c r="L1051" s="90"/>
      <c r="M1051" s="93">
        <v>0</v>
      </c>
      <c r="N1051" s="9"/>
      <c r="O1051" s="33"/>
      <c r="P1051" s="33"/>
      <c r="Q1051" s="9"/>
      <c r="R1051" s="67"/>
      <c r="S1051" s="9"/>
    </row>
    <row r="1052" spans="1:19" ht="15" customHeight="1" x14ac:dyDescent="0.25">
      <c r="A1052" s="14"/>
      <c r="B1052" s="28" t="str">
        <f>IF(ISNUMBER(MATCH(C1052, Mgt_Unit!$C$5:$C$1018, 0)), INDEX(Mgt_Unit!$B$5:$B$1018, MATCH(C1052, Mgt_Unit!$C$5:$C$1018, 0)), "")</f>
        <v>jennifer.moore</v>
      </c>
      <c r="C1052" t="s">
        <v>923</v>
      </c>
      <c r="D1052" s="65"/>
      <c r="E1052">
        <v>1</v>
      </c>
      <c r="F1052" t="s">
        <v>1538</v>
      </c>
      <c r="G1052" t="s">
        <v>1544</v>
      </c>
      <c r="H1052" t="s">
        <v>441</v>
      </c>
      <c r="I1052" t="s">
        <v>27</v>
      </c>
      <c r="J1052" s="89"/>
      <c r="K1052" s="89">
        <v>42906</v>
      </c>
      <c r="L1052" s="89"/>
      <c r="M1052" s="31">
        <v>0</v>
      </c>
      <c r="N1052" s="9"/>
      <c r="O1052" s="33"/>
      <c r="P1052" s="33"/>
      <c r="Q1052" s="9"/>
      <c r="R1052" s="67"/>
      <c r="S1052" s="9"/>
    </row>
    <row r="1053" spans="1:19" ht="15" customHeight="1" x14ac:dyDescent="0.25">
      <c r="A1053" s="14"/>
      <c r="B1053" s="28" t="str">
        <f>IF(ISNUMBER(MATCH(C1053, Mgt_Unit!$C$5:$C$1018, 0)), INDEX(Mgt_Unit!$B$5:$B$1018, MATCH(C1053, Mgt_Unit!$C$5:$C$1018, 0)), "")</f>
        <v>jennifer.moore</v>
      </c>
      <c r="C1053" t="s">
        <v>923</v>
      </c>
      <c r="D1053" s="65"/>
      <c r="E1053">
        <v>2</v>
      </c>
      <c r="F1053" t="s">
        <v>1538</v>
      </c>
      <c r="G1053" t="s">
        <v>1544</v>
      </c>
      <c r="H1053" t="s">
        <v>50</v>
      </c>
      <c r="I1053" t="s">
        <v>87</v>
      </c>
      <c r="J1053" s="89">
        <v>43220</v>
      </c>
      <c r="K1053" s="89">
        <v>43358</v>
      </c>
      <c r="L1053" s="89"/>
      <c r="M1053" s="31">
        <v>0</v>
      </c>
      <c r="N1053" s="9"/>
      <c r="O1053" s="33"/>
      <c r="P1053" s="33"/>
      <c r="Q1053" s="9"/>
      <c r="R1053" s="67"/>
      <c r="S1053" s="9"/>
    </row>
    <row r="1054" spans="1:19" ht="15" customHeight="1" x14ac:dyDescent="0.25">
      <c r="A1054" s="14"/>
      <c r="B1054" s="28" t="str">
        <f>IF(ISNUMBER(MATCH(C1054, Mgt_Unit!$C$5:$C$1018, 0)), INDEX(Mgt_Unit!$B$5:$B$1018, MATCH(C1054, Mgt_Unit!$C$5:$C$1018, 0)), "")</f>
        <v>jennifer.moore</v>
      </c>
      <c r="C1054" t="s">
        <v>923</v>
      </c>
      <c r="D1054" s="65"/>
      <c r="E1054">
        <v>3</v>
      </c>
      <c r="F1054" t="s">
        <v>1538</v>
      </c>
      <c r="G1054" t="s">
        <v>1544</v>
      </c>
      <c r="H1054" t="s">
        <v>51</v>
      </c>
      <c r="I1054" t="s">
        <v>137</v>
      </c>
      <c r="J1054" s="89">
        <v>43600</v>
      </c>
      <c r="K1054" s="89">
        <v>43743</v>
      </c>
      <c r="L1054" s="89"/>
      <c r="M1054" s="31">
        <v>0</v>
      </c>
      <c r="N1054" s="9"/>
      <c r="O1054" s="33"/>
      <c r="P1054" s="33"/>
      <c r="Q1054" s="9"/>
      <c r="R1054" s="67"/>
      <c r="S1054" s="9"/>
    </row>
    <row r="1055" spans="1:19" ht="15" customHeight="1" x14ac:dyDescent="0.25">
      <c r="A1055" s="14"/>
      <c r="B1055" s="28" t="str">
        <f>IF(ISNUMBER(MATCH(C1055, Mgt_Unit!$C$5:$C$1018, 0)), INDEX(Mgt_Unit!$B$5:$B$1018, MATCH(C1055, Mgt_Unit!$C$5:$C$1018, 0)), "")</f>
        <v>jennifer.moore</v>
      </c>
      <c r="C1055" s="87" t="s">
        <v>923</v>
      </c>
      <c r="D1055" s="65"/>
      <c r="E1055" s="87">
        <v>4</v>
      </c>
      <c r="F1055" s="87" t="s">
        <v>1538</v>
      </c>
      <c r="G1055" s="87" t="s">
        <v>1544</v>
      </c>
      <c r="H1055" s="87" t="s">
        <v>441</v>
      </c>
      <c r="I1055" s="87" t="s">
        <v>27</v>
      </c>
      <c r="J1055" s="90">
        <v>43753</v>
      </c>
      <c r="K1055" s="90"/>
      <c r="L1055" s="90"/>
      <c r="M1055" s="93"/>
      <c r="N1055" s="9"/>
      <c r="O1055" s="33"/>
      <c r="P1055" s="33"/>
      <c r="Q1055" s="9"/>
      <c r="R1055" s="67"/>
      <c r="S1055" s="9"/>
    </row>
    <row r="1056" spans="1:19" ht="15" customHeight="1" x14ac:dyDescent="0.25">
      <c r="A1056" s="14"/>
      <c r="B1056" s="28" t="str">
        <f>IF(ISNUMBER(MATCH(C1056, Mgt_Unit!$C$5:$C$1018, 0)), INDEX(Mgt_Unit!$B$5:$B$1018, MATCH(C1056, Mgt_Unit!$C$5:$C$1018, 0)), "")</f>
        <v>jennifer.moore</v>
      </c>
      <c r="C1056" t="s">
        <v>924</v>
      </c>
      <c r="D1056" s="65"/>
      <c r="E1056">
        <v>1</v>
      </c>
      <c r="F1056" t="s">
        <v>1537</v>
      </c>
      <c r="G1056" t="s">
        <v>1544</v>
      </c>
      <c r="H1056" t="s">
        <v>442</v>
      </c>
      <c r="I1056" t="s">
        <v>190</v>
      </c>
      <c r="J1056" s="89">
        <v>42809</v>
      </c>
      <c r="K1056" s="89">
        <v>42906</v>
      </c>
      <c r="L1056" s="89"/>
      <c r="M1056" s="31">
        <v>0</v>
      </c>
      <c r="N1056" s="9"/>
      <c r="O1056" s="33"/>
      <c r="P1056" s="33"/>
      <c r="Q1056" s="9"/>
      <c r="R1056" s="67"/>
      <c r="S1056" s="9"/>
    </row>
    <row r="1057" spans="1:19" ht="15" customHeight="1" x14ac:dyDescent="0.25">
      <c r="A1057" s="14"/>
      <c r="B1057" s="28" t="str">
        <f>IF(ISNUMBER(MATCH(C1057, Mgt_Unit!$C$5:$C$1018, 0)), INDEX(Mgt_Unit!$B$5:$B$1018, MATCH(C1057, Mgt_Unit!$C$5:$C$1018, 0)), "")</f>
        <v>jennifer.moore</v>
      </c>
      <c r="C1057" t="s">
        <v>924</v>
      </c>
      <c r="D1057" s="65"/>
      <c r="E1057">
        <v>1</v>
      </c>
      <c r="F1057" t="s">
        <v>1537</v>
      </c>
      <c r="G1057" t="s">
        <v>1544</v>
      </c>
      <c r="H1057" t="s">
        <v>441</v>
      </c>
      <c r="I1057" t="s">
        <v>27</v>
      </c>
      <c r="J1057" s="104"/>
      <c r="K1057" s="89">
        <v>42906</v>
      </c>
      <c r="L1057" s="89"/>
      <c r="M1057" s="31">
        <v>0</v>
      </c>
      <c r="N1057" s="9"/>
      <c r="O1057" s="33"/>
      <c r="P1057" s="33"/>
      <c r="Q1057" s="9"/>
      <c r="R1057" s="67"/>
      <c r="S1057" s="9"/>
    </row>
    <row r="1058" spans="1:19" ht="15" customHeight="1" x14ac:dyDescent="0.25">
      <c r="A1058" s="14"/>
      <c r="B1058" s="28" t="str">
        <f>IF(ISNUMBER(MATCH(C1058, Mgt_Unit!$C$5:$C$1018, 0)), INDEX(Mgt_Unit!$B$5:$B$1018, MATCH(C1058, Mgt_Unit!$C$5:$C$1018, 0)), "")</f>
        <v>jennifer.moore</v>
      </c>
      <c r="C1058" t="s">
        <v>924</v>
      </c>
      <c r="D1058" s="65"/>
      <c r="E1058">
        <v>2</v>
      </c>
      <c r="F1058" t="s">
        <v>1538</v>
      </c>
      <c r="G1058" t="s">
        <v>1544</v>
      </c>
      <c r="H1058" t="s">
        <v>50</v>
      </c>
      <c r="I1058" t="s">
        <v>87</v>
      </c>
      <c r="J1058" s="89">
        <v>43220</v>
      </c>
      <c r="K1058" s="89">
        <v>43358</v>
      </c>
      <c r="L1058" s="89"/>
      <c r="M1058" s="31">
        <v>0</v>
      </c>
      <c r="N1058" s="9"/>
      <c r="O1058" s="33"/>
      <c r="P1058" s="33"/>
      <c r="Q1058" s="9"/>
      <c r="R1058" s="67"/>
      <c r="S1058" s="9"/>
    </row>
    <row r="1059" spans="1:19" ht="15" customHeight="1" x14ac:dyDescent="0.25">
      <c r="A1059" s="14"/>
      <c r="B1059" s="28" t="str">
        <f>IF(ISNUMBER(MATCH(C1059, Mgt_Unit!$C$5:$C$1018, 0)), INDEX(Mgt_Unit!$B$5:$B$1018, MATCH(C1059, Mgt_Unit!$C$5:$C$1018, 0)), "")</f>
        <v>jennifer.moore</v>
      </c>
      <c r="C1059" s="87" t="s">
        <v>924</v>
      </c>
      <c r="D1059" s="65"/>
      <c r="E1059" s="87">
        <v>3</v>
      </c>
      <c r="F1059" s="87" t="s">
        <v>1538</v>
      </c>
      <c r="G1059" s="87" t="s">
        <v>1544</v>
      </c>
      <c r="H1059" s="87" t="s">
        <v>441</v>
      </c>
      <c r="I1059" s="87" t="s">
        <v>27</v>
      </c>
      <c r="J1059" s="90">
        <v>43388</v>
      </c>
      <c r="K1059" s="90"/>
      <c r="L1059" s="90"/>
      <c r="M1059" s="93"/>
      <c r="N1059" s="9"/>
      <c r="O1059" s="33"/>
      <c r="P1059" s="33"/>
      <c r="Q1059" s="9"/>
      <c r="R1059" s="67"/>
      <c r="S1059" s="9"/>
    </row>
    <row r="1060" spans="1:19" ht="15" customHeight="1" x14ac:dyDescent="0.25">
      <c r="A1060" s="14"/>
      <c r="B1060" s="28" t="str">
        <f>IF(ISNUMBER(MATCH(C1060, Mgt_Unit!$C$5:$C$1018, 0)), INDEX(Mgt_Unit!$B$5:$B$1018, MATCH(C1060, Mgt_Unit!$C$5:$C$1018, 0)), "")</f>
        <v>jennifer.moore</v>
      </c>
      <c r="C1060" t="s">
        <v>925</v>
      </c>
      <c r="D1060" s="65"/>
      <c r="E1060">
        <v>1</v>
      </c>
      <c r="F1060" t="s">
        <v>1537</v>
      </c>
      <c r="G1060" t="s">
        <v>1544</v>
      </c>
      <c r="H1060" t="s">
        <v>442</v>
      </c>
      <c r="I1060" t="s">
        <v>190</v>
      </c>
      <c r="J1060" s="89">
        <v>42809</v>
      </c>
      <c r="K1060" s="89">
        <v>42906</v>
      </c>
      <c r="L1060" s="89"/>
      <c r="M1060" s="31">
        <v>0</v>
      </c>
      <c r="N1060" s="9"/>
      <c r="O1060" s="33"/>
      <c r="P1060" s="33"/>
      <c r="Q1060" s="9"/>
      <c r="R1060" s="67"/>
      <c r="S1060" s="9"/>
    </row>
    <row r="1061" spans="1:19" ht="15" customHeight="1" x14ac:dyDescent="0.25">
      <c r="A1061" s="14"/>
      <c r="B1061" s="28" t="str">
        <f>IF(ISNUMBER(MATCH(C1061, Mgt_Unit!$C$5:$C$1018, 0)), INDEX(Mgt_Unit!$B$5:$B$1018, MATCH(C1061, Mgt_Unit!$C$5:$C$1018, 0)), "")</f>
        <v>jennifer.moore</v>
      </c>
      <c r="C1061" t="s">
        <v>925</v>
      </c>
      <c r="D1061" s="65"/>
      <c r="E1061">
        <v>1</v>
      </c>
      <c r="F1061" t="s">
        <v>1537</v>
      </c>
      <c r="G1061" t="s">
        <v>1544</v>
      </c>
      <c r="H1061" t="s">
        <v>441</v>
      </c>
      <c r="I1061" t="s">
        <v>27</v>
      </c>
      <c r="J1061" s="104"/>
      <c r="K1061" s="89">
        <v>42906</v>
      </c>
      <c r="L1061" s="89"/>
      <c r="M1061" s="31">
        <v>0</v>
      </c>
      <c r="N1061" s="9"/>
      <c r="O1061" s="33"/>
      <c r="P1061" s="33"/>
      <c r="Q1061" s="9"/>
      <c r="R1061" s="67"/>
      <c r="S1061" s="9"/>
    </row>
    <row r="1062" spans="1:19" ht="15" customHeight="1" x14ac:dyDescent="0.25">
      <c r="A1062" s="14"/>
      <c r="B1062" s="28" t="str">
        <f>IF(ISNUMBER(MATCH(C1062, Mgt_Unit!$C$5:$C$1018, 0)), INDEX(Mgt_Unit!$B$5:$B$1018, MATCH(C1062, Mgt_Unit!$C$5:$C$1018, 0)), "")</f>
        <v>jennifer.moore</v>
      </c>
      <c r="C1062" t="s">
        <v>925</v>
      </c>
      <c r="D1062" s="65"/>
      <c r="E1062">
        <v>2</v>
      </c>
      <c r="F1062" t="s">
        <v>1538</v>
      </c>
      <c r="G1062" t="s">
        <v>1544</v>
      </c>
      <c r="H1062" t="s">
        <v>50</v>
      </c>
      <c r="I1062" t="s">
        <v>87</v>
      </c>
      <c r="J1062" s="89">
        <v>43220</v>
      </c>
      <c r="K1062" s="89">
        <v>43358</v>
      </c>
      <c r="L1062" s="89"/>
      <c r="M1062" s="31">
        <v>0</v>
      </c>
      <c r="N1062" s="9"/>
      <c r="O1062" s="33"/>
      <c r="P1062" s="33"/>
      <c r="Q1062" s="9"/>
      <c r="R1062" s="67"/>
      <c r="S1062" s="9"/>
    </row>
    <row r="1063" spans="1:19" ht="15" customHeight="1" x14ac:dyDescent="0.25">
      <c r="A1063" s="14"/>
      <c r="B1063" s="28" t="str">
        <f>IF(ISNUMBER(MATCH(C1063, Mgt_Unit!$C$5:$C$1018, 0)), INDEX(Mgt_Unit!$B$5:$B$1018, MATCH(C1063, Mgt_Unit!$C$5:$C$1018, 0)), "")</f>
        <v>jennifer.moore</v>
      </c>
      <c r="C1063" s="87" t="s">
        <v>925</v>
      </c>
      <c r="D1063" s="65"/>
      <c r="E1063" s="87">
        <v>3</v>
      </c>
      <c r="F1063" s="87" t="s">
        <v>1538</v>
      </c>
      <c r="G1063" s="87" t="s">
        <v>1544</v>
      </c>
      <c r="H1063" s="87" t="s">
        <v>441</v>
      </c>
      <c r="I1063" s="87" t="s">
        <v>27</v>
      </c>
      <c r="J1063" s="90">
        <v>43388</v>
      </c>
      <c r="K1063" s="90"/>
      <c r="L1063" s="90"/>
      <c r="M1063" s="93"/>
      <c r="N1063" s="9"/>
      <c r="O1063" s="33"/>
      <c r="P1063" s="33"/>
      <c r="Q1063" s="9"/>
      <c r="R1063" s="67"/>
      <c r="S1063" s="9"/>
    </row>
    <row r="1064" spans="1:19" ht="15" customHeight="1" x14ac:dyDescent="0.25">
      <c r="A1064" s="14"/>
      <c r="B1064" s="28" t="str">
        <f>IF(ISNUMBER(MATCH(C1064, Mgt_Unit!$C$5:$C$1018, 0)), INDEX(Mgt_Unit!$B$5:$B$1018, MATCH(C1064, Mgt_Unit!$C$5:$C$1018, 0)), "")</f>
        <v>jennifer.moore</v>
      </c>
      <c r="C1064" t="s">
        <v>926</v>
      </c>
      <c r="D1064" s="65"/>
      <c r="E1064">
        <v>1</v>
      </c>
      <c r="F1064" t="s">
        <v>1537</v>
      </c>
      <c r="G1064" t="s">
        <v>1544</v>
      </c>
      <c r="H1064" t="s">
        <v>442</v>
      </c>
      <c r="I1064" t="s">
        <v>190</v>
      </c>
      <c r="J1064" s="89">
        <v>42809</v>
      </c>
      <c r="K1064" s="89">
        <v>42906</v>
      </c>
      <c r="L1064" s="89"/>
      <c r="M1064" s="31">
        <v>0</v>
      </c>
      <c r="N1064" s="9"/>
      <c r="O1064" s="33"/>
      <c r="P1064" s="33"/>
      <c r="Q1064" s="9"/>
      <c r="R1064" s="67"/>
      <c r="S1064" s="9"/>
    </row>
    <row r="1065" spans="1:19" ht="15" customHeight="1" x14ac:dyDescent="0.25">
      <c r="A1065" s="14"/>
      <c r="B1065" s="28" t="str">
        <f>IF(ISNUMBER(MATCH(C1065, Mgt_Unit!$C$5:$C$1018, 0)), INDEX(Mgt_Unit!$B$5:$B$1018, MATCH(C1065, Mgt_Unit!$C$5:$C$1018, 0)), "")</f>
        <v>jennifer.moore</v>
      </c>
      <c r="C1065" t="s">
        <v>926</v>
      </c>
      <c r="D1065" s="65"/>
      <c r="E1065">
        <v>1</v>
      </c>
      <c r="F1065" t="s">
        <v>1537</v>
      </c>
      <c r="G1065" t="s">
        <v>1544</v>
      </c>
      <c r="H1065" t="s">
        <v>441</v>
      </c>
      <c r="I1065" t="s">
        <v>27</v>
      </c>
      <c r="J1065" s="104"/>
      <c r="K1065" s="89">
        <v>42906</v>
      </c>
      <c r="L1065" s="89"/>
      <c r="M1065" s="31">
        <v>0</v>
      </c>
      <c r="N1065" s="9"/>
      <c r="O1065" s="33"/>
      <c r="P1065" s="33"/>
      <c r="Q1065" s="9"/>
      <c r="R1065" s="67"/>
      <c r="S1065" s="9"/>
    </row>
    <row r="1066" spans="1:19" ht="15" customHeight="1" x14ac:dyDescent="0.25">
      <c r="A1066" s="14"/>
      <c r="B1066" s="28" t="str">
        <f>IF(ISNUMBER(MATCH(C1066, Mgt_Unit!$C$5:$C$1018, 0)), INDEX(Mgt_Unit!$B$5:$B$1018, MATCH(C1066, Mgt_Unit!$C$5:$C$1018, 0)), "")</f>
        <v>jennifer.moore</v>
      </c>
      <c r="C1066" t="s">
        <v>926</v>
      </c>
      <c r="D1066" s="65"/>
      <c r="E1066">
        <v>2</v>
      </c>
      <c r="F1066" t="s">
        <v>1538</v>
      </c>
      <c r="G1066" t="s">
        <v>1544</v>
      </c>
      <c r="H1066" t="s">
        <v>50</v>
      </c>
      <c r="I1066" t="s">
        <v>87</v>
      </c>
      <c r="J1066" s="89">
        <v>43220</v>
      </c>
      <c r="K1066" s="89">
        <v>43358</v>
      </c>
      <c r="L1066" s="89"/>
      <c r="M1066" s="31">
        <v>0</v>
      </c>
      <c r="N1066" s="9"/>
      <c r="O1066" s="33"/>
      <c r="P1066" s="33"/>
      <c r="Q1066" s="9"/>
      <c r="R1066" s="67"/>
      <c r="S1066" s="9"/>
    </row>
    <row r="1067" spans="1:19" ht="15" customHeight="1" x14ac:dyDescent="0.25">
      <c r="A1067" s="14"/>
      <c r="B1067" s="28" t="str">
        <f>IF(ISNUMBER(MATCH(C1067, Mgt_Unit!$C$5:$C$1018, 0)), INDEX(Mgt_Unit!$B$5:$B$1018, MATCH(C1067, Mgt_Unit!$C$5:$C$1018, 0)), "")</f>
        <v>jennifer.moore</v>
      </c>
      <c r="C1067" s="87" t="s">
        <v>926</v>
      </c>
      <c r="D1067" s="65"/>
      <c r="E1067" s="87">
        <v>3</v>
      </c>
      <c r="F1067" s="87" t="s">
        <v>1538</v>
      </c>
      <c r="G1067" s="87" t="s">
        <v>1544</v>
      </c>
      <c r="H1067" s="87" t="s">
        <v>441</v>
      </c>
      <c r="I1067" s="87" t="s">
        <v>27</v>
      </c>
      <c r="J1067" s="90">
        <v>43388</v>
      </c>
      <c r="K1067" s="90"/>
      <c r="L1067" s="90"/>
      <c r="M1067" s="93"/>
      <c r="N1067" s="9"/>
      <c r="O1067" s="33"/>
      <c r="P1067" s="33"/>
      <c r="Q1067" s="9"/>
      <c r="R1067" s="67"/>
      <c r="S1067" s="9"/>
    </row>
    <row r="1068" spans="1:19" ht="15" customHeight="1" x14ac:dyDescent="0.25">
      <c r="A1068" s="14"/>
      <c r="B1068" s="28" t="str">
        <f>IF(ISNUMBER(MATCH(C1068, Mgt_Unit!$C$5:$C$1018, 0)), INDEX(Mgt_Unit!$B$5:$B$1018, MATCH(C1068, Mgt_Unit!$C$5:$C$1018, 0)), "")</f>
        <v>jennifer.moore</v>
      </c>
      <c r="C1068" s="88" t="s">
        <v>927</v>
      </c>
      <c r="D1068" s="65"/>
      <c r="E1068" s="88">
        <v>1</v>
      </c>
      <c r="F1068" s="88" t="s">
        <v>1538</v>
      </c>
      <c r="G1068" s="88" t="s">
        <v>1544</v>
      </c>
      <c r="H1068" s="88" t="s">
        <v>50</v>
      </c>
      <c r="I1068" s="88" t="s">
        <v>87</v>
      </c>
      <c r="J1068" s="91">
        <v>43220</v>
      </c>
      <c r="K1068" s="91">
        <v>43358</v>
      </c>
      <c r="L1068" s="91"/>
      <c r="M1068" s="94">
        <v>0</v>
      </c>
      <c r="N1068" s="9"/>
      <c r="O1068" s="33"/>
      <c r="P1068" s="33"/>
      <c r="Q1068" s="9"/>
      <c r="R1068" s="67"/>
      <c r="S1068" s="9"/>
    </row>
    <row r="1069" spans="1:19" ht="15" customHeight="1" x14ac:dyDescent="0.25">
      <c r="A1069" s="14"/>
      <c r="B1069" s="28" t="str">
        <f>IF(ISNUMBER(MATCH(C1069, Mgt_Unit!$C$5:$C$1018, 0)), INDEX(Mgt_Unit!$B$5:$B$1018, MATCH(C1069, Mgt_Unit!$C$5:$C$1018, 0)), "")</f>
        <v>jennifer.moore</v>
      </c>
      <c r="C1069" s="88" t="s">
        <v>928</v>
      </c>
      <c r="D1069" s="65"/>
      <c r="E1069" s="88">
        <v>1</v>
      </c>
      <c r="F1069" s="88" t="s">
        <v>1538</v>
      </c>
      <c r="G1069" s="88" t="s">
        <v>1544</v>
      </c>
      <c r="H1069" s="88" t="s">
        <v>50</v>
      </c>
      <c r="I1069" s="88" t="s">
        <v>87</v>
      </c>
      <c r="J1069" s="91">
        <v>43220</v>
      </c>
      <c r="K1069" s="91">
        <v>43358</v>
      </c>
      <c r="L1069" s="91"/>
      <c r="M1069" s="94">
        <v>0</v>
      </c>
      <c r="N1069" s="9"/>
      <c r="O1069" s="33"/>
      <c r="P1069" s="33"/>
      <c r="Q1069" s="9"/>
      <c r="R1069" s="67"/>
      <c r="S1069" s="9"/>
    </row>
    <row r="1070" spans="1:19" ht="15" customHeight="1" x14ac:dyDescent="0.25">
      <c r="A1070" s="14"/>
      <c r="B1070" s="28" t="str">
        <f>IF(ISNUMBER(MATCH(C1070, Mgt_Unit!$C$5:$C$1018, 0)), INDEX(Mgt_Unit!$B$5:$B$1018, MATCH(C1070, Mgt_Unit!$C$5:$C$1018, 0)), "")</f>
        <v>jennifer.moore</v>
      </c>
      <c r="C1070" s="88" t="s">
        <v>929</v>
      </c>
      <c r="D1070" s="65"/>
      <c r="E1070" s="88">
        <v>1</v>
      </c>
      <c r="F1070" s="88" t="s">
        <v>1538</v>
      </c>
      <c r="G1070" s="88" t="s">
        <v>1544</v>
      </c>
      <c r="H1070" s="88" t="s">
        <v>50</v>
      </c>
      <c r="I1070" s="88" t="s">
        <v>87</v>
      </c>
      <c r="J1070" s="91">
        <v>43220</v>
      </c>
      <c r="K1070" s="91">
        <v>43358</v>
      </c>
      <c r="L1070" s="91"/>
      <c r="M1070" s="94">
        <v>0</v>
      </c>
      <c r="N1070" s="9"/>
      <c r="O1070" s="33"/>
      <c r="P1070" s="33"/>
      <c r="Q1070" s="9"/>
      <c r="R1070" s="67"/>
      <c r="S1070" s="9"/>
    </row>
    <row r="1071" spans="1:19" ht="15" customHeight="1" x14ac:dyDescent="0.25">
      <c r="A1071" s="14"/>
      <c r="B1071" s="28" t="str">
        <f>IF(ISNUMBER(MATCH(C1071, Mgt_Unit!$C$5:$C$1018, 0)), INDEX(Mgt_Unit!$B$5:$B$1018, MATCH(C1071, Mgt_Unit!$C$5:$C$1018, 0)), "")</f>
        <v>jennifer.moore</v>
      </c>
      <c r="C1071" s="88" t="s">
        <v>930</v>
      </c>
      <c r="D1071" s="65"/>
      <c r="E1071" s="88">
        <v>1</v>
      </c>
      <c r="F1071" s="88" t="s">
        <v>1538</v>
      </c>
      <c r="G1071" s="88" t="s">
        <v>1544</v>
      </c>
      <c r="H1071" s="88" t="s">
        <v>50</v>
      </c>
      <c r="I1071" s="88" t="s">
        <v>87</v>
      </c>
      <c r="J1071" s="91">
        <v>43220</v>
      </c>
      <c r="K1071" s="91">
        <v>43358</v>
      </c>
      <c r="L1071" s="91"/>
      <c r="M1071" s="94">
        <v>0</v>
      </c>
      <c r="N1071" s="9"/>
      <c r="O1071" s="33"/>
      <c r="P1071" s="33"/>
      <c r="Q1071" s="9"/>
      <c r="R1071" s="67"/>
      <c r="S1071" s="9" t="s">
        <v>1592</v>
      </c>
    </row>
    <row r="1072" spans="1:19" ht="15" customHeight="1" x14ac:dyDescent="0.25">
      <c r="A1072" s="14"/>
      <c r="B1072" s="28" t="str">
        <f>IF(ISNUMBER(MATCH(C1072, Mgt_Unit!$C$5:$C$1018, 0)), INDEX(Mgt_Unit!$B$5:$B$1018, MATCH(C1072, Mgt_Unit!$C$5:$C$1018, 0)), "")</f>
        <v>jennifer.moore</v>
      </c>
      <c r="C1072" t="s">
        <v>931</v>
      </c>
      <c r="D1072" s="65"/>
      <c r="E1072">
        <v>1</v>
      </c>
      <c r="F1072" t="s">
        <v>1538</v>
      </c>
      <c r="G1072" t="s">
        <v>1536</v>
      </c>
      <c r="H1072" t="s">
        <v>441</v>
      </c>
      <c r="I1072" t="s">
        <v>184</v>
      </c>
      <c r="J1072" s="89">
        <v>38353</v>
      </c>
      <c r="K1072" s="89">
        <v>38888</v>
      </c>
      <c r="L1072"/>
      <c r="M1072" s="31">
        <v>90</v>
      </c>
      <c r="N1072" s="9"/>
      <c r="O1072" s="33"/>
      <c r="P1072" s="33"/>
      <c r="Q1072" s="9"/>
      <c r="R1072" s="67"/>
      <c r="S1072" s="9"/>
    </row>
    <row r="1073" spans="1:19" ht="15" customHeight="1" x14ac:dyDescent="0.25">
      <c r="A1073" s="14"/>
      <c r="B1073" s="28" t="str">
        <f>IF(ISNUMBER(MATCH(C1073, Mgt_Unit!$C$5:$C$1018, 0)), INDEX(Mgt_Unit!$B$5:$B$1018, MATCH(C1073, Mgt_Unit!$C$5:$C$1018, 0)), "")</f>
        <v>jennifer.moore</v>
      </c>
      <c r="C1073" t="s">
        <v>931</v>
      </c>
      <c r="D1073" s="65"/>
      <c r="E1073">
        <v>1</v>
      </c>
      <c r="F1073" t="s">
        <v>1538</v>
      </c>
      <c r="G1073" t="s">
        <v>1536</v>
      </c>
      <c r="H1073" t="s">
        <v>441</v>
      </c>
      <c r="I1073" t="s">
        <v>184</v>
      </c>
      <c r="J1073" s="89"/>
      <c r="K1073" s="89">
        <v>39253</v>
      </c>
      <c r="L1073" s="89"/>
      <c r="M1073" s="31">
        <v>90</v>
      </c>
      <c r="N1073" s="9"/>
      <c r="O1073" s="33"/>
      <c r="P1073" s="33"/>
      <c r="Q1073" s="9"/>
      <c r="R1073" s="67"/>
      <c r="S1073" s="9"/>
    </row>
    <row r="1074" spans="1:19" ht="15" customHeight="1" x14ac:dyDescent="0.25">
      <c r="A1074" s="14"/>
      <c r="B1074" s="28" t="str">
        <f>IF(ISNUMBER(MATCH(C1074, Mgt_Unit!$C$5:$C$1018, 0)), INDEX(Mgt_Unit!$B$5:$B$1018, MATCH(C1074, Mgt_Unit!$C$5:$C$1018, 0)), "")</f>
        <v>jennifer.moore</v>
      </c>
      <c r="C1074" t="s">
        <v>931</v>
      </c>
      <c r="D1074" s="65"/>
      <c r="E1074">
        <v>1</v>
      </c>
      <c r="F1074" t="s">
        <v>1538</v>
      </c>
      <c r="G1074" t="s">
        <v>1536</v>
      </c>
      <c r="H1074" t="s">
        <v>441</v>
      </c>
      <c r="I1074" t="s">
        <v>184</v>
      </c>
      <c r="J1074" s="89"/>
      <c r="K1074" s="89">
        <v>39619</v>
      </c>
      <c r="L1074" s="89"/>
      <c r="M1074" s="31">
        <v>90</v>
      </c>
      <c r="N1074" s="9"/>
      <c r="O1074" s="33"/>
      <c r="P1074" s="33"/>
      <c r="Q1074" s="9"/>
      <c r="R1074" s="67"/>
      <c r="S1074" s="9"/>
    </row>
    <row r="1075" spans="1:19" ht="15" customHeight="1" x14ac:dyDescent="0.25">
      <c r="A1075" s="14"/>
      <c r="B1075" s="28" t="str">
        <f>IF(ISNUMBER(MATCH(C1075, Mgt_Unit!$C$5:$C$1018, 0)), INDEX(Mgt_Unit!$B$5:$B$1018, MATCH(C1075, Mgt_Unit!$C$5:$C$1018, 0)), "")</f>
        <v>jennifer.moore</v>
      </c>
      <c r="C1075" t="s">
        <v>931</v>
      </c>
      <c r="D1075" s="65"/>
      <c r="E1075">
        <v>1</v>
      </c>
      <c r="F1075" t="s">
        <v>1538</v>
      </c>
      <c r="G1075" t="s">
        <v>1536</v>
      </c>
      <c r="H1075" t="s">
        <v>441</v>
      </c>
      <c r="I1075" t="s">
        <v>184</v>
      </c>
      <c r="J1075" s="89"/>
      <c r="K1075" s="89">
        <v>39984</v>
      </c>
      <c r="L1075" s="89"/>
      <c r="M1075" s="31">
        <v>90</v>
      </c>
      <c r="N1075" s="9"/>
      <c r="O1075" s="33"/>
      <c r="P1075" s="33"/>
      <c r="Q1075" s="9"/>
      <c r="R1075" s="67"/>
      <c r="S1075" s="9"/>
    </row>
    <row r="1076" spans="1:19" ht="15" customHeight="1" x14ac:dyDescent="0.25">
      <c r="A1076" s="14"/>
      <c r="B1076" s="28" t="str">
        <f>IF(ISNUMBER(MATCH(C1076, Mgt_Unit!$C$5:$C$1018, 0)), INDEX(Mgt_Unit!$B$5:$B$1018, MATCH(C1076, Mgt_Unit!$C$5:$C$1018, 0)), "")</f>
        <v>jennifer.moore</v>
      </c>
      <c r="C1076" t="s">
        <v>931</v>
      </c>
      <c r="D1076" s="65"/>
      <c r="E1076">
        <v>1</v>
      </c>
      <c r="F1076" t="s">
        <v>1538</v>
      </c>
      <c r="G1076" t="s">
        <v>1536</v>
      </c>
      <c r="H1076" t="s">
        <v>441</v>
      </c>
      <c r="I1076" t="s">
        <v>184</v>
      </c>
      <c r="J1076" s="89"/>
      <c r="K1076" s="89">
        <v>40349</v>
      </c>
      <c r="L1076" s="89"/>
      <c r="M1076" s="31">
        <v>90</v>
      </c>
      <c r="N1076" s="9"/>
      <c r="O1076" s="33"/>
      <c r="P1076" s="33"/>
      <c r="Q1076" s="9"/>
      <c r="R1076" s="67"/>
      <c r="S1076" s="9"/>
    </row>
    <row r="1077" spans="1:19" ht="15" customHeight="1" x14ac:dyDescent="0.25">
      <c r="A1077" s="14"/>
      <c r="B1077" s="28" t="str">
        <f>IF(ISNUMBER(MATCH(C1077, Mgt_Unit!$C$5:$C$1018, 0)), INDEX(Mgt_Unit!$B$5:$B$1018, MATCH(C1077, Mgt_Unit!$C$5:$C$1018, 0)), "")</f>
        <v>jennifer.moore</v>
      </c>
      <c r="C1077" t="s">
        <v>931</v>
      </c>
      <c r="D1077" s="65"/>
      <c r="E1077">
        <v>1</v>
      </c>
      <c r="F1077" t="s">
        <v>1538</v>
      </c>
      <c r="G1077" t="s">
        <v>1536</v>
      </c>
      <c r="H1077" t="s">
        <v>441</v>
      </c>
      <c r="I1077" t="s">
        <v>184</v>
      </c>
      <c r="J1077" s="89"/>
      <c r="K1077" s="89">
        <v>40714</v>
      </c>
      <c r="L1077" s="89"/>
      <c r="M1077" s="31">
        <v>90</v>
      </c>
      <c r="N1077" s="9"/>
      <c r="O1077" s="33"/>
      <c r="P1077" s="33"/>
      <c r="Q1077" s="9"/>
      <c r="R1077" s="67"/>
      <c r="S1077" s="9"/>
    </row>
    <row r="1078" spans="1:19" ht="15" customHeight="1" x14ac:dyDescent="0.25">
      <c r="A1078" s="14"/>
      <c r="B1078" s="28" t="str">
        <f>IF(ISNUMBER(MATCH(C1078, Mgt_Unit!$C$5:$C$1018, 0)), INDEX(Mgt_Unit!$B$5:$B$1018, MATCH(C1078, Mgt_Unit!$C$5:$C$1018, 0)), "")</f>
        <v>jennifer.moore</v>
      </c>
      <c r="C1078" t="s">
        <v>931</v>
      </c>
      <c r="D1078" s="65"/>
      <c r="E1078">
        <v>1</v>
      </c>
      <c r="F1078" t="s">
        <v>1538</v>
      </c>
      <c r="G1078" t="s">
        <v>1536</v>
      </c>
      <c r="H1078" t="s">
        <v>441</v>
      </c>
      <c r="I1078" t="s">
        <v>184</v>
      </c>
      <c r="J1078" s="89"/>
      <c r="K1078" s="89">
        <v>41080</v>
      </c>
      <c r="L1078" s="89"/>
      <c r="M1078" s="31">
        <v>90</v>
      </c>
      <c r="N1078" s="9"/>
      <c r="O1078" s="33"/>
      <c r="P1078" s="33"/>
      <c r="Q1078" s="9"/>
      <c r="R1078" s="67"/>
      <c r="S1078" s="9"/>
    </row>
    <row r="1079" spans="1:19" ht="15" customHeight="1" x14ac:dyDescent="0.25">
      <c r="A1079" s="14"/>
      <c r="B1079" s="28" t="str">
        <f>IF(ISNUMBER(MATCH(C1079, Mgt_Unit!$C$5:$C$1018, 0)), INDEX(Mgt_Unit!$B$5:$B$1018, MATCH(C1079, Mgt_Unit!$C$5:$C$1018, 0)), "")</f>
        <v>jennifer.moore</v>
      </c>
      <c r="C1079" t="s">
        <v>931</v>
      </c>
      <c r="D1079" s="65"/>
      <c r="E1079">
        <v>1</v>
      </c>
      <c r="F1079" t="s">
        <v>1538</v>
      </c>
      <c r="G1079" t="s">
        <v>1536</v>
      </c>
      <c r="H1079" t="s">
        <v>441</v>
      </c>
      <c r="I1079" t="s">
        <v>184</v>
      </c>
      <c r="J1079" s="89"/>
      <c r="K1079" s="89">
        <v>41445</v>
      </c>
      <c r="L1079" s="89"/>
      <c r="M1079" s="31">
        <v>90</v>
      </c>
      <c r="N1079" s="9"/>
      <c r="O1079" s="33"/>
      <c r="P1079" s="33"/>
      <c r="Q1079" s="9"/>
      <c r="R1079" s="67"/>
      <c r="S1079" s="9"/>
    </row>
    <row r="1080" spans="1:19" ht="15" customHeight="1" x14ac:dyDescent="0.25">
      <c r="A1080" s="14"/>
      <c r="B1080" s="28" t="str">
        <f>IF(ISNUMBER(MATCH(C1080, Mgt_Unit!$C$5:$C$1018, 0)), INDEX(Mgt_Unit!$B$5:$B$1018, MATCH(C1080, Mgt_Unit!$C$5:$C$1018, 0)), "")</f>
        <v>jennifer.moore</v>
      </c>
      <c r="C1080" t="s">
        <v>931</v>
      </c>
      <c r="D1080" s="65"/>
      <c r="E1080">
        <v>1</v>
      </c>
      <c r="F1080" t="s">
        <v>1538</v>
      </c>
      <c r="G1080" t="s">
        <v>1536</v>
      </c>
      <c r="H1080" t="s">
        <v>441</v>
      </c>
      <c r="I1080" t="s">
        <v>184</v>
      </c>
      <c r="J1080" s="89"/>
      <c r="K1080" s="89">
        <v>41810</v>
      </c>
      <c r="L1080" s="89"/>
      <c r="M1080" s="31">
        <v>90</v>
      </c>
      <c r="N1080" s="9"/>
      <c r="O1080" s="33"/>
      <c r="P1080" s="33"/>
      <c r="Q1080" s="9"/>
      <c r="R1080" s="67"/>
      <c r="S1080" s="9"/>
    </row>
    <row r="1081" spans="1:19" ht="15" customHeight="1" x14ac:dyDescent="0.25">
      <c r="A1081" s="14"/>
      <c r="B1081" s="28" t="str">
        <f>IF(ISNUMBER(MATCH(C1081, Mgt_Unit!$C$5:$C$1018, 0)), INDEX(Mgt_Unit!$B$5:$B$1018, MATCH(C1081, Mgt_Unit!$C$5:$C$1018, 0)), "")</f>
        <v>jennifer.moore</v>
      </c>
      <c r="C1081" t="s">
        <v>931</v>
      </c>
      <c r="D1081" s="65"/>
      <c r="E1081">
        <v>1</v>
      </c>
      <c r="F1081" t="s">
        <v>1538</v>
      </c>
      <c r="G1081" t="s">
        <v>1536</v>
      </c>
      <c r="H1081" t="s">
        <v>441</v>
      </c>
      <c r="I1081" t="s">
        <v>184</v>
      </c>
      <c r="J1081" s="89"/>
      <c r="K1081" s="89">
        <v>42175</v>
      </c>
      <c r="L1081" s="89"/>
      <c r="M1081" s="31">
        <v>90</v>
      </c>
      <c r="N1081" s="9"/>
      <c r="O1081" s="33"/>
      <c r="P1081" s="33"/>
      <c r="Q1081" s="9"/>
      <c r="R1081" s="67"/>
      <c r="S1081" s="9"/>
    </row>
    <row r="1082" spans="1:19" ht="15" customHeight="1" x14ac:dyDescent="0.25">
      <c r="A1082" s="14"/>
      <c r="B1082" s="28" t="str">
        <f>IF(ISNUMBER(MATCH(C1082, Mgt_Unit!$C$5:$C$1018, 0)), INDEX(Mgt_Unit!$B$5:$B$1018, MATCH(C1082, Mgt_Unit!$C$5:$C$1018, 0)), "")</f>
        <v>jennifer.moore</v>
      </c>
      <c r="C1082" t="s">
        <v>931</v>
      </c>
      <c r="D1082" s="65"/>
      <c r="E1082">
        <v>1</v>
      </c>
      <c r="F1082" t="s">
        <v>1538</v>
      </c>
      <c r="G1082" t="s">
        <v>1536</v>
      </c>
      <c r="H1082" t="s">
        <v>441</v>
      </c>
      <c r="I1082" t="s">
        <v>184</v>
      </c>
      <c r="J1082" s="89"/>
      <c r="K1082" s="89">
        <v>42541</v>
      </c>
      <c r="L1082" s="89"/>
      <c r="M1082" s="31">
        <v>90</v>
      </c>
      <c r="N1082" s="9"/>
      <c r="O1082" s="33"/>
      <c r="P1082" s="33"/>
      <c r="Q1082" s="9"/>
      <c r="R1082" s="67"/>
      <c r="S1082" s="9"/>
    </row>
    <row r="1083" spans="1:19" ht="15" customHeight="1" x14ac:dyDescent="0.25">
      <c r="A1083" s="14"/>
      <c r="B1083" s="28" t="str">
        <f>IF(ISNUMBER(MATCH(C1083, Mgt_Unit!$C$5:$C$1018, 0)), INDEX(Mgt_Unit!$B$5:$B$1018, MATCH(C1083, Mgt_Unit!$C$5:$C$1018, 0)), "")</f>
        <v>jennifer.moore</v>
      </c>
      <c r="C1083" s="87" t="s">
        <v>931</v>
      </c>
      <c r="D1083" s="65"/>
      <c r="E1083" s="87">
        <v>1</v>
      </c>
      <c r="F1083" s="87" t="s">
        <v>1538</v>
      </c>
      <c r="G1083" s="87" t="s">
        <v>1536</v>
      </c>
      <c r="H1083" s="87" t="s">
        <v>441</v>
      </c>
      <c r="I1083" s="87" t="s">
        <v>184</v>
      </c>
      <c r="J1083" s="90"/>
      <c r="K1083" s="90">
        <v>42906</v>
      </c>
      <c r="L1083" s="102">
        <v>43100</v>
      </c>
      <c r="M1083" s="93">
        <v>90</v>
      </c>
      <c r="N1083" s="9"/>
      <c r="O1083" s="33"/>
      <c r="P1083" s="33"/>
      <c r="Q1083" s="9"/>
      <c r="R1083" s="67"/>
      <c r="S1083" s="9"/>
    </row>
    <row r="1084" spans="1:19" ht="15" customHeight="1" x14ac:dyDescent="0.25">
      <c r="A1084" s="14"/>
      <c r="B1084" s="28" t="str">
        <f>IF(ISNUMBER(MATCH(C1084, Mgt_Unit!$C$5:$C$1018, 0)), INDEX(Mgt_Unit!$B$5:$B$1018, MATCH(C1084, Mgt_Unit!$C$5:$C$1018, 0)), "")</f>
        <v>jennifer.moore</v>
      </c>
      <c r="C1084" t="s">
        <v>932</v>
      </c>
      <c r="D1084" s="65"/>
      <c r="E1084">
        <v>1</v>
      </c>
      <c r="F1084" t="s">
        <v>1538</v>
      </c>
      <c r="G1084" t="s">
        <v>1536</v>
      </c>
      <c r="H1084" t="s">
        <v>441</v>
      </c>
      <c r="I1084" t="s">
        <v>184</v>
      </c>
      <c r="J1084" s="89">
        <v>38353</v>
      </c>
      <c r="K1084" s="89">
        <v>38888</v>
      </c>
      <c r="L1084"/>
      <c r="M1084" s="31">
        <v>90</v>
      </c>
      <c r="N1084" s="9"/>
      <c r="O1084" s="33"/>
      <c r="P1084" s="33"/>
      <c r="Q1084" s="9"/>
      <c r="R1084" s="67"/>
      <c r="S1084" s="9"/>
    </row>
    <row r="1085" spans="1:19" ht="15" customHeight="1" x14ac:dyDescent="0.25">
      <c r="A1085" s="14"/>
      <c r="B1085" s="28" t="str">
        <f>IF(ISNUMBER(MATCH(C1085, Mgt_Unit!$C$5:$C$1018, 0)), INDEX(Mgt_Unit!$B$5:$B$1018, MATCH(C1085, Mgt_Unit!$C$5:$C$1018, 0)), "")</f>
        <v>jennifer.moore</v>
      </c>
      <c r="C1085" t="s">
        <v>932</v>
      </c>
      <c r="D1085" s="65"/>
      <c r="E1085">
        <v>1</v>
      </c>
      <c r="F1085" t="s">
        <v>1538</v>
      </c>
      <c r="G1085" t="s">
        <v>1536</v>
      </c>
      <c r="H1085" t="s">
        <v>441</v>
      </c>
      <c r="I1085" t="s">
        <v>184</v>
      </c>
      <c r="J1085" s="89"/>
      <c r="K1085" s="89">
        <v>39253</v>
      </c>
      <c r="L1085" s="89"/>
      <c r="M1085" s="31">
        <v>90</v>
      </c>
      <c r="N1085" s="9"/>
      <c r="O1085" s="33"/>
      <c r="P1085" s="33"/>
      <c r="Q1085" s="9"/>
      <c r="R1085" s="67"/>
      <c r="S1085" s="9"/>
    </row>
    <row r="1086" spans="1:19" ht="15" customHeight="1" x14ac:dyDescent="0.25">
      <c r="A1086" s="14"/>
      <c r="B1086" s="28" t="str">
        <f>IF(ISNUMBER(MATCH(C1086, Mgt_Unit!$C$5:$C$1018, 0)), INDEX(Mgt_Unit!$B$5:$B$1018, MATCH(C1086, Mgt_Unit!$C$5:$C$1018, 0)), "")</f>
        <v>jennifer.moore</v>
      </c>
      <c r="C1086" t="s">
        <v>932</v>
      </c>
      <c r="D1086" s="65"/>
      <c r="E1086">
        <v>1</v>
      </c>
      <c r="F1086" t="s">
        <v>1538</v>
      </c>
      <c r="G1086" t="s">
        <v>1536</v>
      </c>
      <c r="H1086" t="s">
        <v>441</v>
      </c>
      <c r="I1086" t="s">
        <v>184</v>
      </c>
      <c r="J1086" s="89"/>
      <c r="K1086" s="89">
        <v>39619</v>
      </c>
      <c r="L1086" s="89"/>
      <c r="M1086" s="31">
        <v>90</v>
      </c>
      <c r="N1086" s="9"/>
      <c r="O1086" s="33"/>
      <c r="P1086" s="33"/>
      <c r="Q1086" s="9"/>
      <c r="R1086" s="67"/>
      <c r="S1086" s="9"/>
    </row>
    <row r="1087" spans="1:19" ht="15" customHeight="1" x14ac:dyDescent="0.25">
      <c r="A1087" s="14"/>
      <c r="B1087" s="28" t="str">
        <f>IF(ISNUMBER(MATCH(C1087, Mgt_Unit!$C$5:$C$1018, 0)), INDEX(Mgt_Unit!$B$5:$B$1018, MATCH(C1087, Mgt_Unit!$C$5:$C$1018, 0)), "")</f>
        <v>jennifer.moore</v>
      </c>
      <c r="C1087" t="s">
        <v>932</v>
      </c>
      <c r="D1087" s="65"/>
      <c r="E1087">
        <v>1</v>
      </c>
      <c r="F1087" t="s">
        <v>1538</v>
      </c>
      <c r="G1087" t="s">
        <v>1536</v>
      </c>
      <c r="H1087" t="s">
        <v>441</v>
      </c>
      <c r="I1087" t="s">
        <v>184</v>
      </c>
      <c r="J1087" s="89"/>
      <c r="K1087" s="89">
        <v>39984</v>
      </c>
      <c r="L1087" s="89"/>
      <c r="M1087" s="31">
        <v>90</v>
      </c>
      <c r="N1087" s="9"/>
      <c r="O1087" s="33"/>
      <c r="P1087" s="33"/>
      <c r="Q1087" s="9"/>
      <c r="R1087" s="67"/>
      <c r="S1087" s="9"/>
    </row>
    <row r="1088" spans="1:19" ht="15" customHeight="1" x14ac:dyDescent="0.25">
      <c r="A1088" s="14"/>
      <c r="B1088" s="28" t="str">
        <f>IF(ISNUMBER(MATCH(C1088, Mgt_Unit!$C$5:$C$1018, 0)), INDEX(Mgt_Unit!$B$5:$B$1018, MATCH(C1088, Mgt_Unit!$C$5:$C$1018, 0)), "")</f>
        <v>jennifer.moore</v>
      </c>
      <c r="C1088" t="s">
        <v>932</v>
      </c>
      <c r="D1088" s="65"/>
      <c r="E1088">
        <v>1</v>
      </c>
      <c r="F1088" t="s">
        <v>1538</v>
      </c>
      <c r="G1088" t="s">
        <v>1536</v>
      </c>
      <c r="H1088" t="s">
        <v>441</v>
      </c>
      <c r="I1088" t="s">
        <v>184</v>
      </c>
      <c r="J1088" s="89"/>
      <c r="K1088" s="89">
        <v>40349</v>
      </c>
      <c r="L1088" s="89"/>
      <c r="M1088" s="31">
        <v>90</v>
      </c>
      <c r="N1088" s="9"/>
      <c r="O1088" s="33"/>
      <c r="P1088" s="33"/>
      <c r="Q1088" s="9"/>
      <c r="R1088" s="67"/>
      <c r="S1088" s="9"/>
    </row>
    <row r="1089" spans="1:19" ht="15" customHeight="1" x14ac:dyDescent="0.25">
      <c r="A1089" s="14"/>
      <c r="B1089" s="28" t="str">
        <f>IF(ISNUMBER(MATCH(C1089, Mgt_Unit!$C$5:$C$1018, 0)), INDEX(Mgt_Unit!$B$5:$B$1018, MATCH(C1089, Mgt_Unit!$C$5:$C$1018, 0)), "")</f>
        <v>jennifer.moore</v>
      </c>
      <c r="C1089" t="s">
        <v>932</v>
      </c>
      <c r="D1089" s="65"/>
      <c r="E1089">
        <v>1</v>
      </c>
      <c r="F1089" t="s">
        <v>1538</v>
      </c>
      <c r="G1089" t="s">
        <v>1536</v>
      </c>
      <c r="H1089" t="s">
        <v>441</v>
      </c>
      <c r="I1089" t="s">
        <v>184</v>
      </c>
      <c r="J1089" s="89"/>
      <c r="K1089" s="89">
        <v>40714</v>
      </c>
      <c r="L1089" s="89"/>
      <c r="M1089" s="31">
        <v>90</v>
      </c>
      <c r="N1089" s="9"/>
      <c r="O1089" s="33"/>
      <c r="P1089" s="33"/>
      <c r="Q1089" s="9"/>
      <c r="R1089" s="67"/>
      <c r="S1089" s="9"/>
    </row>
    <row r="1090" spans="1:19" ht="15" customHeight="1" x14ac:dyDescent="0.25">
      <c r="A1090" s="14"/>
      <c r="B1090" s="28" t="str">
        <f>IF(ISNUMBER(MATCH(C1090, Mgt_Unit!$C$5:$C$1018, 0)), INDEX(Mgt_Unit!$B$5:$B$1018, MATCH(C1090, Mgt_Unit!$C$5:$C$1018, 0)), "")</f>
        <v>jennifer.moore</v>
      </c>
      <c r="C1090" t="s">
        <v>932</v>
      </c>
      <c r="D1090" s="65"/>
      <c r="E1090">
        <v>1</v>
      </c>
      <c r="F1090" t="s">
        <v>1538</v>
      </c>
      <c r="G1090" t="s">
        <v>1536</v>
      </c>
      <c r="H1090" t="s">
        <v>441</v>
      </c>
      <c r="I1090" t="s">
        <v>184</v>
      </c>
      <c r="J1090" s="89"/>
      <c r="K1090" s="89">
        <v>41080</v>
      </c>
      <c r="L1090" s="89"/>
      <c r="M1090" s="31">
        <v>90</v>
      </c>
      <c r="N1090" s="9"/>
      <c r="O1090" s="33"/>
      <c r="P1090" s="33"/>
      <c r="Q1090" s="9"/>
      <c r="R1090" s="67"/>
      <c r="S1090" s="9"/>
    </row>
    <row r="1091" spans="1:19" ht="15" customHeight="1" x14ac:dyDescent="0.25">
      <c r="A1091" s="14"/>
      <c r="B1091" s="28" t="str">
        <f>IF(ISNUMBER(MATCH(C1091, Mgt_Unit!$C$5:$C$1018, 0)), INDEX(Mgt_Unit!$B$5:$B$1018, MATCH(C1091, Mgt_Unit!$C$5:$C$1018, 0)), "")</f>
        <v>jennifer.moore</v>
      </c>
      <c r="C1091" t="s">
        <v>932</v>
      </c>
      <c r="D1091" s="65"/>
      <c r="E1091">
        <v>1</v>
      </c>
      <c r="F1091" t="s">
        <v>1538</v>
      </c>
      <c r="G1091" t="s">
        <v>1536</v>
      </c>
      <c r="H1091" t="s">
        <v>441</v>
      </c>
      <c r="I1091" t="s">
        <v>184</v>
      </c>
      <c r="J1091" s="89"/>
      <c r="K1091" s="89">
        <v>41445</v>
      </c>
      <c r="L1091" s="89"/>
      <c r="M1091" s="31">
        <v>90</v>
      </c>
      <c r="N1091" s="9"/>
      <c r="O1091" s="33"/>
      <c r="P1091" s="33"/>
      <c r="Q1091" s="9"/>
      <c r="R1091" s="67"/>
      <c r="S1091" s="9"/>
    </row>
    <row r="1092" spans="1:19" ht="15" customHeight="1" x14ac:dyDescent="0.25">
      <c r="A1092" s="14"/>
      <c r="B1092" s="28" t="str">
        <f>IF(ISNUMBER(MATCH(C1092, Mgt_Unit!$C$5:$C$1018, 0)), INDEX(Mgt_Unit!$B$5:$B$1018, MATCH(C1092, Mgt_Unit!$C$5:$C$1018, 0)), "")</f>
        <v>jennifer.moore</v>
      </c>
      <c r="C1092" t="s">
        <v>932</v>
      </c>
      <c r="D1092" s="65"/>
      <c r="E1092">
        <v>1</v>
      </c>
      <c r="F1092" t="s">
        <v>1538</v>
      </c>
      <c r="G1092" t="s">
        <v>1536</v>
      </c>
      <c r="H1092" t="s">
        <v>441</v>
      </c>
      <c r="I1092" t="s">
        <v>184</v>
      </c>
      <c r="J1092" s="89"/>
      <c r="K1092" s="89">
        <v>41810</v>
      </c>
      <c r="L1092" s="89"/>
      <c r="M1092" s="31">
        <v>90</v>
      </c>
      <c r="N1092" s="9"/>
      <c r="O1092" s="33"/>
      <c r="P1092" s="33"/>
      <c r="Q1092" s="9"/>
      <c r="R1092" s="67"/>
      <c r="S1092" s="9"/>
    </row>
    <row r="1093" spans="1:19" ht="15" customHeight="1" x14ac:dyDescent="0.25">
      <c r="A1093" s="14"/>
      <c r="B1093" s="28" t="str">
        <f>IF(ISNUMBER(MATCH(C1093, Mgt_Unit!$C$5:$C$1018, 0)), INDEX(Mgt_Unit!$B$5:$B$1018, MATCH(C1093, Mgt_Unit!$C$5:$C$1018, 0)), "")</f>
        <v>jennifer.moore</v>
      </c>
      <c r="C1093" t="s">
        <v>932</v>
      </c>
      <c r="D1093" s="65"/>
      <c r="E1093">
        <v>1</v>
      </c>
      <c r="F1093" t="s">
        <v>1538</v>
      </c>
      <c r="G1093" t="s">
        <v>1536</v>
      </c>
      <c r="H1093" t="s">
        <v>441</v>
      </c>
      <c r="I1093" t="s">
        <v>184</v>
      </c>
      <c r="J1093" s="89"/>
      <c r="K1093" s="89">
        <v>42175</v>
      </c>
      <c r="L1093" s="89"/>
      <c r="M1093" s="31">
        <v>90</v>
      </c>
      <c r="N1093" s="9"/>
      <c r="O1093" s="33"/>
      <c r="P1093" s="33"/>
      <c r="Q1093" s="9"/>
      <c r="R1093" s="67"/>
      <c r="S1093" s="9"/>
    </row>
    <row r="1094" spans="1:19" ht="15" customHeight="1" x14ac:dyDescent="0.25">
      <c r="A1094" s="14"/>
      <c r="B1094" s="28" t="str">
        <f>IF(ISNUMBER(MATCH(C1094, Mgt_Unit!$C$5:$C$1018, 0)), INDEX(Mgt_Unit!$B$5:$B$1018, MATCH(C1094, Mgt_Unit!$C$5:$C$1018, 0)), "")</f>
        <v>jennifer.moore</v>
      </c>
      <c r="C1094" t="s">
        <v>932</v>
      </c>
      <c r="D1094" s="65"/>
      <c r="E1094">
        <v>1</v>
      </c>
      <c r="F1094" t="s">
        <v>1538</v>
      </c>
      <c r="G1094" t="s">
        <v>1536</v>
      </c>
      <c r="H1094" t="s">
        <v>441</v>
      </c>
      <c r="I1094" t="s">
        <v>184</v>
      </c>
      <c r="J1094" s="89"/>
      <c r="K1094" s="89">
        <v>42541</v>
      </c>
      <c r="L1094" s="89"/>
      <c r="M1094" s="31">
        <v>90</v>
      </c>
      <c r="N1094" s="9"/>
      <c r="O1094" s="33"/>
      <c r="P1094" s="33"/>
      <c r="Q1094" s="9"/>
      <c r="R1094" s="67"/>
      <c r="S1094" s="9"/>
    </row>
    <row r="1095" spans="1:19" ht="15" customHeight="1" x14ac:dyDescent="0.25">
      <c r="A1095" s="14"/>
      <c r="B1095" s="28" t="str">
        <f>IF(ISNUMBER(MATCH(C1095, Mgt_Unit!$C$5:$C$1018, 0)), INDEX(Mgt_Unit!$B$5:$B$1018, MATCH(C1095, Mgt_Unit!$C$5:$C$1018, 0)), "")</f>
        <v>jennifer.moore</v>
      </c>
      <c r="C1095" s="87" t="s">
        <v>932</v>
      </c>
      <c r="D1095" s="65"/>
      <c r="E1095" s="87">
        <v>1</v>
      </c>
      <c r="F1095" s="87" t="s">
        <v>1538</v>
      </c>
      <c r="G1095" s="87" t="s">
        <v>1536</v>
      </c>
      <c r="H1095" s="87" t="s">
        <v>441</v>
      </c>
      <c r="I1095" s="87" t="s">
        <v>184</v>
      </c>
      <c r="J1095" s="90"/>
      <c r="K1095" s="90">
        <v>42906</v>
      </c>
      <c r="L1095" s="102">
        <v>43100</v>
      </c>
      <c r="M1095" s="93">
        <v>90</v>
      </c>
      <c r="N1095" s="9"/>
      <c r="O1095" s="33"/>
      <c r="P1095" s="33"/>
      <c r="Q1095" s="9"/>
      <c r="R1095" s="67"/>
      <c r="S1095" s="9"/>
    </row>
    <row r="1096" spans="1:19" ht="15" customHeight="1" x14ac:dyDescent="0.25">
      <c r="A1096" s="14"/>
      <c r="B1096" s="28" t="str">
        <f>IF(ISNUMBER(MATCH(C1096, Mgt_Unit!$C$5:$C$1018, 0)), INDEX(Mgt_Unit!$B$5:$B$1018, MATCH(C1096, Mgt_Unit!$C$5:$C$1018, 0)), "")</f>
        <v>jennifer.moore</v>
      </c>
      <c r="C1096" s="87" t="s">
        <v>933</v>
      </c>
      <c r="D1096" s="65"/>
      <c r="E1096" s="87">
        <v>1</v>
      </c>
      <c r="F1096" s="87" t="s">
        <v>1538</v>
      </c>
      <c r="G1096" s="87" t="s">
        <v>1544</v>
      </c>
      <c r="H1096" s="87" t="s">
        <v>441</v>
      </c>
      <c r="I1096" s="87" t="s">
        <v>27</v>
      </c>
      <c r="J1096" s="90">
        <v>43013</v>
      </c>
      <c r="K1096" s="90">
        <v>43271</v>
      </c>
      <c r="L1096" s="90"/>
      <c r="M1096" s="93">
        <v>0</v>
      </c>
      <c r="N1096" s="9"/>
      <c r="O1096" s="33"/>
      <c r="P1096" s="33"/>
      <c r="Q1096" s="9"/>
      <c r="R1096" s="67"/>
      <c r="S1096" s="9"/>
    </row>
    <row r="1097" spans="1:19" ht="15" customHeight="1" x14ac:dyDescent="0.25">
      <c r="A1097" s="14"/>
      <c r="B1097" s="28" t="str">
        <f>IF(ISNUMBER(MATCH(C1097, Mgt_Unit!$C$5:$C$1018, 0)), INDEX(Mgt_Unit!$B$5:$B$1018, MATCH(C1097, Mgt_Unit!$C$5:$C$1018, 0)), "")</f>
        <v>jennifer.moore</v>
      </c>
      <c r="C1097" s="88" t="s">
        <v>934</v>
      </c>
      <c r="D1097" s="65"/>
      <c r="E1097" s="88">
        <v>1</v>
      </c>
      <c r="F1097" s="88" t="s">
        <v>1538</v>
      </c>
      <c r="G1097" s="88" t="s">
        <v>1544</v>
      </c>
      <c r="H1097" s="88" t="s">
        <v>441</v>
      </c>
      <c r="I1097" s="88" t="s">
        <v>27</v>
      </c>
      <c r="J1097" s="91">
        <v>43013</v>
      </c>
      <c r="K1097" s="91">
        <v>43271</v>
      </c>
      <c r="L1097" s="91"/>
      <c r="M1097" s="94">
        <v>0</v>
      </c>
      <c r="N1097" s="9"/>
      <c r="O1097" s="33"/>
      <c r="P1097" s="33"/>
      <c r="Q1097" s="9"/>
      <c r="R1097" s="67"/>
      <c r="S1097" s="9"/>
    </row>
    <row r="1098" spans="1:19" ht="15" customHeight="1" x14ac:dyDescent="0.25">
      <c r="A1098" s="14"/>
      <c r="B1098" s="28" t="str">
        <f>IF(ISNUMBER(MATCH(C1098, Mgt_Unit!$C$5:$C$1018, 0)), INDEX(Mgt_Unit!$B$5:$B$1018, MATCH(C1098, Mgt_Unit!$C$5:$C$1018, 0)), "")</f>
        <v>jennifer.moore</v>
      </c>
      <c r="C1098" s="87" t="s">
        <v>935</v>
      </c>
      <c r="D1098" s="65"/>
      <c r="E1098" s="87">
        <v>1</v>
      </c>
      <c r="F1098" s="87" t="s">
        <v>1538</v>
      </c>
      <c r="G1098" s="87" t="s">
        <v>1544</v>
      </c>
      <c r="H1098" s="87" t="s">
        <v>441</v>
      </c>
      <c r="I1098" s="87" t="s">
        <v>27</v>
      </c>
      <c r="J1098" s="90">
        <v>43013</v>
      </c>
      <c r="K1098" s="90">
        <v>43271</v>
      </c>
      <c r="L1098" s="90"/>
      <c r="M1098" s="93">
        <v>0</v>
      </c>
      <c r="N1098" s="9"/>
      <c r="O1098" s="33"/>
      <c r="P1098" s="33"/>
      <c r="Q1098" s="9"/>
      <c r="R1098" s="67"/>
      <c r="S1098" s="9"/>
    </row>
    <row r="1099" spans="1:19" ht="15" customHeight="1" x14ac:dyDescent="0.25">
      <c r="A1099" s="14"/>
      <c r="B1099" s="28" t="str">
        <f>IF(ISNUMBER(MATCH(C1099, Mgt_Unit!$C$5:$C$1018, 0)), INDEX(Mgt_Unit!$B$5:$B$1018, MATCH(C1099, Mgt_Unit!$C$5:$C$1018, 0)), "")</f>
        <v>jennifer.moore</v>
      </c>
      <c r="C1099" t="s">
        <v>936</v>
      </c>
      <c r="D1099" s="65"/>
      <c r="E1099">
        <v>1</v>
      </c>
      <c r="F1099" t="s">
        <v>1538</v>
      </c>
      <c r="G1099" t="s">
        <v>1544</v>
      </c>
      <c r="H1099" t="s">
        <v>50</v>
      </c>
      <c r="I1099" t="s">
        <v>87</v>
      </c>
      <c r="J1099" s="89">
        <v>42846</v>
      </c>
      <c r="K1099" s="89">
        <v>43024</v>
      </c>
      <c r="L1099" s="89"/>
      <c r="M1099" s="31">
        <v>0</v>
      </c>
      <c r="N1099" s="9"/>
      <c r="O1099" s="33"/>
      <c r="P1099" s="33"/>
      <c r="Q1099" s="9"/>
      <c r="R1099" s="67"/>
      <c r="S1099" s="9"/>
    </row>
    <row r="1100" spans="1:19" ht="15" customHeight="1" x14ac:dyDescent="0.25">
      <c r="A1100" s="14"/>
      <c r="B1100" s="28" t="str">
        <f>IF(ISNUMBER(MATCH(C1100, Mgt_Unit!$C$5:$C$1018, 0)), INDEX(Mgt_Unit!$B$5:$B$1018, MATCH(C1100, Mgt_Unit!$C$5:$C$1018, 0)), "")</f>
        <v>jennifer.moore</v>
      </c>
      <c r="C1100" s="87" t="s">
        <v>936</v>
      </c>
      <c r="D1100" s="65"/>
      <c r="E1100" s="87">
        <v>2</v>
      </c>
      <c r="F1100" s="87" t="s">
        <v>1538</v>
      </c>
      <c r="G1100" s="87" t="s">
        <v>1544</v>
      </c>
      <c r="H1100" s="87" t="s">
        <v>51</v>
      </c>
      <c r="I1100" s="87" t="s">
        <v>137</v>
      </c>
      <c r="J1100" s="90">
        <v>43237</v>
      </c>
      <c r="K1100" s="90">
        <v>43403</v>
      </c>
      <c r="L1100" s="90"/>
      <c r="M1100" s="93">
        <v>0</v>
      </c>
      <c r="N1100" s="9"/>
      <c r="O1100" s="33"/>
      <c r="P1100" s="33"/>
      <c r="Q1100" s="9"/>
      <c r="R1100" s="67"/>
      <c r="S1100" s="9"/>
    </row>
    <row r="1101" spans="1:19" ht="15" customHeight="1" x14ac:dyDescent="0.25">
      <c r="A1101" s="14"/>
      <c r="B1101" s="28" t="str">
        <f>IF(ISNUMBER(MATCH(C1101, Mgt_Unit!$C$5:$C$1018, 0)), INDEX(Mgt_Unit!$B$5:$B$1018, MATCH(C1101, Mgt_Unit!$C$5:$C$1018, 0)), "")</f>
        <v>jennifer.moore</v>
      </c>
      <c r="C1101" t="s">
        <v>937</v>
      </c>
      <c r="D1101" s="65"/>
      <c r="E1101">
        <v>1</v>
      </c>
      <c r="F1101" t="s">
        <v>1538</v>
      </c>
      <c r="G1101" t="s">
        <v>1544</v>
      </c>
      <c r="H1101" t="s">
        <v>50</v>
      </c>
      <c r="I1101" t="s">
        <v>87</v>
      </c>
      <c r="J1101" s="89">
        <v>42846</v>
      </c>
      <c r="K1101" s="89">
        <v>43024</v>
      </c>
      <c r="L1101" s="89"/>
      <c r="M1101" s="31">
        <v>0</v>
      </c>
      <c r="N1101" s="9"/>
      <c r="O1101" s="33"/>
      <c r="P1101" s="33"/>
      <c r="Q1101" s="9"/>
      <c r="R1101" s="67"/>
      <c r="S1101" s="9"/>
    </row>
    <row r="1102" spans="1:19" ht="15" customHeight="1" x14ac:dyDescent="0.25">
      <c r="A1102" s="14"/>
      <c r="B1102" s="28" t="str">
        <f>IF(ISNUMBER(MATCH(C1102, Mgt_Unit!$C$5:$C$1018, 0)), INDEX(Mgt_Unit!$B$5:$B$1018, MATCH(C1102, Mgt_Unit!$C$5:$C$1018, 0)), "")</f>
        <v>jennifer.moore</v>
      </c>
      <c r="C1102" s="87" t="s">
        <v>937</v>
      </c>
      <c r="D1102" s="65"/>
      <c r="E1102" s="87">
        <v>2</v>
      </c>
      <c r="F1102" s="87" t="s">
        <v>1538</v>
      </c>
      <c r="G1102" s="87" t="s">
        <v>1544</v>
      </c>
      <c r="H1102" s="87" t="s">
        <v>51</v>
      </c>
      <c r="I1102" s="87" t="s">
        <v>137</v>
      </c>
      <c r="J1102" s="90">
        <v>43237</v>
      </c>
      <c r="K1102" s="90">
        <v>43403</v>
      </c>
      <c r="L1102" s="90"/>
      <c r="M1102" s="93">
        <v>0</v>
      </c>
      <c r="N1102" s="9"/>
      <c r="O1102" s="33"/>
      <c r="P1102" s="33"/>
      <c r="Q1102" s="9"/>
      <c r="R1102" s="67"/>
      <c r="S1102" s="9"/>
    </row>
    <row r="1103" spans="1:19" ht="15" customHeight="1" x14ac:dyDescent="0.25">
      <c r="A1103" s="14"/>
      <c r="B1103" s="28" t="str">
        <f>IF(ISNUMBER(MATCH(C1103, Mgt_Unit!$C$5:$C$1018, 0)), INDEX(Mgt_Unit!$B$5:$B$1018, MATCH(C1103, Mgt_Unit!$C$5:$C$1018, 0)), "")</f>
        <v>jennifer.moore</v>
      </c>
      <c r="C1103" t="s">
        <v>938</v>
      </c>
      <c r="D1103" s="65"/>
      <c r="E1103">
        <v>1</v>
      </c>
      <c r="F1103" t="s">
        <v>1538</v>
      </c>
      <c r="G1103" t="s">
        <v>1544</v>
      </c>
      <c r="H1103" t="s">
        <v>50</v>
      </c>
      <c r="I1103" t="s">
        <v>87</v>
      </c>
      <c r="J1103" s="89">
        <v>42488</v>
      </c>
      <c r="K1103" s="89">
        <v>42638</v>
      </c>
      <c r="L1103" s="89"/>
      <c r="M1103" s="31">
        <v>0</v>
      </c>
      <c r="N1103" s="9"/>
      <c r="O1103" s="33"/>
      <c r="P1103" s="33"/>
      <c r="Q1103" s="9"/>
      <c r="R1103" s="67"/>
      <c r="S1103" s="9"/>
    </row>
    <row r="1104" spans="1:19" ht="15" customHeight="1" x14ac:dyDescent="0.25">
      <c r="A1104" s="14"/>
      <c r="B1104" s="28" t="str">
        <f>IF(ISNUMBER(MATCH(C1104, Mgt_Unit!$C$5:$C$1018, 0)), INDEX(Mgt_Unit!$B$5:$B$1018, MATCH(C1104, Mgt_Unit!$C$5:$C$1018, 0)), "")</f>
        <v>jennifer.moore</v>
      </c>
      <c r="C1104" t="s">
        <v>938</v>
      </c>
      <c r="D1104" s="65"/>
      <c r="E1104">
        <v>2</v>
      </c>
      <c r="F1104" t="s">
        <v>1538</v>
      </c>
      <c r="G1104" t="s">
        <v>1544</v>
      </c>
      <c r="H1104" t="s">
        <v>51</v>
      </c>
      <c r="I1104" t="s">
        <v>137</v>
      </c>
      <c r="J1104" s="89">
        <v>42866</v>
      </c>
      <c r="K1104" s="89">
        <v>43011</v>
      </c>
      <c r="L1104" s="89"/>
      <c r="M1104" s="31">
        <v>0</v>
      </c>
      <c r="N1104" s="9"/>
      <c r="O1104" s="33"/>
      <c r="P1104" s="33"/>
      <c r="Q1104" s="9"/>
      <c r="R1104" s="67"/>
      <c r="S1104" s="9"/>
    </row>
    <row r="1105" spans="1:19" ht="15" customHeight="1" x14ac:dyDescent="0.25">
      <c r="A1105" s="14"/>
      <c r="B1105" s="28" t="str">
        <f>IF(ISNUMBER(MATCH(C1105, Mgt_Unit!$C$5:$C$1018, 0)), INDEX(Mgt_Unit!$B$5:$B$1018, MATCH(C1105, Mgt_Unit!$C$5:$C$1018, 0)), "")</f>
        <v>jennifer.moore</v>
      </c>
      <c r="C1105" s="87" t="s">
        <v>938</v>
      </c>
      <c r="D1105" s="65"/>
      <c r="E1105" s="87">
        <v>3</v>
      </c>
      <c r="F1105" s="87" t="s">
        <v>1538</v>
      </c>
      <c r="G1105" s="87" t="s">
        <v>1544</v>
      </c>
      <c r="H1105" s="87" t="s">
        <v>441</v>
      </c>
      <c r="I1105" s="87" t="s">
        <v>27</v>
      </c>
      <c r="J1105" s="90">
        <v>43028</v>
      </c>
      <c r="K1105" s="90">
        <v>43273</v>
      </c>
      <c r="L1105" s="90"/>
      <c r="M1105" s="93">
        <v>0</v>
      </c>
      <c r="N1105" s="9"/>
      <c r="O1105" s="33"/>
      <c r="P1105" s="33"/>
      <c r="Q1105" s="9"/>
      <c r="R1105" s="67"/>
      <c r="S1105" s="9"/>
    </row>
    <row r="1106" spans="1:19" ht="15" customHeight="1" x14ac:dyDescent="0.25">
      <c r="A1106" s="14"/>
      <c r="B1106" s="28" t="str">
        <f>IF(ISNUMBER(MATCH(C1106, Mgt_Unit!$C$5:$C$1018, 0)), INDEX(Mgt_Unit!$B$5:$B$1018, MATCH(C1106, Mgt_Unit!$C$5:$C$1018, 0)), "")</f>
        <v>jennifer.moore</v>
      </c>
      <c r="C1106" t="s">
        <v>939</v>
      </c>
      <c r="D1106" s="65"/>
      <c r="E1106">
        <v>1</v>
      </c>
      <c r="F1106" t="s">
        <v>1538</v>
      </c>
      <c r="G1106" t="s">
        <v>1544</v>
      </c>
      <c r="H1106" t="s">
        <v>50</v>
      </c>
      <c r="I1106" t="s">
        <v>87</v>
      </c>
      <c r="J1106" s="89">
        <v>42488</v>
      </c>
      <c r="K1106" s="89">
        <v>42638</v>
      </c>
      <c r="L1106" s="89"/>
      <c r="M1106" s="31">
        <v>0</v>
      </c>
      <c r="N1106" s="9"/>
      <c r="O1106" s="33"/>
      <c r="P1106" s="33"/>
      <c r="Q1106" s="9"/>
      <c r="R1106" s="67"/>
      <c r="S1106" s="9"/>
    </row>
    <row r="1107" spans="1:19" ht="15" customHeight="1" x14ac:dyDescent="0.25">
      <c r="A1107" s="14"/>
      <c r="B1107" s="28" t="str">
        <f>IF(ISNUMBER(MATCH(C1107, Mgt_Unit!$C$5:$C$1018, 0)), INDEX(Mgt_Unit!$B$5:$B$1018, MATCH(C1107, Mgt_Unit!$C$5:$C$1018, 0)), "")</f>
        <v>jennifer.moore</v>
      </c>
      <c r="C1107" t="s">
        <v>939</v>
      </c>
      <c r="D1107" s="65"/>
      <c r="E1107">
        <v>2</v>
      </c>
      <c r="F1107" t="s">
        <v>1538</v>
      </c>
      <c r="G1107" t="s">
        <v>1544</v>
      </c>
      <c r="H1107" t="s">
        <v>51</v>
      </c>
      <c r="I1107" t="s">
        <v>137</v>
      </c>
      <c r="J1107" s="89">
        <v>42866</v>
      </c>
      <c r="K1107" s="89">
        <v>43011</v>
      </c>
      <c r="L1107" s="89"/>
      <c r="M1107" s="31">
        <v>0</v>
      </c>
      <c r="N1107" s="9"/>
      <c r="O1107" s="33"/>
      <c r="P1107" s="33"/>
      <c r="Q1107" s="9"/>
      <c r="R1107" s="67"/>
      <c r="S1107" s="9"/>
    </row>
    <row r="1108" spans="1:19" ht="15" customHeight="1" x14ac:dyDescent="0.25">
      <c r="A1108" s="14"/>
      <c r="B1108" s="28" t="str">
        <f>IF(ISNUMBER(MATCH(C1108, Mgt_Unit!$C$5:$C$1018, 0)), INDEX(Mgt_Unit!$B$5:$B$1018, MATCH(C1108, Mgt_Unit!$C$5:$C$1018, 0)), "")</f>
        <v>jennifer.moore</v>
      </c>
      <c r="C1108" t="s">
        <v>939</v>
      </c>
      <c r="D1108" s="65"/>
      <c r="E1108">
        <v>3</v>
      </c>
      <c r="F1108" t="s">
        <v>1537</v>
      </c>
      <c r="G1108" t="s">
        <v>1544</v>
      </c>
      <c r="H1108" t="s">
        <v>441</v>
      </c>
      <c r="I1108" t="s">
        <v>27</v>
      </c>
      <c r="J1108" s="89">
        <v>43028</v>
      </c>
      <c r="K1108" s="89">
        <v>43273</v>
      </c>
      <c r="L1108" s="89"/>
      <c r="M1108" s="31">
        <v>0</v>
      </c>
      <c r="N1108" s="9"/>
      <c r="O1108" s="33"/>
      <c r="P1108" s="33"/>
      <c r="Q1108" s="9"/>
      <c r="R1108" s="67"/>
      <c r="S1108" s="9"/>
    </row>
    <row r="1109" spans="1:19" ht="15" customHeight="1" x14ac:dyDescent="0.25">
      <c r="A1109" s="14"/>
      <c r="B1109" s="28" t="str">
        <f>IF(ISNUMBER(MATCH(C1109, Mgt_Unit!$C$5:$C$1018, 0)), INDEX(Mgt_Unit!$B$5:$B$1018, MATCH(C1109, Mgt_Unit!$C$5:$C$1018, 0)), "")</f>
        <v>jennifer.moore</v>
      </c>
      <c r="C1109" s="87" t="s">
        <v>939</v>
      </c>
      <c r="D1109" s="65"/>
      <c r="E1109" s="87">
        <v>3</v>
      </c>
      <c r="F1109" s="87" t="s">
        <v>1537</v>
      </c>
      <c r="G1109" s="87" t="s">
        <v>1535</v>
      </c>
      <c r="H1109" s="87" t="s">
        <v>442</v>
      </c>
      <c r="I1109" s="87" t="s">
        <v>190</v>
      </c>
      <c r="J1109" s="102">
        <v>43160</v>
      </c>
      <c r="K1109" s="90">
        <v>43273</v>
      </c>
      <c r="L1109" s="90"/>
      <c r="M1109" s="93">
        <v>0</v>
      </c>
      <c r="N1109" s="9"/>
      <c r="O1109" s="33"/>
      <c r="P1109" s="33"/>
      <c r="Q1109" s="9"/>
      <c r="R1109" s="67"/>
      <c r="S1109" s="9"/>
    </row>
    <row r="1110" spans="1:19" ht="15" customHeight="1" x14ac:dyDescent="0.25">
      <c r="A1110" s="14"/>
      <c r="B1110" s="28" t="str">
        <f>IF(ISNUMBER(MATCH(C1110, Mgt_Unit!$C$5:$C$1018, 0)), INDEX(Mgt_Unit!$B$5:$B$1018, MATCH(C1110, Mgt_Unit!$C$5:$C$1018, 0)), "")</f>
        <v>jennifer.moore</v>
      </c>
      <c r="C1110" t="s">
        <v>940</v>
      </c>
      <c r="D1110" s="65"/>
      <c r="E1110">
        <v>1</v>
      </c>
      <c r="F1110" t="s">
        <v>1538</v>
      </c>
      <c r="G1110" t="s">
        <v>1544</v>
      </c>
      <c r="H1110" t="s">
        <v>50</v>
      </c>
      <c r="I1110" t="s">
        <v>87</v>
      </c>
      <c r="J1110" s="89">
        <v>42488</v>
      </c>
      <c r="K1110" s="89">
        <v>42638</v>
      </c>
      <c r="L1110" s="89"/>
      <c r="M1110" s="31">
        <v>0</v>
      </c>
      <c r="N1110" s="9"/>
      <c r="O1110" s="33"/>
      <c r="P1110" s="33"/>
      <c r="Q1110" s="9"/>
      <c r="R1110" s="67"/>
      <c r="S1110" s="9"/>
    </row>
    <row r="1111" spans="1:19" ht="15" customHeight="1" x14ac:dyDescent="0.25">
      <c r="A1111" s="14"/>
      <c r="B1111" s="28" t="str">
        <f>IF(ISNUMBER(MATCH(C1111, Mgt_Unit!$C$5:$C$1018, 0)), INDEX(Mgt_Unit!$B$5:$B$1018, MATCH(C1111, Mgt_Unit!$C$5:$C$1018, 0)), "")</f>
        <v>jennifer.moore</v>
      </c>
      <c r="C1111" t="s">
        <v>940</v>
      </c>
      <c r="D1111" s="65"/>
      <c r="E1111">
        <v>2</v>
      </c>
      <c r="F1111" t="s">
        <v>1538</v>
      </c>
      <c r="G1111" t="s">
        <v>1544</v>
      </c>
      <c r="H1111" t="s">
        <v>51</v>
      </c>
      <c r="I1111" t="s">
        <v>137</v>
      </c>
      <c r="J1111" s="89">
        <v>42866</v>
      </c>
      <c r="K1111" s="89">
        <v>43011</v>
      </c>
      <c r="L1111" s="89"/>
      <c r="M1111" s="31">
        <v>0</v>
      </c>
      <c r="N1111" s="9"/>
      <c r="O1111" s="33"/>
      <c r="P1111" s="33"/>
      <c r="Q1111" s="9"/>
      <c r="R1111" s="67"/>
      <c r="S1111" s="9"/>
    </row>
    <row r="1112" spans="1:19" ht="15" customHeight="1" x14ac:dyDescent="0.25">
      <c r="A1112" s="14"/>
      <c r="B1112" s="28" t="str">
        <f>IF(ISNUMBER(MATCH(C1112, Mgt_Unit!$C$5:$C$1018, 0)), INDEX(Mgt_Unit!$B$5:$B$1018, MATCH(C1112, Mgt_Unit!$C$5:$C$1018, 0)), "")</f>
        <v>jennifer.moore</v>
      </c>
      <c r="C1112" t="s">
        <v>940</v>
      </c>
      <c r="D1112" s="65"/>
      <c r="E1112">
        <v>3</v>
      </c>
      <c r="F1112" t="s">
        <v>1538</v>
      </c>
      <c r="G1112" t="s">
        <v>1544</v>
      </c>
      <c r="H1112" t="s">
        <v>441</v>
      </c>
      <c r="I1112" t="s">
        <v>27</v>
      </c>
      <c r="J1112" s="89">
        <v>43028</v>
      </c>
      <c r="K1112" s="89">
        <v>43273</v>
      </c>
      <c r="L1112" s="89"/>
      <c r="M1112" s="31">
        <v>0</v>
      </c>
      <c r="N1112" s="9"/>
      <c r="O1112" s="33"/>
      <c r="P1112" s="33"/>
      <c r="Q1112" s="9"/>
      <c r="R1112" s="67"/>
      <c r="S1112" s="9"/>
    </row>
    <row r="1113" spans="1:19" ht="15" customHeight="1" x14ac:dyDescent="0.25">
      <c r="A1113" s="14"/>
      <c r="B1113" s="28" t="str">
        <f>IF(ISNUMBER(MATCH(C1113, Mgt_Unit!$C$5:$C$1018, 0)), INDEX(Mgt_Unit!$B$5:$B$1018, MATCH(C1113, Mgt_Unit!$C$5:$C$1018, 0)), "")</f>
        <v>jennifer.moore</v>
      </c>
      <c r="C1113" s="87" t="s">
        <v>940</v>
      </c>
      <c r="D1113" s="65"/>
      <c r="E1113" s="87">
        <v>4</v>
      </c>
      <c r="F1113" s="87" t="s">
        <v>1538</v>
      </c>
      <c r="G1113" s="87" t="s">
        <v>1544</v>
      </c>
      <c r="H1113" s="87" t="s">
        <v>51</v>
      </c>
      <c r="I1113" s="87" t="s">
        <v>137</v>
      </c>
      <c r="J1113" s="90">
        <v>43278</v>
      </c>
      <c r="K1113" s="90">
        <v>43395</v>
      </c>
      <c r="L1113" s="90"/>
      <c r="M1113" s="93">
        <v>0</v>
      </c>
      <c r="N1113" s="9"/>
      <c r="O1113" s="33"/>
      <c r="P1113" s="33"/>
      <c r="Q1113" s="9"/>
      <c r="R1113" s="67"/>
      <c r="S1113" s="9"/>
    </row>
    <row r="1114" spans="1:19" ht="15" customHeight="1" x14ac:dyDescent="0.25">
      <c r="A1114" s="14"/>
      <c r="B1114" s="28" t="str">
        <f>IF(ISNUMBER(MATCH(C1114, Mgt_Unit!$C$5:$C$1018, 0)), INDEX(Mgt_Unit!$B$5:$B$1018, MATCH(C1114, Mgt_Unit!$C$5:$C$1018, 0)), "")</f>
        <v>jennifer.moore</v>
      </c>
      <c r="C1114" t="s">
        <v>941</v>
      </c>
      <c r="D1114" s="65"/>
      <c r="E1114">
        <v>1</v>
      </c>
      <c r="F1114" t="s">
        <v>1538</v>
      </c>
      <c r="G1114" t="s">
        <v>1544</v>
      </c>
      <c r="H1114" t="s">
        <v>50</v>
      </c>
      <c r="I1114" t="s">
        <v>87</v>
      </c>
      <c r="J1114" s="89">
        <v>43218</v>
      </c>
      <c r="K1114" s="89">
        <v>43368</v>
      </c>
      <c r="L1114" s="89"/>
      <c r="M1114" s="31">
        <v>0</v>
      </c>
      <c r="N1114" s="9"/>
      <c r="O1114" s="33"/>
      <c r="P1114" s="33"/>
      <c r="Q1114" s="9"/>
      <c r="R1114" s="67"/>
      <c r="S1114" s="9"/>
    </row>
    <row r="1115" spans="1:19" ht="15" customHeight="1" x14ac:dyDescent="0.25">
      <c r="A1115" s="14"/>
      <c r="B1115" s="28" t="str">
        <f>IF(ISNUMBER(MATCH(C1115, Mgt_Unit!$C$5:$C$1018, 0)), INDEX(Mgt_Unit!$B$5:$B$1018, MATCH(C1115, Mgt_Unit!$C$5:$C$1018, 0)), "")</f>
        <v>jennifer.moore</v>
      </c>
      <c r="C1115" s="87" t="s">
        <v>941</v>
      </c>
      <c r="D1115" s="65"/>
      <c r="E1115" s="87">
        <v>2</v>
      </c>
      <c r="F1115" s="87" t="s">
        <v>1538</v>
      </c>
      <c r="G1115" s="87" t="s">
        <v>1544</v>
      </c>
      <c r="H1115" s="87" t="s">
        <v>51</v>
      </c>
      <c r="I1115" s="87" t="s">
        <v>137</v>
      </c>
      <c r="J1115" s="90">
        <v>43596</v>
      </c>
      <c r="K1115" s="90">
        <v>43739</v>
      </c>
      <c r="L1115" s="90"/>
      <c r="M1115" s="93">
        <v>0</v>
      </c>
      <c r="N1115" s="9"/>
      <c r="O1115" s="33"/>
      <c r="P1115" s="33"/>
      <c r="Q1115" s="9"/>
      <c r="R1115" s="67"/>
      <c r="S1115" s="9"/>
    </row>
    <row r="1116" spans="1:19" ht="15" customHeight="1" x14ac:dyDescent="0.25">
      <c r="A1116" s="14"/>
      <c r="B1116" s="28" t="str">
        <f>IF(ISNUMBER(MATCH(C1116, Mgt_Unit!$C$5:$C$1018, 0)), INDEX(Mgt_Unit!$B$5:$B$1018, MATCH(C1116, Mgt_Unit!$C$5:$C$1018, 0)), "")</f>
        <v>jennifer.moore</v>
      </c>
      <c r="C1116" t="s">
        <v>942</v>
      </c>
      <c r="D1116" s="65"/>
      <c r="E1116">
        <v>3</v>
      </c>
      <c r="F1116" t="s">
        <v>1538</v>
      </c>
      <c r="G1116" t="s">
        <v>1544</v>
      </c>
      <c r="H1116" t="s">
        <v>50</v>
      </c>
      <c r="I1116" t="s">
        <v>87</v>
      </c>
      <c r="J1116" s="89">
        <v>43218</v>
      </c>
      <c r="K1116" s="89">
        <v>43368</v>
      </c>
      <c r="L1116" s="89"/>
      <c r="M1116" s="31">
        <v>0</v>
      </c>
      <c r="N1116" s="9"/>
      <c r="O1116" s="33"/>
      <c r="P1116" s="33"/>
      <c r="Q1116" s="9"/>
      <c r="R1116" s="67"/>
      <c r="S1116" s="9"/>
    </row>
    <row r="1117" spans="1:19" ht="15" customHeight="1" x14ac:dyDescent="0.25">
      <c r="A1117" s="14"/>
      <c r="B1117" s="28" t="str">
        <f>IF(ISNUMBER(MATCH(C1117, Mgt_Unit!$C$5:$C$1018, 0)), INDEX(Mgt_Unit!$B$5:$B$1018, MATCH(C1117, Mgt_Unit!$C$5:$C$1018, 0)), "")</f>
        <v>jennifer.moore</v>
      </c>
      <c r="C1117" s="87" t="s">
        <v>942</v>
      </c>
      <c r="D1117" s="65"/>
      <c r="E1117" s="87">
        <v>4</v>
      </c>
      <c r="F1117" s="87" t="s">
        <v>1538</v>
      </c>
      <c r="G1117" s="87" t="s">
        <v>1544</v>
      </c>
      <c r="H1117" s="87" t="s">
        <v>51</v>
      </c>
      <c r="I1117" s="87" t="s">
        <v>137</v>
      </c>
      <c r="J1117" s="90">
        <v>43596</v>
      </c>
      <c r="K1117" s="90">
        <v>43739</v>
      </c>
      <c r="L1117" s="90"/>
      <c r="M1117" s="93">
        <v>0</v>
      </c>
      <c r="N1117" s="9"/>
      <c r="O1117" s="33"/>
      <c r="P1117" s="33"/>
      <c r="Q1117" s="9"/>
      <c r="R1117" s="67"/>
      <c r="S1117" s="9"/>
    </row>
    <row r="1118" spans="1:19" ht="15" customHeight="1" x14ac:dyDescent="0.25">
      <c r="A1118" s="14"/>
      <c r="B1118" s="28" t="str">
        <f>IF(ISNUMBER(MATCH(C1118, Mgt_Unit!$C$5:$C$1018, 0)), INDEX(Mgt_Unit!$B$5:$B$1018, MATCH(C1118, Mgt_Unit!$C$5:$C$1018, 0)), "")</f>
        <v>jennifer.moore</v>
      </c>
      <c r="C1118" s="88" t="s">
        <v>943</v>
      </c>
      <c r="D1118" s="65"/>
      <c r="E1118" s="88">
        <v>1</v>
      </c>
      <c r="F1118" s="88" t="s">
        <v>1538</v>
      </c>
      <c r="G1118" s="88" t="s">
        <v>1544</v>
      </c>
      <c r="H1118" s="88" t="s">
        <v>441</v>
      </c>
      <c r="I1118" s="88" t="s">
        <v>202</v>
      </c>
      <c r="J1118" s="91">
        <v>43573</v>
      </c>
      <c r="K1118" s="91">
        <v>43692</v>
      </c>
      <c r="L1118" s="91"/>
      <c r="M1118" s="94">
        <v>0</v>
      </c>
      <c r="N1118" s="9"/>
      <c r="O1118" s="33"/>
      <c r="P1118" s="33"/>
      <c r="Q1118" s="9"/>
      <c r="R1118" s="67"/>
      <c r="S1118" s="9"/>
    </row>
    <row r="1119" spans="1:19" ht="15" customHeight="1" x14ac:dyDescent="0.25">
      <c r="A1119" s="14"/>
      <c r="B1119" s="28" t="str">
        <f>IF(ISNUMBER(MATCH(C1119, Mgt_Unit!$C$5:$C$1018, 0)), INDEX(Mgt_Unit!$B$5:$B$1018, MATCH(C1119, Mgt_Unit!$C$5:$C$1018, 0)), "")</f>
        <v>jennifer.moore</v>
      </c>
      <c r="C1119" s="88" t="s">
        <v>944</v>
      </c>
      <c r="D1119" s="65"/>
      <c r="E1119" s="88">
        <v>1</v>
      </c>
      <c r="F1119" s="88" t="s">
        <v>1538</v>
      </c>
      <c r="G1119" s="88" t="s">
        <v>1544</v>
      </c>
      <c r="H1119" s="88" t="s">
        <v>441</v>
      </c>
      <c r="I1119" s="88" t="s">
        <v>202</v>
      </c>
      <c r="J1119" s="91">
        <v>43573</v>
      </c>
      <c r="K1119" s="91">
        <v>43692</v>
      </c>
      <c r="L1119" s="91"/>
      <c r="M1119" s="94">
        <v>0</v>
      </c>
      <c r="N1119" s="9"/>
      <c r="O1119" s="33"/>
      <c r="P1119" s="33"/>
      <c r="Q1119" s="9"/>
      <c r="R1119" s="67"/>
      <c r="S1119" s="9"/>
    </row>
    <row r="1120" spans="1:19" ht="15" customHeight="1" x14ac:dyDescent="0.25">
      <c r="A1120" s="14"/>
      <c r="B1120" s="28" t="str">
        <f>IF(ISNUMBER(MATCH(C1120, Mgt_Unit!$C$5:$C$1018, 0)), INDEX(Mgt_Unit!$B$5:$B$1018, MATCH(C1120, Mgt_Unit!$C$5:$C$1018, 0)), "")</f>
        <v>jennifer.moore</v>
      </c>
      <c r="C1120" s="88" t="s">
        <v>945</v>
      </c>
      <c r="D1120" s="65"/>
      <c r="E1120" s="88">
        <v>1</v>
      </c>
      <c r="F1120" s="88" t="s">
        <v>1538</v>
      </c>
      <c r="G1120" s="88" t="s">
        <v>1544</v>
      </c>
      <c r="H1120" s="88" t="s">
        <v>441</v>
      </c>
      <c r="I1120" s="88" t="s">
        <v>202</v>
      </c>
      <c r="J1120" s="91">
        <v>43573</v>
      </c>
      <c r="K1120" s="91">
        <v>43692</v>
      </c>
      <c r="L1120" s="91"/>
      <c r="M1120" s="94">
        <v>0</v>
      </c>
      <c r="N1120" s="9"/>
      <c r="O1120" s="33"/>
      <c r="P1120" s="33"/>
      <c r="Q1120" s="9"/>
      <c r="R1120" s="67"/>
      <c r="S1120" s="9"/>
    </row>
    <row r="1121" spans="1:19" ht="15" customHeight="1" x14ac:dyDescent="0.25">
      <c r="A1121" s="14"/>
      <c r="B1121" s="28" t="str">
        <f>IF(ISNUMBER(MATCH(C1121, Mgt_Unit!$C$5:$C$1018, 0)), INDEX(Mgt_Unit!$B$5:$B$1018, MATCH(C1121, Mgt_Unit!$C$5:$C$1018, 0)), "")</f>
        <v>jennifer.moore</v>
      </c>
      <c r="C1121" s="88" t="s">
        <v>946</v>
      </c>
      <c r="D1121" s="65"/>
      <c r="E1121" s="88">
        <v>1</v>
      </c>
      <c r="F1121" s="88" t="s">
        <v>1538</v>
      </c>
      <c r="G1121" s="88" t="s">
        <v>1544</v>
      </c>
      <c r="H1121" s="88" t="s">
        <v>441</v>
      </c>
      <c r="I1121" s="88" t="s">
        <v>202</v>
      </c>
      <c r="J1121" s="91">
        <v>43573</v>
      </c>
      <c r="K1121" s="91">
        <v>43692</v>
      </c>
      <c r="L1121" s="91"/>
      <c r="M1121" s="94">
        <v>0</v>
      </c>
      <c r="N1121" s="9"/>
      <c r="O1121" s="33"/>
      <c r="P1121" s="33"/>
      <c r="Q1121" s="9"/>
      <c r="R1121" s="67"/>
      <c r="S1121" s="9"/>
    </row>
    <row r="1122" spans="1:19" ht="15" customHeight="1" x14ac:dyDescent="0.25">
      <c r="A1122" s="14"/>
      <c r="B1122" s="28" t="str">
        <f>IF(ISNUMBER(MATCH(C1122, Mgt_Unit!$C$5:$C$1018, 0)), INDEX(Mgt_Unit!$B$5:$B$1018, MATCH(C1122, Mgt_Unit!$C$5:$C$1018, 0)), "")</f>
        <v>jennifer.moore</v>
      </c>
      <c r="C1122" s="88" t="s">
        <v>947</v>
      </c>
      <c r="D1122" s="65"/>
      <c r="E1122" s="88">
        <v>1</v>
      </c>
      <c r="F1122" s="88" t="s">
        <v>1538</v>
      </c>
      <c r="G1122" s="88" t="s">
        <v>1544</v>
      </c>
      <c r="H1122" s="88" t="s">
        <v>441</v>
      </c>
      <c r="I1122" s="88" t="s">
        <v>202</v>
      </c>
      <c r="J1122" s="91">
        <v>43573</v>
      </c>
      <c r="K1122" s="91">
        <v>43692</v>
      </c>
      <c r="L1122" s="91"/>
      <c r="M1122" s="94">
        <v>0</v>
      </c>
      <c r="N1122" s="9"/>
      <c r="O1122" s="33"/>
      <c r="P1122" s="33"/>
      <c r="Q1122" s="9"/>
      <c r="R1122" s="67"/>
      <c r="S1122" s="9"/>
    </row>
    <row r="1123" spans="1:19" ht="15" customHeight="1" x14ac:dyDescent="0.25">
      <c r="A1123" s="14"/>
      <c r="B1123" s="28" t="str">
        <f>IF(ISNUMBER(MATCH(C1123, Mgt_Unit!$C$5:$C$1018, 0)), INDEX(Mgt_Unit!$B$5:$B$1018, MATCH(C1123, Mgt_Unit!$C$5:$C$1018, 0)), "")</f>
        <v>jennifer.moore</v>
      </c>
      <c r="C1123" s="88" t="s">
        <v>948</v>
      </c>
      <c r="D1123" s="65"/>
      <c r="E1123" s="88">
        <v>1</v>
      </c>
      <c r="F1123" s="88" t="s">
        <v>1538</v>
      </c>
      <c r="G1123" s="88" t="s">
        <v>1544</v>
      </c>
      <c r="H1123" s="88" t="s">
        <v>441</v>
      </c>
      <c r="I1123" s="88" t="s">
        <v>202</v>
      </c>
      <c r="J1123" s="91">
        <v>43573</v>
      </c>
      <c r="K1123" s="91">
        <v>43692</v>
      </c>
      <c r="L1123" s="91"/>
      <c r="M1123" s="94">
        <v>0</v>
      </c>
      <c r="N1123" s="9"/>
      <c r="O1123" s="33"/>
      <c r="P1123" s="33"/>
      <c r="Q1123" s="9"/>
      <c r="R1123" s="67"/>
      <c r="S1123" s="9"/>
    </row>
    <row r="1124" spans="1:19" ht="15" customHeight="1" x14ac:dyDescent="0.25">
      <c r="A1124" s="14"/>
      <c r="B1124" s="28" t="str">
        <f>IF(ISNUMBER(MATCH(C1124, Mgt_Unit!$C$5:$C$1018, 0)), INDEX(Mgt_Unit!$B$5:$B$1018, MATCH(C1124, Mgt_Unit!$C$5:$C$1018, 0)), "")</f>
        <v>jennifer.moore</v>
      </c>
      <c r="C1124" t="s">
        <v>949</v>
      </c>
      <c r="D1124" s="65"/>
      <c r="E1124">
        <v>1</v>
      </c>
      <c r="F1124" t="s">
        <v>1538</v>
      </c>
      <c r="G1124" t="s">
        <v>1544</v>
      </c>
      <c r="H1124" t="s">
        <v>442</v>
      </c>
      <c r="I1124" t="s">
        <v>232</v>
      </c>
      <c r="J1124" s="89">
        <v>43226</v>
      </c>
      <c r="K1124" s="89">
        <v>43307</v>
      </c>
      <c r="L1124" s="89"/>
      <c r="M1124" s="31">
        <v>0</v>
      </c>
      <c r="N1124" s="9"/>
      <c r="O1124" s="33"/>
      <c r="P1124" s="33"/>
      <c r="Q1124" s="9"/>
      <c r="R1124" s="67"/>
      <c r="S1124" s="9"/>
    </row>
    <row r="1125" spans="1:19" ht="15" customHeight="1" x14ac:dyDescent="0.25">
      <c r="A1125" s="14"/>
      <c r="B1125" s="28" t="str">
        <f>IF(ISNUMBER(MATCH(C1125, Mgt_Unit!$C$5:$C$1018, 0)), INDEX(Mgt_Unit!$B$5:$B$1018, MATCH(C1125, Mgt_Unit!$C$5:$C$1018, 0)), "")</f>
        <v>jennifer.moore</v>
      </c>
      <c r="C1125" s="87" t="s">
        <v>949</v>
      </c>
      <c r="D1125" s="65"/>
      <c r="E1125" s="87">
        <v>2</v>
      </c>
      <c r="F1125" s="87" t="s">
        <v>1538</v>
      </c>
      <c r="G1125" s="87" t="s">
        <v>1544</v>
      </c>
      <c r="H1125" s="87" t="s">
        <v>441</v>
      </c>
      <c r="I1125" s="87" t="s">
        <v>202</v>
      </c>
      <c r="J1125" s="90">
        <v>43573</v>
      </c>
      <c r="K1125" s="90">
        <v>43692</v>
      </c>
      <c r="L1125" s="90"/>
      <c r="M1125" s="93">
        <v>0</v>
      </c>
      <c r="N1125" s="9"/>
      <c r="O1125" s="33"/>
      <c r="P1125" s="33"/>
      <c r="Q1125" s="9"/>
      <c r="R1125" s="67"/>
      <c r="S1125" s="9"/>
    </row>
    <row r="1126" spans="1:19" ht="15" customHeight="1" x14ac:dyDescent="0.25">
      <c r="A1126" s="14"/>
      <c r="B1126" s="28" t="str">
        <f>IF(ISNUMBER(MATCH(C1126, Mgt_Unit!$C$5:$C$1018, 0)), INDEX(Mgt_Unit!$B$5:$B$1018, MATCH(C1126, Mgt_Unit!$C$5:$C$1018, 0)), "")</f>
        <v>jennifer.moore</v>
      </c>
      <c r="C1126" t="s">
        <v>950</v>
      </c>
      <c r="D1126" s="65"/>
      <c r="E1126">
        <v>1</v>
      </c>
      <c r="F1126" t="s">
        <v>1538</v>
      </c>
      <c r="G1126" t="s">
        <v>1544</v>
      </c>
      <c r="H1126" t="s">
        <v>442</v>
      </c>
      <c r="I1126" t="s">
        <v>232</v>
      </c>
      <c r="J1126" s="89">
        <v>43226</v>
      </c>
      <c r="K1126" s="89">
        <v>43307</v>
      </c>
      <c r="L1126" s="89"/>
      <c r="M1126" s="31">
        <v>0</v>
      </c>
      <c r="N1126" s="9"/>
      <c r="O1126" s="33"/>
      <c r="P1126" s="33"/>
      <c r="Q1126" s="9"/>
      <c r="R1126" s="67"/>
      <c r="S1126" s="9"/>
    </row>
    <row r="1127" spans="1:19" ht="15" customHeight="1" x14ac:dyDescent="0.25">
      <c r="A1127" s="14"/>
      <c r="B1127" s="28" t="str">
        <f>IF(ISNUMBER(MATCH(C1127, Mgt_Unit!$C$5:$C$1018, 0)), INDEX(Mgt_Unit!$B$5:$B$1018, MATCH(C1127, Mgt_Unit!$C$5:$C$1018, 0)), "")</f>
        <v>jennifer.moore</v>
      </c>
      <c r="C1127" s="87" t="s">
        <v>950</v>
      </c>
      <c r="D1127" s="65"/>
      <c r="E1127" s="87">
        <v>2</v>
      </c>
      <c r="F1127" s="87" t="s">
        <v>1538</v>
      </c>
      <c r="G1127" s="87" t="s">
        <v>1544</v>
      </c>
      <c r="H1127" s="87" t="s">
        <v>441</v>
      </c>
      <c r="I1127" s="87" t="s">
        <v>202</v>
      </c>
      <c r="J1127" s="90">
        <v>43573</v>
      </c>
      <c r="K1127" s="90">
        <v>43692</v>
      </c>
      <c r="L1127" s="90"/>
      <c r="M1127" s="93">
        <v>0</v>
      </c>
      <c r="N1127" s="9"/>
      <c r="O1127" s="33"/>
      <c r="P1127" s="33"/>
      <c r="Q1127" s="9"/>
      <c r="R1127" s="67"/>
      <c r="S1127" s="9"/>
    </row>
    <row r="1128" spans="1:19" ht="15" customHeight="1" x14ac:dyDescent="0.25">
      <c r="A1128" s="14"/>
      <c r="B1128" s="28" t="str">
        <f>IF(ISNUMBER(MATCH(C1128, Mgt_Unit!$C$5:$C$1018, 0)), INDEX(Mgt_Unit!$B$5:$B$1018, MATCH(C1128, Mgt_Unit!$C$5:$C$1018, 0)), "")</f>
        <v>jennifer.moore</v>
      </c>
      <c r="C1128" t="s">
        <v>951</v>
      </c>
      <c r="D1128" s="65"/>
      <c r="E1128">
        <v>1</v>
      </c>
      <c r="F1128" t="s">
        <v>1538</v>
      </c>
      <c r="G1128" t="s">
        <v>1544</v>
      </c>
      <c r="H1128" t="s">
        <v>442</v>
      </c>
      <c r="I1128" t="s">
        <v>232</v>
      </c>
      <c r="J1128" s="89">
        <v>42481</v>
      </c>
      <c r="K1128" s="89">
        <v>42560</v>
      </c>
      <c r="L1128" s="89"/>
      <c r="M1128" s="31">
        <v>0</v>
      </c>
      <c r="N1128" s="9"/>
      <c r="O1128" s="33"/>
      <c r="P1128" s="33"/>
      <c r="Q1128" s="9"/>
      <c r="R1128" s="67"/>
      <c r="S1128" s="9"/>
    </row>
    <row r="1129" spans="1:19" ht="15" customHeight="1" x14ac:dyDescent="0.25">
      <c r="A1129" s="14"/>
      <c r="B1129" s="28" t="str">
        <f>IF(ISNUMBER(MATCH(C1129, Mgt_Unit!$C$5:$C$1018, 0)), INDEX(Mgt_Unit!$B$5:$B$1018, MATCH(C1129, Mgt_Unit!$C$5:$C$1018, 0)), "")</f>
        <v>jennifer.moore</v>
      </c>
      <c r="C1129" s="87" t="s">
        <v>951</v>
      </c>
      <c r="D1129" s="65"/>
      <c r="E1129" s="87">
        <v>2</v>
      </c>
      <c r="F1129" s="87" t="s">
        <v>1538</v>
      </c>
      <c r="G1129" s="87" t="s">
        <v>1544</v>
      </c>
      <c r="H1129" s="87" t="s">
        <v>441</v>
      </c>
      <c r="I1129" s="87" t="s">
        <v>202</v>
      </c>
      <c r="J1129" s="90">
        <v>42856</v>
      </c>
      <c r="K1129" s="90">
        <v>42961</v>
      </c>
      <c r="L1129" s="90"/>
      <c r="M1129" s="93">
        <v>0</v>
      </c>
      <c r="N1129" s="9"/>
      <c r="O1129" s="33"/>
      <c r="P1129" s="33"/>
      <c r="Q1129" s="9"/>
      <c r="R1129" s="67"/>
      <c r="S1129" s="9"/>
    </row>
    <row r="1130" spans="1:19" ht="15" customHeight="1" x14ac:dyDescent="0.25">
      <c r="A1130" s="14"/>
      <c r="B1130" s="28" t="str">
        <f>IF(ISNUMBER(MATCH(C1130, Mgt_Unit!$C$5:$C$1018, 0)), INDEX(Mgt_Unit!$B$5:$B$1018, MATCH(C1130, Mgt_Unit!$C$5:$C$1018, 0)), "")</f>
        <v>jennifer.moore</v>
      </c>
      <c r="C1130" s="88" t="s">
        <v>952</v>
      </c>
      <c r="D1130" s="65"/>
      <c r="E1130" s="88">
        <v>1</v>
      </c>
      <c r="F1130" s="88" t="s">
        <v>1538</v>
      </c>
      <c r="G1130" s="88" t="s">
        <v>1544</v>
      </c>
      <c r="H1130" s="88" t="s">
        <v>441</v>
      </c>
      <c r="I1130" s="88" t="s">
        <v>202</v>
      </c>
      <c r="J1130" s="91">
        <v>42492</v>
      </c>
      <c r="K1130" s="91">
        <v>42593</v>
      </c>
      <c r="L1130" s="91"/>
      <c r="M1130" s="94">
        <v>0</v>
      </c>
      <c r="N1130" s="9"/>
      <c r="O1130" s="33"/>
      <c r="P1130" s="33"/>
      <c r="Q1130" s="9"/>
      <c r="R1130" s="67"/>
      <c r="S1130" s="9"/>
    </row>
    <row r="1131" spans="1:19" ht="15" customHeight="1" x14ac:dyDescent="0.25">
      <c r="A1131" s="14"/>
      <c r="B1131" s="28" t="str">
        <f>IF(ISNUMBER(MATCH(C1131, Mgt_Unit!$C$5:$C$1018, 0)), INDEX(Mgt_Unit!$B$5:$B$1018, MATCH(C1131, Mgt_Unit!$C$5:$C$1018, 0)), "")</f>
        <v>jennifer.moore</v>
      </c>
      <c r="C1131" s="88" t="s">
        <v>953</v>
      </c>
      <c r="D1131" s="65"/>
      <c r="E1131" s="88">
        <v>1</v>
      </c>
      <c r="F1131" s="88" t="s">
        <v>1538</v>
      </c>
      <c r="G1131" s="88" t="s">
        <v>1544</v>
      </c>
      <c r="H1131" s="88" t="s">
        <v>441</v>
      </c>
      <c r="I1131" s="88" t="s">
        <v>202</v>
      </c>
      <c r="J1131" s="91">
        <v>42492</v>
      </c>
      <c r="K1131" s="91">
        <v>42593</v>
      </c>
      <c r="L1131" s="91"/>
      <c r="M1131" s="94">
        <v>0</v>
      </c>
      <c r="N1131" s="9"/>
      <c r="O1131" s="33"/>
      <c r="P1131" s="33"/>
      <c r="Q1131" s="9"/>
      <c r="R1131" s="67"/>
      <c r="S1131" s="9"/>
    </row>
    <row r="1132" spans="1:19" ht="15" customHeight="1" x14ac:dyDescent="0.25">
      <c r="A1132" s="14"/>
      <c r="B1132" s="28" t="str">
        <f>IF(ISNUMBER(MATCH(C1132, Mgt_Unit!$C$5:$C$1018, 0)), INDEX(Mgt_Unit!$B$5:$B$1018, MATCH(C1132, Mgt_Unit!$C$5:$C$1018, 0)), "")</f>
        <v>jennifer.moore</v>
      </c>
      <c r="C1132" s="92" t="s">
        <v>954</v>
      </c>
      <c r="D1132" s="65"/>
      <c r="E1132" s="92">
        <v>1</v>
      </c>
      <c r="F1132" s="92" t="s">
        <v>1538</v>
      </c>
      <c r="G1132" s="92" t="s">
        <v>1544</v>
      </c>
      <c r="H1132" s="92" t="s">
        <v>441</v>
      </c>
      <c r="I1132" s="92" t="s">
        <v>202</v>
      </c>
      <c r="J1132" s="98">
        <v>42856</v>
      </c>
      <c r="K1132" s="98">
        <v>42961</v>
      </c>
      <c r="L1132" s="98"/>
      <c r="M1132" s="99">
        <v>0</v>
      </c>
      <c r="N1132" s="9"/>
      <c r="O1132" s="33"/>
      <c r="P1132" s="33"/>
      <c r="Q1132" s="9"/>
      <c r="R1132" s="67"/>
      <c r="S1132" s="9"/>
    </row>
    <row r="1133" spans="1:19" ht="15" customHeight="1" x14ac:dyDescent="0.25">
      <c r="A1133" s="14"/>
      <c r="B1133" s="28" t="str">
        <f>IF(ISNUMBER(MATCH(C1133, Mgt_Unit!$C$5:$C$1018, 0)), INDEX(Mgt_Unit!$B$5:$B$1018, MATCH(C1133, Mgt_Unit!$C$5:$C$1018, 0)), "")</f>
        <v>jennifer.moore</v>
      </c>
      <c r="C1133" s="92" t="s">
        <v>955</v>
      </c>
      <c r="D1133" s="65"/>
      <c r="E1133" s="92">
        <v>1</v>
      </c>
      <c r="F1133" s="92" t="s">
        <v>1538</v>
      </c>
      <c r="G1133" s="92" t="s">
        <v>1544</v>
      </c>
      <c r="H1133" s="92" t="s">
        <v>51</v>
      </c>
      <c r="I1133" s="92" t="s">
        <v>137</v>
      </c>
      <c r="J1133" s="98">
        <v>43235</v>
      </c>
      <c r="K1133" s="98">
        <v>43393</v>
      </c>
      <c r="L1133" s="98"/>
      <c r="M1133" s="99">
        <v>0</v>
      </c>
      <c r="N1133" s="9"/>
      <c r="O1133" s="33"/>
      <c r="P1133" s="33"/>
      <c r="Q1133" s="9"/>
      <c r="R1133" s="67"/>
      <c r="S1133" s="9"/>
    </row>
    <row r="1134" spans="1:19" ht="15" customHeight="1" x14ac:dyDescent="0.25">
      <c r="A1134" s="14"/>
      <c r="B1134" s="28" t="str">
        <f>IF(ISNUMBER(MATCH(C1134, Mgt_Unit!$C$5:$C$1018, 0)), INDEX(Mgt_Unit!$B$5:$B$1018, MATCH(C1134, Mgt_Unit!$C$5:$C$1018, 0)), "")</f>
        <v>jennifer.moore</v>
      </c>
      <c r="C1134" s="87" t="s">
        <v>955</v>
      </c>
      <c r="D1134" s="65"/>
      <c r="E1134" s="87">
        <v>2</v>
      </c>
      <c r="F1134" s="87" t="s">
        <v>1538</v>
      </c>
      <c r="G1134" s="87" t="s">
        <v>1544</v>
      </c>
      <c r="H1134" s="87" t="s">
        <v>50</v>
      </c>
      <c r="I1134" s="87" t="s">
        <v>87</v>
      </c>
      <c r="J1134" s="90">
        <v>43586</v>
      </c>
      <c r="K1134" s="90">
        <v>43748</v>
      </c>
      <c r="L1134" s="90"/>
      <c r="M1134" s="93">
        <v>0</v>
      </c>
      <c r="N1134" s="9"/>
      <c r="O1134" s="33"/>
      <c r="P1134" s="33"/>
      <c r="Q1134" s="9"/>
      <c r="R1134" s="67"/>
      <c r="S1134" s="9"/>
    </row>
    <row r="1135" spans="1:19" ht="15" customHeight="1" x14ac:dyDescent="0.25">
      <c r="A1135" s="14"/>
      <c r="B1135" s="28" t="str">
        <f>IF(ISNUMBER(MATCH(C1135, Mgt_Unit!$C$5:$C$1018, 0)), INDEX(Mgt_Unit!$B$5:$B$1018, MATCH(C1135, Mgt_Unit!$C$5:$C$1018, 0)), "")</f>
        <v>jennifer.moore</v>
      </c>
      <c r="C1135" t="s">
        <v>956</v>
      </c>
      <c r="D1135" s="65"/>
      <c r="E1135">
        <v>1</v>
      </c>
      <c r="F1135" t="s">
        <v>1538</v>
      </c>
      <c r="G1135" t="s">
        <v>1544</v>
      </c>
      <c r="H1135" t="s">
        <v>51</v>
      </c>
      <c r="I1135" t="s">
        <v>137</v>
      </c>
      <c r="J1135" s="89">
        <v>43235</v>
      </c>
      <c r="K1135" s="89">
        <v>43393</v>
      </c>
      <c r="L1135" s="89"/>
      <c r="M1135" s="31">
        <v>0</v>
      </c>
      <c r="N1135" s="9"/>
      <c r="O1135" s="33"/>
      <c r="P1135" s="33"/>
      <c r="Q1135" s="9"/>
      <c r="R1135" s="67"/>
      <c r="S1135" s="9"/>
    </row>
    <row r="1136" spans="1:19" ht="15" customHeight="1" x14ac:dyDescent="0.25">
      <c r="A1136" s="14"/>
      <c r="B1136" s="28" t="str">
        <f>IF(ISNUMBER(MATCH(C1136, Mgt_Unit!$C$5:$C$1018, 0)), INDEX(Mgt_Unit!$B$5:$B$1018, MATCH(C1136, Mgt_Unit!$C$5:$C$1018, 0)), "")</f>
        <v>jennifer.moore</v>
      </c>
      <c r="C1136" s="87" t="s">
        <v>956</v>
      </c>
      <c r="D1136" s="65"/>
      <c r="E1136" s="87">
        <v>2</v>
      </c>
      <c r="F1136" s="87" t="s">
        <v>1538</v>
      </c>
      <c r="G1136" s="87" t="s">
        <v>1544</v>
      </c>
      <c r="H1136" s="87" t="s">
        <v>50</v>
      </c>
      <c r="I1136" s="87" t="s">
        <v>87</v>
      </c>
      <c r="J1136" s="90">
        <v>43586</v>
      </c>
      <c r="K1136" s="90">
        <v>43748</v>
      </c>
      <c r="L1136" s="90"/>
      <c r="M1136" s="93">
        <v>0</v>
      </c>
      <c r="N1136" s="9"/>
      <c r="O1136" s="33"/>
      <c r="P1136" s="33"/>
      <c r="Q1136" s="9"/>
      <c r="R1136" s="67"/>
      <c r="S1136" s="9"/>
    </row>
    <row r="1137" spans="1:19" ht="15" customHeight="1" x14ac:dyDescent="0.25">
      <c r="A1137" s="14"/>
      <c r="B1137" s="28" t="str">
        <f>IF(ISNUMBER(MATCH(C1137, Mgt_Unit!$C$5:$C$1018, 0)), INDEX(Mgt_Unit!$B$5:$B$1018, MATCH(C1137, Mgt_Unit!$C$5:$C$1018, 0)), "")</f>
        <v>jennifer.moore</v>
      </c>
      <c r="C1137" t="s">
        <v>957</v>
      </c>
      <c r="D1137" s="65"/>
      <c r="E1137">
        <v>1</v>
      </c>
      <c r="F1137" t="s">
        <v>1538</v>
      </c>
      <c r="G1137" t="s">
        <v>1544</v>
      </c>
      <c r="H1137" t="s">
        <v>51</v>
      </c>
      <c r="I1137" t="s">
        <v>137</v>
      </c>
      <c r="J1137" s="89">
        <v>43235</v>
      </c>
      <c r="K1137" s="89">
        <v>43393</v>
      </c>
      <c r="L1137" s="89"/>
      <c r="M1137" s="31">
        <v>0</v>
      </c>
      <c r="N1137" s="9"/>
      <c r="O1137" s="33"/>
      <c r="P1137" s="33"/>
      <c r="Q1137" s="9"/>
      <c r="R1137" s="67"/>
      <c r="S1137" s="9"/>
    </row>
    <row r="1138" spans="1:19" ht="15" customHeight="1" x14ac:dyDescent="0.25">
      <c r="A1138" s="14"/>
      <c r="B1138" s="28" t="str">
        <f>IF(ISNUMBER(MATCH(C1138, Mgt_Unit!$C$5:$C$1018, 0)), INDEX(Mgt_Unit!$B$5:$B$1018, MATCH(C1138, Mgt_Unit!$C$5:$C$1018, 0)), "")</f>
        <v>jennifer.moore</v>
      </c>
      <c r="C1138" s="87" t="s">
        <v>957</v>
      </c>
      <c r="D1138" s="65"/>
      <c r="E1138" s="87">
        <v>2</v>
      </c>
      <c r="F1138" s="87" t="s">
        <v>1538</v>
      </c>
      <c r="G1138" s="87" t="s">
        <v>1544</v>
      </c>
      <c r="H1138" s="87" t="s">
        <v>50</v>
      </c>
      <c r="I1138" s="87" t="s">
        <v>87</v>
      </c>
      <c r="J1138" s="90">
        <v>43586</v>
      </c>
      <c r="K1138" s="90">
        <v>43748</v>
      </c>
      <c r="L1138" s="90"/>
      <c r="M1138" s="93">
        <v>0</v>
      </c>
      <c r="N1138" s="9"/>
      <c r="O1138" s="33"/>
      <c r="P1138" s="33"/>
      <c r="Q1138" s="9"/>
      <c r="R1138" s="67"/>
      <c r="S1138" s="9"/>
    </row>
    <row r="1139" spans="1:19" ht="15" customHeight="1" x14ac:dyDescent="0.25">
      <c r="A1139" s="14"/>
      <c r="B1139" s="28" t="str">
        <f>IF(ISNUMBER(MATCH(C1139, Mgt_Unit!$C$5:$C$1018, 0)), INDEX(Mgt_Unit!$B$5:$B$1018, MATCH(C1139, Mgt_Unit!$C$5:$C$1018, 0)), "")</f>
        <v>jennifer.moore</v>
      </c>
      <c r="C1139" t="s">
        <v>958</v>
      </c>
      <c r="D1139" s="65"/>
      <c r="E1139">
        <v>1</v>
      </c>
      <c r="F1139" t="s">
        <v>1538</v>
      </c>
      <c r="G1139" t="s">
        <v>1544</v>
      </c>
      <c r="H1139" t="s">
        <v>50</v>
      </c>
      <c r="I1139" t="s">
        <v>87</v>
      </c>
      <c r="J1139" s="89">
        <v>42481</v>
      </c>
      <c r="K1139" s="89">
        <v>42619</v>
      </c>
      <c r="L1139" s="89"/>
      <c r="M1139" s="31">
        <v>0</v>
      </c>
      <c r="N1139" s="9"/>
      <c r="O1139" s="33"/>
      <c r="P1139" s="33"/>
      <c r="Q1139" s="9"/>
      <c r="R1139" s="67"/>
      <c r="S1139" s="9"/>
    </row>
    <row r="1140" spans="1:19" ht="15" customHeight="1" x14ac:dyDescent="0.25">
      <c r="A1140" s="14"/>
      <c r="B1140" s="28" t="str">
        <f>IF(ISNUMBER(MATCH(C1140, Mgt_Unit!$C$5:$C$1018, 0)), INDEX(Mgt_Unit!$B$5:$B$1018, MATCH(C1140, Mgt_Unit!$C$5:$C$1018, 0)), "")</f>
        <v>jennifer.moore</v>
      </c>
      <c r="C1140" t="s">
        <v>958</v>
      </c>
      <c r="D1140" s="65"/>
      <c r="E1140">
        <v>2</v>
      </c>
      <c r="F1140" t="s">
        <v>1538</v>
      </c>
      <c r="G1140" t="s">
        <v>1544</v>
      </c>
      <c r="H1140" t="s">
        <v>441</v>
      </c>
      <c r="I1140" t="s">
        <v>27</v>
      </c>
      <c r="J1140" s="89">
        <v>42677</v>
      </c>
      <c r="K1140" s="89">
        <v>42899</v>
      </c>
      <c r="L1140" s="89"/>
      <c r="M1140" s="31">
        <v>0</v>
      </c>
      <c r="N1140" s="9"/>
      <c r="O1140" s="33"/>
      <c r="P1140" s="33"/>
      <c r="Q1140" s="9"/>
      <c r="R1140" s="67"/>
      <c r="S1140" s="9"/>
    </row>
    <row r="1141" spans="1:19" ht="15" customHeight="1" x14ac:dyDescent="0.25">
      <c r="A1141" s="14"/>
      <c r="B1141" s="28" t="str">
        <f>IF(ISNUMBER(MATCH(C1141, Mgt_Unit!$C$5:$C$1018, 0)), INDEX(Mgt_Unit!$B$5:$B$1018, MATCH(C1141, Mgt_Unit!$C$5:$C$1018, 0)), "")</f>
        <v>jennifer.moore</v>
      </c>
      <c r="C1141" t="s">
        <v>958</v>
      </c>
      <c r="D1141" s="65"/>
      <c r="E1141">
        <v>3</v>
      </c>
      <c r="F1141" t="s">
        <v>1538</v>
      </c>
      <c r="G1141" t="s">
        <v>1544</v>
      </c>
      <c r="H1141" t="s">
        <v>51</v>
      </c>
      <c r="I1141" t="s">
        <v>137</v>
      </c>
      <c r="J1141" s="89">
        <v>42915</v>
      </c>
      <c r="K1141" s="89">
        <v>43061</v>
      </c>
      <c r="L1141" s="89"/>
      <c r="M1141" s="31">
        <v>0</v>
      </c>
      <c r="N1141" s="9"/>
      <c r="O1141" s="33"/>
      <c r="P1141" s="33"/>
      <c r="Q1141" s="9"/>
      <c r="R1141" s="67"/>
      <c r="S1141" s="9"/>
    </row>
    <row r="1142" spans="1:19" ht="15" customHeight="1" x14ac:dyDescent="0.25">
      <c r="A1142" s="14"/>
      <c r="B1142" s="28" t="str">
        <f>IF(ISNUMBER(MATCH(C1142, Mgt_Unit!$C$5:$C$1018, 0)), INDEX(Mgt_Unit!$B$5:$B$1018, MATCH(C1142, Mgt_Unit!$C$5:$C$1018, 0)), "")</f>
        <v>jennifer.moore</v>
      </c>
      <c r="C1142" t="s">
        <v>958</v>
      </c>
      <c r="D1142" s="65"/>
      <c r="E1142">
        <v>4</v>
      </c>
      <c r="F1142" t="s">
        <v>1538</v>
      </c>
      <c r="G1142" t="s">
        <v>1535</v>
      </c>
      <c r="H1142" t="s">
        <v>441</v>
      </c>
      <c r="I1142" t="s">
        <v>124</v>
      </c>
      <c r="J1142" s="89">
        <v>43067</v>
      </c>
      <c r="K1142" s="89"/>
      <c r="L1142" s="89">
        <v>43208</v>
      </c>
      <c r="M1142" s="31">
        <v>0</v>
      </c>
      <c r="N1142" s="9"/>
      <c r="O1142" s="33"/>
      <c r="P1142" s="33"/>
      <c r="Q1142" s="9"/>
      <c r="R1142" s="67"/>
      <c r="S1142" s="9"/>
    </row>
    <row r="1143" spans="1:19" ht="15" customHeight="1" x14ac:dyDescent="0.25">
      <c r="A1143" s="14"/>
      <c r="B1143" s="28" t="str">
        <f>IF(ISNUMBER(MATCH(C1143, Mgt_Unit!$C$5:$C$1018, 0)), INDEX(Mgt_Unit!$B$5:$B$1018, MATCH(C1143, Mgt_Unit!$C$5:$C$1018, 0)), "")</f>
        <v>jennifer.moore</v>
      </c>
      <c r="C1143" t="s">
        <v>958</v>
      </c>
      <c r="D1143" s="65"/>
      <c r="E1143">
        <v>5</v>
      </c>
      <c r="F1143" t="s">
        <v>1538</v>
      </c>
      <c r="G1143" t="s">
        <v>1544</v>
      </c>
      <c r="H1143" t="s">
        <v>50</v>
      </c>
      <c r="I1143" t="s">
        <v>175</v>
      </c>
      <c r="J1143" s="89">
        <v>43258</v>
      </c>
      <c r="K1143" s="89">
        <v>43378</v>
      </c>
      <c r="L1143" s="89"/>
      <c r="M1143" s="31">
        <v>0</v>
      </c>
      <c r="N1143" s="9"/>
      <c r="O1143" s="33"/>
      <c r="P1143" s="33"/>
      <c r="Q1143" s="9"/>
      <c r="R1143" s="67"/>
      <c r="S1143" s="9"/>
    </row>
    <row r="1144" spans="1:19" ht="15" customHeight="1" x14ac:dyDescent="0.25">
      <c r="A1144" s="14"/>
      <c r="B1144" s="28" t="str">
        <f>IF(ISNUMBER(MATCH(C1144, Mgt_Unit!$C$5:$C$1018, 0)), INDEX(Mgt_Unit!$B$5:$B$1018, MATCH(C1144, Mgt_Unit!$C$5:$C$1018, 0)), "")</f>
        <v>jennifer.moore</v>
      </c>
      <c r="C1144" t="s">
        <v>958</v>
      </c>
      <c r="D1144" s="65"/>
      <c r="E1144">
        <v>6</v>
      </c>
      <c r="F1144" t="s">
        <v>1538</v>
      </c>
      <c r="G1144" t="s">
        <v>1535</v>
      </c>
      <c r="H1144" t="s">
        <v>441</v>
      </c>
      <c r="I1144" t="s">
        <v>124</v>
      </c>
      <c r="J1144" s="89">
        <v>43440</v>
      </c>
      <c r="K1144" s="89"/>
      <c r="L1144" s="89">
        <v>43566</v>
      </c>
      <c r="M1144" s="31">
        <v>0</v>
      </c>
      <c r="N1144" s="9"/>
      <c r="O1144" s="33"/>
      <c r="P1144" s="33"/>
      <c r="Q1144" s="9"/>
      <c r="R1144" s="67"/>
      <c r="S1144" s="9"/>
    </row>
    <row r="1145" spans="1:19" ht="15" customHeight="1" x14ac:dyDescent="0.25">
      <c r="A1145" s="14"/>
      <c r="B1145" s="28" t="str">
        <f>IF(ISNUMBER(MATCH(C1145, Mgt_Unit!$C$5:$C$1018, 0)), INDEX(Mgt_Unit!$B$5:$B$1018, MATCH(C1145, Mgt_Unit!$C$5:$C$1018, 0)), "")</f>
        <v>jennifer.moore</v>
      </c>
      <c r="C1145" t="s">
        <v>958</v>
      </c>
      <c r="D1145" s="65"/>
      <c r="E1145">
        <v>7</v>
      </c>
      <c r="F1145" t="s">
        <v>1538</v>
      </c>
      <c r="G1145" t="s">
        <v>1544</v>
      </c>
      <c r="H1145" t="s">
        <v>50</v>
      </c>
      <c r="I1145" t="s">
        <v>87</v>
      </c>
      <c r="J1145" s="89">
        <v>43595</v>
      </c>
      <c r="K1145" s="89">
        <v>43731</v>
      </c>
      <c r="L1145" s="89"/>
      <c r="M1145" s="31">
        <v>0</v>
      </c>
      <c r="N1145" s="9"/>
      <c r="O1145" s="33"/>
      <c r="P1145" s="33"/>
      <c r="Q1145" s="9"/>
      <c r="R1145" s="67"/>
      <c r="S1145" s="9"/>
    </row>
    <row r="1146" spans="1:19" ht="15" customHeight="1" x14ac:dyDescent="0.25">
      <c r="A1146" s="14"/>
      <c r="B1146" s="28" t="str">
        <f>IF(ISNUMBER(MATCH(C1146, Mgt_Unit!$C$5:$C$1018, 0)), INDEX(Mgt_Unit!$B$5:$B$1018, MATCH(C1146, Mgt_Unit!$C$5:$C$1018, 0)), "")</f>
        <v>jennifer.moore</v>
      </c>
      <c r="C1146" s="87" t="s">
        <v>958</v>
      </c>
      <c r="D1146" s="65"/>
      <c r="E1146" s="87">
        <v>8</v>
      </c>
      <c r="F1146" s="87" t="s">
        <v>1538</v>
      </c>
      <c r="G1146" s="87" t="s">
        <v>1544</v>
      </c>
      <c r="H1146" s="87" t="s">
        <v>441</v>
      </c>
      <c r="I1146" s="87" t="s">
        <v>27</v>
      </c>
      <c r="J1146" s="90">
        <v>43775</v>
      </c>
      <c r="K1146" s="90"/>
      <c r="L1146" s="90"/>
      <c r="M1146" s="93"/>
      <c r="N1146" s="9"/>
      <c r="O1146" s="33"/>
      <c r="P1146" s="33"/>
      <c r="Q1146" s="9"/>
      <c r="R1146" s="67"/>
      <c r="S1146" s="9"/>
    </row>
    <row r="1147" spans="1:19" ht="15" customHeight="1" x14ac:dyDescent="0.25">
      <c r="A1147" s="14"/>
      <c r="B1147" s="28" t="str">
        <f>IF(ISNUMBER(MATCH(C1147, Mgt_Unit!$C$5:$C$1018, 0)), INDEX(Mgt_Unit!$B$5:$B$1018, MATCH(C1147, Mgt_Unit!$C$5:$C$1018, 0)), "")</f>
        <v>jennifer.moore</v>
      </c>
      <c r="C1147" t="s">
        <v>959</v>
      </c>
      <c r="D1147" s="65"/>
      <c r="E1147">
        <v>1</v>
      </c>
      <c r="F1147" t="s">
        <v>1538</v>
      </c>
      <c r="G1147" t="s">
        <v>1544</v>
      </c>
      <c r="H1147" t="s">
        <v>50</v>
      </c>
      <c r="I1147" t="s">
        <v>87</v>
      </c>
      <c r="J1147" s="89">
        <v>42481</v>
      </c>
      <c r="K1147" s="89">
        <v>42619</v>
      </c>
      <c r="L1147" s="89"/>
      <c r="M1147" s="31">
        <v>0</v>
      </c>
      <c r="N1147" s="9"/>
      <c r="O1147" s="33"/>
      <c r="P1147" s="33"/>
      <c r="Q1147" s="9"/>
      <c r="R1147" s="67"/>
      <c r="S1147" s="9"/>
    </row>
    <row r="1148" spans="1:19" ht="15" customHeight="1" x14ac:dyDescent="0.25">
      <c r="A1148" s="14"/>
      <c r="B1148" s="28" t="str">
        <f>IF(ISNUMBER(MATCH(C1148, Mgt_Unit!$C$5:$C$1018, 0)), INDEX(Mgt_Unit!$B$5:$B$1018, MATCH(C1148, Mgt_Unit!$C$5:$C$1018, 0)), "")</f>
        <v>jennifer.moore</v>
      </c>
      <c r="C1148" t="s">
        <v>959</v>
      </c>
      <c r="D1148" s="65"/>
      <c r="E1148">
        <v>2</v>
      </c>
      <c r="F1148" t="s">
        <v>1538</v>
      </c>
      <c r="G1148" t="s">
        <v>1544</v>
      </c>
      <c r="H1148" t="s">
        <v>441</v>
      </c>
      <c r="I1148" t="s">
        <v>27</v>
      </c>
      <c r="J1148" s="89">
        <v>42677</v>
      </c>
      <c r="K1148" s="89">
        <v>42899</v>
      </c>
      <c r="L1148" s="89"/>
      <c r="M1148" s="31">
        <v>0</v>
      </c>
      <c r="N1148" s="9"/>
      <c r="O1148" s="33"/>
      <c r="P1148" s="33"/>
      <c r="Q1148" s="9"/>
      <c r="R1148" s="67"/>
      <c r="S1148" s="9"/>
    </row>
    <row r="1149" spans="1:19" ht="15" customHeight="1" x14ac:dyDescent="0.25">
      <c r="A1149" s="14"/>
      <c r="B1149" s="28" t="str">
        <f>IF(ISNUMBER(MATCH(C1149, Mgt_Unit!$C$5:$C$1018, 0)), INDEX(Mgt_Unit!$B$5:$B$1018, MATCH(C1149, Mgt_Unit!$C$5:$C$1018, 0)), "")</f>
        <v>jennifer.moore</v>
      </c>
      <c r="C1149" t="s">
        <v>959</v>
      </c>
      <c r="D1149" s="65"/>
      <c r="E1149">
        <v>3</v>
      </c>
      <c r="F1149" t="s">
        <v>1538</v>
      </c>
      <c r="G1149" t="s">
        <v>1544</v>
      </c>
      <c r="H1149" t="s">
        <v>51</v>
      </c>
      <c r="I1149" t="s">
        <v>137</v>
      </c>
      <c r="J1149" s="89">
        <v>42915</v>
      </c>
      <c r="K1149" s="89">
        <v>43061</v>
      </c>
      <c r="L1149" s="89"/>
      <c r="M1149" s="31">
        <v>0</v>
      </c>
      <c r="N1149" s="9"/>
      <c r="O1149" s="33"/>
      <c r="P1149" s="33"/>
      <c r="Q1149" s="9"/>
      <c r="R1149" s="67"/>
      <c r="S1149" s="9"/>
    </row>
    <row r="1150" spans="1:19" ht="15" customHeight="1" x14ac:dyDescent="0.25">
      <c r="A1150" s="14"/>
      <c r="B1150" s="28" t="str">
        <f>IF(ISNUMBER(MATCH(C1150, Mgt_Unit!$C$5:$C$1018, 0)), INDEX(Mgt_Unit!$B$5:$B$1018, MATCH(C1150, Mgt_Unit!$C$5:$C$1018, 0)), "")</f>
        <v>jennifer.moore</v>
      </c>
      <c r="C1150" t="s">
        <v>959</v>
      </c>
      <c r="D1150" s="65"/>
      <c r="E1150">
        <v>4</v>
      </c>
      <c r="F1150" t="s">
        <v>1538</v>
      </c>
      <c r="G1150" t="s">
        <v>1535</v>
      </c>
      <c r="H1150" t="s">
        <v>441</v>
      </c>
      <c r="I1150" t="s">
        <v>124</v>
      </c>
      <c r="J1150" s="89">
        <v>43067</v>
      </c>
      <c r="K1150" s="89"/>
      <c r="L1150" s="89">
        <v>43208</v>
      </c>
      <c r="M1150" s="31">
        <v>0</v>
      </c>
      <c r="N1150" s="9"/>
      <c r="O1150" s="33"/>
      <c r="P1150" s="33"/>
      <c r="Q1150" s="9"/>
      <c r="R1150" s="67"/>
      <c r="S1150" s="9"/>
    </row>
    <row r="1151" spans="1:19" ht="15" customHeight="1" x14ac:dyDescent="0.25">
      <c r="A1151" s="14"/>
      <c r="B1151" s="28" t="str">
        <f>IF(ISNUMBER(MATCH(C1151, Mgt_Unit!$C$5:$C$1018, 0)), INDEX(Mgt_Unit!$B$5:$B$1018, MATCH(C1151, Mgt_Unit!$C$5:$C$1018, 0)), "")</f>
        <v>jennifer.moore</v>
      </c>
      <c r="C1151" t="s">
        <v>959</v>
      </c>
      <c r="D1151" s="65"/>
      <c r="E1151">
        <v>5</v>
      </c>
      <c r="F1151" t="s">
        <v>1538</v>
      </c>
      <c r="G1151" t="s">
        <v>1544</v>
      </c>
      <c r="H1151" t="s">
        <v>50</v>
      </c>
      <c r="I1151" t="s">
        <v>175</v>
      </c>
      <c r="J1151" s="89">
        <v>43258</v>
      </c>
      <c r="K1151" s="89">
        <v>43378</v>
      </c>
      <c r="L1151" s="89"/>
      <c r="M1151" s="31">
        <v>0</v>
      </c>
      <c r="N1151" s="9"/>
      <c r="O1151" s="33"/>
      <c r="P1151" s="33"/>
      <c r="Q1151" s="9"/>
      <c r="R1151" s="67"/>
      <c r="S1151" s="9"/>
    </row>
    <row r="1152" spans="1:19" ht="15" customHeight="1" x14ac:dyDescent="0.25">
      <c r="A1152" s="14"/>
      <c r="B1152" s="28" t="str">
        <f>IF(ISNUMBER(MATCH(C1152, Mgt_Unit!$C$5:$C$1018, 0)), INDEX(Mgt_Unit!$B$5:$B$1018, MATCH(C1152, Mgt_Unit!$C$5:$C$1018, 0)), "")</f>
        <v>jennifer.moore</v>
      </c>
      <c r="C1152" t="s">
        <v>959</v>
      </c>
      <c r="D1152" s="65"/>
      <c r="E1152">
        <v>6</v>
      </c>
      <c r="F1152" t="s">
        <v>1538</v>
      </c>
      <c r="G1152" t="s">
        <v>1535</v>
      </c>
      <c r="H1152" t="s">
        <v>441</v>
      </c>
      <c r="I1152" t="s">
        <v>124</v>
      </c>
      <c r="J1152" s="89">
        <v>43440</v>
      </c>
      <c r="K1152" s="89"/>
      <c r="L1152" s="89">
        <v>43566</v>
      </c>
      <c r="M1152" s="31">
        <v>0</v>
      </c>
      <c r="N1152" s="9"/>
      <c r="O1152" s="33"/>
      <c r="P1152" s="33"/>
      <c r="Q1152" s="9"/>
      <c r="R1152" s="67"/>
      <c r="S1152" s="9"/>
    </row>
    <row r="1153" spans="1:19" ht="15" customHeight="1" x14ac:dyDescent="0.25">
      <c r="A1153" s="14"/>
      <c r="B1153" s="28" t="str">
        <f>IF(ISNUMBER(MATCH(C1153, Mgt_Unit!$C$5:$C$1018, 0)), INDEX(Mgt_Unit!$B$5:$B$1018, MATCH(C1153, Mgt_Unit!$C$5:$C$1018, 0)), "")</f>
        <v>jennifer.moore</v>
      </c>
      <c r="C1153" t="s">
        <v>959</v>
      </c>
      <c r="D1153" s="65"/>
      <c r="E1153">
        <v>7</v>
      </c>
      <c r="F1153" t="s">
        <v>1538</v>
      </c>
      <c r="G1153" t="s">
        <v>1544</v>
      </c>
      <c r="H1153" t="s">
        <v>50</v>
      </c>
      <c r="I1153" t="s">
        <v>87</v>
      </c>
      <c r="J1153" s="89">
        <v>43595</v>
      </c>
      <c r="K1153" s="89">
        <v>43731</v>
      </c>
      <c r="L1153" s="89"/>
      <c r="M1153" s="31">
        <v>0</v>
      </c>
      <c r="N1153" s="9"/>
      <c r="O1153" s="33"/>
      <c r="P1153" s="33"/>
      <c r="Q1153" s="9"/>
      <c r="R1153" s="67"/>
      <c r="S1153" s="9"/>
    </row>
    <row r="1154" spans="1:19" ht="15" customHeight="1" x14ac:dyDescent="0.25">
      <c r="A1154" s="14"/>
      <c r="B1154" s="28" t="str">
        <f>IF(ISNUMBER(MATCH(C1154, Mgt_Unit!$C$5:$C$1018, 0)), INDEX(Mgt_Unit!$B$5:$B$1018, MATCH(C1154, Mgt_Unit!$C$5:$C$1018, 0)), "")</f>
        <v>jennifer.moore</v>
      </c>
      <c r="C1154" s="87" t="s">
        <v>959</v>
      </c>
      <c r="D1154" s="65"/>
      <c r="E1154" s="87">
        <v>8</v>
      </c>
      <c r="F1154" s="87" t="s">
        <v>1538</v>
      </c>
      <c r="G1154" s="87" t="s">
        <v>1544</v>
      </c>
      <c r="H1154" s="87" t="s">
        <v>441</v>
      </c>
      <c r="I1154" s="87" t="s">
        <v>27</v>
      </c>
      <c r="J1154" s="90">
        <v>43775</v>
      </c>
      <c r="K1154" s="90"/>
      <c r="L1154" s="90"/>
      <c r="M1154" s="93"/>
      <c r="N1154" s="9"/>
      <c r="O1154" s="33"/>
      <c r="P1154" s="33"/>
      <c r="Q1154" s="9"/>
      <c r="R1154" s="67"/>
      <c r="S1154" s="9"/>
    </row>
    <row r="1155" spans="1:19" ht="15" customHeight="1" x14ac:dyDescent="0.25">
      <c r="A1155" s="14"/>
      <c r="B1155" s="28" t="str">
        <f>IF(ISNUMBER(MATCH(C1155, Mgt_Unit!$C$5:$C$1018, 0)), INDEX(Mgt_Unit!$B$5:$B$1018, MATCH(C1155, Mgt_Unit!$C$5:$C$1018, 0)), "")</f>
        <v>jennifer.moore</v>
      </c>
      <c r="C1155" t="s">
        <v>960</v>
      </c>
      <c r="D1155" s="65"/>
      <c r="E1155">
        <v>1</v>
      </c>
      <c r="F1155" t="s">
        <v>1538</v>
      </c>
      <c r="G1155" t="s">
        <v>1536</v>
      </c>
      <c r="H1155" t="s">
        <v>441</v>
      </c>
      <c r="I1155" t="s">
        <v>28</v>
      </c>
      <c r="J1155" s="89"/>
      <c r="K1155"/>
      <c r="L1155" s="89">
        <v>42100</v>
      </c>
      <c r="M1155" s="31">
        <v>0</v>
      </c>
      <c r="N1155" s="9"/>
      <c r="O1155" s="33"/>
      <c r="P1155" s="33"/>
      <c r="Q1155" s="9"/>
      <c r="R1155" s="67"/>
      <c r="S1155" s="9"/>
    </row>
    <row r="1156" spans="1:19" ht="15" customHeight="1" x14ac:dyDescent="0.25">
      <c r="A1156" s="14"/>
      <c r="B1156" s="28" t="str">
        <f>IF(ISNUMBER(MATCH(C1156, Mgt_Unit!$C$5:$C$1018, 0)), INDEX(Mgt_Unit!$B$5:$B$1018, MATCH(C1156, Mgt_Unit!$C$5:$C$1018, 0)), "")</f>
        <v>jennifer.moore</v>
      </c>
      <c r="C1156" t="s">
        <v>960</v>
      </c>
      <c r="D1156" s="65"/>
      <c r="E1156">
        <v>1</v>
      </c>
      <c r="F1156" t="s">
        <v>1538</v>
      </c>
      <c r="G1156" t="s">
        <v>1536</v>
      </c>
      <c r="H1156" t="s">
        <v>442</v>
      </c>
      <c r="I1156" t="s">
        <v>190</v>
      </c>
      <c r="J1156"/>
      <c r="K1156"/>
      <c r="L1156" s="89">
        <v>42100</v>
      </c>
      <c r="M1156" s="31">
        <v>0</v>
      </c>
      <c r="N1156" s="9"/>
      <c r="O1156" s="33"/>
      <c r="P1156" s="33"/>
      <c r="Q1156" s="9"/>
      <c r="R1156" s="67"/>
      <c r="S1156" s="9"/>
    </row>
    <row r="1157" spans="1:19" ht="15" customHeight="1" x14ac:dyDescent="0.25">
      <c r="A1157" s="14"/>
      <c r="B1157" s="28" t="str">
        <f>IF(ISNUMBER(MATCH(C1157, Mgt_Unit!$C$5:$C$1018, 0)), INDEX(Mgt_Unit!$B$5:$B$1018, MATCH(C1157, Mgt_Unit!$C$5:$C$1018, 0)), "")</f>
        <v>jennifer.moore</v>
      </c>
      <c r="C1157" t="s">
        <v>960</v>
      </c>
      <c r="D1157" s="65"/>
      <c r="E1157">
        <v>2</v>
      </c>
      <c r="F1157" t="s">
        <v>1538</v>
      </c>
      <c r="G1157" t="s">
        <v>1544</v>
      </c>
      <c r="H1157" t="s">
        <v>50</v>
      </c>
      <c r="I1157" t="s">
        <v>87</v>
      </c>
      <c r="J1157" s="89">
        <v>42117</v>
      </c>
      <c r="K1157" s="89">
        <v>42248</v>
      </c>
      <c r="L1157"/>
      <c r="M1157" s="31">
        <v>0</v>
      </c>
      <c r="N1157" s="9"/>
      <c r="O1157" s="33"/>
      <c r="P1157" s="33"/>
      <c r="Q1157" s="9"/>
      <c r="R1157" s="67"/>
      <c r="S1157" s="9"/>
    </row>
    <row r="1158" spans="1:19" ht="15" customHeight="1" x14ac:dyDescent="0.25">
      <c r="A1158" s="14"/>
      <c r="B1158" s="28" t="str">
        <f>IF(ISNUMBER(MATCH(C1158, Mgt_Unit!$C$5:$C$1018, 0)), INDEX(Mgt_Unit!$B$5:$B$1018, MATCH(C1158, Mgt_Unit!$C$5:$C$1018, 0)), "")</f>
        <v>jennifer.moore</v>
      </c>
      <c r="C1158" t="s">
        <v>960</v>
      </c>
      <c r="D1158" s="65"/>
      <c r="E1158">
        <v>3</v>
      </c>
      <c r="F1158" t="s">
        <v>1537</v>
      </c>
      <c r="G1158" t="s">
        <v>1536</v>
      </c>
      <c r="H1158" t="s">
        <v>441</v>
      </c>
      <c r="I1158" t="s">
        <v>28</v>
      </c>
      <c r="J1158" s="89">
        <v>42298</v>
      </c>
      <c r="K1158" s="89">
        <v>42927</v>
      </c>
      <c r="L1158"/>
      <c r="M1158" s="31">
        <v>90</v>
      </c>
      <c r="N1158" s="9"/>
      <c r="O1158" s="33"/>
      <c r="P1158" s="33"/>
      <c r="Q1158" s="9"/>
      <c r="R1158" s="67"/>
      <c r="S1158" s="9"/>
    </row>
    <row r="1159" spans="1:19" ht="15" customHeight="1" x14ac:dyDescent="0.25">
      <c r="A1159" s="14"/>
      <c r="B1159" s="28" t="str">
        <f>IF(ISNUMBER(MATCH(C1159, Mgt_Unit!$C$5:$C$1018, 0)), INDEX(Mgt_Unit!$B$5:$B$1018, MATCH(C1159, Mgt_Unit!$C$5:$C$1018, 0)), "")</f>
        <v>jennifer.moore</v>
      </c>
      <c r="C1159" t="s">
        <v>960</v>
      </c>
      <c r="D1159" s="65"/>
      <c r="E1159">
        <v>3</v>
      </c>
      <c r="F1159" t="s">
        <v>1537</v>
      </c>
      <c r="G1159" t="s">
        <v>1536</v>
      </c>
      <c r="H1159" t="s">
        <v>442</v>
      </c>
      <c r="I1159" t="s">
        <v>190</v>
      </c>
      <c r="J1159" s="89">
        <v>42298</v>
      </c>
      <c r="K1159" s="89">
        <v>42927</v>
      </c>
      <c r="L1159" s="89"/>
      <c r="M1159" s="31">
        <v>90</v>
      </c>
      <c r="N1159" s="9"/>
      <c r="O1159" s="33"/>
      <c r="P1159" s="33"/>
      <c r="Q1159" s="9"/>
      <c r="R1159" s="67"/>
      <c r="S1159" s="9"/>
    </row>
    <row r="1160" spans="1:19" ht="15" customHeight="1" x14ac:dyDescent="0.25">
      <c r="A1160" s="14"/>
      <c r="B1160" s="28" t="str">
        <f>IF(ISNUMBER(MATCH(C1160, Mgt_Unit!$C$5:$C$1018, 0)), INDEX(Mgt_Unit!$B$5:$B$1018, MATCH(C1160, Mgt_Unit!$C$5:$C$1018, 0)), "")</f>
        <v>jennifer.moore</v>
      </c>
      <c r="C1160" t="s">
        <v>960</v>
      </c>
      <c r="D1160" s="65"/>
      <c r="E1160">
        <v>3</v>
      </c>
      <c r="F1160" t="s">
        <v>1537</v>
      </c>
      <c r="G1160" t="s">
        <v>1536</v>
      </c>
      <c r="H1160" t="s">
        <v>441</v>
      </c>
      <c r="I1160" t="s">
        <v>28</v>
      </c>
      <c r="J1160" s="89"/>
      <c r="K1160" s="89">
        <v>43005</v>
      </c>
      <c r="L1160" s="89"/>
      <c r="M1160" s="31">
        <v>90</v>
      </c>
      <c r="N1160" s="9"/>
      <c r="O1160" s="33"/>
      <c r="P1160" s="33"/>
      <c r="Q1160" s="9"/>
      <c r="R1160" s="67"/>
      <c r="S1160" s="9"/>
    </row>
    <row r="1161" spans="1:19" ht="15" customHeight="1" x14ac:dyDescent="0.25">
      <c r="A1161" s="14"/>
      <c r="B1161" s="28" t="str">
        <f>IF(ISNUMBER(MATCH(C1161, Mgt_Unit!$C$5:$C$1018, 0)), INDEX(Mgt_Unit!$B$5:$B$1018, MATCH(C1161, Mgt_Unit!$C$5:$C$1018, 0)), "")</f>
        <v>jennifer.moore</v>
      </c>
      <c r="C1161" t="s">
        <v>960</v>
      </c>
      <c r="D1161" s="65"/>
      <c r="E1161">
        <v>3</v>
      </c>
      <c r="F1161" t="s">
        <v>1537</v>
      </c>
      <c r="G1161" t="s">
        <v>1536</v>
      </c>
      <c r="H1161" t="s">
        <v>442</v>
      </c>
      <c r="I1161" t="s">
        <v>190</v>
      </c>
      <c r="J1161" s="89"/>
      <c r="K1161" s="89">
        <v>43005</v>
      </c>
      <c r="L1161" s="89"/>
      <c r="M1161" s="31">
        <v>90</v>
      </c>
      <c r="N1161" s="9"/>
      <c r="O1161" s="33"/>
      <c r="P1161" s="33"/>
      <c r="Q1161" s="9"/>
      <c r="R1161" s="67"/>
      <c r="S1161" s="9"/>
    </row>
    <row r="1162" spans="1:19" ht="15" customHeight="1" x14ac:dyDescent="0.25">
      <c r="A1162" s="14"/>
      <c r="B1162" s="28" t="str">
        <f>IF(ISNUMBER(MATCH(C1162, Mgt_Unit!$C$5:$C$1018, 0)), INDEX(Mgt_Unit!$B$5:$B$1018, MATCH(C1162, Mgt_Unit!$C$5:$C$1018, 0)), "")</f>
        <v>jennifer.moore</v>
      </c>
      <c r="C1162" t="s">
        <v>960</v>
      </c>
      <c r="D1162" s="65"/>
      <c r="E1162">
        <v>3</v>
      </c>
      <c r="F1162" t="s">
        <v>1537</v>
      </c>
      <c r="G1162" t="s">
        <v>1536</v>
      </c>
      <c r="H1162" t="s">
        <v>441</v>
      </c>
      <c r="I1162" t="s">
        <v>28</v>
      </c>
      <c r="J1162" s="89"/>
      <c r="K1162" s="89">
        <v>43266</v>
      </c>
      <c r="L1162" s="89">
        <v>43565</v>
      </c>
      <c r="M1162" s="31">
        <v>90</v>
      </c>
      <c r="N1162" s="9"/>
      <c r="O1162" s="33"/>
      <c r="P1162" s="33"/>
      <c r="Q1162" s="9"/>
      <c r="R1162" s="67"/>
      <c r="S1162" s="9"/>
    </row>
    <row r="1163" spans="1:19" ht="15" customHeight="1" x14ac:dyDescent="0.25">
      <c r="A1163" s="14"/>
      <c r="B1163" s="28" t="str">
        <f>IF(ISNUMBER(MATCH(C1163, Mgt_Unit!$C$5:$C$1018, 0)), INDEX(Mgt_Unit!$B$5:$B$1018, MATCH(C1163, Mgt_Unit!$C$5:$C$1018, 0)), "")</f>
        <v>jennifer.moore</v>
      </c>
      <c r="C1163" t="s">
        <v>960</v>
      </c>
      <c r="D1163" s="65"/>
      <c r="E1163">
        <v>3</v>
      </c>
      <c r="F1163" t="s">
        <v>1537</v>
      </c>
      <c r="G1163" t="s">
        <v>1536</v>
      </c>
      <c r="H1163" t="s">
        <v>442</v>
      </c>
      <c r="I1163" t="s">
        <v>190</v>
      </c>
      <c r="J1163" s="89"/>
      <c r="K1163" s="89">
        <v>43266</v>
      </c>
      <c r="L1163" s="89">
        <v>43565</v>
      </c>
      <c r="M1163" s="31">
        <v>90</v>
      </c>
      <c r="N1163" s="9"/>
      <c r="O1163" s="33"/>
      <c r="P1163" s="33"/>
      <c r="Q1163" s="9"/>
      <c r="R1163" s="67"/>
      <c r="S1163" s="9"/>
    </row>
    <row r="1164" spans="1:19" ht="15" customHeight="1" x14ac:dyDescent="0.25">
      <c r="A1164" s="14"/>
      <c r="B1164" s="28" t="str">
        <f>IF(ISNUMBER(MATCH(C1164, Mgt_Unit!$C$5:$C$1018, 0)), INDEX(Mgt_Unit!$B$5:$B$1018, MATCH(C1164, Mgt_Unit!$C$5:$C$1018, 0)), "")</f>
        <v>jennifer.moore</v>
      </c>
      <c r="C1164" t="s">
        <v>960</v>
      </c>
      <c r="D1164" s="65"/>
      <c r="E1164">
        <v>4</v>
      </c>
      <c r="F1164" t="s">
        <v>1538</v>
      </c>
      <c r="G1164" t="s">
        <v>1544</v>
      </c>
      <c r="H1164" t="s">
        <v>50</v>
      </c>
      <c r="I1164" t="s">
        <v>87</v>
      </c>
      <c r="J1164" s="89">
        <v>43595</v>
      </c>
      <c r="K1164" s="89">
        <v>43732</v>
      </c>
      <c r="L1164"/>
      <c r="M1164" s="31">
        <v>0</v>
      </c>
      <c r="N1164" s="9"/>
      <c r="O1164" s="33"/>
      <c r="P1164" s="33"/>
      <c r="Q1164" s="9"/>
      <c r="R1164" s="67"/>
      <c r="S1164" s="9"/>
    </row>
    <row r="1165" spans="1:19" ht="15" customHeight="1" x14ac:dyDescent="0.25">
      <c r="A1165" s="14"/>
      <c r="B1165" s="28" t="str">
        <f>IF(ISNUMBER(MATCH(C1165, Mgt_Unit!$C$5:$C$1018, 0)), INDEX(Mgt_Unit!$B$5:$B$1018, MATCH(C1165, Mgt_Unit!$C$5:$C$1018, 0)), "")</f>
        <v>jennifer.moore</v>
      </c>
      <c r="C1165" t="s">
        <v>960</v>
      </c>
      <c r="D1165" s="65"/>
      <c r="E1165">
        <v>5</v>
      </c>
      <c r="F1165" t="s">
        <v>1538</v>
      </c>
      <c r="G1165" t="s">
        <v>1544</v>
      </c>
      <c r="H1165" t="s">
        <v>441</v>
      </c>
      <c r="I1165" t="s">
        <v>27</v>
      </c>
      <c r="J1165" s="89">
        <v>43785</v>
      </c>
      <c r="K1165" s="89">
        <v>43995</v>
      </c>
      <c r="L1165"/>
      <c r="M1165" s="31">
        <v>0</v>
      </c>
      <c r="N1165" s="9"/>
      <c r="O1165" s="33"/>
      <c r="P1165" s="33"/>
      <c r="Q1165" s="9"/>
      <c r="R1165" s="67"/>
      <c r="S1165" s="9"/>
    </row>
    <row r="1166" spans="1:19" ht="15" customHeight="1" x14ac:dyDescent="0.25">
      <c r="A1166" s="14"/>
      <c r="B1166" s="28" t="str">
        <f>IF(ISNUMBER(MATCH(C1166, Mgt_Unit!$C$5:$C$1018, 0)), INDEX(Mgt_Unit!$B$5:$B$1018, MATCH(C1166, Mgt_Unit!$C$5:$C$1018, 0)), "")</f>
        <v>jennifer.moore</v>
      </c>
      <c r="C1166" t="s">
        <v>960</v>
      </c>
      <c r="D1166" s="65"/>
      <c r="E1166">
        <v>6</v>
      </c>
      <c r="F1166" t="s">
        <v>1538</v>
      </c>
      <c r="G1166" t="s">
        <v>1544</v>
      </c>
      <c r="H1166" t="s">
        <v>51</v>
      </c>
      <c r="I1166" t="s">
        <v>137</v>
      </c>
      <c r="J1166" s="89">
        <v>44011</v>
      </c>
      <c r="K1166" s="89">
        <v>44157</v>
      </c>
      <c r="L1166"/>
      <c r="M1166" s="31">
        <v>0</v>
      </c>
      <c r="N1166" s="9"/>
      <c r="O1166" s="33"/>
      <c r="P1166" s="33"/>
      <c r="Q1166" s="9"/>
      <c r="R1166" s="67"/>
      <c r="S1166" s="9"/>
    </row>
    <row r="1167" spans="1:19" ht="15" customHeight="1" x14ac:dyDescent="0.25">
      <c r="A1167" s="14"/>
      <c r="B1167" s="28" t="str">
        <f>IF(ISNUMBER(MATCH(C1167, Mgt_Unit!$C$5:$C$1018, 0)), INDEX(Mgt_Unit!$B$5:$B$1018, MATCH(C1167, Mgt_Unit!$C$5:$C$1018, 0)), "")</f>
        <v>jennifer.moore</v>
      </c>
      <c r="C1167" t="s">
        <v>960</v>
      </c>
      <c r="D1167" s="65"/>
      <c r="E1167">
        <v>7</v>
      </c>
      <c r="F1167" t="s">
        <v>1538</v>
      </c>
      <c r="G1167" t="s">
        <v>1535</v>
      </c>
      <c r="H1167" t="s">
        <v>441</v>
      </c>
      <c r="I1167" t="s">
        <v>124</v>
      </c>
      <c r="J1167" s="89">
        <v>44163</v>
      </c>
      <c r="K1167"/>
      <c r="L1167" s="89">
        <v>44304</v>
      </c>
      <c r="M1167" s="31">
        <v>0</v>
      </c>
      <c r="N1167" s="9"/>
      <c r="O1167" s="33"/>
      <c r="P1167" s="33"/>
      <c r="Q1167" s="9"/>
      <c r="R1167" s="67"/>
      <c r="S1167" s="9"/>
    </row>
    <row r="1168" spans="1:19" ht="15" customHeight="1" x14ac:dyDescent="0.25">
      <c r="A1168" s="14"/>
      <c r="B1168" s="28" t="str">
        <f>IF(ISNUMBER(MATCH(C1168, Mgt_Unit!$C$5:$C$1018, 0)), INDEX(Mgt_Unit!$B$5:$B$1018, MATCH(C1168, Mgt_Unit!$C$5:$C$1018, 0)), "")</f>
        <v>jennifer.moore</v>
      </c>
      <c r="C1168" t="s">
        <v>960</v>
      </c>
      <c r="D1168" s="65"/>
      <c r="E1168">
        <v>8</v>
      </c>
      <c r="F1168" t="s">
        <v>1538</v>
      </c>
      <c r="G1168" t="s">
        <v>1544</v>
      </c>
      <c r="H1168" t="s">
        <v>50</v>
      </c>
      <c r="I1168" t="s">
        <v>175</v>
      </c>
      <c r="J1168" s="89">
        <v>44354</v>
      </c>
      <c r="K1168" s="89">
        <v>44474</v>
      </c>
      <c r="L1168"/>
      <c r="M1168" s="31">
        <v>0</v>
      </c>
      <c r="N1168" s="9"/>
      <c r="O1168" s="33"/>
      <c r="P1168" s="33"/>
      <c r="Q1168" s="9"/>
      <c r="R1168" s="67"/>
      <c r="S1168" s="9"/>
    </row>
    <row r="1169" spans="1:19" ht="15" customHeight="1" x14ac:dyDescent="0.25">
      <c r="A1169" s="14"/>
      <c r="B1169" s="28" t="str">
        <f>IF(ISNUMBER(MATCH(C1169, Mgt_Unit!$C$5:$C$1018, 0)), INDEX(Mgt_Unit!$B$5:$B$1018, MATCH(C1169, Mgt_Unit!$C$5:$C$1018, 0)), "")</f>
        <v>jennifer.moore</v>
      </c>
      <c r="C1169" s="87" t="s">
        <v>960</v>
      </c>
      <c r="D1169" s="65"/>
      <c r="E1169" s="87">
        <v>9</v>
      </c>
      <c r="F1169" s="87" t="s">
        <v>1538</v>
      </c>
      <c r="G1169" s="87" t="s">
        <v>1535</v>
      </c>
      <c r="H1169" s="87" t="s">
        <v>441</v>
      </c>
      <c r="I1169" s="87" t="s">
        <v>124</v>
      </c>
      <c r="J1169" s="90">
        <v>44536</v>
      </c>
      <c r="K1169" s="87"/>
      <c r="L1169" s="87"/>
      <c r="M1169" s="93"/>
      <c r="N1169" s="9"/>
      <c r="O1169" s="33"/>
      <c r="P1169" s="33"/>
      <c r="Q1169" s="9"/>
      <c r="R1169" s="67"/>
      <c r="S1169" s="9"/>
    </row>
    <row r="1170" spans="1:19" ht="15" customHeight="1" x14ac:dyDescent="0.25">
      <c r="A1170" s="14"/>
      <c r="B1170" s="28" t="str">
        <f>IF(ISNUMBER(MATCH(C1170, Mgt_Unit!$C$5:$C$1018, 0)), INDEX(Mgt_Unit!$B$5:$B$1018, MATCH(C1170, Mgt_Unit!$C$5:$C$1018, 0)), "")</f>
        <v>jennifer.moore</v>
      </c>
      <c r="C1170" t="s">
        <v>961</v>
      </c>
      <c r="D1170" s="65"/>
      <c r="E1170">
        <v>1</v>
      </c>
      <c r="F1170" t="s">
        <v>1538</v>
      </c>
      <c r="G1170" t="s">
        <v>1535</v>
      </c>
      <c r="H1170" t="s">
        <v>441</v>
      </c>
      <c r="I1170" t="s">
        <v>124</v>
      </c>
      <c r="J1170"/>
      <c r="K1170" s="89"/>
      <c r="L1170" s="89">
        <v>42100</v>
      </c>
      <c r="M1170" s="31">
        <v>0</v>
      </c>
      <c r="N1170" s="9"/>
      <c r="O1170" s="33"/>
      <c r="P1170" s="33"/>
      <c r="Q1170" s="9"/>
      <c r="R1170" s="67"/>
      <c r="S1170" s="9"/>
    </row>
    <row r="1171" spans="1:19" ht="15" customHeight="1" x14ac:dyDescent="0.25">
      <c r="A1171" s="14"/>
      <c r="B1171" s="28" t="str">
        <f>IF(ISNUMBER(MATCH(C1171, Mgt_Unit!$C$5:$C$1018, 0)), INDEX(Mgt_Unit!$B$5:$B$1018, MATCH(C1171, Mgt_Unit!$C$5:$C$1018, 0)), "")</f>
        <v>jennifer.moore</v>
      </c>
      <c r="C1171" t="s">
        <v>961</v>
      </c>
      <c r="D1171" s="65"/>
      <c r="E1171">
        <v>2</v>
      </c>
      <c r="F1171" t="s">
        <v>1538</v>
      </c>
      <c r="G1171" t="s">
        <v>1544</v>
      </c>
      <c r="H1171" t="s">
        <v>50</v>
      </c>
      <c r="I1171" t="s">
        <v>87</v>
      </c>
      <c r="J1171" s="89">
        <v>42117</v>
      </c>
      <c r="K1171" s="89">
        <v>42249</v>
      </c>
      <c r="L1171"/>
      <c r="M1171" s="31">
        <v>0</v>
      </c>
      <c r="N1171" s="9"/>
      <c r="O1171" s="33"/>
      <c r="P1171" s="33"/>
      <c r="Q1171" s="9"/>
      <c r="R1171" s="67"/>
      <c r="S1171" s="9"/>
    </row>
    <row r="1172" spans="1:19" ht="15" customHeight="1" x14ac:dyDescent="0.25">
      <c r="A1172" s="14"/>
      <c r="B1172" s="28" t="str">
        <f>IF(ISNUMBER(MATCH(C1172, Mgt_Unit!$C$5:$C$1018, 0)), INDEX(Mgt_Unit!$B$5:$B$1018, MATCH(C1172, Mgt_Unit!$C$5:$C$1018, 0)), "")</f>
        <v>jennifer.moore</v>
      </c>
      <c r="C1172" t="s">
        <v>961</v>
      </c>
      <c r="D1172" s="65"/>
      <c r="E1172">
        <v>3</v>
      </c>
      <c r="F1172" t="s">
        <v>1538</v>
      </c>
      <c r="G1172" t="s">
        <v>1535</v>
      </c>
      <c r="H1172" t="s">
        <v>441</v>
      </c>
      <c r="I1172" t="s">
        <v>27</v>
      </c>
      <c r="J1172" s="89">
        <v>42354</v>
      </c>
      <c r="K1172"/>
      <c r="L1172" s="89">
        <v>42467</v>
      </c>
      <c r="M1172" s="31">
        <v>0</v>
      </c>
      <c r="N1172" s="9"/>
      <c r="O1172" s="33"/>
      <c r="P1172" s="33"/>
      <c r="Q1172" s="9"/>
      <c r="R1172" s="67"/>
      <c r="S1172" s="9"/>
    </row>
    <row r="1173" spans="1:19" ht="15" customHeight="1" x14ac:dyDescent="0.25">
      <c r="A1173" s="14"/>
      <c r="B1173" s="28" t="str">
        <f>IF(ISNUMBER(MATCH(C1173, Mgt_Unit!$C$5:$C$1018, 0)), INDEX(Mgt_Unit!$B$5:$B$1018, MATCH(C1173, Mgt_Unit!$C$5:$C$1018, 0)), "")</f>
        <v>jennifer.moore</v>
      </c>
      <c r="C1173" t="s">
        <v>961</v>
      </c>
      <c r="D1173" s="65"/>
      <c r="E1173">
        <v>4</v>
      </c>
      <c r="F1173" t="s">
        <v>1537</v>
      </c>
      <c r="G1173" t="s">
        <v>1536</v>
      </c>
      <c r="H1173" t="s">
        <v>1549</v>
      </c>
      <c r="I1173" t="s">
        <v>1554</v>
      </c>
      <c r="J1173" s="89">
        <v>42516</v>
      </c>
      <c r="K1173"/>
      <c r="L1173" s="89">
        <v>44662</v>
      </c>
      <c r="M1173" s="31">
        <v>0</v>
      </c>
      <c r="N1173" s="9"/>
      <c r="O1173" s="33"/>
      <c r="P1173" s="33"/>
      <c r="Q1173" s="9"/>
      <c r="R1173" s="67"/>
      <c r="S1173" s="9"/>
    </row>
    <row r="1174" spans="1:19" ht="15" customHeight="1" x14ac:dyDescent="0.25">
      <c r="A1174" s="14"/>
      <c r="B1174" s="28" t="str">
        <f>IF(ISNUMBER(MATCH(C1174, Mgt_Unit!$C$5:$C$1018, 0)), INDEX(Mgt_Unit!$B$5:$B$1018, MATCH(C1174, Mgt_Unit!$C$5:$C$1018, 0)), "")</f>
        <v>jennifer.moore</v>
      </c>
      <c r="C1174" t="s">
        <v>961</v>
      </c>
      <c r="D1174" s="65"/>
      <c r="E1174">
        <v>5</v>
      </c>
      <c r="F1174" t="s">
        <v>1538</v>
      </c>
      <c r="G1174" t="s">
        <v>1544</v>
      </c>
      <c r="H1174" t="s">
        <v>50</v>
      </c>
      <c r="I1174" t="s">
        <v>87</v>
      </c>
      <c r="J1174" s="89">
        <v>44673</v>
      </c>
      <c r="K1174" s="89">
        <v>44812</v>
      </c>
      <c r="L1174"/>
      <c r="M1174" s="31">
        <v>0</v>
      </c>
      <c r="N1174" s="9"/>
      <c r="O1174" s="33"/>
      <c r="P1174" s="33"/>
      <c r="Q1174" s="9"/>
      <c r="R1174" s="67"/>
      <c r="S1174" s="9"/>
    </row>
    <row r="1175" spans="1:19" ht="15" customHeight="1" x14ac:dyDescent="0.25">
      <c r="A1175" s="14"/>
      <c r="B1175" s="28" t="str">
        <f>IF(ISNUMBER(MATCH(C1175, Mgt_Unit!$C$5:$C$1018, 0)), INDEX(Mgt_Unit!$B$5:$B$1018, MATCH(C1175, Mgt_Unit!$C$5:$C$1018, 0)), "")</f>
        <v>jennifer.moore</v>
      </c>
      <c r="C1175" t="s">
        <v>961</v>
      </c>
      <c r="D1175" s="65"/>
      <c r="E1175">
        <v>6</v>
      </c>
      <c r="F1175" t="s">
        <v>1538</v>
      </c>
      <c r="G1175" t="s">
        <v>1544</v>
      </c>
      <c r="H1175" t="s">
        <v>441</v>
      </c>
      <c r="I1175" t="s">
        <v>27</v>
      </c>
      <c r="J1175" s="89">
        <v>44872</v>
      </c>
      <c r="K1175" s="89">
        <v>45089</v>
      </c>
      <c r="L1175"/>
      <c r="M1175" s="31">
        <v>0</v>
      </c>
      <c r="N1175" s="9"/>
      <c r="O1175" s="33"/>
      <c r="P1175" s="33"/>
      <c r="Q1175" s="9"/>
      <c r="R1175" s="67"/>
      <c r="S1175" s="9"/>
    </row>
    <row r="1176" spans="1:19" ht="15" customHeight="1" x14ac:dyDescent="0.25">
      <c r="A1176" s="14"/>
      <c r="B1176" s="28" t="str">
        <f>IF(ISNUMBER(MATCH(C1176, Mgt_Unit!$C$5:$C$1018, 0)), INDEX(Mgt_Unit!$B$5:$B$1018, MATCH(C1176, Mgt_Unit!$C$5:$C$1018, 0)), "")</f>
        <v>jennifer.moore</v>
      </c>
      <c r="C1176" t="s">
        <v>961</v>
      </c>
      <c r="D1176" s="65"/>
      <c r="E1176">
        <v>7</v>
      </c>
      <c r="F1176" t="s">
        <v>1538</v>
      </c>
      <c r="G1176" t="s">
        <v>1544</v>
      </c>
      <c r="H1176" t="s">
        <v>51</v>
      </c>
      <c r="I1176" t="s">
        <v>137</v>
      </c>
      <c r="J1176" s="89">
        <v>45105</v>
      </c>
      <c r="K1176" s="89">
        <v>45251</v>
      </c>
      <c r="L1176"/>
      <c r="M1176" s="31">
        <v>0</v>
      </c>
      <c r="N1176" s="9"/>
      <c r="O1176" s="33"/>
      <c r="P1176" s="33"/>
      <c r="Q1176" s="9"/>
      <c r="R1176" s="67"/>
      <c r="S1176" s="9"/>
    </row>
    <row r="1177" spans="1:19" ht="15" customHeight="1" x14ac:dyDescent="0.25">
      <c r="A1177" s="14"/>
      <c r="B1177" s="28" t="str">
        <f>IF(ISNUMBER(MATCH(C1177, Mgt_Unit!$C$5:$C$1018, 0)), INDEX(Mgt_Unit!$B$5:$B$1018, MATCH(C1177, Mgt_Unit!$C$5:$C$1018, 0)), "")</f>
        <v>jennifer.moore</v>
      </c>
      <c r="C1177" t="s">
        <v>961</v>
      </c>
      <c r="D1177" s="65"/>
      <c r="E1177">
        <v>8</v>
      </c>
      <c r="F1177" t="s">
        <v>1538</v>
      </c>
      <c r="G1177" t="s">
        <v>1535</v>
      </c>
      <c r="H1177" t="s">
        <v>441</v>
      </c>
      <c r="I1177" t="s">
        <v>124</v>
      </c>
      <c r="J1177" s="89">
        <v>45258</v>
      </c>
      <c r="K1177"/>
      <c r="L1177" s="89">
        <v>45412</v>
      </c>
      <c r="M1177" s="31">
        <v>0</v>
      </c>
      <c r="N1177" s="9"/>
      <c r="O1177" s="33"/>
      <c r="P1177" s="33"/>
      <c r="Q1177" s="9"/>
      <c r="R1177" s="67"/>
      <c r="S1177" s="9"/>
    </row>
    <row r="1178" spans="1:19" ht="15" customHeight="1" x14ac:dyDescent="0.25">
      <c r="A1178" s="14"/>
      <c r="B1178" s="28" t="str">
        <f>IF(ISNUMBER(MATCH(C1178, Mgt_Unit!$C$5:$C$1018, 0)), INDEX(Mgt_Unit!$B$5:$B$1018, MATCH(C1178, Mgt_Unit!$C$5:$C$1018, 0)), "")</f>
        <v>jennifer.moore</v>
      </c>
      <c r="C1178" t="s">
        <v>961</v>
      </c>
      <c r="D1178" s="65"/>
      <c r="E1178">
        <v>9</v>
      </c>
      <c r="F1178" t="s">
        <v>1538</v>
      </c>
      <c r="G1178" t="s">
        <v>1544</v>
      </c>
      <c r="H1178" t="s">
        <v>50</v>
      </c>
      <c r="I1178" t="s">
        <v>175</v>
      </c>
      <c r="J1178" s="89">
        <v>45451</v>
      </c>
      <c r="K1178" s="89">
        <v>45570</v>
      </c>
      <c r="L1178"/>
      <c r="M1178" s="31">
        <v>0</v>
      </c>
      <c r="N1178" s="9"/>
      <c r="O1178" s="33"/>
      <c r="P1178" s="33"/>
      <c r="Q1178" s="9"/>
      <c r="R1178" s="67"/>
      <c r="S1178" s="9"/>
    </row>
    <row r="1179" spans="1:19" ht="15" customHeight="1" x14ac:dyDescent="0.25">
      <c r="A1179" s="14"/>
      <c r="B1179" s="28" t="str">
        <f>IF(ISNUMBER(MATCH(C1179, Mgt_Unit!$C$5:$C$1018, 0)), INDEX(Mgt_Unit!$B$5:$B$1018, MATCH(C1179, Mgt_Unit!$C$5:$C$1018, 0)), "")</f>
        <v>jennifer.moore</v>
      </c>
      <c r="C1179" t="s">
        <v>961</v>
      </c>
      <c r="D1179" s="65"/>
      <c r="E1179">
        <v>10</v>
      </c>
      <c r="F1179" t="s">
        <v>1538</v>
      </c>
      <c r="G1179" t="s">
        <v>1535</v>
      </c>
      <c r="H1179" t="s">
        <v>441</v>
      </c>
      <c r="I1179" t="s">
        <v>124</v>
      </c>
      <c r="J1179" s="89">
        <v>45639</v>
      </c>
      <c r="K1179"/>
      <c r="L1179" s="89">
        <v>45757</v>
      </c>
      <c r="M1179" s="31">
        <v>0</v>
      </c>
      <c r="N1179" s="9"/>
      <c r="O1179" s="33"/>
      <c r="P1179" s="33"/>
      <c r="Q1179" s="9"/>
      <c r="R1179" s="67"/>
      <c r="S1179" s="9"/>
    </row>
    <row r="1180" spans="1:19" ht="15" customHeight="1" x14ac:dyDescent="0.25">
      <c r="A1180" s="14"/>
      <c r="B1180" s="28" t="str">
        <f>IF(ISNUMBER(MATCH(C1180, Mgt_Unit!$C$5:$C$1018, 0)), INDEX(Mgt_Unit!$B$5:$B$1018, MATCH(C1180, Mgt_Unit!$C$5:$C$1018, 0)), "")</f>
        <v>jennifer.moore</v>
      </c>
      <c r="C1180" t="s">
        <v>961</v>
      </c>
      <c r="D1180" s="65"/>
      <c r="E1180">
        <v>11</v>
      </c>
      <c r="F1180" t="s">
        <v>1538</v>
      </c>
      <c r="G1180" t="s">
        <v>1544</v>
      </c>
      <c r="H1180" t="s">
        <v>50</v>
      </c>
      <c r="I1180" t="s">
        <v>87</v>
      </c>
      <c r="J1180" s="89">
        <v>45790</v>
      </c>
      <c r="K1180" s="89">
        <v>45924</v>
      </c>
      <c r="L1180"/>
      <c r="M1180" s="31">
        <v>0</v>
      </c>
      <c r="N1180" s="9"/>
      <c r="O1180" s="33"/>
      <c r="P1180" s="33"/>
      <c r="Q1180" s="9"/>
      <c r="R1180" s="67"/>
      <c r="S1180" s="9"/>
    </row>
    <row r="1181" spans="1:19" ht="15" customHeight="1" x14ac:dyDescent="0.25">
      <c r="A1181" s="14"/>
      <c r="B1181" s="28" t="str">
        <f>IF(ISNUMBER(MATCH(C1181, Mgt_Unit!$C$5:$C$1018, 0)), INDEX(Mgt_Unit!$B$5:$B$1018, MATCH(C1181, Mgt_Unit!$C$5:$C$1018, 0)), "")</f>
        <v>jennifer.moore</v>
      </c>
      <c r="C1181" t="s">
        <v>961</v>
      </c>
      <c r="D1181" s="65"/>
      <c r="E1181">
        <v>12</v>
      </c>
      <c r="F1181" t="s">
        <v>1538</v>
      </c>
      <c r="G1181" t="s">
        <v>1544</v>
      </c>
      <c r="H1181" t="s">
        <v>441</v>
      </c>
      <c r="I1181" t="s">
        <v>27</v>
      </c>
      <c r="J1181" s="89">
        <v>45977</v>
      </c>
      <c r="K1181" s="89">
        <v>46185</v>
      </c>
      <c r="L1181"/>
      <c r="M1181" s="31">
        <v>0</v>
      </c>
      <c r="N1181" s="9"/>
      <c r="O1181" s="33"/>
      <c r="P1181" s="33"/>
      <c r="Q1181" s="9"/>
      <c r="R1181" s="67"/>
      <c r="S1181" s="9"/>
    </row>
    <row r="1182" spans="1:19" ht="15" customHeight="1" x14ac:dyDescent="0.25">
      <c r="A1182" s="14"/>
      <c r="B1182" s="28" t="str">
        <f>IF(ISNUMBER(MATCH(C1182, Mgt_Unit!$C$5:$C$1018, 0)), INDEX(Mgt_Unit!$B$5:$B$1018, MATCH(C1182, Mgt_Unit!$C$5:$C$1018, 0)), "")</f>
        <v>jennifer.moore</v>
      </c>
      <c r="C1182" t="s">
        <v>961</v>
      </c>
      <c r="D1182" s="65"/>
      <c r="E1182">
        <v>13</v>
      </c>
      <c r="F1182" t="s">
        <v>1538</v>
      </c>
      <c r="G1182" t="s">
        <v>1544</v>
      </c>
      <c r="H1182" t="s">
        <v>51</v>
      </c>
      <c r="I1182" t="s">
        <v>137</v>
      </c>
      <c r="J1182" s="89">
        <v>46201</v>
      </c>
      <c r="K1182" s="89">
        <v>46347</v>
      </c>
      <c r="L1182"/>
      <c r="M1182" s="31">
        <v>0</v>
      </c>
      <c r="N1182" s="9"/>
      <c r="O1182" s="33"/>
      <c r="P1182" s="33"/>
      <c r="Q1182" s="9"/>
      <c r="R1182" s="67"/>
      <c r="S1182" s="9"/>
    </row>
    <row r="1183" spans="1:19" ht="15" customHeight="1" x14ac:dyDescent="0.25">
      <c r="A1183" s="14"/>
      <c r="B1183" s="28" t="str">
        <f>IF(ISNUMBER(MATCH(C1183, Mgt_Unit!$C$5:$C$1018, 0)), INDEX(Mgt_Unit!$B$5:$B$1018, MATCH(C1183, Mgt_Unit!$C$5:$C$1018, 0)), "")</f>
        <v>jennifer.moore</v>
      </c>
      <c r="C1183" s="87" t="s">
        <v>961</v>
      </c>
      <c r="D1183" s="65"/>
      <c r="E1183" s="87">
        <v>14</v>
      </c>
      <c r="F1183" s="87" t="s">
        <v>1538</v>
      </c>
      <c r="G1183" s="87" t="s">
        <v>1544</v>
      </c>
      <c r="H1183" s="87" t="s">
        <v>441</v>
      </c>
      <c r="I1183" s="87" t="s">
        <v>124</v>
      </c>
      <c r="J1183" s="90">
        <v>46354</v>
      </c>
      <c r="K1183" s="87"/>
      <c r="L1183" s="87"/>
      <c r="M1183" s="93"/>
      <c r="N1183" s="9"/>
      <c r="O1183" s="33"/>
      <c r="P1183" s="33"/>
      <c r="Q1183" s="9"/>
      <c r="R1183" s="67"/>
      <c r="S1183" s="9"/>
    </row>
    <row r="1184" spans="1:19" ht="15" customHeight="1" x14ac:dyDescent="0.25">
      <c r="A1184" s="14"/>
      <c r="B1184" s="28" t="str">
        <f>IF(ISNUMBER(MATCH(C1184, Mgt_Unit!$C$5:$C$1018, 0)), INDEX(Mgt_Unit!$B$5:$B$1018, MATCH(C1184, Mgt_Unit!$C$5:$C$1018, 0)), "")</f>
        <v>jennifer.moore</v>
      </c>
      <c r="C1184" t="s">
        <v>962</v>
      </c>
      <c r="D1184" s="65"/>
      <c r="E1184">
        <v>1</v>
      </c>
      <c r="F1184" t="s">
        <v>1538</v>
      </c>
      <c r="G1184" t="s">
        <v>1544</v>
      </c>
      <c r="H1184" t="s">
        <v>50</v>
      </c>
      <c r="I1184" t="s">
        <v>87</v>
      </c>
      <c r="J1184" s="89">
        <v>42482</v>
      </c>
      <c r="K1184" s="89">
        <v>42621</v>
      </c>
      <c r="L1184"/>
      <c r="M1184" s="31">
        <v>0</v>
      </c>
      <c r="N1184" s="9"/>
      <c r="O1184" s="33"/>
      <c r="P1184" s="33"/>
      <c r="Q1184" s="9"/>
      <c r="R1184" s="67"/>
      <c r="S1184" s="9"/>
    </row>
    <row r="1185" spans="1:19" ht="15" customHeight="1" x14ac:dyDescent="0.25">
      <c r="A1185" s="14"/>
      <c r="B1185" s="28" t="str">
        <f>IF(ISNUMBER(MATCH(C1185, Mgt_Unit!$C$5:$C$1018, 0)), INDEX(Mgt_Unit!$B$5:$B$1018, MATCH(C1185, Mgt_Unit!$C$5:$C$1018, 0)), "")</f>
        <v>jennifer.moore</v>
      </c>
      <c r="C1185" t="s">
        <v>962</v>
      </c>
      <c r="D1185" s="65"/>
      <c r="E1185">
        <v>2</v>
      </c>
      <c r="F1185" t="s">
        <v>1538</v>
      </c>
      <c r="G1185" t="s">
        <v>1544</v>
      </c>
      <c r="H1185" t="s">
        <v>441</v>
      </c>
      <c r="I1185" t="s">
        <v>27</v>
      </c>
      <c r="J1185" s="89">
        <v>42681</v>
      </c>
      <c r="K1185" s="89">
        <v>42898</v>
      </c>
      <c r="L1185"/>
      <c r="M1185" s="31">
        <v>0</v>
      </c>
      <c r="N1185" s="9"/>
      <c r="O1185" s="33"/>
      <c r="P1185" s="33"/>
      <c r="Q1185" s="9"/>
      <c r="R1185" s="67"/>
      <c r="S1185" s="9"/>
    </row>
    <row r="1186" spans="1:19" ht="15" customHeight="1" x14ac:dyDescent="0.25">
      <c r="A1186" s="14"/>
      <c r="B1186" s="28" t="str">
        <f>IF(ISNUMBER(MATCH(C1186, Mgt_Unit!$C$5:$C$1018, 0)), INDEX(Mgt_Unit!$B$5:$B$1018, MATCH(C1186, Mgt_Unit!$C$5:$C$1018, 0)), "")</f>
        <v>jennifer.moore</v>
      </c>
      <c r="C1186" t="s">
        <v>962</v>
      </c>
      <c r="D1186" s="65"/>
      <c r="E1186">
        <v>3</v>
      </c>
      <c r="F1186" t="s">
        <v>1538</v>
      </c>
      <c r="G1186" t="s">
        <v>1544</v>
      </c>
      <c r="H1186" t="s">
        <v>51</v>
      </c>
      <c r="I1186" t="s">
        <v>137</v>
      </c>
      <c r="J1186" s="89">
        <v>42914</v>
      </c>
      <c r="K1186" s="89">
        <v>43060</v>
      </c>
      <c r="L1186"/>
      <c r="M1186" s="31">
        <v>0</v>
      </c>
      <c r="N1186" s="9"/>
      <c r="O1186" s="33"/>
      <c r="P1186" s="33"/>
      <c r="Q1186" s="9"/>
      <c r="R1186" s="67"/>
      <c r="S1186" s="9"/>
    </row>
    <row r="1187" spans="1:19" ht="15" customHeight="1" x14ac:dyDescent="0.25">
      <c r="A1187" s="14"/>
      <c r="B1187" s="28" t="str">
        <f>IF(ISNUMBER(MATCH(C1187, Mgt_Unit!$C$5:$C$1018, 0)), INDEX(Mgt_Unit!$B$5:$B$1018, MATCH(C1187, Mgt_Unit!$C$5:$C$1018, 0)), "")</f>
        <v>jennifer.moore</v>
      </c>
      <c r="C1187" t="s">
        <v>962</v>
      </c>
      <c r="D1187" s="65"/>
      <c r="E1187">
        <v>4</v>
      </c>
      <c r="F1187" t="s">
        <v>1538</v>
      </c>
      <c r="G1187" t="s">
        <v>1535</v>
      </c>
      <c r="H1187" t="s">
        <v>441</v>
      </c>
      <c r="I1187" t="s">
        <v>124</v>
      </c>
      <c r="J1187" s="89">
        <v>43067</v>
      </c>
      <c r="K1187"/>
      <c r="L1187" s="89">
        <v>43220</v>
      </c>
      <c r="M1187" s="31">
        <v>0</v>
      </c>
      <c r="N1187" s="9"/>
      <c r="O1187" s="33"/>
      <c r="P1187" s="33"/>
      <c r="Q1187" s="9"/>
      <c r="R1187" s="67"/>
      <c r="S1187" s="9"/>
    </row>
    <row r="1188" spans="1:19" ht="15" customHeight="1" x14ac:dyDescent="0.25">
      <c r="A1188" s="14"/>
      <c r="B1188" s="28" t="str">
        <f>IF(ISNUMBER(MATCH(C1188, Mgt_Unit!$C$5:$C$1018, 0)), INDEX(Mgt_Unit!$B$5:$B$1018, MATCH(C1188, Mgt_Unit!$C$5:$C$1018, 0)), "")</f>
        <v>jennifer.moore</v>
      </c>
      <c r="C1188" t="s">
        <v>962</v>
      </c>
      <c r="D1188" s="65"/>
      <c r="E1188">
        <v>5</v>
      </c>
      <c r="F1188" t="s">
        <v>1538</v>
      </c>
      <c r="G1188" t="s">
        <v>1544</v>
      </c>
      <c r="H1188" t="s">
        <v>50</v>
      </c>
      <c r="I1188" t="s">
        <v>175</v>
      </c>
      <c r="J1188" s="89">
        <v>43259</v>
      </c>
      <c r="K1188" s="89">
        <v>43378</v>
      </c>
      <c r="L1188"/>
      <c r="M1188" s="31">
        <v>0</v>
      </c>
      <c r="N1188" s="9"/>
      <c r="O1188" s="33"/>
      <c r="P1188" s="33"/>
      <c r="Q1188" s="9"/>
      <c r="R1188" s="67"/>
      <c r="S1188" s="9"/>
    </row>
    <row r="1189" spans="1:19" ht="15" customHeight="1" x14ac:dyDescent="0.25">
      <c r="A1189" s="14"/>
      <c r="B1189" s="28" t="str">
        <f>IF(ISNUMBER(MATCH(C1189, Mgt_Unit!$C$5:$C$1018, 0)), INDEX(Mgt_Unit!$B$5:$B$1018, MATCH(C1189, Mgt_Unit!$C$5:$C$1018, 0)), "")</f>
        <v>jennifer.moore</v>
      </c>
      <c r="C1189" t="s">
        <v>962</v>
      </c>
      <c r="D1189" s="65"/>
      <c r="E1189">
        <v>6</v>
      </c>
      <c r="F1189" t="s">
        <v>1538</v>
      </c>
      <c r="G1189" t="s">
        <v>1535</v>
      </c>
      <c r="H1189" t="s">
        <v>441</v>
      </c>
      <c r="I1189" t="s">
        <v>124</v>
      </c>
      <c r="J1189" s="89">
        <v>43447</v>
      </c>
      <c r="K1189"/>
      <c r="L1189" s="89">
        <v>43565</v>
      </c>
      <c r="M1189" s="31">
        <v>0</v>
      </c>
      <c r="N1189" s="9"/>
      <c r="O1189" s="33"/>
      <c r="P1189" s="33"/>
      <c r="Q1189" s="9"/>
      <c r="R1189" s="67"/>
      <c r="S1189" s="9"/>
    </row>
    <row r="1190" spans="1:19" ht="15" customHeight="1" x14ac:dyDescent="0.25">
      <c r="A1190" s="14"/>
      <c r="B1190" s="28" t="str">
        <f>IF(ISNUMBER(MATCH(C1190, Mgt_Unit!$C$5:$C$1018, 0)), INDEX(Mgt_Unit!$B$5:$B$1018, MATCH(C1190, Mgt_Unit!$C$5:$C$1018, 0)), "")</f>
        <v>jennifer.moore</v>
      </c>
      <c r="C1190" t="s">
        <v>962</v>
      </c>
      <c r="D1190" s="65"/>
      <c r="E1190">
        <v>7</v>
      </c>
      <c r="F1190" t="s">
        <v>1538</v>
      </c>
      <c r="G1190" t="s">
        <v>1544</v>
      </c>
      <c r="H1190" t="s">
        <v>50</v>
      </c>
      <c r="I1190" t="s">
        <v>87</v>
      </c>
      <c r="J1190" s="89">
        <v>43598</v>
      </c>
      <c r="K1190" s="89">
        <v>43732</v>
      </c>
      <c r="L1190"/>
      <c r="M1190" s="31">
        <v>0</v>
      </c>
      <c r="N1190" s="9"/>
      <c r="O1190" s="33"/>
      <c r="P1190" s="33"/>
      <c r="Q1190" s="9"/>
      <c r="R1190" s="67"/>
      <c r="S1190" s="9"/>
    </row>
    <row r="1191" spans="1:19" ht="15" customHeight="1" x14ac:dyDescent="0.25">
      <c r="A1191" s="14"/>
      <c r="B1191" s="28" t="str">
        <f>IF(ISNUMBER(MATCH(C1191, Mgt_Unit!$C$5:$C$1018, 0)), INDEX(Mgt_Unit!$B$5:$B$1018, MATCH(C1191, Mgt_Unit!$C$5:$C$1018, 0)), "")</f>
        <v>jennifer.moore</v>
      </c>
      <c r="C1191" t="s">
        <v>962</v>
      </c>
      <c r="D1191" s="65"/>
      <c r="E1191">
        <v>8</v>
      </c>
      <c r="F1191" t="s">
        <v>1538</v>
      </c>
      <c r="G1191" t="s">
        <v>1544</v>
      </c>
      <c r="H1191" t="s">
        <v>441</v>
      </c>
      <c r="I1191" t="s">
        <v>27</v>
      </c>
      <c r="J1191" s="89">
        <v>43785</v>
      </c>
      <c r="K1191" s="89">
        <v>43994</v>
      </c>
      <c r="L1191"/>
      <c r="M1191" s="31">
        <v>0</v>
      </c>
      <c r="N1191" s="9"/>
      <c r="O1191" s="33"/>
      <c r="P1191" s="33"/>
      <c r="Q1191" s="9"/>
      <c r="R1191" s="67"/>
      <c r="S1191" s="9"/>
    </row>
    <row r="1192" spans="1:19" ht="15" customHeight="1" x14ac:dyDescent="0.25">
      <c r="A1192" s="14"/>
      <c r="B1192" s="28" t="str">
        <f>IF(ISNUMBER(MATCH(C1192, Mgt_Unit!$C$5:$C$1018, 0)), INDEX(Mgt_Unit!$B$5:$B$1018, MATCH(C1192, Mgt_Unit!$C$5:$C$1018, 0)), "")</f>
        <v>jennifer.moore</v>
      </c>
      <c r="C1192" t="s">
        <v>962</v>
      </c>
      <c r="D1192" s="65"/>
      <c r="E1192">
        <v>9</v>
      </c>
      <c r="F1192" t="s">
        <v>1538</v>
      </c>
      <c r="G1192" t="s">
        <v>1544</v>
      </c>
      <c r="H1192" t="s">
        <v>51</v>
      </c>
      <c r="I1192" t="s">
        <v>137</v>
      </c>
      <c r="J1192" s="89">
        <v>44010</v>
      </c>
      <c r="K1192" s="89">
        <v>44156</v>
      </c>
      <c r="L1192"/>
      <c r="M1192" s="31">
        <v>0</v>
      </c>
      <c r="N1192" s="9"/>
      <c r="O1192" s="33"/>
      <c r="P1192" s="33"/>
      <c r="Q1192" s="9"/>
      <c r="R1192" s="67"/>
      <c r="S1192" s="9"/>
    </row>
    <row r="1193" spans="1:19" ht="15" customHeight="1" x14ac:dyDescent="0.25">
      <c r="A1193" s="14"/>
      <c r="B1193" s="28" t="str">
        <f>IF(ISNUMBER(MATCH(C1193, Mgt_Unit!$C$5:$C$1018, 0)), INDEX(Mgt_Unit!$B$5:$B$1018, MATCH(C1193, Mgt_Unit!$C$5:$C$1018, 0)), "")</f>
        <v>jennifer.moore</v>
      </c>
      <c r="C1193" t="s">
        <v>962</v>
      </c>
      <c r="D1193" s="65"/>
      <c r="E1193">
        <v>10</v>
      </c>
      <c r="F1193" t="s">
        <v>1538</v>
      </c>
      <c r="G1193" t="s">
        <v>1535</v>
      </c>
      <c r="H1193" t="s">
        <v>441</v>
      </c>
      <c r="I1193" t="s">
        <v>124</v>
      </c>
      <c r="J1193" s="89">
        <v>44163</v>
      </c>
      <c r="K1193"/>
      <c r="L1193" s="89">
        <v>44316</v>
      </c>
      <c r="M1193" s="31">
        <v>0</v>
      </c>
      <c r="N1193" s="9"/>
      <c r="O1193" s="33"/>
      <c r="P1193" s="33"/>
      <c r="Q1193" s="9"/>
      <c r="R1193" s="67"/>
      <c r="S1193" s="9"/>
    </row>
    <row r="1194" spans="1:19" ht="15" customHeight="1" x14ac:dyDescent="0.25">
      <c r="A1194" s="14"/>
      <c r="B1194" s="28" t="str">
        <f>IF(ISNUMBER(MATCH(C1194, Mgt_Unit!$C$5:$C$1018, 0)), INDEX(Mgt_Unit!$B$5:$B$1018, MATCH(C1194, Mgt_Unit!$C$5:$C$1018, 0)), "")</f>
        <v>jennifer.moore</v>
      </c>
      <c r="C1194" t="s">
        <v>962</v>
      </c>
      <c r="D1194" s="65"/>
      <c r="E1194">
        <v>11</v>
      </c>
      <c r="F1194" t="s">
        <v>1538</v>
      </c>
      <c r="G1194" t="s">
        <v>1544</v>
      </c>
      <c r="H1194" t="s">
        <v>50</v>
      </c>
      <c r="I1194" t="s">
        <v>175</v>
      </c>
      <c r="J1194" s="89">
        <v>44355</v>
      </c>
      <c r="K1194" s="89">
        <v>44474</v>
      </c>
      <c r="L1194"/>
      <c r="M1194" s="31">
        <v>0</v>
      </c>
      <c r="N1194" s="9"/>
      <c r="O1194" s="33"/>
      <c r="P1194" s="33"/>
      <c r="Q1194" s="9"/>
      <c r="R1194" s="67"/>
      <c r="S1194" s="9"/>
    </row>
    <row r="1195" spans="1:19" ht="15" customHeight="1" x14ac:dyDescent="0.25">
      <c r="A1195" s="14"/>
      <c r="B1195" s="28" t="str">
        <f>IF(ISNUMBER(MATCH(C1195, Mgt_Unit!$C$5:$C$1018, 0)), INDEX(Mgt_Unit!$B$5:$B$1018, MATCH(C1195, Mgt_Unit!$C$5:$C$1018, 0)), "")</f>
        <v>jennifer.moore</v>
      </c>
      <c r="C1195" t="s">
        <v>962</v>
      </c>
      <c r="D1195" s="65"/>
      <c r="E1195">
        <v>12</v>
      </c>
      <c r="F1195" t="s">
        <v>1538</v>
      </c>
      <c r="G1195" t="s">
        <v>1535</v>
      </c>
      <c r="H1195" t="s">
        <v>441</v>
      </c>
      <c r="I1195" t="s">
        <v>124</v>
      </c>
      <c r="J1195" s="89">
        <v>44543</v>
      </c>
      <c r="K1195"/>
      <c r="L1195" s="89">
        <v>44670</v>
      </c>
      <c r="M1195" s="31">
        <v>0</v>
      </c>
      <c r="N1195" s="9"/>
      <c r="O1195" s="33"/>
      <c r="P1195" s="33"/>
      <c r="Q1195" s="9"/>
      <c r="R1195" s="67"/>
      <c r="S1195" s="9"/>
    </row>
    <row r="1196" spans="1:19" ht="15" customHeight="1" x14ac:dyDescent="0.25">
      <c r="A1196" s="14"/>
      <c r="B1196" s="28" t="str">
        <f>IF(ISNUMBER(MATCH(C1196, Mgt_Unit!$C$5:$C$1018, 0)), INDEX(Mgt_Unit!$B$5:$B$1018, MATCH(C1196, Mgt_Unit!$C$5:$C$1018, 0)), "")</f>
        <v>jennifer.moore</v>
      </c>
      <c r="C1196" s="87" t="s">
        <v>962</v>
      </c>
      <c r="D1196" s="65"/>
      <c r="E1196" s="87">
        <v>13</v>
      </c>
      <c r="F1196" s="87" t="s">
        <v>1537</v>
      </c>
      <c r="G1196" s="87" t="s">
        <v>1536</v>
      </c>
      <c r="H1196" s="87" t="s">
        <v>1549</v>
      </c>
      <c r="I1196" s="87" t="s">
        <v>1554</v>
      </c>
      <c r="J1196" s="90">
        <v>44707</v>
      </c>
      <c r="K1196" s="87"/>
      <c r="L1196" s="87"/>
      <c r="M1196" s="93"/>
      <c r="N1196" s="9"/>
      <c r="O1196" s="33"/>
      <c r="P1196" s="33"/>
      <c r="Q1196" s="9"/>
      <c r="R1196" s="67"/>
      <c r="S1196" s="9"/>
    </row>
    <row r="1197" spans="1:19" ht="15" customHeight="1" x14ac:dyDescent="0.25">
      <c r="A1197" s="14"/>
      <c r="B1197" s="28" t="str">
        <f>IF(ISNUMBER(MATCH(C1197, Mgt_Unit!$C$5:$C$1018, 0)), INDEX(Mgt_Unit!$B$5:$B$1018, MATCH(C1197, Mgt_Unit!$C$5:$C$1018, 0)), "")</f>
        <v>jennifer.moore</v>
      </c>
      <c r="C1197" t="s">
        <v>963</v>
      </c>
      <c r="D1197" s="65"/>
      <c r="E1197">
        <v>1</v>
      </c>
      <c r="F1197" t="s">
        <v>1538</v>
      </c>
      <c r="G1197" t="s">
        <v>1544</v>
      </c>
      <c r="H1197" t="s">
        <v>51</v>
      </c>
      <c r="I1197" t="s">
        <v>137</v>
      </c>
      <c r="J1197" s="89">
        <v>42893</v>
      </c>
      <c r="K1197" s="89">
        <v>43059</v>
      </c>
      <c r="L1197"/>
      <c r="M1197" s="31">
        <v>0</v>
      </c>
      <c r="N1197" s="9"/>
      <c r="O1197" s="33"/>
      <c r="P1197" s="33"/>
      <c r="Q1197" s="9"/>
      <c r="R1197" s="67"/>
      <c r="S1197" s="9"/>
    </row>
    <row r="1198" spans="1:19" ht="15" customHeight="1" x14ac:dyDescent="0.25">
      <c r="A1198" s="14"/>
      <c r="B1198" s="28" t="str">
        <f>IF(ISNUMBER(MATCH(C1198, Mgt_Unit!$C$5:$C$1018, 0)), INDEX(Mgt_Unit!$B$5:$B$1018, MATCH(C1198, Mgt_Unit!$C$5:$C$1018, 0)), "")</f>
        <v>jennifer.moore</v>
      </c>
      <c r="C1198" t="s">
        <v>963</v>
      </c>
      <c r="D1198" s="65"/>
      <c r="E1198">
        <v>2</v>
      </c>
      <c r="F1198" t="s">
        <v>1538</v>
      </c>
      <c r="G1198" t="s">
        <v>1535</v>
      </c>
      <c r="H1198" t="s">
        <v>50</v>
      </c>
      <c r="I1198" t="s">
        <v>405</v>
      </c>
      <c r="J1198" s="89">
        <v>43292</v>
      </c>
      <c r="K1198"/>
      <c r="L1198" s="89">
        <v>43380</v>
      </c>
      <c r="M1198" s="31">
        <v>0</v>
      </c>
      <c r="N1198" s="9"/>
      <c r="O1198" s="33"/>
      <c r="P1198" s="33"/>
      <c r="Q1198" s="9"/>
      <c r="R1198" s="67"/>
      <c r="S1198" s="9"/>
    </row>
    <row r="1199" spans="1:19" ht="15" customHeight="1" x14ac:dyDescent="0.25">
      <c r="A1199" s="14"/>
      <c r="B1199" s="28" t="str">
        <f>IF(ISNUMBER(MATCH(C1199, Mgt_Unit!$C$5:$C$1018, 0)), INDEX(Mgt_Unit!$B$5:$B$1018, MATCH(C1199, Mgt_Unit!$C$5:$C$1018, 0)), "")</f>
        <v>jennifer.moore</v>
      </c>
      <c r="C1199" t="s">
        <v>963</v>
      </c>
      <c r="D1199" s="65"/>
      <c r="E1199">
        <v>3</v>
      </c>
      <c r="F1199" t="s">
        <v>1538</v>
      </c>
      <c r="G1199" t="s">
        <v>1535</v>
      </c>
      <c r="H1199" t="s">
        <v>441</v>
      </c>
      <c r="I1199" t="s">
        <v>124</v>
      </c>
      <c r="J1199" s="89">
        <v>43503</v>
      </c>
      <c r="K1199"/>
      <c r="L1199" s="89">
        <v>43573</v>
      </c>
      <c r="M1199" s="31">
        <v>0</v>
      </c>
      <c r="N1199" s="9"/>
      <c r="O1199" s="33"/>
      <c r="P1199" s="33"/>
      <c r="Q1199" s="9"/>
      <c r="R1199" s="67"/>
      <c r="S1199" s="9"/>
    </row>
    <row r="1200" spans="1:19" ht="15" customHeight="1" x14ac:dyDescent="0.25">
      <c r="A1200" s="14"/>
      <c r="B1200" s="28" t="str">
        <f>IF(ISNUMBER(MATCH(C1200, Mgt_Unit!$C$5:$C$1018, 0)), INDEX(Mgt_Unit!$B$5:$B$1018, MATCH(C1200, Mgt_Unit!$C$5:$C$1018, 0)), "")</f>
        <v>jennifer.moore</v>
      </c>
      <c r="C1200" t="s">
        <v>963</v>
      </c>
      <c r="D1200" s="65"/>
      <c r="E1200">
        <v>4</v>
      </c>
      <c r="F1200" t="s">
        <v>1538</v>
      </c>
      <c r="G1200" t="s">
        <v>1544</v>
      </c>
      <c r="H1200" t="s">
        <v>50</v>
      </c>
      <c r="I1200" t="s">
        <v>87</v>
      </c>
      <c r="J1200" s="89">
        <v>43594</v>
      </c>
      <c r="K1200" s="89">
        <v>43602</v>
      </c>
      <c r="L1200"/>
      <c r="M1200" s="31">
        <v>0</v>
      </c>
      <c r="N1200" s="9"/>
      <c r="O1200" s="33"/>
      <c r="P1200" s="33"/>
      <c r="Q1200" s="9"/>
      <c r="R1200" s="67"/>
      <c r="S1200" s="9"/>
    </row>
    <row r="1201" spans="1:19" ht="15" customHeight="1" x14ac:dyDescent="0.25">
      <c r="A1201" s="14"/>
      <c r="B1201" s="28" t="str">
        <f>IF(ISNUMBER(MATCH(C1201, Mgt_Unit!$C$5:$C$1018, 0)), INDEX(Mgt_Unit!$B$5:$B$1018, MATCH(C1201, Mgt_Unit!$C$5:$C$1018, 0)), "")</f>
        <v>jennifer.moore</v>
      </c>
      <c r="C1201" t="s">
        <v>963</v>
      </c>
      <c r="D1201" s="65"/>
      <c r="E1201">
        <v>5</v>
      </c>
      <c r="F1201" t="s">
        <v>1538</v>
      </c>
      <c r="G1201" t="s">
        <v>1535</v>
      </c>
      <c r="H1201" t="s">
        <v>50</v>
      </c>
      <c r="I1201" t="s">
        <v>405</v>
      </c>
      <c r="J1201" s="89">
        <v>43662</v>
      </c>
      <c r="K1201"/>
      <c r="L1201" s="89">
        <v>43740</v>
      </c>
      <c r="M1201" s="31">
        <v>0</v>
      </c>
      <c r="N1201" s="9"/>
      <c r="O1201" s="33"/>
      <c r="P1201" s="33"/>
      <c r="Q1201" s="9"/>
      <c r="R1201" s="67"/>
      <c r="S1201" s="9"/>
    </row>
    <row r="1202" spans="1:19" ht="15" customHeight="1" x14ac:dyDescent="0.25">
      <c r="A1202" s="14"/>
      <c r="B1202" s="28" t="str">
        <f>IF(ISNUMBER(MATCH(C1202, Mgt_Unit!$C$5:$C$1018, 0)), INDEX(Mgt_Unit!$B$5:$B$1018, MATCH(C1202, Mgt_Unit!$C$5:$C$1018, 0)), "")</f>
        <v>jennifer.moore</v>
      </c>
      <c r="C1202" s="87" t="s">
        <v>963</v>
      </c>
      <c r="D1202" s="65"/>
      <c r="E1202" s="87">
        <v>6</v>
      </c>
      <c r="F1202" s="87" t="s">
        <v>1538</v>
      </c>
      <c r="G1202" s="87" t="s">
        <v>1544</v>
      </c>
      <c r="H1202" s="87" t="s">
        <v>441</v>
      </c>
      <c r="I1202" s="87" t="s">
        <v>124</v>
      </c>
      <c r="J1202" s="90">
        <v>43763</v>
      </c>
      <c r="K1202" s="87"/>
      <c r="L1202" s="87"/>
      <c r="M1202" s="93"/>
      <c r="N1202" s="9"/>
      <c r="O1202" s="33"/>
      <c r="P1202" s="33"/>
      <c r="Q1202" s="9"/>
      <c r="R1202" s="67"/>
      <c r="S1202" s="9"/>
    </row>
    <row r="1203" spans="1:19" ht="15" customHeight="1" x14ac:dyDescent="0.25">
      <c r="A1203" s="14"/>
      <c r="B1203" s="28" t="str">
        <f>IF(ISNUMBER(MATCH(C1203, Mgt_Unit!$C$5:$C$1018, 0)), INDEX(Mgt_Unit!$B$5:$B$1018, MATCH(C1203, Mgt_Unit!$C$5:$C$1018, 0)), "")</f>
        <v>jennifer.moore</v>
      </c>
      <c r="C1203" t="s">
        <v>964</v>
      </c>
      <c r="D1203" s="65"/>
      <c r="E1203">
        <v>1</v>
      </c>
      <c r="F1203" t="s">
        <v>1538</v>
      </c>
      <c r="G1203" t="s">
        <v>1544</v>
      </c>
      <c r="H1203" t="s">
        <v>441</v>
      </c>
      <c r="I1203" t="s">
        <v>124</v>
      </c>
      <c r="J1203" s="89"/>
      <c r="K1203" s="89">
        <v>42845</v>
      </c>
      <c r="L1203" s="89"/>
      <c r="M1203" s="31">
        <v>0</v>
      </c>
      <c r="N1203" s="9"/>
      <c r="O1203" s="33"/>
      <c r="P1203" s="33"/>
      <c r="Q1203" s="9"/>
      <c r="R1203" s="67"/>
      <c r="S1203" s="9"/>
    </row>
    <row r="1204" spans="1:19" ht="15" customHeight="1" x14ac:dyDescent="0.25">
      <c r="A1204" s="14"/>
      <c r="B1204" s="28" t="str">
        <f>IF(ISNUMBER(MATCH(C1204, Mgt_Unit!$C$5:$C$1018, 0)), INDEX(Mgt_Unit!$B$5:$B$1018, MATCH(C1204, Mgt_Unit!$C$5:$C$1018, 0)), "")</f>
        <v>jennifer.moore</v>
      </c>
      <c r="C1204" t="s">
        <v>964</v>
      </c>
      <c r="D1204" s="65"/>
      <c r="E1204">
        <v>2</v>
      </c>
      <c r="F1204" t="s">
        <v>1538</v>
      </c>
      <c r="G1204" t="s">
        <v>1544</v>
      </c>
      <c r="H1204" t="s">
        <v>51</v>
      </c>
      <c r="I1204" t="s">
        <v>137</v>
      </c>
      <c r="J1204" s="89">
        <v>42894</v>
      </c>
      <c r="K1204" s="89">
        <v>43059</v>
      </c>
      <c r="L1204"/>
      <c r="M1204" s="31">
        <v>0</v>
      </c>
      <c r="N1204" s="9"/>
      <c r="O1204" s="33"/>
      <c r="P1204" s="33"/>
      <c r="Q1204" s="9"/>
      <c r="R1204" s="67"/>
      <c r="S1204" s="9"/>
    </row>
    <row r="1205" spans="1:19" ht="15" customHeight="1" x14ac:dyDescent="0.25">
      <c r="A1205" s="14"/>
      <c r="B1205" s="28" t="str">
        <f>IF(ISNUMBER(MATCH(C1205, Mgt_Unit!$C$5:$C$1018, 0)), INDEX(Mgt_Unit!$B$5:$B$1018, MATCH(C1205, Mgt_Unit!$C$5:$C$1018, 0)), "")</f>
        <v>jennifer.moore</v>
      </c>
      <c r="C1205" t="s">
        <v>964</v>
      </c>
      <c r="D1205" s="65"/>
      <c r="E1205">
        <v>3</v>
      </c>
      <c r="F1205" t="s">
        <v>1538</v>
      </c>
      <c r="G1205" t="s">
        <v>1535</v>
      </c>
      <c r="H1205" t="s">
        <v>50</v>
      </c>
      <c r="I1205" t="s">
        <v>405</v>
      </c>
      <c r="J1205" s="89">
        <v>43292</v>
      </c>
      <c r="K1205"/>
      <c r="L1205" s="89">
        <v>43380</v>
      </c>
      <c r="M1205" s="31">
        <v>0</v>
      </c>
      <c r="N1205" s="9"/>
      <c r="O1205" s="33"/>
      <c r="P1205" s="33"/>
      <c r="Q1205" s="9"/>
      <c r="R1205" s="67"/>
      <c r="S1205" s="9"/>
    </row>
    <row r="1206" spans="1:19" ht="15" customHeight="1" x14ac:dyDescent="0.25">
      <c r="A1206" s="14"/>
      <c r="B1206" s="28" t="str">
        <f>IF(ISNUMBER(MATCH(C1206, Mgt_Unit!$C$5:$C$1018, 0)), INDEX(Mgt_Unit!$B$5:$B$1018, MATCH(C1206, Mgt_Unit!$C$5:$C$1018, 0)), "")</f>
        <v>jennifer.moore</v>
      </c>
      <c r="C1206" t="s">
        <v>964</v>
      </c>
      <c r="D1206" s="65"/>
      <c r="E1206">
        <v>4</v>
      </c>
      <c r="F1206" t="s">
        <v>1538</v>
      </c>
      <c r="G1206" t="s">
        <v>1544</v>
      </c>
      <c r="H1206" t="s">
        <v>50</v>
      </c>
      <c r="I1206" t="s">
        <v>87</v>
      </c>
      <c r="J1206" s="89">
        <v>43593</v>
      </c>
      <c r="K1206" s="89">
        <v>43731</v>
      </c>
      <c r="L1206"/>
      <c r="M1206" s="31">
        <v>0</v>
      </c>
      <c r="N1206" s="9"/>
      <c r="O1206" s="33"/>
      <c r="P1206" s="33"/>
      <c r="Q1206" s="9"/>
      <c r="R1206" s="67"/>
      <c r="S1206" s="9"/>
    </row>
    <row r="1207" spans="1:19" ht="15" customHeight="1" x14ac:dyDescent="0.25">
      <c r="A1207" s="14"/>
      <c r="B1207" s="28" t="str">
        <f>IF(ISNUMBER(MATCH(C1207, Mgt_Unit!$C$5:$C$1018, 0)), INDEX(Mgt_Unit!$B$5:$B$1018, MATCH(C1207, Mgt_Unit!$C$5:$C$1018, 0)), "")</f>
        <v>jennifer.moore</v>
      </c>
      <c r="C1207" s="87" t="s">
        <v>964</v>
      </c>
      <c r="D1207" s="65"/>
      <c r="E1207" s="87">
        <v>5</v>
      </c>
      <c r="F1207" s="87" t="s">
        <v>1538</v>
      </c>
      <c r="G1207" s="87" t="s">
        <v>1535</v>
      </c>
      <c r="H1207" s="87" t="s">
        <v>441</v>
      </c>
      <c r="I1207" s="87" t="s">
        <v>124</v>
      </c>
      <c r="J1207" s="90">
        <v>43768</v>
      </c>
      <c r="K1207" s="87"/>
      <c r="L1207" s="87"/>
      <c r="M1207" s="93">
        <v>0</v>
      </c>
      <c r="N1207" s="9"/>
      <c r="O1207" s="33"/>
      <c r="P1207" s="33"/>
      <c r="Q1207" s="9"/>
      <c r="R1207" s="67"/>
      <c r="S1207" s="9"/>
    </row>
    <row r="1208" spans="1:19" ht="15" customHeight="1" x14ac:dyDescent="0.25">
      <c r="A1208" s="14"/>
      <c r="B1208" s="28" t="str">
        <f>IF(ISNUMBER(MATCH(C1208, Mgt_Unit!$C$5:$C$1018, 0)), INDEX(Mgt_Unit!$B$5:$B$1018, MATCH(C1208, Mgt_Unit!$C$5:$C$1018, 0)), "")</f>
        <v>jennifer.moore</v>
      </c>
      <c r="C1208" t="s">
        <v>965</v>
      </c>
      <c r="D1208" s="65"/>
      <c r="E1208">
        <v>1</v>
      </c>
      <c r="F1208" t="s">
        <v>1538</v>
      </c>
      <c r="G1208" t="s">
        <v>1544</v>
      </c>
      <c r="H1208" t="s">
        <v>441</v>
      </c>
      <c r="I1208" t="s">
        <v>27</v>
      </c>
      <c r="J1208" s="89"/>
      <c r="K1208" s="89">
        <v>42845</v>
      </c>
      <c r="L1208"/>
      <c r="M1208" s="31">
        <v>0</v>
      </c>
      <c r="N1208" s="9"/>
      <c r="O1208" s="33"/>
      <c r="P1208" s="33"/>
      <c r="Q1208" s="9"/>
      <c r="R1208" s="67"/>
      <c r="S1208" s="9"/>
    </row>
    <row r="1209" spans="1:19" ht="15" customHeight="1" x14ac:dyDescent="0.25">
      <c r="A1209" s="14"/>
      <c r="B1209" s="28" t="str">
        <f>IF(ISNUMBER(MATCH(C1209, Mgt_Unit!$C$5:$C$1018, 0)), INDEX(Mgt_Unit!$B$5:$B$1018, MATCH(C1209, Mgt_Unit!$C$5:$C$1018, 0)), "")</f>
        <v>jennifer.moore</v>
      </c>
      <c r="C1209" t="s">
        <v>965</v>
      </c>
      <c r="D1209" s="65"/>
      <c r="E1209">
        <v>2</v>
      </c>
      <c r="F1209" t="s">
        <v>1537</v>
      </c>
      <c r="G1209" t="s">
        <v>1544</v>
      </c>
      <c r="H1209" t="s">
        <v>51</v>
      </c>
      <c r="I1209" t="s">
        <v>137</v>
      </c>
      <c r="J1209" s="89">
        <v>42894</v>
      </c>
      <c r="K1209" s="89">
        <v>43059</v>
      </c>
      <c r="L1209"/>
      <c r="M1209" s="31">
        <v>0</v>
      </c>
      <c r="N1209" s="9"/>
      <c r="O1209" s="33"/>
      <c r="P1209" s="33"/>
      <c r="Q1209" s="9"/>
      <c r="R1209" s="67"/>
      <c r="S1209" s="9"/>
    </row>
    <row r="1210" spans="1:19" ht="15" customHeight="1" x14ac:dyDescent="0.25">
      <c r="A1210" s="14"/>
      <c r="B1210" s="28" t="str">
        <f>IF(ISNUMBER(MATCH(C1210, Mgt_Unit!$C$5:$C$1018, 0)), INDEX(Mgt_Unit!$B$5:$B$1018, MATCH(C1210, Mgt_Unit!$C$5:$C$1018, 0)), "")</f>
        <v>jennifer.moore</v>
      </c>
      <c r="C1210" t="s">
        <v>965</v>
      </c>
      <c r="D1210" s="65"/>
      <c r="E1210">
        <v>2</v>
      </c>
      <c r="F1210" t="s">
        <v>1537</v>
      </c>
      <c r="G1210" t="s">
        <v>1535</v>
      </c>
      <c r="H1210" t="s">
        <v>442</v>
      </c>
      <c r="I1210" t="s">
        <v>178</v>
      </c>
      <c r="J1210" s="104">
        <v>43021</v>
      </c>
      <c r="K1210"/>
      <c r="L1210" s="89">
        <v>43220</v>
      </c>
      <c r="M1210" s="31">
        <v>0</v>
      </c>
      <c r="N1210" s="9"/>
      <c r="O1210" s="33"/>
      <c r="P1210" s="33"/>
      <c r="Q1210" s="9"/>
      <c r="R1210" s="67"/>
      <c r="S1210" s="9"/>
    </row>
    <row r="1211" spans="1:19" ht="15" customHeight="1" x14ac:dyDescent="0.25">
      <c r="A1211" s="14"/>
      <c r="B1211" s="28" t="str">
        <f>IF(ISNUMBER(MATCH(C1211, Mgt_Unit!$C$5:$C$1018, 0)), INDEX(Mgt_Unit!$B$5:$B$1018, MATCH(C1211, Mgt_Unit!$C$5:$C$1018, 0)), "")</f>
        <v>jennifer.moore</v>
      </c>
      <c r="C1211" t="s">
        <v>965</v>
      </c>
      <c r="D1211" s="65"/>
      <c r="E1211">
        <v>3</v>
      </c>
      <c r="F1211" t="s">
        <v>1538</v>
      </c>
      <c r="G1211" t="s">
        <v>1544</v>
      </c>
      <c r="H1211" t="s">
        <v>49</v>
      </c>
      <c r="I1211" t="s">
        <v>143</v>
      </c>
      <c r="J1211" s="89">
        <v>43256</v>
      </c>
      <c r="K1211" s="89">
        <v>43371</v>
      </c>
      <c r="L1211"/>
      <c r="M1211" s="31">
        <v>0</v>
      </c>
      <c r="N1211" s="9"/>
      <c r="O1211" s="33"/>
      <c r="P1211" s="33"/>
      <c r="Q1211" s="9"/>
      <c r="R1211" s="67"/>
      <c r="S1211" s="9"/>
    </row>
    <row r="1212" spans="1:19" ht="15" customHeight="1" x14ac:dyDescent="0.25">
      <c r="A1212" s="14"/>
      <c r="B1212" s="28" t="str">
        <f>IF(ISNUMBER(MATCH(C1212, Mgt_Unit!$C$5:$C$1018, 0)), INDEX(Mgt_Unit!$B$5:$B$1018, MATCH(C1212, Mgt_Unit!$C$5:$C$1018, 0)), "")</f>
        <v>jennifer.moore</v>
      </c>
      <c r="C1212" t="s">
        <v>965</v>
      </c>
      <c r="D1212" s="65"/>
      <c r="E1212">
        <v>4</v>
      </c>
      <c r="F1212" t="s">
        <v>1538</v>
      </c>
      <c r="G1212" t="s">
        <v>1544</v>
      </c>
      <c r="H1212" t="s">
        <v>50</v>
      </c>
      <c r="I1212" t="s">
        <v>87</v>
      </c>
      <c r="J1212" s="89">
        <v>43593</v>
      </c>
      <c r="K1212" s="89">
        <v>43731</v>
      </c>
      <c r="L1212"/>
      <c r="M1212" s="31">
        <v>0</v>
      </c>
      <c r="N1212" s="9"/>
      <c r="O1212" s="33"/>
      <c r="P1212" s="33"/>
      <c r="Q1212" s="9"/>
      <c r="R1212" s="67"/>
      <c r="S1212" s="9"/>
    </row>
    <row r="1213" spans="1:19" ht="15" customHeight="1" x14ac:dyDescent="0.25">
      <c r="A1213" s="14"/>
      <c r="B1213" s="28" t="str">
        <f>IF(ISNUMBER(MATCH(C1213, Mgt_Unit!$C$5:$C$1018, 0)), INDEX(Mgt_Unit!$B$5:$B$1018, MATCH(C1213, Mgt_Unit!$C$5:$C$1018, 0)), "")</f>
        <v>jennifer.moore</v>
      </c>
      <c r="C1213" s="87" t="s">
        <v>965</v>
      </c>
      <c r="D1213" s="65"/>
      <c r="E1213" s="87">
        <v>5</v>
      </c>
      <c r="F1213" s="87" t="s">
        <v>1538</v>
      </c>
      <c r="G1213" s="87" t="s">
        <v>1544</v>
      </c>
      <c r="H1213" s="87" t="s">
        <v>441</v>
      </c>
      <c r="I1213" s="87" t="s">
        <v>124</v>
      </c>
      <c r="J1213" s="90">
        <v>43768</v>
      </c>
      <c r="K1213" s="87"/>
      <c r="L1213" s="87"/>
      <c r="M1213" s="93"/>
      <c r="N1213" s="9"/>
      <c r="O1213" s="33"/>
      <c r="P1213" s="33"/>
      <c r="Q1213" s="9"/>
      <c r="R1213" s="67"/>
      <c r="S1213" s="9"/>
    </row>
    <row r="1214" spans="1:19" ht="15" customHeight="1" x14ac:dyDescent="0.25">
      <c r="A1214" s="14"/>
      <c r="B1214" s="28" t="str">
        <f>IF(ISNUMBER(MATCH(C1214, Mgt_Unit!$C$5:$C$1018, 0)), INDEX(Mgt_Unit!$B$5:$B$1018, MATCH(C1214, Mgt_Unit!$C$5:$C$1018, 0)), "")</f>
        <v>jennifer.moore</v>
      </c>
      <c r="C1214" t="s">
        <v>966</v>
      </c>
      <c r="D1214" s="65"/>
      <c r="E1214">
        <v>1</v>
      </c>
      <c r="F1214" t="s">
        <v>1538</v>
      </c>
      <c r="G1214" t="s">
        <v>1544</v>
      </c>
      <c r="H1214" t="s">
        <v>49</v>
      </c>
      <c r="I1214" t="s">
        <v>143</v>
      </c>
      <c r="J1214" s="89">
        <v>42130</v>
      </c>
      <c r="K1214" s="89">
        <v>42261</v>
      </c>
      <c r="L1214"/>
      <c r="M1214" s="31">
        <v>0</v>
      </c>
      <c r="N1214" s="9"/>
      <c r="O1214" s="33"/>
      <c r="P1214" s="33"/>
      <c r="Q1214" s="9"/>
      <c r="R1214" s="67"/>
      <c r="S1214" s="9"/>
    </row>
    <row r="1215" spans="1:19" ht="15" customHeight="1" x14ac:dyDescent="0.25">
      <c r="A1215" s="14"/>
      <c r="B1215" s="28" t="str">
        <f>IF(ISNUMBER(MATCH(C1215, Mgt_Unit!$C$5:$C$1018, 0)), INDEX(Mgt_Unit!$B$5:$B$1018, MATCH(C1215, Mgt_Unit!$C$5:$C$1018, 0)), "")</f>
        <v>jennifer.moore</v>
      </c>
      <c r="C1215" t="s">
        <v>966</v>
      </c>
      <c r="D1215" s="65"/>
      <c r="E1215">
        <v>2</v>
      </c>
      <c r="F1215" t="s">
        <v>1537</v>
      </c>
      <c r="G1215" t="s">
        <v>1536</v>
      </c>
      <c r="H1215" t="s">
        <v>441</v>
      </c>
      <c r="I1215" t="s">
        <v>28</v>
      </c>
      <c r="J1215" s="89">
        <v>42298</v>
      </c>
      <c r="K1215"/>
      <c r="L1215" s="89">
        <v>43005</v>
      </c>
      <c r="M1215" s="31">
        <v>0</v>
      </c>
      <c r="N1215" s="9"/>
      <c r="O1215" s="33"/>
      <c r="P1215" s="33"/>
      <c r="Q1215" s="9"/>
      <c r="R1215" s="67"/>
      <c r="S1215" s="9"/>
    </row>
    <row r="1216" spans="1:19" ht="15" customHeight="1" x14ac:dyDescent="0.25">
      <c r="A1216" s="14"/>
      <c r="B1216" s="28" t="str">
        <f>IF(ISNUMBER(MATCH(C1216, Mgt_Unit!$C$5:$C$1018, 0)), INDEX(Mgt_Unit!$B$5:$B$1018, MATCH(C1216, Mgt_Unit!$C$5:$C$1018, 0)), "")</f>
        <v>jennifer.moore</v>
      </c>
      <c r="C1216" t="s">
        <v>966</v>
      </c>
      <c r="D1216" s="65"/>
      <c r="E1216">
        <v>2</v>
      </c>
      <c r="F1216" t="s">
        <v>1537</v>
      </c>
      <c r="G1216" t="s">
        <v>1536</v>
      </c>
      <c r="H1216" t="s">
        <v>442</v>
      </c>
      <c r="I1216" t="s">
        <v>190</v>
      </c>
      <c r="J1216" s="89">
        <v>42298</v>
      </c>
      <c r="K1216"/>
      <c r="L1216" s="89">
        <v>43005</v>
      </c>
      <c r="M1216" s="31">
        <v>0</v>
      </c>
      <c r="N1216" s="9"/>
      <c r="O1216" s="33"/>
      <c r="P1216" s="33"/>
      <c r="Q1216" s="9"/>
      <c r="R1216" s="67"/>
      <c r="S1216" s="9"/>
    </row>
    <row r="1217" spans="1:19" ht="15" customHeight="1" x14ac:dyDescent="0.25">
      <c r="A1217" s="14"/>
      <c r="B1217" s="28" t="str">
        <f>IF(ISNUMBER(MATCH(C1217, Mgt_Unit!$C$5:$C$1018, 0)), INDEX(Mgt_Unit!$B$5:$B$1018, MATCH(C1217, Mgt_Unit!$C$5:$C$1018, 0)), "")</f>
        <v>jennifer.moore</v>
      </c>
      <c r="C1217" t="s">
        <v>966</v>
      </c>
      <c r="D1217" s="65"/>
      <c r="E1217">
        <v>3</v>
      </c>
      <c r="F1217" t="s">
        <v>1537</v>
      </c>
      <c r="G1217" t="s">
        <v>1536</v>
      </c>
      <c r="H1217" t="s">
        <v>442</v>
      </c>
      <c r="I1217" t="s">
        <v>28</v>
      </c>
      <c r="J1217" s="89">
        <v>43032</v>
      </c>
      <c r="K1217" s="89">
        <v>42931</v>
      </c>
      <c r="L1217"/>
      <c r="M1217" s="31">
        <v>0</v>
      </c>
      <c r="N1217" s="9"/>
      <c r="O1217" s="33"/>
      <c r="P1217" s="33"/>
      <c r="Q1217" s="9"/>
      <c r="R1217" s="67"/>
      <c r="S1217" s="9"/>
    </row>
    <row r="1218" spans="1:19" ht="15" customHeight="1" x14ac:dyDescent="0.25">
      <c r="A1218" s="14"/>
      <c r="B1218" s="28" t="str">
        <f>IF(ISNUMBER(MATCH(C1218, Mgt_Unit!$C$5:$C$1018, 0)), INDEX(Mgt_Unit!$B$5:$B$1018, MATCH(C1218, Mgt_Unit!$C$5:$C$1018, 0)), "")</f>
        <v>jennifer.moore</v>
      </c>
      <c r="C1218" t="s">
        <v>966</v>
      </c>
      <c r="D1218" s="65"/>
      <c r="E1218">
        <v>3</v>
      </c>
      <c r="F1218" t="s">
        <v>1537</v>
      </c>
      <c r="G1218" t="s">
        <v>1536</v>
      </c>
      <c r="H1218" t="s">
        <v>442</v>
      </c>
      <c r="I1218" t="s">
        <v>190</v>
      </c>
      <c r="J1218" s="89">
        <v>43032</v>
      </c>
      <c r="K1218" s="89">
        <v>42931</v>
      </c>
      <c r="L1218"/>
      <c r="M1218" s="31">
        <v>90</v>
      </c>
      <c r="N1218" s="9"/>
      <c r="O1218" s="33"/>
      <c r="P1218" s="33"/>
      <c r="Q1218" s="9"/>
      <c r="R1218" s="67"/>
      <c r="S1218" s="9"/>
    </row>
    <row r="1219" spans="1:19" ht="15" customHeight="1" x14ac:dyDescent="0.25">
      <c r="A1219" s="14"/>
      <c r="B1219" s="28" t="str">
        <f>IF(ISNUMBER(MATCH(C1219, Mgt_Unit!$C$5:$C$1018, 0)), INDEX(Mgt_Unit!$B$5:$B$1018, MATCH(C1219, Mgt_Unit!$C$5:$C$1018, 0)), "")</f>
        <v>jennifer.moore</v>
      </c>
      <c r="C1219" t="s">
        <v>966</v>
      </c>
      <c r="D1219" s="65"/>
      <c r="E1219">
        <v>3</v>
      </c>
      <c r="F1219" t="s">
        <v>1537</v>
      </c>
      <c r="G1219" t="s">
        <v>1536</v>
      </c>
      <c r="H1219" t="s">
        <v>442</v>
      </c>
      <c r="I1219" t="s">
        <v>28</v>
      </c>
      <c r="J1219" s="89"/>
      <c r="K1219" s="89">
        <v>43005</v>
      </c>
      <c r="L1219" s="89">
        <v>43266</v>
      </c>
      <c r="M1219" s="31">
        <v>90</v>
      </c>
      <c r="N1219" s="9"/>
      <c r="O1219" s="33"/>
      <c r="P1219" s="33"/>
      <c r="Q1219" s="9"/>
      <c r="R1219" s="67"/>
      <c r="S1219" s="9"/>
    </row>
    <row r="1220" spans="1:19" ht="15" customHeight="1" x14ac:dyDescent="0.25">
      <c r="A1220" s="14"/>
      <c r="B1220" s="28" t="str">
        <f>IF(ISNUMBER(MATCH(C1220, Mgt_Unit!$C$5:$C$1018, 0)), INDEX(Mgt_Unit!$B$5:$B$1018, MATCH(C1220, Mgt_Unit!$C$5:$C$1018, 0)), "")</f>
        <v>jennifer.moore</v>
      </c>
      <c r="C1220" t="s">
        <v>966</v>
      </c>
      <c r="D1220" s="65"/>
      <c r="E1220">
        <v>3</v>
      </c>
      <c r="F1220" t="s">
        <v>1537</v>
      </c>
      <c r="G1220" t="s">
        <v>1536</v>
      </c>
      <c r="H1220" t="s">
        <v>442</v>
      </c>
      <c r="I1220" t="s">
        <v>190</v>
      </c>
      <c r="J1220" s="89"/>
      <c r="K1220" s="89">
        <v>43005</v>
      </c>
      <c r="L1220" s="89">
        <v>43266</v>
      </c>
      <c r="M1220" s="31">
        <v>90</v>
      </c>
      <c r="N1220" s="9"/>
      <c r="O1220" s="33"/>
      <c r="P1220" s="33"/>
      <c r="Q1220" s="9"/>
      <c r="R1220" s="67"/>
      <c r="S1220" s="9"/>
    </row>
    <row r="1221" spans="1:19" ht="15" customHeight="1" x14ac:dyDescent="0.25">
      <c r="A1221" s="14"/>
      <c r="B1221" s="28" t="str">
        <f>IF(ISNUMBER(MATCH(C1221, Mgt_Unit!$C$5:$C$1018, 0)), INDEX(Mgt_Unit!$B$5:$B$1018, MATCH(C1221, Mgt_Unit!$C$5:$C$1018, 0)), "")</f>
        <v>jennifer.moore</v>
      </c>
      <c r="C1221" t="s">
        <v>966</v>
      </c>
      <c r="D1221" s="65"/>
      <c r="E1221">
        <v>4</v>
      </c>
      <c r="F1221" t="s">
        <v>1538</v>
      </c>
      <c r="G1221" t="s">
        <v>1544</v>
      </c>
      <c r="H1221" t="s">
        <v>50</v>
      </c>
      <c r="I1221" t="s">
        <v>87</v>
      </c>
      <c r="J1221" s="89">
        <v>43593</v>
      </c>
      <c r="K1221" s="89">
        <v>43731</v>
      </c>
      <c r="L1221"/>
      <c r="M1221" s="31">
        <v>90</v>
      </c>
      <c r="N1221" s="9"/>
      <c r="O1221" s="33"/>
      <c r="P1221" s="33"/>
      <c r="Q1221" s="9"/>
      <c r="R1221" s="67"/>
      <c r="S1221" s="9"/>
    </row>
    <row r="1222" spans="1:19" ht="15" customHeight="1" x14ac:dyDescent="0.25">
      <c r="A1222" s="14"/>
      <c r="B1222" s="28" t="str">
        <f>IF(ISNUMBER(MATCH(C1222, Mgt_Unit!$C$5:$C$1018, 0)), INDEX(Mgt_Unit!$B$5:$B$1018, MATCH(C1222, Mgt_Unit!$C$5:$C$1018, 0)), "")</f>
        <v>jennifer.moore</v>
      </c>
      <c r="C1222" t="s">
        <v>966</v>
      </c>
      <c r="D1222" s="65"/>
      <c r="E1222">
        <v>5</v>
      </c>
      <c r="F1222" t="s">
        <v>1537</v>
      </c>
      <c r="G1222" t="s">
        <v>1535</v>
      </c>
      <c r="H1222" t="s">
        <v>441</v>
      </c>
      <c r="I1222" t="s">
        <v>124</v>
      </c>
      <c r="J1222" s="89">
        <v>43768</v>
      </c>
      <c r="K1222"/>
      <c r="L1222" s="89">
        <v>43942</v>
      </c>
      <c r="M1222" s="31">
        <v>0</v>
      </c>
      <c r="N1222" s="9"/>
      <c r="O1222" s="33"/>
      <c r="P1222" s="33"/>
      <c r="Q1222" s="9"/>
      <c r="R1222" s="67"/>
      <c r="S1222" s="9"/>
    </row>
    <row r="1223" spans="1:19" ht="15" customHeight="1" x14ac:dyDescent="0.25">
      <c r="A1223" s="14"/>
      <c r="B1223" s="28" t="str">
        <f>IF(ISNUMBER(MATCH(C1223, Mgt_Unit!$C$5:$C$1018, 0)), INDEX(Mgt_Unit!$B$5:$B$1018, MATCH(C1223, Mgt_Unit!$C$5:$C$1018, 0)), "")</f>
        <v>jennifer.moore</v>
      </c>
      <c r="C1223" t="s">
        <v>966</v>
      </c>
      <c r="D1223" s="65"/>
      <c r="E1223">
        <v>5</v>
      </c>
      <c r="F1223" t="s">
        <v>1537</v>
      </c>
      <c r="G1223" t="s">
        <v>1535</v>
      </c>
      <c r="H1223" t="s">
        <v>441</v>
      </c>
      <c r="I1223" t="s">
        <v>27</v>
      </c>
      <c r="J1223" s="89">
        <v>43768</v>
      </c>
      <c r="K1223"/>
      <c r="L1223" s="89">
        <v>43942</v>
      </c>
      <c r="M1223" s="31">
        <v>0</v>
      </c>
      <c r="N1223" s="9"/>
      <c r="O1223" s="33"/>
      <c r="P1223" s="33"/>
      <c r="Q1223" s="9"/>
      <c r="R1223" s="67"/>
      <c r="S1223" s="9"/>
    </row>
    <row r="1224" spans="1:19" ht="15" customHeight="1" x14ac:dyDescent="0.25">
      <c r="A1224" s="14"/>
      <c r="B1224" s="28" t="str">
        <f>IF(ISNUMBER(MATCH(C1224, Mgt_Unit!$C$5:$C$1018, 0)), INDEX(Mgt_Unit!$B$5:$B$1018, MATCH(C1224, Mgt_Unit!$C$5:$C$1018, 0)), "")</f>
        <v>jennifer.moore</v>
      </c>
      <c r="C1224" t="s">
        <v>966</v>
      </c>
      <c r="D1224" s="65"/>
      <c r="E1224">
        <v>6</v>
      </c>
      <c r="F1224" t="s">
        <v>1537</v>
      </c>
      <c r="G1224" t="s">
        <v>1544</v>
      </c>
      <c r="H1224" t="s">
        <v>51</v>
      </c>
      <c r="I1224" t="s">
        <v>137</v>
      </c>
      <c r="J1224" s="89">
        <v>43990</v>
      </c>
      <c r="K1224" s="89">
        <v>44155</v>
      </c>
      <c r="L1224"/>
      <c r="M1224" s="31">
        <v>0</v>
      </c>
      <c r="N1224" s="9"/>
      <c r="O1224" s="33"/>
      <c r="P1224" s="33"/>
      <c r="Q1224" s="9"/>
      <c r="R1224" s="67"/>
      <c r="S1224" s="9"/>
    </row>
    <row r="1225" spans="1:19" ht="15" customHeight="1" x14ac:dyDescent="0.25">
      <c r="A1225" s="14"/>
      <c r="B1225" s="28" t="str">
        <f>IF(ISNUMBER(MATCH(C1225, Mgt_Unit!$C$5:$C$1018, 0)), INDEX(Mgt_Unit!$B$5:$B$1018, MATCH(C1225, Mgt_Unit!$C$5:$C$1018, 0)), "")</f>
        <v>jennifer.moore</v>
      </c>
      <c r="C1225" s="87" t="s">
        <v>966</v>
      </c>
      <c r="D1225" s="65"/>
      <c r="E1225" s="87">
        <v>6</v>
      </c>
      <c r="F1225" s="87" t="s">
        <v>1537</v>
      </c>
      <c r="G1225" s="87" t="s">
        <v>1544</v>
      </c>
      <c r="H1225" s="87" t="s">
        <v>442</v>
      </c>
      <c r="I1225" s="87" t="s">
        <v>178</v>
      </c>
      <c r="J1225" s="90">
        <v>44117</v>
      </c>
      <c r="K1225" s="87"/>
      <c r="L1225" s="87"/>
      <c r="M1225" s="93"/>
      <c r="N1225" s="9"/>
      <c r="O1225" s="33"/>
      <c r="P1225" s="33"/>
      <c r="Q1225" s="9"/>
      <c r="R1225" s="67"/>
      <c r="S1225" s="9"/>
    </row>
    <row r="1226" spans="1:19" ht="15" customHeight="1" x14ac:dyDescent="0.25">
      <c r="A1226" s="14"/>
      <c r="B1226" s="28" t="str">
        <f>IF(ISNUMBER(MATCH(C1226, Mgt_Unit!$C$5:$C$1018, 0)), INDEX(Mgt_Unit!$B$5:$B$1018, MATCH(C1226, Mgt_Unit!$C$5:$C$1018, 0)), "")</f>
        <v>jennifer.moore</v>
      </c>
      <c r="C1226" s="108" t="s">
        <v>1327</v>
      </c>
      <c r="D1226" s="65"/>
      <c r="E1226" s="108">
        <v>1</v>
      </c>
      <c r="F1226" s="108" t="s">
        <v>1538</v>
      </c>
      <c r="G1226" s="108" t="s">
        <v>1553</v>
      </c>
      <c r="H1226" s="108" t="s">
        <v>52</v>
      </c>
      <c r="I1226" s="108" t="s">
        <v>1557</v>
      </c>
      <c r="J1226" s="111">
        <v>43101</v>
      </c>
      <c r="K1226" s="111"/>
      <c r="L1226" s="111">
        <v>43830</v>
      </c>
      <c r="M1226" s="112">
        <v>0</v>
      </c>
      <c r="N1226" s="9"/>
      <c r="O1226" s="33"/>
      <c r="P1226" s="33"/>
      <c r="Q1226" s="9"/>
      <c r="R1226" s="67"/>
      <c r="S1226" s="9"/>
    </row>
    <row r="1227" spans="1:19" ht="15" customHeight="1" x14ac:dyDescent="0.25">
      <c r="A1227" s="14"/>
      <c r="B1227" s="28" t="str">
        <f>IF(ISNUMBER(MATCH(C1227, Mgt_Unit!$C$5:$C$1018, 0)), INDEX(Mgt_Unit!$B$5:$B$1018, MATCH(C1227, Mgt_Unit!$C$5:$C$1018, 0)), "")</f>
        <v>jennifer.moore</v>
      </c>
      <c r="C1227" s="108" t="s">
        <v>1328</v>
      </c>
      <c r="D1227" s="65"/>
      <c r="E1227" s="108">
        <v>1</v>
      </c>
      <c r="F1227" s="108" t="s">
        <v>1538</v>
      </c>
      <c r="G1227" s="108" t="s">
        <v>1553</v>
      </c>
      <c r="H1227" s="108" t="s">
        <v>52</v>
      </c>
      <c r="I1227" s="108" t="s">
        <v>1558</v>
      </c>
      <c r="J1227" s="111">
        <v>43101</v>
      </c>
      <c r="K1227" s="111"/>
      <c r="L1227" s="111">
        <v>43830</v>
      </c>
      <c r="M1227" s="112">
        <v>0</v>
      </c>
      <c r="N1227" s="9"/>
      <c r="O1227" s="33"/>
      <c r="P1227" s="33"/>
      <c r="Q1227" s="9"/>
      <c r="R1227" s="67"/>
      <c r="S1227" s="9"/>
    </row>
    <row r="1228" spans="1:19" ht="15" customHeight="1" x14ac:dyDescent="0.25">
      <c r="A1228" s="14"/>
      <c r="B1228" s="28" t="str">
        <f>IF(ISNUMBER(MATCH(C1228, Mgt_Unit!$C$5:$C$1018, 0)), INDEX(Mgt_Unit!$B$5:$B$1018, MATCH(C1228, Mgt_Unit!$C$5:$C$1018, 0)), "")</f>
        <v>jennifer.moore</v>
      </c>
      <c r="C1228" s="108" t="s">
        <v>1326</v>
      </c>
      <c r="D1228" s="65"/>
      <c r="E1228" s="108">
        <v>1</v>
      </c>
      <c r="F1228" s="108" t="s">
        <v>1538</v>
      </c>
      <c r="G1228" s="108" t="s">
        <v>1553</v>
      </c>
      <c r="H1228" s="108" t="s">
        <v>52</v>
      </c>
      <c r="I1228" s="108" t="s">
        <v>1559</v>
      </c>
      <c r="J1228" s="111">
        <v>43101</v>
      </c>
      <c r="K1228" s="111"/>
      <c r="L1228" s="111">
        <v>43830</v>
      </c>
      <c r="M1228" s="112">
        <v>0</v>
      </c>
      <c r="N1228" s="9"/>
      <c r="O1228" s="33"/>
      <c r="P1228" s="33"/>
      <c r="Q1228" s="9"/>
      <c r="R1228" s="67"/>
      <c r="S1228" s="9"/>
    </row>
    <row r="1229" spans="1:19" ht="15" customHeight="1" x14ac:dyDescent="0.25">
      <c r="A1229" s="14"/>
      <c r="B1229" s="28" t="str">
        <f>IF(ISNUMBER(MATCH(C1229, Mgt_Unit!$C$5:$C$1018, 0)), INDEX(Mgt_Unit!$B$5:$B$1018, MATCH(C1229, Mgt_Unit!$C$5:$C$1018, 0)), "")</f>
        <v>jennifer.moore</v>
      </c>
      <c r="C1229" s="108" t="s">
        <v>1325</v>
      </c>
      <c r="D1229" s="65"/>
      <c r="E1229" s="108">
        <v>1</v>
      </c>
      <c r="F1229" s="108" t="s">
        <v>1538</v>
      </c>
      <c r="G1229" s="108" t="s">
        <v>1553</v>
      </c>
      <c r="H1229" s="108" t="s">
        <v>52</v>
      </c>
      <c r="I1229" s="108" t="s">
        <v>1560</v>
      </c>
      <c r="J1229" s="111">
        <v>43101</v>
      </c>
      <c r="K1229" s="111"/>
      <c r="L1229" s="111">
        <v>43830</v>
      </c>
      <c r="M1229" s="112">
        <v>0</v>
      </c>
      <c r="N1229" s="9"/>
      <c r="O1229" s="33"/>
      <c r="P1229" s="33"/>
      <c r="Q1229" s="9"/>
      <c r="R1229" s="67"/>
      <c r="S1229" s="9"/>
    </row>
    <row r="1230" spans="1:19" ht="15" customHeight="1" x14ac:dyDescent="0.25">
      <c r="A1230" s="14"/>
      <c r="B1230" s="28" t="str">
        <f>IF(ISNUMBER(MATCH(C1230, Mgt_Unit!$C$5:$C$1018, 0)), INDEX(Mgt_Unit!$B$5:$B$1018, MATCH(C1230, Mgt_Unit!$C$5:$C$1018, 0)), "")</f>
        <v>jennifer.moore</v>
      </c>
      <c r="C1230" s="108" t="s">
        <v>1324</v>
      </c>
      <c r="D1230" s="65"/>
      <c r="E1230" s="108">
        <v>1</v>
      </c>
      <c r="F1230" s="108" t="s">
        <v>1538</v>
      </c>
      <c r="G1230" s="108" t="s">
        <v>1553</v>
      </c>
      <c r="H1230" s="108" t="s">
        <v>52</v>
      </c>
      <c r="I1230" s="108" t="s">
        <v>1561</v>
      </c>
      <c r="J1230" s="111">
        <v>43101</v>
      </c>
      <c r="K1230" s="111"/>
      <c r="L1230" s="111">
        <v>43830</v>
      </c>
      <c r="M1230" s="112">
        <v>0</v>
      </c>
      <c r="N1230" s="9"/>
      <c r="O1230" s="33"/>
      <c r="P1230" s="33"/>
      <c r="Q1230" s="9"/>
      <c r="R1230" s="67"/>
      <c r="S1230" s="9"/>
    </row>
    <row r="1231" spans="1:19" ht="15" customHeight="1" x14ac:dyDescent="0.25">
      <c r="A1231" s="14"/>
      <c r="B1231" s="28" t="str">
        <f>IF(ISNUMBER(MATCH(C1231, Mgt_Unit!$C$5:$C$1018, 0)), INDEX(Mgt_Unit!$B$5:$B$1018, MATCH(C1231, Mgt_Unit!$C$5:$C$1018, 0)), "")</f>
        <v>jennifer.moore</v>
      </c>
      <c r="C1231" s="88" t="s">
        <v>967</v>
      </c>
      <c r="D1231" s="65"/>
      <c r="E1231" s="88">
        <v>1</v>
      </c>
      <c r="F1231" s="88" t="s">
        <v>1538</v>
      </c>
      <c r="G1231" s="88" t="s">
        <v>1544</v>
      </c>
      <c r="H1231" s="88" t="s">
        <v>441</v>
      </c>
      <c r="I1231" s="88" t="s">
        <v>195</v>
      </c>
      <c r="J1231" s="91">
        <v>43228</v>
      </c>
      <c r="K1231" s="91">
        <v>43327</v>
      </c>
      <c r="L1231" s="88"/>
      <c r="M1231" s="94">
        <v>0</v>
      </c>
      <c r="N1231" s="9"/>
      <c r="O1231" s="33"/>
      <c r="P1231" s="33"/>
      <c r="Q1231" s="9"/>
      <c r="R1231" s="67"/>
      <c r="S1231" s="9"/>
    </row>
    <row r="1232" spans="1:19" ht="15" customHeight="1" x14ac:dyDescent="0.25">
      <c r="A1232" s="14"/>
      <c r="B1232" s="28" t="str">
        <f>IF(ISNUMBER(MATCH(C1232, Mgt_Unit!$C$5:$C$1018, 0)), INDEX(Mgt_Unit!$B$5:$B$1018, MATCH(C1232, Mgt_Unit!$C$5:$C$1018, 0)), "")</f>
        <v>jennifer.moore</v>
      </c>
      <c r="C1232" s="88" t="s">
        <v>968</v>
      </c>
      <c r="D1232" s="65"/>
      <c r="E1232" s="88">
        <v>1</v>
      </c>
      <c r="F1232" s="88" t="s">
        <v>1538</v>
      </c>
      <c r="G1232" s="88" t="s">
        <v>1544</v>
      </c>
      <c r="H1232" s="88" t="s">
        <v>441</v>
      </c>
      <c r="I1232" s="88" t="s">
        <v>195</v>
      </c>
      <c r="J1232" s="91">
        <v>43228</v>
      </c>
      <c r="K1232" s="91">
        <v>43327</v>
      </c>
      <c r="L1232" s="88"/>
      <c r="M1232" s="94">
        <v>0</v>
      </c>
      <c r="N1232" s="9"/>
      <c r="O1232" s="33"/>
      <c r="P1232" s="33"/>
      <c r="Q1232" s="9"/>
      <c r="R1232" s="67"/>
      <c r="S1232" s="9"/>
    </row>
    <row r="1233" spans="1:19" ht="15" customHeight="1" x14ac:dyDescent="0.25">
      <c r="A1233" s="14"/>
      <c r="B1233" s="28" t="str">
        <f>IF(ISNUMBER(MATCH(C1233, Mgt_Unit!$C$5:$C$1018, 0)), INDEX(Mgt_Unit!$B$5:$B$1018, MATCH(C1233, Mgt_Unit!$C$5:$C$1018, 0)), "")</f>
        <v>jennifer.moore</v>
      </c>
      <c r="C1233" t="s">
        <v>969</v>
      </c>
      <c r="D1233" s="65"/>
      <c r="E1233">
        <v>1</v>
      </c>
      <c r="F1233" t="s">
        <v>1538</v>
      </c>
      <c r="G1233" t="s">
        <v>1544</v>
      </c>
      <c r="H1233" t="s">
        <v>50</v>
      </c>
      <c r="I1233" t="s">
        <v>87</v>
      </c>
      <c r="J1233" s="89">
        <v>42507</v>
      </c>
      <c r="K1233" s="89">
        <v>42668</v>
      </c>
      <c r="L1233"/>
      <c r="M1233" s="31">
        <v>0</v>
      </c>
      <c r="N1233" s="9"/>
      <c r="O1233" s="33"/>
      <c r="P1233" s="33"/>
      <c r="Q1233" s="9"/>
      <c r="R1233" s="67"/>
      <c r="S1233" s="9"/>
    </row>
    <row r="1234" spans="1:19" ht="15" customHeight="1" x14ac:dyDescent="0.25">
      <c r="A1234" s="14"/>
      <c r="B1234" s="28" t="str">
        <f>IF(ISNUMBER(MATCH(C1234, Mgt_Unit!$C$5:$C$1018, 0)), INDEX(Mgt_Unit!$B$5:$B$1018, MATCH(C1234, Mgt_Unit!$C$5:$C$1018, 0)), "")</f>
        <v>jennifer.moore</v>
      </c>
      <c r="C1234" t="s">
        <v>969</v>
      </c>
      <c r="D1234" s="65"/>
      <c r="E1234">
        <v>2</v>
      </c>
      <c r="F1234" t="s">
        <v>1537</v>
      </c>
      <c r="G1234" t="s">
        <v>1535</v>
      </c>
      <c r="H1234" t="s">
        <v>441</v>
      </c>
      <c r="I1234" t="s">
        <v>29</v>
      </c>
      <c r="J1234" s="89">
        <v>42891</v>
      </c>
      <c r="K1234"/>
      <c r="L1234" s="89">
        <v>42970</v>
      </c>
      <c r="M1234" s="31">
        <v>90</v>
      </c>
      <c r="N1234" s="9"/>
      <c r="O1234" s="33"/>
      <c r="P1234" s="33"/>
      <c r="Q1234" s="9"/>
      <c r="R1234" s="67"/>
      <c r="S1234" s="9"/>
    </row>
    <row r="1235" spans="1:19" ht="15" customHeight="1" x14ac:dyDescent="0.25">
      <c r="A1235" s="14"/>
      <c r="B1235" s="28" t="str">
        <f>IF(ISNUMBER(MATCH(C1235, Mgt_Unit!$C$5:$C$1018, 0)), INDEX(Mgt_Unit!$B$5:$B$1018, MATCH(C1235, Mgt_Unit!$C$5:$C$1018, 0)), "")</f>
        <v>jennifer.moore</v>
      </c>
      <c r="C1235" t="s">
        <v>969</v>
      </c>
      <c r="D1235" s="65"/>
      <c r="E1235">
        <v>2</v>
      </c>
      <c r="F1235" t="s">
        <v>1537</v>
      </c>
      <c r="G1235" t="s">
        <v>1535</v>
      </c>
      <c r="H1235" t="s">
        <v>50</v>
      </c>
      <c r="I1235" t="s">
        <v>155</v>
      </c>
      <c r="J1235" s="89">
        <v>42891</v>
      </c>
      <c r="K1235"/>
      <c r="L1235" s="89">
        <v>42970</v>
      </c>
      <c r="M1235" s="31">
        <v>0</v>
      </c>
      <c r="N1235" s="9"/>
      <c r="O1235" s="33"/>
      <c r="P1235" s="33"/>
      <c r="Q1235" s="9"/>
      <c r="R1235" s="67"/>
      <c r="S1235" s="9"/>
    </row>
    <row r="1236" spans="1:19" ht="15" customHeight="1" x14ac:dyDescent="0.25">
      <c r="A1236" s="14"/>
      <c r="B1236" s="28" t="str">
        <f>IF(ISNUMBER(MATCH(C1236, Mgt_Unit!$C$5:$C$1018, 0)), INDEX(Mgt_Unit!$B$5:$B$1018, MATCH(C1236, Mgt_Unit!$C$5:$C$1018, 0)), "")</f>
        <v>jennifer.moore</v>
      </c>
      <c r="C1236" t="s">
        <v>969</v>
      </c>
      <c r="D1236" s="65"/>
      <c r="E1236">
        <v>2</v>
      </c>
      <c r="F1236" t="s">
        <v>1537</v>
      </c>
      <c r="G1236" t="s">
        <v>1535</v>
      </c>
      <c r="H1236" t="s">
        <v>49</v>
      </c>
      <c r="I1236" t="s">
        <v>143</v>
      </c>
      <c r="J1236" s="89">
        <v>42891</v>
      </c>
      <c r="K1236"/>
      <c r="L1236" s="89">
        <v>42970</v>
      </c>
      <c r="M1236" s="31">
        <v>0</v>
      </c>
      <c r="N1236" s="9"/>
      <c r="O1236" s="33"/>
      <c r="P1236" s="33"/>
      <c r="Q1236" s="9"/>
      <c r="R1236" s="67"/>
      <c r="S1236" s="9"/>
    </row>
    <row r="1237" spans="1:19" ht="15" customHeight="1" x14ac:dyDescent="0.25">
      <c r="A1237" s="14"/>
      <c r="B1237" s="28" t="str">
        <f>IF(ISNUMBER(MATCH(C1237, Mgt_Unit!$C$5:$C$1018, 0)), INDEX(Mgt_Unit!$B$5:$B$1018, MATCH(C1237, Mgt_Unit!$C$5:$C$1018, 0)), "")</f>
        <v>jennifer.moore</v>
      </c>
      <c r="C1237" t="s">
        <v>969</v>
      </c>
      <c r="D1237" s="65"/>
      <c r="E1237">
        <v>2</v>
      </c>
      <c r="F1237" t="s">
        <v>1537</v>
      </c>
      <c r="G1237" t="s">
        <v>1535</v>
      </c>
      <c r="H1237" t="s">
        <v>48</v>
      </c>
      <c r="I1237" t="s">
        <v>1546</v>
      </c>
      <c r="J1237" s="89">
        <v>42891</v>
      </c>
      <c r="K1237"/>
      <c r="L1237" s="89">
        <v>42970</v>
      </c>
      <c r="M1237" s="31">
        <v>0</v>
      </c>
      <c r="N1237" s="9"/>
      <c r="O1237" s="33"/>
      <c r="P1237" s="33"/>
      <c r="Q1237" s="9"/>
      <c r="R1237" s="67"/>
      <c r="S1237" s="9"/>
    </row>
    <row r="1238" spans="1:19" ht="15" customHeight="1" x14ac:dyDescent="0.25">
      <c r="A1238" s="14"/>
      <c r="B1238" s="28" t="str">
        <f>IF(ISNUMBER(MATCH(C1238, Mgt_Unit!$C$5:$C$1018, 0)), INDEX(Mgt_Unit!$B$5:$B$1018, MATCH(C1238, Mgt_Unit!$C$5:$C$1018, 0)), "")</f>
        <v>jennifer.moore</v>
      </c>
      <c r="C1238" t="s">
        <v>969</v>
      </c>
      <c r="D1238" s="65"/>
      <c r="E1238">
        <v>2</v>
      </c>
      <c r="F1238" t="s">
        <v>1537</v>
      </c>
      <c r="G1238" t="s">
        <v>1535</v>
      </c>
      <c r="H1238" t="s">
        <v>51</v>
      </c>
      <c r="I1238" t="s">
        <v>137</v>
      </c>
      <c r="J1238" s="89">
        <v>42891</v>
      </c>
      <c r="K1238"/>
      <c r="L1238" s="89">
        <v>42970</v>
      </c>
      <c r="M1238" s="31">
        <v>0</v>
      </c>
      <c r="N1238" s="9"/>
      <c r="O1238" s="33"/>
      <c r="P1238" s="33"/>
      <c r="Q1238" s="9"/>
      <c r="R1238" s="67"/>
      <c r="S1238" s="9"/>
    </row>
    <row r="1239" spans="1:19" ht="15" customHeight="1" x14ac:dyDescent="0.25">
      <c r="A1239" s="14"/>
      <c r="B1239" s="28" t="str">
        <f>IF(ISNUMBER(MATCH(C1239, Mgt_Unit!$C$5:$C$1018, 0)), INDEX(Mgt_Unit!$B$5:$B$1018, MATCH(C1239, Mgt_Unit!$C$5:$C$1018, 0)), "")</f>
        <v>jennifer.moore</v>
      </c>
      <c r="C1239" t="s">
        <v>969</v>
      </c>
      <c r="D1239" s="65"/>
      <c r="E1239">
        <v>2</v>
      </c>
      <c r="F1239" t="s">
        <v>1537</v>
      </c>
      <c r="G1239" t="s">
        <v>1535</v>
      </c>
      <c r="H1239" t="s">
        <v>442</v>
      </c>
      <c r="I1239" t="s">
        <v>1547</v>
      </c>
      <c r="J1239" s="89">
        <v>42891</v>
      </c>
      <c r="K1239"/>
      <c r="L1239" s="89">
        <v>42970</v>
      </c>
      <c r="M1239" s="31">
        <v>0</v>
      </c>
      <c r="N1239" s="9"/>
      <c r="O1239" s="33"/>
      <c r="P1239" s="33"/>
      <c r="Q1239" s="9"/>
      <c r="R1239" s="67"/>
      <c r="S1239" s="9"/>
    </row>
    <row r="1240" spans="1:19" ht="15" customHeight="1" x14ac:dyDescent="0.25">
      <c r="A1240" s="14"/>
      <c r="B1240" s="28" t="str">
        <f>IF(ISNUMBER(MATCH(C1240, Mgt_Unit!$C$5:$C$1018, 0)), INDEX(Mgt_Unit!$B$5:$B$1018, MATCH(C1240, Mgt_Unit!$C$5:$C$1018, 0)), "")</f>
        <v>jennifer.moore</v>
      </c>
      <c r="C1240" t="s">
        <v>969</v>
      </c>
      <c r="D1240" s="65"/>
      <c r="E1240">
        <v>2</v>
      </c>
      <c r="F1240" t="s">
        <v>1537</v>
      </c>
      <c r="G1240" t="s">
        <v>1535</v>
      </c>
      <c r="H1240" t="s">
        <v>48</v>
      </c>
      <c r="I1240" t="s">
        <v>1548</v>
      </c>
      <c r="J1240" s="89">
        <v>42891</v>
      </c>
      <c r="K1240"/>
      <c r="L1240" s="89">
        <v>42970</v>
      </c>
      <c r="M1240" s="31">
        <v>0</v>
      </c>
      <c r="N1240" s="9"/>
      <c r="O1240" s="33"/>
      <c r="P1240" s="33"/>
      <c r="Q1240" s="9"/>
      <c r="R1240" s="67"/>
      <c r="S1240" s="9"/>
    </row>
    <row r="1241" spans="1:19" ht="15" customHeight="1" x14ac:dyDescent="0.25">
      <c r="A1241" s="14"/>
      <c r="B1241" s="28" t="str">
        <f>IF(ISNUMBER(MATCH(C1241, Mgt_Unit!$C$5:$C$1018, 0)), INDEX(Mgt_Unit!$B$5:$B$1018, MATCH(C1241, Mgt_Unit!$C$5:$C$1018, 0)), "")</f>
        <v>jennifer.moore</v>
      </c>
      <c r="C1241" s="87" t="s">
        <v>969</v>
      </c>
      <c r="D1241" s="65"/>
      <c r="E1241" s="87">
        <v>3</v>
      </c>
      <c r="F1241" s="87" t="s">
        <v>1538</v>
      </c>
      <c r="G1241" s="87" t="s">
        <v>1544</v>
      </c>
      <c r="H1241" s="87" t="s">
        <v>441</v>
      </c>
      <c r="I1241" s="87" t="s">
        <v>195</v>
      </c>
      <c r="J1241" s="90">
        <v>43228</v>
      </c>
      <c r="K1241" s="90">
        <v>43327</v>
      </c>
      <c r="L1241" s="87"/>
      <c r="M1241" s="93">
        <v>0</v>
      </c>
      <c r="N1241" s="9"/>
      <c r="O1241" s="33"/>
      <c r="P1241" s="33"/>
      <c r="Q1241" s="9"/>
      <c r="R1241" s="67"/>
      <c r="S1241" s="9"/>
    </row>
    <row r="1242" spans="1:19" ht="15" customHeight="1" x14ac:dyDescent="0.25">
      <c r="A1242" s="14"/>
      <c r="B1242" s="28" t="str">
        <f>IF(ISNUMBER(MATCH(C1242, Mgt_Unit!$C$5:$C$1018, 0)), INDEX(Mgt_Unit!$B$5:$B$1018, MATCH(C1242, Mgt_Unit!$C$5:$C$1018, 0)), "")</f>
        <v>jennifer.moore</v>
      </c>
      <c r="C1242" t="s">
        <v>970</v>
      </c>
      <c r="D1242" s="65"/>
      <c r="E1242">
        <v>1</v>
      </c>
      <c r="F1242" t="s">
        <v>1538</v>
      </c>
      <c r="G1242" t="s">
        <v>1544</v>
      </c>
      <c r="H1242" t="s">
        <v>50</v>
      </c>
      <c r="I1242" t="s">
        <v>87</v>
      </c>
      <c r="J1242" s="89">
        <v>42507</v>
      </c>
      <c r="K1242" s="89">
        <v>42668</v>
      </c>
      <c r="L1242"/>
      <c r="M1242" s="31">
        <v>0</v>
      </c>
      <c r="N1242" s="9"/>
      <c r="O1242" s="33"/>
      <c r="P1242" s="33"/>
      <c r="Q1242" s="9"/>
      <c r="R1242" s="67"/>
      <c r="S1242" s="9"/>
    </row>
    <row r="1243" spans="1:19" ht="15" customHeight="1" x14ac:dyDescent="0.25">
      <c r="A1243" s="14"/>
      <c r="B1243" s="28" t="str">
        <f>IF(ISNUMBER(MATCH(C1243, Mgt_Unit!$C$5:$C$1018, 0)), INDEX(Mgt_Unit!$B$5:$B$1018, MATCH(C1243, Mgt_Unit!$C$5:$C$1018, 0)), "")</f>
        <v>jennifer.moore</v>
      </c>
      <c r="C1243" t="s">
        <v>970</v>
      </c>
      <c r="D1243" s="65"/>
      <c r="E1243">
        <v>2</v>
      </c>
      <c r="F1243" t="s">
        <v>1537</v>
      </c>
      <c r="G1243" t="s">
        <v>1535</v>
      </c>
      <c r="H1243" t="s">
        <v>441</v>
      </c>
      <c r="I1243" t="s">
        <v>29</v>
      </c>
      <c r="J1243" s="89">
        <v>42891</v>
      </c>
      <c r="K1243"/>
      <c r="L1243" s="89">
        <v>42970</v>
      </c>
      <c r="M1243" s="31">
        <v>90</v>
      </c>
      <c r="N1243" s="9"/>
      <c r="O1243" s="33"/>
      <c r="P1243" s="33"/>
      <c r="Q1243" s="9"/>
      <c r="R1243" s="67"/>
      <c r="S1243" s="9"/>
    </row>
    <row r="1244" spans="1:19" ht="15" customHeight="1" x14ac:dyDescent="0.25">
      <c r="A1244" s="14"/>
      <c r="B1244" s="28" t="str">
        <f>IF(ISNUMBER(MATCH(C1244, Mgt_Unit!$C$5:$C$1018, 0)), INDEX(Mgt_Unit!$B$5:$B$1018, MATCH(C1244, Mgt_Unit!$C$5:$C$1018, 0)), "")</f>
        <v>jennifer.moore</v>
      </c>
      <c r="C1244" t="s">
        <v>970</v>
      </c>
      <c r="D1244" s="65"/>
      <c r="E1244">
        <v>2</v>
      </c>
      <c r="F1244" t="s">
        <v>1537</v>
      </c>
      <c r="G1244" t="s">
        <v>1535</v>
      </c>
      <c r="H1244" t="s">
        <v>50</v>
      </c>
      <c r="I1244" t="s">
        <v>155</v>
      </c>
      <c r="J1244" s="89">
        <v>42891</v>
      </c>
      <c r="K1244"/>
      <c r="L1244" s="89">
        <v>42970</v>
      </c>
      <c r="M1244" s="31">
        <v>90</v>
      </c>
      <c r="N1244" s="9"/>
      <c r="O1244" s="33"/>
      <c r="P1244" s="33"/>
      <c r="Q1244" s="9"/>
      <c r="R1244" s="67"/>
      <c r="S1244" s="9"/>
    </row>
    <row r="1245" spans="1:19" ht="15" customHeight="1" x14ac:dyDescent="0.25">
      <c r="A1245" s="14"/>
      <c r="B1245" s="28" t="str">
        <f>IF(ISNUMBER(MATCH(C1245, Mgt_Unit!$C$5:$C$1018, 0)), INDEX(Mgt_Unit!$B$5:$B$1018, MATCH(C1245, Mgt_Unit!$C$5:$C$1018, 0)), "")</f>
        <v>jennifer.moore</v>
      </c>
      <c r="C1245" t="s">
        <v>970</v>
      </c>
      <c r="D1245" s="65"/>
      <c r="E1245">
        <v>2</v>
      </c>
      <c r="F1245" t="s">
        <v>1537</v>
      </c>
      <c r="G1245" t="s">
        <v>1535</v>
      </c>
      <c r="H1245" t="s">
        <v>49</v>
      </c>
      <c r="I1245" t="s">
        <v>143</v>
      </c>
      <c r="J1245" s="89">
        <v>42891</v>
      </c>
      <c r="K1245"/>
      <c r="L1245" s="89">
        <v>42970</v>
      </c>
      <c r="M1245" s="31">
        <v>90</v>
      </c>
      <c r="N1245" s="9"/>
      <c r="O1245" s="33"/>
      <c r="P1245" s="33"/>
      <c r="Q1245" s="9"/>
      <c r="R1245" s="67"/>
      <c r="S1245" s="9"/>
    </row>
    <row r="1246" spans="1:19" ht="15" customHeight="1" x14ac:dyDescent="0.25">
      <c r="A1246" s="14"/>
      <c r="B1246" s="28" t="str">
        <f>IF(ISNUMBER(MATCH(C1246, Mgt_Unit!$C$5:$C$1018, 0)), INDEX(Mgt_Unit!$B$5:$B$1018, MATCH(C1246, Mgt_Unit!$C$5:$C$1018, 0)), "")</f>
        <v>jennifer.moore</v>
      </c>
      <c r="C1246" t="s">
        <v>970</v>
      </c>
      <c r="D1246" s="65"/>
      <c r="E1246">
        <v>2</v>
      </c>
      <c r="F1246" t="s">
        <v>1537</v>
      </c>
      <c r="G1246" t="s">
        <v>1535</v>
      </c>
      <c r="H1246" t="s">
        <v>48</v>
      </c>
      <c r="I1246" t="s">
        <v>1546</v>
      </c>
      <c r="J1246" s="89">
        <v>42891</v>
      </c>
      <c r="K1246"/>
      <c r="L1246" s="89">
        <v>42970</v>
      </c>
      <c r="M1246" s="31">
        <v>90</v>
      </c>
      <c r="N1246" s="9"/>
      <c r="O1246" s="33"/>
      <c r="P1246" s="33"/>
      <c r="Q1246" s="9"/>
      <c r="R1246" s="67"/>
      <c r="S1246" s="9"/>
    </row>
    <row r="1247" spans="1:19" ht="15" customHeight="1" x14ac:dyDescent="0.25">
      <c r="A1247" s="14"/>
      <c r="B1247" s="28" t="str">
        <f>IF(ISNUMBER(MATCH(C1247, Mgt_Unit!$C$5:$C$1018, 0)), INDEX(Mgt_Unit!$B$5:$B$1018, MATCH(C1247, Mgt_Unit!$C$5:$C$1018, 0)), "")</f>
        <v>jennifer.moore</v>
      </c>
      <c r="C1247" t="s">
        <v>970</v>
      </c>
      <c r="D1247" s="65"/>
      <c r="E1247">
        <v>2</v>
      </c>
      <c r="F1247" t="s">
        <v>1537</v>
      </c>
      <c r="G1247" t="s">
        <v>1535</v>
      </c>
      <c r="H1247" t="s">
        <v>51</v>
      </c>
      <c r="I1247" t="s">
        <v>137</v>
      </c>
      <c r="J1247" s="89">
        <v>42891</v>
      </c>
      <c r="K1247"/>
      <c r="L1247" s="89">
        <v>42970</v>
      </c>
      <c r="M1247" s="31">
        <v>90</v>
      </c>
      <c r="N1247" s="9"/>
      <c r="O1247" s="33"/>
      <c r="P1247" s="33"/>
      <c r="Q1247" s="9"/>
      <c r="R1247" s="67"/>
      <c r="S1247" s="9"/>
    </row>
    <row r="1248" spans="1:19" ht="15" customHeight="1" x14ac:dyDescent="0.25">
      <c r="A1248" s="14"/>
      <c r="B1248" s="28" t="str">
        <f>IF(ISNUMBER(MATCH(C1248, Mgt_Unit!$C$5:$C$1018, 0)), INDEX(Mgt_Unit!$B$5:$B$1018, MATCH(C1248, Mgt_Unit!$C$5:$C$1018, 0)), "")</f>
        <v>jennifer.moore</v>
      </c>
      <c r="C1248" t="s">
        <v>970</v>
      </c>
      <c r="D1248" s="65"/>
      <c r="E1248">
        <v>2</v>
      </c>
      <c r="F1248" t="s">
        <v>1537</v>
      </c>
      <c r="G1248" t="s">
        <v>1535</v>
      </c>
      <c r="H1248" t="s">
        <v>442</v>
      </c>
      <c r="I1248" t="s">
        <v>1547</v>
      </c>
      <c r="J1248" s="89">
        <v>42891</v>
      </c>
      <c r="K1248"/>
      <c r="L1248" s="89">
        <v>42970</v>
      </c>
      <c r="M1248" s="31">
        <v>90</v>
      </c>
      <c r="N1248" s="9"/>
      <c r="O1248" s="33"/>
      <c r="P1248" s="33"/>
      <c r="Q1248" s="9"/>
      <c r="R1248" s="67"/>
      <c r="S1248" s="9"/>
    </row>
    <row r="1249" spans="1:19" ht="15" customHeight="1" x14ac:dyDescent="0.25">
      <c r="A1249" s="14"/>
      <c r="B1249" s="28" t="str">
        <f>IF(ISNUMBER(MATCH(C1249, Mgt_Unit!$C$5:$C$1018, 0)), INDEX(Mgt_Unit!$B$5:$B$1018, MATCH(C1249, Mgt_Unit!$C$5:$C$1018, 0)), "")</f>
        <v>jennifer.moore</v>
      </c>
      <c r="C1249" t="s">
        <v>970</v>
      </c>
      <c r="D1249" s="65"/>
      <c r="E1249" s="87">
        <v>3</v>
      </c>
      <c r="F1249" s="87" t="s">
        <v>1538</v>
      </c>
      <c r="G1249" s="87" t="s">
        <v>1544</v>
      </c>
      <c r="H1249" s="87" t="s">
        <v>48</v>
      </c>
      <c r="I1249" s="87" t="s">
        <v>1548</v>
      </c>
      <c r="J1249" s="90">
        <v>42970</v>
      </c>
      <c r="K1249" s="87"/>
      <c r="L1249" s="90">
        <v>43228</v>
      </c>
      <c r="M1249" s="31"/>
      <c r="N1249" s="9"/>
      <c r="O1249" s="33"/>
      <c r="P1249" s="33"/>
      <c r="Q1249" s="9"/>
      <c r="R1249" s="67"/>
      <c r="S1249" s="9"/>
    </row>
    <row r="1250" spans="1:19" ht="15" customHeight="1" x14ac:dyDescent="0.25">
      <c r="A1250" s="14"/>
      <c r="B1250" s="28" t="str">
        <f>IF(ISNUMBER(MATCH(C1250, Mgt_Unit!$C$5:$C$1018, 0)), INDEX(Mgt_Unit!$B$5:$B$1018, MATCH(C1250, Mgt_Unit!$C$5:$C$1018, 0)), "")</f>
        <v>jennifer.moore</v>
      </c>
      <c r="C1250" s="87" t="s">
        <v>970</v>
      </c>
      <c r="D1250" s="65"/>
      <c r="E1250" s="87">
        <v>4</v>
      </c>
      <c r="F1250" s="87" t="s">
        <v>1538</v>
      </c>
      <c r="G1250" s="87" t="s">
        <v>1544</v>
      </c>
      <c r="H1250" s="87" t="s">
        <v>50</v>
      </c>
      <c r="I1250" s="87" t="s">
        <v>1541</v>
      </c>
      <c r="J1250" s="90">
        <v>42132</v>
      </c>
      <c r="K1250" s="87"/>
      <c r="L1250" s="90"/>
      <c r="M1250" s="93"/>
      <c r="N1250" s="9"/>
      <c r="O1250" s="33"/>
      <c r="P1250" s="33"/>
      <c r="Q1250" s="9"/>
      <c r="R1250" s="67"/>
      <c r="S1250" s="9" t="s">
        <v>1593</v>
      </c>
    </row>
    <row r="1251" spans="1:19" ht="15" customHeight="1" x14ac:dyDescent="0.25">
      <c r="A1251" s="14"/>
      <c r="B1251" s="28" t="str">
        <f>IF(ISNUMBER(MATCH(C1251, Mgt_Unit!$C$5:$C$1018, 0)), INDEX(Mgt_Unit!$B$5:$B$1018, MATCH(C1251, Mgt_Unit!$C$5:$C$1018, 0)), "")</f>
        <v>jennifer.moore</v>
      </c>
      <c r="C1251" t="s">
        <v>971</v>
      </c>
      <c r="D1251" s="65"/>
      <c r="E1251">
        <v>1</v>
      </c>
      <c r="F1251" t="s">
        <v>1538</v>
      </c>
      <c r="G1251" t="s">
        <v>1544</v>
      </c>
      <c r="H1251" t="s">
        <v>50</v>
      </c>
      <c r="I1251" t="s">
        <v>87</v>
      </c>
      <c r="J1251" s="89">
        <v>42507</v>
      </c>
      <c r="K1251" s="89">
        <v>42668</v>
      </c>
      <c r="L1251"/>
      <c r="M1251" s="31">
        <v>0</v>
      </c>
      <c r="N1251" s="9"/>
      <c r="O1251" s="33"/>
      <c r="P1251" s="33"/>
      <c r="Q1251" s="9"/>
      <c r="R1251" s="67"/>
      <c r="S1251" s="9"/>
    </row>
    <row r="1252" spans="1:19" ht="15" customHeight="1" x14ac:dyDescent="0.25">
      <c r="A1252" s="14"/>
      <c r="B1252" s="28" t="str">
        <f>IF(ISNUMBER(MATCH(C1252, Mgt_Unit!$C$5:$C$1018, 0)), INDEX(Mgt_Unit!$B$5:$B$1018, MATCH(C1252, Mgt_Unit!$C$5:$C$1018, 0)), "")</f>
        <v>jennifer.moore</v>
      </c>
      <c r="C1252" t="s">
        <v>971</v>
      </c>
      <c r="D1252" s="65"/>
      <c r="E1252">
        <v>2</v>
      </c>
      <c r="F1252" t="s">
        <v>1538</v>
      </c>
      <c r="G1252" t="s">
        <v>1544</v>
      </c>
      <c r="H1252" t="s">
        <v>51</v>
      </c>
      <c r="I1252" t="s">
        <v>137</v>
      </c>
      <c r="J1252" s="89">
        <v>42879</v>
      </c>
      <c r="K1252" s="89">
        <v>43026</v>
      </c>
      <c r="L1252"/>
      <c r="M1252" s="31">
        <v>0</v>
      </c>
      <c r="N1252" s="9"/>
      <c r="O1252" s="33"/>
      <c r="P1252" s="33"/>
      <c r="Q1252" s="9"/>
      <c r="R1252" s="67"/>
      <c r="S1252" s="9"/>
    </row>
    <row r="1253" spans="1:19" ht="15" customHeight="1" x14ac:dyDescent="0.25">
      <c r="A1253" s="14"/>
      <c r="B1253" s="28" t="str">
        <f>IF(ISNUMBER(MATCH(C1253, Mgt_Unit!$C$5:$C$1018, 0)), INDEX(Mgt_Unit!$B$5:$B$1018, MATCH(C1253, Mgt_Unit!$C$5:$C$1018, 0)), "")</f>
        <v>jennifer.moore</v>
      </c>
      <c r="C1253" s="87" t="s">
        <v>971</v>
      </c>
      <c r="D1253" s="65"/>
      <c r="E1253" s="87">
        <v>3</v>
      </c>
      <c r="F1253" s="87" t="s">
        <v>1538</v>
      </c>
      <c r="G1253" s="87" t="s">
        <v>1544</v>
      </c>
      <c r="H1253" s="87" t="s">
        <v>441</v>
      </c>
      <c r="I1253" s="87" t="s">
        <v>195</v>
      </c>
      <c r="J1253" s="90">
        <v>43228</v>
      </c>
      <c r="K1253" s="90">
        <v>43327</v>
      </c>
      <c r="L1253" s="87"/>
      <c r="M1253" s="93">
        <v>0</v>
      </c>
      <c r="N1253" s="9"/>
      <c r="O1253" s="33"/>
      <c r="P1253" s="33"/>
      <c r="Q1253" s="9"/>
      <c r="R1253" s="67"/>
      <c r="S1253" s="9"/>
    </row>
    <row r="1254" spans="1:19" ht="15" customHeight="1" x14ac:dyDescent="0.25">
      <c r="A1254" s="14"/>
      <c r="B1254" s="28" t="str">
        <f>IF(ISNUMBER(MATCH(C1254, Mgt_Unit!$C$5:$C$1018, 0)), INDEX(Mgt_Unit!$B$5:$B$1018, MATCH(C1254, Mgt_Unit!$C$5:$C$1018, 0)), "")</f>
        <v>jennifer.moore</v>
      </c>
      <c r="C1254" t="s">
        <v>972</v>
      </c>
      <c r="D1254" s="65"/>
      <c r="E1254">
        <v>1</v>
      </c>
      <c r="F1254" t="s">
        <v>1538</v>
      </c>
      <c r="G1254" t="s">
        <v>1544</v>
      </c>
      <c r="H1254" t="s">
        <v>50</v>
      </c>
      <c r="I1254" t="s">
        <v>87</v>
      </c>
      <c r="J1254" s="89">
        <v>42507</v>
      </c>
      <c r="K1254" s="89">
        <v>42668</v>
      </c>
      <c r="L1254"/>
      <c r="M1254" s="31">
        <v>0</v>
      </c>
      <c r="N1254" s="9"/>
      <c r="O1254" s="33"/>
      <c r="P1254" s="33"/>
      <c r="Q1254" s="9"/>
      <c r="R1254" s="67"/>
      <c r="S1254" s="9"/>
    </row>
    <row r="1255" spans="1:19" ht="15" customHeight="1" x14ac:dyDescent="0.25">
      <c r="A1255" s="14"/>
      <c r="B1255" s="28" t="str">
        <f>IF(ISNUMBER(MATCH(C1255, Mgt_Unit!$C$5:$C$1018, 0)), INDEX(Mgt_Unit!$B$5:$B$1018, MATCH(C1255, Mgt_Unit!$C$5:$C$1018, 0)), "")</f>
        <v>jennifer.moore</v>
      </c>
      <c r="C1255" s="87" t="s">
        <v>972</v>
      </c>
      <c r="D1255" s="65"/>
      <c r="E1255" s="87">
        <v>2</v>
      </c>
      <c r="F1255" s="87" t="s">
        <v>1538</v>
      </c>
      <c r="G1255" s="87" t="s">
        <v>1544</v>
      </c>
      <c r="H1255" s="87" t="s">
        <v>51</v>
      </c>
      <c r="I1255" s="87" t="s">
        <v>137</v>
      </c>
      <c r="J1255" s="90">
        <v>42879</v>
      </c>
      <c r="K1255" s="90">
        <v>43026</v>
      </c>
      <c r="L1255" s="87"/>
      <c r="M1255" s="93">
        <v>0</v>
      </c>
      <c r="N1255" s="9"/>
      <c r="O1255" s="33"/>
      <c r="P1255" s="33"/>
      <c r="Q1255" s="9"/>
      <c r="R1255" s="67"/>
      <c r="S1255" s="9"/>
    </row>
    <row r="1256" spans="1:19" ht="15" customHeight="1" x14ac:dyDescent="0.25">
      <c r="A1256" s="14"/>
      <c r="B1256" s="28" t="str">
        <f>IF(ISNUMBER(MATCH(C1256, Mgt_Unit!$C$5:$C$1018, 0)), INDEX(Mgt_Unit!$B$5:$B$1018, MATCH(C1256, Mgt_Unit!$C$5:$C$1018, 0)), "")</f>
        <v>jennifer.moore</v>
      </c>
      <c r="C1256" t="s">
        <v>973</v>
      </c>
      <c r="D1256" s="65"/>
      <c r="E1256" s="87">
        <v>1</v>
      </c>
      <c r="F1256" s="87" t="s">
        <v>1538</v>
      </c>
      <c r="G1256" s="87" t="s">
        <v>1544</v>
      </c>
      <c r="H1256" s="88" t="s">
        <v>441</v>
      </c>
      <c r="I1256" s="88" t="s">
        <v>195</v>
      </c>
      <c r="J1256" s="90">
        <v>43228</v>
      </c>
      <c r="K1256" s="91">
        <v>43327</v>
      </c>
      <c r="L1256" s="87"/>
      <c r="M1256" s="31">
        <v>0</v>
      </c>
      <c r="N1256" s="9"/>
      <c r="O1256" s="33"/>
      <c r="P1256" s="33"/>
      <c r="Q1256" s="9"/>
      <c r="R1256" s="67"/>
      <c r="S1256" s="9"/>
    </row>
    <row r="1257" spans="1:19" ht="15" customHeight="1" x14ac:dyDescent="0.25">
      <c r="A1257" s="14"/>
      <c r="B1257" s="28" t="str">
        <f>IF(ISNUMBER(MATCH(C1257, Mgt_Unit!$C$5:$C$1018, 0)), INDEX(Mgt_Unit!$B$5:$B$1018, MATCH(C1257, Mgt_Unit!$C$5:$C$1018, 0)), "")</f>
        <v>jennifer.moore</v>
      </c>
      <c r="C1257" s="88" t="s">
        <v>974</v>
      </c>
      <c r="D1257" s="65"/>
      <c r="E1257" s="88">
        <v>1</v>
      </c>
      <c r="F1257" s="88" t="s">
        <v>1538</v>
      </c>
      <c r="G1257" s="88" t="s">
        <v>1544</v>
      </c>
      <c r="H1257" s="88" t="s">
        <v>441</v>
      </c>
      <c r="I1257" s="88" t="s">
        <v>195</v>
      </c>
      <c r="J1257" s="91">
        <v>43228</v>
      </c>
      <c r="K1257" s="91">
        <v>43327</v>
      </c>
      <c r="L1257" s="88"/>
      <c r="M1257" s="94">
        <v>0</v>
      </c>
      <c r="N1257" s="9"/>
      <c r="O1257" s="33"/>
      <c r="P1257" s="33"/>
      <c r="Q1257" s="9"/>
      <c r="R1257" s="67"/>
      <c r="S1257" s="9"/>
    </row>
    <row r="1258" spans="1:19" ht="15" customHeight="1" x14ac:dyDescent="0.25">
      <c r="A1258" s="14"/>
      <c r="B1258" s="28" t="str">
        <f>IF(ISNUMBER(MATCH(C1258, Mgt_Unit!$C$5:$C$1018, 0)), INDEX(Mgt_Unit!$B$5:$B$1018, MATCH(C1258, Mgt_Unit!$C$5:$C$1018, 0)), "")</f>
        <v>jennifer.moore</v>
      </c>
      <c r="C1258" t="s">
        <v>975</v>
      </c>
      <c r="D1258" s="65"/>
      <c r="E1258">
        <v>1</v>
      </c>
      <c r="F1258" t="s">
        <v>1538</v>
      </c>
      <c r="G1258" t="s">
        <v>1544</v>
      </c>
      <c r="H1258" t="s">
        <v>441</v>
      </c>
      <c r="I1258" t="s">
        <v>202</v>
      </c>
      <c r="J1258" s="89">
        <v>42125</v>
      </c>
      <c r="K1258" s="89">
        <v>42248</v>
      </c>
      <c r="L1258"/>
      <c r="M1258" s="31">
        <v>0</v>
      </c>
      <c r="N1258" s="9"/>
      <c r="O1258" s="33"/>
      <c r="P1258" s="33"/>
      <c r="Q1258" s="9"/>
      <c r="R1258" s="67"/>
      <c r="S1258" s="9"/>
    </row>
    <row r="1259" spans="1:19" ht="15" customHeight="1" x14ac:dyDescent="0.25">
      <c r="A1259" s="14"/>
      <c r="B1259" s="28" t="str">
        <f>IF(ISNUMBER(MATCH(C1259, Mgt_Unit!$C$5:$C$1018, 0)), INDEX(Mgt_Unit!$B$5:$B$1018, MATCH(C1259, Mgt_Unit!$C$5:$C$1018, 0)), "")</f>
        <v>jennifer.moore</v>
      </c>
      <c r="C1259" t="s">
        <v>975</v>
      </c>
      <c r="D1259" s="65"/>
      <c r="E1259">
        <v>2</v>
      </c>
      <c r="F1259" t="s">
        <v>1538</v>
      </c>
      <c r="G1259" t="s">
        <v>1544</v>
      </c>
      <c r="H1259" t="s">
        <v>442</v>
      </c>
      <c r="I1259" t="s">
        <v>237</v>
      </c>
      <c r="J1259" s="89">
        <v>42491</v>
      </c>
      <c r="K1259" s="89">
        <v>42614</v>
      </c>
      <c r="L1259"/>
      <c r="M1259" s="31">
        <v>0</v>
      </c>
      <c r="N1259" s="9"/>
      <c r="O1259" s="33"/>
      <c r="P1259" s="33"/>
      <c r="Q1259" s="9"/>
      <c r="R1259" s="67"/>
      <c r="S1259" s="9"/>
    </row>
    <row r="1260" spans="1:19" ht="15" customHeight="1" x14ac:dyDescent="0.25">
      <c r="A1260" s="14"/>
      <c r="B1260" s="28" t="str">
        <f>IF(ISNUMBER(MATCH(C1260, Mgt_Unit!$C$5:$C$1018, 0)), INDEX(Mgt_Unit!$B$5:$B$1018, MATCH(C1260, Mgt_Unit!$C$5:$C$1018, 0)), "")</f>
        <v>jennifer.moore</v>
      </c>
      <c r="C1260" t="s">
        <v>975</v>
      </c>
      <c r="D1260" s="65"/>
      <c r="E1260">
        <v>3</v>
      </c>
      <c r="F1260" t="s">
        <v>1538</v>
      </c>
      <c r="G1260" t="s">
        <v>1544</v>
      </c>
      <c r="H1260" t="s">
        <v>50</v>
      </c>
      <c r="I1260" t="s">
        <v>87</v>
      </c>
      <c r="J1260" s="89">
        <v>42856</v>
      </c>
      <c r="K1260" s="89">
        <v>43040</v>
      </c>
      <c r="L1260"/>
      <c r="M1260" s="31">
        <v>0</v>
      </c>
      <c r="N1260" s="9"/>
      <c r="O1260" s="33"/>
      <c r="P1260" s="33"/>
      <c r="Q1260" s="9"/>
      <c r="R1260" s="67"/>
      <c r="S1260" s="9"/>
    </row>
    <row r="1261" spans="1:19" ht="15" customHeight="1" x14ac:dyDescent="0.25">
      <c r="A1261" s="14"/>
      <c r="B1261" s="28" t="str">
        <f>IF(ISNUMBER(MATCH(C1261, Mgt_Unit!$C$5:$C$1018, 0)), INDEX(Mgt_Unit!$B$5:$B$1018, MATCH(C1261, Mgt_Unit!$C$5:$C$1018, 0)), "")</f>
        <v>jennifer.moore</v>
      </c>
      <c r="C1261" s="87" t="s">
        <v>975</v>
      </c>
      <c r="D1261" s="65"/>
      <c r="E1261" s="87">
        <v>4</v>
      </c>
      <c r="F1261" s="87" t="s">
        <v>1538</v>
      </c>
      <c r="G1261" s="87" t="s">
        <v>1544</v>
      </c>
      <c r="H1261" s="87" t="s">
        <v>51</v>
      </c>
      <c r="I1261" s="87" t="s">
        <v>137</v>
      </c>
      <c r="J1261" s="90">
        <v>43235</v>
      </c>
      <c r="K1261" s="90">
        <v>43374</v>
      </c>
      <c r="L1261" s="87"/>
      <c r="M1261" s="93">
        <v>0</v>
      </c>
      <c r="N1261" s="9"/>
      <c r="O1261" s="33"/>
      <c r="P1261" s="33"/>
      <c r="Q1261" s="9"/>
      <c r="R1261" s="67"/>
      <c r="S1261" s="9"/>
    </row>
    <row r="1262" spans="1:19" ht="15" customHeight="1" x14ac:dyDescent="0.25">
      <c r="A1262" s="14"/>
      <c r="B1262" s="28" t="str">
        <f>IF(ISNUMBER(MATCH(C1262, Mgt_Unit!$C$5:$C$1018, 0)), INDEX(Mgt_Unit!$B$5:$B$1018, MATCH(C1262, Mgt_Unit!$C$5:$C$1018, 0)), "")</f>
        <v>jennifer.moore</v>
      </c>
      <c r="C1262" t="s">
        <v>976</v>
      </c>
      <c r="D1262" s="65"/>
      <c r="E1262">
        <v>1</v>
      </c>
      <c r="F1262" t="s">
        <v>1538</v>
      </c>
      <c r="G1262" t="s">
        <v>1544</v>
      </c>
      <c r="H1262" t="s">
        <v>441</v>
      </c>
      <c r="I1262" t="s">
        <v>202</v>
      </c>
      <c r="J1262" s="89">
        <v>42125</v>
      </c>
      <c r="K1262" s="89">
        <v>42248</v>
      </c>
      <c r="L1262"/>
      <c r="M1262" s="31">
        <v>0</v>
      </c>
      <c r="N1262" s="9"/>
      <c r="O1262" s="33"/>
      <c r="P1262" s="33"/>
      <c r="Q1262" s="9"/>
      <c r="R1262" s="67"/>
      <c r="S1262" s="9"/>
    </row>
    <row r="1263" spans="1:19" ht="15" customHeight="1" x14ac:dyDescent="0.25">
      <c r="A1263" s="14"/>
      <c r="B1263" s="28" t="str">
        <f>IF(ISNUMBER(MATCH(C1263, Mgt_Unit!$C$5:$C$1018, 0)), INDEX(Mgt_Unit!$B$5:$B$1018, MATCH(C1263, Mgt_Unit!$C$5:$C$1018, 0)), "")</f>
        <v>jennifer.moore</v>
      </c>
      <c r="C1263" t="s">
        <v>976</v>
      </c>
      <c r="D1263" s="65"/>
      <c r="E1263">
        <v>2</v>
      </c>
      <c r="F1263" t="s">
        <v>1538</v>
      </c>
      <c r="G1263" t="s">
        <v>1544</v>
      </c>
      <c r="H1263" t="s">
        <v>442</v>
      </c>
      <c r="I1263" t="s">
        <v>237</v>
      </c>
      <c r="J1263" s="89">
        <v>42491</v>
      </c>
      <c r="K1263" s="89">
        <v>42614</v>
      </c>
      <c r="L1263"/>
      <c r="M1263" s="31">
        <v>0</v>
      </c>
      <c r="N1263" s="9"/>
      <c r="O1263" s="33"/>
      <c r="P1263" s="33"/>
      <c r="Q1263" s="9"/>
      <c r="R1263" s="67"/>
      <c r="S1263" s="9"/>
    </row>
    <row r="1264" spans="1:19" ht="15" customHeight="1" x14ac:dyDescent="0.25">
      <c r="A1264" s="14"/>
      <c r="B1264" s="28" t="str">
        <f>IF(ISNUMBER(MATCH(C1264, Mgt_Unit!$C$5:$C$1018, 0)), INDEX(Mgt_Unit!$B$5:$B$1018, MATCH(C1264, Mgt_Unit!$C$5:$C$1018, 0)), "")</f>
        <v>jennifer.moore</v>
      </c>
      <c r="C1264" t="s">
        <v>976</v>
      </c>
      <c r="D1264" s="65"/>
      <c r="E1264">
        <v>3</v>
      </c>
      <c r="F1264" t="s">
        <v>1538</v>
      </c>
      <c r="G1264" t="s">
        <v>1544</v>
      </c>
      <c r="H1264" t="s">
        <v>50</v>
      </c>
      <c r="I1264" t="s">
        <v>87</v>
      </c>
      <c r="J1264" s="89">
        <v>42856</v>
      </c>
      <c r="K1264" s="89">
        <v>43040</v>
      </c>
      <c r="L1264"/>
      <c r="M1264" s="31">
        <v>0</v>
      </c>
      <c r="N1264" s="9"/>
      <c r="O1264" s="33"/>
      <c r="P1264" s="33"/>
      <c r="Q1264" s="9"/>
      <c r="R1264" s="67"/>
      <c r="S1264" s="9"/>
    </row>
    <row r="1265" spans="1:19" ht="15" customHeight="1" x14ac:dyDescent="0.25">
      <c r="A1265" s="14"/>
      <c r="B1265" s="28" t="str">
        <f>IF(ISNUMBER(MATCH(C1265, Mgt_Unit!$C$5:$C$1018, 0)), INDEX(Mgt_Unit!$B$5:$B$1018, MATCH(C1265, Mgt_Unit!$C$5:$C$1018, 0)), "")</f>
        <v>jennifer.moore</v>
      </c>
      <c r="C1265" s="87" t="s">
        <v>976</v>
      </c>
      <c r="D1265" s="65"/>
      <c r="E1265" s="87">
        <v>4</v>
      </c>
      <c r="F1265" s="87" t="s">
        <v>1538</v>
      </c>
      <c r="G1265" s="87" t="s">
        <v>1544</v>
      </c>
      <c r="H1265" s="87" t="s">
        <v>51</v>
      </c>
      <c r="I1265" s="87" t="s">
        <v>137</v>
      </c>
      <c r="J1265" s="90">
        <v>43235</v>
      </c>
      <c r="K1265" s="90">
        <v>43374</v>
      </c>
      <c r="L1265" s="87"/>
      <c r="M1265" s="93">
        <v>0</v>
      </c>
      <c r="N1265" s="9"/>
      <c r="O1265" s="33"/>
      <c r="P1265" s="33"/>
      <c r="Q1265" s="9"/>
      <c r="R1265" s="67"/>
      <c r="S1265" s="9"/>
    </row>
    <row r="1266" spans="1:19" ht="15" customHeight="1" x14ac:dyDescent="0.25">
      <c r="A1266" s="14"/>
      <c r="B1266" s="28" t="str">
        <f>IF(ISNUMBER(MATCH(C1266, Mgt_Unit!$C$5:$C$1018, 0)), INDEX(Mgt_Unit!$B$5:$B$1018, MATCH(C1266, Mgt_Unit!$C$5:$C$1018, 0)), "")</f>
        <v>jennifer.moore</v>
      </c>
      <c r="C1266" t="s">
        <v>977</v>
      </c>
      <c r="D1266" s="65"/>
      <c r="E1266">
        <v>1</v>
      </c>
      <c r="F1266" t="s">
        <v>1538</v>
      </c>
      <c r="G1266" t="s">
        <v>1544</v>
      </c>
      <c r="H1266" t="s">
        <v>441</v>
      </c>
      <c r="I1266" t="s">
        <v>202</v>
      </c>
      <c r="J1266" s="89">
        <v>42125</v>
      </c>
      <c r="K1266" s="89">
        <v>42248</v>
      </c>
      <c r="L1266"/>
      <c r="M1266" s="31">
        <v>0</v>
      </c>
      <c r="N1266" s="9"/>
      <c r="O1266" s="33"/>
      <c r="P1266" s="33"/>
      <c r="Q1266" s="9"/>
      <c r="R1266" s="67"/>
      <c r="S1266" s="9"/>
    </row>
    <row r="1267" spans="1:19" ht="15" customHeight="1" x14ac:dyDescent="0.25">
      <c r="A1267" s="14"/>
      <c r="B1267" s="28" t="str">
        <f>IF(ISNUMBER(MATCH(C1267, Mgt_Unit!$C$5:$C$1018, 0)), INDEX(Mgt_Unit!$B$5:$B$1018, MATCH(C1267, Mgt_Unit!$C$5:$C$1018, 0)), "")</f>
        <v>jennifer.moore</v>
      </c>
      <c r="C1267" t="s">
        <v>977</v>
      </c>
      <c r="D1267" s="65"/>
      <c r="E1267">
        <v>2</v>
      </c>
      <c r="F1267" t="s">
        <v>1538</v>
      </c>
      <c r="G1267" t="s">
        <v>1544</v>
      </c>
      <c r="H1267" t="s">
        <v>442</v>
      </c>
      <c r="I1267" t="s">
        <v>237</v>
      </c>
      <c r="J1267" s="89">
        <v>42491</v>
      </c>
      <c r="K1267" s="89">
        <v>42614</v>
      </c>
      <c r="L1267"/>
      <c r="M1267" s="31">
        <v>0</v>
      </c>
      <c r="N1267" s="9"/>
      <c r="O1267" s="33"/>
      <c r="P1267" s="33"/>
      <c r="Q1267" s="9"/>
      <c r="R1267" s="67"/>
      <c r="S1267" s="9"/>
    </row>
    <row r="1268" spans="1:19" ht="15" customHeight="1" x14ac:dyDescent="0.25">
      <c r="A1268" s="14"/>
      <c r="B1268" s="28" t="str">
        <f>IF(ISNUMBER(MATCH(C1268, Mgt_Unit!$C$5:$C$1018, 0)), INDEX(Mgt_Unit!$B$5:$B$1018, MATCH(C1268, Mgt_Unit!$C$5:$C$1018, 0)), "")</f>
        <v>jennifer.moore</v>
      </c>
      <c r="C1268" t="s">
        <v>977</v>
      </c>
      <c r="D1268" s="65"/>
      <c r="E1268">
        <v>3</v>
      </c>
      <c r="F1268" t="s">
        <v>1538</v>
      </c>
      <c r="G1268" t="s">
        <v>1544</v>
      </c>
      <c r="H1268" t="s">
        <v>50</v>
      </c>
      <c r="I1268" t="s">
        <v>87</v>
      </c>
      <c r="J1268" s="89">
        <v>42856</v>
      </c>
      <c r="K1268" s="89">
        <v>43040</v>
      </c>
      <c r="L1268"/>
      <c r="M1268" s="31">
        <v>0</v>
      </c>
      <c r="N1268" s="9"/>
      <c r="O1268" s="33"/>
      <c r="P1268" s="33"/>
      <c r="Q1268" s="9"/>
      <c r="R1268" s="67"/>
      <c r="S1268" s="9"/>
    </row>
    <row r="1269" spans="1:19" ht="15" customHeight="1" x14ac:dyDescent="0.25">
      <c r="A1269" s="14"/>
      <c r="B1269" s="28" t="str">
        <f>IF(ISNUMBER(MATCH(C1269, Mgt_Unit!$C$5:$C$1018, 0)), INDEX(Mgt_Unit!$B$5:$B$1018, MATCH(C1269, Mgt_Unit!$C$5:$C$1018, 0)), "")</f>
        <v>jennifer.moore</v>
      </c>
      <c r="C1269" s="87" t="s">
        <v>977</v>
      </c>
      <c r="D1269" s="65"/>
      <c r="E1269" s="87">
        <v>4</v>
      </c>
      <c r="F1269" s="87" t="s">
        <v>1538</v>
      </c>
      <c r="G1269" s="87" t="s">
        <v>1544</v>
      </c>
      <c r="H1269" s="87" t="s">
        <v>51</v>
      </c>
      <c r="I1269" s="87" t="s">
        <v>137</v>
      </c>
      <c r="J1269" s="90">
        <v>43235</v>
      </c>
      <c r="K1269" s="90">
        <v>43374</v>
      </c>
      <c r="L1269" s="87"/>
      <c r="M1269" s="93">
        <v>0</v>
      </c>
      <c r="N1269" s="9"/>
      <c r="O1269" s="33"/>
      <c r="P1269" s="33"/>
      <c r="Q1269" s="9"/>
      <c r="R1269" s="67"/>
      <c r="S1269" s="9"/>
    </row>
    <row r="1270" spans="1:19" ht="15" customHeight="1" x14ac:dyDescent="0.25">
      <c r="A1270" s="14"/>
      <c r="B1270" s="28" t="str">
        <f>IF(ISNUMBER(MATCH(C1270, Mgt_Unit!$C$5:$C$1018, 0)), INDEX(Mgt_Unit!$B$5:$B$1018, MATCH(C1270, Mgt_Unit!$C$5:$C$1018, 0)), "")</f>
        <v>jennifer.moore</v>
      </c>
      <c r="C1270" t="s">
        <v>978</v>
      </c>
      <c r="D1270" s="65"/>
      <c r="E1270">
        <v>1</v>
      </c>
      <c r="F1270" t="s">
        <v>1538</v>
      </c>
      <c r="G1270" t="s">
        <v>1544</v>
      </c>
      <c r="H1270" t="s">
        <v>441</v>
      </c>
      <c r="I1270" t="s">
        <v>202</v>
      </c>
      <c r="J1270" s="89">
        <v>42125</v>
      </c>
      <c r="K1270" s="89">
        <v>42248</v>
      </c>
      <c r="L1270"/>
      <c r="M1270" s="31">
        <v>0</v>
      </c>
      <c r="N1270" s="9"/>
      <c r="O1270" s="33"/>
      <c r="P1270" s="33"/>
      <c r="Q1270" s="9"/>
      <c r="R1270" s="67"/>
      <c r="S1270" s="9"/>
    </row>
    <row r="1271" spans="1:19" ht="15" customHeight="1" x14ac:dyDescent="0.25">
      <c r="A1271" s="14"/>
      <c r="B1271" s="28" t="str">
        <f>IF(ISNUMBER(MATCH(C1271, Mgt_Unit!$C$5:$C$1018, 0)), INDEX(Mgt_Unit!$B$5:$B$1018, MATCH(C1271, Mgt_Unit!$C$5:$C$1018, 0)), "")</f>
        <v>jennifer.moore</v>
      </c>
      <c r="C1271" t="s">
        <v>978</v>
      </c>
      <c r="D1271" s="65"/>
      <c r="E1271">
        <v>2</v>
      </c>
      <c r="F1271" t="s">
        <v>1538</v>
      </c>
      <c r="G1271" t="s">
        <v>1544</v>
      </c>
      <c r="H1271" t="s">
        <v>442</v>
      </c>
      <c r="I1271" t="s">
        <v>237</v>
      </c>
      <c r="J1271" s="89">
        <v>42491</v>
      </c>
      <c r="K1271" s="89">
        <v>42614</v>
      </c>
      <c r="L1271"/>
      <c r="M1271" s="31">
        <v>0</v>
      </c>
      <c r="N1271" s="9"/>
      <c r="O1271" s="33"/>
      <c r="P1271" s="33"/>
      <c r="Q1271" s="9"/>
      <c r="R1271" s="67"/>
      <c r="S1271" s="9"/>
    </row>
    <row r="1272" spans="1:19" ht="15" customHeight="1" x14ac:dyDescent="0.25">
      <c r="A1272" s="14"/>
      <c r="B1272" s="28" t="str">
        <f>IF(ISNUMBER(MATCH(C1272, Mgt_Unit!$C$5:$C$1018, 0)), INDEX(Mgt_Unit!$B$5:$B$1018, MATCH(C1272, Mgt_Unit!$C$5:$C$1018, 0)), "")</f>
        <v>jennifer.moore</v>
      </c>
      <c r="C1272" t="s">
        <v>978</v>
      </c>
      <c r="D1272" s="65"/>
      <c r="E1272">
        <v>3</v>
      </c>
      <c r="F1272" t="s">
        <v>1538</v>
      </c>
      <c r="G1272" t="s">
        <v>1544</v>
      </c>
      <c r="H1272" t="s">
        <v>50</v>
      </c>
      <c r="I1272" t="s">
        <v>87</v>
      </c>
      <c r="J1272" s="89">
        <v>42856</v>
      </c>
      <c r="K1272" s="89">
        <v>43040</v>
      </c>
      <c r="L1272"/>
      <c r="M1272" s="31">
        <v>0</v>
      </c>
      <c r="N1272" s="9"/>
      <c r="O1272" s="33"/>
      <c r="P1272" s="33"/>
      <c r="Q1272" s="9"/>
      <c r="R1272" s="67"/>
      <c r="S1272" s="9"/>
    </row>
    <row r="1273" spans="1:19" ht="15" customHeight="1" x14ac:dyDescent="0.25">
      <c r="A1273" s="14"/>
      <c r="B1273" s="28" t="str">
        <f>IF(ISNUMBER(MATCH(C1273, Mgt_Unit!$C$5:$C$1018, 0)), INDEX(Mgt_Unit!$B$5:$B$1018, MATCH(C1273, Mgt_Unit!$C$5:$C$1018, 0)), "")</f>
        <v>jennifer.moore</v>
      </c>
      <c r="C1273" s="87" t="s">
        <v>978</v>
      </c>
      <c r="D1273" s="65"/>
      <c r="E1273" s="87">
        <v>4</v>
      </c>
      <c r="F1273" s="87" t="s">
        <v>1538</v>
      </c>
      <c r="G1273" s="87" t="s">
        <v>1544</v>
      </c>
      <c r="H1273" s="87" t="s">
        <v>51</v>
      </c>
      <c r="I1273" s="87" t="s">
        <v>137</v>
      </c>
      <c r="J1273" s="90">
        <v>43235</v>
      </c>
      <c r="K1273" s="90">
        <v>43374</v>
      </c>
      <c r="L1273" s="87"/>
      <c r="M1273" s="93">
        <v>0</v>
      </c>
      <c r="N1273" s="9"/>
      <c r="O1273" s="33"/>
      <c r="P1273" s="33"/>
      <c r="Q1273" s="9"/>
      <c r="R1273" s="67"/>
      <c r="S1273" s="9"/>
    </row>
    <row r="1274" spans="1:19" ht="15" customHeight="1" x14ac:dyDescent="0.25">
      <c r="A1274" s="14"/>
      <c r="B1274" s="28" t="str">
        <f>IF(ISNUMBER(MATCH(C1274, Mgt_Unit!$C$5:$C$1018, 0)), INDEX(Mgt_Unit!$B$5:$B$1018, MATCH(C1274, Mgt_Unit!$C$5:$C$1018, 0)), "")</f>
        <v>jennifer.moore</v>
      </c>
      <c r="C1274" t="s">
        <v>979</v>
      </c>
      <c r="D1274" s="65"/>
      <c r="E1274">
        <v>1</v>
      </c>
      <c r="F1274" t="s">
        <v>1538</v>
      </c>
      <c r="G1274" t="s">
        <v>1544</v>
      </c>
      <c r="H1274" t="s">
        <v>441</v>
      </c>
      <c r="I1274" t="s">
        <v>202</v>
      </c>
      <c r="J1274" s="89">
        <v>42125</v>
      </c>
      <c r="K1274" s="89">
        <v>42248</v>
      </c>
      <c r="L1274"/>
      <c r="M1274" s="31">
        <v>0</v>
      </c>
      <c r="N1274" s="9"/>
      <c r="O1274" s="33"/>
      <c r="P1274" s="33"/>
      <c r="Q1274" s="9"/>
      <c r="R1274" s="67"/>
      <c r="S1274" s="9"/>
    </row>
    <row r="1275" spans="1:19" ht="15" customHeight="1" x14ac:dyDescent="0.25">
      <c r="A1275" s="14"/>
      <c r="B1275" s="28" t="str">
        <f>IF(ISNUMBER(MATCH(C1275, Mgt_Unit!$C$5:$C$1018, 0)), INDEX(Mgt_Unit!$B$5:$B$1018, MATCH(C1275, Mgt_Unit!$C$5:$C$1018, 0)), "")</f>
        <v>jennifer.moore</v>
      </c>
      <c r="C1275" t="s">
        <v>979</v>
      </c>
      <c r="D1275" s="65"/>
      <c r="E1275">
        <v>2</v>
      </c>
      <c r="F1275" t="s">
        <v>1538</v>
      </c>
      <c r="G1275" t="s">
        <v>1544</v>
      </c>
      <c r="H1275" t="s">
        <v>442</v>
      </c>
      <c r="I1275" t="s">
        <v>237</v>
      </c>
      <c r="J1275" s="89">
        <v>42491</v>
      </c>
      <c r="K1275" s="89">
        <v>42614</v>
      </c>
      <c r="L1275"/>
      <c r="M1275" s="31">
        <v>0</v>
      </c>
      <c r="N1275" s="9"/>
      <c r="O1275" s="33"/>
      <c r="P1275" s="33"/>
      <c r="Q1275" s="9"/>
      <c r="R1275" s="67"/>
      <c r="S1275" s="9"/>
    </row>
    <row r="1276" spans="1:19" ht="15" customHeight="1" x14ac:dyDescent="0.25">
      <c r="A1276" s="14"/>
      <c r="B1276" s="28" t="str">
        <f>IF(ISNUMBER(MATCH(C1276, Mgt_Unit!$C$5:$C$1018, 0)), INDEX(Mgt_Unit!$B$5:$B$1018, MATCH(C1276, Mgt_Unit!$C$5:$C$1018, 0)), "")</f>
        <v>jennifer.moore</v>
      </c>
      <c r="C1276" t="s">
        <v>979</v>
      </c>
      <c r="D1276" s="65"/>
      <c r="E1276">
        <v>3</v>
      </c>
      <c r="F1276" t="s">
        <v>1538</v>
      </c>
      <c r="G1276" t="s">
        <v>1544</v>
      </c>
      <c r="H1276" t="s">
        <v>50</v>
      </c>
      <c r="I1276" t="s">
        <v>87</v>
      </c>
      <c r="J1276" s="89">
        <v>42856</v>
      </c>
      <c r="K1276" s="89">
        <v>43040</v>
      </c>
      <c r="L1276"/>
      <c r="M1276" s="31">
        <v>0</v>
      </c>
      <c r="N1276" s="9"/>
      <c r="O1276" s="33"/>
      <c r="P1276" s="33"/>
      <c r="Q1276" s="9"/>
      <c r="R1276" s="67"/>
      <c r="S1276" s="9"/>
    </row>
    <row r="1277" spans="1:19" ht="15" customHeight="1" x14ac:dyDescent="0.25">
      <c r="A1277" s="14"/>
      <c r="B1277" s="28" t="str">
        <f>IF(ISNUMBER(MATCH(C1277, Mgt_Unit!$C$5:$C$1018, 0)), INDEX(Mgt_Unit!$B$5:$B$1018, MATCH(C1277, Mgt_Unit!$C$5:$C$1018, 0)), "")</f>
        <v>jennifer.moore</v>
      </c>
      <c r="C1277" s="87" t="s">
        <v>979</v>
      </c>
      <c r="D1277" s="65"/>
      <c r="E1277" s="87">
        <v>4</v>
      </c>
      <c r="F1277" s="87" t="s">
        <v>1538</v>
      </c>
      <c r="G1277" s="87" t="s">
        <v>1544</v>
      </c>
      <c r="H1277" s="87" t="s">
        <v>51</v>
      </c>
      <c r="I1277" s="87" t="s">
        <v>137</v>
      </c>
      <c r="J1277" s="90">
        <v>43235</v>
      </c>
      <c r="K1277" s="90">
        <v>43374</v>
      </c>
      <c r="L1277" s="87"/>
      <c r="M1277" s="93">
        <v>0</v>
      </c>
      <c r="N1277" s="9"/>
      <c r="O1277" s="33"/>
      <c r="P1277" s="33"/>
      <c r="Q1277" s="9"/>
      <c r="R1277" s="67"/>
      <c r="S1277" s="9"/>
    </row>
    <row r="1278" spans="1:19" ht="15" customHeight="1" x14ac:dyDescent="0.25">
      <c r="A1278" s="14"/>
      <c r="B1278" s="28" t="str">
        <f>IF(ISNUMBER(MATCH(C1278, Mgt_Unit!$C$5:$C$1018, 0)), INDEX(Mgt_Unit!$B$5:$B$1018, MATCH(C1278, Mgt_Unit!$C$5:$C$1018, 0)), "")</f>
        <v>jennifer.moore</v>
      </c>
      <c r="C1278" t="s">
        <v>980</v>
      </c>
      <c r="D1278" s="65"/>
      <c r="E1278">
        <v>1</v>
      </c>
      <c r="F1278" t="s">
        <v>1538</v>
      </c>
      <c r="G1278" t="s">
        <v>1544</v>
      </c>
      <c r="H1278" t="s">
        <v>441</v>
      </c>
      <c r="I1278" t="s">
        <v>202</v>
      </c>
      <c r="J1278" s="89">
        <v>42125</v>
      </c>
      <c r="K1278" s="89">
        <v>42248</v>
      </c>
      <c r="L1278"/>
      <c r="M1278" s="31">
        <v>0</v>
      </c>
      <c r="N1278" s="9"/>
      <c r="O1278" s="33"/>
      <c r="P1278" s="33"/>
      <c r="Q1278" s="9"/>
      <c r="R1278" s="67"/>
      <c r="S1278" s="9"/>
    </row>
    <row r="1279" spans="1:19" ht="15" customHeight="1" x14ac:dyDescent="0.25">
      <c r="A1279" s="14"/>
      <c r="B1279" s="28" t="str">
        <f>IF(ISNUMBER(MATCH(C1279, Mgt_Unit!$C$5:$C$1018, 0)), INDEX(Mgt_Unit!$B$5:$B$1018, MATCH(C1279, Mgt_Unit!$C$5:$C$1018, 0)), "")</f>
        <v>jennifer.moore</v>
      </c>
      <c r="C1279" t="s">
        <v>980</v>
      </c>
      <c r="D1279" s="65"/>
      <c r="E1279">
        <v>2</v>
      </c>
      <c r="F1279" t="s">
        <v>1538</v>
      </c>
      <c r="G1279" t="s">
        <v>1544</v>
      </c>
      <c r="H1279" t="s">
        <v>442</v>
      </c>
      <c r="I1279" t="s">
        <v>237</v>
      </c>
      <c r="J1279" s="89">
        <v>42491</v>
      </c>
      <c r="K1279" s="89">
        <v>42614</v>
      </c>
      <c r="L1279"/>
      <c r="M1279" s="31">
        <v>0</v>
      </c>
      <c r="N1279" s="9"/>
      <c r="O1279" s="33"/>
      <c r="P1279" s="33"/>
      <c r="Q1279" s="9"/>
      <c r="R1279" s="67"/>
      <c r="S1279" s="9"/>
    </row>
    <row r="1280" spans="1:19" ht="15" customHeight="1" x14ac:dyDescent="0.25">
      <c r="A1280" s="14"/>
      <c r="B1280" s="28" t="str">
        <f>IF(ISNUMBER(MATCH(C1280, Mgt_Unit!$C$5:$C$1018, 0)), INDEX(Mgt_Unit!$B$5:$B$1018, MATCH(C1280, Mgt_Unit!$C$5:$C$1018, 0)), "")</f>
        <v>jennifer.moore</v>
      </c>
      <c r="C1280" t="s">
        <v>980</v>
      </c>
      <c r="D1280" s="65"/>
      <c r="E1280">
        <v>3</v>
      </c>
      <c r="F1280" t="s">
        <v>1538</v>
      </c>
      <c r="G1280" t="s">
        <v>1544</v>
      </c>
      <c r="H1280" t="s">
        <v>50</v>
      </c>
      <c r="I1280" t="s">
        <v>87</v>
      </c>
      <c r="J1280" s="89">
        <v>42856</v>
      </c>
      <c r="K1280" s="89">
        <v>43040</v>
      </c>
      <c r="L1280"/>
      <c r="M1280" s="31">
        <v>0</v>
      </c>
      <c r="N1280" s="9"/>
      <c r="O1280" s="33"/>
      <c r="P1280" s="33"/>
      <c r="Q1280" s="9"/>
      <c r="R1280" s="67"/>
      <c r="S1280" s="9"/>
    </row>
    <row r="1281" spans="1:19" ht="15" customHeight="1" x14ac:dyDescent="0.25">
      <c r="A1281" s="14"/>
      <c r="B1281" s="28" t="str">
        <f>IF(ISNUMBER(MATCH(C1281, Mgt_Unit!$C$5:$C$1018, 0)), INDEX(Mgt_Unit!$B$5:$B$1018, MATCH(C1281, Mgt_Unit!$C$5:$C$1018, 0)), "")</f>
        <v>jennifer.moore</v>
      </c>
      <c r="C1281" s="87" t="s">
        <v>980</v>
      </c>
      <c r="D1281" s="65"/>
      <c r="E1281" s="87">
        <v>4</v>
      </c>
      <c r="F1281" s="87" t="s">
        <v>1538</v>
      </c>
      <c r="G1281" s="87" t="s">
        <v>1544</v>
      </c>
      <c r="H1281" s="87" t="s">
        <v>51</v>
      </c>
      <c r="I1281" s="87" t="s">
        <v>137</v>
      </c>
      <c r="J1281" s="90">
        <v>43235</v>
      </c>
      <c r="K1281" s="90">
        <v>43374</v>
      </c>
      <c r="L1281" s="87"/>
      <c r="M1281" s="93">
        <v>0</v>
      </c>
      <c r="N1281" s="9"/>
      <c r="O1281" s="33"/>
      <c r="P1281" s="33"/>
      <c r="Q1281" s="9"/>
      <c r="R1281" s="67"/>
      <c r="S1281" s="9"/>
    </row>
    <row r="1282" spans="1:19" ht="15" customHeight="1" x14ac:dyDescent="0.25">
      <c r="A1282" s="14"/>
      <c r="B1282" s="28" t="str">
        <f>IF(ISNUMBER(MATCH(C1282, Mgt_Unit!$C$5:$C$1018, 0)), INDEX(Mgt_Unit!$B$5:$B$1018, MATCH(C1282, Mgt_Unit!$C$5:$C$1018, 0)), "")</f>
        <v>jennifer.moore</v>
      </c>
      <c r="C1282" s="107" t="s">
        <v>1329</v>
      </c>
      <c r="D1282" s="65"/>
      <c r="E1282" s="107">
        <v>1</v>
      </c>
      <c r="F1282" s="107" t="s">
        <v>1537</v>
      </c>
      <c r="G1282" s="107" t="s">
        <v>1536</v>
      </c>
      <c r="H1282" s="107" t="s">
        <v>1549</v>
      </c>
      <c r="I1282" s="107" t="s">
        <v>1554</v>
      </c>
      <c r="J1282" s="109">
        <v>43101</v>
      </c>
      <c r="K1282" s="109"/>
      <c r="L1282" s="111">
        <v>43830</v>
      </c>
      <c r="M1282" s="112">
        <v>0</v>
      </c>
      <c r="N1282" s="9"/>
      <c r="O1282" s="33"/>
      <c r="P1282" s="33"/>
      <c r="Q1282" s="9"/>
      <c r="R1282" s="67"/>
      <c r="S1282" s="9"/>
    </row>
    <row r="1283" spans="1:19" ht="15" customHeight="1" x14ac:dyDescent="0.25">
      <c r="A1283" s="14"/>
      <c r="B1283" s="28" t="str">
        <f>IF(ISNUMBER(MATCH(C1283, Mgt_Unit!$C$5:$C$1018, 0)), INDEX(Mgt_Unit!$B$5:$B$1018, MATCH(C1283, Mgt_Unit!$C$5:$C$1018, 0)), "")</f>
        <v>jennifer.moore</v>
      </c>
      <c r="C1283" s="88" t="s">
        <v>981</v>
      </c>
      <c r="D1283" s="65"/>
      <c r="E1283" s="88">
        <v>1</v>
      </c>
      <c r="F1283" s="88" t="s">
        <v>1538</v>
      </c>
      <c r="G1283" s="88" t="s">
        <v>1544</v>
      </c>
      <c r="H1283" s="88" t="s">
        <v>441</v>
      </c>
      <c r="I1283" s="88" t="s">
        <v>27</v>
      </c>
      <c r="J1283" s="91">
        <v>42998</v>
      </c>
      <c r="K1283" s="91">
        <v>43296</v>
      </c>
      <c r="L1283" s="88"/>
      <c r="M1283" s="94">
        <v>0</v>
      </c>
      <c r="N1283" s="9"/>
      <c r="O1283" s="33"/>
      <c r="P1283" s="33"/>
      <c r="Q1283" s="9"/>
      <c r="R1283" s="67"/>
      <c r="S1283" s="9"/>
    </row>
    <row r="1284" spans="1:19" ht="15" customHeight="1" x14ac:dyDescent="0.25">
      <c r="A1284" s="14"/>
      <c r="B1284" s="28" t="str">
        <f>IF(ISNUMBER(MATCH(C1284, Mgt_Unit!$C$5:$C$1018, 0)), INDEX(Mgt_Unit!$B$5:$B$1018, MATCH(C1284, Mgt_Unit!$C$5:$C$1018, 0)), "")</f>
        <v>jennifer.moore</v>
      </c>
      <c r="C1284" t="s">
        <v>982</v>
      </c>
      <c r="D1284" s="65"/>
      <c r="E1284">
        <v>1</v>
      </c>
      <c r="F1284" t="s">
        <v>1538</v>
      </c>
      <c r="G1284" t="s">
        <v>1544</v>
      </c>
      <c r="H1284" t="s">
        <v>441</v>
      </c>
      <c r="I1284" t="s">
        <v>27</v>
      </c>
      <c r="J1284" s="89">
        <v>42998</v>
      </c>
      <c r="K1284" s="89">
        <v>43296</v>
      </c>
      <c r="L1284"/>
      <c r="M1284" s="31">
        <v>0</v>
      </c>
      <c r="N1284" s="9"/>
      <c r="O1284" s="33"/>
      <c r="P1284" s="33"/>
      <c r="Q1284" s="9"/>
      <c r="R1284" s="67"/>
      <c r="S1284" s="9"/>
    </row>
    <row r="1285" spans="1:19" ht="15" customHeight="1" x14ac:dyDescent="0.25">
      <c r="A1285" s="14"/>
      <c r="B1285" s="28" t="str">
        <f>IF(ISNUMBER(MATCH(C1285, Mgt_Unit!$C$5:$C$1018, 0)), INDEX(Mgt_Unit!$B$5:$B$1018, MATCH(C1285, Mgt_Unit!$C$5:$C$1018, 0)), "")</f>
        <v>jennifer.moore</v>
      </c>
      <c r="C1285" t="s">
        <v>982</v>
      </c>
      <c r="D1285" s="65"/>
      <c r="E1285">
        <v>2</v>
      </c>
      <c r="F1285" t="s">
        <v>1538</v>
      </c>
      <c r="G1285" t="s">
        <v>1544</v>
      </c>
      <c r="H1285" t="s">
        <v>441</v>
      </c>
      <c r="I1285" t="s">
        <v>27</v>
      </c>
      <c r="J1285" s="89">
        <v>43728</v>
      </c>
      <c r="K1285" s="89">
        <v>44027</v>
      </c>
      <c r="L1285"/>
      <c r="M1285" s="31">
        <v>0</v>
      </c>
      <c r="N1285" s="9"/>
      <c r="O1285" s="33"/>
      <c r="P1285" s="33"/>
      <c r="Q1285" s="9"/>
      <c r="R1285" s="67"/>
      <c r="S1285" s="9"/>
    </row>
    <row r="1286" spans="1:19" ht="15" customHeight="1" x14ac:dyDescent="0.25">
      <c r="A1286" s="14"/>
      <c r="B1286" s="28" t="str">
        <f>IF(ISNUMBER(MATCH(C1286, Mgt_Unit!$C$5:$C$1018, 0)), INDEX(Mgt_Unit!$B$5:$B$1018, MATCH(C1286, Mgt_Unit!$C$5:$C$1018, 0)), "")</f>
        <v>jennifer.moore</v>
      </c>
      <c r="C1286" s="87" t="s">
        <v>982</v>
      </c>
      <c r="D1286" s="65"/>
      <c r="E1286" s="87">
        <v>3</v>
      </c>
      <c r="F1286" s="87" t="s">
        <v>1538</v>
      </c>
      <c r="G1286" s="87" t="s">
        <v>1544</v>
      </c>
      <c r="H1286" s="87" t="s">
        <v>441</v>
      </c>
      <c r="I1286" s="87" t="s">
        <v>27</v>
      </c>
      <c r="J1286" s="90">
        <v>44459</v>
      </c>
      <c r="K1286" s="90">
        <v>44757</v>
      </c>
      <c r="L1286" s="87"/>
      <c r="M1286" s="93">
        <v>0</v>
      </c>
      <c r="N1286" s="9"/>
      <c r="O1286" s="33"/>
      <c r="P1286" s="33"/>
      <c r="Q1286" s="9"/>
      <c r="R1286" s="67"/>
      <c r="S1286" s="9"/>
    </row>
    <row r="1287" spans="1:19" ht="15" customHeight="1" x14ac:dyDescent="0.25">
      <c r="A1287" s="14"/>
      <c r="B1287" s="28" t="str">
        <f>IF(ISNUMBER(MATCH(C1287, Mgt_Unit!$C$5:$C$1018, 0)), INDEX(Mgt_Unit!$B$5:$B$1018, MATCH(C1287, Mgt_Unit!$C$5:$C$1018, 0)), "")</f>
        <v>jennifer.moore</v>
      </c>
      <c r="C1287" t="s">
        <v>983</v>
      </c>
      <c r="D1287" s="65"/>
      <c r="E1287">
        <v>1</v>
      </c>
      <c r="F1287" t="s">
        <v>1538</v>
      </c>
      <c r="G1287" t="s">
        <v>1544</v>
      </c>
      <c r="H1287" t="s">
        <v>441</v>
      </c>
      <c r="I1287" t="s">
        <v>27</v>
      </c>
      <c r="J1287" s="89">
        <v>42998</v>
      </c>
      <c r="K1287" s="89">
        <v>43296</v>
      </c>
      <c r="L1287"/>
      <c r="M1287" s="31">
        <v>0</v>
      </c>
      <c r="N1287" s="9"/>
      <c r="O1287" s="33"/>
      <c r="P1287" s="33"/>
      <c r="Q1287" s="9"/>
      <c r="R1287" s="67"/>
      <c r="S1287" s="9"/>
    </row>
    <row r="1288" spans="1:19" ht="15" customHeight="1" x14ac:dyDescent="0.25">
      <c r="A1288" s="14"/>
      <c r="B1288" s="28" t="str">
        <f>IF(ISNUMBER(MATCH(C1288, Mgt_Unit!$C$5:$C$1018, 0)), INDEX(Mgt_Unit!$B$5:$B$1018, MATCH(C1288, Mgt_Unit!$C$5:$C$1018, 0)), "")</f>
        <v>jennifer.moore</v>
      </c>
      <c r="C1288" t="s">
        <v>983</v>
      </c>
      <c r="D1288" s="65"/>
      <c r="E1288">
        <v>2</v>
      </c>
      <c r="F1288" t="s">
        <v>1538</v>
      </c>
      <c r="G1288" t="s">
        <v>1544</v>
      </c>
      <c r="H1288" t="s">
        <v>441</v>
      </c>
      <c r="I1288" t="s">
        <v>27</v>
      </c>
      <c r="J1288" s="89">
        <v>43728</v>
      </c>
      <c r="K1288" s="89">
        <v>44027</v>
      </c>
      <c r="L1288"/>
      <c r="M1288" s="31">
        <v>0</v>
      </c>
      <c r="N1288" s="9"/>
      <c r="O1288" s="33"/>
      <c r="P1288" s="33"/>
      <c r="Q1288" s="9"/>
      <c r="R1288" s="67"/>
      <c r="S1288" s="9"/>
    </row>
    <row r="1289" spans="1:19" ht="15" customHeight="1" x14ac:dyDescent="0.25">
      <c r="A1289" s="14"/>
      <c r="B1289" s="28" t="str">
        <f>IF(ISNUMBER(MATCH(C1289, Mgt_Unit!$C$5:$C$1018, 0)), INDEX(Mgt_Unit!$B$5:$B$1018, MATCH(C1289, Mgt_Unit!$C$5:$C$1018, 0)), "")</f>
        <v>jennifer.moore</v>
      </c>
      <c r="C1289" s="87" t="s">
        <v>983</v>
      </c>
      <c r="D1289" s="65"/>
      <c r="E1289" s="87">
        <v>3</v>
      </c>
      <c r="F1289" s="87" t="s">
        <v>1538</v>
      </c>
      <c r="G1289" s="87" t="s">
        <v>1544</v>
      </c>
      <c r="H1289" s="87" t="s">
        <v>441</v>
      </c>
      <c r="I1289" s="87" t="s">
        <v>27</v>
      </c>
      <c r="J1289" s="90">
        <v>44459</v>
      </c>
      <c r="K1289" s="90">
        <v>44757</v>
      </c>
      <c r="L1289" s="87"/>
      <c r="M1289" s="93">
        <v>0</v>
      </c>
      <c r="N1289" s="9"/>
      <c r="O1289" s="33"/>
      <c r="P1289" s="33"/>
      <c r="Q1289" s="9"/>
      <c r="R1289" s="67"/>
      <c r="S1289" s="9"/>
    </row>
    <row r="1290" spans="1:19" ht="15" customHeight="1" x14ac:dyDescent="0.25">
      <c r="A1290" s="14"/>
      <c r="B1290" s="28" t="str">
        <f>IF(ISNUMBER(MATCH(C1290, Mgt_Unit!$C$5:$C$1018, 0)), INDEX(Mgt_Unit!$B$5:$B$1018, MATCH(C1290, Mgt_Unit!$C$5:$C$1018, 0)), "")</f>
        <v>jennifer.moore</v>
      </c>
      <c r="C1290" t="s">
        <v>984</v>
      </c>
      <c r="D1290" s="65"/>
      <c r="E1290">
        <v>1</v>
      </c>
      <c r="F1290" t="s">
        <v>1538</v>
      </c>
      <c r="G1290" t="s">
        <v>1544</v>
      </c>
      <c r="H1290" t="s">
        <v>51</v>
      </c>
      <c r="I1290" t="s">
        <v>137</v>
      </c>
      <c r="J1290" s="89">
        <v>43239</v>
      </c>
      <c r="K1290" s="89">
        <v>43391</v>
      </c>
      <c r="L1290"/>
      <c r="M1290" s="31">
        <v>0</v>
      </c>
      <c r="N1290" s="9"/>
      <c r="O1290" s="33"/>
      <c r="P1290" s="33"/>
      <c r="Q1290" s="9"/>
      <c r="R1290" s="67"/>
      <c r="S1290" s="9"/>
    </row>
    <row r="1291" spans="1:19" ht="15" customHeight="1" x14ac:dyDescent="0.25">
      <c r="A1291" s="14"/>
      <c r="B1291" s="28" t="str">
        <f>IF(ISNUMBER(MATCH(C1291, Mgt_Unit!$C$5:$C$1018, 0)), INDEX(Mgt_Unit!$B$5:$B$1018, MATCH(C1291, Mgt_Unit!$C$5:$C$1018, 0)), "")</f>
        <v>jennifer.moore</v>
      </c>
      <c r="C1291" s="87" t="s">
        <v>984</v>
      </c>
      <c r="D1291" s="65"/>
      <c r="E1291" s="87">
        <v>2</v>
      </c>
      <c r="F1291" s="87" t="s">
        <v>1538</v>
      </c>
      <c r="G1291" s="87" t="s">
        <v>1544</v>
      </c>
      <c r="H1291" s="87" t="s">
        <v>50</v>
      </c>
      <c r="I1291" s="87" t="s">
        <v>87</v>
      </c>
      <c r="J1291" s="90">
        <v>43581</v>
      </c>
      <c r="K1291" s="90">
        <v>43766</v>
      </c>
      <c r="L1291" s="87"/>
      <c r="M1291" s="93">
        <v>0</v>
      </c>
      <c r="N1291" s="9"/>
      <c r="O1291" s="33"/>
      <c r="P1291" s="33"/>
      <c r="Q1291" s="9"/>
      <c r="R1291" s="67"/>
      <c r="S1291" s="9"/>
    </row>
    <row r="1292" spans="1:19" ht="15" customHeight="1" x14ac:dyDescent="0.25">
      <c r="A1292" s="14"/>
      <c r="B1292" s="28" t="str">
        <f>IF(ISNUMBER(MATCH(C1292, Mgt_Unit!$C$5:$C$1018, 0)), INDEX(Mgt_Unit!$B$5:$B$1018, MATCH(C1292, Mgt_Unit!$C$5:$C$1018, 0)), "")</f>
        <v>jennifer.moore</v>
      </c>
      <c r="C1292" t="s">
        <v>985</v>
      </c>
      <c r="D1292" s="65"/>
      <c r="E1292">
        <v>1</v>
      </c>
      <c r="F1292" t="s">
        <v>1538</v>
      </c>
      <c r="G1292" t="s">
        <v>1544</v>
      </c>
      <c r="H1292" t="s">
        <v>51</v>
      </c>
      <c r="I1292" t="s">
        <v>137</v>
      </c>
      <c r="J1292" s="89">
        <v>43221</v>
      </c>
      <c r="K1292" s="89">
        <v>43380</v>
      </c>
      <c r="L1292"/>
      <c r="M1292" s="31">
        <v>0</v>
      </c>
      <c r="N1292" s="9"/>
      <c r="O1292" s="33"/>
      <c r="P1292" s="33"/>
      <c r="Q1292" s="9"/>
      <c r="R1292" s="67"/>
      <c r="S1292" s="9"/>
    </row>
    <row r="1293" spans="1:19" ht="15" customHeight="1" x14ac:dyDescent="0.25">
      <c r="A1293" s="14"/>
      <c r="B1293" s="28" t="str">
        <f>IF(ISNUMBER(MATCH(C1293, Mgt_Unit!$C$5:$C$1018, 0)), INDEX(Mgt_Unit!$B$5:$B$1018, MATCH(C1293, Mgt_Unit!$C$5:$C$1018, 0)), "")</f>
        <v>jennifer.moore</v>
      </c>
      <c r="C1293" s="87" t="s">
        <v>985</v>
      </c>
      <c r="D1293" s="65"/>
      <c r="E1293" s="87">
        <v>2</v>
      </c>
      <c r="F1293" s="87" t="s">
        <v>1538</v>
      </c>
      <c r="G1293" s="87" t="s">
        <v>1544</v>
      </c>
      <c r="H1293" s="87" t="s">
        <v>50</v>
      </c>
      <c r="I1293" s="87" t="s">
        <v>87</v>
      </c>
      <c r="J1293" s="90">
        <v>43581</v>
      </c>
      <c r="K1293" s="90">
        <v>43766</v>
      </c>
      <c r="L1293" s="87"/>
      <c r="M1293" s="93">
        <v>0</v>
      </c>
      <c r="N1293" s="9"/>
      <c r="O1293" s="33"/>
      <c r="P1293" s="33"/>
      <c r="Q1293" s="9"/>
      <c r="R1293" s="67"/>
      <c r="S1293" s="9"/>
    </row>
    <row r="1294" spans="1:19" ht="15" customHeight="1" x14ac:dyDescent="0.25">
      <c r="A1294" s="14"/>
      <c r="B1294" s="28" t="str">
        <f>IF(ISNUMBER(MATCH(C1294, Mgt_Unit!$C$5:$C$1018, 0)), INDEX(Mgt_Unit!$B$5:$B$1018, MATCH(C1294, Mgt_Unit!$C$5:$C$1018, 0)), "")</f>
        <v>jennifer.moore</v>
      </c>
      <c r="C1294" s="88" t="s">
        <v>986</v>
      </c>
      <c r="D1294" s="65"/>
      <c r="E1294" s="88">
        <v>1</v>
      </c>
      <c r="F1294" s="88" t="s">
        <v>1538</v>
      </c>
      <c r="G1294" s="88" t="s">
        <v>1544</v>
      </c>
      <c r="H1294" s="88" t="s">
        <v>50</v>
      </c>
      <c r="I1294" s="88" t="s">
        <v>87</v>
      </c>
      <c r="J1294" s="91">
        <v>43581</v>
      </c>
      <c r="K1294" s="91">
        <v>43758</v>
      </c>
      <c r="L1294" s="88"/>
      <c r="M1294" s="94">
        <v>0</v>
      </c>
      <c r="N1294" s="9"/>
      <c r="O1294" s="33"/>
      <c r="P1294" s="33"/>
      <c r="Q1294" s="9"/>
      <c r="R1294" s="67"/>
      <c r="S1294" s="9"/>
    </row>
    <row r="1295" spans="1:19" ht="15" customHeight="1" x14ac:dyDescent="0.25">
      <c r="A1295" s="14"/>
      <c r="B1295" s="28" t="str">
        <f>IF(ISNUMBER(MATCH(C1295, Mgt_Unit!$C$5:$C$1018, 0)), INDEX(Mgt_Unit!$B$5:$B$1018, MATCH(C1295, Mgt_Unit!$C$5:$C$1018, 0)), "")</f>
        <v>jennifer.moore</v>
      </c>
      <c r="C1295" s="88" t="s">
        <v>1330</v>
      </c>
      <c r="D1295" s="65"/>
      <c r="E1295" s="87">
        <v>1</v>
      </c>
      <c r="F1295" s="88" t="s">
        <v>1537</v>
      </c>
      <c r="G1295" s="88" t="s">
        <v>1536</v>
      </c>
      <c r="H1295" s="88" t="s">
        <v>1549</v>
      </c>
      <c r="I1295" s="88" t="s">
        <v>1554</v>
      </c>
      <c r="J1295" s="91">
        <v>43466</v>
      </c>
      <c r="K1295" s="91">
        <v>43830</v>
      </c>
      <c r="L1295" s="87"/>
      <c r="M1295" s="94">
        <v>0</v>
      </c>
      <c r="N1295" s="9"/>
      <c r="O1295" s="33"/>
      <c r="P1295" s="33"/>
      <c r="Q1295" s="9"/>
      <c r="R1295" s="67"/>
      <c r="S1295" s="9"/>
    </row>
    <row r="1296" spans="1:19" ht="15" customHeight="1" x14ac:dyDescent="0.25">
      <c r="A1296" s="14"/>
      <c r="B1296" s="28" t="str">
        <f>IF(ISNUMBER(MATCH(C1296, Mgt_Unit!$C$5:$C$1018, 0)), INDEX(Mgt_Unit!$B$5:$B$1018, MATCH(C1296, Mgt_Unit!$C$5:$C$1018, 0)), "")</f>
        <v>jennifer.moore</v>
      </c>
      <c r="C1296" s="108" t="s">
        <v>1331</v>
      </c>
      <c r="D1296" s="65"/>
      <c r="E1296" s="108">
        <v>1</v>
      </c>
      <c r="F1296" s="108" t="s">
        <v>1537</v>
      </c>
      <c r="G1296" s="108" t="s">
        <v>1536</v>
      </c>
      <c r="H1296" s="108" t="s">
        <v>442</v>
      </c>
      <c r="I1296" s="108" t="s">
        <v>65</v>
      </c>
      <c r="J1296" s="111">
        <v>43101</v>
      </c>
      <c r="K1296" s="111"/>
      <c r="L1296" s="111">
        <v>43830</v>
      </c>
      <c r="M1296" s="112">
        <v>0</v>
      </c>
      <c r="N1296" s="9"/>
      <c r="O1296" s="33"/>
      <c r="P1296" s="33"/>
      <c r="Q1296" s="9"/>
      <c r="R1296" s="67"/>
      <c r="S1296" s="9"/>
    </row>
    <row r="1297" spans="1:19" ht="15" customHeight="1" x14ac:dyDescent="0.25">
      <c r="A1297" s="14"/>
      <c r="B1297" s="28" t="str">
        <f>IF(ISNUMBER(MATCH(C1297, Mgt_Unit!$C$5:$C$1018, 0)), INDEX(Mgt_Unit!$B$5:$B$1018, MATCH(C1297, Mgt_Unit!$C$5:$C$1018, 0)), "")</f>
        <v>jennifer.moore</v>
      </c>
      <c r="C1297" s="87" t="s">
        <v>987</v>
      </c>
      <c r="D1297" s="65"/>
      <c r="E1297" s="87">
        <v>1</v>
      </c>
      <c r="F1297" s="87" t="s">
        <v>1538</v>
      </c>
      <c r="G1297" s="87" t="s">
        <v>1544</v>
      </c>
      <c r="H1297" s="87" t="s">
        <v>50</v>
      </c>
      <c r="I1297" s="87" t="s">
        <v>87</v>
      </c>
      <c r="J1297" s="90">
        <v>43263</v>
      </c>
      <c r="K1297" s="90">
        <v>43393</v>
      </c>
      <c r="L1297" s="87"/>
      <c r="M1297" s="93">
        <v>0</v>
      </c>
      <c r="N1297" s="9"/>
      <c r="O1297" s="33"/>
      <c r="P1297" s="33"/>
      <c r="Q1297" s="9"/>
      <c r="R1297" s="67"/>
      <c r="S1297" s="9"/>
    </row>
    <row r="1298" spans="1:19" ht="15" customHeight="1" x14ac:dyDescent="0.25">
      <c r="A1298" s="14"/>
      <c r="B1298" s="28" t="str">
        <f>IF(ISNUMBER(MATCH(C1298, Mgt_Unit!$C$5:$C$1018, 0)), INDEX(Mgt_Unit!$B$5:$B$1018, MATCH(C1298, Mgt_Unit!$C$5:$C$1018, 0)), "")</f>
        <v>jennifer.moore</v>
      </c>
      <c r="C1298" s="88" t="s">
        <v>988</v>
      </c>
      <c r="D1298" s="65"/>
      <c r="E1298" s="88">
        <v>1</v>
      </c>
      <c r="F1298" s="88" t="s">
        <v>1538</v>
      </c>
      <c r="G1298" s="88" t="s">
        <v>1544</v>
      </c>
      <c r="H1298" s="88" t="s">
        <v>50</v>
      </c>
      <c r="I1298" s="88" t="s">
        <v>87</v>
      </c>
      <c r="J1298" s="91">
        <v>43263</v>
      </c>
      <c r="K1298" s="91">
        <v>43393</v>
      </c>
      <c r="L1298" s="88"/>
      <c r="M1298" s="94">
        <v>90</v>
      </c>
      <c r="N1298" s="9"/>
      <c r="O1298" s="33"/>
      <c r="P1298" s="33"/>
      <c r="Q1298" s="9"/>
      <c r="R1298" s="67"/>
      <c r="S1298" s="9"/>
    </row>
    <row r="1299" spans="1:19" ht="15" customHeight="1" x14ac:dyDescent="0.25">
      <c r="A1299" s="14"/>
      <c r="B1299" s="28" t="str">
        <f>IF(ISNUMBER(MATCH(C1299, Mgt_Unit!$C$5:$C$1018, 0)), INDEX(Mgt_Unit!$B$5:$B$1018, MATCH(C1299, Mgt_Unit!$C$5:$C$1018, 0)), "")</f>
        <v>jennifer.moore</v>
      </c>
      <c r="C1299" s="88" t="s">
        <v>989</v>
      </c>
      <c r="D1299" s="65"/>
      <c r="E1299" s="88">
        <v>1</v>
      </c>
      <c r="F1299" s="88" t="s">
        <v>1538</v>
      </c>
      <c r="G1299" s="88" t="s">
        <v>1544</v>
      </c>
      <c r="H1299" s="88" t="s">
        <v>50</v>
      </c>
      <c r="I1299" s="88" t="s">
        <v>87</v>
      </c>
      <c r="J1299" s="91">
        <v>43262</v>
      </c>
      <c r="K1299" s="91">
        <v>43393</v>
      </c>
      <c r="L1299" s="88"/>
      <c r="M1299" s="94">
        <v>0</v>
      </c>
      <c r="N1299" s="9"/>
      <c r="O1299" s="33"/>
      <c r="P1299" s="33"/>
      <c r="Q1299" s="9"/>
      <c r="R1299" s="67"/>
      <c r="S1299" s="9"/>
    </row>
    <row r="1300" spans="1:19" ht="15" customHeight="1" x14ac:dyDescent="0.25">
      <c r="A1300" s="14"/>
      <c r="B1300" s="28" t="str">
        <f>IF(ISNUMBER(MATCH(C1300, Mgt_Unit!$C$5:$C$1018, 0)), INDEX(Mgt_Unit!$B$5:$B$1018, MATCH(C1300, Mgt_Unit!$C$5:$C$1018, 0)), "")</f>
        <v>jennifer.moore</v>
      </c>
      <c r="C1300" s="88" t="s">
        <v>990</v>
      </c>
      <c r="D1300" s="65"/>
      <c r="E1300" s="88">
        <v>1</v>
      </c>
      <c r="F1300" s="88" t="s">
        <v>1538</v>
      </c>
      <c r="G1300" s="88" t="s">
        <v>1544</v>
      </c>
      <c r="H1300" s="88" t="s">
        <v>50</v>
      </c>
      <c r="I1300" s="88" t="s">
        <v>87</v>
      </c>
      <c r="J1300" s="91">
        <v>43262</v>
      </c>
      <c r="K1300" s="91">
        <v>43393</v>
      </c>
      <c r="L1300" s="88"/>
      <c r="M1300" s="94">
        <v>90</v>
      </c>
      <c r="N1300" s="9"/>
      <c r="O1300" s="33"/>
      <c r="P1300" s="33"/>
      <c r="Q1300" s="9"/>
      <c r="R1300" s="67"/>
      <c r="S1300" s="9"/>
    </row>
    <row r="1301" spans="1:19" ht="15" customHeight="1" x14ac:dyDescent="0.25">
      <c r="A1301" s="14"/>
      <c r="B1301" s="28" t="str">
        <f>IF(ISNUMBER(MATCH(C1301, Mgt_Unit!$C$5:$C$1018, 0)), INDEX(Mgt_Unit!$B$5:$B$1018, MATCH(C1301, Mgt_Unit!$C$5:$C$1018, 0)), "")</f>
        <v>jennifer.moore</v>
      </c>
      <c r="C1301" s="108" t="s">
        <v>1332</v>
      </c>
      <c r="D1301" s="65"/>
      <c r="E1301" s="108">
        <v>1</v>
      </c>
      <c r="F1301" s="108" t="s">
        <v>1537</v>
      </c>
      <c r="G1301" s="108" t="s">
        <v>1536</v>
      </c>
      <c r="H1301" s="108" t="s">
        <v>442</v>
      </c>
      <c r="I1301" s="108" t="s">
        <v>65</v>
      </c>
      <c r="J1301" s="111">
        <v>43101</v>
      </c>
      <c r="K1301" s="111"/>
      <c r="L1301" s="111">
        <v>43830</v>
      </c>
      <c r="M1301" s="112">
        <v>0</v>
      </c>
      <c r="N1301" s="9"/>
      <c r="O1301" s="33"/>
      <c r="P1301" s="33"/>
      <c r="Q1301" s="9"/>
      <c r="R1301" s="67"/>
      <c r="S1301" s="9"/>
    </row>
    <row r="1302" spans="1:19" ht="15" customHeight="1" x14ac:dyDescent="0.25">
      <c r="A1302" s="14"/>
      <c r="B1302" s="28" t="str">
        <f>IF(ISNUMBER(MATCH(C1302, Mgt_Unit!$C$5:$C$1018, 0)), INDEX(Mgt_Unit!$B$5:$B$1018, MATCH(C1302, Mgt_Unit!$C$5:$C$1018, 0)), "")</f>
        <v>jennifer.moore</v>
      </c>
      <c r="C1302" s="88" t="s">
        <v>991</v>
      </c>
      <c r="D1302" s="65"/>
      <c r="E1302" s="88">
        <v>1</v>
      </c>
      <c r="F1302" s="88" t="s">
        <v>1538</v>
      </c>
      <c r="G1302" s="88" t="s">
        <v>1544</v>
      </c>
      <c r="H1302" s="88" t="s">
        <v>50</v>
      </c>
      <c r="I1302" s="88" t="s">
        <v>87</v>
      </c>
      <c r="J1302" s="91">
        <v>43260</v>
      </c>
      <c r="K1302" s="91">
        <v>43368</v>
      </c>
      <c r="L1302" s="88"/>
      <c r="M1302" s="94">
        <v>0</v>
      </c>
      <c r="N1302" s="9"/>
      <c r="O1302" s="33"/>
      <c r="P1302" s="33"/>
      <c r="Q1302" s="9"/>
      <c r="R1302" s="67"/>
      <c r="S1302" s="9"/>
    </row>
    <row r="1303" spans="1:19" ht="15" customHeight="1" x14ac:dyDescent="0.25">
      <c r="A1303" s="14"/>
      <c r="B1303" s="28" t="str">
        <f>IF(ISNUMBER(MATCH(C1303, Mgt_Unit!$C$5:$C$1018, 0)), INDEX(Mgt_Unit!$B$5:$B$1018, MATCH(C1303, Mgt_Unit!$C$5:$C$1018, 0)), "")</f>
        <v>jennifer.moore</v>
      </c>
      <c r="C1303" s="88" t="s">
        <v>992</v>
      </c>
      <c r="D1303" s="65"/>
      <c r="E1303" s="88">
        <v>1</v>
      </c>
      <c r="F1303" s="88" t="s">
        <v>1538</v>
      </c>
      <c r="G1303" s="88" t="s">
        <v>1544</v>
      </c>
      <c r="H1303" s="88" t="s">
        <v>50</v>
      </c>
      <c r="I1303" s="88" t="s">
        <v>87</v>
      </c>
      <c r="J1303" s="91">
        <v>43261</v>
      </c>
      <c r="K1303" s="91">
        <v>43368</v>
      </c>
      <c r="L1303" s="88"/>
      <c r="M1303" s="94">
        <v>0</v>
      </c>
      <c r="N1303" s="9"/>
      <c r="O1303" s="33"/>
      <c r="P1303" s="33"/>
      <c r="Q1303" s="9"/>
      <c r="R1303" s="67"/>
      <c r="S1303" s="9"/>
    </row>
    <row r="1304" spans="1:19" ht="15" customHeight="1" x14ac:dyDescent="0.25">
      <c r="A1304" s="14"/>
      <c r="B1304" s="28" t="str">
        <f>IF(ISNUMBER(MATCH(C1304, Mgt_Unit!$C$5:$C$1018, 0)), INDEX(Mgt_Unit!$B$5:$B$1018, MATCH(C1304, Mgt_Unit!$C$5:$C$1018, 0)), "")</f>
        <v>jennifer.moore</v>
      </c>
      <c r="C1304" s="108" t="s">
        <v>1333</v>
      </c>
      <c r="D1304" s="65"/>
      <c r="E1304" s="108">
        <v>1</v>
      </c>
      <c r="F1304" s="108" t="s">
        <v>1537</v>
      </c>
      <c r="G1304" s="108" t="s">
        <v>1536</v>
      </c>
      <c r="H1304" s="108" t="s">
        <v>442</v>
      </c>
      <c r="I1304" s="108" t="s">
        <v>65</v>
      </c>
      <c r="J1304" s="111">
        <v>43101</v>
      </c>
      <c r="K1304" s="111"/>
      <c r="L1304" s="111">
        <v>43830</v>
      </c>
      <c r="M1304" s="112">
        <v>0</v>
      </c>
      <c r="N1304" s="9"/>
      <c r="O1304" s="33"/>
      <c r="P1304" s="33"/>
      <c r="Q1304" s="9"/>
      <c r="R1304" s="67"/>
      <c r="S1304" s="9"/>
    </row>
    <row r="1305" spans="1:19" ht="15" customHeight="1" x14ac:dyDescent="0.25">
      <c r="A1305" s="14"/>
      <c r="B1305" s="28" t="str">
        <f>IF(ISNUMBER(MATCH(C1305, Mgt_Unit!$C$5:$C$1018, 0)), INDEX(Mgt_Unit!$B$5:$B$1018, MATCH(C1305, Mgt_Unit!$C$5:$C$1018, 0)), "")</f>
        <v>jennifer.moore</v>
      </c>
      <c r="C1305" s="88" t="s">
        <v>993</v>
      </c>
      <c r="D1305" s="65"/>
      <c r="E1305" s="88">
        <v>1</v>
      </c>
      <c r="F1305" s="88" t="s">
        <v>1538</v>
      </c>
      <c r="G1305" s="88" t="s">
        <v>1544</v>
      </c>
      <c r="H1305" s="88" t="s">
        <v>50</v>
      </c>
      <c r="I1305" s="88" t="s">
        <v>87</v>
      </c>
      <c r="J1305" s="91">
        <v>43261</v>
      </c>
      <c r="K1305" s="91">
        <v>43368</v>
      </c>
      <c r="L1305" s="88"/>
      <c r="M1305" s="94">
        <v>0</v>
      </c>
      <c r="N1305" s="9"/>
      <c r="O1305" s="33"/>
      <c r="P1305" s="33"/>
      <c r="Q1305" s="9"/>
      <c r="R1305" s="67"/>
      <c r="S1305" s="9"/>
    </row>
    <row r="1306" spans="1:19" ht="15" customHeight="1" x14ac:dyDescent="0.25">
      <c r="A1306" s="14"/>
      <c r="B1306" s="28" t="str">
        <f>IF(ISNUMBER(MATCH(C1306, Mgt_Unit!$C$5:$C$1018, 0)), INDEX(Mgt_Unit!$B$5:$B$1018, MATCH(C1306, Mgt_Unit!$C$5:$C$1018, 0)), "")</f>
        <v>jennifer.moore</v>
      </c>
      <c r="C1306" s="88" t="s">
        <v>994</v>
      </c>
      <c r="D1306" s="65"/>
      <c r="E1306" s="88">
        <v>1</v>
      </c>
      <c r="F1306" s="88" t="s">
        <v>1538</v>
      </c>
      <c r="G1306" s="88" t="s">
        <v>1544</v>
      </c>
      <c r="H1306" s="88" t="s">
        <v>50</v>
      </c>
      <c r="I1306" s="88" t="s">
        <v>87</v>
      </c>
      <c r="J1306" s="91">
        <v>43262</v>
      </c>
      <c r="K1306" s="91">
        <v>43368</v>
      </c>
      <c r="L1306" s="88"/>
      <c r="M1306" s="94">
        <v>0</v>
      </c>
      <c r="N1306" s="9"/>
      <c r="O1306" s="33"/>
      <c r="P1306" s="33"/>
      <c r="Q1306" s="9"/>
      <c r="R1306" s="67"/>
      <c r="S1306" s="9"/>
    </row>
    <row r="1307" spans="1:19" ht="15" customHeight="1" x14ac:dyDescent="0.25">
      <c r="A1307" s="14"/>
      <c r="B1307" s="28" t="str">
        <f>IF(ISNUMBER(MATCH(C1307, Mgt_Unit!$C$5:$C$1018, 0)), INDEX(Mgt_Unit!$B$5:$B$1018, MATCH(C1307, Mgt_Unit!$C$5:$C$1018, 0)), "")</f>
        <v>jennifer.moore</v>
      </c>
      <c r="C1307" s="108" t="s">
        <v>1334</v>
      </c>
      <c r="D1307" s="65"/>
      <c r="E1307" s="108">
        <v>1</v>
      </c>
      <c r="F1307" s="108" t="s">
        <v>1537</v>
      </c>
      <c r="G1307" s="108" t="s">
        <v>1536</v>
      </c>
      <c r="H1307" s="108" t="s">
        <v>442</v>
      </c>
      <c r="I1307" s="108" t="s">
        <v>65</v>
      </c>
      <c r="J1307" s="111">
        <v>43101</v>
      </c>
      <c r="K1307" s="111"/>
      <c r="L1307" s="111">
        <v>43830</v>
      </c>
      <c r="M1307" s="112">
        <v>0</v>
      </c>
      <c r="N1307" s="9"/>
      <c r="O1307" s="33"/>
      <c r="P1307" s="33"/>
      <c r="Q1307" s="9"/>
      <c r="R1307" s="67"/>
      <c r="S1307" s="9"/>
    </row>
    <row r="1308" spans="1:19" ht="15" customHeight="1" x14ac:dyDescent="0.25">
      <c r="A1308" s="14"/>
      <c r="B1308" s="28" t="str">
        <f>IF(ISNUMBER(MATCH(C1308, Mgt_Unit!$C$5:$C$1018, 0)), INDEX(Mgt_Unit!$B$5:$B$1018, MATCH(C1308, Mgt_Unit!$C$5:$C$1018, 0)), "")</f>
        <v>jennifer.moore</v>
      </c>
      <c r="C1308" t="s">
        <v>995</v>
      </c>
      <c r="D1308" s="65"/>
      <c r="E1308">
        <v>1</v>
      </c>
      <c r="F1308" t="s">
        <v>1537</v>
      </c>
      <c r="G1308" t="s">
        <v>1544</v>
      </c>
      <c r="H1308" t="s">
        <v>50</v>
      </c>
      <c r="I1308" t="s">
        <v>87</v>
      </c>
      <c r="J1308" s="89">
        <v>43259</v>
      </c>
      <c r="K1308" s="89">
        <v>43393</v>
      </c>
      <c r="L1308"/>
      <c r="M1308" s="31">
        <v>0</v>
      </c>
      <c r="N1308" s="9"/>
      <c r="O1308" s="33"/>
      <c r="P1308" s="33"/>
      <c r="Q1308" s="9"/>
      <c r="R1308" s="67"/>
      <c r="S1308" s="9"/>
    </row>
    <row r="1309" spans="1:19" ht="15" customHeight="1" x14ac:dyDescent="0.25">
      <c r="A1309" s="14"/>
      <c r="B1309" s="28" t="str">
        <f>IF(ISNUMBER(MATCH(C1309, Mgt_Unit!$C$5:$C$1018, 0)), INDEX(Mgt_Unit!$B$5:$B$1018, MATCH(C1309, Mgt_Unit!$C$5:$C$1018, 0)), "")</f>
        <v>jennifer.moore</v>
      </c>
      <c r="C1309" t="s">
        <v>995</v>
      </c>
      <c r="D1309" s="65"/>
      <c r="E1309">
        <v>1</v>
      </c>
      <c r="F1309" t="s">
        <v>1537</v>
      </c>
      <c r="G1309" t="s">
        <v>1535</v>
      </c>
      <c r="H1309" t="s">
        <v>441</v>
      </c>
      <c r="I1309" t="s">
        <v>167</v>
      </c>
      <c r="J1309" s="89">
        <v>43271</v>
      </c>
      <c r="K1309" s="89">
        <v>43393</v>
      </c>
      <c r="L1309"/>
      <c r="M1309" s="31"/>
      <c r="N1309" s="9"/>
      <c r="O1309" s="33"/>
      <c r="P1309" s="33"/>
      <c r="Q1309" s="9"/>
      <c r="R1309" s="67"/>
      <c r="S1309" s="9" t="s">
        <v>1563</v>
      </c>
    </row>
    <row r="1310" spans="1:19" ht="15" customHeight="1" x14ac:dyDescent="0.25">
      <c r="A1310" s="14"/>
      <c r="B1310" s="28" t="str">
        <f>IF(ISNUMBER(MATCH(C1310, Mgt_Unit!$C$5:$C$1018, 0)), INDEX(Mgt_Unit!$B$5:$B$1018, MATCH(C1310, Mgt_Unit!$C$5:$C$1018, 0)), "")</f>
        <v>jennifer.moore</v>
      </c>
      <c r="C1310" t="s">
        <v>995</v>
      </c>
      <c r="D1310" s="65"/>
      <c r="E1310">
        <v>1</v>
      </c>
      <c r="F1310" t="s">
        <v>1537</v>
      </c>
      <c r="G1310" t="s">
        <v>1535</v>
      </c>
      <c r="H1310" t="s">
        <v>442</v>
      </c>
      <c r="I1310" t="s">
        <v>190</v>
      </c>
      <c r="J1310" s="89">
        <v>43271</v>
      </c>
      <c r="K1310" s="89">
        <v>43393</v>
      </c>
      <c r="L1310"/>
      <c r="M1310" s="31"/>
      <c r="N1310" s="9"/>
      <c r="O1310" s="33"/>
      <c r="P1310" s="33"/>
      <c r="Q1310" s="9"/>
      <c r="R1310" s="67"/>
      <c r="S1310" s="9"/>
    </row>
    <row r="1311" spans="1:19" ht="15" customHeight="1" x14ac:dyDescent="0.25">
      <c r="A1311" s="14"/>
      <c r="B1311" s="28" t="str">
        <f>IF(ISNUMBER(MATCH(C1311, Mgt_Unit!$C$5:$C$1018, 0)), INDEX(Mgt_Unit!$B$5:$B$1018, MATCH(C1311, Mgt_Unit!$C$5:$C$1018, 0)), "")</f>
        <v>jennifer.moore</v>
      </c>
      <c r="C1311" t="s">
        <v>995</v>
      </c>
      <c r="D1311" s="65"/>
      <c r="E1311">
        <v>1</v>
      </c>
      <c r="F1311" t="s">
        <v>1537</v>
      </c>
      <c r="G1311" t="s">
        <v>1535</v>
      </c>
      <c r="H1311" t="s">
        <v>442</v>
      </c>
      <c r="I1311" t="s">
        <v>178</v>
      </c>
      <c r="J1311" s="89">
        <v>43271</v>
      </c>
      <c r="K1311" s="89">
        <v>43393</v>
      </c>
      <c r="L1311"/>
      <c r="M1311" s="31"/>
      <c r="N1311" s="9"/>
      <c r="O1311" s="33"/>
      <c r="P1311" s="33"/>
      <c r="Q1311" s="9"/>
      <c r="R1311" s="67"/>
      <c r="S1311" s="9"/>
    </row>
    <row r="1312" spans="1:19" ht="15" customHeight="1" x14ac:dyDescent="0.25">
      <c r="A1312" s="14"/>
      <c r="B1312" s="28" t="str">
        <f>IF(ISNUMBER(MATCH(C1312, Mgt_Unit!$C$5:$C$1018, 0)), INDEX(Mgt_Unit!$B$5:$B$1018, MATCH(C1312, Mgt_Unit!$C$5:$C$1018, 0)), "")</f>
        <v>jennifer.moore</v>
      </c>
      <c r="C1312" s="87" t="s">
        <v>995</v>
      </c>
      <c r="D1312" s="65"/>
      <c r="E1312" s="87">
        <v>1</v>
      </c>
      <c r="F1312" s="87" t="s">
        <v>1537</v>
      </c>
      <c r="G1312" s="87" t="s">
        <v>1535</v>
      </c>
      <c r="H1312" s="87" t="s">
        <v>442</v>
      </c>
      <c r="I1312" s="87" t="s">
        <v>248</v>
      </c>
      <c r="J1312" s="90">
        <v>43271</v>
      </c>
      <c r="K1312" s="89">
        <v>43393</v>
      </c>
      <c r="L1312" s="87"/>
      <c r="M1312" s="93"/>
      <c r="N1312" s="9"/>
      <c r="O1312" s="33"/>
      <c r="P1312" s="33"/>
      <c r="Q1312" s="9"/>
      <c r="R1312" s="67"/>
      <c r="S1312" s="9"/>
    </row>
    <row r="1313" spans="1:19" ht="15" customHeight="1" x14ac:dyDescent="0.25">
      <c r="A1313" s="14"/>
      <c r="B1313" s="28" t="str">
        <f>IF(ISNUMBER(MATCH(C1313, Mgt_Unit!$C$5:$C$1018, 0)), INDEX(Mgt_Unit!$B$5:$B$1018, MATCH(C1313, Mgt_Unit!$C$5:$C$1018, 0)), "")</f>
        <v>jennifer.moore</v>
      </c>
      <c r="C1313" s="88" t="s">
        <v>996</v>
      </c>
      <c r="D1313" s="65"/>
      <c r="E1313" s="88">
        <v>1</v>
      </c>
      <c r="F1313" s="88" t="s">
        <v>1538</v>
      </c>
      <c r="G1313" s="88" t="s">
        <v>1544</v>
      </c>
      <c r="H1313" s="88" t="s">
        <v>50</v>
      </c>
      <c r="I1313" s="88" t="s">
        <v>87</v>
      </c>
      <c r="J1313" s="91">
        <v>43259</v>
      </c>
      <c r="K1313" s="91">
        <v>43393</v>
      </c>
      <c r="L1313" s="88"/>
      <c r="M1313" s="94">
        <v>0</v>
      </c>
      <c r="N1313" s="9"/>
      <c r="O1313" s="33"/>
      <c r="P1313" s="33"/>
      <c r="Q1313" s="9"/>
      <c r="R1313" s="67"/>
      <c r="S1313" s="9"/>
    </row>
    <row r="1314" spans="1:19" ht="15" customHeight="1" x14ac:dyDescent="0.25">
      <c r="A1314" s="14"/>
      <c r="B1314" s="28" t="str">
        <f>IF(ISNUMBER(MATCH(C1314, Mgt_Unit!$C$5:$C$1018, 0)), INDEX(Mgt_Unit!$B$5:$B$1018, MATCH(C1314, Mgt_Unit!$C$5:$C$1018, 0)), "")</f>
        <v>jennifer.moore</v>
      </c>
      <c r="C1314" t="s">
        <v>997</v>
      </c>
      <c r="D1314" s="65"/>
      <c r="E1314">
        <v>1</v>
      </c>
      <c r="F1314" t="s">
        <v>1537</v>
      </c>
      <c r="G1314" t="s">
        <v>1544</v>
      </c>
      <c r="H1314" t="s">
        <v>50</v>
      </c>
      <c r="I1314" t="s">
        <v>87</v>
      </c>
      <c r="J1314" s="89">
        <v>43259</v>
      </c>
      <c r="K1314" s="89">
        <v>43393</v>
      </c>
      <c r="L1314"/>
      <c r="M1314" s="31">
        <v>0</v>
      </c>
      <c r="N1314" s="9"/>
      <c r="O1314" s="33"/>
      <c r="P1314" s="33"/>
      <c r="Q1314" s="9"/>
      <c r="R1314" s="67"/>
      <c r="S1314" s="9"/>
    </row>
    <row r="1315" spans="1:19" ht="15" customHeight="1" x14ac:dyDescent="0.25">
      <c r="A1315" s="14"/>
      <c r="B1315" s="28" t="str">
        <f>IF(ISNUMBER(MATCH(C1315, Mgt_Unit!$C$5:$C$1018, 0)), INDEX(Mgt_Unit!$B$5:$B$1018, MATCH(C1315, Mgt_Unit!$C$5:$C$1018, 0)), "")</f>
        <v>jennifer.moore</v>
      </c>
      <c r="C1315" t="s">
        <v>997</v>
      </c>
      <c r="D1315" s="65"/>
      <c r="E1315">
        <v>1</v>
      </c>
      <c r="F1315" t="s">
        <v>1537</v>
      </c>
      <c r="G1315" t="s">
        <v>1535</v>
      </c>
      <c r="H1315" t="s">
        <v>441</v>
      </c>
      <c r="I1315" t="s">
        <v>167</v>
      </c>
      <c r="J1315" s="89">
        <v>43271</v>
      </c>
      <c r="K1315" s="89">
        <v>43393</v>
      </c>
      <c r="L1315"/>
      <c r="M1315" s="31"/>
      <c r="N1315" s="9"/>
      <c r="O1315" s="33"/>
      <c r="P1315" s="33"/>
      <c r="Q1315" s="9"/>
      <c r="R1315" s="67"/>
      <c r="S1315" s="9" t="s">
        <v>1563</v>
      </c>
    </row>
    <row r="1316" spans="1:19" ht="15" customHeight="1" x14ac:dyDescent="0.25">
      <c r="A1316" s="14"/>
      <c r="B1316" s="28" t="str">
        <f>IF(ISNUMBER(MATCH(C1316, Mgt_Unit!$C$5:$C$1018, 0)), INDEX(Mgt_Unit!$B$5:$B$1018, MATCH(C1316, Mgt_Unit!$C$5:$C$1018, 0)), "")</f>
        <v>jennifer.moore</v>
      </c>
      <c r="C1316" t="s">
        <v>997</v>
      </c>
      <c r="D1316" s="65"/>
      <c r="E1316">
        <v>1</v>
      </c>
      <c r="F1316" t="s">
        <v>1537</v>
      </c>
      <c r="G1316" t="s">
        <v>1535</v>
      </c>
      <c r="H1316" t="s">
        <v>442</v>
      </c>
      <c r="I1316" t="s">
        <v>190</v>
      </c>
      <c r="J1316" s="89">
        <v>43271</v>
      </c>
      <c r="K1316" s="89">
        <v>43393</v>
      </c>
      <c r="L1316"/>
      <c r="M1316" s="31"/>
      <c r="N1316" s="9"/>
      <c r="O1316" s="33"/>
      <c r="P1316" s="33"/>
      <c r="Q1316" s="9"/>
      <c r="R1316" s="67"/>
      <c r="S1316" s="9"/>
    </row>
    <row r="1317" spans="1:19" ht="15" customHeight="1" x14ac:dyDescent="0.25">
      <c r="A1317" s="14"/>
      <c r="B1317" s="28" t="str">
        <f>IF(ISNUMBER(MATCH(C1317, Mgt_Unit!$C$5:$C$1018, 0)), INDEX(Mgt_Unit!$B$5:$B$1018, MATCH(C1317, Mgt_Unit!$C$5:$C$1018, 0)), "")</f>
        <v>jennifer.moore</v>
      </c>
      <c r="C1317" t="s">
        <v>997</v>
      </c>
      <c r="D1317" s="65"/>
      <c r="E1317">
        <v>1</v>
      </c>
      <c r="F1317" t="s">
        <v>1537</v>
      </c>
      <c r="G1317" t="s">
        <v>1535</v>
      </c>
      <c r="H1317" t="s">
        <v>442</v>
      </c>
      <c r="I1317" t="s">
        <v>178</v>
      </c>
      <c r="J1317" s="89">
        <v>43271</v>
      </c>
      <c r="K1317" s="89">
        <v>43393</v>
      </c>
      <c r="L1317"/>
      <c r="M1317" s="31"/>
      <c r="N1317" s="9"/>
      <c r="O1317" s="33"/>
      <c r="P1317" s="33"/>
      <c r="Q1317" s="9"/>
      <c r="R1317" s="67"/>
      <c r="S1317" s="9"/>
    </row>
    <row r="1318" spans="1:19" ht="15" customHeight="1" x14ac:dyDescent="0.25">
      <c r="A1318" s="14"/>
      <c r="B1318" s="28" t="str">
        <f>IF(ISNUMBER(MATCH(C1318, Mgt_Unit!$C$5:$C$1018, 0)), INDEX(Mgt_Unit!$B$5:$B$1018, MATCH(C1318, Mgt_Unit!$C$5:$C$1018, 0)), "")</f>
        <v>jennifer.moore</v>
      </c>
      <c r="C1318" s="87" t="s">
        <v>997</v>
      </c>
      <c r="D1318" s="65"/>
      <c r="E1318" s="87">
        <v>1</v>
      </c>
      <c r="F1318" s="87" t="s">
        <v>1537</v>
      </c>
      <c r="G1318" s="87" t="s">
        <v>1535</v>
      </c>
      <c r="H1318" s="87" t="s">
        <v>442</v>
      </c>
      <c r="I1318" s="87" t="s">
        <v>248</v>
      </c>
      <c r="J1318" s="90">
        <v>43271</v>
      </c>
      <c r="K1318" s="89">
        <v>43393</v>
      </c>
      <c r="L1318" s="87"/>
      <c r="M1318" s="93"/>
      <c r="N1318" s="9"/>
      <c r="O1318" s="33"/>
      <c r="P1318" s="33"/>
      <c r="Q1318" s="9"/>
      <c r="R1318" s="67"/>
      <c r="S1318" s="9"/>
    </row>
    <row r="1319" spans="1:19" ht="15" customHeight="1" x14ac:dyDescent="0.25">
      <c r="A1319" s="14"/>
      <c r="B1319" s="28" t="str">
        <f>IF(ISNUMBER(MATCH(C1319, Mgt_Unit!$C$5:$C$1018, 0)), INDEX(Mgt_Unit!$B$5:$B$1018, MATCH(C1319, Mgt_Unit!$C$5:$C$1018, 0)), "")</f>
        <v>jennifer.moore</v>
      </c>
      <c r="C1319" s="88" t="s">
        <v>998</v>
      </c>
      <c r="D1319" s="65"/>
      <c r="E1319" s="88">
        <v>1</v>
      </c>
      <c r="F1319" s="88" t="s">
        <v>1538</v>
      </c>
      <c r="G1319" s="88" t="s">
        <v>1544</v>
      </c>
      <c r="H1319" s="88" t="s">
        <v>50</v>
      </c>
      <c r="I1319" s="88" t="s">
        <v>87</v>
      </c>
      <c r="J1319" s="91">
        <v>43259</v>
      </c>
      <c r="K1319" s="91">
        <v>43393</v>
      </c>
      <c r="L1319" s="88"/>
      <c r="M1319" s="94">
        <v>0</v>
      </c>
      <c r="N1319" s="9"/>
      <c r="O1319" s="33"/>
      <c r="P1319" s="33"/>
      <c r="Q1319" s="9"/>
      <c r="R1319" s="67"/>
      <c r="S1319" s="9"/>
    </row>
    <row r="1320" spans="1:19" ht="15" customHeight="1" x14ac:dyDescent="0.25">
      <c r="A1320" s="14"/>
      <c r="B1320" s="28" t="str">
        <f>IF(ISNUMBER(MATCH(C1320, Mgt_Unit!$C$5:$C$1018, 0)), INDEX(Mgt_Unit!$B$5:$B$1018, MATCH(C1320, Mgt_Unit!$C$5:$C$1018, 0)), "")</f>
        <v>jennifer.moore</v>
      </c>
      <c r="C1320" s="88" t="s">
        <v>999</v>
      </c>
      <c r="D1320" s="65"/>
      <c r="E1320" s="88">
        <v>1</v>
      </c>
      <c r="F1320" s="88" t="s">
        <v>1538</v>
      </c>
      <c r="G1320" s="88" t="s">
        <v>1544</v>
      </c>
      <c r="H1320" s="88" t="s">
        <v>50</v>
      </c>
      <c r="I1320" s="88" t="s">
        <v>87</v>
      </c>
      <c r="J1320" s="91">
        <v>43244</v>
      </c>
      <c r="K1320" s="91">
        <v>43384</v>
      </c>
      <c r="L1320" s="88"/>
      <c r="M1320" s="94">
        <v>0</v>
      </c>
      <c r="N1320" s="9"/>
      <c r="O1320" s="33"/>
      <c r="P1320" s="33"/>
      <c r="Q1320" s="9"/>
      <c r="R1320" s="67"/>
      <c r="S1320" s="9"/>
    </row>
    <row r="1321" spans="1:19" ht="15" customHeight="1" x14ac:dyDescent="0.25">
      <c r="A1321" s="14"/>
      <c r="B1321" s="28" t="str">
        <f>IF(ISNUMBER(MATCH(C1321, Mgt_Unit!$C$5:$C$1018, 0)), INDEX(Mgt_Unit!$B$5:$B$1018, MATCH(C1321, Mgt_Unit!$C$5:$C$1018, 0)), "")</f>
        <v>jennifer.moore</v>
      </c>
      <c r="C1321" t="s">
        <v>1000</v>
      </c>
      <c r="D1321" s="65"/>
      <c r="E1321">
        <v>1</v>
      </c>
      <c r="F1321" t="s">
        <v>1538</v>
      </c>
      <c r="G1321" t="s">
        <v>1544</v>
      </c>
      <c r="H1321" t="s">
        <v>50</v>
      </c>
      <c r="I1321" t="s">
        <v>87</v>
      </c>
      <c r="J1321" s="89">
        <v>42514</v>
      </c>
      <c r="K1321" s="89">
        <v>42654</v>
      </c>
      <c r="L1321"/>
      <c r="M1321" s="31">
        <v>0</v>
      </c>
      <c r="N1321" s="9"/>
      <c r="O1321" s="33"/>
      <c r="P1321" s="33"/>
      <c r="Q1321" s="9"/>
      <c r="R1321" s="67"/>
      <c r="S1321" s="9"/>
    </row>
    <row r="1322" spans="1:19" ht="15" customHeight="1" x14ac:dyDescent="0.25">
      <c r="A1322" s="14"/>
      <c r="B1322" s="28" t="str">
        <f>IF(ISNUMBER(MATCH(C1322, Mgt_Unit!$C$5:$C$1018, 0)), INDEX(Mgt_Unit!$B$5:$B$1018, MATCH(C1322, Mgt_Unit!$C$5:$C$1018, 0)), "")</f>
        <v>jennifer.moore</v>
      </c>
      <c r="C1322" s="87" t="s">
        <v>1000</v>
      </c>
      <c r="D1322" s="65"/>
      <c r="E1322" s="87">
        <v>2</v>
      </c>
      <c r="F1322" s="87" t="s">
        <v>1538</v>
      </c>
      <c r="G1322" s="87" t="s">
        <v>1536</v>
      </c>
      <c r="H1322" s="87" t="s">
        <v>442</v>
      </c>
      <c r="I1322" s="87" t="s">
        <v>190</v>
      </c>
      <c r="J1322" s="90">
        <v>42893</v>
      </c>
      <c r="K1322" s="90">
        <v>43384</v>
      </c>
      <c r="L1322" s="90">
        <v>43384</v>
      </c>
      <c r="M1322" s="93">
        <v>90</v>
      </c>
      <c r="N1322" s="9"/>
      <c r="O1322" s="33"/>
      <c r="P1322" s="33"/>
      <c r="Q1322" s="9"/>
      <c r="R1322" s="67"/>
      <c r="S1322" s="9" t="s">
        <v>1594</v>
      </c>
    </row>
    <row r="1323" spans="1:19" ht="15" customHeight="1" x14ac:dyDescent="0.25">
      <c r="A1323" s="14"/>
      <c r="B1323" s="28" t="str">
        <f>IF(ISNUMBER(MATCH(C1323, Mgt_Unit!$C$5:$C$1018, 0)), INDEX(Mgt_Unit!$B$5:$B$1018, MATCH(C1323, Mgt_Unit!$C$5:$C$1018, 0)), "")</f>
        <v>jennifer.moore</v>
      </c>
      <c r="C1323" t="s">
        <v>1001</v>
      </c>
      <c r="D1323" s="65"/>
      <c r="E1323">
        <v>1</v>
      </c>
      <c r="F1323" t="s">
        <v>1538</v>
      </c>
      <c r="G1323" t="s">
        <v>1544</v>
      </c>
      <c r="H1323" t="s">
        <v>50</v>
      </c>
      <c r="I1323" t="s">
        <v>87</v>
      </c>
      <c r="J1323" s="89">
        <v>42879</v>
      </c>
      <c r="K1323" s="89">
        <v>43019</v>
      </c>
      <c r="L1323"/>
      <c r="M1323" s="31">
        <v>0</v>
      </c>
      <c r="N1323" s="9"/>
      <c r="O1323" s="33"/>
      <c r="P1323" s="33"/>
      <c r="Q1323" s="9"/>
      <c r="R1323" s="67"/>
      <c r="S1323" s="9"/>
    </row>
    <row r="1324" spans="1:19" ht="15" customHeight="1" x14ac:dyDescent="0.25">
      <c r="A1324" s="14"/>
      <c r="B1324" s="28" t="str">
        <f>IF(ISNUMBER(MATCH(C1324, Mgt_Unit!$C$5:$C$1018, 0)), INDEX(Mgt_Unit!$B$5:$B$1018, MATCH(C1324, Mgt_Unit!$C$5:$C$1018, 0)), "")</f>
        <v>jennifer.moore</v>
      </c>
      <c r="C1324" s="87" t="s">
        <v>1001</v>
      </c>
      <c r="D1324" s="65"/>
      <c r="E1324" s="87">
        <v>2</v>
      </c>
      <c r="F1324" s="87" t="s">
        <v>1538</v>
      </c>
      <c r="G1324" s="87" t="s">
        <v>1544</v>
      </c>
      <c r="H1324" s="87" t="s">
        <v>51</v>
      </c>
      <c r="I1324" s="87" t="s">
        <v>137</v>
      </c>
      <c r="J1324" s="90">
        <v>43244</v>
      </c>
      <c r="K1324" s="90">
        <v>43384</v>
      </c>
      <c r="L1324" s="87"/>
      <c r="M1324" s="93">
        <v>0</v>
      </c>
      <c r="N1324" s="9"/>
      <c r="O1324" s="33"/>
      <c r="P1324" s="33"/>
      <c r="Q1324" s="9"/>
      <c r="R1324" s="67"/>
      <c r="S1324" s="9"/>
    </row>
    <row r="1325" spans="1:19" ht="15" customHeight="1" x14ac:dyDescent="0.25">
      <c r="A1325" s="14"/>
      <c r="B1325" s="28" t="str">
        <f>IF(ISNUMBER(MATCH(C1325, Mgt_Unit!$C$5:$C$1018, 0)), INDEX(Mgt_Unit!$B$5:$B$1018, MATCH(C1325, Mgt_Unit!$C$5:$C$1018, 0)), "")</f>
        <v>jennifer.moore</v>
      </c>
      <c r="C1325" s="88" t="s">
        <v>1002</v>
      </c>
      <c r="D1325" s="65"/>
      <c r="E1325" s="88">
        <v>1</v>
      </c>
      <c r="F1325" s="88" t="s">
        <v>1538</v>
      </c>
      <c r="G1325" s="88" t="s">
        <v>1544</v>
      </c>
      <c r="H1325" s="88" t="s">
        <v>50</v>
      </c>
      <c r="I1325" s="88" t="s">
        <v>87</v>
      </c>
      <c r="J1325" s="91">
        <v>43244</v>
      </c>
      <c r="K1325" s="91">
        <v>43384</v>
      </c>
      <c r="L1325" s="88"/>
      <c r="M1325" s="94">
        <v>0</v>
      </c>
      <c r="N1325" s="9"/>
      <c r="O1325" s="33"/>
      <c r="P1325" s="33"/>
      <c r="Q1325" s="9"/>
      <c r="R1325" s="67"/>
      <c r="S1325" s="9"/>
    </row>
    <row r="1326" spans="1:19" ht="15" customHeight="1" x14ac:dyDescent="0.25">
      <c r="A1326" s="14"/>
      <c r="B1326" s="28" t="str">
        <f>IF(ISNUMBER(MATCH(C1326, Mgt_Unit!$C$5:$C$1018, 0)), INDEX(Mgt_Unit!$B$5:$B$1018, MATCH(C1326, Mgt_Unit!$C$5:$C$1018, 0)), "")</f>
        <v>jennifer.moore</v>
      </c>
      <c r="C1326" t="s">
        <v>1003</v>
      </c>
      <c r="D1326" s="65"/>
      <c r="E1326">
        <v>1</v>
      </c>
      <c r="F1326" t="s">
        <v>1538</v>
      </c>
      <c r="G1326" t="s">
        <v>1544</v>
      </c>
      <c r="H1326" t="s">
        <v>50</v>
      </c>
      <c r="I1326" t="s">
        <v>87</v>
      </c>
      <c r="J1326" s="89">
        <v>42514</v>
      </c>
      <c r="K1326" s="89">
        <v>42654</v>
      </c>
      <c r="L1326"/>
      <c r="M1326" s="31">
        <v>0</v>
      </c>
      <c r="N1326" s="9"/>
      <c r="O1326" s="33"/>
      <c r="P1326" s="33"/>
      <c r="Q1326" s="9"/>
      <c r="R1326" s="67"/>
      <c r="S1326" s="9"/>
    </row>
    <row r="1327" spans="1:19" ht="15" customHeight="1" x14ac:dyDescent="0.25">
      <c r="A1327" s="14"/>
      <c r="B1327" s="28" t="str">
        <f>IF(ISNUMBER(MATCH(C1327, Mgt_Unit!$C$5:$C$1018, 0)), INDEX(Mgt_Unit!$B$5:$B$1018, MATCH(C1327, Mgt_Unit!$C$5:$C$1018, 0)), "")</f>
        <v>jennifer.moore</v>
      </c>
      <c r="C1327" s="87" t="s">
        <v>1003</v>
      </c>
      <c r="D1327" s="65"/>
      <c r="E1327" s="87">
        <v>2</v>
      </c>
      <c r="F1327" s="87" t="s">
        <v>1538</v>
      </c>
      <c r="G1327" s="87" t="s">
        <v>1536</v>
      </c>
      <c r="H1327" s="87" t="s">
        <v>442</v>
      </c>
      <c r="I1327" s="87" t="s">
        <v>190</v>
      </c>
      <c r="J1327" s="90">
        <v>42893</v>
      </c>
      <c r="K1327" s="90">
        <v>43384</v>
      </c>
      <c r="L1327" s="90">
        <v>43384</v>
      </c>
      <c r="M1327" s="93">
        <v>90</v>
      </c>
      <c r="N1327" s="9"/>
      <c r="O1327" s="33"/>
      <c r="P1327" s="33"/>
      <c r="Q1327" s="9"/>
      <c r="R1327" s="67"/>
      <c r="S1327" s="9" t="s">
        <v>1594</v>
      </c>
    </row>
    <row r="1328" spans="1:19" ht="15" customHeight="1" x14ac:dyDescent="0.25">
      <c r="A1328" s="14"/>
      <c r="B1328" s="28" t="str">
        <f>IF(ISNUMBER(MATCH(C1328, Mgt_Unit!$C$5:$C$1018, 0)), INDEX(Mgt_Unit!$B$5:$B$1018, MATCH(C1328, Mgt_Unit!$C$5:$C$1018, 0)), "")</f>
        <v>jennifer.moore</v>
      </c>
      <c r="C1328" t="s">
        <v>1004</v>
      </c>
      <c r="D1328" s="65"/>
      <c r="E1328">
        <v>1</v>
      </c>
      <c r="F1328" t="s">
        <v>1538</v>
      </c>
      <c r="G1328" t="s">
        <v>1544</v>
      </c>
      <c r="H1328" t="s">
        <v>50</v>
      </c>
      <c r="I1328" t="s">
        <v>87</v>
      </c>
      <c r="J1328" s="89">
        <v>42879</v>
      </c>
      <c r="K1328" s="89">
        <v>43019</v>
      </c>
      <c r="L1328"/>
      <c r="M1328" s="31">
        <v>0</v>
      </c>
      <c r="N1328" s="9"/>
      <c r="O1328" s="33"/>
      <c r="P1328" s="33"/>
      <c r="Q1328" s="9"/>
      <c r="R1328" s="67"/>
      <c r="S1328" s="9"/>
    </row>
    <row r="1329" spans="1:19" ht="15" customHeight="1" x14ac:dyDescent="0.25">
      <c r="A1329" s="14"/>
      <c r="B1329" s="28" t="str">
        <f>IF(ISNUMBER(MATCH(C1329, Mgt_Unit!$C$5:$C$1018, 0)), INDEX(Mgt_Unit!$B$5:$B$1018, MATCH(C1329, Mgt_Unit!$C$5:$C$1018, 0)), "")</f>
        <v>jennifer.moore</v>
      </c>
      <c r="C1329" s="87" t="s">
        <v>1004</v>
      </c>
      <c r="D1329" s="65"/>
      <c r="E1329" s="87">
        <v>2</v>
      </c>
      <c r="F1329" s="87" t="s">
        <v>1538</v>
      </c>
      <c r="G1329" s="87" t="s">
        <v>1544</v>
      </c>
      <c r="H1329" s="87" t="s">
        <v>51</v>
      </c>
      <c r="I1329" s="87" t="s">
        <v>137</v>
      </c>
      <c r="J1329" s="90">
        <v>43258</v>
      </c>
      <c r="K1329" s="90">
        <v>43384</v>
      </c>
      <c r="L1329" s="87"/>
      <c r="M1329" s="93">
        <v>0</v>
      </c>
      <c r="N1329" s="9"/>
      <c r="O1329" s="33"/>
      <c r="P1329" s="33"/>
      <c r="Q1329" s="9"/>
      <c r="R1329" s="67"/>
      <c r="S1329" s="9"/>
    </row>
    <row r="1330" spans="1:19" ht="15" customHeight="1" x14ac:dyDescent="0.25">
      <c r="A1330" s="14"/>
      <c r="B1330" s="28" t="str">
        <f>IF(ISNUMBER(MATCH(C1330, Mgt_Unit!$C$5:$C$1018, 0)), INDEX(Mgt_Unit!$B$5:$B$1018, MATCH(C1330, Mgt_Unit!$C$5:$C$1018, 0)), "")</f>
        <v>jennifer.moore</v>
      </c>
      <c r="C1330" s="88" t="s">
        <v>1005</v>
      </c>
      <c r="D1330" s="65"/>
      <c r="E1330" s="88">
        <v>1</v>
      </c>
      <c r="F1330" s="88" t="s">
        <v>1538</v>
      </c>
      <c r="G1330" s="88" t="s">
        <v>1544</v>
      </c>
      <c r="H1330" s="88" t="s">
        <v>50</v>
      </c>
      <c r="I1330" s="88" t="s">
        <v>87</v>
      </c>
      <c r="J1330" s="91">
        <v>43244</v>
      </c>
      <c r="K1330" s="91">
        <v>43384</v>
      </c>
      <c r="L1330" s="88"/>
      <c r="M1330" s="94">
        <v>0</v>
      </c>
      <c r="N1330" s="9"/>
      <c r="O1330" s="33"/>
      <c r="P1330" s="33"/>
      <c r="Q1330" s="9"/>
      <c r="R1330" s="67"/>
      <c r="S1330" s="9"/>
    </row>
    <row r="1331" spans="1:19" ht="15" customHeight="1" x14ac:dyDescent="0.25">
      <c r="A1331" s="14"/>
      <c r="B1331" s="28" t="str">
        <f>IF(ISNUMBER(MATCH(C1331, Mgt_Unit!$C$5:$C$1018, 0)), INDEX(Mgt_Unit!$B$5:$B$1018, MATCH(C1331, Mgt_Unit!$C$5:$C$1018, 0)), "")</f>
        <v>jennifer.moore</v>
      </c>
      <c r="C1331" t="s">
        <v>1006</v>
      </c>
      <c r="D1331" s="65"/>
      <c r="E1331">
        <v>1</v>
      </c>
      <c r="F1331" t="s">
        <v>1538</v>
      </c>
      <c r="G1331" t="s">
        <v>1544</v>
      </c>
      <c r="H1331" t="s">
        <v>50</v>
      </c>
      <c r="I1331" t="s">
        <v>87</v>
      </c>
      <c r="J1331" s="89">
        <v>42514</v>
      </c>
      <c r="K1331" s="89">
        <v>42654</v>
      </c>
      <c r="L1331"/>
      <c r="M1331" s="31">
        <v>0</v>
      </c>
      <c r="N1331" s="9"/>
      <c r="O1331" s="33"/>
      <c r="P1331" s="33"/>
      <c r="Q1331" s="9"/>
      <c r="R1331" s="67"/>
      <c r="S1331" s="9"/>
    </row>
    <row r="1332" spans="1:19" ht="15" customHeight="1" x14ac:dyDescent="0.25">
      <c r="A1332" s="14"/>
      <c r="B1332" s="28" t="str">
        <f>IF(ISNUMBER(MATCH(C1332, Mgt_Unit!$C$5:$C$1018, 0)), INDEX(Mgt_Unit!$B$5:$B$1018, MATCH(C1332, Mgt_Unit!$C$5:$C$1018, 0)), "")</f>
        <v>jennifer.moore</v>
      </c>
      <c r="C1332" s="87" t="s">
        <v>1006</v>
      </c>
      <c r="D1332" s="65"/>
      <c r="E1332" s="87">
        <v>2</v>
      </c>
      <c r="F1332" s="87" t="s">
        <v>1538</v>
      </c>
      <c r="G1332" s="87" t="s">
        <v>1536</v>
      </c>
      <c r="H1332" s="87" t="s">
        <v>442</v>
      </c>
      <c r="I1332" s="87" t="s">
        <v>190</v>
      </c>
      <c r="J1332" s="90">
        <v>42893</v>
      </c>
      <c r="K1332" s="90">
        <v>43384</v>
      </c>
      <c r="L1332" s="90">
        <v>43384</v>
      </c>
      <c r="M1332" s="93">
        <v>90</v>
      </c>
      <c r="N1332" s="9"/>
      <c r="O1332" s="33"/>
      <c r="P1332" s="33"/>
      <c r="Q1332" s="9"/>
      <c r="R1332" s="67"/>
      <c r="S1332" s="9" t="s">
        <v>1594</v>
      </c>
    </row>
    <row r="1333" spans="1:19" ht="15" customHeight="1" x14ac:dyDescent="0.25">
      <c r="A1333" s="14"/>
      <c r="B1333" s="28" t="str">
        <f>IF(ISNUMBER(MATCH(C1333, Mgt_Unit!$C$5:$C$1018, 0)), INDEX(Mgt_Unit!$B$5:$B$1018, MATCH(C1333, Mgt_Unit!$C$5:$C$1018, 0)), "")</f>
        <v>jennifer.moore</v>
      </c>
      <c r="C1333" t="s">
        <v>1007</v>
      </c>
      <c r="D1333" s="65"/>
      <c r="E1333">
        <v>1</v>
      </c>
      <c r="F1333" t="s">
        <v>1538</v>
      </c>
      <c r="G1333" t="s">
        <v>1544</v>
      </c>
      <c r="H1333" t="s">
        <v>50</v>
      </c>
      <c r="I1333" t="s">
        <v>87</v>
      </c>
      <c r="J1333" s="89">
        <v>42879</v>
      </c>
      <c r="K1333" s="89">
        <v>43019</v>
      </c>
      <c r="L1333"/>
      <c r="M1333" s="31">
        <v>0</v>
      </c>
      <c r="N1333" s="9"/>
      <c r="O1333" s="33"/>
      <c r="P1333" s="33"/>
      <c r="Q1333" s="9"/>
      <c r="R1333" s="67"/>
      <c r="S1333" s="9"/>
    </row>
    <row r="1334" spans="1:19" ht="15" customHeight="1" x14ac:dyDescent="0.25">
      <c r="A1334" s="14"/>
      <c r="B1334" s="28" t="str">
        <f>IF(ISNUMBER(MATCH(C1334, Mgt_Unit!$C$5:$C$1018, 0)), INDEX(Mgt_Unit!$B$5:$B$1018, MATCH(C1334, Mgt_Unit!$C$5:$C$1018, 0)), "")</f>
        <v>jennifer.moore</v>
      </c>
      <c r="C1334" s="87" t="s">
        <v>1007</v>
      </c>
      <c r="D1334" s="65"/>
      <c r="E1334" s="87">
        <v>2</v>
      </c>
      <c r="F1334" s="87" t="s">
        <v>1538</v>
      </c>
      <c r="G1334" s="87" t="s">
        <v>1544</v>
      </c>
      <c r="H1334" s="87" t="s">
        <v>51</v>
      </c>
      <c r="I1334" s="87" t="s">
        <v>137</v>
      </c>
      <c r="J1334" s="90">
        <v>43244</v>
      </c>
      <c r="K1334" s="90">
        <v>43384</v>
      </c>
      <c r="L1334" s="87"/>
      <c r="M1334" s="93">
        <v>0</v>
      </c>
      <c r="N1334" s="9"/>
      <c r="O1334" s="33"/>
      <c r="P1334" s="33"/>
      <c r="Q1334" s="9"/>
      <c r="R1334" s="67"/>
      <c r="S1334" s="9"/>
    </row>
    <row r="1335" spans="1:19" ht="15" customHeight="1" x14ac:dyDescent="0.25">
      <c r="A1335" s="14"/>
      <c r="B1335" s="28" t="str">
        <f>IF(ISNUMBER(MATCH(C1335, Mgt_Unit!$C$5:$C$1018, 0)), INDEX(Mgt_Unit!$B$5:$B$1018, MATCH(C1335, Mgt_Unit!$C$5:$C$1018, 0)), "")</f>
        <v>jennifer.moore</v>
      </c>
      <c r="C1335" s="88" t="s">
        <v>1008</v>
      </c>
      <c r="D1335" s="65"/>
      <c r="E1335" s="88">
        <v>1</v>
      </c>
      <c r="F1335" s="88" t="s">
        <v>1538</v>
      </c>
      <c r="G1335" s="88" t="s">
        <v>1544</v>
      </c>
      <c r="H1335" s="88" t="s">
        <v>50</v>
      </c>
      <c r="I1335" s="88" t="s">
        <v>87</v>
      </c>
      <c r="J1335" s="91">
        <v>43241</v>
      </c>
      <c r="K1335" s="91">
        <v>43404</v>
      </c>
      <c r="L1335" s="88"/>
      <c r="M1335" s="94">
        <v>0</v>
      </c>
      <c r="N1335" s="9"/>
      <c r="O1335" s="33"/>
      <c r="P1335" s="33"/>
      <c r="Q1335" s="9"/>
      <c r="R1335" s="67"/>
      <c r="S1335" s="9"/>
    </row>
    <row r="1336" spans="1:19" ht="15" customHeight="1" x14ac:dyDescent="0.25">
      <c r="A1336" s="14"/>
      <c r="B1336" s="28" t="str">
        <f>IF(ISNUMBER(MATCH(C1336, Mgt_Unit!$C$5:$C$1018, 0)), INDEX(Mgt_Unit!$B$5:$B$1018, MATCH(C1336, Mgt_Unit!$C$5:$C$1018, 0)), "")</f>
        <v>jennifer.moore</v>
      </c>
      <c r="C1336" t="s">
        <v>1009</v>
      </c>
      <c r="D1336" s="65"/>
      <c r="E1336">
        <v>1</v>
      </c>
      <c r="F1336" t="s">
        <v>1538</v>
      </c>
      <c r="G1336" t="s">
        <v>1544</v>
      </c>
      <c r="H1336" t="s">
        <v>50</v>
      </c>
      <c r="I1336" t="s">
        <v>87</v>
      </c>
      <c r="J1336" s="89">
        <v>42515</v>
      </c>
      <c r="K1336" s="89">
        <v>42675</v>
      </c>
      <c r="L1336"/>
      <c r="M1336" s="31">
        <v>0</v>
      </c>
      <c r="N1336" s="9"/>
      <c r="O1336" s="33"/>
      <c r="P1336" s="33"/>
      <c r="Q1336" s="9"/>
      <c r="R1336" s="67"/>
      <c r="S1336" s="9"/>
    </row>
    <row r="1337" spans="1:19" ht="15" customHeight="1" x14ac:dyDescent="0.25">
      <c r="A1337" s="14"/>
      <c r="B1337" s="28" t="str">
        <f>IF(ISNUMBER(MATCH(C1337, Mgt_Unit!$C$5:$C$1018, 0)), INDEX(Mgt_Unit!$B$5:$B$1018, MATCH(C1337, Mgt_Unit!$C$5:$C$1018, 0)), "")</f>
        <v>jennifer.moore</v>
      </c>
      <c r="C1337" s="87" t="s">
        <v>1009</v>
      </c>
      <c r="D1337" s="65"/>
      <c r="E1337" s="87">
        <v>2</v>
      </c>
      <c r="F1337" s="87" t="s">
        <v>1538</v>
      </c>
      <c r="G1337" s="87" t="s">
        <v>1536</v>
      </c>
      <c r="H1337" s="87" t="s">
        <v>442</v>
      </c>
      <c r="I1337" s="87" t="s">
        <v>65</v>
      </c>
      <c r="J1337" s="90">
        <v>42887</v>
      </c>
      <c r="K1337" s="90">
        <v>43404</v>
      </c>
      <c r="L1337" s="90">
        <v>43404</v>
      </c>
      <c r="M1337" s="93">
        <v>90</v>
      </c>
      <c r="N1337" s="9"/>
      <c r="O1337" s="33"/>
      <c r="P1337" s="33"/>
      <c r="Q1337" s="9"/>
      <c r="R1337" s="67"/>
      <c r="S1337" s="9" t="s">
        <v>1595</v>
      </c>
    </row>
    <row r="1338" spans="1:19" ht="15" customHeight="1" x14ac:dyDescent="0.25">
      <c r="A1338" s="14"/>
      <c r="B1338" s="28" t="str">
        <f>IF(ISNUMBER(MATCH(C1338, Mgt_Unit!$C$5:$C$1018, 0)), INDEX(Mgt_Unit!$B$5:$B$1018, MATCH(C1338, Mgt_Unit!$C$5:$C$1018, 0)), "")</f>
        <v>jennifer.moore</v>
      </c>
      <c r="C1338" t="s">
        <v>1010</v>
      </c>
      <c r="D1338" s="65"/>
      <c r="E1338">
        <v>1</v>
      </c>
      <c r="F1338" t="s">
        <v>1538</v>
      </c>
      <c r="G1338" t="s">
        <v>1544</v>
      </c>
      <c r="H1338" t="s">
        <v>50</v>
      </c>
      <c r="I1338" t="s">
        <v>87</v>
      </c>
      <c r="J1338" s="89">
        <v>42898</v>
      </c>
      <c r="K1338" s="89">
        <v>43039</v>
      </c>
      <c r="L1338"/>
      <c r="M1338" s="31">
        <v>0</v>
      </c>
      <c r="N1338" s="9"/>
      <c r="O1338" s="33"/>
      <c r="P1338" s="33"/>
      <c r="Q1338" s="9"/>
      <c r="R1338" s="67"/>
      <c r="S1338" s="9"/>
    </row>
    <row r="1339" spans="1:19" ht="15" customHeight="1" x14ac:dyDescent="0.25">
      <c r="A1339" s="14"/>
      <c r="B1339" s="28" t="str">
        <f>IF(ISNUMBER(MATCH(C1339, Mgt_Unit!$C$5:$C$1018, 0)), INDEX(Mgt_Unit!$B$5:$B$1018, MATCH(C1339, Mgt_Unit!$C$5:$C$1018, 0)), "")</f>
        <v>jennifer.moore</v>
      </c>
      <c r="C1339" s="87" t="s">
        <v>1010</v>
      </c>
      <c r="D1339" s="65"/>
      <c r="E1339" s="87">
        <v>2</v>
      </c>
      <c r="F1339" s="87" t="s">
        <v>1538</v>
      </c>
      <c r="G1339" s="87" t="s">
        <v>1544</v>
      </c>
      <c r="H1339" s="87" t="s">
        <v>51</v>
      </c>
      <c r="I1339" s="87" t="s">
        <v>137</v>
      </c>
      <c r="J1339" s="90">
        <v>43245</v>
      </c>
      <c r="K1339" s="90">
        <v>43404</v>
      </c>
      <c r="L1339" s="87"/>
      <c r="M1339" s="93">
        <v>0</v>
      </c>
      <c r="N1339" s="9"/>
      <c r="O1339" s="33"/>
      <c r="P1339" s="33"/>
      <c r="Q1339" s="9"/>
      <c r="R1339" s="67"/>
      <c r="S1339" s="9"/>
    </row>
    <row r="1340" spans="1:19" ht="15" customHeight="1" x14ac:dyDescent="0.25">
      <c r="A1340" s="14"/>
      <c r="B1340" s="28" t="str">
        <f>IF(ISNUMBER(MATCH(C1340, Mgt_Unit!$C$5:$C$1018, 0)), INDEX(Mgt_Unit!$B$5:$B$1018, MATCH(C1340, Mgt_Unit!$C$5:$C$1018, 0)), "")</f>
        <v>jennifer.moore</v>
      </c>
      <c r="C1340" s="88" t="s">
        <v>1011</v>
      </c>
      <c r="D1340" s="65"/>
      <c r="E1340" s="88">
        <v>1</v>
      </c>
      <c r="F1340" s="88" t="s">
        <v>1538</v>
      </c>
      <c r="G1340" s="88" t="s">
        <v>1544</v>
      </c>
      <c r="H1340" s="88" t="s">
        <v>50</v>
      </c>
      <c r="I1340" s="88" t="s">
        <v>87</v>
      </c>
      <c r="J1340" s="91">
        <v>43241</v>
      </c>
      <c r="K1340" s="91">
        <v>43404</v>
      </c>
      <c r="L1340" s="88"/>
      <c r="M1340" s="94">
        <v>0</v>
      </c>
      <c r="N1340" s="9"/>
      <c r="O1340" s="33"/>
      <c r="P1340" s="33"/>
      <c r="Q1340" s="9"/>
      <c r="R1340" s="67"/>
      <c r="S1340" s="9"/>
    </row>
    <row r="1341" spans="1:19" ht="15" customHeight="1" x14ac:dyDescent="0.25">
      <c r="A1341" s="14"/>
      <c r="B1341" s="28" t="str">
        <f>IF(ISNUMBER(MATCH(C1341, Mgt_Unit!$C$5:$C$1018, 0)), INDEX(Mgt_Unit!$B$5:$B$1018, MATCH(C1341, Mgt_Unit!$C$5:$C$1018, 0)), "")</f>
        <v>jennifer.moore</v>
      </c>
      <c r="C1341" t="s">
        <v>1012</v>
      </c>
      <c r="D1341" s="65"/>
      <c r="E1341">
        <v>1</v>
      </c>
      <c r="F1341" t="s">
        <v>1538</v>
      </c>
      <c r="G1341" t="s">
        <v>1544</v>
      </c>
      <c r="H1341" t="s">
        <v>50</v>
      </c>
      <c r="I1341" t="s">
        <v>87</v>
      </c>
      <c r="J1341" s="89">
        <v>42515</v>
      </c>
      <c r="K1341" s="89">
        <v>42675</v>
      </c>
      <c r="L1341"/>
      <c r="M1341" s="31">
        <v>0</v>
      </c>
      <c r="N1341" s="9"/>
      <c r="O1341" s="33"/>
      <c r="P1341" s="33"/>
      <c r="Q1341" s="9"/>
      <c r="R1341" s="67"/>
      <c r="S1341" s="9"/>
    </row>
    <row r="1342" spans="1:19" ht="15" customHeight="1" x14ac:dyDescent="0.25">
      <c r="A1342" s="14"/>
      <c r="B1342" s="28" t="str">
        <f>IF(ISNUMBER(MATCH(C1342, Mgt_Unit!$C$5:$C$1018, 0)), INDEX(Mgt_Unit!$B$5:$B$1018, MATCH(C1342, Mgt_Unit!$C$5:$C$1018, 0)), "")</f>
        <v>jennifer.moore</v>
      </c>
      <c r="C1342" s="87" t="s">
        <v>1012</v>
      </c>
      <c r="D1342" s="65"/>
      <c r="E1342" s="87">
        <v>2</v>
      </c>
      <c r="F1342" s="87" t="s">
        <v>1538</v>
      </c>
      <c r="G1342" s="87" t="s">
        <v>1536</v>
      </c>
      <c r="H1342" s="87" t="s">
        <v>442</v>
      </c>
      <c r="I1342" s="87" t="s">
        <v>65</v>
      </c>
      <c r="J1342" s="90">
        <v>42872</v>
      </c>
      <c r="K1342" s="90">
        <v>43404</v>
      </c>
      <c r="L1342" s="90">
        <v>43404</v>
      </c>
      <c r="M1342" s="93">
        <v>90</v>
      </c>
      <c r="N1342" s="9"/>
      <c r="O1342" s="33"/>
      <c r="P1342" s="33"/>
      <c r="Q1342" s="9"/>
      <c r="R1342" s="67"/>
      <c r="S1342" s="9" t="s">
        <v>1595</v>
      </c>
    </row>
    <row r="1343" spans="1:19" ht="15" customHeight="1" x14ac:dyDescent="0.25">
      <c r="A1343" s="14"/>
      <c r="B1343" s="28" t="str">
        <f>IF(ISNUMBER(MATCH(C1343, Mgt_Unit!$C$5:$C$1018, 0)), INDEX(Mgt_Unit!$B$5:$B$1018, MATCH(C1343, Mgt_Unit!$C$5:$C$1018, 0)), "")</f>
        <v>jennifer.moore</v>
      </c>
      <c r="C1343" t="s">
        <v>1013</v>
      </c>
      <c r="D1343" s="65"/>
      <c r="E1343">
        <v>1</v>
      </c>
      <c r="F1343" t="s">
        <v>1538</v>
      </c>
      <c r="G1343" t="s">
        <v>1544</v>
      </c>
      <c r="H1343" t="s">
        <v>50</v>
      </c>
      <c r="I1343" t="s">
        <v>87</v>
      </c>
      <c r="J1343" s="89">
        <v>42898</v>
      </c>
      <c r="K1343" s="89">
        <v>43039</v>
      </c>
      <c r="L1343"/>
      <c r="M1343" s="31">
        <v>0</v>
      </c>
      <c r="N1343" s="9"/>
      <c r="O1343" s="33"/>
      <c r="P1343" s="33"/>
      <c r="Q1343" s="9"/>
      <c r="R1343" s="67"/>
      <c r="S1343" s="9"/>
    </row>
    <row r="1344" spans="1:19" ht="15" customHeight="1" x14ac:dyDescent="0.25">
      <c r="A1344" s="14"/>
      <c r="B1344" s="28" t="str">
        <f>IF(ISNUMBER(MATCH(C1344, Mgt_Unit!$C$5:$C$1018, 0)), INDEX(Mgt_Unit!$B$5:$B$1018, MATCH(C1344, Mgt_Unit!$C$5:$C$1018, 0)), "")</f>
        <v>jennifer.moore</v>
      </c>
      <c r="C1344" s="87" t="s">
        <v>1013</v>
      </c>
      <c r="D1344" s="65"/>
      <c r="E1344" s="87">
        <v>2</v>
      </c>
      <c r="F1344" s="87" t="s">
        <v>1538</v>
      </c>
      <c r="G1344" s="87" t="s">
        <v>1544</v>
      </c>
      <c r="H1344" s="87" t="s">
        <v>51</v>
      </c>
      <c r="I1344" s="87" t="s">
        <v>137</v>
      </c>
      <c r="J1344" s="90">
        <v>43241</v>
      </c>
      <c r="K1344" s="90">
        <v>43404</v>
      </c>
      <c r="L1344" s="87"/>
      <c r="M1344" s="93">
        <v>0</v>
      </c>
      <c r="N1344" s="9"/>
      <c r="O1344" s="33"/>
      <c r="P1344" s="33"/>
      <c r="Q1344" s="9"/>
      <c r="R1344" s="67"/>
      <c r="S1344" s="9"/>
    </row>
    <row r="1345" spans="1:19" ht="15" customHeight="1" x14ac:dyDescent="0.25">
      <c r="A1345" s="14"/>
      <c r="B1345" s="28" t="str">
        <f>IF(ISNUMBER(MATCH(C1345, Mgt_Unit!$C$5:$C$1018, 0)), INDEX(Mgt_Unit!$B$5:$B$1018, MATCH(C1345, Mgt_Unit!$C$5:$C$1018, 0)), "")</f>
        <v>jennifer.moore</v>
      </c>
      <c r="C1345" s="88" t="s">
        <v>1014</v>
      </c>
      <c r="D1345" s="65"/>
      <c r="E1345" s="88">
        <v>1</v>
      </c>
      <c r="F1345" s="88" t="s">
        <v>1538</v>
      </c>
      <c r="G1345" s="88" t="s">
        <v>1544</v>
      </c>
      <c r="H1345" s="88" t="s">
        <v>50</v>
      </c>
      <c r="I1345" s="88" t="s">
        <v>87</v>
      </c>
      <c r="J1345" s="91">
        <v>43241</v>
      </c>
      <c r="K1345" s="91">
        <v>43404</v>
      </c>
      <c r="L1345" s="88"/>
      <c r="M1345" s="94">
        <v>0</v>
      </c>
      <c r="N1345" s="9"/>
      <c r="O1345" s="33"/>
      <c r="P1345" s="33"/>
      <c r="Q1345" s="9"/>
      <c r="R1345" s="67"/>
      <c r="S1345" s="9"/>
    </row>
    <row r="1346" spans="1:19" ht="15" customHeight="1" x14ac:dyDescent="0.25">
      <c r="A1346" s="14"/>
      <c r="B1346" s="28" t="str">
        <f>IF(ISNUMBER(MATCH(C1346, Mgt_Unit!$C$5:$C$1018, 0)), INDEX(Mgt_Unit!$B$5:$B$1018, MATCH(C1346, Mgt_Unit!$C$5:$C$1018, 0)), "")</f>
        <v>jennifer.moore</v>
      </c>
      <c r="C1346" t="s">
        <v>1015</v>
      </c>
      <c r="D1346" s="65"/>
      <c r="E1346">
        <v>1</v>
      </c>
      <c r="F1346" t="s">
        <v>1538</v>
      </c>
      <c r="G1346" t="s">
        <v>1544</v>
      </c>
      <c r="H1346" t="s">
        <v>50</v>
      </c>
      <c r="I1346" t="s">
        <v>87</v>
      </c>
      <c r="J1346" s="89">
        <v>42515</v>
      </c>
      <c r="K1346" s="89">
        <v>42675</v>
      </c>
      <c r="L1346"/>
      <c r="M1346" s="31">
        <v>0</v>
      </c>
      <c r="N1346" s="9"/>
      <c r="O1346" s="33"/>
      <c r="P1346" s="33"/>
      <c r="Q1346" s="9"/>
      <c r="R1346" s="67"/>
      <c r="S1346" s="9"/>
    </row>
    <row r="1347" spans="1:19" ht="15" customHeight="1" x14ac:dyDescent="0.25">
      <c r="A1347" s="14"/>
      <c r="B1347" s="28" t="str">
        <f>IF(ISNUMBER(MATCH(C1347, Mgt_Unit!$C$5:$C$1018, 0)), INDEX(Mgt_Unit!$B$5:$B$1018, MATCH(C1347, Mgt_Unit!$C$5:$C$1018, 0)), "")</f>
        <v>jennifer.moore</v>
      </c>
      <c r="C1347" s="87" t="s">
        <v>1015</v>
      </c>
      <c r="D1347" s="65"/>
      <c r="E1347" s="87">
        <v>2</v>
      </c>
      <c r="F1347" s="87" t="s">
        <v>1538</v>
      </c>
      <c r="G1347" s="87" t="s">
        <v>1536</v>
      </c>
      <c r="H1347" s="87" t="s">
        <v>442</v>
      </c>
      <c r="I1347" s="87" t="s">
        <v>65</v>
      </c>
      <c r="J1347" s="90">
        <v>42887</v>
      </c>
      <c r="K1347" s="90">
        <v>43404</v>
      </c>
      <c r="L1347" s="90">
        <v>43404</v>
      </c>
      <c r="M1347" s="93">
        <v>90</v>
      </c>
      <c r="N1347" s="9"/>
      <c r="O1347" s="33"/>
      <c r="P1347" s="33"/>
      <c r="Q1347" s="9"/>
      <c r="R1347" s="67"/>
      <c r="S1347" s="9" t="s">
        <v>1595</v>
      </c>
    </row>
    <row r="1348" spans="1:19" ht="15" customHeight="1" x14ac:dyDescent="0.25">
      <c r="A1348" s="14"/>
      <c r="B1348" s="28" t="str">
        <f>IF(ISNUMBER(MATCH(C1348, Mgt_Unit!$C$5:$C$1018, 0)), INDEX(Mgt_Unit!$B$5:$B$1018, MATCH(C1348, Mgt_Unit!$C$5:$C$1018, 0)), "")</f>
        <v>jennifer.moore</v>
      </c>
      <c r="C1348" t="s">
        <v>1016</v>
      </c>
      <c r="D1348" s="65"/>
      <c r="E1348">
        <v>1</v>
      </c>
      <c r="F1348" t="s">
        <v>1538</v>
      </c>
      <c r="G1348" t="s">
        <v>1544</v>
      </c>
      <c r="H1348" t="s">
        <v>50</v>
      </c>
      <c r="I1348" t="s">
        <v>87</v>
      </c>
      <c r="J1348" s="89">
        <v>42898</v>
      </c>
      <c r="K1348" s="89">
        <v>43039</v>
      </c>
      <c r="L1348"/>
      <c r="M1348" s="31">
        <v>0</v>
      </c>
      <c r="N1348" s="9"/>
      <c r="O1348" s="33"/>
      <c r="P1348" s="33"/>
      <c r="Q1348" s="9"/>
      <c r="R1348" s="67"/>
      <c r="S1348" s="9"/>
    </row>
    <row r="1349" spans="1:19" ht="15" customHeight="1" x14ac:dyDescent="0.25">
      <c r="A1349" s="14"/>
      <c r="B1349" s="28" t="str">
        <f>IF(ISNUMBER(MATCH(C1349, Mgt_Unit!$C$5:$C$1018, 0)), INDEX(Mgt_Unit!$B$5:$B$1018, MATCH(C1349, Mgt_Unit!$C$5:$C$1018, 0)), "")</f>
        <v>jennifer.moore</v>
      </c>
      <c r="C1349" s="87" t="s">
        <v>1016</v>
      </c>
      <c r="D1349" s="65"/>
      <c r="E1349" s="87">
        <v>2</v>
      </c>
      <c r="F1349" s="87" t="s">
        <v>1538</v>
      </c>
      <c r="G1349" s="87" t="s">
        <v>1544</v>
      </c>
      <c r="H1349" s="87" t="s">
        <v>51</v>
      </c>
      <c r="I1349" s="87" t="s">
        <v>137</v>
      </c>
      <c r="J1349" s="90">
        <v>43245</v>
      </c>
      <c r="K1349" s="90">
        <v>43404</v>
      </c>
      <c r="L1349" s="87"/>
      <c r="M1349" s="93">
        <v>0</v>
      </c>
      <c r="N1349" s="9"/>
      <c r="O1349" s="33"/>
      <c r="P1349" s="33"/>
      <c r="Q1349" s="9"/>
      <c r="R1349" s="67"/>
      <c r="S1349" s="9"/>
    </row>
    <row r="1350" spans="1:19" ht="15" customHeight="1" x14ac:dyDescent="0.25">
      <c r="A1350" s="14"/>
      <c r="B1350" s="28" t="str">
        <f>IF(ISNUMBER(MATCH(C1350, Mgt_Unit!$C$5:$C$1018, 0)), INDEX(Mgt_Unit!$B$5:$B$1018, MATCH(C1350, Mgt_Unit!$C$5:$C$1018, 0)), "")</f>
        <v>jennifer.moore</v>
      </c>
      <c r="C1350" t="s">
        <v>1017</v>
      </c>
      <c r="D1350" s="65"/>
      <c r="E1350">
        <v>1</v>
      </c>
      <c r="F1350" t="s">
        <v>1537</v>
      </c>
      <c r="G1350" t="s">
        <v>1536</v>
      </c>
      <c r="H1350" s="92" t="s">
        <v>1549</v>
      </c>
      <c r="I1350" s="113" t="s">
        <v>1562</v>
      </c>
      <c r="J1350"/>
      <c r="K1350"/>
      <c r="L1350" s="89">
        <v>41844</v>
      </c>
      <c r="M1350" s="31">
        <v>90</v>
      </c>
      <c r="N1350" s="9"/>
      <c r="O1350" s="33"/>
      <c r="P1350" s="33"/>
      <c r="Q1350" s="9"/>
      <c r="R1350" s="67"/>
      <c r="S1350" s="9"/>
    </row>
    <row r="1351" spans="1:19" ht="15" customHeight="1" x14ac:dyDescent="0.25">
      <c r="A1351" s="14"/>
      <c r="B1351" s="28" t="str">
        <f>IF(ISNUMBER(MATCH(C1351, Mgt_Unit!$C$5:$C$1018, 0)), INDEX(Mgt_Unit!$B$5:$B$1018, MATCH(C1351, Mgt_Unit!$C$5:$C$1018, 0)), "")</f>
        <v>jennifer.moore</v>
      </c>
      <c r="C1351" t="s">
        <v>1017</v>
      </c>
      <c r="D1351" s="65"/>
      <c r="E1351">
        <v>2</v>
      </c>
      <c r="F1351" t="s">
        <v>1538</v>
      </c>
      <c r="G1351" t="s">
        <v>1544</v>
      </c>
      <c r="H1351" t="s">
        <v>441</v>
      </c>
      <c r="I1351" t="s">
        <v>27</v>
      </c>
      <c r="J1351" s="89">
        <v>41915</v>
      </c>
      <c r="K1351" s="89">
        <v>42200</v>
      </c>
      <c r="L1351"/>
      <c r="M1351" s="31">
        <v>90</v>
      </c>
      <c r="N1351" s="9"/>
      <c r="O1351" s="33"/>
      <c r="P1351" s="33"/>
      <c r="Q1351" s="9"/>
      <c r="R1351" s="67"/>
      <c r="S1351" s="9"/>
    </row>
    <row r="1352" spans="1:19" ht="15" customHeight="1" x14ac:dyDescent="0.25">
      <c r="A1352" s="14"/>
      <c r="B1352" s="28" t="str">
        <f>IF(ISNUMBER(MATCH(C1352, Mgt_Unit!$C$5:$C$1018, 0)), INDEX(Mgt_Unit!$B$5:$B$1018, MATCH(C1352, Mgt_Unit!$C$5:$C$1018, 0)), "")</f>
        <v>jennifer.moore</v>
      </c>
      <c r="C1352" t="s">
        <v>1017</v>
      </c>
      <c r="D1352" s="65"/>
      <c r="E1352">
        <v>3</v>
      </c>
      <c r="F1352" t="s">
        <v>1538</v>
      </c>
      <c r="G1352" t="s">
        <v>1544</v>
      </c>
      <c r="H1352" t="s">
        <v>441</v>
      </c>
      <c r="I1352" t="s">
        <v>27</v>
      </c>
      <c r="J1352" s="89">
        <v>42279</v>
      </c>
      <c r="K1352" s="89">
        <v>42620</v>
      </c>
      <c r="L1352"/>
      <c r="M1352" s="31">
        <v>90</v>
      </c>
      <c r="N1352" s="9"/>
      <c r="O1352" s="33"/>
      <c r="P1352" s="33"/>
      <c r="Q1352" s="9"/>
      <c r="R1352" s="67"/>
      <c r="S1352" s="9"/>
    </row>
    <row r="1353" spans="1:19" ht="15" customHeight="1" x14ac:dyDescent="0.25">
      <c r="A1353" s="14"/>
      <c r="B1353" s="28" t="str">
        <f>IF(ISNUMBER(MATCH(C1353, Mgt_Unit!$C$5:$C$1018, 0)), INDEX(Mgt_Unit!$B$5:$B$1018, MATCH(C1353, Mgt_Unit!$C$5:$C$1018, 0)), "")</f>
        <v>jennifer.moore</v>
      </c>
      <c r="C1353" t="s">
        <v>1017</v>
      </c>
      <c r="D1353" s="65"/>
      <c r="E1353">
        <v>4</v>
      </c>
      <c r="F1353" t="s">
        <v>1538</v>
      </c>
      <c r="G1353" t="s">
        <v>1544</v>
      </c>
      <c r="H1353" t="s">
        <v>441</v>
      </c>
      <c r="I1353" t="s">
        <v>27</v>
      </c>
      <c r="J1353" s="89">
        <v>42657</v>
      </c>
      <c r="K1353" s="89">
        <v>42895</v>
      </c>
      <c r="L1353"/>
      <c r="M1353" s="31">
        <v>90</v>
      </c>
      <c r="N1353" s="9"/>
      <c r="O1353" s="33"/>
      <c r="P1353" s="33"/>
      <c r="Q1353" s="9"/>
      <c r="R1353" s="67"/>
      <c r="S1353" s="9"/>
    </row>
    <row r="1354" spans="1:19" ht="15" customHeight="1" x14ac:dyDescent="0.25">
      <c r="A1354" s="14"/>
      <c r="B1354" s="28" t="str">
        <f>IF(ISNUMBER(MATCH(C1354, Mgt_Unit!$C$5:$C$1018, 0)), INDEX(Mgt_Unit!$B$5:$B$1018, MATCH(C1354, Mgt_Unit!$C$5:$C$1018, 0)), "")</f>
        <v>jennifer.moore</v>
      </c>
      <c r="C1354" t="s">
        <v>1017</v>
      </c>
      <c r="D1354" s="65"/>
      <c r="E1354">
        <v>5</v>
      </c>
      <c r="F1354" t="s">
        <v>1538</v>
      </c>
      <c r="G1354" t="s">
        <v>1544</v>
      </c>
      <c r="H1354" t="s">
        <v>441</v>
      </c>
      <c r="I1354" t="s">
        <v>27</v>
      </c>
      <c r="J1354" s="89">
        <v>43053</v>
      </c>
      <c r="K1354" s="89">
        <v>43260</v>
      </c>
      <c r="L1354"/>
      <c r="M1354" s="31">
        <v>90</v>
      </c>
      <c r="N1354" s="9"/>
      <c r="O1354" s="33"/>
      <c r="P1354" s="33"/>
      <c r="Q1354" s="9"/>
      <c r="R1354" s="67"/>
      <c r="S1354" s="9"/>
    </row>
    <row r="1355" spans="1:19" ht="15" customHeight="1" x14ac:dyDescent="0.25">
      <c r="A1355" s="14"/>
      <c r="B1355" s="28" t="str">
        <f>IF(ISNUMBER(MATCH(C1355, Mgt_Unit!$C$5:$C$1018, 0)), INDEX(Mgt_Unit!$B$5:$B$1018, MATCH(C1355, Mgt_Unit!$C$5:$C$1018, 0)), "")</f>
        <v>jennifer.moore</v>
      </c>
      <c r="C1355" s="87" t="s">
        <v>1017</v>
      </c>
      <c r="D1355" s="65"/>
      <c r="E1355" s="87">
        <v>6</v>
      </c>
      <c r="F1355" s="87" t="s">
        <v>1538</v>
      </c>
      <c r="G1355" s="87" t="s">
        <v>1544</v>
      </c>
      <c r="H1355" t="s">
        <v>441</v>
      </c>
      <c r="I1355" s="87" t="s">
        <v>27</v>
      </c>
      <c r="J1355" s="90">
        <v>43360</v>
      </c>
      <c r="K1355" s="90"/>
      <c r="L1355" s="87"/>
      <c r="M1355" s="93"/>
      <c r="N1355" s="9"/>
      <c r="O1355" s="33"/>
      <c r="P1355" s="33"/>
      <c r="Q1355" s="9"/>
      <c r="R1355" s="67"/>
      <c r="S1355" s="9"/>
    </row>
    <row r="1356" spans="1:19" ht="15" customHeight="1" x14ac:dyDescent="0.25">
      <c r="A1356" s="14"/>
      <c r="B1356" s="28" t="str">
        <f>IF(ISNUMBER(MATCH(C1356, Mgt_Unit!$C$5:$C$1018, 0)), INDEX(Mgt_Unit!$B$5:$B$1018, MATCH(C1356, Mgt_Unit!$C$5:$C$1018, 0)), "")</f>
        <v>jennifer.moore</v>
      </c>
      <c r="C1356" t="s">
        <v>1018</v>
      </c>
      <c r="D1356" s="65"/>
      <c r="E1356">
        <v>1</v>
      </c>
      <c r="F1356" t="s">
        <v>1537</v>
      </c>
      <c r="G1356" t="s">
        <v>1536</v>
      </c>
      <c r="H1356" s="92" t="s">
        <v>1549</v>
      </c>
      <c r="I1356" s="113" t="s">
        <v>1562</v>
      </c>
      <c r="J1356"/>
      <c r="K1356" s="89"/>
      <c r="L1356" s="89">
        <v>41844</v>
      </c>
      <c r="M1356" s="31">
        <v>90</v>
      </c>
      <c r="N1356" s="9"/>
      <c r="O1356" s="33"/>
      <c r="P1356" s="33"/>
      <c r="Q1356" s="9"/>
      <c r="R1356" s="67"/>
      <c r="S1356" s="9"/>
    </row>
    <row r="1357" spans="1:19" ht="15" customHeight="1" x14ac:dyDescent="0.25">
      <c r="A1357" s="14"/>
      <c r="B1357" s="28" t="str">
        <f>IF(ISNUMBER(MATCH(C1357, Mgt_Unit!$C$5:$C$1018, 0)), INDEX(Mgt_Unit!$B$5:$B$1018, MATCH(C1357, Mgt_Unit!$C$5:$C$1018, 0)), "")</f>
        <v>jennifer.moore</v>
      </c>
      <c r="C1357" t="s">
        <v>1018</v>
      </c>
      <c r="D1357" s="65"/>
      <c r="E1357">
        <v>2</v>
      </c>
      <c r="F1357" t="s">
        <v>1538</v>
      </c>
      <c r="G1357" t="s">
        <v>1544</v>
      </c>
      <c r="H1357" t="s">
        <v>441</v>
      </c>
      <c r="I1357" t="s">
        <v>27</v>
      </c>
      <c r="J1357" s="89">
        <v>41914</v>
      </c>
      <c r="K1357" s="89">
        <v>42200</v>
      </c>
      <c r="L1357"/>
      <c r="M1357" s="31">
        <v>90</v>
      </c>
      <c r="N1357" s="9"/>
      <c r="O1357" s="33"/>
      <c r="P1357" s="33"/>
      <c r="Q1357" s="9"/>
      <c r="R1357" s="67"/>
      <c r="S1357" s="9"/>
    </row>
    <row r="1358" spans="1:19" ht="15" customHeight="1" x14ac:dyDescent="0.25">
      <c r="A1358" s="14"/>
      <c r="B1358" s="28" t="str">
        <f>IF(ISNUMBER(MATCH(C1358, Mgt_Unit!$C$5:$C$1018, 0)), INDEX(Mgt_Unit!$B$5:$B$1018, MATCH(C1358, Mgt_Unit!$C$5:$C$1018, 0)), "")</f>
        <v>jennifer.moore</v>
      </c>
      <c r="C1358" t="s">
        <v>1018</v>
      </c>
      <c r="D1358" s="65"/>
      <c r="E1358">
        <v>3</v>
      </c>
      <c r="F1358" t="s">
        <v>1538</v>
      </c>
      <c r="G1358" t="s">
        <v>1544</v>
      </c>
      <c r="H1358" t="s">
        <v>441</v>
      </c>
      <c r="I1358" t="s">
        <v>27</v>
      </c>
      <c r="J1358" s="89">
        <v>42279</v>
      </c>
      <c r="K1358" s="89">
        <v>42620</v>
      </c>
      <c r="L1358"/>
      <c r="M1358" s="31">
        <v>90</v>
      </c>
      <c r="N1358" s="9"/>
      <c r="O1358" s="33"/>
      <c r="P1358" s="33"/>
      <c r="Q1358" s="9"/>
      <c r="R1358" s="67"/>
      <c r="S1358" s="9"/>
    </row>
    <row r="1359" spans="1:19" ht="15" customHeight="1" x14ac:dyDescent="0.25">
      <c r="A1359" s="14"/>
      <c r="B1359" s="28" t="str">
        <f>IF(ISNUMBER(MATCH(C1359, Mgt_Unit!$C$5:$C$1018, 0)), INDEX(Mgt_Unit!$B$5:$B$1018, MATCH(C1359, Mgt_Unit!$C$5:$C$1018, 0)), "")</f>
        <v>jennifer.moore</v>
      </c>
      <c r="C1359" t="s">
        <v>1018</v>
      </c>
      <c r="D1359" s="65"/>
      <c r="E1359">
        <v>4</v>
      </c>
      <c r="F1359" t="s">
        <v>1538</v>
      </c>
      <c r="G1359" t="s">
        <v>1544</v>
      </c>
      <c r="H1359" t="s">
        <v>441</v>
      </c>
      <c r="I1359" t="s">
        <v>27</v>
      </c>
      <c r="J1359" s="89">
        <v>42660</v>
      </c>
      <c r="K1359" s="89">
        <v>42895</v>
      </c>
      <c r="L1359"/>
      <c r="M1359" s="31">
        <v>90</v>
      </c>
      <c r="N1359" s="9"/>
      <c r="O1359" s="33"/>
      <c r="P1359" s="33"/>
      <c r="Q1359" s="9"/>
      <c r="R1359" s="67"/>
      <c r="S1359" s="9"/>
    </row>
    <row r="1360" spans="1:19" ht="15" customHeight="1" x14ac:dyDescent="0.25">
      <c r="A1360" s="14"/>
      <c r="B1360" s="28" t="str">
        <f>IF(ISNUMBER(MATCH(C1360, Mgt_Unit!$C$5:$C$1018, 0)), INDEX(Mgt_Unit!$B$5:$B$1018, MATCH(C1360, Mgt_Unit!$C$5:$C$1018, 0)), "")</f>
        <v>jennifer.moore</v>
      </c>
      <c r="C1360" t="s">
        <v>1018</v>
      </c>
      <c r="D1360" s="65"/>
      <c r="E1360">
        <v>5</v>
      </c>
      <c r="F1360" t="s">
        <v>1538</v>
      </c>
      <c r="G1360" t="s">
        <v>1544</v>
      </c>
      <c r="H1360" t="s">
        <v>441</v>
      </c>
      <c r="I1360" t="s">
        <v>27</v>
      </c>
      <c r="J1360" s="89">
        <v>43047</v>
      </c>
      <c r="K1360" s="89">
        <v>43256</v>
      </c>
      <c r="L1360"/>
      <c r="M1360" s="31">
        <v>90</v>
      </c>
      <c r="N1360" s="9"/>
      <c r="O1360" s="33"/>
      <c r="P1360" s="33"/>
      <c r="Q1360" s="9"/>
      <c r="R1360" s="67"/>
      <c r="S1360" s="9"/>
    </row>
    <row r="1361" spans="1:19" ht="15" customHeight="1" x14ac:dyDescent="0.25">
      <c r="A1361" s="14"/>
      <c r="B1361" s="28" t="str">
        <f>IF(ISNUMBER(MATCH(C1361, Mgt_Unit!$C$5:$C$1018, 0)), INDEX(Mgt_Unit!$B$5:$B$1018, MATCH(C1361, Mgt_Unit!$C$5:$C$1018, 0)), "")</f>
        <v>jennifer.moore</v>
      </c>
      <c r="C1361" t="s">
        <v>1018</v>
      </c>
      <c r="D1361" s="65"/>
      <c r="E1361">
        <v>6</v>
      </c>
      <c r="F1361" t="s">
        <v>1537</v>
      </c>
      <c r="G1361" t="s">
        <v>1535</v>
      </c>
      <c r="H1361" t="s">
        <v>441</v>
      </c>
      <c r="I1361" t="s">
        <v>29</v>
      </c>
      <c r="J1361" s="89">
        <v>43362</v>
      </c>
      <c r="K1361"/>
      <c r="L1361" s="89">
        <v>43647</v>
      </c>
      <c r="M1361" s="31">
        <v>0</v>
      </c>
      <c r="N1361" s="9"/>
      <c r="O1361" s="33"/>
      <c r="P1361" s="33"/>
      <c r="Q1361" s="9"/>
      <c r="R1361" s="67"/>
      <c r="S1361" s="9"/>
    </row>
    <row r="1362" spans="1:19" ht="15" customHeight="1" x14ac:dyDescent="0.25">
      <c r="A1362" s="14"/>
      <c r="B1362" s="28" t="str">
        <f>IF(ISNUMBER(MATCH(C1362, Mgt_Unit!$C$5:$C$1018, 0)), INDEX(Mgt_Unit!$B$5:$B$1018, MATCH(C1362, Mgt_Unit!$C$5:$C$1018, 0)), "")</f>
        <v>jennifer.moore</v>
      </c>
      <c r="C1362" t="s">
        <v>1018</v>
      </c>
      <c r="D1362" s="65"/>
      <c r="E1362">
        <v>6</v>
      </c>
      <c r="F1362" t="s">
        <v>1537</v>
      </c>
      <c r="G1362" t="s">
        <v>1535</v>
      </c>
      <c r="H1362" t="s">
        <v>49</v>
      </c>
      <c r="I1362" t="s">
        <v>60</v>
      </c>
      <c r="J1362" s="89">
        <v>43362</v>
      </c>
      <c r="K1362"/>
      <c r="L1362" s="89">
        <v>43647</v>
      </c>
      <c r="M1362" s="31">
        <v>0</v>
      </c>
      <c r="N1362" s="9"/>
      <c r="O1362" s="33"/>
      <c r="P1362" s="33"/>
      <c r="Q1362" s="9"/>
      <c r="R1362" s="67"/>
      <c r="S1362" s="9"/>
    </row>
    <row r="1363" spans="1:19" ht="15" customHeight="1" x14ac:dyDescent="0.25">
      <c r="A1363" s="14"/>
      <c r="B1363" s="28" t="str">
        <f>IF(ISNUMBER(MATCH(C1363, Mgt_Unit!$C$5:$C$1018, 0)), INDEX(Mgt_Unit!$B$5:$B$1018, MATCH(C1363, Mgt_Unit!$C$5:$C$1018, 0)), "")</f>
        <v>jennifer.moore</v>
      </c>
      <c r="C1363" t="s">
        <v>1018</v>
      </c>
      <c r="D1363" s="65"/>
      <c r="E1363">
        <v>6</v>
      </c>
      <c r="F1363" t="s">
        <v>1537</v>
      </c>
      <c r="G1363" t="s">
        <v>1535</v>
      </c>
      <c r="H1363" t="s">
        <v>441</v>
      </c>
      <c r="I1363" t="s">
        <v>27</v>
      </c>
      <c r="J1363" s="89">
        <v>43362</v>
      </c>
      <c r="K1363"/>
      <c r="L1363" s="89">
        <v>43647</v>
      </c>
      <c r="M1363" s="31">
        <v>0</v>
      </c>
      <c r="N1363" s="9"/>
      <c r="O1363" s="33"/>
      <c r="P1363" s="33"/>
      <c r="Q1363" s="9"/>
      <c r="R1363" s="67"/>
      <c r="S1363" s="9"/>
    </row>
    <row r="1364" spans="1:19" ht="15" customHeight="1" x14ac:dyDescent="0.25">
      <c r="A1364" s="14"/>
      <c r="B1364" s="28" t="str">
        <f>IF(ISNUMBER(MATCH(C1364, Mgt_Unit!$C$5:$C$1018, 0)), INDEX(Mgt_Unit!$B$5:$B$1018, MATCH(C1364, Mgt_Unit!$C$5:$C$1018, 0)), "")</f>
        <v>jennifer.moore</v>
      </c>
      <c r="C1364" t="s">
        <v>1018</v>
      </c>
      <c r="D1364" s="65"/>
      <c r="E1364">
        <v>7</v>
      </c>
      <c r="F1364" t="s">
        <v>1537</v>
      </c>
      <c r="G1364" t="s">
        <v>1535</v>
      </c>
      <c r="H1364" t="s">
        <v>441</v>
      </c>
      <c r="I1364" t="s">
        <v>124</v>
      </c>
      <c r="J1364" s="89">
        <v>43735</v>
      </c>
      <c r="K1364"/>
      <c r="L1364"/>
      <c r="M1364" s="31"/>
      <c r="N1364" s="9"/>
      <c r="O1364" s="33"/>
      <c r="P1364" s="33"/>
      <c r="Q1364" s="9"/>
      <c r="R1364" s="67"/>
      <c r="S1364" s="9"/>
    </row>
    <row r="1365" spans="1:19" ht="15" customHeight="1" x14ac:dyDescent="0.25">
      <c r="A1365" s="14"/>
      <c r="B1365" s="28" t="str">
        <f>IF(ISNUMBER(MATCH(C1365, Mgt_Unit!$C$5:$C$1018, 0)), INDEX(Mgt_Unit!$B$5:$B$1018, MATCH(C1365, Mgt_Unit!$C$5:$C$1018, 0)), "")</f>
        <v>jennifer.moore</v>
      </c>
      <c r="C1365" t="s">
        <v>1018</v>
      </c>
      <c r="D1365" s="65"/>
      <c r="E1365">
        <v>7</v>
      </c>
      <c r="F1365" t="s">
        <v>1537</v>
      </c>
      <c r="G1365" t="s">
        <v>1535</v>
      </c>
      <c r="H1365" t="s">
        <v>441</v>
      </c>
      <c r="I1365" t="s">
        <v>27</v>
      </c>
      <c r="J1365" s="89">
        <v>43735</v>
      </c>
      <c r="K1365"/>
      <c r="L1365"/>
      <c r="M1365" s="31"/>
      <c r="N1365" s="9"/>
      <c r="O1365" s="33"/>
      <c r="P1365" s="33"/>
      <c r="Q1365" s="9"/>
      <c r="R1365" s="67"/>
      <c r="S1365" s="9"/>
    </row>
    <row r="1366" spans="1:19" ht="15" customHeight="1" x14ac:dyDescent="0.25">
      <c r="A1366" s="14"/>
      <c r="B1366" s="28" t="str">
        <f>IF(ISNUMBER(MATCH(C1366, Mgt_Unit!$C$5:$C$1018, 0)), INDEX(Mgt_Unit!$B$5:$B$1018, MATCH(C1366, Mgt_Unit!$C$5:$C$1018, 0)), "")</f>
        <v>jennifer.moore</v>
      </c>
      <c r="C1366" t="s">
        <v>1018</v>
      </c>
      <c r="D1366" s="65"/>
      <c r="E1366">
        <v>7</v>
      </c>
      <c r="F1366" t="s">
        <v>1537</v>
      </c>
      <c r="G1366" t="s">
        <v>1535</v>
      </c>
      <c r="H1366" t="s">
        <v>442</v>
      </c>
      <c r="I1366" t="s">
        <v>245</v>
      </c>
      <c r="J1366" s="89">
        <v>43735</v>
      </c>
      <c r="K1366"/>
      <c r="L1366"/>
      <c r="M1366" s="31"/>
      <c r="N1366" s="9"/>
      <c r="O1366" s="33"/>
      <c r="P1366" s="33"/>
      <c r="Q1366" s="9"/>
      <c r="R1366" s="67"/>
      <c r="S1366" s="9"/>
    </row>
    <row r="1367" spans="1:19" ht="15" customHeight="1" x14ac:dyDescent="0.25">
      <c r="A1367" s="14"/>
      <c r="B1367" s="28" t="str">
        <f>IF(ISNUMBER(MATCH(C1367, Mgt_Unit!$C$5:$C$1018, 0)), INDEX(Mgt_Unit!$B$5:$B$1018, MATCH(C1367, Mgt_Unit!$C$5:$C$1018, 0)), "")</f>
        <v>jennifer.moore</v>
      </c>
      <c r="C1367" s="87" t="s">
        <v>1018</v>
      </c>
      <c r="D1367" s="65"/>
      <c r="E1367" s="87">
        <v>7</v>
      </c>
      <c r="F1367" s="87" t="s">
        <v>1537</v>
      </c>
      <c r="G1367" s="87" t="s">
        <v>1535</v>
      </c>
      <c r="H1367" s="87" t="s">
        <v>442</v>
      </c>
      <c r="I1367" s="87" t="s">
        <v>190</v>
      </c>
      <c r="J1367" s="90">
        <v>43735</v>
      </c>
      <c r="K1367" s="87"/>
      <c r="L1367" s="87"/>
      <c r="M1367" s="93"/>
      <c r="N1367" s="9"/>
      <c r="O1367" s="33"/>
      <c r="P1367" s="33"/>
      <c r="Q1367" s="9"/>
      <c r="R1367" s="67"/>
      <c r="S1367" s="9"/>
    </row>
    <row r="1368" spans="1:19" ht="15" customHeight="1" x14ac:dyDescent="0.25">
      <c r="A1368" s="14"/>
      <c r="B1368" s="28" t="str">
        <f>IF(ISNUMBER(MATCH(C1368, Mgt_Unit!$C$5:$C$1018, 0)), INDEX(Mgt_Unit!$B$5:$B$1018, MATCH(C1368, Mgt_Unit!$C$5:$C$1018, 0)), "")</f>
        <v>jennifer.moore</v>
      </c>
      <c r="C1368" t="s">
        <v>1335</v>
      </c>
      <c r="D1368" s="65"/>
      <c r="E1368">
        <v>1</v>
      </c>
      <c r="F1368" t="s">
        <v>1537</v>
      </c>
      <c r="G1368" t="s">
        <v>1536</v>
      </c>
      <c r="H1368" t="s">
        <v>1549</v>
      </c>
      <c r="I1368" s="113" t="s">
        <v>1562</v>
      </c>
      <c r="J1368" s="89"/>
      <c r="K1368" s="89">
        <v>41844</v>
      </c>
      <c r="L1368"/>
      <c r="M1368" s="31">
        <v>90</v>
      </c>
      <c r="N1368" s="9"/>
      <c r="O1368" s="33"/>
      <c r="P1368" s="33"/>
      <c r="Q1368" s="9"/>
      <c r="R1368" s="67"/>
      <c r="S1368" s="9"/>
    </row>
    <row r="1369" spans="1:19" ht="15" customHeight="1" x14ac:dyDescent="0.25">
      <c r="A1369" s="14"/>
      <c r="B1369" s="28" t="str">
        <f>IF(ISNUMBER(MATCH(C1369, Mgt_Unit!$C$5:$C$1018, 0)), INDEX(Mgt_Unit!$B$5:$B$1018, MATCH(C1369, Mgt_Unit!$C$5:$C$1018, 0)), "")</f>
        <v>jennifer.moore</v>
      </c>
      <c r="C1369" t="s">
        <v>1335</v>
      </c>
      <c r="D1369" s="65"/>
      <c r="E1369">
        <v>1</v>
      </c>
      <c r="F1369" t="s">
        <v>1537</v>
      </c>
      <c r="G1369" t="s">
        <v>1536</v>
      </c>
      <c r="H1369" t="s">
        <v>1549</v>
      </c>
      <c r="I1369" s="113" t="s">
        <v>1562</v>
      </c>
      <c r="J1369" s="89"/>
      <c r="K1369" s="89">
        <v>42200</v>
      </c>
      <c r="L1369" s="89"/>
      <c r="M1369" s="31">
        <v>90</v>
      </c>
      <c r="N1369" s="9"/>
      <c r="O1369" s="33"/>
      <c r="P1369" s="33"/>
      <c r="Q1369" s="9"/>
      <c r="R1369" s="67"/>
      <c r="S1369" s="9"/>
    </row>
    <row r="1370" spans="1:19" ht="15" customHeight="1" x14ac:dyDescent="0.25">
      <c r="A1370" s="14"/>
      <c r="B1370" s="28" t="str">
        <f>IF(ISNUMBER(MATCH(C1370, Mgt_Unit!$C$5:$C$1018, 0)), INDEX(Mgt_Unit!$B$5:$B$1018, MATCH(C1370, Mgt_Unit!$C$5:$C$1018, 0)), "")</f>
        <v>jennifer.moore</v>
      </c>
      <c r="C1370" s="87" t="s">
        <v>1335</v>
      </c>
      <c r="D1370" s="65"/>
      <c r="E1370" s="87">
        <v>1</v>
      </c>
      <c r="F1370" s="87" t="s">
        <v>1537</v>
      </c>
      <c r="G1370" s="87" t="s">
        <v>1536</v>
      </c>
      <c r="H1370" s="87" t="s">
        <v>1549</v>
      </c>
      <c r="I1370" s="108" t="s">
        <v>1562</v>
      </c>
      <c r="J1370" s="90"/>
      <c r="K1370" s="90">
        <v>42620</v>
      </c>
      <c r="L1370" s="90">
        <v>43830</v>
      </c>
      <c r="M1370" s="93">
        <v>90</v>
      </c>
      <c r="N1370" s="9"/>
      <c r="O1370" s="33"/>
      <c r="P1370" s="33"/>
      <c r="Q1370" s="9"/>
      <c r="R1370" s="67"/>
      <c r="S1370" s="9"/>
    </row>
    <row r="1371" spans="1:19" ht="15" customHeight="1" x14ac:dyDescent="0.25">
      <c r="A1371" s="14"/>
      <c r="B1371" s="28" t="str">
        <f>IF(ISNUMBER(MATCH(C1371, Mgt_Unit!$C$5:$C$1018, 0)), INDEX(Mgt_Unit!$B$5:$B$1018, MATCH(C1371, Mgt_Unit!$C$5:$C$1018, 0)), "")</f>
        <v>jennifer.moore</v>
      </c>
      <c r="C1371" t="s">
        <v>1019</v>
      </c>
      <c r="D1371" s="65"/>
      <c r="E1371">
        <v>1</v>
      </c>
      <c r="F1371" t="s">
        <v>1537</v>
      </c>
      <c r="G1371" t="s">
        <v>1536</v>
      </c>
      <c r="H1371" t="s">
        <v>1549</v>
      </c>
      <c r="I1371" s="113" t="s">
        <v>1562</v>
      </c>
      <c r="J1371"/>
      <c r="K1371" s="89">
        <v>41844</v>
      </c>
      <c r="L1371" s="89"/>
      <c r="M1371" s="31">
        <v>90</v>
      </c>
      <c r="N1371" s="9"/>
      <c r="O1371" s="33"/>
      <c r="P1371" s="33"/>
      <c r="Q1371" s="9"/>
      <c r="R1371" s="67"/>
      <c r="S1371" s="9"/>
    </row>
    <row r="1372" spans="1:19" ht="15" customHeight="1" x14ac:dyDescent="0.25">
      <c r="A1372" s="14"/>
      <c r="B1372" s="28" t="str">
        <f>IF(ISNUMBER(MATCH(C1372, Mgt_Unit!$C$5:$C$1018, 0)), INDEX(Mgt_Unit!$B$5:$B$1018, MATCH(C1372, Mgt_Unit!$C$5:$C$1018, 0)), "")</f>
        <v>jennifer.moore</v>
      </c>
      <c r="C1372" t="s">
        <v>1019</v>
      </c>
      <c r="D1372" s="65"/>
      <c r="E1372">
        <v>1</v>
      </c>
      <c r="F1372" t="s">
        <v>1537</v>
      </c>
      <c r="G1372" t="s">
        <v>1536</v>
      </c>
      <c r="H1372" t="s">
        <v>1549</v>
      </c>
      <c r="I1372" s="113" t="s">
        <v>1562</v>
      </c>
      <c r="J1372"/>
      <c r="K1372" s="89">
        <v>42200</v>
      </c>
      <c r="L1372" s="89"/>
      <c r="M1372" s="31">
        <v>90</v>
      </c>
      <c r="N1372" s="9"/>
      <c r="O1372" s="33"/>
      <c r="P1372" s="33"/>
      <c r="Q1372" s="9"/>
      <c r="R1372" s="67"/>
      <c r="S1372" s="9"/>
    </row>
    <row r="1373" spans="1:19" ht="15" customHeight="1" x14ac:dyDescent="0.25">
      <c r="A1373" s="14"/>
      <c r="B1373" s="28" t="str">
        <f>IF(ISNUMBER(MATCH(C1373, Mgt_Unit!$C$5:$C$1018, 0)), INDEX(Mgt_Unit!$B$5:$B$1018, MATCH(C1373, Mgt_Unit!$C$5:$C$1018, 0)), "")</f>
        <v>jennifer.moore</v>
      </c>
      <c r="C1373" t="s">
        <v>1019</v>
      </c>
      <c r="D1373" s="65"/>
      <c r="E1373">
        <v>1</v>
      </c>
      <c r="F1373" t="s">
        <v>1537</v>
      </c>
      <c r="G1373" t="s">
        <v>1536</v>
      </c>
      <c r="H1373" t="s">
        <v>1549</v>
      </c>
      <c r="I1373" s="113" t="s">
        <v>1562</v>
      </c>
      <c r="J1373"/>
      <c r="K1373" s="89">
        <v>42620</v>
      </c>
      <c r="L1373" s="89">
        <v>43353</v>
      </c>
      <c r="M1373" s="31">
        <v>90</v>
      </c>
      <c r="N1373" s="9"/>
      <c r="O1373" s="33"/>
      <c r="P1373" s="33"/>
      <c r="Q1373" s="9"/>
      <c r="R1373" s="67"/>
      <c r="S1373" s="9"/>
    </row>
    <row r="1374" spans="1:19" ht="15" customHeight="1" x14ac:dyDescent="0.25">
      <c r="A1374" s="14"/>
      <c r="B1374" s="28" t="str">
        <f>IF(ISNUMBER(MATCH(C1374, Mgt_Unit!$C$5:$C$1018, 0)), INDEX(Mgt_Unit!$B$5:$B$1018, MATCH(C1374, Mgt_Unit!$C$5:$C$1018, 0)), "")</f>
        <v>jennifer.moore</v>
      </c>
      <c r="C1374" t="s">
        <v>1019</v>
      </c>
      <c r="D1374" s="65"/>
      <c r="E1374">
        <v>2</v>
      </c>
      <c r="F1374" t="s">
        <v>1537</v>
      </c>
      <c r="G1374" t="s">
        <v>1535</v>
      </c>
      <c r="H1374" t="s">
        <v>49</v>
      </c>
      <c r="I1374" t="s">
        <v>60</v>
      </c>
      <c r="J1374" s="89">
        <v>43362</v>
      </c>
      <c r="K1374"/>
      <c r="L1374" s="89">
        <v>43599</v>
      </c>
      <c r="M1374" s="31">
        <v>0</v>
      </c>
      <c r="N1374" s="9"/>
      <c r="O1374" s="33"/>
      <c r="P1374" s="33"/>
      <c r="Q1374" s="9"/>
      <c r="R1374" s="67"/>
      <c r="S1374" s="9"/>
    </row>
    <row r="1375" spans="1:19" ht="15" customHeight="1" x14ac:dyDescent="0.25">
      <c r="A1375" s="14"/>
      <c r="B1375" s="28" t="str">
        <f>IF(ISNUMBER(MATCH(C1375, Mgt_Unit!$C$5:$C$1018, 0)), INDEX(Mgt_Unit!$B$5:$B$1018, MATCH(C1375, Mgt_Unit!$C$5:$C$1018, 0)), "")</f>
        <v>jennifer.moore</v>
      </c>
      <c r="C1375" t="s">
        <v>1019</v>
      </c>
      <c r="D1375" s="65"/>
      <c r="E1375">
        <v>2</v>
      </c>
      <c r="F1375" t="s">
        <v>1537</v>
      </c>
      <c r="G1375" t="s">
        <v>1535</v>
      </c>
      <c r="H1375" t="s">
        <v>441</v>
      </c>
      <c r="I1375" t="s">
        <v>29</v>
      </c>
      <c r="J1375" s="89">
        <v>43362</v>
      </c>
      <c r="K1375"/>
      <c r="L1375" s="89">
        <v>43599</v>
      </c>
      <c r="M1375" s="31">
        <v>0</v>
      </c>
      <c r="N1375" s="9"/>
      <c r="O1375" s="33"/>
      <c r="P1375" s="33"/>
      <c r="Q1375" s="9"/>
      <c r="R1375" s="67"/>
      <c r="S1375" s="9"/>
    </row>
    <row r="1376" spans="1:19" ht="15" customHeight="1" x14ac:dyDescent="0.25">
      <c r="A1376" s="14"/>
      <c r="B1376" s="28" t="str">
        <f>IF(ISNUMBER(MATCH(C1376, Mgt_Unit!$C$5:$C$1018, 0)), INDEX(Mgt_Unit!$B$5:$B$1018, MATCH(C1376, Mgt_Unit!$C$5:$C$1018, 0)), "")</f>
        <v>jennifer.moore</v>
      </c>
      <c r="C1376" t="s">
        <v>1019</v>
      </c>
      <c r="D1376" s="65"/>
      <c r="E1376">
        <v>2</v>
      </c>
      <c r="F1376" t="s">
        <v>1537</v>
      </c>
      <c r="G1376" t="s">
        <v>1535</v>
      </c>
      <c r="H1376" t="s">
        <v>441</v>
      </c>
      <c r="I1376" t="s">
        <v>27</v>
      </c>
      <c r="J1376" s="89">
        <v>43362</v>
      </c>
      <c r="K1376"/>
      <c r="L1376" s="89">
        <v>43599</v>
      </c>
      <c r="M1376" s="31">
        <v>0</v>
      </c>
      <c r="N1376" s="9"/>
      <c r="O1376" s="33"/>
      <c r="P1376" s="33"/>
      <c r="Q1376" s="9"/>
      <c r="R1376" s="67"/>
      <c r="S1376" s="9"/>
    </row>
    <row r="1377" spans="1:19" ht="15" customHeight="1" x14ac:dyDescent="0.25">
      <c r="A1377" s="14"/>
      <c r="B1377" s="28" t="str">
        <f>IF(ISNUMBER(MATCH(C1377, Mgt_Unit!$C$5:$C$1018, 0)), INDEX(Mgt_Unit!$B$5:$B$1018, MATCH(C1377, Mgt_Unit!$C$5:$C$1018, 0)), "")</f>
        <v>jennifer.moore</v>
      </c>
      <c r="C1377" t="s">
        <v>1019</v>
      </c>
      <c r="D1377" s="65"/>
      <c r="E1377">
        <v>3</v>
      </c>
      <c r="F1377" t="s">
        <v>1537</v>
      </c>
      <c r="G1377" t="s">
        <v>1535</v>
      </c>
      <c r="H1377" t="s">
        <v>442</v>
      </c>
      <c r="I1377" t="s">
        <v>245</v>
      </c>
      <c r="J1377" s="89">
        <v>43736</v>
      </c>
      <c r="K1377"/>
      <c r="L1377"/>
      <c r="M1377" s="31"/>
      <c r="N1377" s="9"/>
      <c r="O1377" s="33"/>
      <c r="P1377" s="33"/>
      <c r="Q1377" s="9"/>
      <c r="R1377" s="67"/>
      <c r="S1377" s="9"/>
    </row>
    <row r="1378" spans="1:19" ht="15" customHeight="1" x14ac:dyDescent="0.25">
      <c r="A1378" s="14"/>
      <c r="B1378" s="28" t="str">
        <f>IF(ISNUMBER(MATCH(C1378, Mgt_Unit!$C$5:$C$1018, 0)), INDEX(Mgt_Unit!$B$5:$B$1018, MATCH(C1378, Mgt_Unit!$C$5:$C$1018, 0)), "")</f>
        <v>jennifer.moore</v>
      </c>
      <c r="C1378" t="s">
        <v>1019</v>
      </c>
      <c r="D1378" s="65"/>
      <c r="E1378">
        <v>3</v>
      </c>
      <c r="F1378" t="s">
        <v>1537</v>
      </c>
      <c r="G1378" t="s">
        <v>1535</v>
      </c>
      <c r="H1378" t="s">
        <v>442</v>
      </c>
      <c r="I1378" t="s">
        <v>190</v>
      </c>
      <c r="J1378" s="89">
        <v>43736</v>
      </c>
      <c r="K1378"/>
      <c r="L1378"/>
      <c r="M1378" s="31"/>
      <c r="N1378" s="9"/>
      <c r="O1378" s="33"/>
      <c r="P1378" s="33"/>
      <c r="Q1378" s="9"/>
      <c r="R1378" s="67"/>
      <c r="S1378" s="9"/>
    </row>
    <row r="1379" spans="1:19" ht="15" customHeight="1" x14ac:dyDescent="0.25">
      <c r="A1379" s="14"/>
      <c r="B1379" s="28" t="str">
        <f>IF(ISNUMBER(MATCH(C1379, Mgt_Unit!$C$5:$C$1018, 0)), INDEX(Mgt_Unit!$B$5:$B$1018, MATCH(C1379, Mgt_Unit!$C$5:$C$1018, 0)), "")</f>
        <v>jennifer.moore</v>
      </c>
      <c r="C1379" t="s">
        <v>1019</v>
      </c>
      <c r="D1379" s="65"/>
      <c r="E1379">
        <v>3</v>
      </c>
      <c r="F1379" t="s">
        <v>1537</v>
      </c>
      <c r="G1379" t="s">
        <v>1535</v>
      </c>
      <c r="H1379" t="s">
        <v>441</v>
      </c>
      <c r="I1379" t="s">
        <v>27</v>
      </c>
      <c r="J1379" s="89">
        <v>43736</v>
      </c>
      <c r="K1379"/>
      <c r="L1379"/>
      <c r="M1379" s="31"/>
      <c r="N1379" s="9"/>
      <c r="O1379" s="33"/>
      <c r="P1379" s="33"/>
      <c r="Q1379" s="9"/>
      <c r="R1379" s="67"/>
      <c r="S1379" s="9"/>
    </row>
    <row r="1380" spans="1:19" ht="15" customHeight="1" x14ac:dyDescent="0.25">
      <c r="A1380" s="14"/>
      <c r="B1380" s="28" t="str">
        <f>IF(ISNUMBER(MATCH(C1380, Mgt_Unit!$C$5:$C$1018, 0)), INDEX(Mgt_Unit!$B$5:$B$1018, MATCH(C1380, Mgt_Unit!$C$5:$C$1018, 0)), "")</f>
        <v>jennifer.moore</v>
      </c>
      <c r="C1380" s="87" t="s">
        <v>1019</v>
      </c>
      <c r="D1380" s="65"/>
      <c r="E1380" s="87">
        <v>3</v>
      </c>
      <c r="F1380" s="87" t="s">
        <v>1537</v>
      </c>
      <c r="G1380" s="87" t="s">
        <v>1535</v>
      </c>
      <c r="H1380" s="87" t="s">
        <v>441</v>
      </c>
      <c r="I1380" s="87" t="s">
        <v>124</v>
      </c>
      <c r="J1380" s="90">
        <v>43736</v>
      </c>
      <c r="K1380" s="87"/>
      <c r="L1380" s="87"/>
      <c r="M1380" s="115"/>
      <c r="N1380" s="9"/>
      <c r="O1380" s="33"/>
      <c r="P1380" s="33"/>
      <c r="Q1380" s="9"/>
      <c r="R1380" s="67"/>
      <c r="S1380" s="9"/>
    </row>
    <row r="1381" spans="1:19" ht="15" customHeight="1" x14ac:dyDescent="0.25">
      <c r="A1381" s="14"/>
      <c r="B1381" s="28" t="str">
        <f>IF(ISNUMBER(MATCH(C1381, Mgt_Unit!$C$5:$C$1018, 0)), INDEX(Mgt_Unit!$B$5:$B$1018, MATCH(C1381, Mgt_Unit!$C$5:$C$1018, 0)), "")</f>
        <v>jennifer.moore</v>
      </c>
      <c r="C1381" s="108" t="s">
        <v>1336</v>
      </c>
      <c r="D1381" s="114"/>
      <c r="E1381" s="108">
        <v>1</v>
      </c>
      <c r="F1381" s="108" t="s">
        <v>1537</v>
      </c>
      <c r="G1381" s="108" t="s">
        <v>1536</v>
      </c>
      <c r="H1381" s="108" t="s">
        <v>1549</v>
      </c>
      <c r="I1381" s="108" t="s">
        <v>1562</v>
      </c>
      <c r="J1381" s="111">
        <v>43101</v>
      </c>
      <c r="K1381" s="108"/>
      <c r="L1381" s="111">
        <v>43830</v>
      </c>
      <c r="M1381" s="112">
        <v>0</v>
      </c>
      <c r="N1381" s="9"/>
      <c r="O1381" s="33"/>
      <c r="P1381" s="33"/>
      <c r="Q1381" s="9"/>
      <c r="R1381" s="67"/>
      <c r="S1381" s="9"/>
    </row>
    <row r="1382" spans="1:19" ht="15" customHeight="1" x14ac:dyDescent="0.25">
      <c r="A1382" s="14"/>
      <c r="B1382" s="28" t="str">
        <f>IF(ISNUMBER(MATCH(C1382, Mgt_Unit!$C$5:$C$1018, 0)), INDEX(Mgt_Unit!$B$5:$B$1018, MATCH(C1382, Mgt_Unit!$C$5:$C$1018, 0)), "")</f>
        <v>jennifer.moore</v>
      </c>
      <c r="C1382" t="s">
        <v>1020</v>
      </c>
      <c r="D1382" s="65"/>
      <c r="E1382">
        <v>1</v>
      </c>
      <c r="F1382" t="s">
        <v>1538</v>
      </c>
      <c r="G1382" t="s">
        <v>1535</v>
      </c>
      <c r="H1382" t="s">
        <v>442</v>
      </c>
      <c r="I1382" t="s">
        <v>1542</v>
      </c>
      <c r="J1382" s="89">
        <v>42467</v>
      </c>
      <c r="K1382" s="89"/>
      <c r="L1382" s="89">
        <v>42638</v>
      </c>
      <c r="M1382" s="31">
        <v>0</v>
      </c>
      <c r="N1382" s="9"/>
      <c r="O1382" s="33"/>
      <c r="P1382" s="33"/>
      <c r="Q1382" s="9"/>
      <c r="R1382" s="67"/>
      <c r="S1382" s="9"/>
    </row>
    <row r="1383" spans="1:19" ht="15" customHeight="1" x14ac:dyDescent="0.25">
      <c r="A1383" s="14"/>
      <c r="B1383" s="28" t="str">
        <f>IF(ISNUMBER(MATCH(C1383, Mgt_Unit!$C$5:$C$1018, 0)), INDEX(Mgt_Unit!$B$5:$B$1018, MATCH(C1383, Mgt_Unit!$C$5:$C$1018, 0)), "")</f>
        <v>jennifer.moore</v>
      </c>
      <c r="C1383" t="s">
        <v>1020</v>
      </c>
      <c r="D1383" s="65"/>
      <c r="E1383">
        <v>2</v>
      </c>
      <c r="F1383" t="s">
        <v>1538</v>
      </c>
      <c r="G1383" t="s">
        <v>1544</v>
      </c>
      <c r="H1383" t="s">
        <v>441</v>
      </c>
      <c r="I1383" t="s">
        <v>27</v>
      </c>
      <c r="J1383" s="89">
        <v>42664</v>
      </c>
      <c r="K1383" s="89">
        <v>42943</v>
      </c>
      <c r="L1383"/>
      <c r="M1383" s="31">
        <v>0</v>
      </c>
      <c r="N1383" s="9"/>
      <c r="O1383" s="33"/>
      <c r="P1383" s="33"/>
      <c r="Q1383" s="9"/>
      <c r="R1383" s="67"/>
      <c r="S1383" s="9"/>
    </row>
    <row r="1384" spans="1:19" ht="15" customHeight="1" x14ac:dyDescent="0.25">
      <c r="A1384" s="14"/>
      <c r="B1384" s="28" t="str">
        <f>IF(ISNUMBER(MATCH(C1384, Mgt_Unit!$C$5:$C$1018, 0)), INDEX(Mgt_Unit!$B$5:$B$1018, MATCH(C1384, Mgt_Unit!$C$5:$C$1018, 0)), "")</f>
        <v>jennifer.moore</v>
      </c>
      <c r="C1384" t="s">
        <v>1020</v>
      </c>
      <c r="D1384" s="65"/>
      <c r="E1384">
        <v>3</v>
      </c>
      <c r="F1384" t="s">
        <v>1538</v>
      </c>
      <c r="G1384" t="s">
        <v>1535</v>
      </c>
      <c r="H1384" t="s">
        <v>442</v>
      </c>
      <c r="I1384" t="s">
        <v>1542</v>
      </c>
      <c r="J1384" s="89">
        <v>43199</v>
      </c>
      <c r="K1384"/>
      <c r="L1384" s="89">
        <v>43368</v>
      </c>
      <c r="M1384" s="31">
        <v>0</v>
      </c>
      <c r="N1384" s="9"/>
      <c r="O1384" s="33"/>
      <c r="P1384" s="33"/>
      <c r="Q1384" s="9"/>
      <c r="R1384" s="67"/>
      <c r="S1384" s="9"/>
    </row>
    <row r="1385" spans="1:19" ht="15" customHeight="1" x14ac:dyDescent="0.25">
      <c r="A1385" s="14"/>
      <c r="B1385" s="28" t="str">
        <f>IF(ISNUMBER(MATCH(C1385, Mgt_Unit!$C$5:$C$1018, 0)), INDEX(Mgt_Unit!$B$5:$B$1018, MATCH(C1385, Mgt_Unit!$C$5:$C$1018, 0)), "")</f>
        <v>jennifer.moore</v>
      </c>
      <c r="C1385" s="87" t="s">
        <v>1020</v>
      </c>
      <c r="D1385" s="65"/>
      <c r="E1385" s="87">
        <v>4</v>
      </c>
      <c r="F1385" s="87" t="s">
        <v>1538</v>
      </c>
      <c r="G1385" s="87" t="s">
        <v>1544</v>
      </c>
      <c r="H1385" s="87" t="s">
        <v>441</v>
      </c>
      <c r="I1385" s="87" t="s">
        <v>27</v>
      </c>
      <c r="J1385" s="90">
        <v>43394</v>
      </c>
      <c r="K1385" s="90">
        <v>43673</v>
      </c>
      <c r="L1385" s="87"/>
      <c r="M1385" s="93">
        <v>0</v>
      </c>
      <c r="N1385" s="9"/>
      <c r="O1385" s="33"/>
      <c r="P1385" s="33"/>
      <c r="Q1385" s="9"/>
      <c r="R1385" s="67"/>
      <c r="S1385" s="9"/>
    </row>
    <row r="1386" spans="1:19" ht="15" customHeight="1" x14ac:dyDescent="0.25">
      <c r="A1386" s="14"/>
      <c r="B1386" s="28" t="str">
        <f>IF(ISNUMBER(MATCH(C1386, Mgt_Unit!$C$5:$C$1018, 0)), INDEX(Mgt_Unit!$B$5:$B$1018, MATCH(C1386, Mgt_Unit!$C$5:$C$1018, 0)), "")</f>
        <v>jennifer.moore</v>
      </c>
      <c r="C1386" t="s">
        <v>1021</v>
      </c>
      <c r="D1386" s="65"/>
      <c r="E1386">
        <v>1</v>
      </c>
      <c r="F1386" t="s">
        <v>1538</v>
      </c>
      <c r="G1386" t="s">
        <v>1544</v>
      </c>
      <c r="H1386" t="s">
        <v>441</v>
      </c>
      <c r="I1386" t="s">
        <v>27</v>
      </c>
      <c r="J1386" s="89">
        <v>42664</v>
      </c>
      <c r="K1386" s="89">
        <v>42943</v>
      </c>
      <c r="L1386"/>
      <c r="M1386" s="31">
        <v>0</v>
      </c>
      <c r="N1386" s="9"/>
      <c r="O1386" s="33"/>
      <c r="P1386" s="33"/>
      <c r="Q1386" s="9"/>
      <c r="R1386" s="67"/>
      <c r="S1386" s="9"/>
    </row>
    <row r="1387" spans="1:19" ht="15" customHeight="1" x14ac:dyDescent="0.25">
      <c r="A1387" s="14"/>
      <c r="B1387" s="28" t="str">
        <f>IF(ISNUMBER(MATCH(C1387, Mgt_Unit!$C$5:$C$1018, 0)), INDEX(Mgt_Unit!$B$5:$B$1018, MATCH(C1387, Mgt_Unit!$C$5:$C$1018, 0)), "")</f>
        <v>jennifer.moore</v>
      </c>
      <c r="C1387" s="87" t="s">
        <v>1021</v>
      </c>
      <c r="D1387" s="65"/>
      <c r="E1387" s="87">
        <v>2</v>
      </c>
      <c r="F1387" s="87" t="s">
        <v>1538</v>
      </c>
      <c r="G1387" s="87" t="s">
        <v>1544</v>
      </c>
      <c r="H1387" s="87" t="s">
        <v>441</v>
      </c>
      <c r="I1387" s="87" t="s">
        <v>27</v>
      </c>
      <c r="J1387" s="90">
        <v>43394</v>
      </c>
      <c r="K1387" s="90">
        <v>43673</v>
      </c>
      <c r="L1387" s="87"/>
      <c r="M1387" s="93">
        <v>0</v>
      </c>
      <c r="N1387" s="9"/>
      <c r="O1387" s="33"/>
      <c r="P1387" s="33"/>
      <c r="Q1387" s="9"/>
      <c r="R1387" s="67"/>
      <c r="S1387" s="9"/>
    </row>
    <row r="1388" spans="1:19" ht="15" customHeight="1" x14ac:dyDescent="0.25">
      <c r="A1388" s="14"/>
      <c r="B1388" s="28" t="str">
        <f>IF(ISNUMBER(MATCH(C1388, Mgt_Unit!$C$5:$C$1018, 0)), INDEX(Mgt_Unit!$B$5:$B$1018, MATCH(C1388, Mgt_Unit!$C$5:$C$1018, 0)), "")</f>
        <v>jennifer.moore</v>
      </c>
      <c r="C1388" t="s">
        <v>1022</v>
      </c>
      <c r="D1388" s="65"/>
      <c r="E1388">
        <v>3</v>
      </c>
      <c r="F1388" t="s">
        <v>1538</v>
      </c>
      <c r="G1388" t="s">
        <v>1544</v>
      </c>
      <c r="H1388" t="s">
        <v>441</v>
      </c>
      <c r="I1388" t="s">
        <v>27</v>
      </c>
      <c r="J1388" s="89">
        <v>42664</v>
      </c>
      <c r="K1388" s="89">
        <v>42943</v>
      </c>
      <c r="L1388"/>
      <c r="M1388" s="31">
        <v>0</v>
      </c>
      <c r="N1388" s="9"/>
      <c r="O1388" s="33"/>
      <c r="P1388" s="33"/>
      <c r="Q1388" s="9"/>
      <c r="R1388" s="67"/>
      <c r="S1388" s="9"/>
    </row>
    <row r="1389" spans="1:19" ht="15" customHeight="1" x14ac:dyDescent="0.25">
      <c r="A1389" s="14"/>
      <c r="B1389" s="28" t="str">
        <f>IF(ISNUMBER(MATCH(C1389, Mgt_Unit!$C$5:$C$1018, 0)), INDEX(Mgt_Unit!$B$5:$B$1018, MATCH(C1389, Mgt_Unit!$C$5:$C$1018, 0)), "")</f>
        <v>jennifer.moore</v>
      </c>
      <c r="C1389" s="87" t="s">
        <v>1022</v>
      </c>
      <c r="D1389" s="65"/>
      <c r="E1389" s="87">
        <v>4</v>
      </c>
      <c r="F1389" s="87" t="s">
        <v>1538</v>
      </c>
      <c r="G1389" s="87" t="s">
        <v>1544</v>
      </c>
      <c r="H1389" s="87" t="s">
        <v>441</v>
      </c>
      <c r="I1389" s="87" t="s">
        <v>27</v>
      </c>
      <c r="J1389" s="90">
        <v>43394</v>
      </c>
      <c r="K1389" s="90">
        <v>43673</v>
      </c>
      <c r="L1389" s="87"/>
      <c r="M1389" s="93">
        <v>0</v>
      </c>
      <c r="N1389" s="9"/>
      <c r="O1389" s="33"/>
      <c r="P1389" s="33"/>
      <c r="Q1389" s="9"/>
      <c r="R1389" s="67"/>
      <c r="S1389" s="9"/>
    </row>
    <row r="1390" spans="1:19" ht="15" customHeight="1" x14ac:dyDescent="0.25">
      <c r="A1390" s="14"/>
      <c r="B1390" s="28" t="str">
        <f>IF(ISNUMBER(MATCH(C1390, Mgt_Unit!$C$5:$C$1018, 0)), INDEX(Mgt_Unit!$B$5:$B$1018, MATCH(C1390, Mgt_Unit!$C$5:$C$1018, 0)), "")</f>
        <v>jennifer.moore</v>
      </c>
      <c r="C1390" s="107" t="s">
        <v>1337</v>
      </c>
      <c r="D1390" s="65"/>
      <c r="E1390" s="107">
        <v>1</v>
      </c>
      <c r="F1390" s="107" t="s">
        <v>1537</v>
      </c>
      <c r="G1390" s="107" t="s">
        <v>1536</v>
      </c>
      <c r="H1390" s="107" t="s">
        <v>1549</v>
      </c>
      <c r="I1390" s="107" t="s">
        <v>1562</v>
      </c>
      <c r="J1390" s="109">
        <v>43101</v>
      </c>
      <c r="K1390" s="109"/>
      <c r="L1390" s="111">
        <v>43830</v>
      </c>
      <c r="M1390" s="110">
        <v>0</v>
      </c>
      <c r="N1390" s="9"/>
      <c r="O1390" s="33"/>
      <c r="P1390" s="33"/>
      <c r="Q1390" s="9"/>
      <c r="R1390" s="67"/>
      <c r="S1390" s="9"/>
    </row>
    <row r="1391" spans="1:19" ht="15" customHeight="1" x14ac:dyDescent="0.25">
      <c r="A1391" s="14"/>
      <c r="B1391" s="28" t="str">
        <f>IF(ISNUMBER(MATCH(C1391, Mgt_Unit!$C$5:$C$1018, 0)), INDEX(Mgt_Unit!$B$5:$B$1018, MATCH(C1391, Mgt_Unit!$C$5:$C$1018, 0)), "")</f>
        <v>jennifer.moore</v>
      </c>
      <c r="C1391" t="s">
        <v>1023</v>
      </c>
      <c r="D1391" s="65"/>
      <c r="E1391">
        <v>1</v>
      </c>
      <c r="F1391" t="s">
        <v>1538</v>
      </c>
      <c r="G1391" t="s">
        <v>1544</v>
      </c>
      <c r="H1391" t="s">
        <v>442</v>
      </c>
      <c r="I1391" t="s">
        <v>1285</v>
      </c>
      <c r="J1391" s="89">
        <v>43184</v>
      </c>
      <c r="K1391" s="89">
        <v>43276</v>
      </c>
      <c r="L1391"/>
      <c r="M1391" s="31">
        <v>0</v>
      </c>
      <c r="N1391" s="9"/>
      <c r="O1391" s="33"/>
      <c r="P1391" s="33"/>
      <c r="Q1391" s="9"/>
      <c r="R1391" s="67"/>
      <c r="S1391" s="9"/>
    </row>
    <row r="1392" spans="1:19" ht="15" customHeight="1" x14ac:dyDescent="0.25">
      <c r="A1392" s="14"/>
      <c r="B1392" s="28" t="str">
        <f>IF(ISNUMBER(MATCH(C1392, Mgt_Unit!$C$5:$C$1018, 0)), INDEX(Mgt_Unit!$B$5:$B$1018, MATCH(C1392, Mgt_Unit!$C$5:$C$1018, 0)), "")</f>
        <v>jennifer.moore</v>
      </c>
      <c r="C1392" s="87" t="s">
        <v>1023</v>
      </c>
      <c r="D1392" s="65"/>
      <c r="E1392" s="87">
        <v>2</v>
      </c>
      <c r="F1392" s="87" t="s">
        <v>1538</v>
      </c>
      <c r="G1392" s="87" t="s">
        <v>1544</v>
      </c>
      <c r="H1392" s="87" t="s">
        <v>441</v>
      </c>
      <c r="I1392" s="87" t="s">
        <v>27</v>
      </c>
      <c r="J1392" s="90">
        <v>43388</v>
      </c>
      <c r="K1392" s="90">
        <v>43661</v>
      </c>
      <c r="L1392" s="87"/>
      <c r="M1392" s="93">
        <v>0</v>
      </c>
      <c r="N1392" s="9"/>
      <c r="O1392" s="33"/>
      <c r="P1392" s="33"/>
      <c r="Q1392" s="9"/>
      <c r="R1392" s="67"/>
      <c r="S1392" s="9"/>
    </row>
    <row r="1393" spans="1:19" ht="15" customHeight="1" x14ac:dyDescent="0.25">
      <c r="A1393" s="14"/>
      <c r="B1393" s="28" t="str">
        <f>IF(ISNUMBER(MATCH(C1393, Mgt_Unit!$C$5:$C$1018, 0)), INDEX(Mgt_Unit!$B$5:$B$1018, MATCH(C1393, Mgt_Unit!$C$5:$C$1018, 0)), "")</f>
        <v>jennifer.moore</v>
      </c>
      <c r="C1393" t="s">
        <v>1024</v>
      </c>
      <c r="D1393" s="65"/>
      <c r="E1393">
        <v>1</v>
      </c>
      <c r="F1393" t="s">
        <v>1538</v>
      </c>
      <c r="G1393" t="s">
        <v>1544</v>
      </c>
      <c r="H1393" t="s">
        <v>442</v>
      </c>
      <c r="I1393" t="s">
        <v>1285</v>
      </c>
      <c r="J1393" s="89">
        <v>43184</v>
      </c>
      <c r="K1393" s="89">
        <v>43276</v>
      </c>
      <c r="L1393"/>
      <c r="M1393" s="31">
        <v>0</v>
      </c>
      <c r="N1393" s="9"/>
      <c r="O1393" s="33"/>
      <c r="P1393" s="33"/>
      <c r="Q1393" s="9"/>
      <c r="R1393" s="67"/>
      <c r="S1393" s="9"/>
    </row>
    <row r="1394" spans="1:19" ht="15" customHeight="1" x14ac:dyDescent="0.25">
      <c r="A1394" s="14"/>
      <c r="B1394" s="28" t="str">
        <f>IF(ISNUMBER(MATCH(C1394, Mgt_Unit!$C$5:$C$1018, 0)), INDEX(Mgt_Unit!$B$5:$B$1018, MATCH(C1394, Mgt_Unit!$C$5:$C$1018, 0)), "")</f>
        <v>jennifer.moore</v>
      </c>
      <c r="C1394" s="87" t="s">
        <v>1024</v>
      </c>
      <c r="D1394" s="65"/>
      <c r="E1394" s="87">
        <v>2</v>
      </c>
      <c r="F1394" s="87" t="s">
        <v>1538</v>
      </c>
      <c r="G1394" s="87" t="s">
        <v>1544</v>
      </c>
      <c r="H1394" s="87" t="s">
        <v>441</v>
      </c>
      <c r="I1394" s="87" t="s">
        <v>27</v>
      </c>
      <c r="J1394" s="90">
        <v>43388</v>
      </c>
      <c r="K1394" s="90">
        <v>43661</v>
      </c>
      <c r="L1394" s="87"/>
      <c r="M1394" s="93">
        <v>0</v>
      </c>
      <c r="N1394" s="9"/>
      <c r="O1394" s="33"/>
      <c r="P1394" s="33"/>
      <c r="Q1394" s="9"/>
      <c r="R1394" s="67"/>
      <c r="S1394" s="9"/>
    </row>
    <row r="1395" spans="1:19" ht="15" customHeight="1" x14ac:dyDescent="0.25">
      <c r="A1395" s="14"/>
      <c r="B1395" s="28" t="str">
        <f>IF(ISNUMBER(MATCH(C1395, Mgt_Unit!$C$5:$C$1018, 0)), INDEX(Mgt_Unit!$B$5:$B$1018, MATCH(C1395, Mgt_Unit!$C$5:$C$1018, 0)), "")</f>
        <v>jennifer.moore</v>
      </c>
      <c r="C1395" t="s">
        <v>1025</v>
      </c>
      <c r="D1395" s="65"/>
      <c r="E1395">
        <v>1</v>
      </c>
      <c r="F1395" t="s">
        <v>1538</v>
      </c>
      <c r="G1395" t="s">
        <v>1544</v>
      </c>
      <c r="H1395" t="s">
        <v>442</v>
      </c>
      <c r="I1395" t="s">
        <v>1285</v>
      </c>
      <c r="J1395" s="89">
        <v>43184</v>
      </c>
      <c r="K1395" s="89">
        <v>43276</v>
      </c>
      <c r="L1395"/>
      <c r="M1395" s="31">
        <v>0</v>
      </c>
      <c r="N1395" s="9"/>
      <c r="O1395" s="33"/>
      <c r="P1395" s="33"/>
      <c r="Q1395" s="9"/>
      <c r="R1395" s="67"/>
      <c r="S1395" s="9"/>
    </row>
    <row r="1396" spans="1:19" ht="15" customHeight="1" x14ac:dyDescent="0.25">
      <c r="A1396" s="14"/>
      <c r="B1396" s="28" t="str">
        <f>IF(ISNUMBER(MATCH(C1396, Mgt_Unit!$C$5:$C$1018, 0)), INDEX(Mgt_Unit!$B$5:$B$1018, MATCH(C1396, Mgt_Unit!$C$5:$C$1018, 0)), "")</f>
        <v>jennifer.moore</v>
      </c>
      <c r="C1396" s="87" t="s">
        <v>1025</v>
      </c>
      <c r="D1396" s="65"/>
      <c r="E1396" s="87">
        <v>2</v>
      </c>
      <c r="F1396" s="87" t="s">
        <v>1538</v>
      </c>
      <c r="G1396" s="87" t="s">
        <v>1544</v>
      </c>
      <c r="H1396" s="87" t="s">
        <v>441</v>
      </c>
      <c r="I1396" s="87" t="s">
        <v>27</v>
      </c>
      <c r="J1396" s="90">
        <v>43388</v>
      </c>
      <c r="K1396" s="90">
        <v>43661</v>
      </c>
      <c r="L1396" s="87"/>
      <c r="M1396" s="93">
        <v>0</v>
      </c>
      <c r="N1396" s="9"/>
      <c r="O1396" s="33"/>
      <c r="P1396" s="33"/>
      <c r="Q1396" s="9"/>
      <c r="R1396" s="67"/>
      <c r="S1396" s="9"/>
    </row>
    <row r="1397" spans="1:19" ht="15" customHeight="1" x14ac:dyDescent="0.25">
      <c r="A1397" s="14"/>
      <c r="B1397" s="28" t="str">
        <f>IF(ISNUMBER(MATCH(C1397, Mgt_Unit!$C$5:$C$1018, 0)), INDEX(Mgt_Unit!$B$5:$B$1018, MATCH(C1397, Mgt_Unit!$C$5:$C$1018, 0)), "")</f>
        <v>jennifer.moore</v>
      </c>
      <c r="C1397" s="87" t="s">
        <v>1026</v>
      </c>
      <c r="D1397" s="65"/>
      <c r="E1397" s="87">
        <v>1</v>
      </c>
      <c r="F1397" s="87" t="s">
        <v>1538</v>
      </c>
      <c r="G1397" s="87" t="s">
        <v>1544</v>
      </c>
      <c r="H1397" s="87" t="s">
        <v>441</v>
      </c>
      <c r="I1397" s="87" t="s">
        <v>27</v>
      </c>
      <c r="J1397" s="91">
        <v>43388</v>
      </c>
      <c r="K1397" s="91">
        <v>43661</v>
      </c>
      <c r="L1397" s="88"/>
      <c r="M1397" s="93">
        <v>0</v>
      </c>
      <c r="N1397" s="9"/>
      <c r="O1397" s="33"/>
      <c r="P1397" s="33"/>
      <c r="Q1397" s="9"/>
      <c r="R1397" s="67"/>
      <c r="S1397" s="9"/>
    </row>
    <row r="1398" spans="1:19" ht="15" customHeight="1" x14ac:dyDescent="0.25">
      <c r="A1398" s="14"/>
      <c r="B1398" s="28" t="str">
        <f>IF(ISNUMBER(MATCH(C1398, Mgt_Unit!$C$5:$C$1018, 0)), INDEX(Mgt_Unit!$B$5:$B$1018, MATCH(C1398, Mgt_Unit!$C$5:$C$1018, 0)), "")</f>
        <v>jennifer.moore</v>
      </c>
      <c r="C1398" s="87" t="s">
        <v>1027</v>
      </c>
      <c r="D1398" s="65"/>
      <c r="E1398" s="87">
        <v>1</v>
      </c>
      <c r="F1398" s="87" t="s">
        <v>1538</v>
      </c>
      <c r="G1398" s="87" t="s">
        <v>1544</v>
      </c>
      <c r="H1398" s="87" t="s">
        <v>441</v>
      </c>
      <c r="I1398" s="87" t="s">
        <v>27</v>
      </c>
      <c r="J1398" s="91">
        <v>43388</v>
      </c>
      <c r="K1398" s="91">
        <v>43661</v>
      </c>
      <c r="L1398" s="88"/>
      <c r="M1398" s="93">
        <v>0</v>
      </c>
      <c r="N1398" s="9"/>
      <c r="O1398" s="33"/>
      <c r="P1398" s="33"/>
      <c r="Q1398" s="9"/>
      <c r="R1398" s="67"/>
      <c r="S1398" s="9"/>
    </row>
    <row r="1399" spans="1:19" ht="15" customHeight="1" x14ac:dyDescent="0.25">
      <c r="A1399" s="14"/>
      <c r="B1399" s="28" t="str">
        <f>IF(ISNUMBER(MATCH(C1399, Mgt_Unit!$C$5:$C$1018, 0)), INDEX(Mgt_Unit!$B$5:$B$1018, MATCH(C1399, Mgt_Unit!$C$5:$C$1018, 0)), "")</f>
        <v>jennifer.moore</v>
      </c>
      <c r="C1399" s="87" t="s">
        <v>1028</v>
      </c>
      <c r="D1399" s="65"/>
      <c r="E1399" s="87">
        <v>1</v>
      </c>
      <c r="F1399" s="87" t="s">
        <v>1538</v>
      </c>
      <c r="G1399" s="87" t="s">
        <v>1544</v>
      </c>
      <c r="H1399" s="87" t="s">
        <v>441</v>
      </c>
      <c r="I1399" s="87" t="s">
        <v>27</v>
      </c>
      <c r="J1399" s="91">
        <v>43388</v>
      </c>
      <c r="K1399" s="91">
        <v>43661</v>
      </c>
      <c r="L1399" s="88"/>
      <c r="M1399" s="93">
        <v>0</v>
      </c>
      <c r="N1399" s="9"/>
      <c r="O1399" s="33"/>
      <c r="P1399" s="33"/>
      <c r="Q1399" s="9"/>
      <c r="R1399" s="67"/>
      <c r="S1399" s="9"/>
    </row>
    <row r="1400" spans="1:19" ht="15" customHeight="1" x14ac:dyDescent="0.25">
      <c r="A1400" s="14"/>
      <c r="B1400" s="28" t="str">
        <f>IF(ISNUMBER(MATCH(C1400, Mgt_Unit!$C$5:$C$1018, 0)), INDEX(Mgt_Unit!$B$5:$B$1018, MATCH(C1400, Mgt_Unit!$C$5:$C$1018, 0)), "")</f>
        <v>jennifer.moore</v>
      </c>
      <c r="C1400" s="88" t="s">
        <v>1029</v>
      </c>
      <c r="D1400" s="65"/>
      <c r="E1400" s="88">
        <v>1</v>
      </c>
      <c r="F1400" s="88" t="s">
        <v>1538</v>
      </c>
      <c r="G1400" s="88" t="s">
        <v>1544</v>
      </c>
      <c r="H1400" s="88" t="s">
        <v>441</v>
      </c>
      <c r="I1400" s="88" t="s">
        <v>27</v>
      </c>
      <c r="J1400" s="91">
        <v>43388</v>
      </c>
      <c r="K1400" s="91">
        <v>43661</v>
      </c>
      <c r="L1400" s="88"/>
      <c r="M1400" s="94">
        <v>0</v>
      </c>
      <c r="N1400" s="9"/>
      <c r="O1400" s="33"/>
      <c r="P1400" s="33"/>
      <c r="Q1400" s="9"/>
      <c r="R1400" s="67"/>
      <c r="S1400" s="9"/>
    </row>
    <row r="1401" spans="1:19" ht="15" customHeight="1" x14ac:dyDescent="0.25">
      <c r="A1401" s="14"/>
      <c r="B1401" s="28" t="str">
        <f>IF(ISNUMBER(MATCH(C1401, Mgt_Unit!$C$5:$C$1018, 0)), INDEX(Mgt_Unit!$B$5:$B$1018, MATCH(C1401, Mgt_Unit!$C$5:$C$1018, 0)), "")</f>
        <v>jennifer.moore</v>
      </c>
      <c r="C1401" t="s">
        <v>1030</v>
      </c>
      <c r="D1401" s="65"/>
      <c r="E1401">
        <v>1</v>
      </c>
      <c r="F1401" t="s">
        <v>1538</v>
      </c>
      <c r="G1401" t="s">
        <v>1544</v>
      </c>
      <c r="H1401" t="s">
        <v>441</v>
      </c>
      <c r="I1401" t="s">
        <v>195</v>
      </c>
      <c r="J1401" s="89">
        <v>42278</v>
      </c>
      <c r="K1401" s="89">
        <v>42597</v>
      </c>
      <c r="L1401"/>
      <c r="M1401" s="31">
        <v>0</v>
      </c>
      <c r="N1401" s="9"/>
      <c r="O1401" s="33"/>
      <c r="P1401" s="33"/>
      <c r="Q1401" s="9"/>
      <c r="R1401" s="67"/>
      <c r="S1401" s="9"/>
    </row>
    <row r="1402" spans="1:19" ht="15" customHeight="1" x14ac:dyDescent="0.25">
      <c r="A1402" s="14"/>
      <c r="B1402" s="28" t="str">
        <f>IF(ISNUMBER(MATCH(C1402, Mgt_Unit!$C$5:$C$1018, 0)), INDEX(Mgt_Unit!$B$5:$B$1018, MATCH(C1402, Mgt_Unit!$C$5:$C$1018, 0)), "")</f>
        <v>jennifer.moore</v>
      </c>
      <c r="C1402" t="s">
        <v>1030</v>
      </c>
      <c r="D1402" s="65"/>
      <c r="E1402">
        <v>2</v>
      </c>
      <c r="F1402" t="s">
        <v>1538</v>
      </c>
      <c r="G1402" t="s">
        <v>1535</v>
      </c>
      <c r="H1402" t="s">
        <v>442</v>
      </c>
      <c r="I1402" t="s">
        <v>245</v>
      </c>
      <c r="J1402" s="89">
        <v>42602</v>
      </c>
      <c r="K1402"/>
      <c r="L1402" s="89">
        <v>42826</v>
      </c>
      <c r="M1402" s="31">
        <v>0</v>
      </c>
      <c r="N1402" s="9"/>
      <c r="O1402" s="33"/>
      <c r="P1402" s="33"/>
      <c r="Q1402" s="9"/>
      <c r="R1402" s="67"/>
      <c r="S1402" s="9"/>
    </row>
    <row r="1403" spans="1:19" ht="15" customHeight="1" x14ac:dyDescent="0.25">
      <c r="A1403" s="14"/>
      <c r="B1403" s="28" t="str">
        <f>IF(ISNUMBER(MATCH(C1403, Mgt_Unit!$C$5:$C$1018, 0)), INDEX(Mgt_Unit!$B$5:$B$1018, MATCH(C1403, Mgt_Unit!$C$5:$C$1018, 0)), "")</f>
        <v>jennifer.moore</v>
      </c>
      <c r="C1403" t="s">
        <v>1030</v>
      </c>
      <c r="D1403" s="65"/>
      <c r="E1403">
        <v>3</v>
      </c>
      <c r="F1403" t="s">
        <v>1538</v>
      </c>
      <c r="G1403" t="s">
        <v>1544</v>
      </c>
      <c r="H1403" t="s">
        <v>50</v>
      </c>
      <c r="I1403" t="s">
        <v>87</v>
      </c>
      <c r="J1403" s="89">
        <v>42835</v>
      </c>
      <c r="K1403" s="89">
        <v>43023</v>
      </c>
      <c r="L1403"/>
      <c r="M1403" s="31">
        <v>0</v>
      </c>
      <c r="N1403" s="9"/>
      <c r="O1403" s="33"/>
      <c r="P1403" s="33"/>
      <c r="Q1403" s="9"/>
      <c r="R1403" s="67"/>
      <c r="S1403" s="9"/>
    </row>
    <row r="1404" spans="1:19" ht="15" customHeight="1" x14ac:dyDescent="0.25">
      <c r="A1404" s="14"/>
      <c r="B1404" s="28" t="str">
        <f>IF(ISNUMBER(MATCH(C1404, Mgt_Unit!$C$5:$C$1018, 0)), INDEX(Mgt_Unit!$B$5:$B$1018, MATCH(C1404, Mgt_Unit!$C$5:$C$1018, 0)), "")</f>
        <v>jennifer.moore</v>
      </c>
      <c r="C1404" t="s">
        <v>1030</v>
      </c>
      <c r="D1404" s="65"/>
      <c r="E1404">
        <v>4</v>
      </c>
      <c r="F1404" t="s">
        <v>1538</v>
      </c>
      <c r="G1404" t="s">
        <v>1535</v>
      </c>
      <c r="H1404" t="s">
        <v>441</v>
      </c>
      <c r="I1404" t="s">
        <v>124</v>
      </c>
      <c r="J1404" s="89">
        <v>43024</v>
      </c>
      <c r="K1404"/>
      <c r="L1404" s="89">
        <v>43191</v>
      </c>
      <c r="M1404" s="31">
        <v>0</v>
      </c>
      <c r="N1404" s="9"/>
      <c r="O1404" s="33"/>
      <c r="P1404" s="33"/>
      <c r="Q1404" s="9"/>
      <c r="R1404" s="67"/>
      <c r="S1404" s="9"/>
    </row>
    <row r="1405" spans="1:19" ht="15" customHeight="1" x14ac:dyDescent="0.25">
      <c r="A1405" s="14"/>
      <c r="B1405" s="28" t="str">
        <f>IF(ISNUMBER(MATCH(C1405, Mgt_Unit!$C$5:$C$1018, 0)), INDEX(Mgt_Unit!$B$5:$B$1018, MATCH(C1405, Mgt_Unit!$C$5:$C$1018, 0)), "")</f>
        <v>jennifer.moore</v>
      </c>
      <c r="C1405" t="s">
        <v>1030</v>
      </c>
      <c r="D1405" s="65"/>
      <c r="E1405">
        <v>5</v>
      </c>
      <c r="F1405" t="s">
        <v>1537</v>
      </c>
      <c r="G1405" t="s">
        <v>1535</v>
      </c>
      <c r="H1405" t="s">
        <v>442</v>
      </c>
      <c r="I1405" t="s">
        <v>148</v>
      </c>
      <c r="J1405" s="89">
        <v>43191</v>
      </c>
      <c r="K1405"/>
      <c r="L1405" s="89">
        <v>43286</v>
      </c>
      <c r="M1405" s="31">
        <v>0</v>
      </c>
      <c r="N1405" s="9"/>
      <c r="O1405" s="33"/>
      <c r="P1405" s="33"/>
      <c r="Q1405" s="9"/>
      <c r="R1405" s="67"/>
      <c r="S1405" s="9"/>
    </row>
    <row r="1406" spans="1:19" ht="15" customHeight="1" x14ac:dyDescent="0.25">
      <c r="A1406" s="14"/>
      <c r="B1406" s="28" t="str">
        <f>IF(ISNUMBER(MATCH(C1406, Mgt_Unit!$C$5:$C$1018, 0)), INDEX(Mgt_Unit!$B$5:$B$1018, MATCH(C1406, Mgt_Unit!$C$5:$C$1018, 0)), "")</f>
        <v>jennifer.moore</v>
      </c>
      <c r="C1406" t="s">
        <v>1030</v>
      </c>
      <c r="D1406" s="65"/>
      <c r="E1406">
        <v>5</v>
      </c>
      <c r="F1406" t="s">
        <v>1537</v>
      </c>
      <c r="G1406" t="s">
        <v>1535</v>
      </c>
      <c r="H1406" t="s">
        <v>441</v>
      </c>
      <c r="I1406" t="s">
        <v>88</v>
      </c>
      <c r="J1406" s="89">
        <v>43191</v>
      </c>
      <c r="K1406"/>
      <c r="L1406" s="89">
        <v>43286</v>
      </c>
      <c r="M1406" s="31">
        <v>0</v>
      </c>
      <c r="N1406" s="9"/>
      <c r="O1406" s="33"/>
      <c r="P1406" s="33"/>
      <c r="Q1406" s="9"/>
      <c r="R1406" s="67"/>
      <c r="S1406" s="9"/>
    </row>
    <row r="1407" spans="1:19" ht="15" customHeight="1" x14ac:dyDescent="0.25">
      <c r="A1407" s="14"/>
      <c r="B1407" s="28" t="str">
        <f>IF(ISNUMBER(MATCH(C1407, Mgt_Unit!$C$5:$C$1018, 0)), INDEX(Mgt_Unit!$B$5:$B$1018, MATCH(C1407, Mgt_Unit!$C$5:$C$1018, 0)), "")</f>
        <v>jennifer.moore</v>
      </c>
      <c r="C1407" t="s">
        <v>1030</v>
      </c>
      <c r="D1407" s="65"/>
      <c r="E1407">
        <v>6</v>
      </c>
      <c r="F1407" t="s">
        <v>1538</v>
      </c>
      <c r="G1407" t="s">
        <v>1535</v>
      </c>
      <c r="H1407" t="s">
        <v>441</v>
      </c>
      <c r="I1407" t="s">
        <v>124</v>
      </c>
      <c r="J1407" s="89">
        <v>43286</v>
      </c>
      <c r="K1407"/>
      <c r="L1407" s="89">
        <v>43556</v>
      </c>
      <c r="M1407" s="31">
        <v>0</v>
      </c>
      <c r="N1407" s="9"/>
      <c r="O1407" s="33"/>
      <c r="P1407" s="33"/>
      <c r="Q1407" s="9"/>
      <c r="R1407" s="67"/>
      <c r="S1407" s="9"/>
    </row>
    <row r="1408" spans="1:19" ht="15" customHeight="1" x14ac:dyDescent="0.25">
      <c r="A1408" s="14"/>
      <c r="B1408" s="28" t="str">
        <f>IF(ISNUMBER(MATCH(C1408, Mgt_Unit!$C$5:$C$1018, 0)), INDEX(Mgt_Unit!$B$5:$B$1018, MATCH(C1408, Mgt_Unit!$C$5:$C$1018, 0)), "")</f>
        <v>jennifer.moore</v>
      </c>
      <c r="C1408" s="87" t="s">
        <v>1030</v>
      </c>
      <c r="D1408" s="65"/>
      <c r="E1408" s="87">
        <v>7</v>
      </c>
      <c r="F1408" s="87" t="s">
        <v>1538</v>
      </c>
      <c r="G1408" s="87" t="s">
        <v>1544</v>
      </c>
      <c r="H1408" s="87" t="s">
        <v>51</v>
      </c>
      <c r="I1408" s="87" t="s">
        <v>137</v>
      </c>
      <c r="J1408" s="90">
        <v>43556</v>
      </c>
      <c r="K1408" s="90">
        <v>43739</v>
      </c>
      <c r="L1408" s="87"/>
      <c r="M1408" s="93">
        <v>0</v>
      </c>
      <c r="N1408" s="9"/>
      <c r="O1408" s="33"/>
      <c r="P1408" s="33"/>
      <c r="Q1408" s="9"/>
      <c r="R1408" s="67"/>
      <c r="S1408" s="9"/>
    </row>
    <row r="1409" spans="1:19" ht="15" customHeight="1" x14ac:dyDescent="0.25">
      <c r="A1409" s="14"/>
      <c r="B1409" s="28" t="str">
        <f>IF(ISNUMBER(MATCH(C1409, Mgt_Unit!$C$5:$C$1018, 0)), INDEX(Mgt_Unit!$B$5:$B$1018, MATCH(C1409, Mgt_Unit!$C$5:$C$1018, 0)), "")</f>
        <v>jennifer.moore</v>
      </c>
      <c r="C1409" t="s">
        <v>1031</v>
      </c>
      <c r="D1409" s="65"/>
      <c r="E1409">
        <v>1</v>
      </c>
      <c r="F1409" t="s">
        <v>1538</v>
      </c>
      <c r="G1409" t="s">
        <v>1544</v>
      </c>
      <c r="H1409" t="s">
        <v>50</v>
      </c>
      <c r="I1409" t="s">
        <v>87</v>
      </c>
      <c r="J1409" s="89">
        <v>42144</v>
      </c>
      <c r="K1409" s="89">
        <v>42262</v>
      </c>
      <c r="L1409"/>
      <c r="M1409" s="31">
        <v>90</v>
      </c>
      <c r="N1409" s="9"/>
      <c r="O1409" s="33"/>
      <c r="P1409" s="33"/>
      <c r="Q1409" s="9"/>
      <c r="R1409" s="67"/>
      <c r="S1409" s="9"/>
    </row>
    <row r="1410" spans="1:19" ht="15" customHeight="1" x14ac:dyDescent="0.25">
      <c r="A1410" s="14"/>
      <c r="B1410" s="28" t="str">
        <f>IF(ISNUMBER(MATCH(C1410, Mgt_Unit!$C$5:$C$1018, 0)), INDEX(Mgt_Unit!$B$5:$B$1018, MATCH(C1410, Mgt_Unit!$C$5:$C$1018, 0)), "")</f>
        <v>jennifer.moore</v>
      </c>
      <c r="C1410" t="s">
        <v>1031</v>
      </c>
      <c r="D1410" s="65"/>
      <c r="E1410">
        <v>2</v>
      </c>
      <c r="F1410" t="s">
        <v>1538</v>
      </c>
      <c r="G1410" t="s">
        <v>1544</v>
      </c>
      <c r="H1410" t="s">
        <v>441</v>
      </c>
      <c r="I1410" t="s">
        <v>195</v>
      </c>
      <c r="J1410" s="89">
        <v>42278</v>
      </c>
      <c r="K1410" s="89">
        <v>42597</v>
      </c>
      <c r="L1410"/>
      <c r="M1410" s="31">
        <v>0</v>
      </c>
      <c r="N1410" s="9"/>
      <c r="O1410" s="33"/>
      <c r="P1410" s="33"/>
      <c r="Q1410" s="9"/>
      <c r="R1410" s="67"/>
      <c r="S1410" s="9"/>
    </row>
    <row r="1411" spans="1:19" ht="15" customHeight="1" x14ac:dyDescent="0.25">
      <c r="A1411" s="14"/>
      <c r="B1411" s="28" t="str">
        <f>IF(ISNUMBER(MATCH(C1411, Mgt_Unit!$C$5:$C$1018, 0)), INDEX(Mgt_Unit!$B$5:$B$1018, MATCH(C1411, Mgt_Unit!$C$5:$C$1018, 0)), "")</f>
        <v>jennifer.moore</v>
      </c>
      <c r="C1411" t="s">
        <v>1031</v>
      </c>
      <c r="D1411" s="65"/>
      <c r="E1411">
        <v>3</v>
      </c>
      <c r="F1411" t="s">
        <v>1538</v>
      </c>
      <c r="G1411" t="s">
        <v>1535</v>
      </c>
      <c r="H1411" t="s">
        <v>442</v>
      </c>
      <c r="I1411" t="s">
        <v>245</v>
      </c>
      <c r="J1411" s="89">
        <v>42602</v>
      </c>
      <c r="K1411"/>
      <c r="L1411" s="89">
        <v>42826</v>
      </c>
      <c r="M1411" s="31">
        <v>0</v>
      </c>
      <c r="N1411" s="9"/>
      <c r="O1411" s="33"/>
      <c r="P1411" s="33"/>
      <c r="Q1411" s="9"/>
      <c r="R1411" s="67"/>
      <c r="S1411" s="9"/>
    </row>
    <row r="1412" spans="1:19" ht="15" customHeight="1" x14ac:dyDescent="0.25">
      <c r="A1412" s="14"/>
      <c r="B1412" s="28" t="str">
        <f>IF(ISNUMBER(MATCH(C1412, Mgt_Unit!$C$5:$C$1018, 0)), INDEX(Mgt_Unit!$B$5:$B$1018, MATCH(C1412, Mgt_Unit!$C$5:$C$1018, 0)), "")</f>
        <v>jennifer.moore</v>
      </c>
      <c r="C1412" t="s">
        <v>1031</v>
      </c>
      <c r="D1412" s="65"/>
      <c r="E1412">
        <v>4</v>
      </c>
      <c r="F1412" t="s">
        <v>1538</v>
      </c>
      <c r="G1412" t="s">
        <v>1544</v>
      </c>
      <c r="H1412" t="s">
        <v>50</v>
      </c>
      <c r="I1412" t="s">
        <v>87</v>
      </c>
      <c r="J1412" s="89">
        <v>42835</v>
      </c>
      <c r="K1412" s="89">
        <v>43023</v>
      </c>
      <c r="L1412"/>
      <c r="M1412" s="31">
        <v>0</v>
      </c>
      <c r="N1412" s="9"/>
      <c r="O1412" s="33"/>
      <c r="P1412" s="33"/>
      <c r="Q1412" s="9"/>
      <c r="R1412" s="67"/>
      <c r="S1412" s="9"/>
    </row>
    <row r="1413" spans="1:19" ht="15" customHeight="1" x14ac:dyDescent="0.25">
      <c r="A1413" s="14"/>
      <c r="B1413" s="28" t="str">
        <f>IF(ISNUMBER(MATCH(C1413, Mgt_Unit!$C$5:$C$1018, 0)), INDEX(Mgt_Unit!$B$5:$B$1018, MATCH(C1413, Mgt_Unit!$C$5:$C$1018, 0)), "")</f>
        <v>jennifer.moore</v>
      </c>
      <c r="C1413" t="s">
        <v>1031</v>
      </c>
      <c r="D1413" s="65"/>
      <c r="E1413">
        <v>5</v>
      </c>
      <c r="F1413" t="s">
        <v>1538</v>
      </c>
      <c r="G1413" t="s">
        <v>1535</v>
      </c>
      <c r="H1413" t="s">
        <v>441</v>
      </c>
      <c r="I1413" t="s">
        <v>124</v>
      </c>
      <c r="J1413" s="89">
        <v>43024</v>
      </c>
      <c r="K1413"/>
      <c r="L1413" s="89">
        <v>43191</v>
      </c>
      <c r="M1413" s="31">
        <v>0</v>
      </c>
      <c r="N1413" s="9"/>
      <c r="O1413" s="33"/>
      <c r="P1413" s="33"/>
      <c r="Q1413" s="9"/>
      <c r="R1413" s="67"/>
      <c r="S1413" s="9"/>
    </row>
    <row r="1414" spans="1:19" ht="15" customHeight="1" x14ac:dyDescent="0.25">
      <c r="A1414" s="4"/>
      <c r="B1414" s="28" t="str">
        <f>IF(ISNUMBER(MATCH(C1414, Mgt_Unit!$C$5:$C$1018, 0)), INDEX(Mgt_Unit!$B$5:$B$1018, MATCH(C1414, Mgt_Unit!$C$5:$C$1018, 0)), "")</f>
        <v>jennifer.moore</v>
      </c>
      <c r="C1414" t="s">
        <v>1031</v>
      </c>
      <c r="D1414" s="65"/>
      <c r="E1414">
        <v>6</v>
      </c>
      <c r="F1414" t="s">
        <v>1537</v>
      </c>
      <c r="G1414" t="s">
        <v>1544</v>
      </c>
      <c r="H1414" t="s">
        <v>441</v>
      </c>
      <c r="I1414" t="s">
        <v>88</v>
      </c>
      <c r="J1414" s="89">
        <v>43191</v>
      </c>
      <c r="K1414" s="89">
        <v>43286</v>
      </c>
      <c r="L1414"/>
      <c r="M1414" s="31">
        <v>0</v>
      </c>
      <c r="N1414" s="9"/>
      <c r="O1414" s="33"/>
      <c r="P1414" s="33"/>
      <c r="Q1414" s="9"/>
      <c r="R1414" s="67"/>
      <c r="S1414" s="9"/>
    </row>
    <row r="1415" spans="1:19" ht="15" customHeight="1" x14ac:dyDescent="0.25">
      <c r="B1415" s="28" t="str">
        <f>IF(ISNUMBER(MATCH(C1415, Mgt_Unit!$C$5:$C$1018, 0)), INDEX(Mgt_Unit!$B$5:$B$1018, MATCH(C1415, Mgt_Unit!$C$5:$C$1018, 0)), "")</f>
        <v>jennifer.moore</v>
      </c>
      <c r="C1415" t="s">
        <v>1031</v>
      </c>
      <c r="D1415" s="65"/>
      <c r="E1415">
        <v>6</v>
      </c>
      <c r="F1415" t="s">
        <v>1537</v>
      </c>
      <c r="G1415" t="s">
        <v>1544</v>
      </c>
      <c r="H1415" t="s">
        <v>442</v>
      </c>
      <c r="I1415" t="s">
        <v>148</v>
      </c>
      <c r="J1415" s="89">
        <v>43191</v>
      </c>
      <c r="K1415" s="89">
        <v>43286</v>
      </c>
      <c r="L1415"/>
      <c r="M1415" s="31">
        <v>0</v>
      </c>
      <c r="N1415" s="9"/>
      <c r="O1415" s="33"/>
      <c r="P1415" s="33"/>
      <c r="Q1415" s="9"/>
      <c r="R1415" s="79"/>
      <c r="S1415" s="68"/>
    </row>
    <row r="1416" spans="1:19" ht="15" customHeight="1" x14ac:dyDescent="0.25">
      <c r="B1416" s="28" t="str">
        <f>IF(ISNUMBER(MATCH(C1416, Mgt_Unit!$C$5:$C$1018, 0)), INDEX(Mgt_Unit!$B$5:$B$1018, MATCH(C1416, Mgt_Unit!$C$5:$C$1018, 0)), "")</f>
        <v>jennifer.moore</v>
      </c>
      <c r="C1416" t="s">
        <v>1031</v>
      </c>
      <c r="D1416" s="65"/>
      <c r="E1416">
        <v>7</v>
      </c>
      <c r="F1416" t="s">
        <v>1538</v>
      </c>
      <c r="G1416" t="s">
        <v>1535</v>
      </c>
      <c r="H1416" t="s">
        <v>441</v>
      </c>
      <c r="I1416" t="s">
        <v>124</v>
      </c>
      <c r="J1416" s="89">
        <v>43286</v>
      </c>
      <c r="K1416"/>
      <c r="L1416" s="89">
        <v>43556</v>
      </c>
      <c r="M1416" s="31">
        <v>0</v>
      </c>
    </row>
    <row r="1417" spans="1:19" ht="15" customHeight="1" x14ac:dyDescent="0.25">
      <c r="B1417" s="28" t="str">
        <f>IF(ISNUMBER(MATCH(C1417, Mgt_Unit!$C$5:$C$1018, 0)), INDEX(Mgt_Unit!$B$5:$B$1018, MATCH(C1417, Mgt_Unit!$C$5:$C$1018, 0)), "")</f>
        <v>jennifer.moore</v>
      </c>
      <c r="C1417" t="s">
        <v>1031</v>
      </c>
      <c r="D1417" s="65"/>
      <c r="E1417">
        <v>8</v>
      </c>
      <c r="F1417" t="s">
        <v>1538</v>
      </c>
      <c r="G1417" t="s">
        <v>1544</v>
      </c>
      <c r="H1417" t="s">
        <v>51</v>
      </c>
      <c r="I1417" t="s">
        <v>137</v>
      </c>
      <c r="J1417" s="89">
        <v>43556</v>
      </c>
      <c r="K1417" s="89">
        <v>43739</v>
      </c>
      <c r="L1417"/>
      <c r="M1417" s="31">
        <v>0</v>
      </c>
    </row>
    <row r="1418" spans="1:19" ht="15" customHeight="1" x14ac:dyDescent="0.25">
      <c r="B1418" s="28" t="str">
        <f>IF(ISNUMBER(MATCH(C1418, Mgt_Unit!$C$5:$C$1018, 0)), INDEX(Mgt_Unit!$B$5:$B$1018, MATCH(C1418, Mgt_Unit!$C$5:$C$1018, 0)), "")</f>
        <v>jennifer.moore</v>
      </c>
      <c r="C1418" t="s">
        <v>1031</v>
      </c>
      <c r="D1418" s="65"/>
      <c r="E1418">
        <v>9</v>
      </c>
      <c r="F1418" t="s">
        <v>1538</v>
      </c>
      <c r="G1418" t="s">
        <v>1544</v>
      </c>
      <c r="H1418" t="s">
        <v>441</v>
      </c>
      <c r="I1418" t="s">
        <v>195</v>
      </c>
      <c r="J1418" s="89">
        <v>43753</v>
      </c>
      <c r="K1418" s="89">
        <v>44053</v>
      </c>
      <c r="L1418"/>
      <c r="M1418" s="31">
        <v>0</v>
      </c>
    </row>
    <row r="1419" spans="1:19" ht="15" customHeight="1" x14ac:dyDescent="0.25">
      <c r="B1419" s="28" t="str">
        <f>IF(ISNUMBER(MATCH(C1419, Mgt_Unit!$C$5:$C$1018, 0)), INDEX(Mgt_Unit!$B$5:$B$1018, MATCH(C1419, Mgt_Unit!$C$5:$C$1018, 0)), "")</f>
        <v>jennifer.moore</v>
      </c>
      <c r="C1419" t="s">
        <v>1031</v>
      </c>
      <c r="D1419" s="65"/>
      <c r="E1419">
        <v>10</v>
      </c>
      <c r="F1419" t="s">
        <v>1537</v>
      </c>
      <c r="G1419" t="s">
        <v>1544</v>
      </c>
      <c r="H1419" t="s">
        <v>441</v>
      </c>
      <c r="I1419" t="s">
        <v>1284</v>
      </c>
      <c r="J1419" s="89">
        <v>44058</v>
      </c>
      <c r="K1419"/>
      <c r="L1419"/>
      <c r="M1419" s="31"/>
    </row>
    <row r="1420" spans="1:19" ht="15" customHeight="1" x14ac:dyDescent="0.25">
      <c r="B1420" s="28" t="str">
        <f>IF(ISNUMBER(MATCH(C1420, Mgt_Unit!$C$5:$C$1018, 0)), INDEX(Mgt_Unit!$B$5:$B$1018, MATCH(C1420, Mgt_Unit!$C$5:$C$1018, 0)), "")</f>
        <v>jennifer.moore</v>
      </c>
      <c r="C1420" s="87" t="s">
        <v>1031</v>
      </c>
      <c r="D1420" s="65"/>
      <c r="E1420">
        <v>10</v>
      </c>
      <c r="F1420" t="s">
        <v>1537</v>
      </c>
      <c r="G1420" t="s">
        <v>1544</v>
      </c>
      <c r="H1420" t="s">
        <v>442</v>
      </c>
      <c r="I1420" t="s">
        <v>65</v>
      </c>
      <c r="J1420" s="89">
        <v>44058</v>
      </c>
      <c r="K1420"/>
      <c r="L1420"/>
      <c r="M1420" s="31"/>
    </row>
    <row r="1421" spans="1:19" ht="15" customHeight="1" x14ac:dyDescent="0.25">
      <c r="B1421" s="28" t="str">
        <f>IF(ISNUMBER(MATCH(C1421, Mgt_Unit!$C$5:$C$1018, 0)), INDEX(Mgt_Unit!$B$5:$B$1018, MATCH(C1421, Mgt_Unit!$C$5:$C$1018, 0)), "")</f>
        <v>jennifer.moore</v>
      </c>
      <c r="C1421" t="s">
        <v>1032</v>
      </c>
      <c r="D1421" s="65"/>
      <c r="E1421" s="92">
        <v>1</v>
      </c>
      <c r="F1421" s="92" t="s">
        <v>1538</v>
      </c>
      <c r="G1421" s="92" t="s">
        <v>1544</v>
      </c>
      <c r="H1421" s="92" t="s">
        <v>51</v>
      </c>
      <c r="I1421" s="92" t="s">
        <v>137</v>
      </c>
      <c r="J1421" s="98">
        <v>42134</v>
      </c>
      <c r="K1421" s="98">
        <v>42292</v>
      </c>
      <c r="L1421" s="92"/>
      <c r="M1421" s="99">
        <v>0</v>
      </c>
    </row>
    <row r="1422" spans="1:19" ht="15" customHeight="1" x14ac:dyDescent="0.25">
      <c r="B1422" s="28" t="str">
        <f>IF(ISNUMBER(MATCH(C1422, Mgt_Unit!$C$5:$C$1018, 0)), INDEX(Mgt_Unit!$B$5:$B$1018, MATCH(C1422, Mgt_Unit!$C$5:$C$1018, 0)), "")</f>
        <v>jennifer.moore</v>
      </c>
      <c r="C1422" t="s">
        <v>1032</v>
      </c>
      <c r="D1422" s="65"/>
      <c r="E1422">
        <v>2</v>
      </c>
      <c r="F1422" t="s">
        <v>1538</v>
      </c>
      <c r="G1422" t="s">
        <v>1544</v>
      </c>
      <c r="H1422" t="s">
        <v>50</v>
      </c>
      <c r="I1422" t="s">
        <v>87</v>
      </c>
      <c r="J1422" s="89">
        <v>42485</v>
      </c>
      <c r="K1422" s="89">
        <v>42644</v>
      </c>
      <c r="L1422"/>
      <c r="M1422" s="31">
        <v>0</v>
      </c>
    </row>
    <row r="1423" spans="1:19" ht="15" customHeight="1" x14ac:dyDescent="0.25">
      <c r="B1423" s="28" t="str">
        <f>IF(ISNUMBER(MATCH(C1423, Mgt_Unit!$C$5:$C$1018, 0)), INDEX(Mgt_Unit!$B$5:$B$1018, MATCH(C1423, Mgt_Unit!$C$5:$C$1018, 0)), "")</f>
        <v>jennifer.moore</v>
      </c>
      <c r="C1423" s="87" t="s">
        <v>1032</v>
      </c>
      <c r="D1423" s="65"/>
      <c r="E1423" s="87">
        <v>3</v>
      </c>
      <c r="F1423" s="87" t="s">
        <v>1538</v>
      </c>
      <c r="G1423" s="87" t="s">
        <v>1544</v>
      </c>
      <c r="H1423" s="87" t="s">
        <v>50</v>
      </c>
      <c r="I1423" s="87" t="s">
        <v>87</v>
      </c>
      <c r="J1423" s="90">
        <v>42850</v>
      </c>
      <c r="K1423" s="90">
        <v>43009</v>
      </c>
      <c r="L1423" s="87"/>
      <c r="M1423" s="93">
        <v>0</v>
      </c>
    </row>
    <row r="1424" spans="1:19" ht="15" customHeight="1" x14ac:dyDescent="0.25">
      <c r="B1424" s="28" t="str">
        <f>IF(ISNUMBER(MATCH(C1424, Mgt_Unit!$C$5:$C$1018, 0)), INDEX(Mgt_Unit!$B$5:$B$1018, MATCH(C1424, Mgt_Unit!$C$5:$C$1018, 0)), "")</f>
        <v>jennifer.moore</v>
      </c>
      <c r="C1424" t="s">
        <v>1033</v>
      </c>
      <c r="D1424" s="65"/>
      <c r="E1424">
        <v>1</v>
      </c>
      <c r="F1424" t="s">
        <v>1538</v>
      </c>
      <c r="G1424" t="s">
        <v>1544</v>
      </c>
      <c r="H1424" t="s">
        <v>51</v>
      </c>
      <c r="I1424" t="s">
        <v>137</v>
      </c>
      <c r="J1424" s="89">
        <v>42134</v>
      </c>
      <c r="K1424" s="89">
        <v>42292</v>
      </c>
      <c r="L1424"/>
      <c r="M1424" s="31">
        <v>0</v>
      </c>
    </row>
    <row r="1425" spans="2:19" ht="15" customHeight="1" x14ac:dyDescent="0.25">
      <c r="B1425" s="28" t="str">
        <f>IF(ISNUMBER(MATCH(C1425, Mgt_Unit!$C$5:$C$1018, 0)), INDEX(Mgt_Unit!$B$5:$B$1018, MATCH(C1425, Mgt_Unit!$C$5:$C$1018, 0)), "")</f>
        <v>jennifer.moore</v>
      </c>
      <c r="C1425" t="s">
        <v>1033</v>
      </c>
      <c r="D1425" s="65"/>
      <c r="E1425">
        <v>2</v>
      </c>
      <c r="F1425" t="s">
        <v>1538</v>
      </c>
      <c r="G1425" t="s">
        <v>1544</v>
      </c>
      <c r="H1425" t="s">
        <v>50</v>
      </c>
      <c r="I1425" t="s">
        <v>87</v>
      </c>
      <c r="J1425" s="89">
        <v>42485</v>
      </c>
      <c r="K1425" s="89">
        <v>42644</v>
      </c>
      <c r="L1425"/>
      <c r="M1425" s="31">
        <v>0</v>
      </c>
    </row>
    <row r="1426" spans="2:19" ht="15" customHeight="1" x14ac:dyDescent="0.25">
      <c r="B1426" s="28" t="str">
        <f>IF(ISNUMBER(MATCH(C1426, Mgt_Unit!$C$5:$C$1018, 0)), INDEX(Mgt_Unit!$B$5:$B$1018, MATCH(C1426, Mgt_Unit!$C$5:$C$1018, 0)), "")</f>
        <v>jennifer.moore</v>
      </c>
      <c r="C1426" s="87" t="s">
        <v>1033</v>
      </c>
      <c r="D1426" s="65"/>
      <c r="E1426" s="87">
        <v>3</v>
      </c>
      <c r="F1426" s="87" t="s">
        <v>1538</v>
      </c>
      <c r="G1426" s="87" t="s">
        <v>1544</v>
      </c>
      <c r="H1426" s="87" t="s">
        <v>50</v>
      </c>
      <c r="I1426" s="87" t="s">
        <v>87</v>
      </c>
      <c r="J1426" s="90">
        <v>42841</v>
      </c>
      <c r="K1426" s="90">
        <v>43009</v>
      </c>
      <c r="L1426" s="87"/>
      <c r="M1426" s="93">
        <v>0</v>
      </c>
    </row>
    <row r="1427" spans="2:19" ht="15" customHeight="1" x14ac:dyDescent="0.25">
      <c r="B1427" s="28" t="str">
        <f>IF(ISNUMBER(MATCH(C1427, Mgt_Unit!$C$5:$C$1018, 0)), INDEX(Mgt_Unit!$B$5:$B$1018, MATCH(C1427, Mgt_Unit!$C$5:$C$1018, 0)), "")</f>
        <v>jennifer.moore</v>
      </c>
      <c r="C1427" t="s">
        <v>1034</v>
      </c>
      <c r="D1427" s="65"/>
      <c r="E1427">
        <v>1</v>
      </c>
      <c r="F1427" t="s">
        <v>1538</v>
      </c>
      <c r="G1427" t="s">
        <v>1544</v>
      </c>
      <c r="H1427" t="s">
        <v>51</v>
      </c>
      <c r="I1427" t="s">
        <v>137</v>
      </c>
      <c r="J1427" s="89">
        <v>42134</v>
      </c>
      <c r="K1427" s="89">
        <v>42292</v>
      </c>
      <c r="L1427"/>
      <c r="M1427" s="31">
        <v>0</v>
      </c>
    </row>
    <row r="1428" spans="2:19" ht="15" customHeight="1" x14ac:dyDescent="0.25">
      <c r="B1428" s="28" t="str">
        <f>IF(ISNUMBER(MATCH(C1428, Mgt_Unit!$C$5:$C$1018, 0)), INDEX(Mgt_Unit!$B$5:$B$1018, MATCH(C1428, Mgt_Unit!$C$5:$C$1018, 0)), "")</f>
        <v>jennifer.moore</v>
      </c>
      <c r="C1428" t="s">
        <v>1034</v>
      </c>
      <c r="D1428" s="65"/>
      <c r="E1428">
        <v>2</v>
      </c>
      <c r="F1428" t="s">
        <v>1537</v>
      </c>
      <c r="G1428" t="s">
        <v>1535</v>
      </c>
      <c r="H1428" t="s">
        <v>441</v>
      </c>
      <c r="I1428" t="s">
        <v>195</v>
      </c>
      <c r="J1428" s="89">
        <v>42297</v>
      </c>
      <c r="K1428"/>
      <c r="L1428" s="89">
        <v>42475</v>
      </c>
      <c r="M1428" s="31">
        <v>0</v>
      </c>
    </row>
    <row r="1429" spans="2:19" ht="15" customHeight="1" x14ac:dyDescent="0.25">
      <c r="B1429" s="28" t="str">
        <f>IF(ISNUMBER(MATCH(C1429, Mgt_Unit!$C$5:$C$1018, 0)), INDEX(Mgt_Unit!$B$5:$B$1018, MATCH(C1429, Mgt_Unit!$C$5:$C$1018, 0)), "")</f>
        <v>jennifer.moore</v>
      </c>
      <c r="C1429" t="s">
        <v>1034</v>
      </c>
      <c r="D1429" s="65"/>
      <c r="E1429">
        <v>2</v>
      </c>
      <c r="F1429" t="s">
        <v>1537</v>
      </c>
      <c r="G1429" t="s">
        <v>1535</v>
      </c>
      <c r="H1429" t="s">
        <v>441</v>
      </c>
      <c r="I1429" t="s">
        <v>124</v>
      </c>
      <c r="J1429" s="104">
        <v>42307</v>
      </c>
      <c r="K1429"/>
      <c r="L1429" s="89">
        <v>42475</v>
      </c>
      <c r="M1429" s="31">
        <v>0</v>
      </c>
    </row>
    <row r="1430" spans="2:19" ht="15" customHeight="1" x14ac:dyDescent="0.25">
      <c r="B1430" s="28" t="str">
        <f>IF(ISNUMBER(MATCH(C1430, Mgt_Unit!$C$5:$C$1018, 0)), INDEX(Mgt_Unit!$B$5:$B$1018, MATCH(C1430, Mgt_Unit!$C$5:$C$1018, 0)), "")</f>
        <v>jennifer.moore</v>
      </c>
      <c r="C1430" t="s">
        <v>1034</v>
      </c>
      <c r="D1430" s="65"/>
      <c r="E1430">
        <v>3</v>
      </c>
      <c r="F1430" t="s">
        <v>1538</v>
      </c>
      <c r="G1430" t="s">
        <v>1544</v>
      </c>
      <c r="H1430" t="s">
        <v>50</v>
      </c>
      <c r="I1430" t="s">
        <v>87</v>
      </c>
      <c r="J1430" s="89">
        <v>42485</v>
      </c>
      <c r="K1430" s="89">
        <v>42644</v>
      </c>
      <c r="L1430"/>
      <c r="M1430" s="31">
        <v>0</v>
      </c>
    </row>
    <row r="1431" spans="2:19" ht="15" customHeight="1" x14ac:dyDescent="0.25">
      <c r="B1431" s="28" t="str">
        <f>IF(ISNUMBER(MATCH(C1431, Mgt_Unit!$C$5:$C$1018, 0)), INDEX(Mgt_Unit!$B$5:$B$1018, MATCH(C1431, Mgt_Unit!$C$5:$C$1018, 0)), "")</f>
        <v>jennifer.moore</v>
      </c>
      <c r="C1431" s="87" t="s">
        <v>1034</v>
      </c>
      <c r="D1431" s="65"/>
      <c r="E1431" s="87">
        <v>4</v>
      </c>
      <c r="F1431" s="87" t="s">
        <v>1538</v>
      </c>
      <c r="G1431" s="87" t="s">
        <v>1535</v>
      </c>
      <c r="H1431" s="87" t="s">
        <v>441</v>
      </c>
      <c r="I1431" s="87" t="s">
        <v>124</v>
      </c>
      <c r="J1431" s="90">
        <v>42648</v>
      </c>
      <c r="K1431" s="87"/>
      <c r="L1431" s="87"/>
      <c r="M1431" s="93">
        <v>0</v>
      </c>
    </row>
    <row r="1432" spans="2:19" ht="15" customHeight="1" x14ac:dyDescent="0.25">
      <c r="B1432" s="28" t="str">
        <f>IF(ISNUMBER(MATCH(C1432, Mgt_Unit!$C$5:$C$1018, 0)), INDEX(Mgt_Unit!$B$5:$B$1018, MATCH(C1432, Mgt_Unit!$C$5:$C$1018, 0)), "")</f>
        <v>jennifer.moore</v>
      </c>
      <c r="C1432" t="s">
        <v>1035</v>
      </c>
      <c r="D1432" s="65"/>
      <c r="E1432">
        <v>1</v>
      </c>
      <c r="F1432" t="s">
        <v>1538</v>
      </c>
      <c r="G1432" t="s">
        <v>1544</v>
      </c>
      <c r="H1432" t="s">
        <v>51</v>
      </c>
      <c r="I1432" t="s">
        <v>137</v>
      </c>
      <c r="J1432" s="89">
        <v>42134</v>
      </c>
      <c r="K1432" s="89">
        <v>42292</v>
      </c>
      <c r="L1432"/>
      <c r="M1432" s="31">
        <v>0</v>
      </c>
    </row>
    <row r="1433" spans="2:19" ht="15" customHeight="1" x14ac:dyDescent="0.25">
      <c r="B1433" s="28" t="str">
        <f>IF(ISNUMBER(MATCH(C1433, Mgt_Unit!$C$5:$C$1018, 0)), INDEX(Mgt_Unit!$B$5:$B$1018, MATCH(C1433, Mgt_Unit!$C$5:$C$1018, 0)), "")</f>
        <v>jennifer.moore</v>
      </c>
      <c r="C1433" t="s">
        <v>1035</v>
      </c>
      <c r="D1433" s="65"/>
      <c r="E1433">
        <v>2</v>
      </c>
      <c r="F1433" t="s">
        <v>1537</v>
      </c>
      <c r="G1433" t="s">
        <v>1535</v>
      </c>
      <c r="H1433" t="s">
        <v>441</v>
      </c>
      <c r="I1433" t="s">
        <v>195</v>
      </c>
      <c r="J1433" s="89">
        <v>42295</v>
      </c>
      <c r="K1433"/>
      <c r="L1433" s="89">
        <v>42475</v>
      </c>
      <c r="M1433" s="31">
        <v>0</v>
      </c>
    </row>
    <row r="1434" spans="2:19" ht="15" customHeight="1" x14ac:dyDescent="0.25">
      <c r="B1434" s="28" t="str">
        <f>IF(ISNUMBER(MATCH(C1434, Mgt_Unit!$C$5:$C$1018, 0)), INDEX(Mgt_Unit!$B$5:$B$1018, MATCH(C1434, Mgt_Unit!$C$5:$C$1018, 0)), "")</f>
        <v>jennifer.moore</v>
      </c>
      <c r="C1434" t="s">
        <v>1035</v>
      </c>
      <c r="D1434" s="65"/>
      <c r="E1434">
        <v>2</v>
      </c>
      <c r="F1434" t="s">
        <v>1537</v>
      </c>
      <c r="G1434" t="s">
        <v>1535</v>
      </c>
      <c r="H1434" t="s">
        <v>441</v>
      </c>
      <c r="I1434" t="s">
        <v>124</v>
      </c>
      <c r="J1434" s="104">
        <v>42323</v>
      </c>
      <c r="K1434"/>
      <c r="L1434" s="89">
        <v>42475</v>
      </c>
      <c r="M1434" s="31">
        <v>0</v>
      </c>
    </row>
    <row r="1435" spans="2:19" ht="15" customHeight="1" x14ac:dyDescent="0.25">
      <c r="B1435" s="28" t="str">
        <f>IF(ISNUMBER(MATCH(C1435, Mgt_Unit!$C$5:$C$1018, 0)), INDEX(Mgt_Unit!$B$5:$B$1018, MATCH(C1435, Mgt_Unit!$C$5:$C$1018, 0)), "")</f>
        <v>jennifer.moore</v>
      </c>
      <c r="C1435" t="s">
        <v>1035</v>
      </c>
      <c r="D1435" s="65"/>
      <c r="E1435">
        <v>3</v>
      </c>
      <c r="F1435" t="s">
        <v>1538</v>
      </c>
      <c r="G1435" t="s">
        <v>1544</v>
      </c>
      <c r="H1435" t="s">
        <v>50</v>
      </c>
      <c r="I1435" t="s">
        <v>87</v>
      </c>
      <c r="J1435" s="89">
        <v>42476</v>
      </c>
      <c r="K1435" s="89">
        <v>42644</v>
      </c>
      <c r="L1435"/>
      <c r="M1435" s="31">
        <v>0</v>
      </c>
    </row>
    <row r="1436" spans="2:19" ht="15" customHeight="1" x14ac:dyDescent="0.25">
      <c r="B1436" s="28" t="str">
        <f>IF(ISNUMBER(MATCH(C1436, Mgt_Unit!$C$5:$C$1018, 0)), INDEX(Mgt_Unit!$B$5:$B$1018, MATCH(C1436, Mgt_Unit!$C$5:$C$1018, 0)), "")</f>
        <v>jennifer.moore</v>
      </c>
      <c r="C1436" s="87" t="s">
        <v>1035</v>
      </c>
      <c r="D1436" s="65"/>
      <c r="E1436" s="87">
        <v>4</v>
      </c>
      <c r="F1436" s="87" t="s">
        <v>1538</v>
      </c>
      <c r="G1436" s="87" t="s">
        <v>1535</v>
      </c>
      <c r="H1436" s="87" t="s">
        <v>441</v>
      </c>
      <c r="I1436" s="87" t="s">
        <v>124</v>
      </c>
      <c r="J1436" s="90">
        <v>42648</v>
      </c>
      <c r="K1436" s="87"/>
      <c r="L1436" s="90">
        <v>42856</v>
      </c>
      <c r="M1436" s="93"/>
      <c r="S1436" t="s">
        <v>1596</v>
      </c>
    </row>
    <row r="1437" spans="2:19" ht="15" customHeight="1" x14ac:dyDescent="0.25">
      <c r="B1437" s="28" t="str">
        <f>IF(ISNUMBER(MATCH(C1437, Mgt_Unit!$C$5:$C$1018, 0)), INDEX(Mgt_Unit!$B$5:$B$1018, MATCH(C1437, Mgt_Unit!$C$5:$C$1018, 0)), "")</f>
        <v>jennifer.moore</v>
      </c>
      <c r="C1437" t="s">
        <v>1036</v>
      </c>
      <c r="D1437" s="65"/>
      <c r="E1437">
        <v>1</v>
      </c>
      <c r="F1437" t="s">
        <v>1538</v>
      </c>
      <c r="G1437" t="s">
        <v>1544</v>
      </c>
      <c r="H1437" t="s">
        <v>441</v>
      </c>
      <c r="I1437" t="s">
        <v>195</v>
      </c>
      <c r="J1437" s="89">
        <v>42278</v>
      </c>
      <c r="K1437" s="89">
        <v>42597</v>
      </c>
      <c r="L1437"/>
      <c r="M1437" s="31">
        <v>0</v>
      </c>
    </row>
    <row r="1438" spans="2:19" ht="15" customHeight="1" x14ac:dyDescent="0.25">
      <c r="B1438" s="28" t="str">
        <f>IF(ISNUMBER(MATCH(C1438, Mgt_Unit!$C$5:$C$1018, 0)), INDEX(Mgt_Unit!$B$5:$B$1018, MATCH(C1438, Mgt_Unit!$C$5:$C$1018, 0)), "")</f>
        <v>jennifer.moore</v>
      </c>
      <c r="C1438" t="s">
        <v>1036</v>
      </c>
      <c r="D1438" s="65"/>
      <c r="E1438">
        <v>2</v>
      </c>
      <c r="F1438" t="s">
        <v>1538</v>
      </c>
      <c r="G1438" t="s">
        <v>1535</v>
      </c>
      <c r="H1438" t="s">
        <v>442</v>
      </c>
      <c r="I1438" t="s">
        <v>245</v>
      </c>
      <c r="J1438" s="104">
        <v>42602</v>
      </c>
      <c r="K1438"/>
      <c r="L1438" s="89">
        <v>42826</v>
      </c>
      <c r="M1438" s="31">
        <v>0</v>
      </c>
    </row>
    <row r="1439" spans="2:19" ht="15" customHeight="1" x14ac:dyDescent="0.25">
      <c r="B1439" s="28" t="str">
        <f>IF(ISNUMBER(MATCH(C1439, Mgt_Unit!$C$5:$C$1018, 0)), INDEX(Mgt_Unit!$B$5:$B$1018, MATCH(C1439, Mgt_Unit!$C$5:$C$1018, 0)), "")</f>
        <v>jennifer.moore</v>
      </c>
      <c r="C1439" t="s">
        <v>1036</v>
      </c>
      <c r="D1439" s="65"/>
      <c r="E1439">
        <v>3</v>
      </c>
      <c r="F1439" t="s">
        <v>1538</v>
      </c>
      <c r="G1439" t="s">
        <v>1544</v>
      </c>
      <c r="H1439" t="s">
        <v>50</v>
      </c>
      <c r="I1439" t="s">
        <v>87</v>
      </c>
      <c r="J1439" s="89">
        <v>42835</v>
      </c>
      <c r="K1439" s="89">
        <v>43023</v>
      </c>
      <c r="L1439"/>
      <c r="M1439" s="31">
        <v>0</v>
      </c>
    </row>
    <row r="1440" spans="2:19" ht="15" customHeight="1" x14ac:dyDescent="0.25">
      <c r="B1440" s="28" t="str">
        <f>IF(ISNUMBER(MATCH(C1440, Mgt_Unit!$C$5:$C$1018, 0)), INDEX(Mgt_Unit!$B$5:$B$1018, MATCH(C1440, Mgt_Unit!$C$5:$C$1018, 0)), "")</f>
        <v>jennifer.moore</v>
      </c>
      <c r="C1440" t="s">
        <v>1036</v>
      </c>
      <c r="D1440" s="65"/>
      <c r="E1440">
        <v>4</v>
      </c>
      <c r="F1440" t="s">
        <v>1538</v>
      </c>
      <c r="G1440" t="s">
        <v>1535</v>
      </c>
      <c r="H1440" t="s">
        <v>441</v>
      </c>
      <c r="I1440" t="s">
        <v>124</v>
      </c>
      <c r="J1440" s="89">
        <v>43024</v>
      </c>
      <c r="K1440"/>
      <c r="L1440" s="89">
        <v>43191</v>
      </c>
      <c r="M1440" s="31">
        <v>0</v>
      </c>
    </row>
    <row r="1441" spans="2:13" ht="15" customHeight="1" x14ac:dyDescent="0.25">
      <c r="B1441" s="28" t="str">
        <f>IF(ISNUMBER(MATCH(C1441, Mgt_Unit!$C$5:$C$1018, 0)), INDEX(Mgt_Unit!$B$5:$B$1018, MATCH(C1441, Mgt_Unit!$C$5:$C$1018, 0)), "")</f>
        <v>jennifer.moore</v>
      </c>
      <c r="C1441" t="s">
        <v>1036</v>
      </c>
      <c r="D1441" s="65"/>
      <c r="E1441">
        <v>5</v>
      </c>
      <c r="F1441" t="s">
        <v>1537</v>
      </c>
      <c r="G1441" t="s">
        <v>1544</v>
      </c>
      <c r="H1441" t="s">
        <v>442</v>
      </c>
      <c r="I1441" t="s">
        <v>148</v>
      </c>
      <c r="J1441" s="89">
        <v>43191</v>
      </c>
      <c r="K1441" s="89">
        <v>43286</v>
      </c>
      <c r="L1441"/>
      <c r="M1441" s="31">
        <v>0</v>
      </c>
    </row>
    <row r="1442" spans="2:13" ht="15" customHeight="1" x14ac:dyDescent="0.25">
      <c r="B1442" s="28" t="str">
        <f>IF(ISNUMBER(MATCH(C1442, Mgt_Unit!$C$5:$C$1018, 0)), INDEX(Mgt_Unit!$B$5:$B$1018, MATCH(C1442, Mgt_Unit!$C$5:$C$1018, 0)), "")</f>
        <v>jennifer.moore</v>
      </c>
      <c r="C1442" t="s">
        <v>1036</v>
      </c>
      <c r="D1442" s="65"/>
      <c r="E1442">
        <v>5</v>
      </c>
      <c r="F1442" t="s">
        <v>1537</v>
      </c>
      <c r="G1442" t="s">
        <v>1544</v>
      </c>
      <c r="H1442" t="s">
        <v>441</v>
      </c>
      <c r="I1442" t="s">
        <v>88</v>
      </c>
      <c r="J1442" s="89">
        <v>43191</v>
      </c>
      <c r="K1442" s="89">
        <v>43286</v>
      </c>
      <c r="L1442"/>
      <c r="M1442" s="31">
        <v>0</v>
      </c>
    </row>
    <row r="1443" spans="2:13" ht="15" customHeight="1" x14ac:dyDescent="0.25">
      <c r="B1443" s="28" t="str">
        <f>IF(ISNUMBER(MATCH(C1443, Mgt_Unit!$C$5:$C$1018, 0)), INDEX(Mgt_Unit!$B$5:$B$1018, MATCH(C1443, Mgt_Unit!$C$5:$C$1018, 0)), "")</f>
        <v>jennifer.moore</v>
      </c>
      <c r="C1443" t="s">
        <v>1036</v>
      </c>
      <c r="D1443" s="65"/>
      <c r="E1443">
        <v>6</v>
      </c>
      <c r="F1443" t="s">
        <v>1538</v>
      </c>
      <c r="G1443" t="s">
        <v>1535</v>
      </c>
      <c r="H1443" t="s">
        <v>441</v>
      </c>
      <c r="I1443" t="s">
        <v>124</v>
      </c>
      <c r="J1443" s="89">
        <v>43286</v>
      </c>
      <c r="K1443"/>
      <c r="L1443" s="89">
        <v>43556</v>
      </c>
      <c r="M1443" s="31">
        <v>0</v>
      </c>
    </row>
    <row r="1444" spans="2:13" ht="15" customHeight="1" x14ac:dyDescent="0.25">
      <c r="B1444" s="28" t="str">
        <f>IF(ISNUMBER(MATCH(C1444, Mgt_Unit!$C$5:$C$1018, 0)), INDEX(Mgt_Unit!$B$5:$B$1018, MATCH(C1444, Mgt_Unit!$C$5:$C$1018, 0)), "")</f>
        <v>jennifer.moore</v>
      </c>
      <c r="C1444" s="87" t="s">
        <v>1036</v>
      </c>
      <c r="D1444" s="65"/>
      <c r="E1444" s="87">
        <v>7</v>
      </c>
      <c r="F1444" s="87" t="s">
        <v>1538</v>
      </c>
      <c r="G1444" s="87" t="s">
        <v>1544</v>
      </c>
      <c r="H1444" s="87" t="s">
        <v>51</v>
      </c>
      <c r="I1444" s="87" t="s">
        <v>137</v>
      </c>
      <c r="J1444" s="90">
        <v>43556</v>
      </c>
      <c r="K1444" s="90">
        <v>43739</v>
      </c>
      <c r="L1444" s="87"/>
      <c r="M1444" s="93">
        <v>0</v>
      </c>
    </row>
    <row r="1445" spans="2:13" ht="15" customHeight="1" x14ac:dyDescent="0.25">
      <c r="B1445" s="28" t="str">
        <f>IF(ISNUMBER(MATCH(C1445, Mgt_Unit!$C$5:$C$1018, 0)), INDEX(Mgt_Unit!$B$5:$B$1018, MATCH(C1445, Mgt_Unit!$C$5:$C$1018, 0)), "")</f>
        <v>jennifer.moore</v>
      </c>
      <c r="C1445" t="s">
        <v>1037</v>
      </c>
      <c r="D1445" s="65"/>
      <c r="E1445">
        <v>1</v>
      </c>
      <c r="F1445" t="s">
        <v>1538</v>
      </c>
      <c r="G1445" t="s">
        <v>1544</v>
      </c>
      <c r="H1445" t="s">
        <v>50</v>
      </c>
      <c r="I1445" t="s">
        <v>87</v>
      </c>
      <c r="J1445" s="89">
        <v>42144</v>
      </c>
      <c r="K1445" s="89">
        <v>42262</v>
      </c>
      <c r="L1445"/>
      <c r="M1445" s="31">
        <v>90</v>
      </c>
    </row>
    <row r="1446" spans="2:13" ht="15" customHeight="1" x14ac:dyDescent="0.25">
      <c r="B1446" s="28" t="str">
        <f>IF(ISNUMBER(MATCH(C1446, Mgt_Unit!$C$5:$C$1018, 0)), INDEX(Mgt_Unit!$B$5:$B$1018, MATCH(C1446, Mgt_Unit!$C$5:$C$1018, 0)), "")</f>
        <v>jennifer.moore</v>
      </c>
      <c r="C1446" t="s">
        <v>1037</v>
      </c>
      <c r="D1446" s="65"/>
      <c r="E1446">
        <v>2</v>
      </c>
      <c r="F1446" t="s">
        <v>1538</v>
      </c>
      <c r="G1446" t="s">
        <v>1544</v>
      </c>
      <c r="H1446" t="s">
        <v>441</v>
      </c>
      <c r="I1446" t="s">
        <v>195</v>
      </c>
      <c r="J1446" s="89">
        <v>42278</v>
      </c>
      <c r="K1446" s="89">
        <v>42597</v>
      </c>
      <c r="L1446"/>
      <c r="M1446" s="31">
        <v>0</v>
      </c>
    </row>
    <row r="1447" spans="2:13" ht="15" customHeight="1" x14ac:dyDescent="0.25">
      <c r="B1447" s="28" t="str">
        <f>IF(ISNUMBER(MATCH(C1447, Mgt_Unit!$C$5:$C$1018, 0)), INDEX(Mgt_Unit!$B$5:$B$1018, MATCH(C1447, Mgt_Unit!$C$5:$C$1018, 0)), "")</f>
        <v>jennifer.moore</v>
      </c>
      <c r="C1447" t="s">
        <v>1037</v>
      </c>
      <c r="D1447" s="65"/>
      <c r="E1447">
        <v>3</v>
      </c>
      <c r="F1447" t="s">
        <v>1538</v>
      </c>
      <c r="G1447" t="s">
        <v>1535</v>
      </c>
      <c r="H1447" t="s">
        <v>442</v>
      </c>
      <c r="I1447" t="s">
        <v>245</v>
      </c>
      <c r="J1447" s="89">
        <v>42602</v>
      </c>
      <c r="K1447"/>
      <c r="L1447" s="89">
        <v>42826</v>
      </c>
      <c r="M1447" s="31">
        <v>0</v>
      </c>
    </row>
    <row r="1448" spans="2:13" ht="15" customHeight="1" x14ac:dyDescent="0.25">
      <c r="B1448" s="28" t="str">
        <f>IF(ISNUMBER(MATCH(C1448, Mgt_Unit!$C$5:$C$1018, 0)), INDEX(Mgt_Unit!$B$5:$B$1018, MATCH(C1448, Mgt_Unit!$C$5:$C$1018, 0)), "")</f>
        <v>jennifer.moore</v>
      </c>
      <c r="C1448" t="s">
        <v>1037</v>
      </c>
      <c r="D1448" s="65"/>
      <c r="E1448">
        <v>4</v>
      </c>
      <c r="F1448" t="s">
        <v>1538</v>
      </c>
      <c r="G1448" t="s">
        <v>1544</v>
      </c>
      <c r="H1448" t="s">
        <v>50</v>
      </c>
      <c r="I1448" t="s">
        <v>87</v>
      </c>
      <c r="J1448" s="89">
        <v>42835</v>
      </c>
      <c r="K1448" s="89">
        <v>43023</v>
      </c>
      <c r="L1448"/>
      <c r="M1448" s="31">
        <v>0</v>
      </c>
    </row>
    <row r="1449" spans="2:13" ht="15" customHeight="1" x14ac:dyDescent="0.25">
      <c r="B1449" s="28" t="str">
        <f>IF(ISNUMBER(MATCH(C1449, Mgt_Unit!$C$5:$C$1018, 0)), INDEX(Mgt_Unit!$B$5:$B$1018, MATCH(C1449, Mgt_Unit!$C$5:$C$1018, 0)), "")</f>
        <v>jennifer.moore</v>
      </c>
      <c r="C1449" t="s">
        <v>1037</v>
      </c>
      <c r="D1449" s="65"/>
      <c r="E1449">
        <v>5</v>
      </c>
      <c r="F1449" t="s">
        <v>1538</v>
      </c>
      <c r="G1449" t="s">
        <v>1535</v>
      </c>
      <c r="H1449" t="s">
        <v>441</v>
      </c>
      <c r="I1449" t="s">
        <v>124</v>
      </c>
      <c r="J1449" s="89">
        <v>43024</v>
      </c>
      <c r="K1449"/>
      <c r="L1449" s="89">
        <v>43191</v>
      </c>
      <c r="M1449" s="31">
        <v>0</v>
      </c>
    </row>
    <row r="1450" spans="2:13" ht="15" customHeight="1" x14ac:dyDescent="0.25">
      <c r="B1450" s="28" t="str">
        <f>IF(ISNUMBER(MATCH(C1450, Mgt_Unit!$C$5:$C$1018, 0)), INDEX(Mgt_Unit!$B$5:$B$1018, MATCH(C1450, Mgt_Unit!$C$5:$C$1018, 0)), "")</f>
        <v>jennifer.moore</v>
      </c>
      <c r="C1450" t="s">
        <v>1037</v>
      </c>
      <c r="D1450" s="65"/>
      <c r="E1450">
        <v>6</v>
      </c>
      <c r="F1450" t="s">
        <v>1537</v>
      </c>
      <c r="G1450" t="s">
        <v>1535</v>
      </c>
      <c r="H1450" t="s">
        <v>441</v>
      </c>
      <c r="I1450" t="s">
        <v>88</v>
      </c>
      <c r="J1450" s="89">
        <v>43191</v>
      </c>
      <c r="K1450"/>
      <c r="L1450" s="89">
        <v>43286</v>
      </c>
      <c r="M1450" s="31">
        <v>0</v>
      </c>
    </row>
    <row r="1451" spans="2:13" ht="15" customHeight="1" x14ac:dyDescent="0.25">
      <c r="B1451" s="28" t="str">
        <f>IF(ISNUMBER(MATCH(C1451, Mgt_Unit!$C$5:$C$1018, 0)), INDEX(Mgt_Unit!$B$5:$B$1018, MATCH(C1451, Mgt_Unit!$C$5:$C$1018, 0)), "")</f>
        <v>jennifer.moore</v>
      </c>
      <c r="C1451" t="s">
        <v>1037</v>
      </c>
      <c r="D1451" s="65"/>
      <c r="E1451">
        <v>6</v>
      </c>
      <c r="F1451" t="s">
        <v>1537</v>
      </c>
      <c r="G1451" t="s">
        <v>1535</v>
      </c>
      <c r="H1451" t="s">
        <v>442</v>
      </c>
      <c r="I1451" t="s">
        <v>148</v>
      </c>
      <c r="J1451" s="89">
        <v>43191</v>
      </c>
      <c r="K1451"/>
      <c r="L1451" s="89">
        <v>43286</v>
      </c>
      <c r="M1451" s="31">
        <v>0</v>
      </c>
    </row>
    <row r="1452" spans="2:13" ht="15" customHeight="1" x14ac:dyDescent="0.25">
      <c r="B1452" s="28" t="str">
        <f>IF(ISNUMBER(MATCH(C1452, Mgt_Unit!$C$5:$C$1018, 0)), INDEX(Mgt_Unit!$B$5:$B$1018, MATCH(C1452, Mgt_Unit!$C$5:$C$1018, 0)), "")</f>
        <v>jennifer.moore</v>
      </c>
      <c r="C1452" t="s">
        <v>1037</v>
      </c>
      <c r="D1452" s="65"/>
      <c r="E1452">
        <v>7</v>
      </c>
      <c r="F1452" t="s">
        <v>1538</v>
      </c>
      <c r="G1452" t="s">
        <v>1535</v>
      </c>
      <c r="H1452" t="s">
        <v>441</v>
      </c>
      <c r="I1452" t="s">
        <v>124</v>
      </c>
      <c r="J1452" s="89">
        <v>43286</v>
      </c>
      <c r="K1452"/>
      <c r="L1452" s="89">
        <v>43556</v>
      </c>
      <c r="M1452" s="31">
        <v>0</v>
      </c>
    </row>
    <row r="1453" spans="2:13" ht="15" customHeight="1" x14ac:dyDescent="0.25">
      <c r="B1453" s="28" t="str">
        <f>IF(ISNUMBER(MATCH(C1453, Mgt_Unit!$C$5:$C$1018, 0)), INDEX(Mgt_Unit!$B$5:$B$1018, MATCH(C1453, Mgt_Unit!$C$5:$C$1018, 0)), "")</f>
        <v>jennifer.moore</v>
      </c>
      <c r="C1453" t="s">
        <v>1037</v>
      </c>
      <c r="D1453" s="65"/>
      <c r="E1453">
        <v>8</v>
      </c>
      <c r="F1453" t="s">
        <v>1538</v>
      </c>
      <c r="G1453" t="s">
        <v>1544</v>
      </c>
      <c r="H1453" t="s">
        <v>51</v>
      </c>
      <c r="I1453" t="s">
        <v>137</v>
      </c>
      <c r="J1453" s="89">
        <v>43556</v>
      </c>
      <c r="K1453" s="89">
        <v>43739</v>
      </c>
      <c r="L1453"/>
      <c r="M1453" s="31">
        <v>0</v>
      </c>
    </row>
    <row r="1454" spans="2:13" ht="15" customHeight="1" x14ac:dyDescent="0.25">
      <c r="B1454" s="28" t="str">
        <f>IF(ISNUMBER(MATCH(C1454, Mgt_Unit!$C$5:$C$1018, 0)), INDEX(Mgt_Unit!$B$5:$B$1018, MATCH(C1454, Mgt_Unit!$C$5:$C$1018, 0)), "")</f>
        <v>jennifer.moore</v>
      </c>
      <c r="C1454" t="s">
        <v>1037</v>
      </c>
      <c r="D1454" s="65"/>
      <c r="E1454">
        <v>9</v>
      </c>
      <c r="F1454" t="s">
        <v>1538</v>
      </c>
      <c r="G1454" t="s">
        <v>1544</v>
      </c>
      <c r="H1454" t="s">
        <v>441</v>
      </c>
      <c r="I1454" t="s">
        <v>195</v>
      </c>
      <c r="J1454" s="89">
        <v>43753</v>
      </c>
      <c r="K1454" s="89">
        <v>44053</v>
      </c>
      <c r="L1454"/>
      <c r="M1454" s="31">
        <v>0</v>
      </c>
    </row>
    <row r="1455" spans="2:13" ht="15" customHeight="1" x14ac:dyDescent="0.25">
      <c r="B1455" s="28" t="str">
        <f>IF(ISNUMBER(MATCH(C1455, Mgt_Unit!$C$5:$C$1018, 0)), INDEX(Mgt_Unit!$B$5:$B$1018, MATCH(C1455, Mgt_Unit!$C$5:$C$1018, 0)), "")</f>
        <v>jennifer.moore</v>
      </c>
      <c r="C1455" t="s">
        <v>1037</v>
      </c>
      <c r="D1455" s="65"/>
      <c r="E1455">
        <v>10</v>
      </c>
      <c r="F1455" t="s">
        <v>1537</v>
      </c>
      <c r="G1455" t="s">
        <v>1544</v>
      </c>
      <c r="H1455" t="s">
        <v>441</v>
      </c>
      <c r="I1455" t="s">
        <v>1284</v>
      </c>
      <c r="J1455" s="89">
        <v>44058</v>
      </c>
      <c r="K1455"/>
      <c r="L1455"/>
      <c r="M1455" s="31"/>
    </row>
    <row r="1456" spans="2:13" ht="15" customHeight="1" x14ac:dyDescent="0.25">
      <c r="B1456" s="28" t="str">
        <f>IF(ISNUMBER(MATCH(C1456, Mgt_Unit!$C$5:$C$1018, 0)), INDEX(Mgt_Unit!$B$5:$B$1018, MATCH(C1456, Mgt_Unit!$C$5:$C$1018, 0)), "")</f>
        <v>jennifer.moore</v>
      </c>
      <c r="C1456" s="87" t="s">
        <v>1037</v>
      </c>
      <c r="D1456" s="65"/>
      <c r="E1456" s="87">
        <v>10</v>
      </c>
      <c r="F1456" s="87" t="s">
        <v>1537</v>
      </c>
      <c r="G1456" s="87" t="s">
        <v>1544</v>
      </c>
      <c r="H1456" s="87" t="s">
        <v>442</v>
      </c>
      <c r="I1456" s="87" t="s">
        <v>65</v>
      </c>
      <c r="J1456" s="90">
        <v>44058</v>
      </c>
      <c r="K1456" s="87"/>
      <c r="L1456" s="87"/>
      <c r="M1456" s="93"/>
    </row>
    <row r="1457" spans="2:13" ht="15" customHeight="1" x14ac:dyDescent="0.25">
      <c r="B1457" s="28" t="str">
        <f>IF(ISNUMBER(MATCH(C1457, Mgt_Unit!$C$5:$C$1018, 0)), INDEX(Mgt_Unit!$B$5:$B$1018, MATCH(C1457, Mgt_Unit!$C$5:$C$1018, 0)), "")</f>
        <v>jennifer.moore</v>
      </c>
      <c r="C1457" t="s">
        <v>1038</v>
      </c>
      <c r="D1457" s="65"/>
      <c r="E1457">
        <v>1</v>
      </c>
      <c r="F1457" t="s">
        <v>1538</v>
      </c>
      <c r="G1457" t="s">
        <v>1544</v>
      </c>
      <c r="H1457" t="s">
        <v>50</v>
      </c>
      <c r="I1457" t="s">
        <v>87</v>
      </c>
      <c r="J1457" s="89">
        <v>43570</v>
      </c>
      <c r="K1457" s="89">
        <v>43723</v>
      </c>
      <c r="L1457"/>
      <c r="M1457" s="31">
        <v>90</v>
      </c>
    </row>
    <row r="1458" spans="2:13" ht="15" customHeight="1" x14ac:dyDescent="0.25">
      <c r="B1458" s="28" t="str">
        <f>IF(ISNUMBER(MATCH(C1458, Mgt_Unit!$C$5:$C$1018, 0)), INDEX(Mgt_Unit!$B$5:$B$1018, MATCH(C1458, Mgt_Unit!$C$5:$C$1018, 0)), "")</f>
        <v>jennifer.moore</v>
      </c>
      <c r="C1458" t="s">
        <v>1038</v>
      </c>
      <c r="D1458" s="65"/>
      <c r="E1458">
        <v>2</v>
      </c>
      <c r="F1458" t="s">
        <v>1538</v>
      </c>
      <c r="G1458" t="s">
        <v>1535</v>
      </c>
      <c r="H1458" t="s">
        <v>441</v>
      </c>
      <c r="I1458" t="s">
        <v>124</v>
      </c>
      <c r="J1458" s="89">
        <v>43739</v>
      </c>
      <c r="K1458" s="89"/>
      <c r="L1458" s="89">
        <v>43962</v>
      </c>
      <c r="M1458" s="31">
        <v>90</v>
      </c>
    </row>
    <row r="1459" spans="2:13" ht="15" customHeight="1" x14ac:dyDescent="0.25">
      <c r="B1459" s="28" t="str">
        <f>IF(ISNUMBER(MATCH(C1459, Mgt_Unit!$C$5:$C$1018, 0)), INDEX(Mgt_Unit!$B$5:$B$1018, MATCH(C1459, Mgt_Unit!$C$5:$C$1018, 0)), "")</f>
        <v>jennifer.moore</v>
      </c>
      <c r="C1459" t="s">
        <v>1038</v>
      </c>
      <c r="D1459" s="65"/>
      <c r="E1459">
        <v>3</v>
      </c>
      <c r="F1459" t="s">
        <v>1538</v>
      </c>
      <c r="G1459" t="s">
        <v>1544</v>
      </c>
      <c r="H1459" t="s">
        <v>50</v>
      </c>
      <c r="I1459" t="s">
        <v>405</v>
      </c>
      <c r="J1459" s="89">
        <v>43983</v>
      </c>
      <c r="K1459" s="89">
        <v>44112</v>
      </c>
      <c r="L1459"/>
      <c r="M1459" s="31">
        <v>90</v>
      </c>
    </row>
    <row r="1460" spans="2:13" ht="15" customHeight="1" x14ac:dyDescent="0.25">
      <c r="B1460" s="28" t="str">
        <f>IF(ISNUMBER(MATCH(C1460, Mgt_Unit!$C$5:$C$1018, 0)), INDEX(Mgt_Unit!$B$5:$B$1018, MATCH(C1460, Mgt_Unit!$C$5:$C$1018, 0)), "")</f>
        <v>jennifer.moore</v>
      </c>
      <c r="C1460" t="s">
        <v>1038</v>
      </c>
      <c r="D1460" s="65"/>
      <c r="E1460">
        <v>4</v>
      </c>
      <c r="F1460" t="s">
        <v>1538</v>
      </c>
      <c r="G1460" t="s">
        <v>1535</v>
      </c>
      <c r="H1460" t="s">
        <v>442</v>
      </c>
      <c r="I1460" t="s">
        <v>178</v>
      </c>
      <c r="J1460" s="89">
        <v>44114</v>
      </c>
      <c r="K1460"/>
      <c r="L1460" s="89">
        <v>44301</v>
      </c>
      <c r="M1460" s="31">
        <v>0</v>
      </c>
    </row>
    <row r="1461" spans="2:13" ht="15" customHeight="1" x14ac:dyDescent="0.25">
      <c r="B1461" s="28" t="str">
        <f>IF(ISNUMBER(MATCH(C1461, Mgt_Unit!$C$5:$C$1018, 0)), INDEX(Mgt_Unit!$B$5:$B$1018, MATCH(C1461, Mgt_Unit!$C$5:$C$1018, 0)), "")</f>
        <v>jennifer.moore</v>
      </c>
      <c r="C1461" t="s">
        <v>1038</v>
      </c>
      <c r="D1461" s="65"/>
      <c r="E1461">
        <v>5</v>
      </c>
      <c r="F1461" t="s">
        <v>1538</v>
      </c>
      <c r="G1461" t="s">
        <v>1544</v>
      </c>
      <c r="H1461" t="s">
        <v>50</v>
      </c>
      <c r="I1461" t="s">
        <v>87</v>
      </c>
      <c r="J1461" s="89">
        <v>44301</v>
      </c>
      <c r="K1461" s="89">
        <v>44501</v>
      </c>
      <c r="L1461"/>
      <c r="M1461" s="31">
        <v>0</v>
      </c>
    </row>
    <row r="1462" spans="2:13" ht="15" customHeight="1" x14ac:dyDescent="0.25">
      <c r="B1462" s="28" t="str">
        <f>IF(ISNUMBER(MATCH(C1462, Mgt_Unit!$C$5:$C$1018, 0)), INDEX(Mgt_Unit!$B$5:$B$1018, MATCH(C1462, Mgt_Unit!$C$5:$C$1018, 0)), "")</f>
        <v>jennifer.moore</v>
      </c>
      <c r="C1462" t="s">
        <v>1038</v>
      </c>
      <c r="D1462" s="65"/>
      <c r="E1462">
        <v>6</v>
      </c>
      <c r="F1462" t="s">
        <v>1537</v>
      </c>
      <c r="G1462" t="s">
        <v>1535</v>
      </c>
      <c r="H1462" t="s">
        <v>441</v>
      </c>
      <c r="I1462" t="s">
        <v>167</v>
      </c>
      <c r="J1462" s="89">
        <v>44501</v>
      </c>
      <c r="K1462"/>
      <c r="L1462" s="89">
        <v>44666</v>
      </c>
      <c r="M1462" s="31">
        <v>0</v>
      </c>
    </row>
    <row r="1463" spans="2:13" ht="15" customHeight="1" x14ac:dyDescent="0.25">
      <c r="B1463" s="28" t="str">
        <f>IF(ISNUMBER(MATCH(C1463, Mgt_Unit!$C$5:$C$1018, 0)), INDEX(Mgt_Unit!$B$5:$B$1018, MATCH(C1463, Mgt_Unit!$C$5:$C$1018, 0)), "")</f>
        <v>jennifer.moore</v>
      </c>
      <c r="C1463" t="s">
        <v>1038</v>
      </c>
      <c r="D1463" s="65"/>
      <c r="E1463">
        <v>6</v>
      </c>
      <c r="F1463" t="s">
        <v>1537</v>
      </c>
      <c r="G1463" t="s">
        <v>1535</v>
      </c>
      <c r="H1463" t="s">
        <v>442</v>
      </c>
      <c r="I1463" t="s">
        <v>148</v>
      </c>
      <c r="J1463" s="89">
        <v>44501</v>
      </c>
      <c r="K1463"/>
      <c r="L1463" s="89">
        <v>44666</v>
      </c>
      <c r="M1463" s="31">
        <v>0</v>
      </c>
    </row>
    <row r="1464" spans="2:13" ht="15" customHeight="1" x14ac:dyDescent="0.25">
      <c r="B1464" s="28" t="str">
        <f>IF(ISNUMBER(MATCH(C1464, Mgt_Unit!$C$5:$C$1018, 0)), INDEX(Mgt_Unit!$B$5:$B$1018, MATCH(C1464, Mgt_Unit!$C$5:$C$1018, 0)), "")</f>
        <v>jennifer.moore</v>
      </c>
      <c r="C1464" t="s">
        <v>1038</v>
      </c>
      <c r="D1464" s="65"/>
      <c r="E1464">
        <v>7</v>
      </c>
      <c r="F1464" t="s">
        <v>1538</v>
      </c>
      <c r="G1464" t="s">
        <v>1544</v>
      </c>
      <c r="H1464" t="s">
        <v>50</v>
      </c>
      <c r="I1464" t="s">
        <v>87</v>
      </c>
      <c r="J1464" s="89">
        <v>44666</v>
      </c>
      <c r="K1464" s="89">
        <v>44819</v>
      </c>
      <c r="L1464"/>
      <c r="M1464" s="31">
        <v>90</v>
      </c>
    </row>
    <row r="1465" spans="2:13" ht="15" customHeight="1" x14ac:dyDescent="0.25">
      <c r="B1465" s="28" t="str">
        <f>IF(ISNUMBER(MATCH(C1465, Mgt_Unit!$C$5:$C$1018, 0)), INDEX(Mgt_Unit!$B$5:$B$1018, MATCH(C1465, Mgt_Unit!$C$5:$C$1018, 0)), "")</f>
        <v>jennifer.moore</v>
      </c>
      <c r="C1465" t="s">
        <v>1038</v>
      </c>
      <c r="D1465" s="65"/>
      <c r="E1465">
        <v>8</v>
      </c>
      <c r="F1465" t="s">
        <v>1538</v>
      </c>
      <c r="G1465" t="s">
        <v>1544</v>
      </c>
      <c r="H1465" t="s">
        <v>441</v>
      </c>
      <c r="I1465" t="s">
        <v>88</v>
      </c>
      <c r="J1465" s="89">
        <v>44819</v>
      </c>
      <c r="K1465" s="89">
        <v>45046</v>
      </c>
      <c r="L1465"/>
      <c r="M1465" s="31">
        <v>0</v>
      </c>
    </row>
    <row r="1466" spans="2:13" ht="15" customHeight="1" x14ac:dyDescent="0.25">
      <c r="B1466" s="28" t="str">
        <f>IF(ISNUMBER(MATCH(C1466, Mgt_Unit!$C$5:$C$1018, 0)), INDEX(Mgt_Unit!$B$5:$B$1018, MATCH(C1466, Mgt_Unit!$C$5:$C$1018, 0)), "")</f>
        <v>jennifer.moore</v>
      </c>
      <c r="C1466" t="s">
        <v>1038</v>
      </c>
      <c r="D1466" s="65"/>
      <c r="E1466">
        <v>9</v>
      </c>
      <c r="F1466" t="s">
        <v>1537</v>
      </c>
      <c r="G1466" t="s">
        <v>1536</v>
      </c>
      <c r="H1466" t="s">
        <v>442</v>
      </c>
      <c r="I1466" t="s">
        <v>65</v>
      </c>
      <c r="J1466" s="89">
        <v>45046</v>
      </c>
      <c r="K1466" s="89">
        <v>45109</v>
      </c>
      <c r="L1466"/>
      <c r="M1466" s="31">
        <v>90</v>
      </c>
    </row>
    <row r="1467" spans="2:13" ht="15" customHeight="1" x14ac:dyDescent="0.25">
      <c r="B1467" s="28" t="str">
        <f>IF(ISNUMBER(MATCH(C1467, Mgt_Unit!$C$5:$C$1018, 0)), INDEX(Mgt_Unit!$B$5:$B$1018, MATCH(C1467, Mgt_Unit!$C$5:$C$1018, 0)), "")</f>
        <v>jennifer.moore</v>
      </c>
      <c r="C1467" t="s">
        <v>1038</v>
      </c>
      <c r="D1467" s="65"/>
      <c r="E1467">
        <v>9</v>
      </c>
      <c r="F1467" t="s">
        <v>1537</v>
      </c>
      <c r="G1467" t="s">
        <v>1536</v>
      </c>
      <c r="H1467" t="s">
        <v>441</v>
      </c>
      <c r="I1467" t="s">
        <v>1284</v>
      </c>
      <c r="J1467" s="89">
        <v>45046</v>
      </c>
      <c r="K1467" s="89">
        <v>45109</v>
      </c>
      <c r="L1467"/>
      <c r="M1467" s="31">
        <v>90</v>
      </c>
    </row>
    <row r="1468" spans="2:13" ht="15" customHeight="1" x14ac:dyDescent="0.25">
      <c r="B1468" s="28" t="str">
        <f>IF(ISNUMBER(MATCH(C1468, Mgt_Unit!$C$5:$C$1018, 0)), INDEX(Mgt_Unit!$B$5:$B$1018, MATCH(C1468, Mgt_Unit!$C$5:$C$1018, 0)), "")</f>
        <v>jennifer.moore</v>
      </c>
      <c r="C1468" t="s">
        <v>1038</v>
      </c>
      <c r="D1468" s="65"/>
      <c r="E1468">
        <v>9</v>
      </c>
      <c r="F1468" t="s">
        <v>1537</v>
      </c>
      <c r="G1468" t="s">
        <v>1536</v>
      </c>
      <c r="H1468" t="s">
        <v>442</v>
      </c>
      <c r="I1468" t="s">
        <v>65</v>
      </c>
      <c r="J1468" s="89"/>
      <c r="K1468" s="89">
        <v>45147</v>
      </c>
      <c r="L1468" s="89"/>
      <c r="M1468" s="31">
        <v>90</v>
      </c>
    </row>
    <row r="1469" spans="2:13" ht="15" customHeight="1" x14ac:dyDescent="0.25">
      <c r="B1469" s="28" t="str">
        <f>IF(ISNUMBER(MATCH(C1469, Mgt_Unit!$C$5:$C$1018, 0)), INDEX(Mgt_Unit!$B$5:$B$1018, MATCH(C1469, Mgt_Unit!$C$5:$C$1018, 0)), "")</f>
        <v>jennifer.moore</v>
      </c>
      <c r="C1469" t="s">
        <v>1038</v>
      </c>
      <c r="D1469" s="65"/>
      <c r="E1469">
        <v>9</v>
      </c>
      <c r="F1469" t="s">
        <v>1537</v>
      </c>
      <c r="G1469" t="s">
        <v>1536</v>
      </c>
      <c r="H1469" t="s">
        <v>441</v>
      </c>
      <c r="I1469" t="s">
        <v>1284</v>
      </c>
      <c r="J1469" s="89"/>
      <c r="K1469" s="89">
        <v>45147</v>
      </c>
      <c r="L1469" s="89"/>
      <c r="M1469" s="31">
        <v>90</v>
      </c>
    </row>
    <row r="1470" spans="2:13" ht="15" customHeight="1" x14ac:dyDescent="0.25">
      <c r="B1470" s="28" t="str">
        <f>IF(ISNUMBER(MATCH(C1470, Mgt_Unit!$C$5:$C$1018, 0)), INDEX(Mgt_Unit!$B$5:$B$1018, MATCH(C1470, Mgt_Unit!$C$5:$C$1018, 0)), "")</f>
        <v>jennifer.moore</v>
      </c>
      <c r="C1470" t="s">
        <v>1038</v>
      </c>
      <c r="D1470" s="65"/>
      <c r="E1470">
        <v>9</v>
      </c>
      <c r="F1470" t="s">
        <v>1537</v>
      </c>
      <c r="G1470" t="s">
        <v>1536</v>
      </c>
      <c r="H1470" t="s">
        <v>442</v>
      </c>
      <c r="I1470" t="s">
        <v>65</v>
      </c>
      <c r="J1470" s="89"/>
      <c r="K1470" s="89">
        <v>45188</v>
      </c>
      <c r="L1470" s="89"/>
      <c r="M1470" s="31">
        <v>90</v>
      </c>
    </row>
    <row r="1471" spans="2:13" ht="15" customHeight="1" x14ac:dyDescent="0.25">
      <c r="B1471" s="28" t="str">
        <f>IF(ISNUMBER(MATCH(C1471, Mgt_Unit!$C$5:$C$1018, 0)), INDEX(Mgt_Unit!$B$5:$B$1018, MATCH(C1471, Mgt_Unit!$C$5:$C$1018, 0)), "")</f>
        <v>jennifer.moore</v>
      </c>
      <c r="C1471" t="s">
        <v>1038</v>
      </c>
      <c r="D1471" s="65"/>
      <c r="E1471">
        <v>9</v>
      </c>
      <c r="F1471" t="s">
        <v>1537</v>
      </c>
      <c r="G1471" t="s">
        <v>1536</v>
      </c>
      <c r="H1471" t="s">
        <v>441</v>
      </c>
      <c r="I1471" t="s">
        <v>1284</v>
      </c>
      <c r="J1471" s="89"/>
      <c r="K1471" s="89">
        <v>45188</v>
      </c>
      <c r="L1471" s="89"/>
      <c r="M1471" s="31">
        <v>90</v>
      </c>
    </row>
    <row r="1472" spans="2:13" ht="15" customHeight="1" x14ac:dyDescent="0.25">
      <c r="B1472" s="28" t="str">
        <f>IF(ISNUMBER(MATCH(C1472, Mgt_Unit!$C$5:$C$1018, 0)), INDEX(Mgt_Unit!$B$5:$B$1018, MATCH(C1472, Mgt_Unit!$C$5:$C$1018, 0)), "")</f>
        <v>jennifer.moore</v>
      </c>
      <c r="C1472" t="s">
        <v>1038</v>
      </c>
      <c r="D1472" s="65"/>
      <c r="E1472">
        <v>9</v>
      </c>
      <c r="F1472" t="s">
        <v>1537</v>
      </c>
      <c r="G1472" t="s">
        <v>1536</v>
      </c>
      <c r="H1472" t="s">
        <v>442</v>
      </c>
      <c r="I1472" t="s">
        <v>65</v>
      </c>
      <c r="J1472" s="89"/>
      <c r="K1472" s="89">
        <v>45442</v>
      </c>
      <c r="L1472" s="89"/>
      <c r="M1472" s="31">
        <v>90</v>
      </c>
    </row>
    <row r="1473" spans="2:13" ht="15" customHeight="1" x14ac:dyDescent="0.25">
      <c r="B1473" s="28" t="str">
        <f>IF(ISNUMBER(MATCH(C1473, Mgt_Unit!$C$5:$C$1018, 0)), INDEX(Mgt_Unit!$B$5:$B$1018, MATCH(C1473, Mgt_Unit!$C$5:$C$1018, 0)), "")</f>
        <v>jennifer.moore</v>
      </c>
      <c r="C1473" t="s">
        <v>1038</v>
      </c>
      <c r="D1473" s="65"/>
      <c r="E1473">
        <v>9</v>
      </c>
      <c r="F1473" t="s">
        <v>1537</v>
      </c>
      <c r="G1473" t="s">
        <v>1536</v>
      </c>
      <c r="H1473" t="s">
        <v>441</v>
      </c>
      <c r="I1473" t="s">
        <v>1284</v>
      </c>
      <c r="J1473" s="89"/>
      <c r="K1473" s="89">
        <v>45442</v>
      </c>
      <c r="L1473" s="89"/>
      <c r="M1473" s="31">
        <v>90</v>
      </c>
    </row>
    <row r="1474" spans="2:13" ht="15" customHeight="1" x14ac:dyDescent="0.25">
      <c r="B1474" s="28" t="str">
        <f>IF(ISNUMBER(MATCH(C1474, Mgt_Unit!$C$5:$C$1018, 0)), INDEX(Mgt_Unit!$B$5:$B$1018, MATCH(C1474, Mgt_Unit!$C$5:$C$1018, 0)), "")</f>
        <v>jennifer.moore</v>
      </c>
      <c r="C1474" t="s">
        <v>1038</v>
      </c>
      <c r="D1474" s="65"/>
      <c r="E1474">
        <v>9</v>
      </c>
      <c r="F1474" t="s">
        <v>1537</v>
      </c>
      <c r="G1474" t="s">
        <v>1536</v>
      </c>
      <c r="H1474" t="s">
        <v>442</v>
      </c>
      <c r="I1474" t="s">
        <v>65</v>
      </c>
      <c r="J1474" s="89"/>
      <c r="K1474" s="89">
        <v>45475</v>
      </c>
      <c r="L1474" s="89"/>
      <c r="M1474" s="31">
        <v>90</v>
      </c>
    </row>
    <row r="1475" spans="2:13" ht="15" customHeight="1" x14ac:dyDescent="0.25">
      <c r="B1475" s="28" t="str">
        <f>IF(ISNUMBER(MATCH(C1475, Mgt_Unit!$C$5:$C$1018, 0)), INDEX(Mgt_Unit!$B$5:$B$1018, MATCH(C1475, Mgt_Unit!$C$5:$C$1018, 0)), "")</f>
        <v>jennifer.moore</v>
      </c>
      <c r="C1475" t="s">
        <v>1038</v>
      </c>
      <c r="D1475" s="65"/>
      <c r="E1475">
        <v>9</v>
      </c>
      <c r="F1475" t="s">
        <v>1537</v>
      </c>
      <c r="G1475" t="s">
        <v>1536</v>
      </c>
      <c r="H1475" t="s">
        <v>441</v>
      </c>
      <c r="I1475" t="s">
        <v>1284</v>
      </c>
      <c r="J1475" s="89"/>
      <c r="K1475" s="89">
        <v>45475</v>
      </c>
      <c r="L1475" s="89"/>
      <c r="M1475" s="31">
        <v>90</v>
      </c>
    </row>
    <row r="1476" spans="2:13" ht="15" customHeight="1" x14ac:dyDescent="0.25">
      <c r="B1476" s="28" t="str">
        <f>IF(ISNUMBER(MATCH(C1476, Mgt_Unit!$C$5:$C$1018, 0)), INDEX(Mgt_Unit!$B$5:$B$1018, MATCH(C1476, Mgt_Unit!$C$5:$C$1018, 0)), "")</f>
        <v>jennifer.moore</v>
      </c>
      <c r="C1476" t="s">
        <v>1038</v>
      </c>
      <c r="D1476" s="65"/>
      <c r="E1476">
        <v>9</v>
      </c>
      <c r="F1476" t="s">
        <v>1537</v>
      </c>
      <c r="G1476" t="s">
        <v>1536</v>
      </c>
      <c r="H1476" t="s">
        <v>442</v>
      </c>
      <c r="I1476" t="s">
        <v>65</v>
      </c>
      <c r="J1476" s="89"/>
      <c r="K1476" s="89">
        <v>45511</v>
      </c>
      <c r="L1476" s="89"/>
      <c r="M1476" s="31">
        <v>90</v>
      </c>
    </row>
    <row r="1477" spans="2:13" ht="15" customHeight="1" x14ac:dyDescent="0.25">
      <c r="B1477" s="28" t="str">
        <f>IF(ISNUMBER(MATCH(C1477, Mgt_Unit!$C$5:$C$1018, 0)), INDEX(Mgt_Unit!$B$5:$B$1018, MATCH(C1477, Mgt_Unit!$C$5:$C$1018, 0)), "")</f>
        <v>jennifer.moore</v>
      </c>
      <c r="C1477" t="s">
        <v>1038</v>
      </c>
      <c r="D1477" s="65"/>
      <c r="E1477">
        <v>9</v>
      </c>
      <c r="F1477" t="s">
        <v>1537</v>
      </c>
      <c r="G1477" t="s">
        <v>1536</v>
      </c>
      <c r="H1477" t="s">
        <v>441</v>
      </c>
      <c r="I1477" t="s">
        <v>1284</v>
      </c>
      <c r="J1477" s="89"/>
      <c r="K1477" s="89">
        <v>45511</v>
      </c>
      <c r="L1477" s="89"/>
      <c r="M1477" s="31">
        <v>90</v>
      </c>
    </row>
    <row r="1478" spans="2:13" ht="15" customHeight="1" x14ac:dyDescent="0.25">
      <c r="B1478" s="28" t="str">
        <f>IF(ISNUMBER(MATCH(C1478, Mgt_Unit!$C$5:$C$1018, 0)), INDEX(Mgt_Unit!$B$5:$B$1018, MATCH(C1478, Mgt_Unit!$C$5:$C$1018, 0)), "")</f>
        <v>jennifer.moore</v>
      </c>
      <c r="C1478" t="s">
        <v>1038</v>
      </c>
      <c r="D1478" s="65"/>
      <c r="E1478">
        <v>9</v>
      </c>
      <c r="F1478" t="s">
        <v>1537</v>
      </c>
      <c r="G1478" t="s">
        <v>1536</v>
      </c>
      <c r="H1478" t="s">
        <v>442</v>
      </c>
      <c r="I1478" t="s">
        <v>65</v>
      </c>
      <c r="J1478" s="89"/>
      <c r="K1478" s="89">
        <v>45554</v>
      </c>
      <c r="L1478" s="89">
        <v>45583</v>
      </c>
      <c r="M1478" s="31">
        <v>90</v>
      </c>
    </row>
    <row r="1479" spans="2:13" ht="15" customHeight="1" x14ac:dyDescent="0.25">
      <c r="B1479" s="28" t="str">
        <f>IF(ISNUMBER(MATCH(C1479, Mgt_Unit!$C$5:$C$1018, 0)), INDEX(Mgt_Unit!$B$5:$B$1018, MATCH(C1479, Mgt_Unit!$C$5:$C$1018, 0)), "")</f>
        <v>jennifer.moore</v>
      </c>
      <c r="C1479" s="87" t="s">
        <v>1038</v>
      </c>
      <c r="D1479" s="65"/>
      <c r="E1479" s="87">
        <v>9</v>
      </c>
      <c r="F1479" s="87" t="s">
        <v>1537</v>
      </c>
      <c r="G1479" s="87" t="s">
        <v>1536</v>
      </c>
      <c r="H1479" s="87" t="s">
        <v>441</v>
      </c>
      <c r="I1479" s="87" t="s">
        <v>1284</v>
      </c>
      <c r="J1479" s="90"/>
      <c r="K1479" s="90">
        <v>45554</v>
      </c>
      <c r="L1479" s="90">
        <v>45583</v>
      </c>
      <c r="M1479" s="93">
        <v>90</v>
      </c>
    </row>
    <row r="1480" spans="2:13" ht="15" customHeight="1" x14ac:dyDescent="0.25">
      <c r="B1480" s="28" t="str">
        <f>IF(ISNUMBER(MATCH(C1480, Mgt_Unit!$C$5:$C$1018, 0)), INDEX(Mgt_Unit!$B$5:$B$1018, MATCH(C1480, Mgt_Unit!$C$5:$C$1018, 0)), "")</f>
        <v>jennifer.moore</v>
      </c>
      <c r="C1480" t="s">
        <v>1039</v>
      </c>
      <c r="D1480" s="65"/>
      <c r="E1480">
        <v>1</v>
      </c>
      <c r="F1480" t="s">
        <v>1538</v>
      </c>
      <c r="G1480" t="s">
        <v>1544</v>
      </c>
      <c r="H1480" t="s">
        <v>50</v>
      </c>
      <c r="I1480" t="s">
        <v>87</v>
      </c>
      <c r="J1480" s="89">
        <v>43570</v>
      </c>
      <c r="K1480" s="89">
        <v>43768</v>
      </c>
      <c r="L1480"/>
      <c r="M1480" s="31">
        <v>0</v>
      </c>
    </row>
    <row r="1481" spans="2:13" ht="15" customHeight="1" x14ac:dyDescent="0.25">
      <c r="B1481" s="28" t="str">
        <f>IF(ISNUMBER(MATCH(C1481, Mgt_Unit!$C$5:$C$1018, 0)), INDEX(Mgt_Unit!$B$5:$B$1018, MATCH(C1481, Mgt_Unit!$C$5:$C$1018, 0)), "")</f>
        <v>jennifer.moore</v>
      </c>
      <c r="C1481" s="87" t="s">
        <v>1039</v>
      </c>
      <c r="D1481" s="65"/>
      <c r="E1481" s="87">
        <v>2</v>
      </c>
      <c r="F1481" s="87" t="s">
        <v>1538</v>
      </c>
      <c r="G1481" s="87" t="s">
        <v>1544</v>
      </c>
      <c r="H1481" s="87" t="s">
        <v>51</v>
      </c>
      <c r="I1481" s="87" t="s">
        <v>137</v>
      </c>
      <c r="J1481" s="90">
        <v>43952</v>
      </c>
      <c r="K1481" s="90">
        <v>44058</v>
      </c>
      <c r="L1481" s="87"/>
      <c r="M1481" s="93">
        <v>0</v>
      </c>
    </row>
    <row r="1482" spans="2:13" ht="15" customHeight="1" x14ac:dyDescent="0.25">
      <c r="B1482" s="28" t="str">
        <f>IF(ISNUMBER(MATCH(C1482, Mgt_Unit!$C$5:$C$1018, 0)), INDEX(Mgt_Unit!$B$5:$B$1018, MATCH(C1482, Mgt_Unit!$C$5:$C$1018, 0)), "")</f>
        <v>jennifer.moore</v>
      </c>
      <c r="C1482" t="s">
        <v>1040</v>
      </c>
      <c r="D1482" s="65"/>
      <c r="E1482">
        <v>1</v>
      </c>
      <c r="F1482" t="s">
        <v>1538</v>
      </c>
      <c r="G1482" t="s">
        <v>1544</v>
      </c>
      <c r="H1482" t="s">
        <v>50</v>
      </c>
      <c r="I1482" t="s">
        <v>87</v>
      </c>
      <c r="J1482" s="89">
        <v>43570</v>
      </c>
      <c r="K1482" s="89">
        <v>43768</v>
      </c>
      <c r="L1482"/>
      <c r="M1482" s="31">
        <v>0</v>
      </c>
    </row>
    <row r="1483" spans="2:13" ht="15" customHeight="1" x14ac:dyDescent="0.25">
      <c r="B1483" s="28" t="str">
        <f>IF(ISNUMBER(MATCH(C1483, Mgt_Unit!$C$5:$C$1018, 0)), INDEX(Mgt_Unit!$B$5:$B$1018, MATCH(C1483, Mgt_Unit!$C$5:$C$1018, 0)), "")</f>
        <v>jennifer.moore</v>
      </c>
      <c r="C1483" s="87" t="s">
        <v>1040</v>
      </c>
      <c r="D1483" s="65"/>
      <c r="E1483" s="87">
        <v>2</v>
      </c>
      <c r="F1483" s="87" t="s">
        <v>1538</v>
      </c>
      <c r="G1483" s="87" t="s">
        <v>1544</v>
      </c>
      <c r="H1483" s="87" t="s">
        <v>51</v>
      </c>
      <c r="I1483" s="87" t="s">
        <v>137</v>
      </c>
      <c r="J1483" s="90">
        <v>43952</v>
      </c>
      <c r="K1483" s="90">
        <v>44058</v>
      </c>
      <c r="L1483" s="87"/>
      <c r="M1483" s="93">
        <v>0</v>
      </c>
    </row>
    <row r="1484" spans="2:13" ht="15" customHeight="1" x14ac:dyDescent="0.25">
      <c r="B1484" s="28" t="str">
        <f>IF(ISNUMBER(MATCH(C1484, Mgt_Unit!$C$5:$C$1018, 0)), INDEX(Mgt_Unit!$B$5:$B$1018, MATCH(C1484, Mgt_Unit!$C$5:$C$1018, 0)), "")</f>
        <v>jennifer.moore</v>
      </c>
      <c r="C1484" t="s">
        <v>1041</v>
      </c>
      <c r="D1484" s="65"/>
      <c r="E1484">
        <v>1</v>
      </c>
      <c r="F1484" t="s">
        <v>1537</v>
      </c>
      <c r="G1484" t="s">
        <v>1536</v>
      </c>
      <c r="H1484" t="s">
        <v>442</v>
      </c>
      <c r="I1484" t="s">
        <v>65</v>
      </c>
      <c r="J1484" s="89">
        <v>43556</v>
      </c>
      <c r="K1484" s="89">
        <v>43648</v>
      </c>
      <c r="L1484" s="89"/>
      <c r="M1484" s="31">
        <v>90</v>
      </c>
    </row>
    <row r="1485" spans="2:13" ht="15" customHeight="1" x14ac:dyDescent="0.25">
      <c r="B1485" s="28" t="str">
        <f>IF(ISNUMBER(MATCH(C1485, Mgt_Unit!$C$5:$C$1018, 0)), INDEX(Mgt_Unit!$B$5:$B$1018, MATCH(C1485, Mgt_Unit!$C$5:$C$1018, 0)), "")</f>
        <v>jennifer.moore</v>
      </c>
      <c r="C1485" t="s">
        <v>1041</v>
      </c>
      <c r="D1485" s="65"/>
      <c r="E1485">
        <v>1</v>
      </c>
      <c r="F1485" t="s">
        <v>1537</v>
      </c>
      <c r="G1485" t="s">
        <v>1536</v>
      </c>
      <c r="H1485" t="s">
        <v>441</v>
      </c>
      <c r="I1485" t="s">
        <v>1284</v>
      </c>
      <c r="J1485" s="89">
        <v>43556</v>
      </c>
      <c r="K1485" s="89">
        <v>43648</v>
      </c>
      <c r="L1485" s="89"/>
      <c r="M1485" s="31">
        <v>90</v>
      </c>
    </row>
    <row r="1486" spans="2:13" ht="15" customHeight="1" x14ac:dyDescent="0.25">
      <c r="B1486" s="28" t="str">
        <f>IF(ISNUMBER(MATCH(C1486, Mgt_Unit!$C$5:$C$1018, 0)), INDEX(Mgt_Unit!$B$5:$B$1018, MATCH(C1486, Mgt_Unit!$C$5:$C$1018, 0)), "")</f>
        <v>jennifer.moore</v>
      </c>
      <c r="C1486" t="s">
        <v>1041</v>
      </c>
      <c r="D1486" s="65"/>
      <c r="E1486">
        <v>1</v>
      </c>
      <c r="F1486" t="s">
        <v>1537</v>
      </c>
      <c r="G1486" t="s">
        <v>1536</v>
      </c>
      <c r="H1486" t="s">
        <v>442</v>
      </c>
      <c r="I1486" t="s">
        <v>65</v>
      </c>
      <c r="J1486" s="89"/>
      <c r="K1486" s="89">
        <v>43686</v>
      </c>
      <c r="L1486" s="89"/>
      <c r="M1486" s="31">
        <v>90</v>
      </c>
    </row>
    <row r="1487" spans="2:13" ht="15" customHeight="1" x14ac:dyDescent="0.25">
      <c r="B1487" s="28" t="str">
        <f>IF(ISNUMBER(MATCH(C1487, Mgt_Unit!$C$5:$C$1018, 0)), INDEX(Mgt_Unit!$B$5:$B$1018, MATCH(C1487, Mgt_Unit!$C$5:$C$1018, 0)), "")</f>
        <v>jennifer.moore</v>
      </c>
      <c r="C1487" t="s">
        <v>1041</v>
      </c>
      <c r="D1487" s="65"/>
      <c r="E1487">
        <v>1</v>
      </c>
      <c r="F1487" t="s">
        <v>1537</v>
      </c>
      <c r="G1487" t="s">
        <v>1536</v>
      </c>
      <c r="H1487" t="s">
        <v>441</v>
      </c>
      <c r="I1487" t="s">
        <v>1284</v>
      </c>
      <c r="J1487" s="89"/>
      <c r="K1487" s="89">
        <v>43686</v>
      </c>
      <c r="L1487" s="89"/>
      <c r="M1487" s="31">
        <v>90</v>
      </c>
    </row>
    <row r="1488" spans="2:13" ht="15" customHeight="1" x14ac:dyDescent="0.25">
      <c r="B1488" s="28" t="str">
        <f>IF(ISNUMBER(MATCH(C1488, Mgt_Unit!$C$5:$C$1018, 0)), INDEX(Mgt_Unit!$B$5:$B$1018, MATCH(C1488, Mgt_Unit!$C$5:$C$1018, 0)), "")</f>
        <v>jennifer.moore</v>
      </c>
      <c r="C1488" t="s">
        <v>1041</v>
      </c>
      <c r="D1488" s="65"/>
      <c r="E1488">
        <v>1</v>
      </c>
      <c r="F1488" t="s">
        <v>1537</v>
      </c>
      <c r="G1488" t="s">
        <v>1536</v>
      </c>
      <c r="H1488" t="s">
        <v>442</v>
      </c>
      <c r="I1488" t="s">
        <v>65</v>
      </c>
      <c r="J1488" s="89"/>
      <c r="K1488" s="89">
        <v>43727</v>
      </c>
      <c r="L1488" s="89"/>
      <c r="M1488" s="31">
        <v>90</v>
      </c>
    </row>
    <row r="1489" spans="2:13" ht="15" customHeight="1" x14ac:dyDescent="0.25">
      <c r="B1489" s="28" t="str">
        <f>IF(ISNUMBER(MATCH(C1489, Mgt_Unit!$C$5:$C$1018, 0)), INDEX(Mgt_Unit!$B$5:$B$1018, MATCH(C1489, Mgt_Unit!$C$5:$C$1018, 0)), "")</f>
        <v>jennifer.moore</v>
      </c>
      <c r="C1489" t="s">
        <v>1041</v>
      </c>
      <c r="D1489" s="65"/>
      <c r="E1489">
        <v>1</v>
      </c>
      <c r="F1489" t="s">
        <v>1537</v>
      </c>
      <c r="G1489" t="s">
        <v>1536</v>
      </c>
      <c r="H1489" t="s">
        <v>441</v>
      </c>
      <c r="I1489" t="s">
        <v>1284</v>
      </c>
      <c r="J1489" s="89"/>
      <c r="K1489" s="89">
        <v>43727</v>
      </c>
      <c r="L1489" s="89"/>
      <c r="M1489" s="31">
        <v>90</v>
      </c>
    </row>
    <row r="1490" spans="2:13" ht="15" customHeight="1" x14ac:dyDescent="0.25">
      <c r="B1490" s="28" t="str">
        <f>IF(ISNUMBER(MATCH(C1490, Mgt_Unit!$C$5:$C$1018, 0)), INDEX(Mgt_Unit!$B$5:$B$1018, MATCH(C1490, Mgt_Unit!$C$5:$C$1018, 0)), "")</f>
        <v>jennifer.moore</v>
      </c>
      <c r="C1490" t="s">
        <v>1041</v>
      </c>
      <c r="D1490" s="65"/>
      <c r="E1490">
        <v>1</v>
      </c>
      <c r="F1490" t="s">
        <v>1537</v>
      </c>
      <c r="G1490" t="s">
        <v>1536</v>
      </c>
      <c r="H1490" t="s">
        <v>442</v>
      </c>
      <c r="I1490" t="s">
        <v>65</v>
      </c>
      <c r="J1490" s="89"/>
      <c r="K1490" s="89">
        <v>43980</v>
      </c>
      <c r="L1490" s="89"/>
      <c r="M1490" s="31">
        <v>90</v>
      </c>
    </row>
    <row r="1491" spans="2:13" ht="15" customHeight="1" x14ac:dyDescent="0.25">
      <c r="B1491" s="28" t="str">
        <f>IF(ISNUMBER(MATCH(C1491, Mgt_Unit!$C$5:$C$1018, 0)), INDEX(Mgt_Unit!$B$5:$B$1018, MATCH(C1491, Mgt_Unit!$C$5:$C$1018, 0)), "")</f>
        <v>jennifer.moore</v>
      </c>
      <c r="C1491" t="s">
        <v>1041</v>
      </c>
      <c r="D1491" s="65"/>
      <c r="E1491">
        <v>1</v>
      </c>
      <c r="F1491" t="s">
        <v>1537</v>
      </c>
      <c r="G1491" t="s">
        <v>1536</v>
      </c>
      <c r="H1491" t="s">
        <v>441</v>
      </c>
      <c r="I1491" t="s">
        <v>1284</v>
      </c>
      <c r="J1491" s="89"/>
      <c r="K1491" s="89">
        <v>43980</v>
      </c>
      <c r="L1491" s="89"/>
      <c r="M1491" s="31">
        <v>90</v>
      </c>
    </row>
    <row r="1492" spans="2:13" ht="15" customHeight="1" x14ac:dyDescent="0.25">
      <c r="B1492" s="28" t="str">
        <f>IF(ISNUMBER(MATCH(C1492, Mgt_Unit!$C$5:$C$1018, 0)), INDEX(Mgt_Unit!$B$5:$B$1018, MATCH(C1492, Mgt_Unit!$C$5:$C$1018, 0)), "")</f>
        <v>jennifer.moore</v>
      </c>
      <c r="C1492" t="s">
        <v>1041</v>
      </c>
      <c r="D1492" s="65"/>
      <c r="E1492">
        <v>1</v>
      </c>
      <c r="F1492" t="s">
        <v>1537</v>
      </c>
      <c r="G1492" t="s">
        <v>1536</v>
      </c>
      <c r="H1492" t="s">
        <v>442</v>
      </c>
      <c r="I1492" t="s">
        <v>65</v>
      </c>
      <c r="J1492" s="89"/>
      <c r="K1492" s="89">
        <v>44014</v>
      </c>
      <c r="L1492" s="89"/>
      <c r="M1492" s="31">
        <v>90</v>
      </c>
    </row>
    <row r="1493" spans="2:13" ht="15" customHeight="1" x14ac:dyDescent="0.25">
      <c r="B1493" s="28" t="str">
        <f>IF(ISNUMBER(MATCH(C1493, Mgt_Unit!$C$5:$C$1018, 0)), INDEX(Mgt_Unit!$B$5:$B$1018, MATCH(C1493, Mgt_Unit!$C$5:$C$1018, 0)), "")</f>
        <v>jennifer.moore</v>
      </c>
      <c r="C1493" t="s">
        <v>1041</v>
      </c>
      <c r="D1493" s="65"/>
      <c r="E1493">
        <v>1</v>
      </c>
      <c r="F1493" t="s">
        <v>1537</v>
      </c>
      <c r="G1493" t="s">
        <v>1536</v>
      </c>
      <c r="H1493" t="s">
        <v>441</v>
      </c>
      <c r="I1493" t="s">
        <v>1284</v>
      </c>
      <c r="J1493" s="89"/>
      <c r="K1493" s="89">
        <v>44014</v>
      </c>
      <c r="L1493" s="89"/>
      <c r="M1493" s="31">
        <v>90</v>
      </c>
    </row>
    <row r="1494" spans="2:13" ht="15" customHeight="1" x14ac:dyDescent="0.25">
      <c r="B1494" s="28" t="str">
        <f>IF(ISNUMBER(MATCH(C1494, Mgt_Unit!$C$5:$C$1018, 0)), INDEX(Mgt_Unit!$B$5:$B$1018, MATCH(C1494, Mgt_Unit!$C$5:$C$1018, 0)), "")</f>
        <v>jennifer.moore</v>
      </c>
      <c r="C1494" t="s">
        <v>1041</v>
      </c>
      <c r="D1494" s="65"/>
      <c r="E1494">
        <v>1</v>
      </c>
      <c r="F1494" t="s">
        <v>1537</v>
      </c>
      <c r="G1494" t="s">
        <v>1536</v>
      </c>
      <c r="H1494" t="s">
        <v>442</v>
      </c>
      <c r="I1494" t="s">
        <v>65</v>
      </c>
      <c r="J1494" s="89"/>
      <c r="K1494" s="89">
        <v>44050</v>
      </c>
      <c r="L1494" s="89"/>
      <c r="M1494" s="31">
        <v>90</v>
      </c>
    </row>
    <row r="1495" spans="2:13" ht="15" customHeight="1" x14ac:dyDescent="0.25">
      <c r="B1495" s="28" t="str">
        <f>IF(ISNUMBER(MATCH(C1495, Mgt_Unit!$C$5:$C$1018, 0)), INDEX(Mgt_Unit!$B$5:$B$1018, MATCH(C1495, Mgt_Unit!$C$5:$C$1018, 0)), "")</f>
        <v>jennifer.moore</v>
      </c>
      <c r="C1495" t="s">
        <v>1041</v>
      </c>
      <c r="D1495" s="65"/>
      <c r="E1495">
        <v>1</v>
      </c>
      <c r="F1495" t="s">
        <v>1537</v>
      </c>
      <c r="G1495" t="s">
        <v>1536</v>
      </c>
      <c r="H1495" t="s">
        <v>441</v>
      </c>
      <c r="I1495" t="s">
        <v>1284</v>
      </c>
      <c r="J1495" s="89"/>
      <c r="K1495" s="89">
        <v>44050</v>
      </c>
      <c r="L1495" s="89"/>
      <c r="M1495" s="31">
        <v>90</v>
      </c>
    </row>
    <row r="1496" spans="2:13" ht="15" customHeight="1" x14ac:dyDescent="0.25">
      <c r="B1496" s="28" t="str">
        <f>IF(ISNUMBER(MATCH(C1496, Mgt_Unit!$C$5:$C$1018, 0)), INDEX(Mgt_Unit!$B$5:$B$1018, MATCH(C1496, Mgt_Unit!$C$5:$C$1018, 0)), "")</f>
        <v>jennifer.moore</v>
      </c>
      <c r="C1496" t="s">
        <v>1041</v>
      </c>
      <c r="D1496" s="65"/>
      <c r="E1496">
        <v>1</v>
      </c>
      <c r="F1496" t="s">
        <v>1537</v>
      </c>
      <c r="G1496" t="s">
        <v>1536</v>
      </c>
      <c r="H1496" t="s">
        <v>442</v>
      </c>
      <c r="I1496" t="s">
        <v>65</v>
      </c>
      <c r="J1496" s="89"/>
      <c r="K1496" s="89">
        <v>44093</v>
      </c>
      <c r="L1496" s="89"/>
      <c r="M1496" s="31">
        <v>90</v>
      </c>
    </row>
    <row r="1497" spans="2:13" ht="15" customHeight="1" x14ac:dyDescent="0.25">
      <c r="B1497" s="28" t="str">
        <f>IF(ISNUMBER(MATCH(C1497, Mgt_Unit!$C$5:$C$1018, 0)), INDEX(Mgt_Unit!$B$5:$B$1018, MATCH(C1497, Mgt_Unit!$C$5:$C$1018, 0)), "")</f>
        <v>jennifer.moore</v>
      </c>
      <c r="C1497" t="s">
        <v>1041</v>
      </c>
      <c r="D1497" s="65"/>
      <c r="E1497">
        <v>1</v>
      </c>
      <c r="F1497" t="s">
        <v>1537</v>
      </c>
      <c r="G1497" t="s">
        <v>1536</v>
      </c>
      <c r="H1497" t="s">
        <v>441</v>
      </c>
      <c r="I1497" t="s">
        <v>1284</v>
      </c>
      <c r="J1497" s="89"/>
      <c r="K1497" s="89">
        <v>44093</v>
      </c>
      <c r="L1497" s="89"/>
      <c r="M1497" s="31">
        <v>90</v>
      </c>
    </row>
    <row r="1498" spans="2:13" ht="15" customHeight="1" x14ac:dyDescent="0.25">
      <c r="B1498" s="28" t="str">
        <f>IF(ISNUMBER(MATCH(C1498, Mgt_Unit!$C$5:$C$1018, 0)), INDEX(Mgt_Unit!$B$5:$B$1018, MATCH(C1498, Mgt_Unit!$C$5:$C$1018, 0)), "")</f>
        <v>jennifer.moore</v>
      </c>
      <c r="C1498" t="s">
        <v>1041</v>
      </c>
      <c r="D1498" s="65"/>
      <c r="E1498">
        <v>1</v>
      </c>
      <c r="F1498" t="s">
        <v>1537</v>
      </c>
      <c r="G1498" t="s">
        <v>1536</v>
      </c>
      <c r="H1498" t="s">
        <v>442</v>
      </c>
      <c r="I1498" t="s">
        <v>65</v>
      </c>
      <c r="J1498" s="89"/>
      <c r="K1498" s="89">
        <v>44345</v>
      </c>
      <c r="L1498" s="89"/>
      <c r="M1498" s="31">
        <v>90</v>
      </c>
    </row>
    <row r="1499" spans="2:13" ht="15" customHeight="1" x14ac:dyDescent="0.25">
      <c r="B1499" s="28" t="str">
        <f>IF(ISNUMBER(MATCH(C1499, Mgt_Unit!$C$5:$C$1018, 0)), INDEX(Mgt_Unit!$B$5:$B$1018, MATCH(C1499, Mgt_Unit!$C$5:$C$1018, 0)), "")</f>
        <v>jennifer.moore</v>
      </c>
      <c r="C1499" t="s">
        <v>1041</v>
      </c>
      <c r="D1499" s="65"/>
      <c r="E1499">
        <v>1</v>
      </c>
      <c r="F1499" t="s">
        <v>1537</v>
      </c>
      <c r="G1499" t="s">
        <v>1536</v>
      </c>
      <c r="H1499" t="s">
        <v>441</v>
      </c>
      <c r="I1499" t="s">
        <v>1284</v>
      </c>
      <c r="J1499" s="89"/>
      <c r="K1499" s="89">
        <v>44345</v>
      </c>
      <c r="L1499" s="89"/>
      <c r="M1499" s="31">
        <v>90</v>
      </c>
    </row>
    <row r="1500" spans="2:13" ht="15" customHeight="1" x14ac:dyDescent="0.25">
      <c r="B1500" s="28" t="str">
        <f>IF(ISNUMBER(MATCH(C1500, Mgt_Unit!$C$5:$C$1018, 0)), INDEX(Mgt_Unit!$B$5:$B$1018, MATCH(C1500, Mgt_Unit!$C$5:$C$1018, 0)), "")</f>
        <v>jennifer.moore</v>
      </c>
      <c r="C1500" t="s">
        <v>1041</v>
      </c>
      <c r="D1500" s="65"/>
      <c r="E1500">
        <v>1</v>
      </c>
      <c r="F1500" t="s">
        <v>1537</v>
      </c>
      <c r="G1500" t="s">
        <v>1536</v>
      </c>
      <c r="H1500" t="s">
        <v>442</v>
      </c>
      <c r="I1500" t="s">
        <v>65</v>
      </c>
      <c r="J1500" s="89"/>
      <c r="K1500" s="89">
        <v>44379</v>
      </c>
      <c r="L1500" s="89">
        <v>44402</v>
      </c>
      <c r="M1500" s="31">
        <v>90</v>
      </c>
    </row>
    <row r="1501" spans="2:13" ht="15" customHeight="1" x14ac:dyDescent="0.25">
      <c r="B1501" s="28" t="str">
        <f>IF(ISNUMBER(MATCH(C1501, Mgt_Unit!$C$5:$C$1018, 0)), INDEX(Mgt_Unit!$B$5:$B$1018, MATCH(C1501, Mgt_Unit!$C$5:$C$1018, 0)), "")</f>
        <v>jennifer.moore</v>
      </c>
      <c r="C1501" t="s">
        <v>1041</v>
      </c>
      <c r="D1501" s="65"/>
      <c r="E1501">
        <v>1</v>
      </c>
      <c r="F1501" t="s">
        <v>1537</v>
      </c>
      <c r="G1501" t="s">
        <v>1536</v>
      </c>
      <c r="H1501" t="s">
        <v>441</v>
      </c>
      <c r="I1501" t="s">
        <v>1284</v>
      </c>
      <c r="J1501" s="89"/>
      <c r="K1501" s="89">
        <v>44379</v>
      </c>
      <c r="L1501" s="89">
        <v>44402</v>
      </c>
      <c r="M1501" s="31">
        <v>90</v>
      </c>
    </row>
    <row r="1502" spans="2:13" ht="15" customHeight="1" x14ac:dyDescent="0.25">
      <c r="B1502" s="28" t="str">
        <f>IF(ISNUMBER(MATCH(C1502, Mgt_Unit!$C$5:$C$1018, 0)), INDEX(Mgt_Unit!$B$5:$B$1018, MATCH(C1502, Mgt_Unit!$C$5:$C$1018, 0)), "")</f>
        <v>jennifer.moore</v>
      </c>
      <c r="C1502" t="s">
        <v>1041</v>
      </c>
      <c r="D1502" s="65"/>
      <c r="E1502">
        <v>2</v>
      </c>
      <c r="F1502" t="s">
        <v>1538</v>
      </c>
      <c r="G1502" t="s">
        <v>1535</v>
      </c>
      <c r="H1502" t="s">
        <v>48</v>
      </c>
      <c r="I1502" t="s">
        <v>59</v>
      </c>
      <c r="J1502" s="89">
        <v>44411</v>
      </c>
      <c r="K1502"/>
      <c r="L1502" s="89">
        <v>44666</v>
      </c>
      <c r="M1502" s="31">
        <v>0</v>
      </c>
    </row>
    <row r="1503" spans="2:13" ht="15" customHeight="1" x14ac:dyDescent="0.25">
      <c r="B1503" s="28" t="str">
        <f>IF(ISNUMBER(MATCH(C1503, Mgt_Unit!$C$5:$C$1018, 0)), INDEX(Mgt_Unit!$B$5:$B$1018, MATCH(C1503, Mgt_Unit!$C$5:$C$1018, 0)), "")</f>
        <v>jennifer.moore</v>
      </c>
      <c r="C1503" t="s">
        <v>1041</v>
      </c>
      <c r="D1503" s="65"/>
      <c r="E1503">
        <v>3</v>
      </c>
      <c r="F1503" t="s">
        <v>1538</v>
      </c>
      <c r="G1503" t="s">
        <v>1544</v>
      </c>
      <c r="H1503" t="s">
        <v>50</v>
      </c>
      <c r="I1503" t="s">
        <v>87</v>
      </c>
      <c r="J1503" s="89">
        <v>44696</v>
      </c>
      <c r="K1503" s="89">
        <v>44835</v>
      </c>
      <c r="L1503"/>
      <c r="M1503" s="31">
        <v>90</v>
      </c>
    </row>
    <row r="1504" spans="2:13" ht="15" customHeight="1" x14ac:dyDescent="0.25">
      <c r="B1504" s="28" t="str">
        <f>IF(ISNUMBER(MATCH(C1504, Mgt_Unit!$C$5:$C$1018, 0)), INDEX(Mgt_Unit!$B$5:$B$1018, MATCH(C1504, Mgt_Unit!$C$5:$C$1018, 0)), "")</f>
        <v>jennifer.moore</v>
      </c>
      <c r="C1504" t="s">
        <v>1041</v>
      </c>
      <c r="D1504" s="65"/>
      <c r="E1504">
        <v>4</v>
      </c>
      <c r="F1504" t="s">
        <v>1538</v>
      </c>
      <c r="G1504" t="s">
        <v>1535</v>
      </c>
      <c r="H1504" t="s">
        <v>441</v>
      </c>
      <c r="I1504" t="s">
        <v>124</v>
      </c>
      <c r="J1504" s="89">
        <v>44836</v>
      </c>
      <c r="K1504"/>
      <c r="L1504" s="89">
        <v>45031</v>
      </c>
      <c r="M1504" s="31">
        <v>0</v>
      </c>
    </row>
    <row r="1505" spans="2:13" ht="15" customHeight="1" x14ac:dyDescent="0.25">
      <c r="B1505" s="28" t="str">
        <f>IF(ISNUMBER(MATCH(C1505, Mgt_Unit!$C$5:$C$1018, 0)), INDEX(Mgt_Unit!$B$5:$B$1018, MATCH(C1505, Mgt_Unit!$C$5:$C$1018, 0)), "")</f>
        <v>jennifer.moore</v>
      </c>
      <c r="C1505" t="s">
        <v>1041</v>
      </c>
      <c r="D1505" s="65"/>
      <c r="E1505">
        <v>5</v>
      </c>
      <c r="F1505" t="s">
        <v>1538</v>
      </c>
      <c r="G1505" t="s">
        <v>1544</v>
      </c>
      <c r="H1505" t="s">
        <v>50</v>
      </c>
      <c r="I1505" t="s">
        <v>87</v>
      </c>
      <c r="J1505" s="89">
        <v>45061</v>
      </c>
      <c r="K1505" s="89">
        <v>45200</v>
      </c>
      <c r="L1505"/>
      <c r="M1505" s="31">
        <v>90</v>
      </c>
    </row>
    <row r="1506" spans="2:13" ht="15" customHeight="1" x14ac:dyDescent="0.25">
      <c r="B1506" s="28" t="str">
        <f>IF(ISNUMBER(MATCH(C1506, Mgt_Unit!$C$5:$C$1018, 0)), INDEX(Mgt_Unit!$B$5:$B$1018, MATCH(C1506, Mgt_Unit!$C$5:$C$1018, 0)), "")</f>
        <v>jennifer.moore</v>
      </c>
      <c r="C1506" t="s">
        <v>1041</v>
      </c>
      <c r="D1506" s="65"/>
      <c r="E1506">
        <v>6</v>
      </c>
      <c r="F1506" t="s">
        <v>1538</v>
      </c>
      <c r="G1506" t="s">
        <v>1535</v>
      </c>
      <c r="H1506" t="s">
        <v>441</v>
      </c>
      <c r="I1506" t="s">
        <v>124</v>
      </c>
      <c r="J1506" s="89">
        <v>45200</v>
      </c>
      <c r="K1506"/>
      <c r="L1506" s="89">
        <v>45397</v>
      </c>
      <c r="M1506" s="31">
        <v>0</v>
      </c>
    </row>
    <row r="1507" spans="2:13" ht="15" customHeight="1" x14ac:dyDescent="0.25">
      <c r="B1507" s="28" t="str">
        <f>IF(ISNUMBER(MATCH(C1507, Mgt_Unit!$C$5:$C$1018, 0)), INDEX(Mgt_Unit!$B$5:$B$1018, MATCH(C1507, Mgt_Unit!$C$5:$C$1018, 0)), "")</f>
        <v>jennifer.moore</v>
      </c>
      <c r="C1507" t="s">
        <v>1041</v>
      </c>
      <c r="D1507" s="65"/>
      <c r="E1507">
        <v>7</v>
      </c>
      <c r="F1507" t="s">
        <v>1538</v>
      </c>
      <c r="G1507" t="s">
        <v>1544</v>
      </c>
      <c r="H1507" t="s">
        <v>50</v>
      </c>
      <c r="I1507" t="s">
        <v>87</v>
      </c>
      <c r="J1507" s="89">
        <v>45427</v>
      </c>
      <c r="K1507" s="89">
        <v>45566</v>
      </c>
      <c r="L1507"/>
      <c r="M1507" s="31">
        <v>90</v>
      </c>
    </row>
    <row r="1508" spans="2:13" ht="15" customHeight="1" x14ac:dyDescent="0.25">
      <c r="B1508" s="28" t="str">
        <f>IF(ISNUMBER(MATCH(C1508, Mgt_Unit!$C$5:$C$1018, 0)), INDEX(Mgt_Unit!$B$5:$B$1018, MATCH(C1508, Mgt_Unit!$C$5:$C$1018, 0)), "")</f>
        <v>jennifer.moore</v>
      </c>
      <c r="C1508" s="87" t="s">
        <v>1041</v>
      </c>
      <c r="D1508" s="65"/>
      <c r="E1508" s="87">
        <v>8</v>
      </c>
      <c r="F1508" s="87" t="s">
        <v>1538</v>
      </c>
      <c r="G1508" s="87" t="s">
        <v>1544</v>
      </c>
      <c r="H1508" s="87" t="s">
        <v>441</v>
      </c>
      <c r="I1508" s="87" t="s">
        <v>88</v>
      </c>
      <c r="J1508" s="90">
        <v>45567</v>
      </c>
      <c r="K1508" s="87"/>
      <c r="L1508" s="87"/>
      <c r="M1508" s="93"/>
    </row>
    <row r="1509" spans="2:13" ht="15" customHeight="1" x14ac:dyDescent="0.25">
      <c r="B1509" s="28" t="str">
        <f>IF(ISNUMBER(MATCH(C1509, Mgt_Unit!$C$5:$C$1018, 0)), INDEX(Mgt_Unit!$B$5:$B$1018, MATCH(C1509, Mgt_Unit!$C$5:$C$1018, 0)), "")</f>
        <v>jennifer.moore</v>
      </c>
      <c r="C1509" t="s">
        <v>1042</v>
      </c>
      <c r="D1509" s="65"/>
      <c r="E1509">
        <v>1</v>
      </c>
      <c r="F1509" t="s">
        <v>1538</v>
      </c>
      <c r="G1509" t="s">
        <v>1544</v>
      </c>
      <c r="H1509" t="s">
        <v>50</v>
      </c>
      <c r="I1509" t="s">
        <v>87</v>
      </c>
      <c r="J1509" s="89">
        <v>43570</v>
      </c>
      <c r="K1509" s="89">
        <v>43768</v>
      </c>
      <c r="L1509"/>
      <c r="M1509" s="31">
        <v>0</v>
      </c>
    </row>
    <row r="1510" spans="2:13" ht="15" customHeight="1" x14ac:dyDescent="0.25">
      <c r="B1510" s="28" t="str">
        <f>IF(ISNUMBER(MATCH(C1510, Mgt_Unit!$C$5:$C$1018, 0)), INDEX(Mgt_Unit!$B$5:$B$1018, MATCH(C1510, Mgt_Unit!$C$5:$C$1018, 0)), "")</f>
        <v>jennifer.moore</v>
      </c>
      <c r="C1510" s="87" t="s">
        <v>1042</v>
      </c>
      <c r="D1510" s="65"/>
      <c r="E1510" s="87">
        <v>2</v>
      </c>
      <c r="F1510" s="87" t="s">
        <v>1538</v>
      </c>
      <c r="G1510" s="87" t="s">
        <v>1544</v>
      </c>
      <c r="H1510" s="87" t="s">
        <v>51</v>
      </c>
      <c r="I1510" s="87" t="s">
        <v>137</v>
      </c>
      <c r="J1510" s="90">
        <v>43952</v>
      </c>
      <c r="K1510" s="90">
        <v>44058</v>
      </c>
      <c r="L1510" s="87"/>
      <c r="M1510" s="93">
        <v>0</v>
      </c>
    </row>
    <row r="1511" spans="2:13" ht="15" customHeight="1" x14ac:dyDescent="0.25">
      <c r="B1511" s="28" t="str">
        <f>IF(ISNUMBER(MATCH(C1511, Mgt_Unit!$C$5:$C$1018, 0)), INDEX(Mgt_Unit!$B$5:$B$1018, MATCH(C1511, Mgt_Unit!$C$5:$C$1018, 0)), "")</f>
        <v>jennifer.moore</v>
      </c>
      <c r="C1511" t="s">
        <v>1043</v>
      </c>
      <c r="D1511" s="65"/>
      <c r="E1511">
        <v>1</v>
      </c>
      <c r="F1511" t="s">
        <v>1538</v>
      </c>
      <c r="G1511" t="s">
        <v>1535</v>
      </c>
      <c r="H1511" t="s">
        <v>48</v>
      </c>
      <c r="I1511" t="s">
        <v>59</v>
      </c>
      <c r="J1511" s="89">
        <v>43679</v>
      </c>
      <c r="K1511"/>
      <c r="L1511" s="89">
        <v>44013</v>
      </c>
      <c r="M1511" s="31">
        <v>0</v>
      </c>
    </row>
    <row r="1512" spans="2:13" ht="15" customHeight="1" x14ac:dyDescent="0.25">
      <c r="B1512" s="28" t="str">
        <f>IF(ISNUMBER(MATCH(C1512, Mgt_Unit!$C$5:$C$1018, 0)), INDEX(Mgt_Unit!$B$5:$B$1018, MATCH(C1512, Mgt_Unit!$C$5:$C$1018, 0)), "")</f>
        <v>jennifer.moore</v>
      </c>
      <c r="C1512" t="s">
        <v>1043</v>
      </c>
      <c r="D1512" s="65"/>
      <c r="E1512">
        <v>2</v>
      </c>
      <c r="F1512" t="s">
        <v>1538</v>
      </c>
      <c r="G1512" t="s">
        <v>1535</v>
      </c>
      <c r="H1512" t="s">
        <v>441</v>
      </c>
      <c r="I1512" t="s">
        <v>124</v>
      </c>
      <c r="J1512" s="89">
        <v>44044</v>
      </c>
      <c r="K1512"/>
      <c r="L1512" s="89">
        <v>44301</v>
      </c>
      <c r="M1512" s="31">
        <v>0</v>
      </c>
    </row>
    <row r="1513" spans="2:13" ht="15" customHeight="1" x14ac:dyDescent="0.25">
      <c r="B1513" s="28" t="str">
        <f>IF(ISNUMBER(MATCH(C1513, Mgt_Unit!$C$5:$C$1018, 0)), INDEX(Mgt_Unit!$B$5:$B$1018, MATCH(C1513, Mgt_Unit!$C$5:$C$1018, 0)), "")</f>
        <v>jennifer.moore</v>
      </c>
      <c r="C1513" t="s">
        <v>1043</v>
      </c>
      <c r="D1513" s="65"/>
      <c r="E1513">
        <v>3</v>
      </c>
      <c r="F1513" t="s">
        <v>1538</v>
      </c>
      <c r="G1513" t="s">
        <v>1544</v>
      </c>
      <c r="H1513" t="s">
        <v>51</v>
      </c>
      <c r="I1513" t="s">
        <v>137</v>
      </c>
      <c r="J1513" s="89">
        <v>44321</v>
      </c>
      <c r="K1513" s="89">
        <v>44484</v>
      </c>
      <c r="L1513"/>
      <c r="M1513" s="31">
        <v>0</v>
      </c>
    </row>
    <row r="1514" spans="2:13" ht="15" customHeight="1" x14ac:dyDescent="0.25">
      <c r="B1514" s="28" t="str">
        <f>IF(ISNUMBER(MATCH(C1514, Mgt_Unit!$C$5:$C$1018, 0)), INDEX(Mgt_Unit!$B$5:$B$1018, MATCH(C1514, Mgt_Unit!$C$5:$C$1018, 0)), "")</f>
        <v>jennifer.moore</v>
      </c>
      <c r="C1514" t="s">
        <v>1043</v>
      </c>
      <c r="D1514" s="65"/>
      <c r="E1514">
        <v>4</v>
      </c>
      <c r="F1514" t="s">
        <v>1538</v>
      </c>
      <c r="G1514" t="s">
        <v>1535</v>
      </c>
      <c r="H1514" t="s">
        <v>441</v>
      </c>
      <c r="I1514" t="s">
        <v>124</v>
      </c>
      <c r="J1514" s="89">
        <v>44484</v>
      </c>
      <c r="K1514"/>
      <c r="L1514" s="89">
        <v>44696</v>
      </c>
      <c r="M1514" s="31">
        <v>0</v>
      </c>
    </row>
    <row r="1515" spans="2:13" ht="15" customHeight="1" x14ac:dyDescent="0.25">
      <c r="B1515" s="28" t="str">
        <f>IF(ISNUMBER(MATCH(C1515, Mgt_Unit!$C$5:$C$1018, 0)), INDEX(Mgt_Unit!$B$5:$B$1018, MATCH(C1515, Mgt_Unit!$C$5:$C$1018, 0)), "")</f>
        <v>jennifer.moore</v>
      </c>
      <c r="C1515" t="s">
        <v>1043</v>
      </c>
      <c r="D1515" s="65"/>
      <c r="E1515">
        <v>5</v>
      </c>
      <c r="F1515" t="s">
        <v>1538</v>
      </c>
      <c r="G1515" t="s">
        <v>1544</v>
      </c>
      <c r="H1515" t="s">
        <v>50</v>
      </c>
      <c r="I1515" t="s">
        <v>87</v>
      </c>
      <c r="J1515" s="89">
        <v>44696</v>
      </c>
      <c r="K1515" s="89">
        <v>44834</v>
      </c>
      <c r="L1515"/>
      <c r="M1515" s="31">
        <v>90</v>
      </c>
    </row>
    <row r="1516" spans="2:13" ht="15" customHeight="1" x14ac:dyDescent="0.25">
      <c r="B1516" s="28" t="str">
        <f>IF(ISNUMBER(MATCH(C1516, Mgt_Unit!$C$5:$C$1018, 0)), INDEX(Mgt_Unit!$B$5:$B$1018, MATCH(C1516, Mgt_Unit!$C$5:$C$1018, 0)), "")</f>
        <v>jennifer.moore</v>
      </c>
      <c r="C1516" t="s">
        <v>1043</v>
      </c>
      <c r="D1516" s="65"/>
      <c r="E1516">
        <v>6</v>
      </c>
      <c r="F1516" t="s">
        <v>1538</v>
      </c>
      <c r="G1516" t="s">
        <v>1544</v>
      </c>
      <c r="H1516" t="s">
        <v>441</v>
      </c>
      <c r="I1516" t="s">
        <v>88</v>
      </c>
      <c r="J1516" s="89">
        <v>44836</v>
      </c>
      <c r="K1516"/>
      <c r="L1516" s="89">
        <v>45108</v>
      </c>
      <c r="M1516" s="31">
        <v>0</v>
      </c>
    </row>
    <row r="1517" spans="2:13" ht="15" customHeight="1" x14ac:dyDescent="0.25">
      <c r="B1517" s="28" t="str">
        <f>IF(ISNUMBER(MATCH(C1517, Mgt_Unit!$C$5:$C$1018, 0)), INDEX(Mgt_Unit!$B$5:$B$1018, MATCH(C1517, Mgt_Unit!$C$5:$C$1018, 0)), "")</f>
        <v>jennifer.moore</v>
      </c>
      <c r="C1517" t="s">
        <v>1043</v>
      </c>
      <c r="D1517" s="65"/>
      <c r="E1517">
        <v>7</v>
      </c>
      <c r="F1517" t="s">
        <v>1537</v>
      </c>
      <c r="G1517" t="s">
        <v>1536</v>
      </c>
      <c r="H1517" t="s">
        <v>442</v>
      </c>
      <c r="I1517" t="s">
        <v>65</v>
      </c>
      <c r="J1517" s="89">
        <v>45108</v>
      </c>
      <c r="K1517" s="89">
        <v>45188</v>
      </c>
      <c r="L1517"/>
      <c r="M1517" s="31">
        <v>90</v>
      </c>
    </row>
    <row r="1518" spans="2:13" ht="15" customHeight="1" x14ac:dyDescent="0.25">
      <c r="B1518" s="28" t="str">
        <f>IF(ISNUMBER(MATCH(C1518, Mgt_Unit!$C$5:$C$1018, 0)), INDEX(Mgt_Unit!$B$5:$B$1018, MATCH(C1518, Mgt_Unit!$C$5:$C$1018, 0)), "")</f>
        <v>jennifer.moore</v>
      </c>
      <c r="C1518" t="s">
        <v>1043</v>
      </c>
      <c r="D1518" s="65"/>
      <c r="E1518">
        <v>7</v>
      </c>
      <c r="F1518" t="s">
        <v>1537</v>
      </c>
      <c r="G1518" t="s">
        <v>1536</v>
      </c>
      <c r="H1518" t="s">
        <v>441</v>
      </c>
      <c r="I1518" t="s">
        <v>1284</v>
      </c>
      <c r="J1518" s="89">
        <v>45108</v>
      </c>
      <c r="K1518" s="89">
        <v>45188</v>
      </c>
      <c r="L1518"/>
      <c r="M1518" s="31">
        <v>90</v>
      </c>
    </row>
    <row r="1519" spans="2:13" ht="15" customHeight="1" x14ac:dyDescent="0.25">
      <c r="B1519" s="28" t="str">
        <f>IF(ISNUMBER(MATCH(C1519, Mgt_Unit!$C$5:$C$1018, 0)), INDEX(Mgt_Unit!$B$5:$B$1018, MATCH(C1519, Mgt_Unit!$C$5:$C$1018, 0)), "")</f>
        <v>jennifer.moore</v>
      </c>
      <c r="C1519" t="s">
        <v>1043</v>
      </c>
      <c r="D1519" s="65"/>
      <c r="E1519">
        <v>7</v>
      </c>
      <c r="F1519" t="s">
        <v>1537</v>
      </c>
      <c r="G1519" t="s">
        <v>1536</v>
      </c>
      <c r="H1519" t="s">
        <v>442</v>
      </c>
      <c r="I1519" t="s">
        <v>65</v>
      </c>
      <c r="J1519" s="89"/>
      <c r="K1519" s="89">
        <v>45441</v>
      </c>
      <c r="L1519" s="89"/>
      <c r="M1519" s="31">
        <v>90</v>
      </c>
    </row>
    <row r="1520" spans="2:13" ht="15" customHeight="1" x14ac:dyDescent="0.25">
      <c r="B1520" s="28" t="str">
        <f>IF(ISNUMBER(MATCH(C1520, Mgt_Unit!$C$5:$C$1018, 0)), INDEX(Mgt_Unit!$B$5:$B$1018, MATCH(C1520, Mgt_Unit!$C$5:$C$1018, 0)), "")</f>
        <v>jennifer.moore</v>
      </c>
      <c r="C1520" t="s">
        <v>1043</v>
      </c>
      <c r="D1520" s="65"/>
      <c r="E1520">
        <v>7</v>
      </c>
      <c r="F1520" t="s">
        <v>1537</v>
      </c>
      <c r="G1520" t="s">
        <v>1536</v>
      </c>
      <c r="H1520" t="s">
        <v>441</v>
      </c>
      <c r="I1520" t="s">
        <v>1284</v>
      </c>
      <c r="J1520" s="89"/>
      <c r="K1520" s="89">
        <v>45441</v>
      </c>
      <c r="L1520" s="89"/>
      <c r="M1520" s="31">
        <v>90</v>
      </c>
    </row>
    <row r="1521" spans="2:13" ht="15" customHeight="1" x14ac:dyDescent="0.25">
      <c r="B1521" s="28" t="str">
        <f>IF(ISNUMBER(MATCH(C1521, Mgt_Unit!$C$5:$C$1018, 0)), INDEX(Mgt_Unit!$B$5:$B$1018, MATCH(C1521, Mgt_Unit!$C$5:$C$1018, 0)), "")</f>
        <v>jennifer.moore</v>
      </c>
      <c r="C1521" t="s">
        <v>1043</v>
      </c>
      <c r="D1521" s="65"/>
      <c r="E1521">
        <v>7</v>
      </c>
      <c r="F1521" t="s">
        <v>1537</v>
      </c>
      <c r="G1521" t="s">
        <v>1536</v>
      </c>
      <c r="H1521" t="s">
        <v>442</v>
      </c>
      <c r="I1521" t="s">
        <v>65</v>
      </c>
      <c r="J1521" s="89"/>
      <c r="K1521" s="89">
        <v>45475</v>
      </c>
      <c r="L1521" s="89"/>
      <c r="M1521" s="31">
        <v>90</v>
      </c>
    </row>
    <row r="1522" spans="2:13" ht="15" customHeight="1" x14ac:dyDescent="0.25">
      <c r="B1522" s="28" t="str">
        <f>IF(ISNUMBER(MATCH(C1522, Mgt_Unit!$C$5:$C$1018, 0)), INDEX(Mgt_Unit!$B$5:$B$1018, MATCH(C1522, Mgt_Unit!$C$5:$C$1018, 0)), "")</f>
        <v>jennifer.moore</v>
      </c>
      <c r="C1522" t="s">
        <v>1043</v>
      </c>
      <c r="D1522" s="65"/>
      <c r="E1522">
        <v>7</v>
      </c>
      <c r="F1522" t="s">
        <v>1537</v>
      </c>
      <c r="G1522" t="s">
        <v>1536</v>
      </c>
      <c r="H1522" t="s">
        <v>441</v>
      </c>
      <c r="I1522" t="s">
        <v>1284</v>
      </c>
      <c r="J1522" s="89"/>
      <c r="K1522" s="89">
        <v>45475</v>
      </c>
      <c r="L1522" s="89"/>
      <c r="M1522" s="31">
        <v>90</v>
      </c>
    </row>
    <row r="1523" spans="2:13" ht="15" customHeight="1" x14ac:dyDescent="0.25">
      <c r="B1523" s="28" t="str">
        <f>IF(ISNUMBER(MATCH(C1523, Mgt_Unit!$C$5:$C$1018, 0)), INDEX(Mgt_Unit!$B$5:$B$1018, MATCH(C1523, Mgt_Unit!$C$5:$C$1018, 0)), "")</f>
        <v>jennifer.moore</v>
      </c>
      <c r="C1523" t="s">
        <v>1043</v>
      </c>
      <c r="D1523" s="65"/>
      <c r="E1523">
        <v>7</v>
      </c>
      <c r="F1523" t="s">
        <v>1537</v>
      </c>
      <c r="G1523" t="s">
        <v>1536</v>
      </c>
      <c r="H1523" t="s">
        <v>442</v>
      </c>
      <c r="I1523" t="s">
        <v>65</v>
      </c>
      <c r="J1523" s="89"/>
      <c r="K1523" s="89">
        <v>45511</v>
      </c>
      <c r="L1523" s="89"/>
      <c r="M1523" s="31">
        <v>90</v>
      </c>
    </row>
    <row r="1524" spans="2:13" ht="15" customHeight="1" x14ac:dyDescent="0.25">
      <c r="B1524" s="28" t="str">
        <f>IF(ISNUMBER(MATCH(C1524, Mgt_Unit!$C$5:$C$1018, 0)), INDEX(Mgt_Unit!$B$5:$B$1018, MATCH(C1524, Mgt_Unit!$C$5:$C$1018, 0)), "")</f>
        <v>jennifer.moore</v>
      </c>
      <c r="C1524" t="s">
        <v>1043</v>
      </c>
      <c r="D1524" s="65"/>
      <c r="E1524">
        <v>7</v>
      </c>
      <c r="F1524" t="s">
        <v>1537</v>
      </c>
      <c r="G1524" t="s">
        <v>1536</v>
      </c>
      <c r="H1524" t="s">
        <v>441</v>
      </c>
      <c r="I1524" t="s">
        <v>1284</v>
      </c>
      <c r="J1524" s="89"/>
      <c r="K1524" s="89">
        <v>45511</v>
      </c>
      <c r="L1524" s="89"/>
      <c r="M1524" s="31">
        <v>90</v>
      </c>
    </row>
    <row r="1525" spans="2:13" ht="15" customHeight="1" x14ac:dyDescent="0.25">
      <c r="B1525" s="28" t="str">
        <f>IF(ISNUMBER(MATCH(C1525, Mgt_Unit!$C$5:$C$1018, 0)), INDEX(Mgt_Unit!$B$5:$B$1018, MATCH(C1525, Mgt_Unit!$C$5:$C$1018, 0)), "")</f>
        <v>jennifer.moore</v>
      </c>
      <c r="C1525" t="s">
        <v>1043</v>
      </c>
      <c r="D1525" s="65"/>
      <c r="E1525">
        <v>7</v>
      </c>
      <c r="F1525" t="s">
        <v>1537</v>
      </c>
      <c r="G1525" t="s">
        <v>1536</v>
      </c>
      <c r="H1525" t="s">
        <v>442</v>
      </c>
      <c r="I1525" t="s">
        <v>65</v>
      </c>
      <c r="J1525" s="89"/>
      <c r="K1525" s="89">
        <v>45554</v>
      </c>
      <c r="L1525" s="89"/>
      <c r="M1525" s="31">
        <v>90</v>
      </c>
    </row>
    <row r="1526" spans="2:13" ht="15" customHeight="1" x14ac:dyDescent="0.25">
      <c r="B1526" s="28" t="str">
        <f>IF(ISNUMBER(MATCH(C1526, Mgt_Unit!$C$5:$C$1018, 0)), INDEX(Mgt_Unit!$B$5:$B$1018, MATCH(C1526, Mgt_Unit!$C$5:$C$1018, 0)), "")</f>
        <v>jennifer.moore</v>
      </c>
      <c r="C1526" t="s">
        <v>1043</v>
      </c>
      <c r="D1526" s="65"/>
      <c r="E1526">
        <v>7</v>
      </c>
      <c r="F1526" t="s">
        <v>1537</v>
      </c>
      <c r="G1526" t="s">
        <v>1536</v>
      </c>
      <c r="H1526" t="s">
        <v>441</v>
      </c>
      <c r="I1526" t="s">
        <v>1284</v>
      </c>
      <c r="J1526" s="89"/>
      <c r="K1526" s="89">
        <v>45554</v>
      </c>
      <c r="L1526" s="89"/>
      <c r="M1526" s="31">
        <v>90</v>
      </c>
    </row>
    <row r="1527" spans="2:13" ht="15" customHeight="1" x14ac:dyDescent="0.25">
      <c r="B1527" s="28" t="str">
        <f>IF(ISNUMBER(MATCH(C1527, Mgt_Unit!$C$5:$C$1018, 0)), INDEX(Mgt_Unit!$B$5:$B$1018, MATCH(C1527, Mgt_Unit!$C$5:$C$1018, 0)), "")</f>
        <v>jennifer.moore</v>
      </c>
      <c r="C1527" t="s">
        <v>1043</v>
      </c>
      <c r="D1527" s="65"/>
      <c r="E1527">
        <v>7</v>
      </c>
      <c r="F1527" t="s">
        <v>1537</v>
      </c>
      <c r="G1527" t="s">
        <v>1536</v>
      </c>
      <c r="H1527" t="s">
        <v>442</v>
      </c>
      <c r="I1527" t="s">
        <v>65</v>
      </c>
      <c r="J1527" s="89"/>
      <c r="K1527" s="89">
        <v>45806</v>
      </c>
      <c r="L1527" s="89"/>
      <c r="M1527" s="31">
        <v>90</v>
      </c>
    </row>
    <row r="1528" spans="2:13" ht="15" customHeight="1" x14ac:dyDescent="0.25">
      <c r="B1528" s="28" t="str">
        <f>IF(ISNUMBER(MATCH(C1528, Mgt_Unit!$C$5:$C$1018, 0)), INDEX(Mgt_Unit!$B$5:$B$1018, MATCH(C1528, Mgt_Unit!$C$5:$C$1018, 0)), "")</f>
        <v>jennifer.moore</v>
      </c>
      <c r="C1528" t="s">
        <v>1043</v>
      </c>
      <c r="D1528" s="65"/>
      <c r="E1528">
        <v>7</v>
      </c>
      <c r="F1528" t="s">
        <v>1537</v>
      </c>
      <c r="G1528" t="s">
        <v>1536</v>
      </c>
      <c r="H1528" t="s">
        <v>441</v>
      </c>
      <c r="I1528" t="s">
        <v>1284</v>
      </c>
      <c r="J1528" s="89"/>
      <c r="K1528" s="89">
        <v>45806</v>
      </c>
      <c r="L1528" s="89"/>
      <c r="M1528" s="31">
        <v>90</v>
      </c>
    </row>
    <row r="1529" spans="2:13" ht="15" customHeight="1" x14ac:dyDescent="0.25">
      <c r="B1529" s="28" t="str">
        <f>IF(ISNUMBER(MATCH(C1529, Mgt_Unit!$C$5:$C$1018, 0)), INDEX(Mgt_Unit!$B$5:$B$1018, MATCH(C1529, Mgt_Unit!$C$5:$C$1018, 0)), "")</f>
        <v>jennifer.moore</v>
      </c>
      <c r="C1529" t="s">
        <v>1043</v>
      </c>
      <c r="D1529" s="65"/>
      <c r="E1529">
        <v>7</v>
      </c>
      <c r="F1529" t="s">
        <v>1537</v>
      </c>
      <c r="G1529" t="s">
        <v>1536</v>
      </c>
      <c r="H1529" t="s">
        <v>442</v>
      </c>
      <c r="I1529" t="s">
        <v>65</v>
      </c>
      <c r="J1529" s="89"/>
      <c r="K1529" s="89">
        <v>45840</v>
      </c>
      <c r="L1529" s="89"/>
      <c r="M1529" s="31">
        <v>90</v>
      </c>
    </row>
    <row r="1530" spans="2:13" ht="15" customHeight="1" x14ac:dyDescent="0.25">
      <c r="B1530" s="28" t="str">
        <f>IF(ISNUMBER(MATCH(C1530, Mgt_Unit!$C$5:$C$1018, 0)), INDEX(Mgt_Unit!$B$5:$B$1018, MATCH(C1530, Mgt_Unit!$C$5:$C$1018, 0)), "")</f>
        <v>jennifer.moore</v>
      </c>
      <c r="C1530" t="s">
        <v>1043</v>
      </c>
      <c r="D1530" s="65"/>
      <c r="E1530">
        <v>7</v>
      </c>
      <c r="F1530" t="s">
        <v>1537</v>
      </c>
      <c r="G1530" t="s">
        <v>1536</v>
      </c>
      <c r="H1530" t="s">
        <v>441</v>
      </c>
      <c r="I1530" t="s">
        <v>1284</v>
      </c>
      <c r="J1530" s="89"/>
      <c r="K1530" s="89">
        <v>45840</v>
      </c>
      <c r="L1530" s="89"/>
      <c r="M1530" s="31">
        <v>90</v>
      </c>
    </row>
    <row r="1531" spans="2:13" ht="15" customHeight="1" x14ac:dyDescent="0.25">
      <c r="B1531" s="28" t="str">
        <f>IF(ISNUMBER(MATCH(C1531, Mgt_Unit!$C$5:$C$1018, 0)), INDEX(Mgt_Unit!$B$5:$B$1018, MATCH(C1531, Mgt_Unit!$C$5:$C$1018, 0)), "")</f>
        <v>jennifer.moore</v>
      </c>
      <c r="C1531" t="s">
        <v>1043</v>
      </c>
      <c r="D1531" s="65"/>
      <c r="E1531">
        <v>7</v>
      </c>
      <c r="F1531" t="s">
        <v>1537</v>
      </c>
      <c r="G1531" t="s">
        <v>1536</v>
      </c>
      <c r="H1531" t="s">
        <v>442</v>
      </c>
      <c r="I1531" t="s">
        <v>65</v>
      </c>
      <c r="J1531" s="89"/>
      <c r="K1531" s="89">
        <v>45870</v>
      </c>
      <c r="L1531" s="89">
        <v>45876</v>
      </c>
      <c r="M1531" s="31">
        <v>90</v>
      </c>
    </row>
    <row r="1532" spans="2:13" ht="15" customHeight="1" x14ac:dyDescent="0.25">
      <c r="B1532" s="28" t="str">
        <f>IF(ISNUMBER(MATCH(C1532, Mgt_Unit!$C$5:$C$1018, 0)), INDEX(Mgt_Unit!$B$5:$B$1018, MATCH(C1532, Mgt_Unit!$C$5:$C$1018, 0)), "")</f>
        <v>jennifer.moore</v>
      </c>
      <c r="C1532" s="87" t="s">
        <v>1043</v>
      </c>
      <c r="D1532" s="65"/>
      <c r="E1532" s="87">
        <v>7</v>
      </c>
      <c r="F1532" s="87" t="s">
        <v>1537</v>
      </c>
      <c r="G1532" s="87" t="s">
        <v>1536</v>
      </c>
      <c r="H1532" s="87" t="s">
        <v>441</v>
      </c>
      <c r="I1532" s="87" t="s">
        <v>1284</v>
      </c>
      <c r="J1532" s="90"/>
      <c r="K1532" s="90">
        <v>45870</v>
      </c>
      <c r="L1532" s="90">
        <v>45876</v>
      </c>
      <c r="M1532" s="93">
        <v>90</v>
      </c>
    </row>
    <row r="1533" spans="2:13" ht="15" customHeight="1" x14ac:dyDescent="0.25">
      <c r="B1533" s="28" t="str">
        <f>IF(ISNUMBER(MATCH(C1533, Mgt_Unit!$C$5:$C$1018, 0)), INDEX(Mgt_Unit!$B$5:$B$1018, MATCH(C1533, Mgt_Unit!$C$5:$C$1018, 0)), "")</f>
        <v>jennifer.moore</v>
      </c>
      <c r="C1533" t="s">
        <v>1044</v>
      </c>
      <c r="D1533" s="65"/>
      <c r="E1533">
        <v>1</v>
      </c>
      <c r="F1533" t="s">
        <v>1537</v>
      </c>
      <c r="G1533" t="s">
        <v>1535</v>
      </c>
      <c r="H1533" t="s">
        <v>441</v>
      </c>
      <c r="I1533" t="s">
        <v>146</v>
      </c>
      <c r="J1533"/>
      <c r="K1533"/>
      <c r="L1533" s="89">
        <v>42139</v>
      </c>
      <c r="M1533" s="31">
        <v>0</v>
      </c>
    </row>
    <row r="1534" spans="2:13" ht="15" customHeight="1" x14ac:dyDescent="0.25">
      <c r="B1534" s="28" t="str">
        <f>IF(ISNUMBER(MATCH(C1534, Mgt_Unit!$C$5:$C$1018, 0)), INDEX(Mgt_Unit!$B$5:$B$1018, MATCH(C1534, Mgt_Unit!$C$5:$C$1018, 0)), "")</f>
        <v>jennifer.moore</v>
      </c>
      <c r="C1534" t="s">
        <v>1044</v>
      </c>
      <c r="D1534" s="65"/>
      <c r="E1534">
        <v>1</v>
      </c>
      <c r="F1534" t="s">
        <v>1537</v>
      </c>
      <c r="G1534" t="s">
        <v>1535</v>
      </c>
      <c r="H1534" t="s">
        <v>48</v>
      </c>
      <c r="I1534" t="s">
        <v>154</v>
      </c>
      <c r="J1534"/>
      <c r="K1534"/>
      <c r="L1534" s="89">
        <v>42139</v>
      </c>
      <c r="M1534" s="31">
        <v>0</v>
      </c>
    </row>
    <row r="1535" spans="2:13" ht="15" customHeight="1" x14ac:dyDescent="0.25">
      <c r="B1535" s="28" t="str">
        <f>IF(ISNUMBER(MATCH(C1535, Mgt_Unit!$C$5:$C$1018, 0)), INDEX(Mgt_Unit!$B$5:$B$1018, MATCH(C1535, Mgt_Unit!$C$5:$C$1018, 0)), "")</f>
        <v>jennifer.moore</v>
      </c>
      <c r="C1535" t="s">
        <v>1044</v>
      </c>
      <c r="D1535" s="65"/>
      <c r="E1535">
        <v>1</v>
      </c>
      <c r="F1535" t="s">
        <v>1537</v>
      </c>
      <c r="G1535" t="s">
        <v>1535</v>
      </c>
      <c r="H1535" t="s">
        <v>442</v>
      </c>
      <c r="I1535" t="s">
        <v>178</v>
      </c>
      <c r="J1535"/>
      <c r="K1535"/>
      <c r="L1535" s="89">
        <v>42139</v>
      </c>
      <c r="M1535" s="31">
        <v>0</v>
      </c>
    </row>
    <row r="1536" spans="2:13" ht="15" customHeight="1" x14ac:dyDescent="0.25">
      <c r="B1536" s="28" t="str">
        <f>IF(ISNUMBER(MATCH(C1536, Mgt_Unit!$C$5:$C$1018, 0)), INDEX(Mgt_Unit!$B$5:$B$1018, MATCH(C1536, Mgt_Unit!$C$5:$C$1018, 0)), "")</f>
        <v>jennifer.moore</v>
      </c>
      <c r="C1536" t="s">
        <v>1044</v>
      </c>
      <c r="D1536" s="65"/>
      <c r="E1536">
        <v>2</v>
      </c>
      <c r="F1536" t="s">
        <v>1538</v>
      </c>
      <c r="G1536" t="s">
        <v>1544</v>
      </c>
      <c r="H1536" t="s">
        <v>49</v>
      </c>
      <c r="I1536" t="s">
        <v>85</v>
      </c>
      <c r="J1536" s="89">
        <v>42139</v>
      </c>
      <c r="K1536" s="89">
        <v>42349</v>
      </c>
      <c r="L1536"/>
      <c r="M1536" s="31">
        <v>0</v>
      </c>
    </row>
    <row r="1537" spans="2:13" ht="15" customHeight="1" x14ac:dyDescent="0.25">
      <c r="B1537" s="28" t="str">
        <f>IF(ISNUMBER(MATCH(C1537, Mgt_Unit!$C$5:$C$1018, 0)), INDEX(Mgt_Unit!$B$5:$B$1018, MATCH(C1537, Mgt_Unit!$C$5:$C$1018, 0)), "")</f>
        <v>jennifer.moore</v>
      </c>
      <c r="C1537" t="s">
        <v>1044</v>
      </c>
      <c r="D1537" s="65"/>
      <c r="E1537">
        <v>3</v>
      </c>
      <c r="F1537" t="s">
        <v>1538</v>
      </c>
      <c r="G1537" t="s">
        <v>1544</v>
      </c>
      <c r="H1537" t="s">
        <v>50</v>
      </c>
      <c r="I1537" t="s">
        <v>87</v>
      </c>
      <c r="J1537" s="89">
        <v>42475</v>
      </c>
      <c r="K1537" s="89">
        <v>42612</v>
      </c>
      <c r="L1537"/>
      <c r="M1537" s="31">
        <v>0</v>
      </c>
    </row>
    <row r="1538" spans="2:13" ht="15" customHeight="1" x14ac:dyDescent="0.25">
      <c r="B1538" s="28" t="str">
        <f>IF(ISNUMBER(MATCH(C1538, Mgt_Unit!$C$5:$C$1018, 0)), INDEX(Mgt_Unit!$B$5:$B$1018, MATCH(C1538, Mgt_Unit!$C$5:$C$1018, 0)), "")</f>
        <v>jennifer.moore</v>
      </c>
      <c r="C1538" t="s">
        <v>1044</v>
      </c>
      <c r="D1538" s="65"/>
      <c r="E1538">
        <v>4</v>
      </c>
      <c r="F1538" t="s">
        <v>1537</v>
      </c>
      <c r="G1538" t="s">
        <v>1535</v>
      </c>
      <c r="H1538" t="s">
        <v>441</v>
      </c>
      <c r="I1538" t="s">
        <v>146</v>
      </c>
      <c r="J1538" s="89">
        <v>42705</v>
      </c>
      <c r="K1538"/>
      <c r="L1538" s="89">
        <v>42824</v>
      </c>
      <c r="M1538" s="31">
        <v>0</v>
      </c>
    </row>
    <row r="1539" spans="2:13" ht="15" customHeight="1" x14ac:dyDescent="0.25">
      <c r="B1539" s="28" t="str">
        <f>IF(ISNUMBER(MATCH(C1539, Mgt_Unit!$C$5:$C$1018, 0)), INDEX(Mgt_Unit!$B$5:$B$1018, MATCH(C1539, Mgt_Unit!$C$5:$C$1018, 0)), "")</f>
        <v>jennifer.moore</v>
      </c>
      <c r="C1539" t="s">
        <v>1044</v>
      </c>
      <c r="D1539" s="65"/>
      <c r="E1539">
        <v>4</v>
      </c>
      <c r="F1539" t="s">
        <v>1537</v>
      </c>
      <c r="G1539" t="s">
        <v>1535</v>
      </c>
      <c r="H1539" t="s">
        <v>48</v>
      </c>
      <c r="I1539" t="s">
        <v>154</v>
      </c>
      <c r="J1539" s="89">
        <v>42705</v>
      </c>
      <c r="K1539"/>
      <c r="L1539" s="89">
        <v>42824</v>
      </c>
      <c r="M1539" s="31">
        <v>0</v>
      </c>
    </row>
    <row r="1540" spans="2:13" ht="15" customHeight="1" x14ac:dyDescent="0.25">
      <c r="B1540" s="28" t="str">
        <f>IF(ISNUMBER(MATCH(C1540, Mgt_Unit!$C$5:$C$1018, 0)), INDEX(Mgt_Unit!$B$5:$B$1018, MATCH(C1540, Mgt_Unit!$C$5:$C$1018, 0)), "")</f>
        <v>jennifer.moore</v>
      </c>
      <c r="C1540" t="s">
        <v>1044</v>
      </c>
      <c r="D1540" s="65"/>
      <c r="E1540">
        <v>4</v>
      </c>
      <c r="F1540" t="s">
        <v>1537</v>
      </c>
      <c r="G1540" t="s">
        <v>1535</v>
      </c>
      <c r="H1540" t="s">
        <v>442</v>
      </c>
      <c r="I1540" t="s">
        <v>178</v>
      </c>
      <c r="J1540" s="89">
        <v>42705</v>
      </c>
      <c r="K1540"/>
      <c r="L1540" s="89">
        <v>42824</v>
      </c>
      <c r="M1540" s="31">
        <v>0</v>
      </c>
    </row>
    <row r="1541" spans="2:13" ht="15" customHeight="1" x14ac:dyDescent="0.25">
      <c r="B1541" s="28" t="str">
        <f>IF(ISNUMBER(MATCH(C1541, Mgt_Unit!$C$5:$C$1018, 0)), INDEX(Mgt_Unit!$B$5:$B$1018, MATCH(C1541, Mgt_Unit!$C$5:$C$1018, 0)), "")</f>
        <v>jennifer.moore</v>
      </c>
      <c r="C1541" t="s">
        <v>1044</v>
      </c>
      <c r="D1541" s="65"/>
      <c r="E1541">
        <v>5</v>
      </c>
      <c r="F1541" t="s">
        <v>1538</v>
      </c>
      <c r="G1541" t="s">
        <v>1544</v>
      </c>
      <c r="H1541" t="s">
        <v>51</v>
      </c>
      <c r="I1541" t="s">
        <v>137</v>
      </c>
      <c r="J1541" s="89">
        <v>42873</v>
      </c>
      <c r="K1541" s="89">
        <v>43069</v>
      </c>
      <c r="L1541"/>
      <c r="M1541" s="31">
        <v>0</v>
      </c>
    </row>
    <row r="1542" spans="2:13" ht="15" customHeight="1" x14ac:dyDescent="0.25">
      <c r="B1542" s="28" t="str">
        <f>IF(ISNUMBER(MATCH(C1542, Mgt_Unit!$C$5:$C$1018, 0)), INDEX(Mgt_Unit!$B$5:$B$1018, MATCH(C1542, Mgt_Unit!$C$5:$C$1018, 0)), "")</f>
        <v>jennifer.moore</v>
      </c>
      <c r="C1542" t="s">
        <v>1044</v>
      </c>
      <c r="D1542" s="65"/>
      <c r="E1542">
        <v>6</v>
      </c>
      <c r="F1542" t="s">
        <v>1537</v>
      </c>
      <c r="G1542" t="s">
        <v>1535</v>
      </c>
      <c r="H1542" t="s">
        <v>48</v>
      </c>
      <c r="I1542" t="s">
        <v>154</v>
      </c>
      <c r="J1542" s="89">
        <v>43070</v>
      </c>
      <c r="K1542"/>
      <c r="L1542" s="89">
        <v>43193</v>
      </c>
      <c r="M1542" s="31">
        <v>0</v>
      </c>
    </row>
    <row r="1543" spans="2:13" ht="15" customHeight="1" x14ac:dyDescent="0.25">
      <c r="B1543" s="28" t="str">
        <f>IF(ISNUMBER(MATCH(C1543, Mgt_Unit!$C$5:$C$1018, 0)), INDEX(Mgt_Unit!$B$5:$B$1018, MATCH(C1543, Mgt_Unit!$C$5:$C$1018, 0)), "")</f>
        <v>jennifer.moore</v>
      </c>
      <c r="C1543" t="s">
        <v>1044</v>
      </c>
      <c r="D1543" s="65"/>
      <c r="E1543">
        <v>6</v>
      </c>
      <c r="F1543" t="s">
        <v>1537</v>
      </c>
      <c r="G1543" t="s">
        <v>1535</v>
      </c>
      <c r="H1543" t="s">
        <v>442</v>
      </c>
      <c r="I1543" t="s">
        <v>178</v>
      </c>
      <c r="J1543" s="89">
        <v>43070</v>
      </c>
      <c r="K1543"/>
      <c r="L1543" s="89">
        <v>43193</v>
      </c>
      <c r="M1543" s="31">
        <v>0</v>
      </c>
    </row>
    <row r="1544" spans="2:13" ht="15" customHeight="1" x14ac:dyDescent="0.25">
      <c r="B1544" s="28" t="str">
        <f>IF(ISNUMBER(MATCH(C1544, Mgt_Unit!$C$5:$C$1018, 0)), INDEX(Mgt_Unit!$B$5:$B$1018, MATCH(C1544, Mgt_Unit!$C$5:$C$1018, 0)), "")</f>
        <v>jennifer.moore</v>
      </c>
      <c r="C1544" t="s">
        <v>1044</v>
      </c>
      <c r="D1544" s="65"/>
      <c r="E1544">
        <v>6</v>
      </c>
      <c r="F1544" t="s">
        <v>1537</v>
      </c>
      <c r="G1544" t="s">
        <v>1535</v>
      </c>
      <c r="H1544" t="s">
        <v>441</v>
      </c>
      <c r="I1544" t="s">
        <v>146</v>
      </c>
      <c r="J1544" s="89">
        <v>43070</v>
      </c>
      <c r="K1544"/>
      <c r="L1544" s="89">
        <v>43193</v>
      </c>
      <c r="M1544" s="31">
        <v>0</v>
      </c>
    </row>
    <row r="1545" spans="2:13" ht="15" customHeight="1" x14ac:dyDescent="0.25">
      <c r="B1545" s="28" t="str">
        <f>IF(ISNUMBER(MATCH(C1545, Mgt_Unit!$C$5:$C$1018, 0)), INDEX(Mgt_Unit!$B$5:$B$1018, MATCH(C1545, Mgt_Unit!$C$5:$C$1018, 0)), "")</f>
        <v>jennifer.moore</v>
      </c>
      <c r="C1545" t="s">
        <v>1044</v>
      </c>
      <c r="D1545" s="65"/>
      <c r="E1545">
        <v>7</v>
      </c>
      <c r="F1545" t="s">
        <v>1538</v>
      </c>
      <c r="G1545" t="s">
        <v>1544</v>
      </c>
      <c r="H1545" t="s">
        <v>50</v>
      </c>
      <c r="I1545" t="s">
        <v>87</v>
      </c>
      <c r="J1545" s="89">
        <v>43202</v>
      </c>
      <c r="K1545" s="89">
        <v>43335</v>
      </c>
      <c r="L1545"/>
      <c r="M1545" s="31">
        <v>0</v>
      </c>
    </row>
    <row r="1546" spans="2:13" ht="15" customHeight="1" x14ac:dyDescent="0.25">
      <c r="B1546" s="28" t="str">
        <f>IF(ISNUMBER(MATCH(C1546, Mgt_Unit!$C$5:$C$1018, 0)), INDEX(Mgt_Unit!$B$5:$B$1018, MATCH(C1546, Mgt_Unit!$C$5:$C$1018, 0)), "")</f>
        <v>jennifer.moore</v>
      </c>
      <c r="C1546" t="s">
        <v>1044</v>
      </c>
      <c r="D1546" s="65"/>
      <c r="E1546">
        <v>8</v>
      </c>
      <c r="F1546" t="s">
        <v>1537</v>
      </c>
      <c r="G1546" t="s">
        <v>1535</v>
      </c>
      <c r="H1546" t="s">
        <v>441</v>
      </c>
      <c r="I1546" t="s">
        <v>146</v>
      </c>
      <c r="J1546" s="89">
        <v>43497</v>
      </c>
      <c r="K1546"/>
      <c r="L1546" s="89">
        <v>43616</v>
      </c>
      <c r="M1546" s="31">
        <v>0</v>
      </c>
    </row>
    <row r="1547" spans="2:13" ht="15" customHeight="1" x14ac:dyDescent="0.25">
      <c r="B1547" s="28" t="str">
        <f>IF(ISNUMBER(MATCH(C1547, Mgt_Unit!$C$5:$C$1018, 0)), INDEX(Mgt_Unit!$B$5:$B$1018, MATCH(C1547, Mgt_Unit!$C$5:$C$1018, 0)), "")</f>
        <v>jennifer.moore</v>
      </c>
      <c r="C1547" t="s">
        <v>1044</v>
      </c>
      <c r="D1547" s="65"/>
      <c r="E1547">
        <v>8</v>
      </c>
      <c r="F1547" t="s">
        <v>1537</v>
      </c>
      <c r="G1547" t="s">
        <v>1535</v>
      </c>
      <c r="H1547" t="s">
        <v>48</v>
      </c>
      <c r="I1547" t="s">
        <v>154</v>
      </c>
      <c r="J1547" s="89">
        <v>43497</v>
      </c>
      <c r="K1547"/>
      <c r="L1547" s="89">
        <v>43616</v>
      </c>
      <c r="M1547" s="31">
        <v>0</v>
      </c>
    </row>
    <row r="1548" spans="2:13" ht="15" customHeight="1" x14ac:dyDescent="0.25">
      <c r="B1548" s="28" t="str">
        <f>IF(ISNUMBER(MATCH(C1548, Mgt_Unit!$C$5:$C$1018, 0)), INDEX(Mgt_Unit!$B$5:$B$1018, MATCH(C1548, Mgt_Unit!$C$5:$C$1018, 0)), "")</f>
        <v>jennifer.moore</v>
      </c>
      <c r="C1548" t="s">
        <v>1044</v>
      </c>
      <c r="D1548" s="65"/>
      <c r="E1548">
        <v>8</v>
      </c>
      <c r="F1548" t="s">
        <v>1537</v>
      </c>
      <c r="G1548" t="s">
        <v>1535</v>
      </c>
      <c r="H1548" t="s">
        <v>442</v>
      </c>
      <c r="I1548" t="s">
        <v>178</v>
      </c>
      <c r="J1548" s="89">
        <v>43497</v>
      </c>
      <c r="K1548"/>
      <c r="L1548" s="89">
        <v>43616</v>
      </c>
      <c r="M1548" s="31">
        <v>0</v>
      </c>
    </row>
    <row r="1549" spans="2:13" ht="15" customHeight="1" x14ac:dyDescent="0.25">
      <c r="B1549" s="28" t="str">
        <f>IF(ISNUMBER(MATCH(C1549, Mgt_Unit!$C$5:$C$1018, 0)), INDEX(Mgt_Unit!$B$5:$B$1018, MATCH(C1549, Mgt_Unit!$C$5:$C$1018, 0)), "")</f>
        <v>jennifer.moore</v>
      </c>
      <c r="C1549" t="s">
        <v>1044</v>
      </c>
      <c r="D1549" s="65"/>
      <c r="E1549">
        <v>9</v>
      </c>
      <c r="F1549" t="s">
        <v>1538</v>
      </c>
      <c r="G1549" t="s">
        <v>1544</v>
      </c>
      <c r="H1549" t="s">
        <v>51</v>
      </c>
      <c r="I1549" t="s">
        <v>137</v>
      </c>
      <c r="J1549" s="89">
        <v>43636</v>
      </c>
      <c r="K1549" s="89">
        <v>43802</v>
      </c>
      <c r="L1549"/>
      <c r="M1549" s="31">
        <v>0</v>
      </c>
    </row>
    <row r="1550" spans="2:13" ht="15" customHeight="1" x14ac:dyDescent="0.25">
      <c r="B1550" s="28" t="str">
        <f>IF(ISNUMBER(MATCH(C1550, Mgt_Unit!$C$5:$C$1018, 0)), INDEX(Mgt_Unit!$B$5:$B$1018, MATCH(C1550, Mgt_Unit!$C$5:$C$1018, 0)), "")</f>
        <v>jennifer.moore</v>
      </c>
      <c r="C1550" t="s">
        <v>1044</v>
      </c>
      <c r="D1550" s="65"/>
      <c r="E1550">
        <v>10</v>
      </c>
      <c r="F1550" t="s">
        <v>1537</v>
      </c>
      <c r="G1550" t="s">
        <v>1535</v>
      </c>
      <c r="H1550" t="s">
        <v>48</v>
      </c>
      <c r="I1550" t="s">
        <v>154</v>
      </c>
      <c r="J1550" s="89">
        <v>43808</v>
      </c>
      <c r="K1550"/>
      <c r="L1550"/>
      <c r="M1550" s="31"/>
    </row>
    <row r="1551" spans="2:13" ht="15" customHeight="1" x14ac:dyDescent="0.25">
      <c r="B1551" s="28" t="str">
        <f>IF(ISNUMBER(MATCH(C1551, Mgt_Unit!$C$5:$C$1018, 0)), INDEX(Mgt_Unit!$B$5:$B$1018, MATCH(C1551, Mgt_Unit!$C$5:$C$1018, 0)), "")</f>
        <v>jennifer.moore</v>
      </c>
      <c r="C1551" t="s">
        <v>1044</v>
      </c>
      <c r="D1551" s="65"/>
      <c r="E1551">
        <v>10</v>
      </c>
      <c r="F1551" t="s">
        <v>1537</v>
      </c>
      <c r="G1551" t="s">
        <v>1535</v>
      </c>
      <c r="H1551" t="s">
        <v>442</v>
      </c>
      <c r="I1551" t="s">
        <v>178</v>
      </c>
      <c r="J1551" s="89">
        <v>43808</v>
      </c>
      <c r="K1551"/>
      <c r="L1551"/>
      <c r="M1551" s="31"/>
    </row>
    <row r="1552" spans="2:13" ht="15" customHeight="1" x14ac:dyDescent="0.25">
      <c r="B1552" s="28" t="str">
        <f>IF(ISNUMBER(MATCH(C1552, Mgt_Unit!$C$5:$C$1018, 0)), INDEX(Mgt_Unit!$B$5:$B$1018, MATCH(C1552, Mgt_Unit!$C$5:$C$1018, 0)), "")</f>
        <v>jennifer.moore</v>
      </c>
      <c r="C1552" s="87" t="s">
        <v>1044</v>
      </c>
      <c r="D1552" s="65"/>
      <c r="E1552" s="87">
        <v>10</v>
      </c>
      <c r="F1552" s="87" t="s">
        <v>1537</v>
      </c>
      <c r="G1552" s="87" t="s">
        <v>1535</v>
      </c>
      <c r="H1552" s="87" t="s">
        <v>441</v>
      </c>
      <c r="I1552" s="87" t="s">
        <v>146</v>
      </c>
      <c r="J1552" s="90">
        <v>43808</v>
      </c>
      <c r="K1552" s="87"/>
      <c r="L1552" s="87"/>
      <c r="M1552" s="93"/>
    </row>
    <row r="1553" spans="2:13" ht="15" customHeight="1" x14ac:dyDescent="0.25">
      <c r="B1553" s="28" t="str">
        <f>IF(ISNUMBER(MATCH(C1553, Mgt_Unit!$C$5:$C$1018, 0)), INDEX(Mgt_Unit!$B$5:$B$1018, MATCH(C1553, Mgt_Unit!$C$5:$C$1018, 0)), "")</f>
        <v>jennifer.moore</v>
      </c>
      <c r="C1553" t="s">
        <v>1045</v>
      </c>
      <c r="D1553" s="65"/>
      <c r="E1553">
        <v>1</v>
      </c>
      <c r="F1553" t="s">
        <v>1537</v>
      </c>
      <c r="G1553" t="s">
        <v>1535</v>
      </c>
      <c r="H1553" t="s">
        <v>441</v>
      </c>
      <c r="I1553" t="s">
        <v>146</v>
      </c>
      <c r="J1553"/>
      <c r="K1553"/>
      <c r="L1553" s="89">
        <v>42139</v>
      </c>
      <c r="M1553" s="31">
        <v>0</v>
      </c>
    </row>
    <row r="1554" spans="2:13" ht="15" customHeight="1" x14ac:dyDescent="0.25">
      <c r="B1554" s="28" t="str">
        <f>IF(ISNUMBER(MATCH(C1554, Mgt_Unit!$C$5:$C$1018, 0)), INDEX(Mgt_Unit!$B$5:$B$1018, MATCH(C1554, Mgt_Unit!$C$5:$C$1018, 0)), "")</f>
        <v>jennifer.moore</v>
      </c>
      <c r="C1554" t="s">
        <v>1045</v>
      </c>
      <c r="D1554" s="65"/>
      <c r="E1554">
        <v>1</v>
      </c>
      <c r="F1554" t="s">
        <v>1537</v>
      </c>
      <c r="G1554" t="s">
        <v>1535</v>
      </c>
      <c r="H1554" t="s">
        <v>48</v>
      </c>
      <c r="I1554" t="s">
        <v>154</v>
      </c>
      <c r="J1554"/>
      <c r="K1554"/>
      <c r="L1554" s="89">
        <v>42139</v>
      </c>
      <c r="M1554" s="31">
        <v>0</v>
      </c>
    </row>
    <row r="1555" spans="2:13" ht="15" customHeight="1" x14ac:dyDescent="0.25">
      <c r="B1555" s="28" t="str">
        <f>IF(ISNUMBER(MATCH(C1555, Mgt_Unit!$C$5:$C$1018, 0)), INDEX(Mgt_Unit!$B$5:$B$1018, MATCH(C1555, Mgt_Unit!$C$5:$C$1018, 0)), "")</f>
        <v>jennifer.moore</v>
      </c>
      <c r="C1555" t="s">
        <v>1045</v>
      </c>
      <c r="D1555" s="65"/>
      <c r="E1555">
        <v>1</v>
      </c>
      <c r="F1555" t="s">
        <v>1537</v>
      </c>
      <c r="G1555" t="s">
        <v>1535</v>
      </c>
      <c r="H1555" t="s">
        <v>442</v>
      </c>
      <c r="I1555" t="s">
        <v>178</v>
      </c>
      <c r="J1555"/>
      <c r="K1555"/>
      <c r="L1555" s="89">
        <v>42139</v>
      </c>
      <c r="M1555" s="31">
        <v>0</v>
      </c>
    </row>
    <row r="1556" spans="2:13" ht="15" customHeight="1" x14ac:dyDescent="0.25">
      <c r="B1556" s="28" t="str">
        <f>IF(ISNUMBER(MATCH(C1556, Mgt_Unit!$C$5:$C$1018, 0)), INDEX(Mgt_Unit!$B$5:$B$1018, MATCH(C1556, Mgt_Unit!$C$5:$C$1018, 0)), "")</f>
        <v>jennifer.moore</v>
      </c>
      <c r="C1556" t="s">
        <v>1045</v>
      </c>
      <c r="D1556" s="65"/>
      <c r="E1556">
        <v>2</v>
      </c>
      <c r="F1556" t="s">
        <v>1538</v>
      </c>
      <c r="G1556" t="s">
        <v>1544</v>
      </c>
      <c r="H1556" t="s">
        <v>49</v>
      </c>
      <c r="I1556" t="s">
        <v>85</v>
      </c>
      <c r="J1556" s="89">
        <v>42139</v>
      </c>
      <c r="K1556" s="89">
        <v>42349</v>
      </c>
      <c r="L1556"/>
      <c r="M1556" s="31">
        <v>0</v>
      </c>
    </row>
    <row r="1557" spans="2:13" ht="15" customHeight="1" x14ac:dyDescent="0.25">
      <c r="B1557" s="28" t="str">
        <f>IF(ISNUMBER(MATCH(C1557, Mgt_Unit!$C$5:$C$1018, 0)), INDEX(Mgt_Unit!$B$5:$B$1018, MATCH(C1557, Mgt_Unit!$C$5:$C$1018, 0)), "")</f>
        <v>jennifer.moore</v>
      </c>
      <c r="C1557" t="s">
        <v>1045</v>
      </c>
      <c r="D1557" s="65"/>
      <c r="E1557">
        <v>3</v>
      </c>
      <c r="F1557" t="s">
        <v>1538</v>
      </c>
      <c r="G1557" t="s">
        <v>1544</v>
      </c>
      <c r="H1557" t="s">
        <v>50</v>
      </c>
      <c r="I1557" t="s">
        <v>87</v>
      </c>
      <c r="J1557" s="89">
        <v>42475</v>
      </c>
      <c r="K1557" s="89">
        <v>42612</v>
      </c>
      <c r="L1557"/>
      <c r="M1557" s="31">
        <v>0</v>
      </c>
    </row>
    <row r="1558" spans="2:13" ht="15" customHeight="1" x14ac:dyDescent="0.25">
      <c r="B1558" s="28" t="str">
        <f>IF(ISNUMBER(MATCH(C1558, Mgt_Unit!$C$5:$C$1018, 0)), INDEX(Mgt_Unit!$B$5:$B$1018, MATCH(C1558, Mgt_Unit!$C$5:$C$1018, 0)), "")</f>
        <v>jennifer.moore</v>
      </c>
      <c r="C1558" t="s">
        <v>1045</v>
      </c>
      <c r="D1558" s="65"/>
      <c r="E1558">
        <v>4</v>
      </c>
      <c r="F1558" t="s">
        <v>1537</v>
      </c>
      <c r="G1558" t="s">
        <v>1535</v>
      </c>
      <c r="H1558" t="s">
        <v>48</v>
      </c>
      <c r="I1558" t="s">
        <v>154</v>
      </c>
      <c r="J1558" s="89">
        <v>42705</v>
      </c>
      <c r="K1558"/>
      <c r="L1558" s="89">
        <v>42824</v>
      </c>
      <c r="M1558" s="31">
        <v>0</v>
      </c>
    </row>
    <row r="1559" spans="2:13" ht="15" customHeight="1" x14ac:dyDescent="0.25">
      <c r="B1559" s="28" t="str">
        <f>IF(ISNUMBER(MATCH(C1559, Mgt_Unit!$C$5:$C$1018, 0)), INDEX(Mgt_Unit!$B$5:$B$1018, MATCH(C1559, Mgt_Unit!$C$5:$C$1018, 0)), "")</f>
        <v>jennifer.moore</v>
      </c>
      <c r="C1559" t="s">
        <v>1045</v>
      </c>
      <c r="D1559" s="65"/>
      <c r="E1559">
        <v>4</v>
      </c>
      <c r="F1559" t="s">
        <v>1537</v>
      </c>
      <c r="G1559" t="s">
        <v>1535</v>
      </c>
      <c r="H1559" t="s">
        <v>442</v>
      </c>
      <c r="I1559" t="s">
        <v>178</v>
      </c>
      <c r="J1559" s="89">
        <v>42705</v>
      </c>
      <c r="K1559"/>
      <c r="L1559" s="89">
        <v>42824</v>
      </c>
      <c r="M1559" s="31">
        <v>0</v>
      </c>
    </row>
    <row r="1560" spans="2:13" ht="15" customHeight="1" x14ac:dyDescent="0.25">
      <c r="B1560" s="28" t="str">
        <f>IF(ISNUMBER(MATCH(C1560, Mgt_Unit!$C$5:$C$1018, 0)), INDEX(Mgt_Unit!$B$5:$B$1018, MATCH(C1560, Mgt_Unit!$C$5:$C$1018, 0)), "")</f>
        <v>jennifer.moore</v>
      </c>
      <c r="C1560" t="s">
        <v>1045</v>
      </c>
      <c r="D1560" s="65"/>
      <c r="E1560">
        <v>4</v>
      </c>
      <c r="F1560" t="s">
        <v>1537</v>
      </c>
      <c r="G1560" t="s">
        <v>1535</v>
      </c>
      <c r="H1560" t="s">
        <v>441</v>
      </c>
      <c r="I1560" t="s">
        <v>146</v>
      </c>
      <c r="J1560" s="89">
        <v>42705</v>
      </c>
      <c r="K1560"/>
      <c r="L1560" s="89">
        <v>42824</v>
      </c>
      <c r="M1560" s="31">
        <v>0</v>
      </c>
    </row>
    <row r="1561" spans="2:13" ht="15" customHeight="1" x14ac:dyDescent="0.25">
      <c r="B1561" s="28" t="str">
        <f>IF(ISNUMBER(MATCH(C1561, Mgt_Unit!$C$5:$C$1018, 0)), INDEX(Mgt_Unit!$B$5:$B$1018, MATCH(C1561, Mgt_Unit!$C$5:$C$1018, 0)), "")</f>
        <v>jennifer.moore</v>
      </c>
      <c r="C1561" t="s">
        <v>1045</v>
      </c>
      <c r="D1561" s="65"/>
      <c r="E1561">
        <v>5</v>
      </c>
      <c r="F1561" t="s">
        <v>1538</v>
      </c>
      <c r="G1561" t="s">
        <v>1544</v>
      </c>
      <c r="H1561" t="s">
        <v>51</v>
      </c>
      <c r="I1561" t="s">
        <v>137</v>
      </c>
      <c r="J1561" s="89">
        <v>42873</v>
      </c>
      <c r="K1561" s="89">
        <v>43069</v>
      </c>
      <c r="L1561"/>
      <c r="M1561" s="31">
        <v>0</v>
      </c>
    </row>
    <row r="1562" spans="2:13" ht="15" customHeight="1" x14ac:dyDescent="0.25">
      <c r="B1562" s="28" t="str">
        <f>IF(ISNUMBER(MATCH(C1562, Mgt_Unit!$C$5:$C$1018, 0)), INDEX(Mgt_Unit!$B$5:$B$1018, MATCH(C1562, Mgt_Unit!$C$5:$C$1018, 0)), "")</f>
        <v>jennifer.moore</v>
      </c>
      <c r="C1562" t="s">
        <v>1045</v>
      </c>
      <c r="D1562" s="65"/>
      <c r="E1562">
        <v>6</v>
      </c>
      <c r="F1562" t="s">
        <v>1537</v>
      </c>
      <c r="G1562" t="s">
        <v>1535</v>
      </c>
      <c r="H1562" t="s">
        <v>48</v>
      </c>
      <c r="I1562" t="s">
        <v>154</v>
      </c>
      <c r="J1562" s="89">
        <v>43070</v>
      </c>
      <c r="K1562"/>
      <c r="L1562" s="89">
        <v>43193</v>
      </c>
      <c r="M1562" s="31">
        <v>0</v>
      </c>
    </row>
    <row r="1563" spans="2:13" ht="15" customHeight="1" x14ac:dyDescent="0.25">
      <c r="B1563" s="28" t="str">
        <f>IF(ISNUMBER(MATCH(C1563, Mgt_Unit!$C$5:$C$1018, 0)), INDEX(Mgt_Unit!$B$5:$B$1018, MATCH(C1563, Mgt_Unit!$C$5:$C$1018, 0)), "")</f>
        <v>jennifer.moore</v>
      </c>
      <c r="C1563" t="s">
        <v>1045</v>
      </c>
      <c r="D1563" s="65"/>
      <c r="E1563">
        <v>6</v>
      </c>
      <c r="F1563" t="s">
        <v>1537</v>
      </c>
      <c r="G1563" t="s">
        <v>1535</v>
      </c>
      <c r="H1563" t="s">
        <v>442</v>
      </c>
      <c r="I1563" t="s">
        <v>178</v>
      </c>
      <c r="J1563" s="89">
        <v>43070</v>
      </c>
      <c r="K1563"/>
      <c r="L1563" s="89">
        <v>43193</v>
      </c>
      <c r="M1563" s="31">
        <v>0</v>
      </c>
    </row>
    <row r="1564" spans="2:13" ht="15" customHeight="1" x14ac:dyDescent="0.25">
      <c r="B1564" s="28" t="str">
        <f>IF(ISNUMBER(MATCH(C1564, Mgt_Unit!$C$5:$C$1018, 0)), INDEX(Mgt_Unit!$B$5:$B$1018, MATCH(C1564, Mgt_Unit!$C$5:$C$1018, 0)), "")</f>
        <v>jennifer.moore</v>
      </c>
      <c r="C1564" t="s">
        <v>1045</v>
      </c>
      <c r="D1564" s="65"/>
      <c r="E1564">
        <v>6</v>
      </c>
      <c r="F1564" t="s">
        <v>1537</v>
      </c>
      <c r="G1564" t="s">
        <v>1535</v>
      </c>
      <c r="H1564" t="s">
        <v>441</v>
      </c>
      <c r="I1564" t="s">
        <v>146</v>
      </c>
      <c r="J1564" s="89">
        <v>43070</v>
      </c>
      <c r="K1564"/>
      <c r="L1564" s="89">
        <v>43193</v>
      </c>
      <c r="M1564" s="31">
        <v>0</v>
      </c>
    </row>
    <row r="1565" spans="2:13" ht="15" customHeight="1" x14ac:dyDescent="0.25">
      <c r="B1565" s="28" t="str">
        <f>IF(ISNUMBER(MATCH(C1565, Mgt_Unit!$C$5:$C$1018, 0)), INDEX(Mgt_Unit!$B$5:$B$1018, MATCH(C1565, Mgt_Unit!$C$5:$C$1018, 0)), "")</f>
        <v>jennifer.moore</v>
      </c>
      <c r="C1565" t="s">
        <v>1045</v>
      </c>
      <c r="D1565" s="65"/>
      <c r="E1565">
        <v>7</v>
      </c>
      <c r="F1565" t="s">
        <v>1538</v>
      </c>
      <c r="G1565" t="s">
        <v>1544</v>
      </c>
      <c r="H1565" t="s">
        <v>50</v>
      </c>
      <c r="I1565" t="s">
        <v>87</v>
      </c>
      <c r="J1565" s="89">
        <v>43202</v>
      </c>
      <c r="K1565" s="89">
        <v>43335</v>
      </c>
      <c r="L1565"/>
      <c r="M1565" s="31">
        <v>0</v>
      </c>
    </row>
    <row r="1566" spans="2:13" ht="15" customHeight="1" x14ac:dyDescent="0.25">
      <c r="B1566" s="28" t="str">
        <f>IF(ISNUMBER(MATCH(C1566, Mgt_Unit!$C$5:$C$1018, 0)), INDEX(Mgt_Unit!$B$5:$B$1018, MATCH(C1566, Mgt_Unit!$C$5:$C$1018, 0)), "")</f>
        <v>jennifer.moore</v>
      </c>
      <c r="C1566" t="s">
        <v>1045</v>
      </c>
      <c r="D1566" s="65"/>
      <c r="E1566">
        <v>8</v>
      </c>
      <c r="F1566" t="s">
        <v>1537</v>
      </c>
      <c r="G1566" t="s">
        <v>1535</v>
      </c>
      <c r="H1566" t="s">
        <v>48</v>
      </c>
      <c r="I1566" t="s">
        <v>154</v>
      </c>
      <c r="J1566" s="89">
        <v>43497</v>
      </c>
      <c r="K1566"/>
      <c r="L1566" s="89">
        <v>43616</v>
      </c>
      <c r="M1566" s="31">
        <v>0</v>
      </c>
    </row>
    <row r="1567" spans="2:13" ht="15" customHeight="1" x14ac:dyDescent="0.25">
      <c r="B1567" s="28" t="str">
        <f>IF(ISNUMBER(MATCH(C1567, Mgt_Unit!$C$5:$C$1018, 0)), INDEX(Mgt_Unit!$B$5:$B$1018, MATCH(C1567, Mgt_Unit!$C$5:$C$1018, 0)), "")</f>
        <v>jennifer.moore</v>
      </c>
      <c r="C1567" t="s">
        <v>1045</v>
      </c>
      <c r="D1567" s="65"/>
      <c r="E1567">
        <v>8</v>
      </c>
      <c r="F1567" t="s">
        <v>1537</v>
      </c>
      <c r="G1567" t="s">
        <v>1535</v>
      </c>
      <c r="H1567" t="s">
        <v>441</v>
      </c>
      <c r="I1567" t="s">
        <v>146</v>
      </c>
      <c r="J1567" s="89">
        <v>43497</v>
      </c>
      <c r="K1567"/>
      <c r="L1567" s="89">
        <v>43616</v>
      </c>
      <c r="M1567" s="31">
        <v>0</v>
      </c>
    </row>
    <row r="1568" spans="2:13" ht="15" customHeight="1" x14ac:dyDescent="0.25">
      <c r="B1568" s="28" t="str">
        <f>IF(ISNUMBER(MATCH(C1568, Mgt_Unit!$C$5:$C$1018, 0)), INDEX(Mgt_Unit!$B$5:$B$1018, MATCH(C1568, Mgt_Unit!$C$5:$C$1018, 0)), "")</f>
        <v>jennifer.moore</v>
      </c>
      <c r="C1568" t="s">
        <v>1045</v>
      </c>
      <c r="D1568" s="65"/>
      <c r="E1568">
        <v>8</v>
      </c>
      <c r="F1568" t="s">
        <v>1537</v>
      </c>
      <c r="G1568" t="s">
        <v>1535</v>
      </c>
      <c r="H1568" t="s">
        <v>442</v>
      </c>
      <c r="I1568" t="s">
        <v>178</v>
      </c>
      <c r="J1568" s="89">
        <v>43497</v>
      </c>
      <c r="K1568"/>
      <c r="L1568" s="89">
        <v>43616</v>
      </c>
      <c r="M1568" s="31">
        <v>0</v>
      </c>
    </row>
    <row r="1569" spans="2:13" ht="15" customHeight="1" x14ac:dyDescent="0.25">
      <c r="B1569" s="28" t="str">
        <f>IF(ISNUMBER(MATCH(C1569, Mgt_Unit!$C$5:$C$1018, 0)), INDEX(Mgt_Unit!$B$5:$B$1018, MATCH(C1569, Mgt_Unit!$C$5:$C$1018, 0)), "")</f>
        <v>jennifer.moore</v>
      </c>
      <c r="C1569" t="s">
        <v>1045</v>
      </c>
      <c r="D1569" s="65"/>
      <c r="E1569">
        <v>9</v>
      </c>
      <c r="F1569" t="s">
        <v>1538</v>
      </c>
      <c r="G1569" t="s">
        <v>1544</v>
      </c>
      <c r="H1569" t="s">
        <v>51</v>
      </c>
      <c r="I1569" t="s">
        <v>137</v>
      </c>
      <c r="J1569" s="89">
        <v>43636</v>
      </c>
      <c r="K1569" s="89">
        <v>43802</v>
      </c>
      <c r="L1569"/>
      <c r="M1569" s="31">
        <v>0</v>
      </c>
    </row>
    <row r="1570" spans="2:13" ht="15" customHeight="1" x14ac:dyDescent="0.25">
      <c r="B1570" s="28" t="str">
        <f>IF(ISNUMBER(MATCH(C1570, Mgt_Unit!$C$5:$C$1018, 0)), INDEX(Mgt_Unit!$B$5:$B$1018, MATCH(C1570, Mgt_Unit!$C$5:$C$1018, 0)), "")</f>
        <v>jennifer.moore</v>
      </c>
      <c r="C1570" t="s">
        <v>1045</v>
      </c>
      <c r="D1570" s="65"/>
      <c r="E1570">
        <v>10</v>
      </c>
      <c r="F1570" t="s">
        <v>1537</v>
      </c>
      <c r="G1570" t="s">
        <v>1535</v>
      </c>
      <c r="H1570" t="s">
        <v>442</v>
      </c>
      <c r="I1570" t="s">
        <v>178</v>
      </c>
      <c r="J1570" s="89">
        <v>43808</v>
      </c>
      <c r="K1570"/>
      <c r="L1570" s="89"/>
      <c r="M1570" s="31"/>
    </row>
    <row r="1571" spans="2:13" ht="15" customHeight="1" x14ac:dyDescent="0.25">
      <c r="B1571" s="28" t="str">
        <f>IF(ISNUMBER(MATCH(C1571, Mgt_Unit!$C$5:$C$1018, 0)), INDEX(Mgt_Unit!$B$5:$B$1018, MATCH(C1571, Mgt_Unit!$C$5:$C$1018, 0)), "")</f>
        <v>jennifer.moore</v>
      </c>
      <c r="C1571" t="s">
        <v>1045</v>
      </c>
      <c r="D1571" s="65"/>
      <c r="E1571">
        <v>10</v>
      </c>
      <c r="F1571" t="s">
        <v>1537</v>
      </c>
      <c r="G1571" t="s">
        <v>1535</v>
      </c>
      <c r="H1571" t="s">
        <v>441</v>
      </c>
      <c r="I1571" t="s">
        <v>146</v>
      </c>
      <c r="J1571" s="89">
        <v>43808</v>
      </c>
      <c r="K1571"/>
      <c r="L1571" s="89"/>
      <c r="M1571" s="31"/>
    </row>
    <row r="1572" spans="2:13" ht="15" customHeight="1" x14ac:dyDescent="0.25">
      <c r="B1572" s="28" t="str">
        <f>IF(ISNUMBER(MATCH(C1572, Mgt_Unit!$C$5:$C$1018, 0)), INDEX(Mgt_Unit!$B$5:$B$1018, MATCH(C1572, Mgt_Unit!$C$5:$C$1018, 0)), "")</f>
        <v>jennifer.moore</v>
      </c>
      <c r="C1572" s="87" t="s">
        <v>1045</v>
      </c>
      <c r="D1572" s="65"/>
      <c r="E1572" s="87">
        <v>10</v>
      </c>
      <c r="F1572" s="87" t="s">
        <v>1537</v>
      </c>
      <c r="G1572" s="87" t="s">
        <v>1535</v>
      </c>
      <c r="H1572" s="87" t="s">
        <v>48</v>
      </c>
      <c r="I1572" s="87" t="s">
        <v>154</v>
      </c>
      <c r="J1572" s="90">
        <v>43808</v>
      </c>
      <c r="K1572" s="87"/>
      <c r="L1572" s="90"/>
      <c r="M1572" s="93"/>
    </row>
    <row r="1573" spans="2:13" ht="15" customHeight="1" x14ac:dyDescent="0.25">
      <c r="B1573" s="28" t="str">
        <f>IF(ISNUMBER(MATCH(C1573, Mgt_Unit!$C$5:$C$1018, 0)), INDEX(Mgt_Unit!$B$5:$B$1018, MATCH(C1573, Mgt_Unit!$C$5:$C$1018, 0)), "")</f>
        <v>jennifer.moore</v>
      </c>
      <c r="C1573" t="s">
        <v>1046</v>
      </c>
      <c r="D1573" s="65"/>
      <c r="E1573">
        <v>1</v>
      </c>
      <c r="F1573" t="s">
        <v>1538</v>
      </c>
      <c r="G1573" t="s">
        <v>1535</v>
      </c>
      <c r="H1573" t="s">
        <v>441</v>
      </c>
      <c r="I1573" s="18" t="s">
        <v>1541</v>
      </c>
      <c r="J1573"/>
      <c r="K1573" s="89"/>
      <c r="L1573" s="89">
        <v>43242</v>
      </c>
      <c r="M1573" s="31">
        <v>0</v>
      </c>
    </row>
    <row r="1574" spans="2:13" ht="15" customHeight="1" x14ac:dyDescent="0.25">
      <c r="B1574" s="28" t="str">
        <f>IF(ISNUMBER(MATCH(C1574, Mgt_Unit!$C$5:$C$1018, 0)), INDEX(Mgt_Unit!$B$5:$B$1018, MATCH(C1574, Mgt_Unit!$C$5:$C$1018, 0)), "")</f>
        <v>jennifer.moore</v>
      </c>
      <c r="C1574" t="s">
        <v>1046</v>
      </c>
      <c r="D1574" s="65"/>
      <c r="E1574">
        <v>2</v>
      </c>
      <c r="F1574" t="s">
        <v>1538</v>
      </c>
      <c r="G1574" t="s">
        <v>1544</v>
      </c>
      <c r="H1574" t="s">
        <v>51</v>
      </c>
      <c r="I1574" t="s">
        <v>137</v>
      </c>
      <c r="J1574" s="89">
        <v>43247</v>
      </c>
      <c r="K1574" s="89">
        <v>43390</v>
      </c>
      <c r="L1574"/>
      <c r="M1574" s="31">
        <v>0</v>
      </c>
    </row>
    <row r="1575" spans="2:13" ht="15" customHeight="1" x14ac:dyDescent="0.25">
      <c r="B1575" s="28" t="str">
        <f>IF(ISNUMBER(MATCH(C1575, Mgt_Unit!$C$5:$C$1018, 0)), INDEX(Mgt_Unit!$B$5:$B$1018, MATCH(C1575, Mgt_Unit!$C$5:$C$1018, 0)), "")</f>
        <v>jennifer.moore</v>
      </c>
      <c r="C1575" t="s">
        <v>1046</v>
      </c>
      <c r="D1575" s="65"/>
      <c r="E1575">
        <v>3</v>
      </c>
      <c r="F1575" t="s">
        <v>1537</v>
      </c>
      <c r="G1575" t="s">
        <v>1535</v>
      </c>
      <c r="H1575" t="s">
        <v>441</v>
      </c>
      <c r="I1575" t="s">
        <v>88</v>
      </c>
      <c r="J1575" s="89">
        <v>43392</v>
      </c>
      <c r="K1575"/>
      <c r="L1575" s="89">
        <v>43619</v>
      </c>
      <c r="M1575" s="31">
        <v>0</v>
      </c>
    </row>
    <row r="1576" spans="2:13" ht="15" customHeight="1" x14ac:dyDescent="0.25">
      <c r="B1576" s="28" t="str">
        <f>IF(ISNUMBER(MATCH(C1576, Mgt_Unit!$C$5:$C$1018, 0)), INDEX(Mgt_Unit!$B$5:$B$1018, MATCH(C1576, Mgt_Unit!$C$5:$C$1018, 0)), "")</f>
        <v>jennifer.moore</v>
      </c>
      <c r="C1576" t="s">
        <v>1046</v>
      </c>
      <c r="D1576" s="65"/>
      <c r="E1576">
        <v>3</v>
      </c>
      <c r="F1576" t="s">
        <v>1537</v>
      </c>
      <c r="G1576" t="s">
        <v>1535</v>
      </c>
      <c r="H1576" t="s">
        <v>442</v>
      </c>
      <c r="I1576" t="s">
        <v>1288</v>
      </c>
      <c r="J1576" s="89">
        <v>43392</v>
      </c>
      <c r="K1576"/>
      <c r="L1576" s="89">
        <v>43619</v>
      </c>
      <c r="M1576" s="31">
        <v>0</v>
      </c>
    </row>
    <row r="1577" spans="2:13" ht="15" customHeight="1" x14ac:dyDescent="0.25">
      <c r="B1577" s="28" t="str">
        <f>IF(ISNUMBER(MATCH(C1577, Mgt_Unit!$C$5:$C$1018, 0)), INDEX(Mgt_Unit!$B$5:$B$1018, MATCH(C1577, Mgt_Unit!$C$5:$C$1018, 0)), "")</f>
        <v>jennifer.moore</v>
      </c>
      <c r="C1577" t="s">
        <v>1046</v>
      </c>
      <c r="D1577" s="65"/>
      <c r="E1577">
        <v>3</v>
      </c>
      <c r="F1577" t="s">
        <v>1537</v>
      </c>
      <c r="G1577" t="s">
        <v>1535</v>
      </c>
      <c r="H1577" t="s">
        <v>442</v>
      </c>
      <c r="I1577" t="s">
        <v>1543</v>
      </c>
      <c r="J1577" s="89">
        <v>43392</v>
      </c>
      <c r="K1577"/>
      <c r="L1577" s="89">
        <v>43619</v>
      </c>
      <c r="M1577" s="31">
        <v>0</v>
      </c>
    </row>
    <row r="1578" spans="2:13" ht="15" customHeight="1" x14ac:dyDescent="0.25">
      <c r="B1578" s="28" t="str">
        <f>IF(ISNUMBER(MATCH(C1578, Mgt_Unit!$C$5:$C$1018, 0)), INDEX(Mgt_Unit!$B$5:$B$1018, MATCH(C1578, Mgt_Unit!$C$5:$C$1018, 0)), "")</f>
        <v>jennifer.moore</v>
      </c>
      <c r="C1578" t="s">
        <v>1046</v>
      </c>
      <c r="D1578" s="65"/>
      <c r="E1578">
        <v>4</v>
      </c>
      <c r="F1578" t="s">
        <v>1537</v>
      </c>
      <c r="G1578" t="s">
        <v>1544</v>
      </c>
      <c r="H1578" t="s">
        <v>50</v>
      </c>
      <c r="I1578" t="s">
        <v>87</v>
      </c>
      <c r="J1578" s="89">
        <v>43620</v>
      </c>
      <c r="K1578" s="89">
        <v>43784</v>
      </c>
      <c r="L1578"/>
      <c r="M1578" s="31">
        <v>0</v>
      </c>
    </row>
    <row r="1579" spans="2:13" ht="15" customHeight="1" x14ac:dyDescent="0.25">
      <c r="B1579" s="28" t="str">
        <f>IF(ISNUMBER(MATCH(C1579, Mgt_Unit!$C$5:$C$1018, 0)), INDEX(Mgt_Unit!$B$5:$B$1018, MATCH(C1579, Mgt_Unit!$C$5:$C$1018, 0)), "")</f>
        <v>jennifer.moore</v>
      </c>
      <c r="C1579" s="87" t="s">
        <v>1046</v>
      </c>
      <c r="D1579" s="65"/>
      <c r="E1579" s="87">
        <v>4</v>
      </c>
      <c r="F1579" s="87" t="s">
        <v>1537</v>
      </c>
      <c r="G1579" s="87" t="s">
        <v>1535</v>
      </c>
      <c r="H1579" s="87" t="s">
        <v>441</v>
      </c>
      <c r="I1579" s="87" t="s">
        <v>146</v>
      </c>
      <c r="J1579" s="102">
        <v>43660</v>
      </c>
      <c r="K1579" s="87"/>
      <c r="L1579" s="87"/>
      <c r="M1579" s="93"/>
    </row>
    <row r="1580" spans="2:13" ht="15" customHeight="1" x14ac:dyDescent="0.25">
      <c r="B1580" s="28" t="str">
        <f>IF(ISNUMBER(MATCH(C1580, Mgt_Unit!$C$5:$C$1018, 0)), INDEX(Mgt_Unit!$B$5:$B$1018, MATCH(C1580, Mgt_Unit!$C$5:$C$1018, 0)), "")</f>
        <v>jennifer.moore</v>
      </c>
      <c r="C1580" t="s">
        <v>1047</v>
      </c>
      <c r="D1580" s="65"/>
      <c r="E1580">
        <v>1</v>
      </c>
      <c r="F1580" t="s">
        <v>1538</v>
      </c>
      <c r="G1580" t="s">
        <v>1544</v>
      </c>
      <c r="H1580" t="s">
        <v>51</v>
      </c>
      <c r="I1580" t="s">
        <v>137</v>
      </c>
      <c r="J1580" s="89">
        <v>43247</v>
      </c>
      <c r="K1580" s="89">
        <v>43390</v>
      </c>
      <c r="L1580"/>
      <c r="M1580" s="31">
        <v>0</v>
      </c>
    </row>
    <row r="1581" spans="2:13" ht="15" customHeight="1" x14ac:dyDescent="0.25">
      <c r="B1581" s="28" t="str">
        <f>IF(ISNUMBER(MATCH(C1581, Mgt_Unit!$C$5:$C$1018, 0)), INDEX(Mgt_Unit!$B$5:$B$1018, MATCH(C1581, Mgt_Unit!$C$5:$C$1018, 0)), "")</f>
        <v>jennifer.moore</v>
      </c>
      <c r="C1581" s="87" t="s">
        <v>1047</v>
      </c>
      <c r="D1581" s="65"/>
      <c r="E1581" s="87">
        <v>2</v>
      </c>
      <c r="F1581" s="87" t="s">
        <v>1538</v>
      </c>
      <c r="G1581" s="87" t="s">
        <v>1544</v>
      </c>
      <c r="H1581" s="87" t="s">
        <v>50</v>
      </c>
      <c r="I1581" s="87" t="s">
        <v>87</v>
      </c>
      <c r="J1581" s="90">
        <v>43620</v>
      </c>
      <c r="K1581" s="90">
        <v>43784</v>
      </c>
      <c r="L1581" s="87"/>
      <c r="M1581" s="93">
        <v>0</v>
      </c>
    </row>
    <row r="1582" spans="2:13" ht="15" customHeight="1" x14ac:dyDescent="0.25">
      <c r="B1582" s="28" t="str">
        <f>IF(ISNUMBER(MATCH(C1582, Mgt_Unit!$C$5:$C$1018, 0)), INDEX(Mgt_Unit!$B$5:$B$1018, MATCH(C1582, Mgt_Unit!$C$5:$C$1018, 0)), "")</f>
        <v>jennifer.moore</v>
      </c>
      <c r="C1582" t="s">
        <v>1048</v>
      </c>
      <c r="D1582" s="65"/>
      <c r="E1582">
        <v>1</v>
      </c>
      <c r="F1582" t="s">
        <v>1538</v>
      </c>
      <c r="G1582" t="s">
        <v>1544</v>
      </c>
      <c r="H1582" t="s">
        <v>441</v>
      </c>
      <c r="I1582" t="s">
        <v>27</v>
      </c>
      <c r="J1582"/>
      <c r="K1582" s="89">
        <v>42939</v>
      </c>
      <c r="L1582"/>
      <c r="M1582" s="31">
        <v>0</v>
      </c>
    </row>
    <row r="1583" spans="2:13" ht="15" customHeight="1" x14ac:dyDescent="0.25">
      <c r="B1583" s="28" t="str">
        <f>IF(ISNUMBER(MATCH(C1583, Mgt_Unit!$C$5:$C$1018, 0)), INDEX(Mgt_Unit!$B$5:$B$1018, MATCH(C1583, Mgt_Unit!$C$5:$C$1018, 0)), "")</f>
        <v>jennifer.moore</v>
      </c>
      <c r="C1583" t="s">
        <v>1048</v>
      </c>
      <c r="D1583" s="65"/>
      <c r="E1583">
        <v>2</v>
      </c>
      <c r="F1583" t="s">
        <v>1537</v>
      </c>
      <c r="G1583" t="s">
        <v>1535</v>
      </c>
      <c r="H1583" t="s">
        <v>48</v>
      </c>
      <c r="I1583" t="s">
        <v>154</v>
      </c>
      <c r="J1583" s="89">
        <v>42955</v>
      </c>
      <c r="K1583"/>
      <c r="L1583" s="89">
        <v>43242</v>
      </c>
      <c r="M1583" s="31">
        <v>0</v>
      </c>
    </row>
    <row r="1584" spans="2:13" ht="15" customHeight="1" x14ac:dyDescent="0.25">
      <c r="B1584" s="28" t="str">
        <f>IF(ISNUMBER(MATCH(C1584, Mgt_Unit!$C$5:$C$1018, 0)), INDEX(Mgt_Unit!$B$5:$B$1018, MATCH(C1584, Mgt_Unit!$C$5:$C$1018, 0)), "")</f>
        <v>jennifer.moore</v>
      </c>
      <c r="C1584" t="s">
        <v>1048</v>
      </c>
      <c r="D1584" s="65"/>
      <c r="E1584">
        <v>2</v>
      </c>
      <c r="F1584" t="s">
        <v>1537</v>
      </c>
      <c r="G1584" t="s">
        <v>1535</v>
      </c>
      <c r="H1584" t="s">
        <v>49</v>
      </c>
      <c r="I1584" t="s">
        <v>60</v>
      </c>
      <c r="J1584" s="89">
        <v>42955</v>
      </c>
      <c r="K1584"/>
      <c r="L1584" s="89">
        <v>43242</v>
      </c>
      <c r="M1584" s="31">
        <v>0</v>
      </c>
    </row>
    <row r="1585" spans="2:13" ht="15" customHeight="1" x14ac:dyDescent="0.25">
      <c r="B1585" s="28" t="str">
        <f>IF(ISNUMBER(MATCH(C1585, Mgt_Unit!$C$5:$C$1018, 0)), INDEX(Mgt_Unit!$B$5:$B$1018, MATCH(C1585, Mgt_Unit!$C$5:$C$1018, 0)), "")</f>
        <v>jennifer.moore</v>
      </c>
      <c r="C1585" t="s">
        <v>1048</v>
      </c>
      <c r="D1585" s="65"/>
      <c r="E1585">
        <v>2</v>
      </c>
      <c r="F1585" t="s">
        <v>1537</v>
      </c>
      <c r="G1585" t="s">
        <v>1535</v>
      </c>
      <c r="H1585" t="s">
        <v>50</v>
      </c>
      <c r="I1585" t="s">
        <v>175</v>
      </c>
      <c r="J1585" s="89">
        <v>42955</v>
      </c>
      <c r="K1585"/>
      <c r="L1585" s="89">
        <v>43242</v>
      </c>
      <c r="M1585" s="31">
        <v>0</v>
      </c>
    </row>
    <row r="1586" spans="2:13" ht="15" customHeight="1" x14ac:dyDescent="0.25">
      <c r="B1586" s="28" t="str">
        <f>IF(ISNUMBER(MATCH(C1586, Mgt_Unit!$C$5:$C$1018, 0)), INDEX(Mgt_Unit!$B$5:$B$1018, MATCH(C1586, Mgt_Unit!$C$5:$C$1018, 0)), "")</f>
        <v>jennifer.moore</v>
      </c>
      <c r="C1586" t="s">
        <v>1048</v>
      </c>
      <c r="D1586" s="65"/>
      <c r="E1586">
        <v>3</v>
      </c>
      <c r="F1586" t="s">
        <v>1538</v>
      </c>
      <c r="G1586" t="s">
        <v>1544</v>
      </c>
      <c r="H1586" t="s">
        <v>51</v>
      </c>
      <c r="I1586" t="s">
        <v>137</v>
      </c>
      <c r="J1586" s="89">
        <v>43247</v>
      </c>
      <c r="K1586" s="89">
        <v>43390</v>
      </c>
      <c r="L1586"/>
      <c r="M1586" s="31">
        <v>0</v>
      </c>
    </row>
    <row r="1587" spans="2:13" ht="15" customHeight="1" x14ac:dyDescent="0.25">
      <c r="B1587" s="28" t="str">
        <f>IF(ISNUMBER(MATCH(C1587, Mgt_Unit!$C$5:$C$1018, 0)), INDEX(Mgt_Unit!$B$5:$B$1018, MATCH(C1587, Mgt_Unit!$C$5:$C$1018, 0)), "")</f>
        <v>jennifer.moore</v>
      </c>
      <c r="C1587" t="s">
        <v>1048</v>
      </c>
      <c r="D1587" s="65"/>
      <c r="E1587">
        <v>4</v>
      </c>
      <c r="F1587" t="s">
        <v>1537</v>
      </c>
      <c r="G1587" t="s">
        <v>1535</v>
      </c>
      <c r="H1587" t="s">
        <v>441</v>
      </c>
      <c r="I1587" t="s">
        <v>88</v>
      </c>
      <c r="J1587" s="89">
        <v>43392</v>
      </c>
      <c r="K1587"/>
      <c r="L1587" s="89">
        <v>43619</v>
      </c>
      <c r="M1587" s="31">
        <v>0</v>
      </c>
    </row>
    <row r="1588" spans="2:13" ht="15" customHeight="1" x14ac:dyDescent="0.25">
      <c r="B1588" s="28" t="str">
        <f>IF(ISNUMBER(MATCH(C1588, Mgt_Unit!$C$5:$C$1018, 0)), INDEX(Mgt_Unit!$B$5:$B$1018, MATCH(C1588, Mgt_Unit!$C$5:$C$1018, 0)), "")</f>
        <v>jennifer.moore</v>
      </c>
      <c r="C1588" t="s">
        <v>1048</v>
      </c>
      <c r="D1588" s="65"/>
      <c r="E1588">
        <v>4</v>
      </c>
      <c r="F1588" t="s">
        <v>1537</v>
      </c>
      <c r="G1588" t="s">
        <v>1535</v>
      </c>
      <c r="H1588" t="s">
        <v>442</v>
      </c>
      <c r="I1588" t="s">
        <v>1288</v>
      </c>
      <c r="J1588" s="89">
        <v>43392</v>
      </c>
      <c r="K1588"/>
      <c r="L1588" s="89">
        <v>43619</v>
      </c>
      <c r="M1588" s="31">
        <v>0</v>
      </c>
    </row>
    <row r="1589" spans="2:13" ht="15" customHeight="1" x14ac:dyDescent="0.25">
      <c r="B1589" s="28" t="str">
        <f>IF(ISNUMBER(MATCH(C1589, Mgt_Unit!$C$5:$C$1018, 0)), INDEX(Mgt_Unit!$B$5:$B$1018, MATCH(C1589, Mgt_Unit!$C$5:$C$1018, 0)), "")</f>
        <v>jennifer.moore</v>
      </c>
      <c r="C1589" t="s">
        <v>1048</v>
      </c>
      <c r="D1589" s="65"/>
      <c r="E1589">
        <v>4</v>
      </c>
      <c r="F1589" t="s">
        <v>1537</v>
      </c>
      <c r="G1589" t="s">
        <v>1535</v>
      </c>
      <c r="H1589" t="s">
        <v>442</v>
      </c>
      <c r="I1589" t="s">
        <v>1543</v>
      </c>
      <c r="J1589" s="89">
        <v>43392</v>
      </c>
      <c r="K1589"/>
      <c r="L1589" s="89">
        <v>43619</v>
      </c>
      <c r="M1589" s="31">
        <v>0</v>
      </c>
    </row>
    <row r="1590" spans="2:13" ht="15" customHeight="1" x14ac:dyDescent="0.25">
      <c r="B1590" s="28" t="str">
        <f>IF(ISNUMBER(MATCH(C1590, Mgt_Unit!$C$5:$C$1018, 0)), INDEX(Mgt_Unit!$B$5:$B$1018, MATCH(C1590, Mgt_Unit!$C$5:$C$1018, 0)), "")</f>
        <v>jennifer.moore</v>
      </c>
      <c r="C1590" t="s">
        <v>1048</v>
      </c>
      <c r="D1590" s="65"/>
      <c r="E1590">
        <v>5</v>
      </c>
      <c r="F1590" t="s">
        <v>1537</v>
      </c>
      <c r="G1590" t="s">
        <v>1544</v>
      </c>
      <c r="H1590" t="s">
        <v>50</v>
      </c>
      <c r="I1590" t="s">
        <v>87</v>
      </c>
      <c r="J1590" s="89">
        <v>43620</v>
      </c>
      <c r="K1590" s="89">
        <v>43784</v>
      </c>
      <c r="L1590"/>
      <c r="M1590" s="31">
        <v>0</v>
      </c>
    </row>
    <row r="1591" spans="2:13" ht="15" customHeight="1" x14ac:dyDescent="0.25">
      <c r="B1591" s="28" t="str">
        <f>IF(ISNUMBER(MATCH(C1591, Mgt_Unit!$C$5:$C$1018, 0)), INDEX(Mgt_Unit!$B$5:$B$1018, MATCH(C1591, Mgt_Unit!$C$5:$C$1018, 0)), "")</f>
        <v>jennifer.moore</v>
      </c>
      <c r="C1591" t="s">
        <v>1048</v>
      </c>
      <c r="D1591" s="65"/>
      <c r="E1591">
        <v>5</v>
      </c>
      <c r="F1591" t="s">
        <v>1537</v>
      </c>
      <c r="G1591" t="s">
        <v>1535</v>
      </c>
      <c r="H1591" t="s">
        <v>441</v>
      </c>
      <c r="I1591" t="s">
        <v>146</v>
      </c>
      <c r="J1591" s="104">
        <v>43660</v>
      </c>
      <c r="K1591"/>
      <c r="L1591" s="89">
        <v>43958</v>
      </c>
      <c r="M1591" s="31">
        <v>0</v>
      </c>
    </row>
    <row r="1592" spans="2:13" ht="15" customHeight="1" x14ac:dyDescent="0.25">
      <c r="B1592" s="28" t="str">
        <f>IF(ISNUMBER(MATCH(C1592, Mgt_Unit!$C$5:$C$1018, 0)), INDEX(Mgt_Unit!$B$5:$B$1018, MATCH(C1592, Mgt_Unit!$C$5:$C$1018, 0)), "")</f>
        <v>jennifer.moore</v>
      </c>
      <c r="C1592" t="s">
        <v>1048</v>
      </c>
      <c r="D1592" s="65"/>
      <c r="E1592">
        <v>6</v>
      </c>
      <c r="F1592" t="s">
        <v>1538</v>
      </c>
      <c r="G1592" t="s">
        <v>1544</v>
      </c>
      <c r="H1592" t="s">
        <v>441</v>
      </c>
      <c r="I1592" t="s">
        <v>88</v>
      </c>
      <c r="J1592" s="89">
        <v>43958</v>
      </c>
      <c r="K1592" s="89">
        <v>44051</v>
      </c>
      <c r="L1592"/>
      <c r="M1592" s="31">
        <v>0</v>
      </c>
    </row>
    <row r="1593" spans="2:13" ht="15" customHeight="1" x14ac:dyDescent="0.25">
      <c r="B1593" s="28" t="str">
        <f>IF(ISNUMBER(MATCH(C1593, Mgt_Unit!$C$5:$C$1018, 0)), INDEX(Mgt_Unit!$B$5:$B$1018, MATCH(C1593, Mgt_Unit!$C$5:$C$1018, 0)), "")</f>
        <v>jennifer.moore</v>
      </c>
      <c r="C1593" t="s">
        <v>1048</v>
      </c>
      <c r="D1593" s="65"/>
      <c r="E1593">
        <v>7</v>
      </c>
      <c r="F1593" t="s">
        <v>1537</v>
      </c>
      <c r="G1593" t="s">
        <v>1535</v>
      </c>
      <c r="H1593" t="s">
        <v>442</v>
      </c>
      <c r="I1593" t="s">
        <v>177</v>
      </c>
      <c r="J1593" s="89">
        <v>44056</v>
      </c>
      <c r="K1593" s="89"/>
      <c r="L1593"/>
      <c r="M1593" s="31"/>
    </row>
    <row r="1594" spans="2:13" ht="15" customHeight="1" x14ac:dyDescent="0.25">
      <c r="B1594" s="28" t="str">
        <f>IF(ISNUMBER(MATCH(C1594, Mgt_Unit!$C$5:$C$1018, 0)), INDEX(Mgt_Unit!$B$5:$B$1018, MATCH(C1594, Mgt_Unit!$C$5:$C$1018, 0)), "")</f>
        <v>jennifer.moore</v>
      </c>
      <c r="C1594" s="87" t="s">
        <v>1048</v>
      </c>
      <c r="D1594" s="65"/>
      <c r="E1594" s="87">
        <v>7</v>
      </c>
      <c r="F1594" s="87" t="s">
        <v>1537</v>
      </c>
      <c r="G1594" s="87" t="s">
        <v>1535</v>
      </c>
      <c r="H1594" s="87" t="s">
        <v>49</v>
      </c>
      <c r="I1594" s="87" t="s">
        <v>60</v>
      </c>
      <c r="J1594" s="90">
        <v>44056</v>
      </c>
      <c r="K1594" s="87"/>
      <c r="L1594" s="87"/>
      <c r="M1594" s="93"/>
    </row>
    <row r="1595" spans="2:13" ht="15" customHeight="1" x14ac:dyDescent="0.25">
      <c r="B1595" s="28" t="str">
        <f>IF(ISNUMBER(MATCH(C1595, Mgt_Unit!$C$5:$C$1018, 0)), INDEX(Mgt_Unit!$B$5:$B$1018, MATCH(C1595, Mgt_Unit!$C$5:$C$1018, 0)), "")</f>
        <v>jennifer.moore</v>
      </c>
      <c r="C1595" t="s">
        <v>1049</v>
      </c>
      <c r="D1595" s="65"/>
      <c r="E1595">
        <v>1</v>
      </c>
      <c r="F1595" t="s">
        <v>1538</v>
      </c>
      <c r="G1595" t="s">
        <v>1544</v>
      </c>
      <c r="H1595" t="s">
        <v>441</v>
      </c>
      <c r="I1595" t="s">
        <v>27</v>
      </c>
      <c r="J1595" s="89"/>
      <c r="K1595" s="89">
        <v>42939</v>
      </c>
      <c r="L1595"/>
      <c r="M1595" s="31">
        <v>0</v>
      </c>
    </row>
    <row r="1596" spans="2:13" ht="15" customHeight="1" x14ac:dyDescent="0.25">
      <c r="B1596" s="28" t="str">
        <f>IF(ISNUMBER(MATCH(C1596, Mgt_Unit!$C$5:$C$1018, 0)), INDEX(Mgt_Unit!$B$5:$B$1018, MATCH(C1596, Mgt_Unit!$C$5:$C$1018, 0)), "")</f>
        <v>jennifer.moore</v>
      </c>
      <c r="C1596" t="s">
        <v>1049</v>
      </c>
      <c r="D1596" s="65"/>
      <c r="E1596">
        <v>2</v>
      </c>
      <c r="F1596" t="s">
        <v>1538</v>
      </c>
      <c r="G1596" t="s">
        <v>1544</v>
      </c>
      <c r="H1596" t="s">
        <v>51</v>
      </c>
      <c r="I1596" t="s">
        <v>137</v>
      </c>
      <c r="J1596" s="89">
        <v>43247</v>
      </c>
      <c r="K1596" s="89">
        <v>43390</v>
      </c>
      <c r="L1596"/>
      <c r="M1596" s="31">
        <v>0</v>
      </c>
    </row>
    <row r="1597" spans="2:13" ht="15" customHeight="1" x14ac:dyDescent="0.25">
      <c r="B1597" s="28" t="str">
        <f>IF(ISNUMBER(MATCH(C1597, Mgt_Unit!$C$5:$C$1018, 0)), INDEX(Mgt_Unit!$B$5:$B$1018, MATCH(C1597, Mgt_Unit!$C$5:$C$1018, 0)), "")</f>
        <v>jennifer.moore</v>
      </c>
      <c r="C1597" t="s">
        <v>1049</v>
      </c>
      <c r="D1597" s="65"/>
      <c r="E1597">
        <v>3</v>
      </c>
      <c r="F1597" t="s">
        <v>1538</v>
      </c>
      <c r="G1597" t="s">
        <v>1544</v>
      </c>
      <c r="H1597" t="s">
        <v>50</v>
      </c>
      <c r="I1597" t="s">
        <v>87</v>
      </c>
      <c r="J1597" s="89">
        <v>43620</v>
      </c>
      <c r="K1597" s="89">
        <v>43784</v>
      </c>
      <c r="L1597"/>
      <c r="M1597" s="31">
        <v>0</v>
      </c>
    </row>
    <row r="1598" spans="2:13" ht="15" customHeight="1" x14ac:dyDescent="0.25">
      <c r="B1598" s="28" t="str">
        <f>IF(ISNUMBER(MATCH(C1598, Mgt_Unit!$C$5:$C$1018, 0)), INDEX(Mgt_Unit!$B$5:$B$1018, MATCH(C1598, Mgt_Unit!$C$5:$C$1018, 0)), "")</f>
        <v>jennifer.moore</v>
      </c>
      <c r="C1598" t="s">
        <v>1049</v>
      </c>
      <c r="D1598" s="65"/>
      <c r="E1598">
        <v>4</v>
      </c>
      <c r="F1598" t="s">
        <v>1538</v>
      </c>
      <c r="G1598" t="s">
        <v>1544</v>
      </c>
      <c r="H1598" t="s">
        <v>441</v>
      </c>
      <c r="I1598" t="s">
        <v>88</v>
      </c>
      <c r="J1598" s="89">
        <v>43958</v>
      </c>
      <c r="K1598" s="89">
        <v>44051</v>
      </c>
      <c r="L1598"/>
      <c r="M1598" s="31">
        <v>0</v>
      </c>
    </row>
    <row r="1599" spans="2:13" ht="15" customHeight="1" x14ac:dyDescent="0.25">
      <c r="B1599" s="28" t="str">
        <f>IF(ISNUMBER(MATCH(C1599, Mgt_Unit!$C$5:$C$1018, 0)), INDEX(Mgt_Unit!$B$5:$B$1018, MATCH(C1599, Mgt_Unit!$C$5:$C$1018, 0)), "")</f>
        <v>jennifer.moore</v>
      </c>
      <c r="C1599" s="87" t="s">
        <v>1049</v>
      </c>
      <c r="D1599" s="65"/>
      <c r="E1599" s="87">
        <v>5</v>
      </c>
      <c r="F1599" s="87" t="s">
        <v>1538</v>
      </c>
      <c r="G1599" s="87" t="s">
        <v>1544</v>
      </c>
      <c r="H1599" s="87" t="s">
        <v>441</v>
      </c>
      <c r="I1599" s="87" t="s">
        <v>27</v>
      </c>
      <c r="J1599" s="90">
        <v>44087</v>
      </c>
      <c r="K1599" s="87"/>
      <c r="L1599" s="87"/>
      <c r="M1599" s="93"/>
    </row>
    <row r="1600" spans="2:13" ht="15" customHeight="1" x14ac:dyDescent="0.25">
      <c r="B1600" s="28" t="str">
        <f>IF(ISNUMBER(MATCH(C1600, Mgt_Unit!$C$5:$C$1018, 0)), INDEX(Mgt_Unit!$B$5:$B$1018, MATCH(C1600, Mgt_Unit!$C$5:$C$1018, 0)), "")</f>
        <v>jennifer.moore</v>
      </c>
      <c r="C1600" s="88" t="s">
        <v>1338</v>
      </c>
      <c r="D1600" s="65"/>
      <c r="E1600" s="88">
        <v>1</v>
      </c>
      <c r="F1600" s="88" t="s">
        <v>1537</v>
      </c>
      <c r="G1600" s="88" t="s">
        <v>1536</v>
      </c>
      <c r="H1600" s="88" t="s">
        <v>1549</v>
      </c>
      <c r="I1600" s="88" t="s">
        <v>1554</v>
      </c>
      <c r="J1600" s="91">
        <v>41640</v>
      </c>
      <c r="K1600" s="91"/>
      <c r="L1600" s="91">
        <v>43465</v>
      </c>
      <c r="M1600" s="94">
        <v>0</v>
      </c>
    </row>
    <row r="1601" spans="2:13" ht="15" customHeight="1" x14ac:dyDescent="0.25">
      <c r="B1601" s="28" t="str">
        <f>IF(ISNUMBER(MATCH(C1601, Mgt_Unit!$C$5:$C$1018, 0)), INDEX(Mgt_Unit!$B$5:$B$1018, MATCH(C1601, Mgt_Unit!$C$5:$C$1018, 0)), "")</f>
        <v>jennifer.moore</v>
      </c>
      <c r="C1601" s="88" t="s">
        <v>1340</v>
      </c>
      <c r="D1601" s="65"/>
      <c r="E1601" s="88">
        <v>1</v>
      </c>
      <c r="F1601" s="88" t="s">
        <v>1537</v>
      </c>
      <c r="G1601" s="88" t="s">
        <v>1536</v>
      </c>
      <c r="H1601" s="88" t="s">
        <v>1549</v>
      </c>
      <c r="I1601" s="88" t="s">
        <v>1554</v>
      </c>
      <c r="J1601" s="91">
        <v>41640</v>
      </c>
      <c r="K1601" s="91"/>
      <c r="L1601" s="91">
        <v>43465</v>
      </c>
      <c r="M1601" s="94">
        <v>0</v>
      </c>
    </row>
    <row r="1602" spans="2:13" ht="15" customHeight="1" x14ac:dyDescent="0.25">
      <c r="B1602" s="28" t="str">
        <f>IF(ISNUMBER(MATCH(C1602, Mgt_Unit!$C$5:$C$1018, 0)), INDEX(Mgt_Unit!$B$5:$B$1018, MATCH(C1602, Mgt_Unit!$C$5:$C$1018, 0)), "")</f>
        <v>jennifer.moore</v>
      </c>
      <c r="C1602" s="88" t="s">
        <v>1339</v>
      </c>
      <c r="D1602" s="65"/>
      <c r="E1602" s="88">
        <v>1</v>
      </c>
      <c r="F1602" s="88" t="s">
        <v>1537</v>
      </c>
      <c r="G1602" s="88" t="s">
        <v>1536</v>
      </c>
      <c r="H1602" s="88" t="s">
        <v>1549</v>
      </c>
      <c r="I1602" s="88" t="s">
        <v>1554</v>
      </c>
      <c r="J1602" s="91">
        <v>41640</v>
      </c>
      <c r="K1602" s="91"/>
      <c r="L1602" s="91">
        <v>43465</v>
      </c>
      <c r="M1602" s="94">
        <v>0</v>
      </c>
    </row>
    <row r="1603" spans="2:13" ht="15" customHeight="1" x14ac:dyDescent="0.25">
      <c r="B1603" s="28" t="str">
        <f>IF(ISNUMBER(MATCH(C1603, Mgt_Unit!$C$5:$C$1018, 0)), INDEX(Mgt_Unit!$B$5:$B$1018, MATCH(C1603, Mgt_Unit!$C$5:$C$1018, 0)), "")</f>
        <v>jennifer.moore</v>
      </c>
      <c r="C1603" s="88" t="s">
        <v>1050</v>
      </c>
      <c r="D1603" s="65"/>
      <c r="E1603" s="88">
        <v>1</v>
      </c>
      <c r="F1603" s="88" t="s">
        <v>1538</v>
      </c>
      <c r="G1603" s="88" t="s">
        <v>1544</v>
      </c>
      <c r="H1603" s="88" t="s">
        <v>49</v>
      </c>
      <c r="I1603" s="88" t="s">
        <v>85</v>
      </c>
      <c r="J1603" s="91">
        <v>43604</v>
      </c>
      <c r="K1603" s="91">
        <v>43766</v>
      </c>
      <c r="L1603" s="88"/>
      <c r="M1603" s="94">
        <v>0</v>
      </c>
    </row>
    <row r="1604" spans="2:13" ht="15" customHeight="1" x14ac:dyDescent="0.25">
      <c r="B1604" s="28" t="str">
        <f>IF(ISNUMBER(MATCH(C1604, Mgt_Unit!$C$5:$C$1018, 0)), INDEX(Mgt_Unit!$B$5:$B$1018, MATCH(C1604, Mgt_Unit!$C$5:$C$1018, 0)), "")</f>
        <v>jennifer.moore</v>
      </c>
      <c r="C1604" t="s">
        <v>1051</v>
      </c>
      <c r="D1604" s="65"/>
      <c r="E1604">
        <v>1</v>
      </c>
      <c r="F1604" t="s">
        <v>1537</v>
      </c>
      <c r="G1604" t="s">
        <v>1535</v>
      </c>
      <c r="H1604" t="s">
        <v>48</v>
      </c>
      <c r="I1604" t="s">
        <v>154</v>
      </c>
      <c r="J1604"/>
      <c r="K1604"/>
      <c r="L1604" s="89">
        <v>43564</v>
      </c>
      <c r="M1604" s="31">
        <v>0</v>
      </c>
    </row>
    <row r="1605" spans="2:13" ht="15" customHeight="1" x14ac:dyDescent="0.25">
      <c r="B1605" s="28" t="str">
        <f>IF(ISNUMBER(MATCH(C1605, Mgt_Unit!$C$5:$C$1018, 0)), INDEX(Mgt_Unit!$B$5:$B$1018, MATCH(C1605, Mgt_Unit!$C$5:$C$1018, 0)), "")</f>
        <v>jennifer.moore</v>
      </c>
      <c r="C1605" t="s">
        <v>1051</v>
      </c>
      <c r="D1605" s="65"/>
      <c r="E1605">
        <v>1</v>
      </c>
      <c r="F1605" t="s">
        <v>1537</v>
      </c>
      <c r="G1605" t="s">
        <v>1535</v>
      </c>
      <c r="H1605" t="s">
        <v>441</v>
      </c>
      <c r="I1605" t="s">
        <v>124</v>
      </c>
      <c r="J1605"/>
      <c r="K1605"/>
      <c r="L1605" s="89">
        <v>43564</v>
      </c>
      <c r="M1605" s="31">
        <v>0</v>
      </c>
    </row>
    <row r="1606" spans="2:13" ht="15" customHeight="1" x14ac:dyDescent="0.25">
      <c r="B1606" s="28" t="str">
        <f>IF(ISNUMBER(MATCH(C1606, Mgt_Unit!$C$5:$C$1018, 0)), INDEX(Mgt_Unit!$B$5:$B$1018, MATCH(C1606, Mgt_Unit!$C$5:$C$1018, 0)), "")</f>
        <v>jennifer.moore</v>
      </c>
      <c r="C1606" t="s">
        <v>1051</v>
      </c>
      <c r="D1606" s="65"/>
      <c r="E1606">
        <v>1</v>
      </c>
      <c r="F1606" t="s">
        <v>1537</v>
      </c>
      <c r="G1606" t="s">
        <v>1535</v>
      </c>
      <c r="H1606" t="s">
        <v>442</v>
      </c>
      <c r="I1606" t="s">
        <v>1288</v>
      </c>
      <c r="J1606"/>
      <c r="K1606"/>
      <c r="L1606" s="89">
        <v>43564</v>
      </c>
      <c r="M1606" s="31">
        <v>0</v>
      </c>
    </row>
    <row r="1607" spans="2:13" ht="15" customHeight="1" x14ac:dyDescent="0.25">
      <c r="B1607" s="28" t="str">
        <f>IF(ISNUMBER(MATCH(C1607, Mgt_Unit!$C$5:$C$1018, 0)), INDEX(Mgt_Unit!$B$5:$B$1018, MATCH(C1607, Mgt_Unit!$C$5:$C$1018, 0)), "")</f>
        <v>jennifer.moore</v>
      </c>
      <c r="C1607" t="s">
        <v>1051</v>
      </c>
      <c r="D1607" s="65"/>
      <c r="E1607">
        <v>1</v>
      </c>
      <c r="F1607" t="s">
        <v>1537</v>
      </c>
      <c r="G1607" t="s">
        <v>1535</v>
      </c>
      <c r="H1607" t="s">
        <v>442</v>
      </c>
      <c r="I1607" t="s">
        <v>248</v>
      </c>
      <c r="J1607"/>
      <c r="K1607"/>
      <c r="L1607" s="89">
        <v>43564</v>
      </c>
      <c r="M1607" s="31">
        <v>0</v>
      </c>
    </row>
    <row r="1608" spans="2:13" ht="15" customHeight="1" x14ac:dyDescent="0.25">
      <c r="B1608" s="28" t="str">
        <f>IF(ISNUMBER(MATCH(C1608, Mgt_Unit!$C$5:$C$1018, 0)), INDEX(Mgt_Unit!$B$5:$B$1018, MATCH(C1608, Mgt_Unit!$C$5:$C$1018, 0)), "")</f>
        <v>jennifer.moore</v>
      </c>
      <c r="C1608" t="s">
        <v>1051</v>
      </c>
      <c r="D1608" s="65"/>
      <c r="E1608">
        <v>2</v>
      </c>
      <c r="F1608" t="s">
        <v>1538</v>
      </c>
      <c r="G1608" t="s">
        <v>1544</v>
      </c>
      <c r="H1608" t="s">
        <v>49</v>
      </c>
      <c r="I1608" t="s">
        <v>85</v>
      </c>
      <c r="J1608" s="89">
        <v>43604</v>
      </c>
      <c r="K1608" s="89">
        <v>43766</v>
      </c>
      <c r="L1608"/>
      <c r="M1608" s="31">
        <v>0</v>
      </c>
    </row>
    <row r="1609" spans="2:13" ht="15" customHeight="1" x14ac:dyDescent="0.25">
      <c r="B1609" s="28" t="str">
        <f>IF(ISNUMBER(MATCH(C1609, Mgt_Unit!$C$5:$C$1018, 0)), INDEX(Mgt_Unit!$B$5:$B$1018, MATCH(C1609, Mgt_Unit!$C$5:$C$1018, 0)), "")</f>
        <v>jennifer.moore</v>
      </c>
      <c r="C1609" t="s">
        <v>1051</v>
      </c>
      <c r="D1609" s="65"/>
      <c r="E1609">
        <v>3</v>
      </c>
      <c r="F1609" t="s">
        <v>1537</v>
      </c>
      <c r="G1609" t="s">
        <v>1535</v>
      </c>
      <c r="H1609" t="s">
        <v>48</v>
      </c>
      <c r="I1609" t="s">
        <v>154</v>
      </c>
      <c r="J1609" s="89">
        <v>43802</v>
      </c>
      <c r="K1609"/>
      <c r="L1609"/>
      <c r="M1609" s="31"/>
    </row>
    <row r="1610" spans="2:13" ht="15" customHeight="1" x14ac:dyDescent="0.25">
      <c r="B1610" s="28" t="str">
        <f>IF(ISNUMBER(MATCH(C1610, Mgt_Unit!$C$5:$C$1018, 0)), INDEX(Mgt_Unit!$B$5:$B$1018, MATCH(C1610, Mgt_Unit!$C$5:$C$1018, 0)), "")</f>
        <v>jennifer.moore</v>
      </c>
      <c r="C1610" t="s">
        <v>1051</v>
      </c>
      <c r="D1610" s="65"/>
      <c r="E1610">
        <v>3</v>
      </c>
      <c r="F1610" t="s">
        <v>1537</v>
      </c>
      <c r="G1610" t="s">
        <v>1535</v>
      </c>
      <c r="H1610" t="s">
        <v>441</v>
      </c>
      <c r="I1610" t="s">
        <v>124</v>
      </c>
      <c r="J1610" s="89">
        <v>43802</v>
      </c>
      <c r="K1610"/>
      <c r="L1610"/>
      <c r="M1610" s="31"/>
    </row>
    <row r="1611" spans="2:13" ht="15" customHeight="1" x14ac:dyDescent="0.25">
      <c r="B1611" s="28" t="str">
        <f>IF(ISNUMBER(MATCH(C1611, Mgt_Unit!$C$5:$C$1018, 0)), INDEX(Mgt_Unit!$B$5:$B$1018, MATCH(C1611, Mgt_Unit!$C$5:$C$1018, 0)), "")</f>
        <v>jennifer.moore</v>
      </c>
      <c r="C1611" t="s">
        <v>1051</v>
      </c>
      <c r="D1611" s="65"/>
      <c r="E1611">
        <v>3</v>
      </c>
      <c r="F1611" t="s">
        <v>1537</v>
      </c>
      <c r="G1611" t="s">
        <v>1535</v>
      </c>
      <c r="H1611" t="s">
        <v>442</v>
      </c>
      <c r="I1611" t="s">
        <v>1288</v>
      </c>
      <c r="J1611" s="89">
        <v>43802</v>
      </c>
      <c r="K1611"/>
      <c r="L1611"/>
      <c r="M1611" s="31"/>
    </row>
    <row r="1612" spans="2:13" ht="15" customHeight="1" x14ac:dyDescent="0.25">
      <c r="B1612" s="28" t="str">
        <f>IF(ISNUMBER(MATCH(C1612, Mgt_Unit!$C$5:$C$1018, 0)), INDEX(Mgt_Unit!$B$5:$B$1018, MATCH(C1612, Mgt_Unit!$C$5:$C$1018, 0)), "")</f>
        <v>jennifer.moore</v>
      </c>
      <c r="C1612" s="87" t="s">
        <v>1051</v>
      </c>
      <c r="D1612" s="65"/>
      <c r="E1612" s="87">
        <v>3</v>
      </c>
      <c r="F1612" s="87" t="s">
        <v>1537</v>
      </c>
      <c r="G1612" s="87" t="s">
        <v>1535</v>
      </c>
      <c r="H1612" s="87" t="s">
        <v>442</v>
      </c>
      <c r="I1612" s="87" t="s">
        <v>248</v>
      </c>
      <c r="J1612" s="90">
        <v>43802</v>
      </c>
      <c r="K1612" s="87"/>
      <c r="L1612" s="87"/>
      <c r="M1612" s="93"/>
    </row>
    <row r="1613" spans="2:13" ht="15" customHeight="1" x14ac:dyDescent="0.25">
      <c r="B1613" s="28" t="str">
        <f>IF(ISNUMBER(MATCH(C1613, Mgt_Unit!$C$5:$C$1018, 0)), INDEX(Mgt_Unit!$B$5:$B$1018, MATCH(C1613, Mgt_Unit!$C$5:$C$1018, 0)), "")</f>
        <v>jennifer.moore</v>
      </c>
      <c r="C1613" t="s">
        <v>1052</v>
      </c>
      <c r="D1613" s="65"/>
      <c r="E1613">
        <v>1</v>
      </c>
      <c r="F1613" t="s">
        <v>1538</v>
      </c>
      <c r="G1613" t="s">
        <v>1535</v>
      </c>
      <c r="H1613" t="s">
        <v>441</v>
      </c>
      <c r="I1613" t="s">
        <v>124</v>
      </c>
      <c r="J1613"/>
      <c r="K1613" s="89">
        <v>43564</v>
      </c>
      <c r="L1613"/>
      <c r="M1613" s="31">
        <v>0</v>
      </c>
    </row>
    <row r="1614" spans="2:13" ht="15" customHeight="1" x14ac:dyDescent="0.25">
      <c r="B1614" s="28" t="str">
        <f>IF(ISNUMBER(MATCH(C1614, Mgt_Unit!$C$5:$C$1018, 0)), INDEX(Mgt_Unit!$B$5:$B$1018, MATCH(C1614, Mgt_Unit!$C$5:$C$1018, 0)), "")</f>
        <v>jennifer.moore</v>
      </c>
      <c r="C1614" t="s">
        <v>1052</v>
      </c>
      <c r="D1614" s="65"/>
      <c r="E1614">
        <v>2</v>
      </c>
      <c r="F1614" t="s">
        <v>1538</v>
      </c>
      <c r="G1614" t="s">
        <v>1544</v>
      </c>
      <c r="H1614" t="s">
        <v>49</v>
      </c>
      <c r="I1614" t="s">
        <v>85</v>
      </c>
      <c r="J1614" s="89">
        <v>43604</v>
      </c>
      <c r="K1614" s="89">
        <v>43766</v>
      </c>
      <c r="L1614"/>
      <c r="M1614" s="31">
        <v>0</v>
      </c>
    </row>
    <row r="1615" spans="2:13" ht="15" customHeight="1" x14ac:dyDescent="0.25">
      <c r="B1615" s="28" t="str">
        <f>IF(ISNUMBER(MATCH(C1615, Mgt_Unit!$C$5:$C$1018, 0)), INDEX(Mgt_Unit!$B$5:$B$1018, MATCH(C1615, Mgt_Unit!$C$5:$C$1018, 0)), "")</f>
        <v>jennifer.moore</v>
      </c>
      <c r="C1615" s="87" t="s">
        <v>1052</v>
      </c>
      <c r="D1615" s="65"/>
      <c r="E1615" s="87">
        <v>3</v>
      </c>
      <c r="F1615" s="87" t="s">
        <v>1538</v>
      </c>
      <c r="G1615" s="87" t="s">
        <v>1535</v>
      </c>
      <c r="H1615" s="87" t="s">
        <v>441</v>
      </c>
      <c r="I1615" s="87" t="s">
        <v>124</v>
      </c>
      <c r="J1615" s="90">
        <v>43802</v>
      </c>
      <c r="K1615" s="87"/>
      <c r="L1615" s="87"/>
      <c r="M1615" s="93"/>
    </row>
    <row r="1616" spans="2:13" ht="15" customHeight="1" x14ac:dyDescent="0.25">
      <c r="B1616" s="28" t="str">
        <f>IF(ISNUMBER(MATCH(C1616, Mgt_Unit!$C$5:$C$1018, 0)), INDEX(Mgt_Unit!$B$5:$B$1018, MATCH(C1616, Mgt_Unit!$C$5:$C$1018, 0)), "")</f>
        <v>jennifer.moore</v>
      </c>
      <c r="C1616" t="s">
        <v>1053</v>
      </c>
      <c r="D1616" s="65"/>
      <c r="E1616">
        <v>1</v>
      </c>
      <c r="F1616" t="s">
        <v>1538</v>
      </c>
      <c r="G1616" t="s">
        <v>1544</v>
      </c>
      <c r="H1616" t="s">
        <v>50</v>
      </c>
      <c r="I1616" t="s">
        <v>175</v>
      </c>
      <c r="J1616" s="89">
        <v>43172</v>
      </c>
      <c r="K1616" s="89">
        <v>43298</v>
      </c>
      <c r="L1616"/>
      <c r="M1616" s="31">
        <v>0</v>
      </c>
    </row>
    <row r="1617" spans="2:13" ht="15" customHeight="1" x14ac:dyDescent="0.25">
      <c r="B1617" s="28" t="str">
        <f>IF(ISNUMBER(MATCH(C1617, Mgt_Unit!$C$5:$C$1018, 0)), INDEX(Mgt_Unit!$B$5:$B$1018, MATCH(C1617, Mgt_Unit!$C$5:$C$1018, 0)), "")</f>
        <v>jennifer.moore</v>
      </c>
      <c r="C1617" s="87" t="s">
        <v>1053</v>
      </c>
      <c r="D1617" s="65"/>
      <c r="E1617" s="87">
        <v>2</v>
      </c>
      <c r="F1617" s="87" t="s">
        <v>1538</v>
      </c>
      <c r="G1617" s="87" t="s">
        <v>1544</v>
      </c>
      <c r="H1617" s="87" t="s">
        <v>49</v>
      </c>
      <c r="I1617" s="87" t="s">
        <v>85</v>
      </c>
      <c r="J1617" s="90">
        <v>43510</v>
      </c>
      <c r="K1617" s="90">
        <v>43691</v>
      </c>
      <c r="L1617" s="87"/>
      <c r="M1617" s="93">
        <v>0</v>
      </c>
    </row>
    <row r="1618" spans="2:13" ht="15" customHeight="1" x14ac:dyDescent="0.25">
      <c r="B1618" s="28" t="str">
        <f>IF(ISNUMBER(MATCH(C1618, Mgt_Unit!$C$5:$C$1018, 0)), INDEX(Mgt_Unit!$B$5:$B$1018, MATCH(C1618, Mgt_Unit!$C$5:$C$1018, 0)), "")</f>
        <v>jennifer.moore</v>
      </c>
      <c r="C1618" t="s">
        <v>1054</v>
      </c>
      <c r="D1618" s="65"/>
      <c r="E1618">
        <v>1</v>
      </c>
      <c r="F1618" t="s">
        <v>1538</v>
      </c>
      <c r="G1618" t="s">
        <v>1544</v>
      </c>
      <c r="H1618" t="s">
        <v>50</v>
      </c>
      <c r="I1618" t="s">
        <v>175</v>
      </c>
      <c r="J1618" s="89">
        <v>43172</v>
      </c>
      <c r="K1618" s="89">
        <v>43298</v>
      </c>
      <c r="L1618"/>
      <c r="M1618" s="31">
        <v>0</v>
      </c>
    </row>
    <row r="1619" spans="2:13" ht="15" customHeight="1" x14ac:dyDescent="0.25">
      <c r="B1619" s="28" t="str">
        <f>IF(ISNUMBER(MATCH(C1619, Mgt_Unit!$C$5:$C$1018, 0)), INDEX(Mgt_Unit!$B$5:$B$1018, MATCH(C1619, Mgt_Unit!$C$5:$C$1018, 0)), "")</f>
        <v>jennifer.moore</v>
      </c>
      <c r="C1619" s="87" t="s">
        <v>1054</v>
      </c>
      <c r="D1619" s="65"/>
      <c r="E1619" s="87">
        <v>2</v>
      </c>
      <c r="F1619" s="87" t="s">
        <v>1538</v>
      </c>
      <c r="G1619" s="87" t="s">
        <v>1544</v>
      </c>
      <c r="H1619" s="87" t="s">
        <v>49</v>
      </c>
      <c r="I1619" s="87" t="s">
        <v>85</v>
      </c>
      <c r="J1619" s="90">
        <v>43510</v>
      </c>
      <c r="K1619" s="90">
        <v>43691</v>
      </c>
      <c r="L1619" s="87"/>
      <c r="M1619" s="93">
        <v>0</v>
      </c>
    </row>
    <row r="1620" spans="2:13" ht="15" customHeight="1" x14ac:dyDescent="0.25">
      <c r="B1620" s="28" t="str">
        <f>IF(ISNUMBER(MATCH(C1620, Mgt_Unit!$C$5:$C$1018, 0)), INDEX(Mgt_Unit!$B$5:$B$1018, MATCH(C1620, Mgt_Unit!$C$5:$C$1018, 0)), "")</f>
        <v>jennifer.moore</v>
      </c>
      <c r="C1620" s="88" t="s">
        <v>1055</v>
      </c>
      <c r="D1620" s="65"/>
      <c r="E1620" s="88">
        <v>1</v>
      </c>
      <c r="F1620" s="88" t="s">
        <v>1538</v>
      </c>
      <c r="G1620" s="88" t="s">
        <v>1544</v>
      </c>
      <c r="H1620" s="88" t="s">
        <v>51</v>
      </c>
      <c r="I1620" s="88" t="s">
        <v>137</v>
      </c>
      <c r="J1620" s="91">
        <v>43631</v>
      </c>
      <c r="K1620" s="91">
        <v>43766</v>
      </c>
      <c r="L1620" s="88"/>
      <c r="M1620" s="94">
        <v>0</v>
      </c>
    </row>
    <row r="1621" spans="2:13" ht="15" customHeight="1" x14ac:dyDescent="0.25">
      <c r="B1621" s="28" t="str">
        <f>IF(ISNUMBER(MATCH(C1621, Mgt_Unit!$C$5:$C$1018, 0)), INDEX(Mgt_Unit!$B$5:$B$1018, MATCH(C1621, Mgt_Unit!$C$5:$C$1018, 0)), "")</f>
        <v>jennifer.moore</v>
      </c>
      <c r="C1621" s="88" t="s">
        <v>1056</v>
      </c>
      <c r="D1621" s="65"/>
      <c r="E1621" s="88">
        <v>1</v>
      </c>
      <c r="F1621" s="88" t="s">
        <v>1538</v>
      </c>
      <c r="G1621" s="88" t="s">
        <v>1544</v>
      </c>
      <c r="H1621" s="88" t="s">
        <v>51</v>
      </c>
      <c r="I1621" s="88" t="s">
        <v>137</v>
      </c>
      <c r="J1621" s="91">
        <v>43631</v>
      </c>
      <c r="K1621" s="91">
        <v>43766</v>
      </c>
      <c r="L1621" s="88"/>
      <c r="M1621" s="94">
        <v>0</v>
      </c>
    </row>
    <row r="1622" spans="2:13" ht="15" customHeight="1" x14ac:dyDescent="0.25">
      <c r="B1622" s="28" t="str">
        <f>IF(ISNUMBER(MATCH(C1622, Mgt_Unit!$C$5:$C$1018, 0)), INDEX(Mgt_Unit!$B$5:$B$1018, MATCH(C1622, Mgt_Unit!$C$5:$C$1018, 0)), "")</f>
        <v>jennifer.moore</v>
      </c>
      <c r="C1622" s="88" t="s">
        <v>1057</v>
      </c>
      <c r="D1622" s="65"/>
      <c r="E1622" s="88">
        <v>1</v>
      </c>
      <c r="F1622" s="88" t="s">
        <v>1538</v>
      </c>
      <c r="G1622" s="88" t="s">
        <v>1544</v>
      </c>
      <c r="H1622" s="88" t="s">
        <v>51</v>
      </c>
      <c r="I1622" s="88" t="s">
        <v>137</v>
      </c>
      <c r="J1622" s="91">
        <v>43631</v>
      </c>
      <c r="K1622" s="91">
        <v>43766</v>
      </c>
      <c r="L1622" s="88"/>
      <c r="M1622" s="94">
        <v>0</v>
      </c>
    </row>
    <row r="1623" spans="2:13" ht="15" customHeight="1" x14ac:dyDescent="0.25">
      <c r="B1623" s="28" t="str">
        <f>IF(ISNUMBER(MATCH(C1623, Mgt_Unit!$C$5:$C$1018, 0)), INDEX(Mgt_Unit!$B$5:$B$1018, MATCH(C1623, Mgt_Unit!$C$5:$C$1018, 0)), "")</f>
        <v>jennifer.moore</v>
      </c>
      <c r="C1623" s="88" t="s">
        <v>1058</v>
      </c>
      <c r="D1623" s="65"/>
      <c r="E1623" s="88">
        <v>1</v>
      </c>
      <c r="F1623" s="88" t="s">
        <v>1538</v>
      </c>
      <c r="G1623" s="88" t="s">
        <v>1544</v>
      </c>
      <c r="H1623" s="88" t="s">
        <v>51</v>
      </c>
      <c r="I1623" s="88" t="s">
        <v>137</v>
      </c>
      <c r="J1623" s="91">
        <v>43631</v>
      </c>
      <c r="K1623" s="91">
        <v>43766</v>
      </c>
      <c r="L1623" s="88"/>
      <c r="M1623" s="94">
        <v>0</v>
      </c>
    </row>
    <row r="1624" spans="2:13" ht="15" customHeight="1" x14ac:dyDescent="0.25">
      <c r="B1624" s="28" t="str">
        <f>IF(ISNUMBER(MATCH(C1624, Mgt_Unit!$C$5:$C$1018, 0)), INDEX(Mgt_Unit!$B$5:$B$1018, MATCH(C1624, Mgt_Unit!$C$5:$C$1018, 0)), "")</f>
        <v>jennifer.moore</v>
      </c>
      <c r="C1624" t="s">
        <v>1059</v>
      </c>
      <c r="D1624" s="65"/>
      <c r="E1624">
        <v>1</v>
      </c>
      <c r="F1624" t="s">
        <v>1538</v>
      </c>
      <c r="G1624" t="s">
        <v>1544</v>
      </c>
      <c r="H1624" t="s">
        <v>441</v>
      </c>
      <c r="I1624" t="s">
        <v>27</v>
      </c>
      <c r="J1624" s="89"/>
      <c r="K1624" s="89">
        <v>43607</v>
      </c>
      <c r="L1624"/>
      <c r="M1624" s="31">
        <v>0</v>
      </c>
    </row>
    <row r="1625" spans="2:13" ht="15" customHeight="1" x14ac:dyDescent="0.25">
      <c r="B1625" s="28" t="str">
        <f>IF(ISNUMBER(MATCH(C1625, Mgt_Unit!$C$5:$C$1018, 0)), INDEX(Mgt_Unit!$B$5:$B$1018, MATCH(C1625, Mgt_Unit!$C$5:$C$1018, 0)), "")</f>
        <v>jennifer.moore</v>
      </c>
      <c r="C1625" s="87" t="s">
        <v>1059</v>
      </c>
      <c r="D1625" s="65"/>
      <c r="E1625" s="87">
        <v>2</v>
      </c>
      <c r="F1625" s="87" t="s">
        <v>1538</v>
      </c>
      <c r="G1625" s="87" t="s">
        <v>1544</v>
      </c>
      <c r="H1625" s="87" t="s">
        <v>441</v>
      </c>
      <c r="I1625" s="87" t="s">
        <v>27</v>
      </c>
      <c r="J1625" s="90">
        <v>43779</v>
      </c>
      <c r="K1625" s="90"/>
      <c r="L1625" s="87"/>
      <c r="M1625" s="93"/>
    </row>
    <row r="1626" spans="2:13" ht="15" customHeight="1" x14ac:dyDescent="0.25">
      <c r="B1626" s="28" t="str">
        <f>IF(ISNUMBER(MATCH(C1626, Mgt_Unit!$C$5:$C$1018, 0)), INDEX(Mgt_Unit!$B$5:$B$1018, MATCH(C1626, Mgt_Unit!$C$5:$C$1018, 0)), "")</f>
        <v>jennifer.moore</v>
      </c>
      <c r="C1626" t="s">
        <v>1060</v>
      </c>
      <c r="D1626" s="65"/>
      <c r="E1626">
        <v>1</v>
      </c>
      <c r="F1626" t="s">
        <v>1538</v>
      </c>
      <c r="G1626" t="s">
        <v>1544</v>
      </c>
      <c r="H1626" t="s">
        <v>441</v>
      </c>
      <c r="I1626" t="s">
        <v>27</v>
      </c>
      <c r="J1626" s="89"/>
      <c r="K1626" s="89">
        <v>43607</v>
      </c>
      <c r="L1626"/>
      <c r="M1626" s="31">
        <v>0</v>
      </c>
    </row>
    <row r="1627" spans="2:13" ht="15" customHeight="1" x14ac:dyDescent="0.25">
      <c r="B1627" s="28" t="str">
        <f>IF(ISNUMBER(MATCH(C1627, Mgt_Unit!$C$5:$C$1018, 0)), INDEX(Mgt_Unit!$B$5:$B$1018, MATCH(C1627, Mgt_Unit!$C$5:$C$1018, 0)), "")</f>
        <v>jennifer.moore</v>
      </c>
      <c r="C1627" s="87" t="s">
        <v>1060</v>
      </c>
      <c r="D1627" s="65"/>
      <c r="E1627" s="87">
        <v>2</v>
      </c>
      <c r="F1627" s="87" t="s">
        <v>1538</v>
      </c>
      <c r="G1627" s="87" t="s">
        <v>1544</v>
      </c>
      <c r="H1627" s="87" t="s">
        <v>441</v>
      </c>
      <c r="I1627" s="87" t="s">
        <v>27</v>
      </c>
      <c r="J1627" s="90">
        <v>43779</v>
      </c>
      <c r="K1627" s="90"/>
      <c r="L1627" s="87"/>
      <c r="M1627" s="93"/>
    </row>
    <row r="1628" spans="2:13" ht="15" customHeight="1" x14ac:dyDescent="0.25">
      <c r="B1628" s="28" t="str">
        <f>IF(ISNUMBER(MATCH(C1628, Mgt_Unit!$C$5:$C$1018, 0)), INDEX(Mgt_Unit!$B$5:$B$1018, MATCH(C1628, Mgt_Unit!$C$5:$C$1018, 0)), "")</f>
        <v>jennifer.moore</v>
      </c>
      <c r="C1628" t="s">
        <v>1061</v>
      </c>
      <c r="D1628" s="65"/>
      <c r="E1628">
        <v>1</v>
      </c>
      <c r="F1628" t="s">
        <v>1538</v>
      </c>
      <c r="G1628" t="s">
        <v>1544</v>
      </c>
      <c r="H1628" t="s">
        <v>441</v>
      </c>
      <c r="I1628" t="s">
        <v>27</v>
      </c>
      <c r="J1628" s="89"/>
      <c r="K1628" s="89">
        <v>43607</v>
      </c>
      <c r="L1628"/>
      <c r="M1628" s="31">
        <v>0</v>
      </c>
    </row>
    <row r="1629" spans="2:13" ht="15" customHeight="1" x14ac:dyDescent="0.25">
      <c r="B1629" s="28" t="str">
        <f>IF(ISNUMBER(MATCH(C1629, Mgt_Unit!$C$5:$C$1018, 0)), INDEX(Mgt_Unit!$B$5:$B$1018, MATCH(C1629, Mgt_Unit!$C$5:$C$1018, 0)), "")</f>
        <v>jennifer.moore</v>
      </c>
      <c r="C1629" s="87" t="s">
        <v>1061</v>
      </c>
      <c r="D1629" s="65"/>
      <c r="E1629" s="87">
        <v>2</v>
      </c>
      <c r="F1629" s="87" t="s">
        <v>1538</v>
      </c>
      <c r="G1629" s="87" t="s">
        <v>1544</v>
      </c>
      <c r="H1629" s="87" t="s">
        <v>441</v>
      </c>
      <c r="I1629" s="87" t="s">
        <v>27</v>
      </c>
      <c r="J1629" s="90">
        <v>43779</v>
      </c>
      <c r="K1629" s="90"/>
      <c r="L1629" s="87"/>
      <c r="M1629" s="93"/>
    </row>
    <row r="1630" spans="2:13" ht="15" customHeight="1" x14ac:dyDescent="0.25">
      <c r="B1630" s="28" t="str">
        <f>IF(ISNUMBER(MATCH(C1630, Mgt_Unit!$C$5:$C$1018, 0)), INDEX(Mgt_Unit!$B$5:$B$1018, MATCH(C1630, Mgt_Unit!$C$5:$C$1018, 0)), "")</f>
        <v>jennifer.moore</v>
      </c>
      <c r="C1630" t="s">
        <v>1062</v>
      </c>
      <c r="D1630" s="65"/>
      <c r="E1630">
        <v>1</v>
      </c>
      <c r="F1630" t="s">
        <v>1538</v>
      </c>
      <c r="G1630" t="s">
        <v>1544</v>
      </c>
      <c r="H1630" t="s">
        <v>441</v>
      </c>
      <c r="I1630" t="s">
        <v>27</v>
      </c>
      <c r="J1630" s="89"/>
      <c r="K1630" s="89">
        <v>43607</v>
      </c>
      <c r="L1630"/>
      <c r="M1630" s="31">
        <v>0</v>
      </c>
    </row>
    <row r="1631" spans="2:13" ht="15" customHeight="1" x14ac:dyDescent="0.25">
      <c r="B1631" s="28" t="str">
        <f>IF(ISNUMBER(MATCH(C1631, Mgt_Unit!$C$5:$C$1018, 0)), INDEX(Mgt_Unit!$B$5:$B$1018, MATCH(C1631, Mgt_Unit!$C$5:$C$1018, 0)), "")</f>
        <v>jennifer.moore</v>
      </c>
      <c r="C1631" s="87" t="s">
        <v>1062</v>
      </c>
      <c r="D1631" s="65"/>
      <c r="E1631" s="87">
        <v>2</v>
      </c>
      <c r="F1631" s="87" t="s">
        <v>1538</v>
      </c>
      <c r="G1631" s="87" t="s">
        <v>1544</v>
      </c>
      <c r="H1631" s="87" t="s">
        <v>441</v>
      </c>
      <c r="I1631" s="87" t="s">
        <v>27</v>
      </c>
      <c r="J1631" s="90">
        <v>43779</v>
      </c>
      <c r="K1631" s="90"/>
      <c r="L1631" s="87"/>
      <c r="M1631" s="93"/>
    </row>
    <row r="1632" spans="2:13" ht="15" customHeight="1" x14ac:dyDescent="0.25">
      <c r="B1632" s="28" t="str">
        <f>IF(ISNUMBER(MATCH(C1632, Mgt_Unit!$C$5:$C$1018, 0)), INDEX(Mgt_Unit!$B$5:$B$1018, MATCH(C1632, Mgt_Unit!$C$5:$C$1018, 0)), "")</f>
        <v>jennifer.moore</v>
      </c>
      <c r="C1632" t="s">
        <v>1063</v>
      </c>
      <c r="D1632" s="65"/>
      <c r="E1632">
        <v>1</v>
      </c>
      <c r="F1632" t="s">
        <v>1538</v>
      </c>
      <c r="G1632" t="s">
        <v>1544</v>
      </c>
      <c r="H1632" t="s">
        <v>50</v>
      </c>
      <c r="I1632" t="s">
        <v>87</v>
      </c>
      <c r="J1632" s="89">
        <v>43585</v>
      </c>
      <c r="K1632" s="89">
        <v>43743</v>
      </c>
      <c r="L1632"/>
      <c r="M1632" s="31">
        <v>0</v>
      </c>
    </row>
    <row r="1633" spans="2:13" ht="15" customHeight="1" x14ac:dyDescent="0.25">
      <c r="B1633" s="28" t="str">
        <f>IF(ISNUMBER(MATCH(C1633, Mgt_Unit!$C$5:$C$1018, 0)), INDEX(Mgt_Unit!$B$5:$B$1018, MATCH(C1633, Mgt_Unit!$C$5:$C$1018, 0)), "")</f>
        <v>jennifer.moore</v>
      </c>
      <c r="C1633" t="s">
        <v>1063</v>
      </c>
      <c r="D1633" s="65"/>
      <c r="E1633">
        <v>2</v>
      </c>
      <c r="F1633" t="s">
        <v>1538</v>
      </c>
      <c r="G1633" t="s">
        <v>1544</v>
      </c>
      <c r="H1633" t="s">
        <v>441</v>
      </c>
      <c r="I1633" t="s">
        <v>195</v>
      </c>
      <c r="J1633" s="89">
        <v>43748</v>
      </c>
      <c r="K1633" s="89">
        <v>44013</v>
      </c>
      <c r="L1633"/>
      <c r="M1633" s="31">
        <v>0</v>
      </c>
    </row>
    <row r="1634" spans="2:13" ht="15" customHeight="1" x14ac:dyDescent="0.25">
      <c r="B1634" s="28" t="str">
        <f>IF(ISNUMBER(MATCH(C1634, Mgt_Unit!$C$5:$C$1018, 0)), INDEX(Mgt_Unit!$B$5:$B$1018, MATCH(C1634, Mgt_Unit!$C$5:$C$1018, 0)), "")</f>
        <v>jennifer.moore</v>
      </c>
      <c r="C1634" s="87" t="s">
        <v>1063</v>
      </c>
      <c r="D1634" s="65"/>
      <c r="E1634" s="87">
        <v>3</v>
      </c>
      <c r="F1634" s="87" t="s">
        <v>1538</v>
      </c>
      <c r="G1634" s="87" t="s">
        <v>1544</v>
      </c>
      <c r="H1634" s="87" t="s">
        <v>51</v>
      </c>
      <c r="I1634" s="87" t="s">
        <v>137</v>
      </c>
      <c r="J1634" s="90">
        <v>44017</v>
      </c>
      <c r="K1634" s="90">
        <v>44140</v>
      </c>
      <c r="L1634" s="87"/>
      <c r="M1634" s="93">
        <v>0</v>
      </c>
    </row>
    <row r="1635" spans="2:13" ht="15" customHeight="1" x14ac:dyDescent="0.25">
      <c r="B1635" s="28" t="str">
        <f>IF(ISNUMBER(MATCH(C1635, Mgt_Unit!$C$5:$C$1018, 0)), INDEX(Mgt_Unit!$B$5:$B$1018, MATCH(C1635, Mgt_Unit!$C$5:$C$1018, 0)), "")</f>
        <v>jennifer.moore</v>
      </c>
      <c r="C1635" t="s">
        <v>1064</v>
      </c>
      <c r="D1635" s="65"/>
      <c r="E1635">
        <v>1</v>
      </c>
      <c r="F1635" t="s">
        <v>1538</v>
      </c>
      <c r="G1635" t="s">
        <v>1544</v>
      </c>
      <c r="H1635" t="s">
        <v>50</v>
      </c>
      <c r="I1635" t="s">
        <v>87</v>
      </c>
      <c r="J1635" s="89">
        <v>43585</v>
      </c>
      <c r="K1635" s="89">
        <v>43743</v>
      </c>
      <c r="L1635"/>
      <c r="M1635" s="31">
        <v>0</v>
      </c>
    </row>
    <row r="1636" spans="2:13" ht="15" customHeight="1" x14ac:dyDescent="0.25">
      <c r="B1636" s="28" t="str">
        <f>IF(ISNUMBER(MATCH(C1636, Mgt_Unit!$C$5:$C$1018, 0)), INDEX(Mgt_Unit!$B$5:$B$1018, MATCH(C1636, Mgt_Unit!$C$5:$C$1018, 0)), "")</f>
        <v>jennifer.moore</v>
      </c>
      <c r="C1636" t="s">
        <v>1064</v>
      </c>
      <c r="D1636" s="65"/>
      <c r="E1636">
        <v>2</v>
      </c>
      <c r="F1636" t="s">
        <v>1538</v>
      </c>
      <c r="G1636" t="s">
        <v>1544</v>
      </c>
      <c r="H1636" t="s">
        <v>441</v>
      </c>
      <c r="I1636" t="s">
        <v>195</v>
      </c>
      <c r="J1636" s="89">
        <v>43748</v>
      </c>
      <c r="K1636" s="89">
        <v>44013</v>
      </c>
      <c r="L1636"/>
      <c r="M1636" s="31">
        <v>0</v>
      </c>
    </row>
    <row r="1637" spans="2:13" ht="15" customHeight="1" x14ac:dyDescent="0.25">
      <c r="B1637" s="28" t="str">
        <f>IF(ISNUMBER(MATCH(C1637, Mgt_Unit!$C$5:$C$1018, 0)), INDEX(Mgt_Unit!$B$5:$B$1018, MATCH(C1637, Mgt_Unit!$C$5:$C$1018, 0)), "")</f>
        <v>jennifer.moore</v>
      </c>
      <c r="C1637" s="87" t="s">
        <v>1064</v>
      </c>
      <c r="D1637" s="65"/>
      <c r="E1637" s="87">
        <v>3</v>
      </c>
      <c r="F1637" s="87" t="s">
        <v>1538</v>
      </c>
      <c r="G1637" s="87" t="s">
        <v>1544</v>
      </c>
      <c r="H1637" s="87" t="s">
        <v>51</v>
      </c>
      <c r="I1637" s="87" t="s">
        <v>137</v>
      </c>
      <c r="J1637" s="90">
        <v>44017</v>
      </c>
      <c r="K1637" s="90">
        <v>44140</v>
      </c>
      <c r="L1637" s="87"/>
      <c r="M1637" s="93">
        <v>0</v>
      </c>
    </row>
    <row r="1638" spans="2:13" ht="15" customHeight="1" x14ac:dyDescent="0.25">
      <c r="B1638" s="28" t="str">
        <f>IF(ISNUMBER(MATCH(C1638, Mgt_Unit!$C$5:$C$1018, 0)), INDEX(Mgt_Unit!$B$5:$B$1018, MATCH(C1638, Mgt_Unit!$C$5:$C$1018, 0)), "")</f>
        <v>jennifer.moore</v>
      </c>
      <c r="C1638" t="s">
        <v>1065</v>
      </c>
      <c r="D1638" s="65"/>
      <c r="E1638">
        <v>1</v>
      </c>
      <c r="F1638" t="s">
        <v>1538</v>
      </c>
      <c r="G1638" t="s">
        <v>1544</v>
      </c>
      <c r="H1638" t="s">
        <v>50</v>
      </c>
      <c r="I1638" t="s">
        <v>87</v>
      </c>
      <c r="J1638" s="89">
        <v>43585</v>
      </c>
      <c r="K1638" s="89">
        <v>43743</v>
      </c>
      <c r="L1638"/>
      <c r="M1638" s="31">
        <v>0</v>
      </c>
    </row>
    <row r="1639" spans="2:13" ht="15" customHeight="1" x14ac:dyDescent="0.25">
      <c r="B1639" s="28" t="str">
        <f>IF(ISNUMBER(MATCH(C1639, Mgt_Unit!$C$5:$C$1018, 0)), INDEX(Mgt_Unit!$B$5:$B$1018, MATCH(C1639, Mgt_Unit!$C$5:$C$1018, 0)), "")</f>
        <v>jennifer.moore</v>
      </c>
      <c r="C1639" t="s">
        <v>1065</v>
      </c>
      <c r="D1639" s="65"/>
      <c r="E1639">
        <v>2</v>
      </c>
      <c r="F1639" t="s">
        <v>1538</v>
      </c>
      <c r="G1639" t="s">
        <v>1544</v>
      </c>
      <c r="H1639" t="s">
        <v>441</v>
      </c>
      <c r="I1639" t="s">
        <v>195</v>
      </c>
      <c r="J1639" s="89">
        <v>43748</v>
      </c>
      <c r="K1639" s="89">
        <v>44013</v>
      </c>
      <c r="L1639"/>
      <c r="M1639" s="31">
        <v>0</v>
      </c>
    </row>
    <row r="1640" spans="2:13" ht="15" customHeight="1" x14ac:dyDescent="0.25">
      <c r="B1640" s="28" t="str">
        <f>IF(ISNUMBER(MATCH(C1640, Mgt_Unit!$C$5:$C$1018, 0)), INDEX(Mgt_Unit!$B$5:$B$1018, MATCH(C1640, Mgt_Unit!$C$5:$C$1018, 0)), "")</f>
        <v>jennifer.moore</v>
      </c>
      <c r="C1640" s="87" t="s">
        <v>1065</v>
      </c>
      <c r="D1640" s="65"/>
      <c r="E1640" s="87">
        <v>3</v>
      </c>
      <c r="F1640" s="87" t="s">
        <v>1538</v>
      </c>
      <c r="G1640" s="87" t="s">
        <v>1544</v>
      </c>
      <c r="H1640" s="87" t="s">
        <v>51</v>
      </c>
      <c r="I1640" s="87" t="s">
        <v>137</v>
      </c>
      <c r="J1640" s="90">
        <v>44017</v>
      </c>
      <c r="K1640" s="90">
        <v>44140</v>
      </c>
      <c r="L1640" s="87"/>
      <c r="M1640" s="93">
        <v>0</v>
      </c>
    </row>
    <row r="1641" spans="2:13" ht="15" customHeight="1" x14ac:dyDescent="0.25">
      <c r="B1641" s="28" t="str">
        <f>IF(ISNUMBER(MATCH(C1641, Mgt_Unit!$C$5:$C$1018, 0)), INDEX(Mgt_Unit!$B$5:$B$1018, MATCH(C1641, Mgt_Unit!$C$5:$C$1018, 0)), "")</f>
        <v>jennifer.moore</v>
      </c>
      <c r="C1641" t="s">
        <v>1066</v>
      </c>
      <c r="D1641" s="65"/>
      <c r="E1641">
        <v>1</v>
      </c>
      <c r="F1641" t="s">
        <v>1538</v>
      </c>
      <c r="G1641" t="s">
        <v>1544</v>
      </c>
      <c r="H1641" t="s">
        <v>441</v>
      </c>
      <c r="I1641" t="s">
        <v>27</v>
      </c>
      <c r="J1641" s="89">
        <v>40410</v>
      </c>
      <c r="K1641" s="89">
        <v>40756</v>
      </c>
      <c r="L1641"/>
      <c r="M1641" s="31">
        <v>0</v>
      </c>
    </row>
    <row r="1642" spans="2:13" ht="15" customHeight="1" x14ac:dyDescent="0.25">
      <c r="B1642" s="28" t="str">
        <f>IF(ISNUMBER(MATCH(C1642, Mgt_Unit!$C$5:$C$1018, 0)), INDEX(Mgt_Unit!$B$5:$B$1018, MATCH(C1642, Mgt_Unit!$C$5:$C$1018, 0)), "")</f>
        <v>jennifer.moore</v>
      </c>
      <c r="C1642" t="s">
        <v>1066</v>
      </c>
      <c r="D1642" s="65"/>
      <c r="E1642">
        <v>2</v>
      </c>
      <c r="F1642" t="s">
        <v>1538</v>
      </c>
      <c r="G1642" t="s">
        <v>1544</v>
      </c>
      <c r="H1642" t="s">
        <v>441</v>
      </c>
      <c r="I1642" t="s">
        <v>27</v>
      </c>
      <c r="J1642" s="89">
        <v>41141</v>
      </c>
      <c r="K1642" s="89">
        <v>41487</v>
      </c>
      <c r="L1642"/>
      <c r="M1642" s="31">
        <v>0</v>
      </c>
    </row>
    <row r="1643" spans="2:13" ht="15" customHeight="1" x14ac:dyDescent="0.25">
      <c r="B1643" s="28" t="str">
        <f>IF(ISNUMBER(MATCH(C1643, Mgt_Unit!$C$5:$C$1018, 0)), INDEX(Mgt_Unit!$B$5:$B$1018, MATCH(C1643, Mgt_Unit!$C$5:$C$1018, 0)), "")</f>
        <v>jennifer.moore</v>
      </c>
      <c r="C1643" t="s">
        <v>1066</v>
      </c>
      <c r="D1643" s="65"/>
      <c r="E1643">
        <v>3</v>
      </c>
      <c r="F1643" t="s">
        <v>1538</v>
      </c>
      <c r="G1643" t="s">
        <v>1544</v>
      </c>
      <c r="H1643" t="s">
        <v>441</v>
      </c>
      <c r="I1643" t="s">
        <v>29</v>
      </c>
      <c r="J1643" s="89">
        <v>41749</v>
      </c>
      <c r="K1643" s="89">
        <v>41871</v>
      </c>
      <c r="L1643"/>
      <c r="M1643" s="31">
        <v>0</v>
      </c>
    </row>
    <row r="1644" spans="2:13" ht="15" customHeight="1" x14ac:dyDescent="0.25">
      <c r="B1644" s="28" t="str">
        <f>IF(ISNUMBER(MATCH(C1644, Mgt_Unit!$C$5:$C$1018, 0)), INDEX(Mgt_Unit!$B$5:$B$1018, MATCH(C1644, Mgt_Unit!$C$5:$C$1018, 0)), "")</f>
        <v>jennifer.moore</v>
      </c>
      <c r="C1644" t="s">
        <v>1066</v>
      </c>
      <c r="D1644" s="65"/>
      <c r="E1644">
        <v>4</v>
      </c>
      <c r="F1644" t="s">
        <v>1538</v>
      </c>
      <c r="G1644" t="s">
        <v>1544</v>
      </c>
      <c r="H1644" t="s">
        <v>441</v>
      </c>
      <c r="I1644" t="s">
        <v>27</v>
      </c>
      <c r="J1644" s="89">
        <v>42236</v>
      </c>
      <c r="K1644" s="89">
        <v>42583</v>
      </c>
      <c r="L1644"/>
      <c r="M1644" s="31">
        <v>0</v>
      </c>
    </row>
    <row r="1645" spans="2:13" ht="15" customHeight="1" x14ac:dyDescent="0.25">
      <c r="B1645" s="28" t="str">
        <f>IF(ISNUMBER(MATCH(C1645, Mgt_Unit!$C$5:$C$1018, 0)), INDEX(Mgt_Unit!$B$5:$B$1018, MATCH(C1645, Mgt_Unit!$C$5:$C$1018, 0)), "")</f>
        <v>jennifer.moore</v>
      </c>
      <c r="C1645" t="s">
        <v>1066</v>
      </c>
      <c r="D1645" s="65"/>
      <c r="E1645">
        <v>5</v>
      </c>
      <c r="F1645" t="s">
        <v>1538</v>
      </c>
      <c r="G1645" t="s">
        <v>1544</v>
      </c>
      <c r="H1645" t="s">
        <v>48</v>
      </c>
      <c r="I1645" t="s">
        <v>59</v>
      </c>
      <c r="J1645" s="89">
        <v>42967</v>
      </c>
      <c r="K1645" s="89">
        <v>43332</v>
      </c>
      <c r="L1645"/>
      <c r="M1645" s="31">
        <v>0</v>
      </c>
    </row>
    <row r="1646" spans="2:13" ht="15" customHeight="1" x14ac:dyDescent="0.25">
      <c r="B1646" s="28" t="str">
        <f>IF(ISNUMBER(MATCH(C1646, Mgt_Unit!$C$5:$C$1018, 0)), INDEX(Mgt_Unit!$B$5:$B$1018, MATCH(C1646, Mgt_Unit!$C$5:$C$1018, 0)), "")</f>
        <v>jennifer.moore</v>
      </c>
      <c r="C1646" s="87" t="s">
        <v>1066</v>
      </c>
      <c r="D1646" s="65"/>
      <c r="E1646" s="87">
        <v>6</v>
      </c>
      <c r="F1646" s="87" t="s">
        <v>1538</v>
      </c>
      <c r="G1646" s="87" t="s">
        <v>1544</v>
      </c>
      <c r="H1646" s="87" t="s">
        <v>441</v>
      </c>
      <c r="I1646" s="87" t="s">
        <v>88</v>
      </c>
      <c r="J1646" s="90">
        <v>43600</v>
      </c>
      <c r="K1646" s="90">
        <v>43699</v>
      </c>
      <c r="L1646" s="87"/>
      <c r="M1646" s="93">
        <v>0</v>
      </c>
    </row>
    <row r="1647" spans="2:13" ht="15" customHeight="1" x14ac:dyDescent="0.25">
      <c r="B1647" s="28" t="str">
        <f>IF(ISNUMBER(MATCH(C1647, Mgt_Unit!$C$5:$C$1018, 0)), INDEX(Mgt_Unit!$B$5:$B$1018, MATCH(C1647, Mgt_Unit!$C$5:$C$1018, 0)), "")</f>
        <v>jennifer.moore</v>
      </c>
      <c r="C1647" t="s">
        <v>1067</v>
      </c>
      <c r="D1647" s="65"/>
      <c r="E1647">
        <v>1</v>
      </c>
      <c r="F1647" t="s">
        <v>1538</v>
      </c>
      <c r="G1647" t="s">
        <v>1544</v>
      </c>
      <c r="H1647" t="s">
        <v>441</v>
      </c>
      <c r="I1647" t="s">
        <v>27</v>
      </c>
      <c r="J1647" s="89">
        <v>40410</v>
      </c>
      <c r="K1647" s="89">
        <v>40756</v>
      </c>
      <c r="L1647"/>
      <c r="M1647" s="31">
        <v>0</v>
      </c>
    </row>
    <row r="1648" spans="2:13" ht="15" customHeight="1" x14ac:dyDescent="0.25">
      <c r="B1648" s="28" t="str">
        <f>IF(ISNUMBER(MATCH(C1648, Mgt_Unit!$C$5:$C$1018, 0)), INDEX(Mgt_Unit!$B$5:$B$1018, MATCH(C1648, Mgt_Unit!$C$5:$C$1018, 0)), "")</f>
        <v>jennifer.moore</v>
      </c>
      <c r="C1648" t="s">
        <v>1067</v>
      </c>
      <c r="D1648" s="65"/>
      <c r="E1648">
        <v>2</v>
      </c>
      <c r="F1648" t="s">
        <v>1538</v>
      </c>
      <c r="G1648" t="s">
        <v>1544</v>
      </c>
      <c r="H1648" t="s">
        <v>441</v>
      </c>
      <c r="I1648" t="s">
        <v>27</v>
      </c>
      <c r="J1648" s="89">
        <v>41141</v>
      </c>
      <c r="K1648" s="89">
        <v>41487</v>
      </c>
      <c r="L1648"/>
      <c r="M1648" s="31">
        <v>0</v>
      </c>
    </row>
    <row r="1649" spans="2:13" ht="15" customHeight="1" x14ac:dyDescent="0.25">
      <c r="B1649" s="28" t="str">
        <f>IF(ISNUMBER(MATCH(C1649, Mgt_Unit!$C$5:$C$1018, 0)), INDEX(Mgt_Unit!$B$5:$B$1018, MATCH(C1649, Mgt_Unit!$C$5:$C$1018, 0)), "")</f>
        <v>jennifer.moore</v>
      </c>
      <c r="C1649" t="s">
        <v>1067</v>
      </c>
      <c r="D1649" s="65"/>
      <c r="E1649">
        <v>3</v>
      </c>
      <c r="F1649" t="s">
        <v>1538</v>
      </c>
      <c r="G1649" t="s">
        <v>1544</v>
      </c>
      <c r="H1649" t="s">
        <v>441</v>
      </c>
      <c r="I1649" t="s">
        <v>29</v>
      </c>
      <c r="J1649" s="89">
        <v>41749</v>
      </c>
      <c r="K1649" s="89">
        <v>41871</v>
      </c>
      <c r="L1649"/>
      <c r="M1649" s="31">
        <v>0</v>
      </c>
    </row>
    <row r="1650" spans="2:13" ht="15" customHeight="1" x14ac:dyDescent="0.25">
      <c r="B1650" s="28" t="str">
        <f>IF(ISNUMBER(MATCH(C1650, Mgt_Unit!$C$5:$C$1018, 0)), INDEX(Mgt_Unit!$B$5:$B$1018, MATCH(C1650, Mgt_Unit!$C$5:$C$1018, 0)), "")</f>
        <v>jennifer.moore</v>
      </c>
      <c r="C1650" t="s">
        <v>1067</v>
      </c>
      <c r="D1650" s="65"/>
      <c r="E1650">
        <v>4</v>
      </c>
      <c r="F1650" t="s">
        <v>1538</v>
      </c>
      <c r="G1650" t="s">
        <v>1544</v>
      </c>
      <c r="H1650" t="s">
        <v>441</v>
      </c>
      <c r="I1650" t="s">
        <v>27</v>
      </c>
      <c r="J1650" s="89">
        <v>42236</v>
      </c>
      <c r="K1650" s="89">
        <v>42583</v>
      </c>
      <c r="L1650"/>
      <c r="M1650" s="31">
        <v>0</v>
      </c>
    </row>
    <row r="1651" spans="2:13" ht="15" customHeight="1" x14ac:dyDescent="0.25">
      <c r="B1651" s="28" t="str">
        <f>IF(ISNUMBER(MATCH(C1651, Mgt_Unit!$C$5:$C$1018, 0)), INDEX(Mgt_Unit!$B$5:$B$1018, MATCH(C1651, Mgt_Unit!$C$5:$C$1018, 0)), "")</f>
        <v>jennifer.moore</v>
      </c>
      <c r="C1651" t="s">
        <v>1067</v>
      </c>
      <c r="D1651" s="65"/>
      <c r="E1651">
        <v>5</v>
      </c>
      <c r="F1651" t="s">
        <v>1538</v>
      </c>
      <c r="G1651" t="s">
        <v>1544</v>
      </c>
      <c r="H1651" t="s">
        <v>48</v>
      </c>
      <c r="I1651" t="s">
        <v>59</v>
      </c>
      <c r="J1651" s="89">
        <v>42967</v>
      </c>
      <c r="K1651" s="89">
        <v>43332</v>
      </c>
      <c r="L1651"/>
      <c r="M1651" s="31">
        <v>0</v>
      </c>
    </row>
    <row r="1652" spans="2:13" ht="15" customHeight="1" x14ac:dyDescent="0.25">
      <c r="B1652" s="28" t="str">
        <f>IF(ISNUMBER(MATCH(C1652, Mgt_Unit!$C$5:$C$1018, 0)), INDEX(Mgt_Unit!$B$5:$B$1018, MATCH(C1652, Mgt_Unit!$C$5:$C$1018, 0)), "")</f>
        <v>jennifer.moore</v>
      </c>
      <c r="C1652" s="87" t="s">
        <v>1067</v>
      </c>
      <c r="D1652" s="65"/>
      <c r="E1652" s="87">
        <v>6</v>
      </c>
      <c r="F1652" s="87" t="s">
        <v>1538</v>
      </c>
      <c r="G1652" s="87" t="s">
        <v>1544</v>
      </c>
      <c r="H1652" s="87" t="s">
        <v>441</v>
      </c>
      <c r="I1652" s="87" t="s">
        <v>88</v>
      </c>
      <c r="J1652" s="90">
        <v>43600</v>
      </c>
      <c r="K1652" s="90">
        <v>43699</v>
      </c>
      <c r="L1652" s="87"/>
      <c r="M1652" s="93">
        <v>0</v>
      </c>
    </row>
    <row r="1653" spans="2:13" ht="15" customHeight="1" x14ac:dyDescent="0.25">
      <c r="B1653" s="28" t="str">
        <f>IF(ISNUMBER(MATCH(C1653, Mgt_Unit!$C$5:$C$1018, 0)), INDEX(Mgt_Unit!$B$5:$B$1018, MATCH(C1653, Mgt_Unit!$C$5:$C$1018, 0)), "")</f>
        <v>jennifer.moore</v>
      </c>
      <c r="C1653" t="s">
        <v>1068</v>
      </c>
      <c r="D1653" s="65"/>
      <c r="E1653">
        <v>1</v>
      </c>
      <c r="F1653" t="s">
        <v>1538</v>
      </c>
      <c r="G1653" t="s">
        <v>1544</v>
      </c>
      <c r="H1653" t="s">
        <v>441</v>
      </c>
      <c r="I1653" t="s">
        <v>27</v>
      </c>
      <c r="J1653" s="89">
        <v>40410</v>
      </c>
      <c r="K1653" s="89">
        <v>40756</v>
      </c>
      <c r="L1653"/>
      <c r="M1653" s="31">
        <v>0</v>
      </c>
    </row>
    <row r="1654" spans="2:13" ht="15" customHeight="1" x14ac:dyDescent="0.25">
      <c r="B1654" s="28" t="str">
        <f>IF(ISNUMBER(MATCH(C1654, Mgt_Unit!$C$5:$C$1018, 0)), INDEX(Mgt_Unit!$B$5:$B$1018, MATCH(C1654, Mgt_Unit!$C$5:$C$1018, 0)), "")</f>
        <v>jennifer.moore</v>
      </c>
      <c r="C1654" t="s">
        <v>1068</v>
      </c>
      <c r="D1654" s="65"/>
      <c r="E1654">
        <v>2</v>
      </c>
      <c r="F1654" t="s">
        <v>1538</v>
      </c>
      <c r="G1654" t="s">
        <v>1544</v>
      </c>
      <c r="H1654" t="s">
        <v>441</v>
      </c>
      <c r="I1654" t="s">
        <v>27</v>
      </c>
      <c r="J1654" s="89">
        <v>41141</v>
      </c>
      <c r="K1654" s="89">
        <v>41487</v>
      </c>
      <c r="L1654"/>
      <c r="M1654" s="31">
        <v>0</v>
      </c>
    </row>
    <row r="1655" spans="2:13" ht="15" customHeight="1" x14ac:dyDescent="0.25">
      <c r="B1655" s="28" t="str">
        <f>IF(ISNUMBER(MATCH(C1655, Mgt_Unit!$C$5:$C$1018, 0)), INDEX(Mgt_Unit!$B$5:$B$1018, MATCH(C1655, Mgt_Unit!$C$5:$C$1018, 0)), "")</f>
        <v>jennifer.moore</v>
      </c>
      <c r="C1655" t="s">
        <v>1068</v>
      </c>
      <c r="D1655" s="65"/>
      <c r="E1655">
        <v>3</v>
      </c>
      <c r="F1655" t="s">
        <v>1538</v>
      </c>
      <c r="G1655" t="s">
        <v>1544</v>
      </c>
      <c r="H1655" t="s">
        <v>441</v>
      </c>
      <c r="I1655" t="s">
        <v>29</v>
      </c>
      <c r="J1655" s="89">
        <v>41749</v>
      </c>
      <c r="K1655" s="89">
        <v>41871</v>
      </c>
      <c r="L1655"/>
      <c r="M1655" s="31">
        <v>0</v>
      </c>
    </row>
    <row r="1656" spans="2:13" ht="15" customHeight="1" x14ac:dyDescent="0.25">
      <c r="B1656" s="28" t="str">
        <f>IF(ISNUMBER(MATCH(C1656, Mgt_Unit!$C$5:$C$1018, 0)), INDEX(Mgt_Unit!$B$5:$B$1018, MATCH(C1656, Mgt_Unit!$C$5:$C$1018, 0)), "")</f>
        <v>jennifer.moore</v>
      </c>
      <c r="C1656" t="s">
        <v>1068</v>
      </c>
      <c r="D1656" s="65"/>
      <c r="E1656">
        <v>4</v>
      </c>
      <c r="F1656" t="s">
        <v>1538</v>
      </c>
      <c r="G1656" t="s">
        <v>1544</v>
      </c>
      <c r="H1656" t="s">
        <v>441</v>
      </c>
      <c r="I1656" t="s">
        <v>27</v>
      </c>
      <c r="J1656" s="89">
        <v>42236</v>
      </c>
      <c r="K1656" s="89">
        <v>42583</v>
      </c>
      <c r="L1656"/>
      <c r="M1656" s="31">
        <v>0</v>
      </c>
    </row>
    <row r="1657" spans="2:13" ht="15" customHeight="1" x14ac:dyDescent="0.25">
      <c r="B1657" s="28" t="str">
        <f>IF(ISNUMBER(MATCH(C1657, Mgt_Unit!$C$5:$C$1018, 0)), INDEX(Mgt_Unit!$B$5:$B$1018, MATCH(C1657, Mgt_Unit!$C$5:$C$1018, 0)), "")</f>
        <v>jennifer.moore</v>
      </c>
      <c r="C1657" t="s">
        <v>1068</v>
      </c>
      <c r="D1657" s="65"/>
      <c r="E1657">
        <v>5</v>
      </c>
      <c r="F1657" t="s">
        <v>1538</v>
      </c>
      <c r="G1657" t="s">
        <v>1544</v>
      </c>
      <c r="H1657" t="s">
        <v>48</v>
      </c>
      <c r="I1657" t="s">
        <v>59</v>
      </c>
      <c r="J1657" s="89">
        <v>42967</v>
      </c>
      <c r="K1657" s="89">
        <v>43332</v>
      </c>
      <c r="L1657"/>
      <c r="M1657" s="31">
        <v>0</v>
      </c>
    </row>
    <row r="1658" spans="2:13" ht="15" customHeight="1" x14ac:dyDescent="0.25">
      <c r="B1658" s="28" t="str">
        <f>IF(ISNUMBER(MATCH(C1658, Mgt_Unit!$C$5:$C$1018, 0)), INDEX(Mgt_Unit!$B$5:$B$1018, MATCH(C1658, Mgt_Unit!$C$5:$C$1018, 0)), "")</f>
        <v>jennifer.moore</v>
      </c>
      <c r="C1658" s="87" t="s">
        <v>1068</v>
      </c>
      <c r="D1658" s="65"/>
      <c r="E1658" s="87">
        <v>6</v>
      </c>
      <c r="F1658" s="87" t="s">
        <v>1538</v>
      </c>
      <c r="G1658" s="87" t="s">
        <v>1544</v>
      </c>
      <c r="H1658" s="87" t="s">
        <v>441</v>
      </c>
      <c r="I1658" s="87" t="s">
        <v>88</v>
      </c>
      <c r="J1658" s="90">
        <v>43600</v>
      </c>
      <c r="K1658" s="90">
        <v>43699</v>
      </c>
      <c r="L1658" s="87"/>
      <c r="M1658" s="93">
        <v>0</v>
      </c>
    </row>
    <row r="1659" spans="2:13" ht="15" customHeight="1" x14ac:dyDescent="0.25">
      <c r="B1659" s="28" t="str">
        <f>IF(ISNUMBER(MATCH(C1659, Mgt_Unit!$C$5:$C$1018, 0)), INDEX(Mgt_Unit!$B$5:$B$1018, MATCH(C1659, Mgt_Unit!$C$5:$C$1018, 0)), "")</f>
        <v>jennifer.moore</v>
      </c>
      <c r="C1659" t="s">
        <v>1069</v>
      </c>
      <c r="D1659" s="65"/>
      <c r="E1659">
        <v>1</v>
      </c>
      <c r="F1659" t="s">
        <v>1538</v>
      </c>
      <c r="G1659" t="s">
        <v>1544</v>
      </c>
      <c r="H1659" t="s">
        <v>441</v>
      </c>
      <c r="I1659" t="s">
        <v>27</v>
      </c>
      <c r="J1659" s="89">
        <v>40410</v>
      </c>
      <c r="K1659" s="89">
        <v>40756</v>
      </c>
      <c r="L1659"/>
      <c r="M1659" s="31">
        <v>0</v>
      </c>
    </row>
    <row r="1660" spans="2:13" ht="15" customHeight="1" x14ac:dyDescent="0.25">
      <c r="B1660" s="28" t="str">
        <f>IF(ISNUMBER(MATCH(C1660, Mgt_Unit!$C$5:$C$1018, 0)), INDEX(Mgt_Unit!$B$5:$B$1018, MATCH(C1660, Mgt_Unit!$C$5:$C$1018, 0)), "")</f>
        <v>jennifer.moore</v>
      </c>
      <c r="C1660" t="s">
        <v>1069</v>
      </c>
      <c r="D1660" s="65"/>
      <c r="E1660">
        <v>2</v>
      </c>
      <c r="F1660" t="s">
        <v>1538</v>
      </c>
      <c r="G1660" t="s">
        <v>1544</v>
      </c>
      <c r="H1660" t="s">
        <v>441</v>
      </c>
      <c r="I1660" t="s">
        <v>27</v>
      </c>
      <c r="J1660" s="89">
        <v>41141</v>
      </c>
      <c r="K1660" s="89">
        <v>41487</v>
      </c>
      <c r="L1660"/>
      <c r="M1660" s="31">
        <v>0</v>
      </c>
    </row>
    <row r="1661" spans="2:13" ht="15" customHeight="1" x14ac:dyDescent="0.25">
      <c r="B1661" s="28" t="str">
        <f>IF(ISNUMBER(MATCH(C1661, Mgt_Unit!$C$5:$C$1018, 0)), INDEX(Mgt_Unit!$B$5:$B$1018, MATCH(C1661, Mgt_Unit!$C$5:$C$1018, 0)), "")</f>
        <v>jennifer.moore</v>
      </c>
      <c r="C1661" t="s">
        <v>1069</v>
      </c>
      <c r="D1661" s="65"/>
      <c r="E1661">
        <v>3</v>
      </c>
      <c r="F1661" t="s">
        <v>1538</v>
      </c>
      <c r="G1661" t="s">
        <v>1544</v>
      </c>
      <c r="H1661" t="s">
        <v>441</v>
      </c>
      <c r="I1661" t="s">
        <v>29</v>
      </c>
      <c r="J1661" s="89">
        <v>41749</v>
      </c>
      <c r="K1661" s="89">
        <v>41871</v>
      </c>
      <c r="L1661"/>
      <c r="M1661" s="31">
        <v>0</v>
      </c>
    </row>
    <row r="1662" spans="2:13" ht="15" customHeight="1" x14ac:dyDescent="0.25">
      <c r="B1662" s="28" t="str">
        <f>IF(ISNUMBER(MATCH(C1662, Mgt_Unit!$C$5:$C$1018, 0)), INDEX(Mgt_Unit!$B$5:$B$1018, MATCH(C1662, Mgt_Unit!$C$5:$C$1018, 0)), "")</f>
        <v>jennifer.moore</v>
      </c>
      <c r="C1662" t="s">
        <v>1069</v>
      </c>
      <c r="D1662" s="65"/>
      <c r="E1662">
        <v>4</v>
      </c>
      <c r="F1662" t="s">
        <v>1538</v>
      </c>
      <c r="G1662" t="s">
        <v>1544</v>
      </c>
      <c r="H1662" t="s">
        <v>441</v>
      </c>
      <c r="I1662" t="s">
        <v>27</v>
      </c>
      <c r="J1662" s="89">
        <v>42236</v>
      </c>
      <c r="K1662" s="89">
        <v>42583</v>
      </c>
      <c r="L1662"/>
      <c r="M1662" s="31">
        <v>0</v>
      </c>
    </row>
    <row r="1663" spans="2:13" ht="15" customHeight="1" x14ac:dyDescent="0.25">
      <c r="B1663" s="28" t="str">
        <f>IF(ISNUMBER(MATCH(C1663, Mgt_Unit!$C$5:$C$1018, 0)), INDEX(Mgt_Unit!$B$5:$B$1018, MATCH(C1663, Mgt_Unit!$C$5:$C$1018, 0)), "")</f>
        <v>jennifer.moore</v>
      </c>
      <c r="C1663" t="s">
        <v>1069</v>
      </c>
      <c r="D1663" s="65"/>
      <c r="E1663">
        <v>5</v>
      </c>
      <c r="F1663" t="s">
        <v>1538</v>
      </c>
      <c r="G1663" t="s">
        <v>1544</v>
      </c>
      <c r="H1663" t="s">
        <v>48</v>
      </c>
      <c r="I1663" t="s">
        <v>59</v>
      </c>
      <c r="J1663" s="89">
        <v>42967</v>
      </c>
      <c r="K1663" s="89">
        <v>43332</v>
      </c>
      <c r="L1663"/>
      <c r="M1663" s="31">
        <v>0</v>
      </c>
    </row>
    <row r="1664" spans="2:13" ht="15" customHeight="1" x14ac:dyDescent="0.25">
      <c r="B1664" s="28" t="str">
        <f>IF(ISNUMBER(MATCH(C1664, Mgt_Unit!$C$5:$C$1018, 0)), INDEX(Mgt_Unit!$B$5:$B$1018, MATCH(C1664, Mgt_Unit!$C$5:$C$1018, 0)), "")</f>
        <v>jennifer.moore</v>
      </c>
      <c r="C1664" s="87" t="s">
        <v>1069</v>
      </c>
      <c r="D1664" s="65"/>
      <c r="E1664" s="87">
        <v>6</v>
      </c>
      <c r="F1664" s="87" t="s">
        <v>1538</v>
      </c>
      <c r="G1664" s="87" t="s">
        <v>1544</v>
      </c>
      <c r="H1664" s="87" t="s">
        <v>441</v>
      </c>
      <c r="I1664" s="87" t="s">
        <v>88</v>
      </c>
      <c r="J1664" s="90">
        <v>43600</v>
      </c>
      <c r="K1664" s="90">
        <v>43699</v>
      </c>
      <c r="L1664" s="87"/>
      <c r="M1664" s="93">
        <v>0</v>
      </c>
    </row>
    <row r="1665" spans="2:13" ht="15" customHeight="1" x14ac:dyDescent="0.25">
      <c r="B1665" s="28" t="str">
        <f>IF(ISNUMBER(MATCH(C1665, Mgt_Unit!$C$5:$C$1018, 0)), INDEX(Mgt_Unit!$B$5:$B$1018, MATCH(C1665, Mgt_Unit!$C$5:$C$1018, 0)), "")</f>
        <v>jennifer.moore</v>
      </c>
      <c r="C1665" t="s">
        <v>1070</v>
      </c>
      <c r="D1665" s="65"/>
      <c r="E1665">
        <v>1</v>
      </c>
      <c r="F1665" t="s">
        <v>1538</v>
      </c>
      <c r="G1665" t="s">
        <v>1544</v>
      </c>
      <c r="H1665" t="s">
        <v>441</v>
      </c>
      <c r="I1665" t="s">
        <v>27</v>
      </c>
      <c r="J1665" s="89">
        <v>40410</v>
      </c>
      <c r="K1665" s="89">
        <v>40756</v>
      </c>
      <c r="L1665"/>
      <c r="M1665" s="31">
        <v>0</v>
      </c>
    </row>
    <row r="1666" spans="2:13" ht="15" customHeight="1" x14ac:dyDescent="0.25">
      <c r="B1666" s="28" t="str">
        <f>IF(ISNUMBER(MATCH(C1666, Mgt_Unit!$C$5:$C$1018, 0)), INDEX(Mgt_Unit!$B$5:$B$1018, MATCH(C1666, Mgt_Unit!$C$5:$C$1018, 0)), "")</f>
        <v>jennifer.moore</v>
      </c>
      <c r="C1666" t="s">
        <v>1070</v>
      </c>
      <c r="D1666" s="65"/>
      <c r="E1666">
        <v>2</v>
      </c>
      <c r="F1666" t="s">
        <v>1538</v>
      </c>
      <c r="G1666" t="s">
        <v>1544</v>
      </c>
      <c r="H1666" t="s">
        <v>441</v>
      </c>
      <c r="I1666" t="s">
        <v>27</v>
      </c>
      <c r="J1666" s="89">
        <v>41141</v>
      </c>
      <c r="K1666" s="89">
        <v>41487</v>
      </c>
      <c r="L1666"/>
      <c r="M1666" s="31">
        <v>0</v>
      </c>
    </row>
    <row r="1667" spans="2:13" ht="15" customHeight="1" x14ac:dyDescent="0.25">
      <c r="B1667" s="28" t="str">
        <f>IF(ISNUMBER(MATCH(C1667, Mgt_Unit!$C$5:$C$1018, 0)), INDEX(Mgt_Unit!$B$5:$B$1018, MATCH(C1667, Mgt_Unit!$C$5:$C$1018, 0)), "")</f>
        <v>jennifer.moore</v>
      </c>
      <c r="C1667" t="s">
        <v>1070</v>
      </c>
      <c r="D1667" s="65"/>
      <c r="E1667">
        <v>3</v>
      </c>
      <c r="F1667" t="s">
        <v>1538</v>
      </c>
      <c r="G1667" t="s">
        <v>1544</v>
      </c>
      <c r="H1667" t="s">
        <v>441</v>
      </c>
      <c r="I1667" t="s">
        <v>29</v>
      </c>
      <c r="J1667" s="89">
        <v>41749</v>
      </c>
      <c r="K1667" s="89">
        <v>41871</v>
      </c>
      <c r="L1667"/>
      <c r="M1667" s="31">
        <v>0</v>
      </c>
    </row>
    <row r="1668" spans="2:13" ht="15" customHeight="1" x14ac:dyDescent="0.25">
      <c r="B1668" s="28" t="str">
        <f>IF(ISNUMBER(MATCH(C1668, Mgt_Unit!$C$5:$C$1018, 0)), INDEX(Mgt_Unit!$B$5:$B$1018, MATCH(C1668, Mgt_Unit!$C$5:$C$1018, 0)), "")</f>
        <v>jennifer.moore</v>
      </c>
      <c r="C1668" t="s">
        <v>1070</v>
      </c>
      <c r="D1668" s="65"/>
      <c r="E1668">
        <v>4</v>
      </c>
      <c r="F1668" t="s">
        <v>1538</v>
      </c>
      <c r="G1668" t="s">
        <v>1544</v>
      </c>
      <c r="H1668" t="s">
        <v>441</v>
      </c>
      <c r="I1668" t="s">
        <v>27</v>
      </c>
      <c r="J1668" s="89">
        <v>42236</v>
      </c>
      <c r="K1668" s="89">
        <v>42583</v>
      </c>
      <c r="L1668"/>
      <c r="M1668" s="31">
        <v>0</v>
      </c>
    </row>
    <row r="1669" spans="2:13" ht="15" customHeight="1" x14ac:dyDescent="0.25">
      <c r="B1669" s="28" t="str">
        <f>IF(ISNUMBER(MATCH(C1669, Mgt_Unit!$C$5:$C$1018, 0)), INDEX(Mgt_Unit!$B$5:$B$1018, MATCH(C1669, Mgt_Unit!$C$5:$C$1018, 0)), "")</f>
        <v>jennifer.moore</v>
      </c>
      <c r="C1669" t="s">
        <v>1070</v>
      </c>
      <c r="D1669" s="65"/>
      <c r="E1669">
        <v>5</v>
      </c>
      <c r="F1669" t="s">
        <v>1538</v>
      </c>
      <c r="G1669" t="s">
        <v>1544</v>
      </c>
      <c r="H1669" t="s">
        <v>48</v>
      </c>
      <c r="I1669" t="s">
        <v>59</v>
      </c>
      <c r="J1669" s="89">
        <v>42967</v>
      </c>
      <c r="K1669" s="89">
        <v>43332</v>
      </c>
      <c r="L1669"/>
      <c r="M1669" s="31">
        <v>0</v>
      </c>
    </row>
    <row r="1670" spans="2:13" ht="15" customHeight="1" x14ac:dyDescent="0.25">
      <c r="B1670" s="28" t="str">
        <f>IF(ISNUMBER(MATCH(C1670, Mgt_Unit!$C$5:$C$1018, 0)), INDEX(Mgt_Unit!$B$5:$B$1018, MATCH(C1670, Mgt_Unit!$C$5:$C$1018, 0)), "")</f>
        <v>jennifer.moore</v>
      </c>
      <c r="C1670" s="87" t="s">
        <v>1070</v>
      </c>
      <c r="D1670" s="65"/>
      <c r="E1670" s="87">
        <v>6</v>
      </c>
      <c r="F1670" s="87" t="s">
        <v>1538</v>
      </c>
      <c r="G1670" s="87" t="s">
        <v>1544</v>
      </c>
      <c r="H1670" s="87" t="s">
        <v>441</v>
      </c>
      <c r="I1670" s="87" t="s">
        <v>88</v>
      </c>
      <c r="J1670" s="90">
        <v>43600</v>
      </c>
      <c r="K1670" s="90">
        <v>43699</v>
      </c>
      <c r="L1670" s="87"/>
      <c r="M1670" s="93">
        <v>0</v>
      </c>
    </row>
    <row r="1671" spans="2:13" ht="15" customHeight="1" x14ac:dyDescent="0.25">
      <c r="B1671" s="28" t="str">
        <f>IF(ISNUMBER(MATCH(C1671, Mgt_Unit!$C$5:$C$1018, 0)), INDEX(Mgt_Unit!$B$5:$B$1018, MATCH(C1671, Mgt_Unit!$C$5:$C$1018, 0)), "")</f>
        <v>jennifer.moore</v>
      </c>
      <c r="C1671" s="88" t="s">
        <v>1071</v>
      </c>
      <c r="D1671" s="65"/>
      <c r="E1671" s="88">
        <v>1</v>
      </c>
      <c r="F1671" s="88" t="s">
        <v>1538</v>
      </c>
      <c r="G1671" s="88" t="s">
        <v>1544</v>
      </c>
      <c r="H1671" s="88" t="s">
        <v>441</v>
      </c>
      <c r="I1671" s="88" t="s">
        <v>202</v>
      </c>
      <c r="J1671" s="91">
        <v>43556</v>
      </c>
      <c r="K1671" s="91">
        <v>43678</v>
      </c>
      <c r="L1671" s="88"/>
      <c r="M1671" s="94">
        <v>0</v>
      </c>
    </row>
    <row r="1672" spans="2:13" ht="15" customHeight="1" x14ac:dyDescent="0.25">
      <c r="B1672" s="28" t="str">
        <f>IF(ISNUMBER(MATCH(C1672, Mgt_Unit!$C$5:$C$1018, 0)), INDEX(Mgt_Unit!$B$5:$B$1018, MATCH(C1672, Mgt_Unit!$C$5:$C$1018, 0)), "")</f>
        <v>jennifer.moore</v>
      </c>
      <c r="C1672" t="s">
        <v>1072</v>
      </c>
      <c r="D1672" s="65"/>
      <c r="E1672">
        <v>1</v>
      </c>
      <c r="F1672" t="s">
        <v>1538</v>
      </c>
      <c r="G1672" t="s">
        <v>1544</v>
      </c>
      <c r="H1672" t="s">
        <v>441</v>
      </c>
      <c r="I1672" t="s">
        <v>29</v>
      </c>
      <c r="J1672" s="89">
        <v>43344</v>
      </c>
      <c r="K1672" s="89">
        <v>43678</v>
      </c>
      <c r="L1672"/>
      <c r="M1672" s="31">
        <v>0</v>
      </c>
    </row>
    <row r="1673" spans="2:13" ht="15" customHeight="1" x14ac:dyDescent="0.25">
      <c r="B1673" s="28" t="str">
        <f>IF(ISNUMBER(MATCH(C1673, Mgt_Unit!$C$5:$C$1018, 0)), INDEX(Mgt_Unit!$B$5:$B$1018, MATCH(C1673, Mgt_Unit!$C$5:$C$1018, 0)), "")</f>
        <v>jennifer.moore</v>
      </c>
      <c r="C1673" s="87" t="s">
        <v>1072</v>
      </c>
      <c r="D1673" s="65"/>
      <c r="E1673" s="87">
        <v>2</v>
      </c>
      <c r="F1673" s="87" t="s">
        <v>1538</v>
      </c>
      <c r="G1673" s="87" t="s">
        <v>1544</v>
      </c>
      <c r="H1673" s="87" t="s">
        <v>441</v>
      </c>
      <c r="I1673" s="87" t="s">
        <v>202</v>
      </c>
      <c r="J1673" s="90">
        <v>43922</v>
      </c>
      <c r="K1673" s="90">
        <v>44044</v>
      </c>
      <c r="L1673" s="87"/>
      <c r="M1673" s="93">
        <v>0</v>
      </c>
    </row>
    <row r="1674" spans="2:13" ht="15" customHeight="1" x14ac:dyDescent="0.25">
      <c r="B1674" s="28" t="str">
        <f>IF(ISNUMBER(MATCH(C1674, Mgt_Unit!$C$5:$C$1018, 0)), INDEX(Mgt_Unit!$B$5:$B$1018, MATCH(C1674, Mgt_Unit!$C$5:$C$1018, 0)), "")</f>
        <v>jennifer.moore</v>
      </c>
      <c r="C1674" s="88" t="s">
        <v>1073</v>
      </c>
      <c r="D1674" s="65"/>
      <c r="E1674" s="88">
        <v>1</v>
      </c>
      <c r="F1674" s="88" t="s">
        <v>1538</v>
      </c>
      <c r="G1674" s="88" t="s">
        <v>1544</v>
      </c>
      <c r="H1674" s="88" t="s">
        <v>441</v>
      </c>
      <c r="I1674" s="88" t="s">
        <v>27</v>
      </c>
      <c r="J1674" s="91">
        <v>43344</v>
      </c>
      <c r="K1674" s="91">
        <v>43678</v>
      </c>
      <c r="L1674" s="88"/>
      <c r="M1674" s="94">
        <v>0</v>
      </c>
    </row>
    <row r="1675" spans="2:13" ht="15" customHeight="1" x14ac:dyDescent="0.25">
      <c r="B1675" s="28" t="str">
        <f>IF(ISNUMBER(MATCH(C1675, Mgt_Unit!$C$5:$C$1018, 0)), INDEX(Mgt_Unit!$B$5:$B$1018, MATCH(C1675, Mgt_Unit!$C$5:$C$1018, 0)), "")</f>
        <v>jennifer.moore</v>
      </c>
      <c r="C1675" t="s">
        <v>1074</v>
      </c>
      <c r="D1675" s="65"/>
      <c r="E1675">
        <v>1</v>
      </c>
      <c r="F1675" t="s">
        <v>1538</v>
      </c>
      <c r="G1675" t="s">
        <v>1544</v>
      </c>
      <c r="H1675" t="s">
        <v>441</v>
      </c>
      <c r="I1675" t="s">
        <v>27</v>
      </c>
      <c r="J1675" s="89">
        <v>43344</v>
      </c>
      <c r="K1675" s="89">
        <v>43678</v>
      </c>
      <c r="L1675"/>
      <c r="M1675" s="31">
        <v>0</v>
      </c>
    </row>
    <row r="1676" spans="2:13" ht="15" customHeight="1" x14ac:dyDescent="0.25">
      <c r="B1676" s="28" t="str">
        <f>IF(ISNUMBER(MATCH(C1676, Mgt_Unit!$C$5:$C$1018, 0)), INDEX(Mgt_Unit!$B$5:$B$1018, MATCH(C1676, Mgt_Unit!$C$5:$C$1018, 0)), "")</f>
        <v>jennifer.moore</v>
      </c>
      <c r="C1676" s="87" t="s">
        <v>1074</v>
      </c>
      <c r="D1676" s="65"/>
      <c r="E1676" s="87">
        <v>2</v>
      </c>
      <c r="F1676" s="87" t="s">
        <v>1538</v>
      </c>
      <c r="G1676" s="87" t="s">
        <v>1544</v>
      </c>
      <c r="H1676" s="87" t="s">
        <v>441</v>
      </c>
      <c r="I1676" s="87" t="s">
        <v>202</v>
      </c>
      <c r="J1676" s="90">
        <v>43922</v>
      </c>
      <c r="K1676" s="90">
        <v>44044</v>
      </c>
      <c r="L1676" s="87"/>
      <c r="M1676" s="93">
        <v>0</v>
      </c>
    </row>
    <row r="1677" spans="2:13" ht="15" customHeight="1" x14ac:dyDescent="0.25">
      <c r="B1677" s="28" t="str">
        <f>IF(ISNUMBER(MATCH(C1677, Mgt_Unit!$C$5:$C$1018, 0)), INDEX(Mgt_Unit!$B$5:$B$1018, MATCH(C1677, Mgt_Unit!$C$5:$C$1018, 0)), "")</f>
        <v>jennifer.moore</v>
      </c>
      <c r="C1677" s="88" t="s">
        <v>1075</v>
      </c>
      <c r="D1677" s="65"/>
      <c r="E1677" s="88">
        <v>1</v>
      </c>
      <c r="F1677" s="88" t="s">
        <v>1538</v>
      </c>
      <c r="G1677" s="88" t="s">
        <v>1544</v>
      </c>
      <c r="H1677" s="88" t="s">
        <v>50</v>
      </c>
      <c r="I1677" s="88" t="s">
        <v>87</v>
      </c>
      <c r="J1677" s="91">
        <v>43227</v>
      </c>
      <c r="K1677" s="91">
        <v>43388</v>
      </c>
      <c r="L1677" s="88"/>
      <c r="M1677" s="94">
        <v>0</v>
      </c>
    </row>
    <row r="1678" spans="2:13" ht="15" customHeight="1" x14ac:dyDescent="0.25">
      <c r="B1678" s="28" t="str">
        <f>IF(ISNUMBER(MATCH(C1678, Mgt_Unit!$C$5:$C$1018, 0)), INDEX(Mgt_Unit!$B$5:$B$1018, MATCH(C1678, Mgt_Unit!$C$5:$C$1018, 0)), "")</f>
        <v>jennifer.moore</v>
      </c>
      <c r="C1678" t="s">
        <v>1076</v>
      </c>
      <c r="D1678" s="65"/>
      <c r="E1678">
        <v>1</v>
      </c>
      <c r="F1678" t="s">
        <v>1538</v>
      </c>
      <c r="G1678" t="s">
        <v>1544</v>
      </c>
      <c r="H1678" t="s">
        <v>50</v>
      </c>
      <c r="I1678" t="s">
        <v>87</v>
      </c>
      <c r="J1678" s="89">
        <v>42124</v>
      </c>
      <c r="K1678" s="89">
        <v>42299</v>
      </c>
      <c r="L1678"/>
      <c r="M1678" s="31">
        <v>0</v>
      </c>
    </row>
    <row r="1679" spans="2:13" ht="15" customHeight="1" x14ac:dyDescent="0.25">
      <c r="B1679" s="28" t="str">
        <f>IF(ISNUMBER(MATCH(C1679, Mgt_Unit!$C$5:$C$1018, 0)), INDEX(Mgt_Unit!$B$5:$B$1018, MATCH(C1679, Mgt_Unit!$C$5:$C$1018, 0)), "")</f>
        <v>jennifer.moore</v>
      </c>
      <c r="C1679" t="s">
        <v>1076</v>
      </c>
      <c r="D1679" s="65"/>
      <c r="E1679">
        <v>2</v>
      </c>
      <c r="F1679" t="s">
        <v>1538</v>
      </c>
      <c r="G1679" t="s">
        <v>1536</v>
      </c>
      <c r="H1679" t="s">
        <v>442</v>
      </c>
      <c r="I1679" t="s">
        <v>65</v>
      </c>
      <c r="J1679" s="89">
        <v>42475</v>
      </c>
      <c r="K1679" s="89">
        <v>42572</v>
      </c>
      <c r="L1679"/>
      <c r="M1679" s="31">
        <v>90</v>
      </c>
    </row>
    <row r="1680" spans="2:13" ht="15" customHeight="1" x14ac:dyDescent="0.25">
      <c r="B1680" s="28" t="str">
        <f>IF(ISNUMBER(MATCH(C1680, Mgt_Unit!$C$5:$C$1018, 0)), INDEX(Mgt_Unit!$B$5:$B$1018, MATCH(C1680, Mgt_Unit!$C$5:$C$1018, 0)), "")</f>
        <v>jennifer.moore</v>
      </c>
      <c r="C1680" t="s">
        <v>1076</v>
      </c>
      <c r="D1680" s="65"/>
      <c r="E1680">
        <v>2</v>
      </c>
      <c r="F1680" t="s">
        <v>1538</v>
      </c>
      <c r="G1680" t="s">
        <v>1536</v>
      </c>
      <c r="H1680" t="s">
        <v>442</v>
      </c>
      <c r="I1680" t="s">
        <v>65</v>
      </c>
      <c r="J1680" s="89"/>
      <c r="K1680" s="89">
        <v>42614</v>
      </c>
      <c r="L1680" s="89"/>
      <c r="M1680" s="31">
        <v>90</v>
      </c>
    </row>
    <row r="1681" spans="2:19" ht="15" customHeight="1" x14ac:dyDescent="0.25">
      <c r="B1681" s="28" t="str">
        <f>IF(ISNUMBER(MATCH(C1681, Mgt_Unit!$C$5:$C$1018, 0)), INDEX(Mgt_Unit!$B$5:$B$1018, MATCH(C1681, Mgt_Unit!$C$5:$C$1018, 0)), "")</f>
        <v>jennifer.moore</v>
      </c>
      <c r="C1681" t="s">
        <v>1076</v>
      </c>
      <c r="D1681" s="65"/>
      <c r="E1681">
        <v>2</v>
      </c>
      <c r="F1681" t="s">
        <v>1538</v>
      </c>
      <c r="G1681" t="s">
        <v>1536</v>
      </c>
      <c r="H1681" t="s">
        <v>442</v>
      </c>
      <c r="I1681" t="s">
        <v>65</v>
      </c>
      <c r="J1681" s="89"/>
      <c r="K1681" s="89">
        <v>42881</v>
      </c>
      <c r="L1681" s="89"/>
      <c r="M1681" s="31">
        <v>90</v>
      </c>
    </row>
    <row r="1682" spans="2:19" ht="15" customHeight="1" x14ac:dyDescent="0.25">
      <c r="B1682" s="28" t="str">
        <f>IF(ISNUMBER(MATCH(C1682, Mgt_Unit!$C$5:$C$1018, 0)), INDEX(Mgt_Unit!$B$5:$B$1018, MATCH(C1682, Mgt_Unit!$C$5:$C$1018, 0)), "")</f>
        <v>jennifer.moore</v>
      </c>
      <c r="C1682" t="s">
        <v>1076</v>
      </c>
      <c r="D1682" s="65"/>
      <c r="E1682">
        <v>2</v>
      </c>
      <c r="F1682" t="s">
        <v>1538</v>
      </c>
      <c r="G1682" t="s">
        <v>1536</v>
      </c>
      <c r="H1682" t="s">
        <v>442</v>
      </c>
      <c r="I1682" t="s">
        <v>65</v>
      </c>
      <c r="J1682" s="89"/>
      <c r="K1682" s="89">
        <v>42913</v>
      </c>
      <c r="L1682" s="89"/>
      <c r="M1682" s="31">
        <v>90</v>
      </c>
    </row>
    <row r="1683" spans="2:19" ht="15" customHeight="1" x14ac:dyDescent="0.25">
      <c r="B1683" s="28" t="str">
        <f>IF(ISNUMBER(MATCH(C1683, Mgt_Unit!$C$5:$C$1018, 0)), INDEX(Mgt_Unit!$B$5:$B$1018, MATCH(C1683, Mgt_Unit!$C$5:$C$1018, 0)), "")</f>
        <v>jennifer.moore</v>
      </c>
      <c r="C1683" t="s">
        <v>1076</v>
      </c>
      <c r="D1683" s="65"/>
      <c r="E1683">
        <v>2</v>
      </c>
      <c r="F1683" t="s">
        <v>1538</v>
      </c>
      <c r="G1683" t="s">
        <v>1536</v>
      </c>
      <c r="H1683" t="s">
        <v>442</v>
      </c>
      <c r="I1683" t="s">
        <v>65</v>
      </c>
      <c r="J1683" s="89"/>
      <c r="K1683" s="89">
        <v>42942</v>
      </c>
      <c r="L1683" s="89"/>
      <c r="M1683" s="31">
        <v>90</v>
      </c>
    </row>
    <row r="1684" spans="2:19" ht="15" customHeight="1" x14ac:dyDescent="0.25">
      <c r="B1684" s="28" t="str">
        <f>IF(ISNUMBER(MATCH(C1684, Mgt_Unit!$C$5:$C$1018, 0)), INDEX(Mgt_Unit!$B$5:$B$1018, MATCH(C1684, Mgt_Unit!$C$5:$C$1018, 0)), "")</f>
        <v>jennifer.moore</v>
      </c>
      <c r="C1684" t="s">
        <v>1076</v>
      </c>
      <c r="D1684" s="65"/>
      <c r="E1684">
        <v>2</v>
      </c>
      <c r="F1684" t="s">
        <v>1538</v>
      </c>
      <c r="G1684" t="s">
        <v>1536</v>
      </c>
      <c r="H1684" t="s">
        <v>442</v>
      </c>
      <c r="I1684" t="s">
        <v>65</v>
      </c>
      <c r="J1684" s="89"/>
      <c r="K1684" s="89">
        <v>42976</v>
      </c>
      <c r="L1684" s="89"/>
      <c r="M1684" s="31">
        <v>90</v>
      </c>
    </row>
    <row r="1685" spans="2:19" ht="15" customHeight="1" x14ac:dyDescent="0.25">
      <c r="B1685" s="28" t="str">
        <f>IF(ISNUMBER(MATCH(C1685, Mgt_Unit!$C$5:$C$1018, 0)), INDEX(Mgt_Unit!$B$5:$B$1018, MATCH(C1685, Mgt_Unit!$C$5:$C$1018, 0)), "")</f>
        <v>jennifer.moore</v>
      </c>
      <c r="C1685" t="s">
        <v>1076</v>
      </c>
      <c r="D1685" s="65"/>
      <c r="E1685">
        <v>2</v>
      </c>
      <c r="F1685" t="s">
        <v>1538</v>
      </c>
      <c r="G1685" t="s">
        <v>1536</v>
      </c>
      <c r="H1685" t="s">
        <v>442</v>
      </c>
      <c r="I1685" t="s">
        <v>65</v>
      </c>
      <c r="J1685" s="89"/>
      <c r="K1685" s="89">
        <v>43249</v>
      </c>
      <c r="L1685" s="89"/>
      <c r="M1685" s="31">
        <v>90</v>
      </c>
    </row>
    <row r="1686" spans="2:19" ht="15" customHeight="1" x14ac:dyDescent="0.25">
      <c r="B1686" s="28" t="str">
        <f>IF(ISNUMBER(MATCH(C1686, Mgt_Unit!$C$5:$C$1018, 0)), INDEX(Mgt_Unit!$B$5:$B$1018, MATCH(C1686, Mgt_Unit!$C$5:$C$1018, 0)), "")</f>
        <v>jennifer.moore</v>
      </c>
      <c r="C1686" t="s">
        <v>1076</v>
      </c>
      <c r="D1686" s="65"/>
      <c r="E1686">
        <v>2</v>
      </c>
      <c r="F1686" t="s">
        <v>1538</v>
      </c>
      <c r="G1686" t="s">
        <v>1536</v>
      </c>
      <c r="H1686" t="s">
        <v>442</v>
      </c>
      <c r="I1686" t="s">
        <v>65</v>
      </c>
      <c r="J1686" s="89"/>
      <c r="K1686" s="89">
        <v>43281</v>
      </c>
      <c r="L1686" s="89"/>
      <c r="M1686" s="31">
        <v>90</v>
      </c>
    </row>
    <row r="1687" spans="2:19" ht="15" customHeight="1" x14ac:dyDescent="0.25">
      <c r="B1687" s="28" t="str">
        <f>IF(ISNUMBER(MATCH(C1687, Mgt_Unit!$C$5:$C$1018, 0)), INDEX(Mgt_Unit!$B$5:$B$1018, MATCH(C1687, Mgt_Unit!$C$5:$C$1018, 0)), "")</f>
        <v>jennifer.moore</v>
      </c>
      <c r="C1687" t="s">
        <v>1076</v>
      </c>
      <c r="D1687" s="65"/>
      <c r="E1687">
        <v>2</v>
      </c>
      <c r="F1687" t="s">
        <v>1538</v>
      </c>
      <c r="G1687" t="s">
        <v>1536</v>
      </c>
      <c r="H1687" t="s">
        <v>442</v>
      </c>
      <c r="I1687" t="s">
        <v>65</v>
      </c>
      <c r="J1687" s="89"/>
      <c r="K1687" s="89">
        <v>43312</v>
      </c>
      <c r="L1687" s="89"/>
      <c r="M1687" s="31">
        <v>90</v>
      </c>
    </row>
    <row r="1688" spans="2:19" ht="15" customHeight="1" x14ac:dyDescent="0.25">
      <c r="B1688" s="28" t="str">
        <f>IF(ISNUMBER(MATCH(C1688, Mgt_Unit!$C$5:$C$1018, 0)), INDEX(Mgt_Unit!$B$5:$B$1018, MATCH(C1688, Mgt_Unit!$C$5:$C$1018, 0)), "")</f>
        <v>jennifer.moore</v>
      </c>
      <c r="C1688" s="87" t="s">
        <v>1076</v>
      </c>
      <c r="D1688" s="65"/>
      <c r="E1688" s="87">
        <v>2</v>
      </c>
      <c r="F1688" s="87" t="s">
        <v>1538</v>
      </c>
      <c r="G1688" s="87" t="s">
        <v>1536</v>
      </c>
      <c r="H1688" s="87" t="s">
        <v>442</v>
      </c>
      <c r="I1688" s="87" t="s">
        <v>65</v>
      </c>
      <c r="J1688" s="90"/>
      <c r="K1688" s="90">
        <v>43352</v>
      </c>
      <c r="L1688" s="90">
        <v>43416</v>
      </c>
      <c r="M1688" s="93">
        <v>90</v>
      </c>
    </row>
    <row r="1689" spans="2:19" ht="15" customHeight="1" x14ac:dyDescent="0.25">
      <c r="B1689" s="28" t="str">
        <f>IF(ISNUMBER(MATCH(C1689, Mgt_Unit!$C$5:$C$1018, 0)), INDEX(Mgt_Unit!$B$5:$B$1018, MATCH(C1689, Mgt_Unit!$C$5:$C$1018, 0)), "")</f>
        <v>jennifer.moore</v>
      </c>
      <c r="C1689" t="s">
        <v>1077</v>
      </c>
      <c r="D1689" s="65"/>
      <c r="E1689">
        <v>1</v>
      </c>
      <c r="F1689" t="s">
        <v>1538</v>
      </c>
      <c r="G1689" t="s">
        <v>1544</v>
      </c>
      <c r="H1689" t="s">
        <v>50</v>
      </c>
      <c r="I1689" t="s">
        <v>87</v>
      </c>
      <c r="J1689" s="89">
        <v>42510</v>
      </c>
      <c r="K1689" s="89">
        <v>42663</v>
      </c>
      <c r="L1689"/>
      <c r="M1689" s="31">
        <v>0</v>
      </c>
    </row>
    <row r="1690" spans="2:19" ht="15" customHeight="1" x14ac:dyDescent="0.25">
      <c r="B1690" s="28" t="str">
        <f>IF(ISNUMBER(MATCH(C1690, Mgt_Unit!$C$5:$C$1018, 0)), INDEX(Mgt_Unit!$B$5:$B$1018, MATCH(C1690, Mgt_Unit!$C$5:$C$1018, 0)), "")</f>
        <v>jennifer.moore</v>
      </c>
      <c r="C1690" t="s">
        <v>1077</v>
      </c>
      <c r="D1690" s="65"/>
      <c r="E1690">
        <v>2</v>
      </c>
      <c r="F1690" t="s">
        <v>1537</v>
      </c>
      <c r="G1690" t="s">
        <v>1544</v>
      </c>
      <c r="H1690" t="s">
        <v>441</v>
      </c>
      <c r="I1690" t="s">
        <v>88</v>
      </c>
      <c r="J1690" s="89">
        <v>42850</v>
      </c>
      <c r="K1690" s="89">
        <v>42913</v>
      </c>
      <c r="L1690"/>
      <c r="M1690" s="31">
        <v>90</v>
      </c>
      <c r="S1690" t="s">
        <v>1591</v>
      </c>
    </row>
    <row r="1691" spans="2:19" ht="15" customHeight="1" x14ac:dyDescent="0.25">
      <c r="B1691" s="28" t="str">
        <f>IF(ISNUMBER(MATCH(C1691, Mgt_Unit!$C$5:$C$1018, 0)), INDEX(Mgt_Unit!$B$5:$B$1018, MATCH(C1691, Mgt_Unit!$C$5:$C$1018, 0)), "")</f>
        <v>jennifer.moore</v>
      </c>
      <c r="C1691" t="s">
        <v>1077</v>
      </c>
      <c r="D1691" s="65"/>
      <c r="E1691">
        <v>2</v>
      </c>
      <c r="F1691" t="s">
        <v>1537</v>
      </c>
      <c r="G1691" t="s">
        <v>1536</v>
      </c>
      <c r="H1691" t="s">
        <v>442</v>
      </c>
      <c r="I1691" t="s">
        <v>65</v>
      </c>
      <c r="J1691" s="89">
        <v>42850</v>
      </c>
      <c r="K1691" s="89">
        <v>42913</v>
      </c>
      <c r="L1691"/>
      <c r="M1691" s="31">
        <v>90</v>
      </c>
    </row>
    <row r="1692" spans="2:19" ht="15" customHeight="1" x14ac:dyDescent="0.25">
      <c r="B1692" s="28" t="str">
        <f>IF(ISNUMBER(MATCH(C1692, Mgt_Unit!$C$5:$C$1018, 0)), INDEX(Mgt_Unit!$B$5:$B$1018, MATCH(C1692, Mgt_Unit!$C$5:$C$1018, 0)), "")</f>
        <v>jennifer.moore</v>
      </c>
      <c r="C1692" t="s">
        <v>1077</v>
      </c>
      <c r="D1692" s="65"/>
      <c r="E1692">
        <v>2</v>
      </c>
      <c r="F1692" t="s">
        <v>1537</v>
      </c>
      <c r="G1692" t="s">
        <v>1536</v>
      </c>
      <c r="H1692" t="s">
        <v>442</v>
      </c>
      <c r="I1692" t="s">
        <v>65</v>
      </c>
      <c r="J1692" s="89"/>
      <c r="K1692" s="89">
        <v>42942</v>
      </c>
      <c r="L1692" s="89"/>
      <c r="M1692" s="31">
        <v>90</v>
      </c>
    </row>
    <row r="1693" spans="2:19" ht="15" customHeight="1" x14ac:dyDescent="0.25">
      <c r="B1693" s="28" t="str">
        <f>IF(ISNUMBER(MATCH(C1693, Mgt_Unit!$C$5:$C$1018, 0)), INDEX(Mgt_Unit!$B$5:$B$1018, MATCH(C1693, Mgt_Unit!$C$5:$C$1018, 0)), "")</f>
        <v>jennifer.moore</v>
      </c>
      <c r="C1693" t="s">
        <v>1077</v>
      </c>
      <c r="D1693" s="65"/>
      <c r="E1693">
        <v>2</v>
      </c>
      <c r="F1693" t="s">
        <v>1537</v>
      </c>
      <c r="G1693" t="s">
        <v>1536</v>
      </c>
      <c r="H1693" t="s">
        <v>442</v>
      </c>
      <c r="I1693" t="s">
        <v>65</v>
      </c>
      <c r="J1693" s="89"/>
      <c r="K1693" s="89">
        <v>42976</v>
      </c>
      <c r="L1693" s="89"/>
      <c r="M1693" s="31">
        <v>90</v>
      </c>
    </row>
    <row r="1694" spans="2:19" ht="15" customHeight="1" x14ac:dyDescent="0.25">
      <c r="B1694" s="28" t="str">
        <f>IF(ISNUMBER(MATCH(C1694, Mgt_Unit!$C$5:$C$1018, 0)), INDEX(Mgt_Unit!$B$5:$B$1018, MATCH(C1694, Mgt_Unit!$C$5:$C$1018, 0)), "")</f>
        <v>jennifer.moore</v>
      </c>
      <c r="C1694" t="s">
        <v>1077</v>
      </c>
      <c r="D1694" s="65"/>
      <c r="E1694">
        <v>2</v>
      </c>
      <c r="F1694" t="s">
        <v>1537</v>
      </c>
      <c r="G1694" t="s">
        <v>1536</v>
      </c>
      <c r="H1694" t="s">
        <v>442</v>
      </c>
      <c r="I1694" t="s">
        <v>65</v>
      </c>
      <c r="J1694" s="89"/>
      <c r="K1694" s="89">
        <v>43249</v>
      </c>
      <c r="L1694" s="89"/>
      <c r="M1694" s="31">
        <v>90</v>
      </c>
    </row>
    <row r="1695" spans="2:19" ht="15" customHeight="1" x14ac:dyDescent="0.25">
      <c r="B1695" s="28" t="str">
        <f>IF(ISNUMBER(MATCH(C1695, Mgt_Unit!$C$5:$C$1018, 0)), INDEX(Mgt_Unit!$B$5:$B$1018, MATCH(C1695, Mgt_Unit!$C$5:$C$1018, 0)), "")</f>
        <v>jennifer.moore</v>
      </c>
      <c r="C1695" t="s">
        <v>1077</v>
      </c>
      <c r="D1695" s="65"/>
      <c r="E1695">
        <v>2</v>
      </c>
      <c r="F1695" t="s">
        <v>1537</v>
      </c>
      <c r="G1695" t="s">
        <v>1536</v>
      </c>
      <c r="H1695" t="s">
        <v>442</v>
      </c>
      <c r="I1695" t="s">
        <v>65</v>
      </c>
      <c r="J1695" s="89"/>
      <c r="K1695" s="89">
        <v>43281</v>
      </c>
      <c r="L1695" s="89"/>
      <c r="M1695" s="31">
        <v>90</v>
      </c>
    </row>
    <row r="1696" spans="2:19" ht="15" customHeight="1" x14ac:dyDescent="0.25">
      <c r="B1696" s="28" t="str">
        <f>IF(ISNUMBER(MATCH(C1696, Mgt_Unit!$C$5:$C$1018, 0)), INDEX(Mgt_Unit!$B$5:$B$1018, MATCH(C1696, Mgt_Unit!$C$5:$C$1018, 0)), "")</f>
        <v>jennifer.moore</v>
      </c>
      <c r="C1696" t="s">
        <v>1077</v>
      </c>
      <c r="D1696" s="65"/>
      <c r="E1696">
        <v>2</v>
      </c>
      <c r="F1696" t="s">
        <v>1537</v>
      </c>
      <c r="G1696" t="s">
        <v>1536</v>
      </c>
      <c r="H1696" t="s">
        <v>442</v>
      </c>
      <c r="I1696" t="s">
        <v>65</v>
      </c>
      <c r="J1696" s="89"/>
      <c r="K1696" s="89">
        <v>43312</v>
      </c>
      <c r="L1696" s="89"/>
      <c r="M1696" s="31">
        <v>90</v>
      </c>
    </row>
    <row r="1697" spans="2:13" ht="15" customHeight="1" x14ac:dyDescent="0.25">
      <c r="B1697" s="28" t="str">
        <f>IF(ISNUMBER(MATCH(C1697, Mgt_Unit!$C$5:$C$1018, 0)), INDEX(Mgt_Unit!$B$5:$B$1018, MATCH(C1697, Mgt_Unit!$C$5:$C$1018, 0)), "")</f>
        <v>jennifer.moore</v>
      </c>
      <c r="C1697" s="87" t="s">
        <v>1077</v>
      </c>
      <c r="D1697" s="65"/>
      <c r="E1697" s="87">
        <v>2</v>
      </c>
      <c r="F1697" s="87" t="s">
        <v>1537</v>
      </c>
      <c r="G1697" s="87" t="s">
        <v>1536</v>
      </c>
      <c r="H1697" s="87" t="s">
        <v>442</v>
      </c>
      <c r="I1697" s="87" t="s">
        <v>65</v>
      </c>
      <c r="J1697" s="90"/>
      <c r="K1697" s="90">
        <v>43352</v>
      </c>
      <c r="L1697" s="90">
        <v>43399</v>
      </c>
      <c r="M1697" s="93">
        <v>90</v>
      </c>
    </row>
    <row r="1698" spans="2:13" ht="15" customHeight="1" x14ac:dyDescent="0.25">
      <c r="B1698" s="28" t="str">
        <f>IF(ISNUMBER(MATCH(C1698, Mgt_Unit!$C$5:$C$1018, 0)), INDEX(Mgt_Unit!$B$5:$B$1018, MATCH(C1698, Mgt_Unit!$C$5:$C$1018, 0)), "")</f>
        <v>jennifer.moore</v>
      </c>
      <c r="C1698" t="s">
        <v>1078</v>
      </c>
      <c r="D1698" s="65"/>
      <c r="E1698">
        <v>1</v>
      </c>
      <c r="F1698" t="s">
        <v>1538</v>
      </c>
      <c r="G1698" t="s">
        <v>1544</v>
      </c>
      <c r="H1698" t="s">
        <v>50</v>
      </c>
      <c r="I1698" t="s">
        <v>87</v>
      </c>
      <c r="J1698" s="89">
        <v>42860</v>
      </c>
      <c r="K1698" s="89">
        <v>43035</v>
      </c>
      <c r="L1698"/>
      <c r="M1698" s="31">
        <v>0</v>
      </c>
    </row>
    <row r="1699" spans="2:13" ht="15" customHeight="1" x14ac:dyDescent="0.25">
      <c r="B1699" s="28" t="str">
        <f>IF(ISNUMBER(MATCH(C1699, Mgt_Unit!$C$5:$C$1018, 0)), INDEX(Mgt_Unit!$B$5:$B$1018, MATCH(C1699, Mgt_Unit!$C$5:$C$1018, 0)), "")</f>
        <v>jennifer.moore</v>
      </c>
      <c r="C1699" s="87" t="s">
        <v>1078</v>
      </c>
      <c r="D1699" s="65"/>
      <c r="E1699" s="87">
        <v>2</v>
      </c>
      <c r="F1699" s="87" t="s">
        <v>1538</v>
      </c>
      <c r="G1699" s="87" t="s">
        <v>1544</v>
      </c>
      <c r="H1699" s="87" t="s">
        <v>51</v>
      </c>
      <c r="I1699" s="87" t="s">
        <v>137</v>
      </c>
      <c r="J1699" s="90">
        <v>43227</v>
      </c>
      <c r="K1699" s="90">
        <v>43390</v>
      </c>
      <c r="L1699" s="87"/>
      <c r="M1699" s="93">
        <v>0</v>
      </c>
    </row>
    <row r="1700" spans="2:13" ht="15" customHeight="1" x14ac:dyDescent="0.25">
      <c r="B1700" s="28" t="str">
        <f>IF(ISNUMBER(MATCH(C1700, Mgt_Unit!$C$5:$C$1018, 0)), INDEX(Mgt_Unit!$B$5:$B$1018, MATCH(C1700, Mgt_Unit!$C$5:$C$1018, 0)), "")</f>
        <v>jennifer.moore</v>
      </c>
      <c r="C1700" t="s">
        <v>1079</v>
      </c>
      <c r="D1700" s="65"/>
      <c r="E1700">
        <v>1</v>
      </c>
      <c r="F1700" t="s">
        <v>1538</v>
      </c>
      <c r="G1700" t="s">
        <v>1544</v>
      </c>
      <c r="H1700" t="s">
        <v>50</v>
      </c>
      <c r="I1700" t="s">
        <v>87</v>
      </c>
      <c r="J1700" s="89">
        <v>42510</v>
      </c>
      <c r="K1700" s="89">
        <v>42663</v>
      </c>
      <c r="L1700"/>
      <c r="M1700" s="31">
        <v>0</v>
      </c>
    </row>
    <row r="1701" spans="2:13" ht="15" customHeight="1" x14ac:dyDescent="0.25">
      <c r="B1701" s="28" t="str">
        <f>IF(ISNUMBER(MATCH(C1701, Mgt_Unit!$C$5:$C$1018, 0)), INDEX(Mgt_Unit!$B$5:$B$1018, MATCH(C1701, Mgt_Unit!$C$5:$C$1018, 0)), "")</f>
        <v>jennifer.moore</v>
      </c>
      <c r="C1701" t="s">
        <v>1079</v>
      </c>
      <c r="D1701" s="65"/>
      <c r="E1701">
        <v>2</v>
      </c>
      <c r="F1701" t="s">
        <v>1538</v>
      </c>
      <c r="G1701" t="s">
        <v>1544</v>
      </c>
      <c r="H1701" t="s">
        <v>51</v>
      </c>
      <c r="I1701" t="s">
        <v>137</v>
      </c>
      <c r="J1701" s="89">
        <v>42877</v>
      </c>
      <c r="K1701" s="89">
        <v>43006</v>
      </c>
      <c r="L1701"/>
      <c r="M1701" s="31">
        <v>0</v>
      </c>
    </row>
    <row r="1702" spans="2:13" ht="15" customHeight="1" x14ac:dyDescent="0.25">
      <c r="B1702" s="28" t="str">
        <f>IF(ISNUMBER(MATCH(C1702, Mgt_Unit!$C$5:$C$1018, 0)), INDEX(Mgt_Unit!$B$5:$B$1018, MATCH(C1702, Mgt_Unit!$C$5:$C$1018, 0)), "")</f>
        <v>jennifer.moore</v>
      </c>
      <c r="C1702" t="s">
        <v>1079</v>
      </c>
      <c r="D1702" s="65"/>
      <c r="E1702">
        <v>3</v>
      </c>
      <c r="F1702" t="s">
        <v>1538</v>
      </c>
      <c r="G1702" t="s">
        <v>1544</v>
      </c>
      <c r="H1702" t="s">
        <v>441</v>
      </c>
      <c r="I1702" t="s">
        <v>27</v>
      </c>
      <c r="J1702" s="89">
        <v>43007</v>
      </c>
      <c r="K1702" s="89">
        <v>43306</v>
      </c>
      <c r="L1702"/>
      <c r="M1702" s="31">
        <v>0</v>
      </c>
    </row>
    <row r="1703" spans="2:13" ht="15" customHeight="1" x14ac:dyDescent="0.25">
      <c r="B1703" s="28" t="str">
        <f>IF(ISNUMBER(MATCH(C1703, Mgt_Unit!$C$5:$C$1018, 0)), INDEX(Mgt_Unit!$B$5:$B$1018, MATCH(C1703, Mgt_Unit!$C$5:$C$1018, 0)), "")</f>
        <v>jennifer.moore</v>
      </c>
      <c r="C1703" t="s">
        <v>1079</v>
      </c>
      <c r="D1703" s="65"/>
      <c r="E1703">
        <v>4</v>
      </c>
      <c r="F1703" t="s">
        <v>1537</v>
      </c>
      <c r="G1703" t="s">
        <v>1535</v>
      </c>
      <c r="H1703" t="s">
        <v>442</v>
      </c>
      <c r="I1703" t="s">
        <v>158</v>
      </c>
      <c r="J1703" s="89">
        <v>43326</v>
      </c>
      <c r="K1703"/>
      <c r="L1703"/>
      <c r="M1703" s="31">
        <v>0</v>
      </c>
    </row>
    <row r="1704" spans="2:13" ht="15" customHeight="1" x14ac:dyDescent="0.25">
      <c r="B1704" s="28" t="str">
        <f>IF(ISNUMBER(MATCH(C1704, Mgt_Unit!$C$5:$C$1018, 0)), INDEX(Mgt_Unit!$B$5:$B$1018, MATCH(C1704, Mgt_Unit!$C$5:$C$1018, 0)), "")</f>
        <v>jennifer.moore</v>
      </c>
      <c r="C1704" s="87" t="s">
        <v>1079</v>
      </c>
      <c r="D1704" s="65"/>
      <c r="E1704" s="87">
        <v>4</v>
      </c>
      <c r="F1704" s="87" t="s">
        <v>1537</v>
      </c>
      <c r="G1704" s="87" t="s">
        <v>1535</v>
      </c>
      <c r="H1704" s="87" t="s">
        <v>441</v>
      </c>
      <c r="I1704" s="87" t="s">
        <v>88</v>
      </c>
      <c r="J1704" s="90">
        <v>43326</v>
      </c>
      <c r="K1704" s="87"/>
      <c r="L1704" s="87"/>
      <c r="M1704" s="93"/>
    </row>
    <row r="1705" spans="2:13" ht="15" customHeight="1" x14ac:dyDescent="0.25">
      <c r="B1705" s="28" t="str">
        <f>IF(ISNUMBER(MATCH(C1705, Mgt_Unit!$C$5:$C$1018, 0)), INDEX(Mgt_Unit!$B$5:$B$1018, MATCH(C1705, Mgt_Unit!$C$5:$C$1018, 0)), "")</f>
        <v>jennifer.moore</v>
      </c>
      <c r="C1705" s="88" t="s">
        <v>1344</v>
      </c>
      <c r="D1705" s="65"/>
      <c r="E1705" s="88">
        <v>1</v>
      </c>
      <c r="F1705" s="88" t="s">
        <v>1537</v>
      </c>
      <c r="G1705" s="87" t="s">
        <v>1536</v>
      </c>
      <c r="H1705" s="87" t="s">
        <v>1549</v>
      </c>
      <c r="I1705" s="88" t="s">
        <v>1554</v>
      </c>
      <c r="J1705" s="91">
        <v>43101</v>
      </c>
      <c r="K1705" s="91"/>
      <c r="L1705" s="91">
        <v>43830</v>
      </c>
      <c r="M1705" s="94">
        <v>90</v>
      </c>
    </row>
    <row r="1706" spans="2:13" ht="15" customHeight="1" x14ac:dyDescent="0.25">
      <c r="B1706" s="28" t="str">
        <f>IF(ISNUMBER(MATCH(C1706, Mgt_Unit!$C$5:$C$1018, 0)), INDEX(Mgt_Unit!$B$5:$B$1018, MATCH(C1706, Mgt_Unit!$C$5:$C$1018, 0)), "")</f>
        <v>jennifer.moore</v>
      </c>
      <c r="C1706" s="88" t="s">
        <v>1342</v>
      </c>
      <c r="D1706" s="65"/>
      <c r="E1706" s="88">
        <v>1</v>
      </c>
      <c r="F1706" s="88" t="s">
        <v>1537</v>
      </c>
      <c r="G1706" s="87" t="s">
        <v>1536</v>
      </c>
      <c r="H1706" s="87" t="s">
        <v>1549</v>
      </c>
      <c r="I1706" s="88" t="s">
        <v>1554</v>
      </c>
      <c r="J1706" s="91">
        <v>43101</v>
      </c>
      <c r="K1706" s="91"/>
      <c r="L1706" s="91">
        <v>43830</v>
      </c>
      <c r="M1706" s="97">
        <v>0</v>
      </c>
    </row>
    <row r="1707" spans="2:13" ht="15" customHeight="1" x14ac:dyDescent="0.25">
      <c r="B1707" s="28" t="str">
        <f>IF(ISNUMBER(MATCH(C1707, Mgt_Unit!$C$5:$C$1018, 0)), INDEX(Mgt_Unit!$B$5:$B$1018, MATCH(C1707, Mgt_Unit!$C$5:$C$1018, 0)), "")</f>
        <v>jennifer.moore</v>
      </c>
      <c r="C1707" s="88" t="s">
        <v>1343</v>
      </c>
      <c r="D1707" s="65"/>
      <c r="E1707" s="88">
        <v>1</v>
      </c>
      <c r="F1707" s="88" t="s">
        <v>1537</v>
      </c>
      <c r="G1707" s="87" t="s">
        <v>1536</v>
      </c>
      <c r="H1707" s="87" t="s">
        <v>1549</v>
      </c>
      <c r="I1707" s="88" t="s">
        <v>1554</v>
      </c>
      <c r="J1707" s="91">
        <v>43101</v>
      </c>
      <c r="K1707" s="91"/>
      <c r="L1707" s="91">
        <v>43830</v>
      </c>
      <c r="M1707" s="97">
        <v>0</v>
      </c>
    </row>
    <row r="1708" spans="2:13" ht="15" customHeight="1" x14ac:dyDescent="0.25">
      <c r="B1708" s="28" t="str">
        <f>IF(ISNUMBER(MATCH(C1708, Mgt_Unit!$C$5:$C$1018, 0)), INDEX(Mgt_Unit!$B$5:$B$1018, MATCH(C1708, Mgt_Unit!$C$5:$C$1018, 0)), "")</f>
        <v>jennifer.moore</v>
      </c>
      <c r="C1708" s="92" t="s">
        <v>1341</v>
      </c>
      <c r="D1708" s="65"/>
      <c r="E1708" s="92">
        <v>1</v>
      </c>
      <c r="F1708" s="92" t="s">
        <v>1537</v>
      </c>
      <c r="G1708" t="s">
        <v>1536</v>
      </c>
      <c r="H1708" t="s">
        <v>1549</v>
      </c>
      <c r="I1708" t="s">
        <v>1555</v>
      </c>
      <c r="J1708" s="98">
        <v>43101</v>
      </c>
      <c r="K1708" s="98"/>
      <c r="L1708" s="91">
        <v>43830</v>
      </c>
      <c r="M1708" s="97">
        <v>0</v>
      </c>
    </row>
    <row r="1709" spans="2:13" ht="15" customHeight="1" x14ac:dyDescent="0.25">
      <c r="B1709" s="28" t="str">
        <f>IF(ISNUMBER(MATCH(C1709, Mgt_Unit!$C$5:$C$1018, 0)), INDEX(Mgt_Unit!$B$5:$B$1018, MATCH(C1709, Mgt_Unit!$C$5:$C$1018, 0)), "")</f>
        <v>jennifer.moore</v>
      </c>
      <c r="C1709" s="92" t="s">
        <v>1348</v>
      </c>
      <c r="D1709" s="65"/>
      <c r="E1709" s="92">
        <v>1</v>
      </c>
      <c r="F1709" s="92" t="s">
        <v>1537</v>
      </c>
      <c r="G1709" s="92" t="s">
        <v>1536</v>
      </c>
      <c r="H1709" s="92" t="s">
        <v>1549</v>
      </c>
      <c r="I1709" s="92" t="s">
        <v>1555</v>
      </c>
      <c r="J1709" s="98">
        <v>43466</v>
      </c>
      <c r="K1709" s="98">
        <v>43590</v>
      </c>
      <c r="L1709" s="92"/>
      <c r="M1709" s="99">
        <v>90</v>
      </c>
    </row>
    <row r="1710" spans="2:13" ht="15" customHeight="1" x14ac:dyDescent="0.25">
      <c r="B1710" s="28" t="str">
        <f>IF(ISNUMBER(MATCH(C1710, Mgt_Unit!$C$5:$C$1018, 0)), INDEX(Mgt_Unit!$B$5:$B$1018, MATCH(C1710, Mgt_Unit!$C$5:$C$1018, 0)), "")</f>
        <v>jennifer.moore</v>
      </c>
      <c r="C1710" s="87" t="s">
        <v>1348</v>
      </c>
      <c r="D1710" s="65"/>
      <c r="E1710" s="87">
        <v>1</v>
      </c>
      <c r="F1710" s="87" t="s">
        <v>1537</v>
      </c>
      <c r="G1710" s="87" t="s">
        <v>1536</v>
      </c>
      <c r="H1710" s="87" t="s">
        <v>1549</v>
      </c>
      <c r="I1710" s="87" t="s">
        <v>1555</v>
      </c>
      <c r="J1710" s="90"/>
      <c r="K1710" s="90">
        <v>43633</v>
      </c>
      <c r="L1710" s="91">
        <v>43830</v>
      </c>
      <c r="M1710" s="93">
        <v>90</v>
      </c>
    </row>
    <row r="1711" spans="2:13" ht="15" customHeight="1" x14ac:dyDescent="0.25">
      <c r="B1711" s="28" t="str">
        <f>IF(ISNUMBER(MATCH(C1711, Mgt_Unit!$C$5:$C$1018, 0)), INDEX(Mgt_Unit!$B$5:$B$1018, MATCH(C1711, Mgt_Unit!$C$5:$C$1018, 0)), "")</f>
        <v>jennifer.moore</v>
      </c>
      <c r="C1711" t="s">
        <v>1346</v>
      </c>
      <c r="D1711" s="65"/>
      <c r="E1711">
        <v>1</v>
      </c>
      <c r="F1711" t="s">
        <v>1537</v>
      </c>
      <c r="G1711" t="s">
        <v>1536</v>
      </c>
      <c r="H1711" t="s">
        <v>1549</v>
      </c>
      <c r="I1711" s="87" t="s">
        <v>1555</v>
      </c>
      <c r="J1711" s="89">
        <v>43466</v>
      </c>
      <c r="K1711" s="89"/>
      <c r="L1711" s="91">
        <v>43830</v>
      </c>
      <c r="M1711" s="97">
        <v>0</v>
      </c>
    </row>
    <row r="1712" spans="2:13" ht="15" customHeight="1" x14ac:dyDescent="0.25">
      <c r="B1712" s="28" t="str">
        <f>IF(ISNUMBER(MATCH(C1712, Mgt_Unit!$C$5:$C$1018, 0)), INDEX(Mgt_Unit!$B$5:$B$1018, MATCH(C1712, Mgt_Unit!$C$5:$C$1018, 0)), "")</f>
        <v>jennifer.moore</v>
      </c>
      <c r="C1712" s="92" t="s">
        <v>1347</v>
      </c>
      <c r="D1712" s="65"/>
      <c r="E1712" s="92">
        <v>1</v>
      </c>
      <c r="F1712" s="92" t="s">
        <v>1537</v>
      </c>
      <c r="G1712" s="92" t="s">
        <v>1536</v>
      </c>
      <c r="H1712" s="92" t="s">
        <v>1549</v>
      </c>
      <c r="I1712" s="92" t="s">
        <v>1555</v>
      </c>
      <c r="J1712" s="98">
        <v>43466</v>
      </c>
      <c r="K1712" s="98">
        <v>43590</v>
      </c>
      <c r="L1712" s="98"/>
      <c r="M1712" s="99">
        <v>90</v>
      </c>
    </row>
    <row r="1713" spans="2:13" ht="15" customHeight="1" x14ac:dyDescent="0.25">
      <c r="B1713" s="28" t="str">
        <f>IF(ISNUMBER(MATCH(C1713, Mgt_Unit!$C$5:$C$1018, 0)), INDEX(Mgt_Unit!$B$5:$B$1018, MATCH(C1713, Mgt_Unit!$C$5:$C$1018, 0)), "")</f>
        <v>jennifer.moore</v>
      </c>
      <c r="C1713" s="87" t="s">
        <v>1347</v>
      </c>
      <c r="D1713" s="65"/>
      <c r="E1713" s="87">
        <v>1</v>
      </c>
      <c r="F1713" s="87" t="s">
        <v>1537</v>
      </c>
      <c r="G1713" s="87" t="s">
        <v>1536</v>
      </c>
      <c r="H1713" s="87" t="s">
        <v>1549</v>
      </c>
      <c r="I1713" s="87" t="s">
        <v>1555</v>
      </c>
      <c r="J1713" s="90"/>
      <c r="K1713" s="90">
        <v>43633</v>
      </c>
      <c r="L1713" s="91">
        <v>43830</v>
      </c>
      <c r="M1713" s="93">
        <v>90</v>
      </c>
    </row>
    <row r="1714" spans="2:13" ht="15" customHeight="1" x14ac:dyDescent="0.25">
      <c r="B1714" s="28" t="str">
        <f>IF(ISNUMBER(MATCH(C1714, Mgt_Unit!$C$5:$C$1018, 0)), INDEX(Mgt_Unit!$B$5:$B$1018, MATCH(C1714, Mgt_Unit!$C$5:$C$1018, 0)), "")</f>
        <v>jennifer.moore</v>
      </c>
      <c r="C1714" s="87" t="s">
        <v>1345</v>
      </c>
      <c r="D1714" s="65"/>
      <c r="E1714" s="87">
        <v>1</v>
      </c>
      <c r="F1714" s="87" t="s">
        <v>1537</v>
      </c>
      <c r="G1714" s="87" t="s">
        <v>1536</v>
      </c>
      <c r="H1714" s="87" t="s">
        <v>1549</v>
      </c>
      <c r="I1714" s="88" t="s">
        <v>1554</v>
      </c>
      <c r="J1714" s="90">
        <v>43466</v>
      </c>
      <c r="K1714" s="90"/>
      <c r="L1714" s="91">
        <v>43830</v>
      </c>
      <c r="M1714" s="97">
        <v>0</v>
      </c>
    </row>
    <row r="1715" spans="2:13" ht="15" customHeight="1" x14ac:dyDescent="0.25">
      <c r="B1715" s="28" t="str">
        <f>IF(ISNUMBER(MATCH(C1715, Mgt_Unit!$C$5:$C$1018, 0)), INDEX(Mgt_Unit!$B$5:$B$1018, MATCH(C1715, Mgt_Unit!$C$5:$C$1018, 0)), "")</f>
        <v>jennifer.moore</v>
      </c>
      <c r="C1715" s="88" t="s">
        <v>1350</v>
      </c>
      <c r="D1715" s="65"/>
      <c r="E1715" s="88">
        <v>1</v>
      </c>
      <c r="F1715" s="88" t="s">
        <v>1537</v>
      </c>
      <c r="G1715" s="88" t="s">
        <v>1536</v>
      </c>
      <c r="H1715" s="88" t="s">
        <v>1549</v>
      </c>
      <c r="I1715" s="88" t="s">
        <v>1554</v>
      </c>
      <c r="J1715" s="91">
        <v>41640</v>
      </c>
      <c r="K1715" s="91"/>
      <c r="L1715" s="91">
        <v>43830</v>
      </c>
      <c r="M1715" s="97">
        <v>0</v>
      </c>
    </row>
    <row r="1716" spans="2:13" ht="15" customHeight="1" x14ac:dyDescent="0.25">
      <c r="B1716" s="28" t="str">
        <f>IF(ISNUMBER(MATCH(C1716, Mgt_Unit!$C$5:$C$1018, 0)), INDEX(Mgt_Unit!$B$5:$B$1018, MATCH(C1716, Mgt_Unit!$C$5:$C$1018, 0)), "")</f>
        <v>jennifer.moore</v>
      </c>
      <c r="C1716" s="88" t="s">
        <v>1349</v>
      </c>
      <c r="D1716" s="65"/>
      <c r="E1716" s="88">
        <v>1</v>
      </c>
      <c r="F1716" s="88" t="s">
        <v>1537</v>
      </c>
      <c r="G1716" s="88" t="s">
        <v>1536</v>
      </c>
      <c r="H1716" s="88" t="s">
        <v>1549</v>
      </c>
      <c r="I1716" s="88" t="s">
        <v>1554</v>
      </c>
      <c r="J1716" s="91">
        <v>41640</v>
      </c>
      <c r="K1716" s="91"/>
      <c r="L1716" s="91">
        <v>43830</v>
      </c>
      <c r="M1716" s="97">
        <v>0</v>
      </c>
    </row>
    <row r="1717" spans="2:13" ht="15" customHeight="1" x14ac:dyDescent="0.25">
      <c r="B1717" s="28" t="str">
        <f>IF(ISNUMBER(MATCH(C1717, Mgt_Unit!$C$5:$C$1018, 0)), INDEX(Mgt_Unit!$B$5:$B$1018, MATCH(C1717, Mgt_Unit!$C$5:$C$1018, 0)), "")</f>
        <v>jennifer.moore</v>
      </c>
      <c r="C1717" s="88" t="s">
        <v>1551</v>
      </c>
      <c r="D1717" s="65"/>
      <c r="E1717" s="88">
        <v>1</v>
      </c>
      <c r="F1717" s="88" t="s">
        <v>1537</v>
      </c>
      <c r="G1717" s="88" t="s">
        <v>1536</v>
      </c>
      <c r="H1717" s="88" t="s">
        <v>1549</v>
      </c>
      <c r="I1717" s="88" t="s">
        <v>1554</v>
      </c>
      <c r="J1717" s="91">
        <v>41640</v>
      </c>
      <c r="K1717" s="91"/>
      <c r="L1717" s="91">
        <v>43830</v>
      </c>
      <c r="M1717" s="97">
        <v>0</v>
      </c>
    </row>
  </sheetData>
  <sheetProtection formatColumns="0" selectLockedCells="1" autoFilter="0"/>
  <autoFilter ref="A4:S1718" xr:uid="{A0200D7B-49FA-4EA6-A195-6651649D760D}">
    <sortState xmlns:xlrd2="http://schemas.microsoft.com/office/spreadsheetml/2017/richdata2" ref="A5:S1717">
      <sortCondition ref="C4:C1718"/>
    </sortState>
  </autoFilter>
  <sortState xmlns:xlrd2="http://schemas.microsoft.com/office/spreadsheetml/2017/richdata2" ref="A5:S1418">
    <sortCondition ref="C5:C1418"/>
    <sortCondition ref="J5:J1418"/>
  </sortState>
  <phoneticPr fontId="5" type="noConversion"/>
  <dataValidations count="8">
    <dataValidation type="list" allowBlank="1" showInputMessage="1" showErrorMessage="1" sqref="I1181 I1183 I1221:I1225 I1238 I1229:I1232 I1410 I1051 I1053 I1083:I1084 I1089:I1093 I1095:I1098 I1100:I1103 I1105:I1108 I1110:I1113 I1115:I1118 I1172:I1179 I1185:I1186 I1189:I1190 I1192:I1195 I1356:I1360 I1055:I1080 I1227 I1234 I1236 I1241:I1247 I1253:I1256 I1258:I1259 I1267 I1275:I1276 I1284 I1294 I1303 I1311:I1312 I1320 I1329 I1331 I1333:I1335 I1362:I1363 I1365:I1366 I1337:I1341 I1346:I1351 I1414 I1390:I1394 I1343 I1210:I1217 I1086 I1396:I1408 I1134:I1137 I1142:I1145 I1251 I1412 I1197:I1208 I1139:I1140 I1378:I1382 I1384:I1388 I1120:I1130 I1132 I1147 I1149:I1153 I1155 I1157 I1159:I1170 I1368:I1371 I1373:I1376 I1219 I5:I1049 I1287" xr:uid="{D1744D1D-23A8-404B-ADFB-F53D66C8178B}">
      <formula1>INDIRECT(H5)</formula1>
    </dataValidation>
    <dataValidation type="list" allowBlank="1" showInputMessage="1" showErrorMessage="1" sqref="M5:M19 N20:N1415" xr:uid="{A0DEDB3E-394E-47E8-AD7D-E4A461EF1C0C}">
      <formula1>CropResMgt</formula1>
    </dataValidation>
    <dataValidation type="list" allowBlank="1" showInputMessage="1" showErrorMessage="1" sqref="G1437:G1048576 G5:G1415" xr:uid="{B490E72E-D8C8-4CF8-8DEB-FD3B6EEBE990}">
      <formula1>CropType</formula1>
    </dataValidation>
    <dataValidation type="list" allowBlank="1" showInputMessage="1" showErrorMessage="1" sqref="F1081:F1414" xr:uid="{BA94533B-6876-4F34-9993-4F896F788CA5}">
      <formula1>crop_mix</formula1>
    </dataValidation>
    <dataValidation type="list" allowBlank="1" showInputMessage="1" showErrorMessage="1" sqref="C5:C1009" xr:uid="{504EB8D4-83DA-4FD8-9DF6-27DE28CA2D6F}">
      <formula1>MgtUnit</formula1>
    </dataValidation>
    <dataValidation type="list" allowBlank="1" showInputMessage="1" showErrorMessage="1" sqref="Q5:Q1415" xr:uid="{481786BD-F252-4999-AD6C-768F1DA341B6}">
      <formula1>IrrType</formula1>
    </dataValidation>
    <dataValidation type="list" allowBlank="1" showInputMessage="1" showErrorMessage="1" sqref="P5:P1415" xr:uid="{CE1E7C74-48B6-4224-83FB-7A252654A025}">
      <formula1>CropDiv_YieldUnits</formula1>
    </dataValidation>
    <dataValidation type="list" allowBlank="1" showInputMessage="1" showErrorMessage="1" sqref="H5:H1414" xr:uid="{6837A76D-107B-4825-ACC1-3EC624440CCD}">
      <formula1>CropCategory</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sheetPr filterMode="1"/>
  <dimension ref="A1:N3297"/>
  <sheetViews>
    <sheetView zoomScale="85" zoomScaleNormal="85" workbookViewId="0">
      <pane ySplit="4" topLeftCell="A2785" activePane="bottomLeft" state="frozen"/>
      <selection pane="bottomLeft" activeCell="J2802" sqref="J2802"/>
    </sheetView>
  </sheetViews>
  <sheetFormatPr defaultColWidth="0" defaultRowHeight="15" x14ac:dyDescent="0.25"/>
  <cols>
    <col min="1" max="1" width="11.5703125" customWidth="1"/>
    <col min="2" max="2" width="15.42578125" style="12" customWidth="1"/>
    <col min="3" max="3" width="35.5703125" style="17" customWidth="1"/>
    <col min="4" max="4" width="28.28515625" style="17" customWidth="1"/>
    <col min="5" max="5" width="16.42578125" style="17" bestFit="1" customWidth="1"/>
    <col min="6" max="6" width="13.7109375" style="76" bestFit="1" customWidth="1"/>
    <col min="7" max="7" width="14.5703125" style="17" bestFit="1" customWidth="1"/>
    <col min="8" max="8" width="18" style="17" bestFit="1" customWidth="1"/>
    <col min="9" max="9" width="18.5703125" style="17" bestFit="1" customWidth="1"/>
    <col min="10" max="10" width="61.5703125" style="17" bestFit="1" customWidth="1"/>
    <col min="11" max="11" width="16.140625" style="34" customWidth="1"/>
    <col min="12" max="12" width="15" style="17" bestFit="1" customWidth="1"/>
    <col min="13" max="13" width="50" style="13" customWidth="1"/>
    <col min="14" max="14" width="0" hidden="1" customWidth="1"/>
    <col min="15" max="16384" width="9.140625" hidden="1"/>
  </cols>
  <sheetData>
    <row r="1" spans="1:13" ht="45" x14ac:dyDescent="0.25">
      <c r="A1" s="25" t="s">
        <v>0</v>
      </c>
      <c r="B1" s="27" t="s">
        <v>524</v>
      </c>
      <c r="C1" s="53" t="s">
        <v>615</v>
      </c>
      <c r="D1" s="27" t="s">
        <v>516</v>
      </c>
      <c r="E1" s="27" t="s">
        <v>477</v>
      </c>
      <c r="F1" s="53" t="s">
        <v>501</v>
      </c>
      <c r="G1" s="27" t="s">
        <v>31</v>
      </c>
      <c r="H1" s="27" t="s">
        <v>476</v>
      </c>
      <c r="I1" s="53" t="s">
        <v>478</v>
      </c>
      <c r="J1" s="53" t="s">
        <v>479</v>
      </c>
      <c r="K1" s="53" t="s">
        <v>481</v>
      </c>
      <c r="L1" s="53" t="s">
        <v>480</v>
      </c>
      <c r="M1" s="27" t="s">
        <v>526</v>
      </c>
    </row>
    <row r="2" spans="1:13" x14ac:dyDescent="0.25">
      <c r="A2" s="25" t="s">
        <v>1</v>
      </c>
      <c r="B2" s="23" t="s">
        <v>488</v>
      </c>
      <c r="C2" s="54" t="s">
        <v>32</v>
      </c>
      <c r="D2" s="23" t="s">
        <v>488</v>
      </c>
      <c r="E2" s="23" t="s">
        <v>32</v>
      </c>
      <c r="F2" s="54" t="s">
        <v>24</v>
      </c>
      <c r="G2" s="23" t="s">
        <v>2</v>
      </c>
      <c r="H2" s="23" t="s">
        <v>2</v>
      </c>
      <c r="I2" s="54" t="s">
        <v>32</v>
      </c>
      <c r="J2" s="54" t="s">
        <v>32</v>
      </c>
      <c r="K2" s="54" t="s">
        <v>18</v>
      </c>
      <c r="L2" s="54" t="s">
        <v>18</v>
      </c>
      <c r="M2" s="23" t="s">
        <v>2</v>
      </c>
    </row>
    <row r="3" spans="1:13" x14ac:dyDescent="0.25">
      <c r="A3" s="26" t="s">
        <v>3</v>
      </c>
      <c r="B3" s="24" t="s">
        <v>514</v>
      </c>
      <c r="C3" s="55" t="s">
        <v>514</v>
      </c>
      <c r="D3" s="24" t="s">
        <v>514</v>
      </c>
      <c r="E3" s="24" t="s">
        <v>514</v>
      </c>
      <c r="F3" s="55" t="s">
        <v>25</v>
      </c>
      <c r="G3" s="24" t="s">
        <v>514</v>
      </c>
      <c r="H3" s="24" t="s">
        <v>514</v>
      </c>
      <c r="I3" s="55" t="s">
        <v>514</v>
      </c>
      <c r="J3" s="55" t="s">
        <v>514</v>
      </c>
      <c r="K3" s="55" t="s">
        <v>474</v>
      </c>
      <c r="L3" s="55" t="s">
        <v>353</v>
      </c>
      <c r="M3" s="24" t="s">
        <v>514</v>
      </c>
    </row>
    <row r="4" spans="1:13" x14ac:dyDescent="0.25">
      <c r="A4" s="4"/>
      <c r="B4" s="19" t="s">
        <v>4</v>
      </c>
      <c r="C4" s="19" t="s">
        <v>550</v>
      </c>
      <c r="D4" s="19" t="s">
        <v>569</v>
      </c>
      <c r="E4" s="19" t="s">
        <v>570</v>
      </c>
      <c r="F4" s="19" t="s">
        <v>571</v>
      </c>
      <c r="G4" s="19" t="s">
        <v>572</v>
      </c>
      <c r="H4" s="19" t="s">
        <v>573</v>
      </c>
      <c r="I4" s="19" t="s">
        <v>574</v>
      </c>
      <c r="J4" s="19" t="s">
        <v>575</v>
      </c>
      <c r="K4" s="19" t="s">
        <v>576</v>
      </c>
      <c r="L4" s="19" t="s">
        <v>577</v>
      </c>
      <c r="M4" s="19" t="s">
        <v>578</v>
      </c>
    </row>
    <row r="5" spans="1:13" hidden="1" x14ac:dyDescent="0.25">
      <c r="A5" s="4"/>
      <c r="B5" s="28" t="str">
        <f>IF(ISNUMBER(MATCH(C5, Mgt_Unit!$C$5:$C$1018, 0)), INDEX(Mgt_Unit!$B$5:$B$1018, MATCH(C5, Mgt_Unit!$C$5:$C$1018, 0)), "")</f>
        <v>jennifer.moore</v>
      </c>
      <c r="C5" t="s">
        <v>635</v>
      </c>
      <c r="D5" s="45"/>
      <c r="E5" s="9" t="s">
        <v>1583</v>
      </c>
      <c r="F5" s="89">
        <v>43242</v>
      </c>
      <c r="G5" s="9"/>
      <c r="H5" s="9"/>
      <c r="I5" s="9"/>
      <c r="J5" t="s">
        <v>1352</v>
      </c>
      <c r="K5" s="120">
        <v>39</v>
      </c>
      <c r="L5" s="9"/>
      <c r="M5" s="7"/>
    </row>
    <row r="6" spans="1:13" hidden="1" x14ac:dyDescent="0.25">
      <c r="A6" s="4"/>
      <c r="B6" s="28" t="str">
        <f>IF(ISNUMBER(MATCH(C6, Mgt_Unit!$C$5:$C$1018, 0)), INDEX(Mgt_Unit!$B$5:$B$1018, MATCH(C6, Mgt_Unit!$C$5:$C$1018, 0)), "")</f>
        <v>jennifer.moore</v>
      </c>
      <c r="C6" t="s">
        <v>635</v>
      </c>
      <c r="D6" s="45"/>
      <c r="E6" s="9" t="s">
        <v>1583</v>
      </c>
      <c r="F6" s="89">
        <v>43244</v>
      </c>
      <c r="G6" s="9"/>
      <c r="H6" s="9"/>
      <c r="I6" s="9"/>
      <c r="J6" t="s">
        <v>1353</v>
      </c>
      <c r="K6" s="120">
        <v>2.4</v>
      </c>
      <c r="L6" s="9"/>
      <c r="M6" s="7"/>
    </row>
    <row r="7" spans="1:13" hidden="1" x14ac:dyDescent="0.25">
      <c r="A7" s="4"/>
      <c r="B7" s="28" t="str">
        <f>IF(ISNUMBER(MATCH(C7, Mgt_Unit!$C$5:$C$1018, 0)), INDEX(Mgt_Unit!$B$5:$B$1018, MATCH(C7, Mgt_Unit!$C$5:$C$1018, 0)), "")</f>
        <v>jennifer.moore</v>
      </c>
      <c r="C7" t="s">
        <v>635</v>
      </c>
      <c r="D7" s="45"/>
      <c r="E7" s="9" t="s">
        <v>1583</v>
      </c>
      <c r="F7" s="89">
        <v>43286</v>
      </c>
      <c r="G7" s="9"/>
      <c r="H7" s="9"/>
      <c r="I7" s="9"/>
      <c r="J7" t="s">
        <v>1354</v>
      </c>
      <c r="K7" s="120">
        <v>2.2000000000000002</v>
      </c>
      <c r="L7" s="9"/>
      <c r="M7" s="7"/>
    </row>
    <row r="8" spans="1:13" hidden="1" x14ac:dyDescent="0.25">
      <c r="A8" s="4"/>
      <c r="B8" s="28" t="str">
        <f>IF(ISNUMBER(MATCH(C8, Mgt_Unit!$C$5:$C$1018, 0)), INDEX(Mgt_Unit!$B$5:$B$1018, MATCH(C8, Mgt_Unit!$C$5:$C$1018, 0)), "")</f>
        <v>jennifer.moore</v>
      </c>
      <c r="C8" t="s">
        <v>635</v>
      </c>
      <c r="D8" s="45"/>
      <c r="E8" s="9" t="s">
        <v>1583</v>
      </c>
      <c r="F8" s="89">
        <v>43402</v>
      </c>
      <c r="G8" s="9"/>
      <c r="H8" s="9"/>
      <c r="I8" s="9"/>
      <c r="J8" t="s">
        <v>1352</v>
      </c>
      <c r="K8" s="120">
        <v>39</v>
      </c>
      <c r="L8" s="9"/>
      <c r="M8" s="7"/>
    </row>
    <row r="9" spans="1:13" hidden="1" x14ac:dyDescent="0.25">
      <c r="A9" s="4"/>
      <c r="B9" s="28" t="str">
        <f>IF(ISNUMBER(MATCH(C9, Mgt_Unit!$C$5:$C$1018, 0)), INDEX(Mgt_Unit!$B$5:$B$1018, MATCH(C9, Mgt_Unit!$C$5:$C$1018, 0)), "")</f>
        <v>jennifer.moore</v>
      </c>
      <c r="C9" t="s">
        <v>635</v>
      </c>
      <c r="D9" s="45"/>
      <c r="E9" s="9" t="s">
        <v>1583</v>
      </c>
      <c r="F9" s="89">
        <v>43402</v>
      </c>
      <c r="G9" s="9"/>
      <c r="H9" s="9"/>
      <c r="I9" s="9"/>
      <c r="J9" t="s">
        <v>1354</v>
      </c>
      <c r="K9" s="120">
        <v>2.2000000000000002</v>
      </c>
      <c r="L9" s="9"/>
      <c r="M9" s="7"/>
    </row>
    <row r="10" spans="1:13" hidden="1" x14ac:dyDescent="0.25">
      <c r="A10" s="4"/>
      <c r="B10" s="28" t="str">
        <f>IF(ISNUMBER(MATCH(C10, Mgt_Unit!$C$5:$C$1018, 0)), INDEX(Mgt_Unit!$B$5:$B$1018, MATCH(C10, Mgt_Unit!$C$5:$C$1018, 0)), "")</f>
        <v>jennifer.moore</v>
      </c>
      <c r="C10" t="s">
        <v>635</v>
      </c>
      <c r="D10" s="45"/>
      <c r="E10" s="9" t="s">
        <v>1583</v>
      </c>
      <c r="F10" s="89">
        <v>43404</v>
      </c>
      <c r="G10" s="9"/>
      <c r="H10" s="9"/>
      <c r="I10" s="9"/>
      <c r="J10" t="s">
        <v>1355</v>
      </c>
      <c r="K10" s="120">
        <v>6.3</v>
      </c>
      <c r="L10" s="9"/>
      <c r="M10" s="7"/>
    </row>
    <row r="11" spans="1:13" hidden="1" x14ac:dyDescent="0.25">
      <c r="A11" s="4"/>
      <c r="B11" s="28" t="str">
        <f>IF(ISNUMBER(MATCH(C11, Mgt_Unit!$C$5:$C$1018, 0)), INDEX(Mgt_Unit!$B$5:$B$1018, MATCH(C11, Mgt_Unit!$C$5:$C$1018, 0)), "")</f>
        <v>jennifer.moore</v>
      </c>
      <c r="C11" t="s">
        <v>636</v>
      </c>
      <c r="D11" s="45"/>
      <c r="E11" s="9" t="s">
        <v>1583</v>
      </c>
      <c r="F11" s="89">
        <v>43242</v>
      </c>
      <c r="G11" s="9"/>
      <c r="H11" s="9"/>
      <c r="I11" s="9"/>
      <c r="J11" t="s">
        <v>1352</v>
      </c>
      <c r="K11" s="120">
        <v>39</v>
      </c>
      <c r="L11" s="9"/>
      <c r="M11" s="7"/>
    </row>
    <row r="12" spans="1:13" hidden="1" x14ac:dyDescent="0.25">
      <c r="A12" s="4"/>
      <c r="B12" s="28" t="str">
        <f>IF(ISNUMBER(MATCH(C12, Mgt_Unit!$C$5:$C$1018, 0)), INDEX(Mgt_Unit!$B$5:$B$1018, MATCH(C12, Mgt_Unit!$C$5:$C$1018, 0)), "")</f>
        <v>jennifer.moore</v>
      </c>
      <c r="C12" t="s">
        <v>636</v>
      </c>
      <c r="D12" s="45"/>
      <c r="E12" s="9" t="s">
        <v>1583</v>
      </c>
      <c r="F12" s="89">
        <v>43244</v>
      </c>
      <c r="G12" s="9"/>
      <c r="H12" s="9"/>
      <c r="I12" s="9"/>
      <c r="J12" t="s">
        <v>1353</v>
      </c>
      <c r="K12" s="120">
        <v>2.4</v>
      </c>
      <c r="L12" s="9"/>
      <c r="M12" s="7"/>
    </row>
    <row r="13" spans="1:13" hidden="1" x14ac:dyDescent="0.25">
      <c r="A13" s="4"/>
      <c r="B13" s="28" t="str">
        <f>IF(ISNUMBER(MATCH(C13, Mgt_Unit!$C$5:$C$1018, 0)), INDEX(Mgt_Unit!$B$5:$B$1018, MATCH(C13, Mgt_Unit!$C$5:$C$1018, 0)), "")</f>
        <v>jennifer.moore</v>
      </c>
      <c r="C13" t="s">
        <v>636</v>
      </c>
      <c r="D13" s="45"/>
      <c r="E13" s="9" t="s">
        <v>1583</v>
      </c>
      <c r="F13" s="89">
        <v>43286</v>
      </c>
      <c r="G13" s="9"/>
      <c r="H13" s="9"/>
      <c r="I13" s="9"/>
      <c r="J13" t="s">
        <v>1354</v>
      </c>
      <c r="K13" s="120">
        <v>2.2000000000000002</v>
      </c>
      <c r="L13" s="9"/>
      <c r="M13" s="7"/>
    </row>
    <row r="14" spans="1:13" hidden="1" x14ac:dyDescent="0.25">
      <c r="A14" s="4"/>
      <c r="B14" s="28" t="str">
        <f>IF(ISNUMBER(MATCH(C14, Mgt_Unit!$C$5:$C$1018, 0)), INDEX(Mgt_Unit!$B$5:$B$1018, MATCH(C14, Mgt_Unit!$C$5:$C$1018, 0)), "")</f>
        <v>jennifer.moore</v>
      </c>
      <c r="C14" t="s">
        <v>636</v>
      </c>
      <c r="D14" s="45"/>
      <c r="E14" s="9" t="s">
        <v>1583</v>
      </c>
      <c r="F14" s="89">
        <v>43402</v>
      </c>
      <c r="G14" s="9"/>
      <c r="H14" s="9"/>
      <c r="I14" s="9"/>
      <c r="J14" t="s">
        <v>1352</v>
      </c>
      <c r="K14" s="120">
        <v>39</v>
      </c>
      <c r="L14" s="9"/>
      <c r="M14" s="7"/>
    </row>
    <row r="15" spans="1:13" hidden="1" x14ac:dyDescent="0.25">
      <c r="A15" s="4"/>
      <c r="B15" s="28" t="str">
        <f>IF(ISNUMBER(MATCH(C15, Mgt_Unit!$C$5:$C$1018, 0)), INDEX(Mgt_Unit!$B$5:$B$1018, MATCH(C15, Mgt_Unit!$C$5:$C$1018, 0)), "")</f>
        <v>jennifer.moore</v>
      </c>
      <c r="C15" t="s">
        <v>636</v>
      </c>
      <c r="D15" s="45"/>
      <c r="E15" s="9" t="s">
        <v>1583</v>
      </c>
      <c r="F15" s="89">
        <v>43402</v>
      </c>
      <c r="G15" s="9"/>
      <c r="H15" s="9"/>
      <c r="I15" s="9"/>
      <c r="J15" t="s">
        <v>1354</v>
      </c>
      <c r="K15" s="120">
        <v>2.2000000000000002</v>
      </c>
      <c r="L15" s="9"/>
      <c r="M15" s="7"/>
    </row>
    <row r="16" spans="1:13" hidden="1" x14ac:dyDescent="0.25">
      <c r="A16" s="4"/>
      <c r="B16" s="28" t="str">
        <f>IF(ISNUMBER(MATCH(C16, Mgt_Unit!$C$5:$C$1018, 0)), INDEX(Mgt_Unit!$B$5:$B$1018, MATCH(C16, Mgt_Unit!$C$5:$C$1018, 0)), "")</f>
        <v>jennifer.moore</v>
      </c>
      <c r="C16" t="s">
        <v>636</v>
      </c>
      <c r="D16" s="45"/>
      <c r="E16" s="9" t="s">
        <v>1583</v>
      </c>
      <c r="F16" s="89">
        <v>43404</v>
      </c>
      <c r="G16" s="9"/>
      <c r="H16" s="9"/>
      <c r="I16" s="9"/>
      <c r="J16" t="s">
        <v>1355</v>
      </c>
      <c r="K16" s="120">
        <v>6.3</v>
      </c>
      <c r="L16" s="9"/>
      <c r="M16" s="7"/>
    </row>
    <row r="17" spans="1:13" hidden="1" x14ac:dyDescent="0.25">
      <c r="A17" s="4"/>
      <c r="B17" s="28" t="str">
        <f>IF(ISNUMBER(MATCH(C17, Mgt_Unit!$C$5:$C$1018, 0)), INDEX(Mgt_Unit!$B$5:$B$1018, MATCH(C17, Mgt_Unit!$C$5:$C$1018, 0)), "")</f>
        <v>jennifer.moore</v>
      </c>
      <c r="C17" t="s">
        <v>637</v>
      </c>
      <c r="D17" s="45"/>
      <c r="E17" s="9" t="s">
        <v>1583</v>
      </c>
      <c r="F17" s="89">
        <v>43244</v>
      </c>
      <c r="G17" s="9"/>
      <c r="H17" s="9"/>
      <c r="I17" s="9"/>
      <c r="J17" t="s">
        <v>1353</v>
      </c>
      <c r="K17" s="120">
        <v>2.4</v>
      </c>
      <c r="L17" s="9"/>
      <c r="M17" s="7"/>
    </row>
    <row r="18" spans="1:13" hidden="1" x14ac:dyDescent="0.25">
      <c r="A18" s="4"/>
      <c r="B18" s="28" t="str">
        <f>IF(ISNUMBER(MATCH(C18, Mgt_Unit!$C$5:$C$1018, 0)), INDEX(Mgt_Unit!$B$5:$B$1018, MATCH(C18, Mgt_Unit!$C$5:$C$1018, 0)), "")</f>
        <v>jennifer.moore</v>
      </c>
      <c r="C18" t="s">
        <v>637</v>
      </c>
      <c r="D18" s="45"/>
      <c r="E18" s="9" t="s">
        <v>1583</v>
      </c>
      <c r="F18" s="89">
        <v>43286</v>
      </c>
      <c r="G18" s="9"/>
      <c r="H18" s="9"/>
      <c r="I18" s="9"/>
      <c r="J18" t="s">
        <v>1354</v>
      </c>
      <c r="K18" s="120">
        <v>2.2000000000000002</v>
      </c>
      <c r="L18" s="9"/>
      <c r="M18" s="7"/>
    </row>
    <row r="19" spans="1:13" hidden="1" x14ac:dyDescent="0.25">
      <c r="A19" s="4"/>
      <c r="B19" s="28" t="str">
        <f>IF(ISNUMBER(MATCH(C19, Mgt_Unit!$C$5:$C$1018, 0)), INDEX(Mgt_Unit!$B$5:$B$1018, MATCH(C19, Mgt_Unit!$C$5:$C$1018, 0)), "")</f>
        <v>jennifer.moore</v>
      </c>
      <c r="C19" t="s">
        <v>637</v>
      </c>
      <c r="D19" s="45"/>
      <c r="E19" s="9" t="s">
        <v>1583</v>
      </c>
      <c r="F19" s="89">
        <v>43404</v>
      </c>
      <c r="G19" s="9"/>
      <c r="H19" s="9"/>
      <c r="I19" s="9"/>
      <c r="J19" t="s">
        <v>1355</v>
      </c>
      <c r="K19" s="120">
        <v>6.3</v>
      </c>
      <c r="L19" s="9"/>
      <c r="M19" s="7"/>
    </row>
    <row r="20" spans="1:13" hidden="1" x14ac:dyDescent="0.25">
      <c r="A20" s="4"/>
      <c r="B20" s="28" t="str">
        <f>IF(ISNUMBER(MATCH(C20, Mgt_Unit!$C$5:$C$1018, 0)), INDEX(Mgt_Unit!$B$5:$B$1018, MATCH(C20, Mgt_Unit!$C$5:$C$1018, 0)), "")</f>
        <v>jennifer.moore</v>
      </c>
      <c r="C20" t="s">
        <v>638</v>
      </c>
      <c r="D20" s="45"/>
      <c r="E20" s="9" t="s">
        <v>1583</v>
      </c>
      <c r="F20" s="89">
        <v>43241</v>
      </c>
      <c r="G20" s="9"/>
      <c r="H20" s="9"/>
      <c r="I20" s="9"/>
      <c r="J20" t="s">
        <v>1356</v>
      </c>
      <c r="K20" s="120">
        <v>33</v>
      </c>
      <c r="L20" s="9"/>
      <c r="M20" s="7"/>
    </row>
    <row r="21" spans="1:13" hidden="1" x14ac:dyDescent="0.25">
      <c r="A21" s="4"/>
      <c r="B21" s="28" t="str">
        <f>IF(ISNUMBER(MATCH(C21, Mgt_Unit!$C$5:$C$1018, 0)), INDEX(Mgt_Unit!$B$5:$B$1018, MATCH(C21, Mgt_Unit!$C$5:$C$1018, 0)), "")</f>
        <v>jennifer.moore</v>
      </c>
      <c r="C21" t="s">
        <v>638</v>
      </c>
      <c r="D21" s="45"/>
      <c r="E21" s="9" t="s">
        <v>1583</v>
      </c>
      <c r="F21" s="89">
        <v>43241</v>
      </c>
      <c r="G21" s="9"/>
      <c r="H21" s="9"/>
      <c r="I21" s="9"/>
      <c r="J21" t="s">
        <v>1357</v>
      </c>
      <c r="K21" s="120">
        <v>62</v>
      </c>
      <c r="L21" s="9"/>
      <c r="M21" s="7"/>
    </row>
    <row r="22" spans="1:13" hidden="1" x14ac:dyDescent="0.25">
      <c r="A22" s="4"/>
      <c r="B22" s="28" t="str">
        <f>IF(ISNUMBER(MATCH(C22, Mgt_Unit!$C$5:$C$1018, 0)), INDEX(Mgt_Unit!$B$5:$B$1018, MATCH(C22, Mgt_Unit!$C$5:$C$1018, 0)), "")</f>
        <v>jennifer.moore</v>
      </c>
      <c r="C22" t="s">
        <v>638</v>
      </c>
      <c r="D22" s="45"/>
      <c r="E22" s="9" t="s">
        <v>1583</v>
      </c>
      <c r="F22" s="89">
        <v>43242</v>
      </c>
      <c r="G22" s="9"/>
      <c r="H22" s="9"/>
      <c r="I22" s="9"/>
      <c r="J22" t="s">
        <v>1352</v>
      </c>
      <c r="K22" s="120">
        <v>39</v>
      </c>
      <c r="L22" s="9"/>
      <c r="M22" s="7"/>
    </row>
    <row r="23" spans="1:13" hidden="1" x14ac:dyDescent="0.25">
      <c r="A23" s="4"/>
      <c r="B23" s="28" t="str">
        <f>IF(ISNUMBER(MATCH(C23, Mgt_Unit!$C$5:$C$1018, 0)), INDEX(Mgt_Unit!$B$5:$B$1018, MATCH(C23, Mgt_Unit!$C$5:$C$1018, 0)), "")</f>
        <v>jennifer.moore</v>
      </c>
      <c r="C23" t="s">
        <v>638</v>
      </c>
      <c r="D23" s="45"/>
      <c r="E23" s="9" t="s">
        <v>1583</v>
      </c>
      <c r="F23" s="89">
        <v>43244</v>
      </c>
      <c r="G23" s="9"/>
      <c r="H23" s="9"/>
      <c r="I23" s="9"/>
      <c r="J23" t="s">
        <v>1353</v>
      </c>
      <c r="K23" s="120">
        <v>2.4</v>
      </c>
      <c r="L23" s="9"/>
      <c r="M23" s="7"/>
    </row>
    <row r="24" spans="1:13" hidden="1" x14ac:dyDescent="0.25">
      <c r="A24" s="4"/>
      <c r="B24" s="28" t="str">
        <f>IF(ISNUMBER(MATCH(C24, Mgt_Unit!$C$5:$C$1018, 0)), INDEX(Mgt_Unit!$B$5:$B$1018, MATCH(C24, Mgt_Unit!$C$5:$C$1018, 0)), "")</f>
        <v>jennifer.moore</v>
      </c>
      <c r="C24" t="s">
        <v>638</v>
      </c>
      <c r="D24" s="45"/>
      <c r="E24" s="9" t="s">
        <v>1583</v>
      </c>
      <c r="F24" s="89">
        <v>43286</v>
      </c>
      <c r="G24" s="9"/>
      <c r="H24" s="9"/>
      <c r="I24" s="9"/>
      <c r="J24" t="s">
        <v>1354</v>
      </c>
      <c r="K24" s="120">
        <v>2.2000000000000002</v>
      </c>
      <c r="L24" s="9"/>
      <c r="M24" s="7"/>
    </row>
    <row r="25" spans="1:13" hidden="1" x14ac:dyDescent="0.25">
      <c r="A25" s="4"/>
      <c r="B25" s="28" t="str">
        <f>IF(ISNUMBER(MATCH(C25, Mgt_Unit!$C$5:$C$1018, 0)), INDEX(Mgt_Unit!$B$5:$B$1018, MATCH(C25, Mgt_Unit!$C$5:$C$1018, 0)), "")</f>
        <v>jennifer.moore</v>
      </c>
      <c r="C25" t="s">
        <v>638</v>
      </c>
      <c r="D25" s="45"/>
      <c r="E25" s="9" t="s">
        <v>1583</v>
      </c>
      <c r="F25" s="89">
        <v>43369</v>
      </c>
      <c r="G25" s="9"/>
      <c r="H25" s="9"/>
      <c r="I25" s="9"/>
      <c r="J25" t="s">
        <v>1358</v>
      </c>
      <c r="K25" s="120">
        <v>39</v>
      </c>
      <c r="L25" s="9"/>
      <c r="M25" s="7"/>
    </row>
    <row r="26" spans="1:13" hidden="1" x14ac:dyDescent="0.25">
      <c r="A26" s="4"/>
      <c r="B26" s="28" t="str">
        <f>IF(ISNUMBER(MATCH(C26, Mgt_Unit!$C$5:$C$1018, 0)), INDEX(Mgt_Unit!$B$5:$B$1018, MATCH(C26, Mgt_Unit!$C$5:$C$1018, 0)), "")</f>
        <v>jennifer.moore</v>
      </c>
      <c r="C26" t="s">
        <v>638</v>
      </c>
      <c r="D26" s="45"/>
      <c r="E26" s="9" t="s">
        <v>1583</v>
      </c>
      <c r="F26" s="89">
        <v>43402</v>
      </c>
      <c r="G26" s="9"/>
      <c r="H26" s="9"/>
      <c r="I26" s="9"/>
      <c r="J26" t="s">
        <v>1352</v>
      </c>
      <c r="K26" s="120">
        <v>39</v>
      </c>
      <c r="L26" s="9"/>
      <c r="M26" s="7"/>
    </row>
    <row r="27" spans="1:13" hidden="1" x14ac:dyDescent="0.25">
      <c r="A27" s="4"/>
      <c r="B27" s="28" t="str">
        <f>IF(ISNUMBER(MATCH(C27, Mgt_Unit!$C$5:$C$1018, 0)), INDEX(Mgt_Unit!$B$5:$B$1018, MATCH(C27, Mgt_Unit!$C$5:$C$1018, 0)), "")</f>
        <v>jennifer.moore</v>
      </c>
      <c r="C27" t="s">
        <v>638</v>
      </c>
      <c r="D27" s="45"/>
      <c r="E27" s="9" t="s">
        <v>1583</v>
      </c>
      <c r="F27" s="89">
        <v>43402</v>
      </c>
      <c r="G27" s="9"/>
      <c r="H27" s="9"/>
      <c r="I27" s="9"/>
      <c r="J27" t="s">
        <v>1354</v>
      </c>
      <c r="K27" s="120">
        <v>2.2000000000000002</v>
      </c>
      <c r="L27" s="9"/>
      <c r="M27" s="7"/>
    </row>
    <row r="28" spans="1:13" hidden="1" x14ac:dyDescent="0.25">
      <c r="A28" s="4"/>
      <c r="B28" s="28" t="str">
        <f>IF(ISNUMBER(MATCH(C28, Mgt_Unit!$C$5:$C$1018, 0)), INDEX(Mgt_Unit!$B$5:$B$1018, MATCH(C28, Mgt_Unit!$C$5:$C$1018, 0)), "")</f>
        <v>jennifer.moore</v>
      </c>
      <c r="C28" t="s">
        <v>638</v>
      </c>
      <c r="D28" s="45"/>
      <c r="E28" s="9" t="s">
        <v>1583</v>
      </c>
      <c r="F28" s="89">
        <v>43404</v>
      </c>
      <c r="G28" s="9"/>
      <c r="H28" s="9"/>
      <c r="I28" s="9"/>
      <c r="J28" t="s">
        <v>1355</v>
      </c>
      <c r="K28" s="120">
        <v>6.3</v>
      </c>
      <c r="L28" s="9"/>
      <c r="M28" s="7"/>
    </row>
    <row r="29" spans="1:13" hidden="1" x14ac:dyDescent="0.25">
      <c r="A29" s="4"/>
      <c r="B29" s="28" t="str">
        <f>IF(ISNUMBER(MATCH(C29, Mgt_Unit!$C$5:$C$1018, 0)), INDEX(Mgt_Unit!$B$5:$B$1018, MATCH(C29, Mgt_Unit!$C$5:$C$1018, 0)), "")</f>
        <v>jennifer.moore</v>
      </c>
      <c r="C29" t="s">
        <v>639</v>
      </c>
      <c r="D29" s="45"/>
      <c r="E29" s="9" t="s">
        <v>1583</v>
      </c>
      <c r="F29" s="89">
        <v>43244</v>
      </c>
      <c r="G29" s="9"/>
      <c r="H29" s="9"/>
      <c r="I29" s="9"/>
      <c r="J29" t="s">
        <v>1353</v>
      </c>
      <c r="K29" s="120">
        <v>2.4</v>
      </c>
      <c r="L29" s="9"/>
      <c r="M29" s="7"/>
    </row>
    <row r="30" spans="1:13" hidden="1" x14ac:dyDescent="0.25">
      <c r="A30" s="4"/>
      <c r="B30" s="28" t="str">
        <f>IF(ISNUMBER(MATCH(C30, Mgt_Unit!$C$5:$C$1018, 0)), INDEX(Mgt_Unit!$B$5:$B$1018, MATCH(C30, Mgt_Unit!$C$5:$C$1018, 0)), "")</f>
        <v>jennifer.moore</v>
      </c>
      <c r="C30" t="s">
        <v>639</v>
      </c>
      <c r="D30" s="45"/>
      <c r="E30" s="9" t="s">
        <v>1583</v>
      </c>
      <c r="F30" s="89">
        <v>43286</v>
      </c>
      <c r="G30" s="9"/>
      <c r="H30" s="9"/>
      <c r="I30" s="9"/>
      <c r="J30" t="s">
        <v>1354</v>
      </c>
      <c r="K30" s="120">
        <v>2.2000000000000002</v>
      </c>
      <c r="L30" s="9"/>
      <c r="M30" s="7"/>
    </row>
    <row r="31" spans="1:13" hidden="1" x14ac:dyDescent="0.25">
      <c r="A31" s="4"/>
      <c r="B31" s="28" t="str">
        <f>IF(ISNUMBER(MATCH(C31, Mgt_Unit!$C$5:$C$1018, 0)), INDEX(Mgt_Unit!$B$5:$B$1018, MATCH(C31, Mgt_Unit!$C$5:$C$1018, 0)), "")</f>
        <v>jennifer.moore</v>
      </c>
      <c r="C31" t="s">
        <v>639</v>
      </c>
      <c r="D31" s="45"/>
      <c r="E31" s="9" t="s">
        <v>1583</v>
      </c>
      <c r="F31" s="89">
        <v>43404</v>
      </c>
      <c r="G31" s="9"/>
      <c r="H31" s="9"/>
      <c r="I31" s="9"/>
      <c r="J31" t="s">
        <v>1355</v>
      </c>
      <c r="K31" s="120">
        <v>6.3</v>
      </c>
      <c r="L31" s="9"/>
      <c r="M31" s="7"/>
    </row>
    <row r="32" spans="1:13" hidden="1" x14ac:dyDescent="0.25">
      <c r="A32" s="4"/>
      <c r="B32" s="28" t="str">
        <f>IF(ISNUMBER(MATCH(C32, Mgt_Unit!$C$5:$C$1018, 0)), INDEX(Mgt_Unit!$B$5:$B$1018, MATCH(C32, Mgt_Unit!$C$5:$C$1018, 0)), "")</f>
        <v>jennifer.moore</v>
      </c>
      <c r="C32" t="s">
        <v>640</v>
      </c>
      <c r="D32" s="45"/>
      <c r="E32" s="9" t="s">
        <v>1583</v>
      </c>
      <c r="F32" s="89">
        <v>43244</v>
      </c>
      <c r="G32" s="9"/>
      <c r="H32" s="9"/>
      <c r="I32" s="9"/>
      <c r="J32" t="s">
        <v>1359</v>
      </c>
      <c r="K32" s="120">
        <v>6.3</v>
      </c>
      <c r="L32" s="9"/>
      <c r="M32" s="7"/>
    </row>
    <row r="33" spans="1:13" hidden="1" x14ac:dyDescent="0.25">
      <c r="A33" s="4"/>
      <c r="B33" s="28" t="str">
        <f>IF(ISNUMBER(MATCH(C33, Mgt_Unit!$C$5:$C$1018, 0)), INDEX(Mgt_Unit!$B$5:$B$1018, MATCH(C33, Mgt_Unit!$C$5:$C$1018, 0)), "")</f>
        <v>jennifer.moore</v>
      </c>
      <c r="C33" t="s">
        <v>641</v>
      </c>
      <c r="D33" s="45"/>
      <c r="E33" s="9" t="s">
        <v>1583</v>
      </c>
      <c r="F33" s="89">
        <v>43164</v>
      </c>
      <c r="G33" s="9"/>
      <c r="H33" s="9"/>
      <c r="I33" s="9"/>
      <c r="J33" t="s">
        <v>1352</v>
      </c>
      <c r="K33" s="120">
        <v>39</v>
      </c>
      <c r="L33" s="9"/>
      <c r="M33" s="7"/>
    </row>
    <row r="34" spans="1:13" hidden="1" x14ac:dyDescent="0.25">
      <c r="A34" s="4"/>
      <c r="B34" s="28" t="str">
        <f>IF(ISNUMBER(MATCH(C34, Mgt_Unit!$C$5:$C$1018, 0)), INDEX(Mgt_Unit!$B$5:$B$1018, MATCH(C34, Mgt_Unit!$C$5:$C$1018, 0)), "")</f>
        <v>jennifer.moore</v>
      </c>
      <c r="C34" t="s">
        <v>641</v>
      </c>
      <c r="D34" s="45"/>
      <c r="E34" s="9" t="s">
        <v>1583</v>
      </c>
      <c r="F34" s="89">
        <v>43164</v>
      </c>
      <c r="G34" s="9"/>
      <c r="H34" s="9"/>
      <c r="I34" s="9"/>
      <c r="J34" t="s">
        <v>1352</v>
      </c>
      <c r="K34" s="120">
        <v>39</v>
      </c>
      <c r="L34" s="9"/>
      <c r="M34" s="7"/>
    </row>
    <row r="35" spans="1:13" hidden="1" x14ac:dyDescent="0.25">
      <c r="A35" s="4"/>
      <c r="B35" s="28" t="str">
        <f>IF(ISNUMBER(MATCH(C35, Mgt_Unit!$C$5:$C$1018, 0)), INDEX(Mgt_Unit!$B$5:$B$1018, MATCH(C35, Mgt_Unit!$C$5:$C$1018, 0)), "")</f>
        <v>jennifer.moore</v>
      </c>
      <c r="C35" t="s">
        <v>641</v>
      </c>
      <c r="D35" s="45"/>
      <c r="E35" s="9" t="s">
        <v>1583</v>
      </c>
      <c r="F35" s="89">
        <v>43164</v>
      </c>
      <c r="G35" s="9"/>
      <c r="H35" s="9"/>
      <c r="I35" s="9"/>
      <c r="J35" t="s">
        <v>1360</v>
      </c>
      <c r="K35" s="120">
        <v>62</v>
      </c>
      <c r="L35" s="9"/>
      <c r="M35" s="7"/>
    </row>
    <row r="36" spans="1:13" hidden="1" x14ac:dyDescent="0.25">
      <c r="A36" s="4"/>
      <c r="B36" s="28" t="str">
        <f>IF(ISNUMBER(MATCH(C36, Mgt_Unit!$C$5:$C$1018, 0)), INDEX(Mgt_Unit!$B$5:$B$1018, MATCH(C36, Mgt_Unit!$C$5:$C$1018, 0)), "")</f>
        <v>jennifer.moore</v>
      </c>
      <c r="C36" t="s">
        <v>641</v>
      </c>
      <c r="D36" s="45"/>
      <c r="E36" s="9" t="s">
        <v>1583</v>
      </c>
      <c r="F36" s="89">
        <v>43244</v>
      </c>
      <c r="G36" s="9"/>
      <c r="H36" s="9"/>
      <c r="I36" s="9"/>
      <c r="J36" t="s">
        <v>1359</v>
      </c>
      <c r="K36" s="120">
        <v>6.3</v>
      </c>
      <c r="L36" s="9"/>
      <c r="M36" s="7"/>
    </row>
    <row r="37" spans="1:13" hidden="1" x14ac:dyDescent="0.25">
      <c r="A37" s="4"/>
      <c r="B37" s="28" t="str">
        <f>IF(ISNUMBER(MATCH(C37, Mgt_Unit!$C$5:$C$1018, 0)), INDEX(Mgt_Unit!$B$5:$B$1018, MATCH(C37, Mgt_Unit!$C$5:$C$1018, 0)), "")</f>
        <v>jennifer.moore</v>
      </c>
      <c r="C37" t="s">
        <v>642</v>
      </c>
      <c r="D37" s="45"/>
      <c r="E37" s="9" t="s">
        <v>1583</v>
      </c>
      <c r="F37" s="89">
        <v>43164</v>
      </c>
      <c r="G37" s="9"/>
      <c r="H37" s="9"/>
      <c r="I37" s="9"/>
      <c r="J37" t="s">
        <v>1352</v>
      </c>
      <c r="K37" s="120">
        <v>39</v>
      </c>
      <c r="L37" s="9"/>
      <c r="M37" s="7"/>
    </row>
    <row r="38" spans="1:13" hidden="1" x14ac:dyDescent="0.25">
      <c r="A38" s="4"/>
      <c r="B38" s="28" t="str">
        <f>IF(ISNUMBER(MATCH(C38, Mgt_Unit!$C$5:$C$1018, 0)), INDEX(Mgt_Unit!$B$5:$B$1018, MATCH(C38, Mgt_Unit!$C$5:$C$1018, 0)), "")</f>
        <v>jennifer.moore</v>
      </c>
      <c r="C38" t="s">
        <v>642</v>
      </c>
      <c r="D38" s="45"/>
      <c r="E38" s="9" t="s">
        <v>1583</v>
      </c>
      <c r="F38" s="89">
        <v>43164</v>
      </c>
      <c r="G38" s="9"/>
      <c r="H38" s="9"/>
      <c r="I38" s="9"/>
      <c r="J38" t="s">
        <v>1352</v>
      </c>
      <c r="K38" s="120">
        <v>39</v>
      </c>
      <c r="L38" s="9"/>
      <c r="M38" s="7"/>
    </row>
    <row r="39" spans="1:13" hidden="1" x14ac:dyDescent="0.25">
      <c r="A39" s="4"/>
      <c r="B39" s="28" t="str">
        <f>IF(ISNUMBER(MATCH(C39, Mgt_Unit!$C$5:$C$1018, 0)), INDEX(Mgt_Unit!$B$5:$B$1018, MATCH(C39, Mgt_Unit!$C$5:$C$1018, 0)), "")</f>
        <v>jennifer.moore</v>
      </c>
      <c r="C39" t="s">
        <v>642</v>
      </c>
      <c r="D39" s="45"/>
      <c r="E39" s="9" t="s">
        <v>1583</v>
      </c>
      <c r="F39" s="89">
        <v>43164</v>
      </c>
      <c r="G39" s="9"/>
      <c r="H39" s="9"/>
      <c r="I39" s="9"/>
      <c r="J39" t="s">
        <v>1360</v>
      </c>
      <c r="K39" s="120">
        <v>62</v>
      </c>
      <c r="L39" s="9"/>
      <c r="M39" s="7"/>
    </row>
    <row r="40" spans="1:13" hidden="1" x14ac:dyDescent="0.25">
      <c r="A40" s="4"/>
      <c r="B40" s="28" t="str">
        <f>IF(ISNUMBER(MATCH(C40, Mgt_Unit!$C$5:$C$1018, 0)), INDEX(Mgt_Unit!$B$5:$B$1018, MATCH(C40, Mgt_Unit!$C$5:$C$1018, 0)), "")</f>
        <v>jennifer.moore</v>
      </c>
      <c r="C40" t="s">
        <v>642</v>
      </c>
      <c r="D40" s="45"/>
      <c r="E40" s="9" t="s">
        <v>1583</v>
      </c>
      <c r="F40" s="89">
        <v>43243</v>
      </c>
      <c r="G40" s="9"/>
      <c r="H40" s="9"/>
      <c r="I40" s="9"/>
      <c r="J40" t="s">
        <v>1361</v>
      </c>
      <c r="K40" s="120">
        <v>2.4</v>
      </c>
      <c r="L40" s="9"/>
      <c r="M40" s="7"/>
    </row>
    <row r="41" spans="1:13" hidden="1" x14ac:dyDescent="0.25">
      <c r="A41" s="4"/>
      <c r="B41" s="28" t="str">
        <f>IF(ISNUMBER(MATCH(C41, Mgt_Unit!$C$5:$C$1018, 0)), INDEX(Mgt_Unit!$B$5:$B$1018, MATCH(C41, Mgt_Unit!$C$5:$C$1018, 0)), "")</f>
        <v>jennifer.moore</v>
      </c>
      <c r="C41" t="s">
        <v>643</v>
      </c>
      <c r="D41" s="45"/>
      <c r="E41" s="9" t="s">
        <v>1583</v>
      </c>
      <c r="F41" s="89">
        <v>43164</v>
      </c>
      <c r="G41" s="9"/>
      <c r="H41" s="9"/>
      <c r="I41" s="9"/>
      <c r="J41" t="s">
        <v>1352</v>
      </c>
      <c r="K41" s="120">
        <v>39</v>
      </c>
      <c r="L41" s="9"/>
      <c r="M41" s="7"/>
    </row>
    <row r="42" spans="1:13" hidden="1" x14ac:dyDescent="0.25">
      <c r="A42" s="4"/>
      <c r="B42" s="28" t="str">
        <f>IF(ISNUMBER(MATCH(C42, Mgt_Unit!$C$5:$C$1018, 0)), INDEX(Mgt_Unit!$B$5:$B$1018, MATCH(C42, Mgt_Unit!$C$5:$C$1018, 0)), "")</f>
        <v>jennifer.moore</v>
      </c>
      <c r="C42" t="s">
        <v>643</v>
      </c>
      <c r="D42" s="45"/>
      <c r="E42" s="9" t="s">
        <v>1583</v>
      </c>
      <c r="F42" s="89">
        <v>43164</v>
      </c>
      <c r="G42" s="9"/>
      <c r="H42" s="9"/>
      <c r="I42" s="9"/>
      <c r="J42" t="s">
        <v>1352</v>
      </c>
      <c r="K42" s="120">
        <v>39</v>
      </c>
      <c r="L42" s="9"/>
      <c r="M42" s="7"/>
    </row>
    <row r="43" spans="1:13" hidden="1" x14ac:dyDescent="0.25">
      <c r="A43" s="4"/>
      <c r="B43" s="28" t="str">
        <f>IF(ISNUMBER(MATCH(C43, Mgt_Unit!$C$5:$C$1018, 0)), INDEX(Mgt_Unit!$B$5:$B$1018, MATCH(C43, Mgt_Unit!$C$5:$C$1018, 0)), "")</f>
        <v>jennifer.moore</v>
      </c>
      <c r="C43" t="s">
        <v>643</v>
      </c>
      <c r="D43" s="45"/>
      <c r="E43" s="9" t="s">
        <v>1583</v>
      </c>
      <c r="F43" s="89">
        <v>43164</v>
      </c>
      <c r="G43" s="9"/>
      <c r="H43" s="9"/>
      <c r="I43" s="9"/>
      <c r="J43" t="s">
        <v>1360</v>
      </c>
      <c r="K43" s="120">
        <v>62</v>
      </c>
      <c r="L43" s="9"/>
      <c r="M43" s="7"/>
    </row>
    <row r="44" spans="1:13" hidden="1" x14ac:dyDescent="0.25">
      <c r="A44" s="4"/>
      <c r="B44" s="28" t="str">
        <f>IF(ISNUMBER(MATCH(C44, Mgt_Unit!$C$5:$C$1018, 0)), INDEX(Mgt_Unit!$B$5:$B$1018, MATCH(C44, Mgt_Unit!$C$5:$C$1018, 0)), "")</f>
        <v>jennifer.moore</v>
      </c>
      <c r="C44" t="s">
        <v>643</v>
      </c>
      <c r="D44" s="45"/>
      <c r="E44" s="9" t="s">
        <v>1583</v>
      </c>
      <c r="F44" s="89">
        <v>43243</v>
      </c>
      <c r="G44" s="9"/>
      <c r="H44" s="9"/>
      <c r="I44" s="9"/>
      <c r="J44" t="s">
        <v>1361</v>
      </c>
      <c r="K44" s="120">
        <v>2.4</v>
      </c>
      <c r="L44" s="9"/>
      <c r="M44" s="7"/>
    </row>
    <row r="45" spans="1:13" hidden="1" x14ac:dyDescent="0.25">
      <c r="A45" s="4"/>
      <c r="B45" s="28" t="str">
        <f>IF(ISNUMBER(MATCH(C45, Mgt_Unit!$C$5:$C$1018, 0)), INDEX(Mgt_Unit!$B$5:$B$1018, MATCH(C45, Mgt_Unit!$C$5:$C$1018, 0)), "")</f>
        <v>jennifer.moore</v>
      </c>
      <c r="C45" t="s">
        <v>644</v>
      </c>
      <c r="D45" s="45"/>
      <c r="E45" s="9" t="s">
        <v>1583</v>
      </c>
      <c r="F45" s="89">
        <v>43244</v>
      </c>
      <c r="G45" s="9"/>
      <c r="H45" s="9"/>
      <c r="I45" s="9"/>
      <c r="J45" t="s">
        <v>1359</v>
      </c>
      <c r="K45" s="120">
        <v>6.3</v>
      </c>
      <c r="L45" s="9"/>
      <c r="M45" s="7"/>
    </row>
    <row r="46" spans="1:13" hidden="1" x14ac:dyDescent="0.25">
      <c r="A46" s="4"/>
      <c r="B46" s="28" t="str">
        <f>IF(ISNUMBER(MATCH(C46, Mgt_Unit!$C$5:$C$1018, 0)), INDEX(Mgt_Unit!$B$5:$B$1018, MATCH(C46, Mgt_Unit!$C$5:$C$1018, 0)), "")</f>
        <v>jennifer.moore</v>
      </c>
      <c r="C46" t="s">
        <v>644</v>
      </c>
      <c r="D46" s="45"/>
      <c r="E46" s="9" t="s">
        <v>1583</v>
      </c>
      <c r="F46" s="89">
        <v>43608</v>
      </c>
      <c r="G46" s="9"/>
      <c r="H46" s="9"/>
      <c r="I46" s="9"/>
      <c r="J46" t="s">
        <v>1361</v>
      </c>
      <c r="K46" s="120">
        <v>2.4</v>
      </c>
      <c r="L46" s="9"/>
      <c r="M46" s="7"/>
    </row>
    <row r="47" spans="1:13" hidden="1" x14ac:dyDescent="0.25">
      <c r="A47" s="4"/>
      <c r="B47" s="28" t="str">
        <f>IF(ISNUMBER(MATCH(C47, Mgt_Unit!$C$5:$C$1018, 0)), INDEX(Mgt_Unit!$B$5:$B$1018, MATCH(C47, Mgt_Unit!$C$5:$C$1018, 0)), "")</f>
        <v>jennifer.moore</v>
      </c>
      <c r="C47" t="s">
        <v>645</v>
      </c>
      <c r="D47" s="45"/>
      <c r="E47" s="9" t="s">
        <v>1583</v>
      </c>
      <c r="F47" s="89">
        <v>43244</v>
      </c>
      <c r="G47" s="9"/>
      <c r="H47" s="9"/>
      <c r="I47" s="9"/>
      <c r="J47" t="s">
        <v>1359</v>
      </c>
      <c r="K47" s="120">
        <v>6.3</v>
      </c>
      <c r="L47" s="9"/>
      <c r="M47" s="7"/>
    </row>
    <row r="48" spans="1:13" hidden="1" x14ac:dyDescent="0.25">
      <c r="A48" s="4"/>
      <c r="B48" s="28" t="str">
        <f>IF(ISNUMBER(MATCH(C48, Mgt_Unit!$C$5:$C$1018, 0)), INDEX(Mgt_Unit!$B$5:$B$1018, MATCH(C48, Mgt_Unit!$C$5:$C$1018, 0)), "")</f>
        <v>jennifer.moore</v>
      </c>
      <c r="C48" t="s">
        <v>645</v>
      </c>
      <c r="D48" s="45"/>
      <c r="E48" s="9" t="s">
        <v>1583</v>
      </c>
      <c r="F48" s="89">
        <v>43608</v>
      </c>
      <c r="G48" s="9"/>
      <c r="H48" s="9"/>
      <c r="I48" s="9"/>
      <c r="J48" t="s">
        <v>1361</v>
      </c>
      <c r="K48" s="120">
        <v>2.4</v>
      </c>
      <c r="L48" s="9"/>
      <c r="M48" s="7"/>
    </row>
    <row r="49" spans="1:13" hidden="1" x14ac:dyDescent="0.25">
      <c r="A49" s="4"/>
      <c r="B49" s="28" t="str">
        <f>IF(ISNUMBER(MATCH(C49, Mgt_Unit!$C$5:$C$1018, 0)), INDEX(Mgt_Unit!$B$5:$B$1018, MATCH(C49, Mgt_Unit!$C$5:$C$1018, 0)), "")</f>
        <v>jennifer.moore</v>
      </c>
      <c r="C49" t="s">
        <v>646</v>
      </c>
      <c r="D49" s="45"/>
      <c r="E49" s="9" t="s">
        <v>1583</v>
      </c>
      <c r="F49" s="89">
        <v>43164</v>
      </c>
      <c r="G49" s="9"/>
      <c r="H49" s="9"/>
      <c r="I49" s="9"/>
      <c r="J49" t="s">
        <v>1352</v>
      </c>
      <c r="K49" s="120">
        <v>39</v>
      </c>
      <c r="L49" s="9"/>
      <c r="M49" s="7"/>
    </row>
    <row r="50" spans="1:13" hidden="1" x14ac:dyDescent="0.25">
      <c r="A50" s="4"/>
      <c r="B50" s="28" t="str">
        <f>IF(ISNUMBER(MATCH(C50, Mgt_Unit!$C$5:$C$1018, 0)), INDEX(Mgt_Unit!$B$5:$B$1018, MATCH(C50, Mgt_Unit!$C$5:$C$1018, 0)), "")</f>
        <v>jennifer.moore</v>
      </c>
      <c r="C50" t="s">
        <v>646</v>
      </c>
      <c r="D50" s="45"/>
      <c r="E50" s="9" t="s">
        <v>1583</v>
      </c>
      <c r="F50" s="89">
        <v>43164</v>
      </c>
      <c r="G50" s="9"/>
      <c r="H50" s="9"/>
      <c r="I50" s="9"/>
      <c r="J50" t="s">
        <v>1352</v>
      </c>
      <c r="K50" s="120">
        <v>39</v>
      </c>
      <c r="L50" s="9"/>
      <c r="M50" s="7"/>
    </row>
    <row r="51" spans="1:13" hidden="1" x14ac:dyDescent="0.25">
      <c r="A51" s="4"/>
      <c r="B51" s="28" t="str">
        <f>IF(ISNUMBER(MATCH(C51, Mgt_Unit!$C$5:$C$1018, 0)), INDEX(Mgt_Unit!$B$5:$B$1018, MATCH(C51, Mgt_Unit!$C$5:$C$1018, 0)), "")</f>
        <v>jennifer.moore</v>
      </c>
      <c r="C51" t="s">
        <v>646</v>
      </c>
      <c r="D51" s="45"/>
      <c r="E51" s="9" t="s">
        <v>1583</v>
      </c>
      <c r="F51" s="89">
        <v>43164</v>
      </c>
      <c r="G51" s="9"/>
      <c r="H51" s="9"/>
      <c r="I51" s="9"/>
      <c r="J51" t="s">
        <v>1360</v>
      </c>
      <c r="K51" s="120">
        <v>62</v>
      </c>
      <c r="L51" s="9"/>
      <c r="M51" s="7"/>
    </row>
    <row r="52" spans="1:13" hidden="1" x14ac:dyDescent="0.25">
      <c r="A52" s="4"/>
      <c r="B52" s="28" t="str">
        <f>IF(ISNUMBER(MATCH(C52, Mgt_Unit!$C$5:$C$1018, 0)), INDEX(Mgt_Unit!$B$5:$B$1018, MATCH(C52, Mgt_Unit!$C$5:$C$1018, 0)), "")</f>
        <v>jennifer.moore</v>
      </c>
      <c r="C52" t="s">
        <v>646</v>
      </c>
      <c r="D52" s="45"/>
      <c r="E52" s="9" t="s">
        <v>1583</v>
      </c>
      <c r="F52" s="89">
        <v>43244</v>
      </c>
      <c r="G52" s="9"/>
      <c r="H52" s="9"/>
      <c r="I52" s="9"/>
      <c r="J52" t="s">
        <v>1359</v>
      </c>
      <c r="K52" s="120">
        <v>6.3</v>
      </c>
      <c r="L52" s="9"/>
      <c r="M52" s="7"/>
    </row>
    <row r="53" spans="1:13" hidden="1" x14ac:dyDescent="0.25">
      <c r="A53" s="4"/>
      <c r="B53" s="28" t="str">
        <f>IF(ISNUMBER(MATCH(C53, Mgt_Unit!$C$5:$C$1018, 0)), INDEX(Mgt_Unit!$B$5:$B$1018, MATCH(C53, Mgt_Unit!$C$5:$C$1018, 0)), "")</f>
        <v>jennifer.moore</v>
      </c>
      <c r="C53" t="s">
        <v>646</v>
      </c>
      <c r="D53" s="45"/>
      <c r="E53" s="9" t="s">
        <v>1583</v>
      </c>
      <c r="F53" s="89">
        <v>43529</v>
      </c>
      <c r="G53" s="9"/>
      <c r="H53" s="9"/>
      <c r="I53" s="9"/>
      <c r="J53" t="s">
        <v>1352</v>
      </c>
      <c r="K53" s="120">
        <v>39</v>
      </c>
      <c r="L53" s="9"/>
      <c r="M53" s="7"/>
    </row>
    <row r="54" spans="1:13" hidden="1" x14ac:dyDescent="0.25">
      <c r="A54" s="4"/>
      <c r="B54" s="28" t="str">
        <f>IF(ISNUMBER(MATCH(C54, Mgt_Unit!$C$5:$C$1018, 0)), INDEX(Mgt_Unit!$B$5:$B$1018, MATCH(C54, Mgt_Unit!$C$5:$C$1018, 0)), "")</f>
        <v>jennifer.moore</v>
      </c>
      <c r="C54" t="s">
        <v>646</v>
      </c>
      <c r="D54" s="45"/>
      <c r="E54" s="9" t="s">
        <v>1583</v>
      </c>
      <c r="F54" s="89">
        <v>43529</v>
      </c>
      <c r="G54" s="9"/>
      <c r="H54" s="9"/>
      <c r="I54" s="9"/>
      <c r="J54" t="s">
        <v>1352</v>
      </c>
      <c r="K54" s="120">
        <v>39</v>
      </c>
      <c r="L54" s="9"/>
      <c r="M54" s="7"/>
    </row>
    <row r="55" spans="1:13" hidden="1" x14ac:dyDescent="0.25">
      <c r="A55" s="4"/>
      <c r="B55" s="28" t="str">
        <f>IF(ISNUMBER(MATCH(C55, Mgt_Unit!$C$5:$C$1018, 0)), INDEX(Mgt_Unit!$B$5:$B$1018, MATCH(C55, Mgt_Unit!$C$5:$C$1018, 0)), "")</f>
        <v>jennifer.moore</v>
      </c>
      <c r="C55" t="s">
        <v>646</v>
      </c>
      <c r="D55" s="45"/>
      <c r="E55" s="9" t="s">
        <v>1583</v>
      </c>
      <c r="F55" s="89">
        <v>43529</v>
      </c>
      <c r="G55" s="9"/>
      <c r="H55" s="9"/>
      <c r="I55" s="9"/>
      <c r="J55" t="s">
        <v>1360</v>
      </c>
      <c r="K55" s="120">
        <v>62</v>
      </c>
      <c r="L55" s="9"/>
      <c r="M55" s="7"/>
    </row>
    <row r="56" spans="1:13" hidden="1" x14ac:dyDescent="0.25">
      <c r="A56" s="4"/>
      <c r="B56" s="28" t="str">
        <f>IF(ISNUMBER(MATCH(C56, Mgt_Unit!$C$5:$C$1018, 0)), INDEX(Mgt_Unit!$B$5:$B$1018, MATCH(C56, Mgt_Unit!$C$5:$C$1018, 0)), "")</f>
        <v>jennifer.moore</v>
      </c>
      <c r="C56" t="s">
        <v>646</v>
      </c>
      <c r="D56" s="45"/>
      <c r="E56" s="9" t="s">
        <v>1583</v>
      </c>
      <c r="F56" s="89">
        <v>43608</v>
      </c>
      <c r="G56" s="9"/>
      <c r="H56" s="9"/>
      <c r="I56" s="9"/>
      <c r="J56" t="s">
        <v>1361</v>
      </c>
      <c r="K56" s="120">
        <v>2.4</v>
      </c>
      <c r="L56" s="9"/>
      <c r="M56" s="7"/>
    </row>
    <row r="57" spans="1:13" hidden="1" x14ac:dyDescent="0.25">
      <c r="A57" s="4"/>
      <c r="B57" s="28" t="str">
        <f>IF(ISNUMBER(MATCH(C57, Mgt_Unit!$C$5:$C$1018, 0)), INDEX(Mgt_Unit!$B$5:$B$1018, MATCH(C57, Mgt_Unit!$C$5:$C$1018, 0)), "")</f>
        <v>jennifer.moore</v>
      </c>
      <c r="C57" t="s">
        <v>647</v>
      </c>
      <c r="D57" s="45"/>
      <c r="E57" s="9" t="s">
        <v>1583</v>
      </c>
      <c r="F57" s="89">
        <v>43164</v>
      </c>
      <c r="G57" s="9"/>
      <c r="H57" s="9"/>
      <c r="I57" s="9"/>
      <c r="J57" t="s">
        <v>1352</v>
      </c>
      <c r="K57" s="120">
        <v>39</v>
      </c>
      <c r="L57" s="9"/>
      <c r="M57" s="7"/>
    </row>
    <row r="58" spans="1:13" hidden="1" x14ac:dyDescent="0.25">
      <c r="A58" s="4"/>
      <c r="B58" s="28" t="str">
        <f>IF(ISNUMBER(MATCH(C58, Mgt_Unit!$C$5:$C$1018, 0)), INDEX(Mgt_Unit!$B$5:$B$1018, MATCH(C58, Mgt_Unit!$C$5:$C$1018, 0)), "")</f>
        <v>jennifer.moore</v>
      </c>
      <c r="C58" t="s">
        <v>647</v>
      </c>
      <c r="D58" s="45"/>
      <c r="E58" s="9" t="s">
        <v>1583</v>
      </c>
      <c r="F58" s="89">
        <v>43164</v>
      </c>
      <c r="G58" s="9"/>
      <c r="H58" s="9"/>
      <c r="I58" s="9"/>
      <c r="J58" t="s">
        <v>1352</v>
      </c>
      <c r="K58" s="120">
        <v>39</v>
      </c>
      <c r="L58" s="9"/>
      <c r="M58" s="7"/>
    </row>
    <row r="59" spans="1:13" hidden="1" x14ac:dyDescent="0.25">
      <c r="A59" s="4"/>
      <c r="B59" s="28" t="str">
        <f>IF(ISNUMBER(MATCH(C59, Mgt_Unit!$C$5:$C$1018, 0)), INDEX(Mgt_Unit!$B$5:$B$1018, MATCH(C59, Mgt_Unit!$C$5:$C$1018, 0)), "")</f>
        <v>jennifer.moore</v>
      </c>
      <c r="C59" t="s">
        <v>647</v>
      </c>
      <c r="D59" s="45"/>
      <c r="E59" s="9" t="s">
        <v>1583</v>
      </c>
      <c r="F59" s="89">
        <v>43164</v>
      </c>
      <c r="G59" s="9"/>
      <c r="H59" s="9"/>
      <c r="I59" s="9"/>
      <c r="J59" t="s">
        <v>1360</v>
      </c>
      <c r="K59" s="120">
        <v>62</v>
      </c>
      <c r="L59" s="9"/>
      <c r="M59" s="7"/>
    </row>
    <row r="60" spans="1:13" hidden="1" x14ac:dyDescent="0.25">
      <c r="A60" s="4"/>
      <c r="B60" s="28" t="str">
        <f>IF(ISNUMBER(MATCH(C60, Mgt_Unit!$C$5:$C$1018, 0)), INDEX(Mgt_Unit!$B$5:$B$1018, MATCH(C60, Mgt_Unit!$C$5:$C$1018, 0)), "")</f>
        <v>jennifer.moore</v>
      </c>
      <c r="C60" t="s">
        <v>647</v>
      </c>
      <c r="D60" s="45"/>
      <c r="E60" s="9" t="s">
        <v>1583</v>
      </c>
      <c r="F60" s="89">
        <v>43244</v>
      </c>
      <c r="G60" s="9"/>
      <c r="H60" s="9"/>
      <c r="I60" s="9"/>
      <c r="J60" t="s">
        <v>1359</v>
      </c>
      <c r="K60" s="120">
        <v>6.3</v>
      </c>
      <c r="L60" s="9"/>
      <c r="M60" s="7"/>
    </row>
    <row r="61" spans="1:13" hidden="1" x14ac:dyDescent="0.25">
      <c r="A61" s="4"/>
      <c r="B61" s="28" t="str">
        <f>IF(ISNUMBER(MATCH(C61, Mgt_Unit!$C$5:$C$1018, 0)), INDEX(Mgt_Unit!$B$5:$B$1018, MATCH(C61, Mgt_Unit!$C$5:$C$1018, 0)), "")</f>
        <v>jennifer.moore</v>
      </c>
      <c r="C61" t="s">
        <v>647</v>
      </c>
      <c r="D61" s="45"/>
      <c r="E61" s="9" t="s">
        <v>1583</v>
      </c>
      <c r="F61" s="89">
        <v>43529</v>
      </c>
      <c r="G61" s="9"/>
      <c r="H61" s="9"/>
      <c r="I61" s="9"/>
      <c r="J61" t="s">
        <v>1352</v>
      </c>
      <c r="K61" s="120">
        <v>39</v>
      </c>
      <c r="L61" s="9"/>
      <c r="M61" s="7"/>
    </row>
    <row r="62" spans="1:13" hidden="1" x14ac:dyDescent="0.25">
      <c r="A62" s="4"/>
      <c r="B62" s="28" t="str">
        <f>IF(ISNUMBER(MATCH(C62, Mgt_Unit!$C$5:$C$1018, 0)), INDEX(Mgt_Unit!$B$5:$B$1018, MATCH(C62, Mgt_Unit!$C$5:$C$1018, 0)), "")</f>
        <v>jennifer.moore</v>
      </c>
      <c r="C62" t="s">
        <v>647</v>
      </c>
      <c r="D62" s="45"/>
      <c r="E62" s="9" t="s">
        <v>1583</v>
      </c>
      <c r="F62" s="89">
        <v>43529</v>
      </c>
      <c r="G62" s="9"/>
      <c r="H62" s="9"/>
      <c r="I62" s="9"/>
      <c r="J62" t="s">
        <v>1352</v>
      </c>
      <c r="K62" s="120">
        <v>39</v>
      </c>
      <c r="L62" s="9"/>
      <c r="M62" s="7"/>
    </row>
    <row r="63" spans="1:13" hidden="1" x14ac:dyDescent="0.25">
      <c r="A63" s="4"/>
      <c r="B63" s="28" t="str">
        <f>IF(ISNUMBER(MATCH(C63, Mgt_Unit!$C$5:$C$1018, 0)), INDEX(Mgt_Unit!$B$5:$B$1018, MATCH(C63, Mgt_Unit!$C$5:$C$1018, 0)), "")</f>
        <v>jennifer.moore</v>
      </c>
      <c r="C63" t="s">
        <v>647</v>
      </c>
      <c r="D63" s="45"/>
      <c r="E63" s="9" t="s">
        <v>1583</v>
      </c>
      <c r="F63" s="89">
        <v>43529</v>
      </c>
      <c r="G63" s="9"/>
      <c r="H63" s="9"/>
      <c r="I63" s="9"/>
      <c r="J63" t="s">
        <v>1360</v>
      </c>
      <c r="K63" s="120">
        <v>62</v>
      </c>
      <c r="L63" s="9"/>
      <c r="M63" s="7"/>
    </row>
    <row r="64" spans="1:13" hidden="1" x14ac:dyDescent="0.25">
      <c r="A64" s="4"/>
      <c r="B64" s="28" t="str">
        <f>IF(ISNUMBER(MATCH(C64, Mgt_Unit!$C$5:$C$1018, 0)), INDEX(Mgt_Unit!$B$5:$B$1018, MATCH(C64, Mgt_Unit!$C$5:$C$1018, 0)), "")</f>
        <v>jennifer.moore</v>
      </c>
      <c r="C64" t="s">
        <v>647</v>
      </c>
      <c r="D64" s="45"/>
      <c r="E64" s="9" t="s">
        <v>1583</v>
      </c>
      <c r="F64" s="89">
        <v>43608</v>
      </c>
      <c r="G64" s="9"/>
      <c r="H64" s="9"/>
      <c r="I64" s="9"/>
      <c r="J64" t="s">
        <v>1361</v>
      </c>
      <c r="K64" s="120">
        <v>2.4</v>
      </c>
      <c r="L64" s="9"/>
      <c r="M64" s="7"/>
    </row>
    <row r="65" spans="1:13" hidden="1" x14ac:dyDescent="0.25">
      <c r="A65" s="4"/>
      <c r="B65" s="28" t="str">
        <f>IF(ISNUMBER(MATCH(C65, Mgt_Unit!$C$5:$C$1018, 0)), INDEX(Mgt_Unit!$B$5:$B$1018, MATCH(C65, Mgt_Unit!$C$5:$C$1018, 0)), "")</f>
        <v>jennifer.moore</v>
      </c>
      <c r="C65" t="s">
        <v>648</v>
      </c>
      <c r="D65" s="45"/>
      <c r="E65" s="9" t="s">
        <v>1583</v>
      </c>
      <c r="F65" s="89">
        <v>43243</v>
      </c>
      <c r="G65" s="9"/>
      <c r="H65" s="9"/>
      <c r="I65" s="9"/>
      <c r="J65" t="s">
        <v>1361</v>
      </c>
      <c r="K65" s="120">
        <v>2.4</v>
      </c>
      <c r="L65" s="9"/>
      <c r="M65" s="7"/>
    </row>
    <row r="66" spans="1:13" hidden="1" x14ac:dyDescent="0.25">
      <c r="A66" s="4"/>
      <c r="B66" s="28" t="str">
        <f>IF(ISNUMBER(MATCH(C66, Mgt_Unit!$C$5:$C$1018, 0)), INDEX(Mgt_Unit!$B$5:$B$1018, MATCH(C66, Mgt_Unit!$C$5:$C$1018, 0)), "")</f>
        <v>jennifer.moore</v>
      </c>
      <c r="C66" t="s">
        <v>648</v>
      </c>
      <c r="D66" s="45"/>
      <c r="E66" s="9" t="s">
        <v>1583</v>
      </c>
      <c r="F66" s="89">
        <v>43582</v>
      </c>
      <c r="G66" s="9"/>
      <c r="H66" s="9"/>
      <c r="I66" s="9"/>
      <c r="J66" t="s">
        <v>1362</v>
      </c>
      <c r="K66" s="120">
        <v>2.2000000000000002</v>
      </c>
      <c r="L66" s="9"/>
      <c r="M66" s="7"/>
    </row>
    <row r="67" spans="1:13" hidden="1" x14ac:dyDescent="0.25">
      <c r="A67" s="4"/>
      <c r="B67" s="28" t="str">
        <f>IF(ISNUMBER(MATCH(C67, Mgt_Unit!$C$5:$C$1018, 0)), INDEX(Mgt_Unit!$B$5:$B$1018, MATCH(C67, Mgt_Unit!$C$5:$C$1018, 0)), "")</f>
        <v>jennifer.moore</v>
      </c>
      <c r="C67" t="s">
        <v>648</v>
      </c>
      <c r="D67" s="45"/>
      <c r="E67" s="9" t="s">
        <v>1583</v>
      </c>
      <c r="F67" s="89">
        <v>43609</v>
      </c>
      <c r="G67" s="9"/>
      <c r="H67" s="9"/>
      <c r="I67" s="9"/>
      <c r="J67" t="s">
        <v>1359</v>
      </c>
      <c r="K67" s="120">
        <v>6.3</v>
      </c>
      <c r="L67" s="9"/>
      <c r="M67" s="7"/>
    </row>
    <row r="68" spans="1:13" hidden="1" x14ac:dyDescent="0.25">
      <c r="A68" s="4"/>
      <c r="B68" s="28" t="str">
        <f>IF(ISNUMBER(MATCH(C68, Mgt_Unit!$C$5:$C$1018, 0)), INDEX(Mgt_Unit!$B$5:$B$1018, MATCH(C68, Mgt_Unit!$C$5:$C$1018, 0)), "")</f>
        <v>jennifer.moore</v>
      </c>
      <c r="C68" t="s">
        <v>648</v>
      </c>
      <c r="D68" s="45"/>
      <c r="E68" s="9" t="s">
        <v>1583</v>
      </c>
      <c r="F68" s="89">
        <v>43797</v>
      </c>
      <c r="G68" s="9"/>
      <c r="H68" s="9"/>
      <c r="I68" s="9"/>
      <c r="J68" t="s">
        <v>1362</v>
      </c>
      <c r="K68" s="120">
        <v>2.2000000000000002</v>
      </c>
      <c r="L68" s="9"/>
      <c r="M68" s="7"/>
    </row>
    <row r="69" spans="1:13" hidden="1" x14ac:dyDescent="0.25">
      <c r="A69" s="4"/>
      <c r="B69" s="28" t="str">
        <f>IF(ISNUMBER(MATCH(C69, Mgt_Unit!$C$5:$C$1018, 0)), INDEX(Mgt_Unit!$B$5:$B$1018, MATCH(C69, Mgt_Unit!$C$5:$C$1018, 0)), "")</f>
        <v>jennifer.moore</v>
      </c>
      <c r="C69" t="s">
        <v>649</v>
      </c>
      <c r="D69" s="45"/>
      <c r="E69" s="9" t="s">
        <v>1583</v>
      </c>
      <c r="F69" s="89">
        <v>43244</v>
      </c>
      <c r="G69" s="9"/>
      <c r="H69" s="9"/>
      <c r="I69" s="9"/>
      <c r="J69" t="s">
        <v>1359</v>
      </c>
      <c r="K69" s="120">
        <v>6.3</v>
      </c>
      <c r="L69" s="9"/>
      <c r="M69" s="7"/>
    </row>
    <row r="70" spans="1:13" hidden="1" x14ac:dyDescent="0.25">
      <c r="A70" s="4"/>
      <c r="B70" s="28" t="str">
        <f>IF(ISNUMBER(MATCH(C70, Mgt_Unit!$C$5:$C$1018, 0)), INDEX(Mgt_Unit!$B$5:$B$1018, MATCH(C70, Mgt_Unit!$C$5:$C$1018, 0)), "")</f>
        <v>jennifer.moore</v>
      </c>
      <c r="C70" t="s">
        <v>650</v>
      </c>
      <c r="D70" s="45"/>
      <c r="E70" s="9" t="s">
        <v>1583</v>
      </c>
      <c r="F70" s="89">
        <v>42852</v>
      </c>
      <c r="G70" s="9"/>
      <c r="H70" s="9"/>
      <c r="I70" s="9"/>
      <c r="J70" t="s">
        <v>1362</v>
      </c>
      <c r="K70" s="120">
        <v>2.2000000000000002</v>
      </c>
      <c r="L70" s="9"/>
      <c r="M70" s="7"/>
    </row>
    <row r="71" spans="1:13" hidden="1" x14ac:dyDescent="0.25">
      <c r="A71" s="4"/>
      <c r="B71" s="28" t="str">
        <f>IF(ISNUMBER(MATCH(C71, Mgt_Unit!$C$5:$C$1018, 0)), INDEX(Mgt_Unit!$B$5:$B$1018, MATCH(C71, Mgt_Unit!$C$5:$C$1018, 0)), "")</f>
        <v>jennifer.moore</v>
      </c>
      <c r="C71" t="s">
        <v>650</v>
      </c>
      <c r="D71" s="45"/>
      <c r="E71" s="9" t="s">
        <v>1583</v>
      </c>
      <c r="F71" s="89">
        <v>42879</v>
      </c>
      <c r="G71" s="9"/>
      <c r="H71" s="9"/>
      <c r="I71" s="9"/>
      <c r="J71" t="s">
        <v>1359</v>
      </c>
      <c r="K71" s="120">
        <v>6.3</v>
      </c>
      <c r="L71" s="9"/>
      <c r="M71" s="7"/>
    </row>
    <row r="72" spans="1:13" hidden="1" x14ac:dyDescent="0.25">
      <c r="A72" s="4"/>
      <c r="B72" s="28" t="str">
        <f>IF(ISNUMBER(MATCH(C72, Mgt_Unit!$C$5:$C$1018, 0)), INDEX(Mgt_Unit!$B$5:$B$1018, MATCH(C72, Mgt_Unit!$C$5:$C$1018, 0)), "")</f>
        <v>jennifer.moore</v>
      </c>
      <c r="C72" t="s">
        <v>650</v>
      </c>
      <c r="D72" s="45"/>
      <c r="E72" s="9" t="s">
        <v>1583</v>
      </c>
      <c r="F72" s="89">
        <v>43217</v>
      </c>
      <c r="G72" s="9"/>
      <c r="H72" s="9"/>
      <c r="I72" s="9"/>
      <c r="J72" t="s">
        <v>1362</v>
      </c>
      <c r="K72" s="120">
        <v>2.2000000000000002</v>
      </c>
      <c r="L72" s="9"/>
      <c r="M72" s="7"/>
    </row>
    <row r="73" spans="1:13" hidden="1" x14ac:dyDescent="0.25">
      <c r="A73" s="4"/>
      <c r="B73" s="28" t="str">
        <f>IF(ISNUMBER(MATCH(C73, Mgt_Unit!$C$5:$C$1018, 0)), INDEX(Mgt_Unit!$B$5:$B$1018, MATCH(C73, Mgt_Unit!$C$5:$C$1018, 0)), "")</f>
        <v>jennifer.moore</v>
      </c>
      <c r="C73" t="s">
        <v>650</v>
      </c>
      <c r="D73" s="45"/>
      <c r="E73" s="9" t="s">
        <v>1583</v>
      </c>
      <c r="F73" s="89">
        <v>43245</v>
      </c>
      <c r="G73" s="9"/>
      <c r="H73" s="9"/>
      <c r="I73" s="9"/>
      <c r="J73" t="s">
        <v>1361</v>
      </c>
      <c r="K73" s="120">
        <v>2.4</v>
      </c>
      <c r="L73" s="9"/>
      <c r="M73" s="7"/>
    </row>
    <row r="74" spans="1:13" hidden="1" x14ac:dyDescent="0.25">
      <c r="A74" s="4"/>
      <c r="B74" s="28" t="str">
        <f>IF(ISNUMBER(MATCH(C74, Mgt_Unit!$C$5:$C$1018, 0)), INDEX(Mgt_Unit!$B$5:$B$1018, MATCH(C74, Mgt_Unit!$C$5:$C$1018, 0)), "")</f>
        <v>jennifer.moore</v>
      </c>
      <c r="C74" t="s">
        <v>650</v>
      </c>
      <c r="D74" s="45"/>
      <c r="E74" s="9" t="s">
        <v>1583</v>
      </c>
      <c r="F74" s="89">
        <v>43432</v>
      </c>
      <c r="G74" s="9"/>
      <c r="H74" s="9"/>
      <c r="I74" s="9"/>
      <c r="J74" t="s">
        <v>1362</v>
      </c>
      <c r="K74" s="120">
        <v>2.2000000000000002</v>
      </c>
      <c r="L74" s="9"/>
      <c r="M74" s="7"/>
    </row>
    <row r="75" spans="1:13" hidden="1" x14ac:dyDescent="0.25">
      <c r="A75" s="4"/>
      <c r="B75" s="28" t="str">
        <f>IF(ISNUMBER(MATCH(C75, Mgt_Unit!$C$5:$C$1018, 0)), INDEX(Mgt_Unit!$B$5:$B$1018, MATCH(C75, Mgt_Unit!$C$5:$C$1018, 0)), "")</f>
        <v>jennifer.moore</v>
      </c>
      <c r="C75" t="s">
        <v>650</v>
      </c>
      <c r="D75" s="45"/>
      <c r="E75" s="9" t="s">
        <v>1583</v>
      </c>
      <c r="F75" s="89">
        <v>43608</v>
      </c>
      <c r="G75" s="9"/>
      <c r="H75" s="9"/>
      <c r="I75" s="9"/>
      <c r="J75" t="s">
        <v>1361</v>
      </c>
      <c r="K75" s="120">
        <v>2.4</v>
      </c>
      <c r="L75" s="9"/>
      <c r="M75" s="7"/>
    </row>
    <row r="76" spans="1:13" hidden="1" x14ac:dyDescent="0.25">
      <c r="A76" s="4"/>
      <c r="B76" s="28" t="str">
        <f>IF(ISNUMBER(MATCH(C76, Mgt_Unit!$C$5:$C$1018, 0)), INDEX(Mgt_Unit!$B$5:$B$1018, MATCH(C76, Mgt_Unit!$C$5:$C$1018, 0)), "")</f>
        <v>jennifer.moore</v>
      </c>
      <c r="C76" t="s">
        <v>651</v>
      </c>
      <c r="D76" s="45"/>
      <c r="E76" s="9" t="s">
        <v>1583</v>
      </c>
      <c r="F76" s="89">
        <v>43243</v>
      </c>
      <c r="G76" s="9"/>
      <c r="H76" s="9"/>
      <c r="I76" s="9"/>
      <c r="J76" t="s">
        <v>1361</v>
      </c>
      <c r="K76" s="120">
        <v>2.4</v>
      </c>
      <c r="L76" s="9"/>
      <c r="M76" s="7"/>
    </row>
    <row r="77" spans="1:13" hidden="1" x14ac:dyDescent="0.25">
      <c r="A77" s="4"/>
      <c r="B77" s="28" t="str">
        <f>IF(ISNUMBER(MATCH(C77, Mgt_Unit!$C$5:$C$1018, 0)), INDEX(Mgt_Unit!$B$5:$B$1018, MATCH(C77, Mgt_Unit!$C$5:$C$1018, 0)), "")</f>
        <v>jennifer.moore</v>
      </c>
      <c r="C77" t="s">
        <v>652</v>
      </c>
      <c r="D77" s="45"/>
      <c r="E77" s="9" t="s">
        <v>1583</v>
      </c>
      <c r="F77" s="89">
        <v>43243</v>
      </c>
      <c r="G77" s="9"/>
      <c r="H77" s="9"/>
      <c r="I77" s="9"/>
      <c r="J77" t="s">
        <v>1361</v>
      </c>
      <c r="K77" s="120">
        <v>2.4</v>
      </c>
      <c r="L77" s="9"/>
      <c r="M77" s="7"/>
    </row>
    <row r="78" spans="1:13" hidden="1" x14ac:dyDescent="0.25">
      <c r="A78" s="4"/>
      <c r="B78" s="28" t="str">
        <f>IF(ISNUMBER(MATCH(C78, Mgt_Unit!$C$5:$C$1018, 0)), INDEX(Mgt_Unit!$B$5:$B$1018, MATCH(C78, Mgt_Unit!$C$5:$C$1018, 0)), "")</f>
        <v>jennifer.moore</v>
      </c>
      <c r="C78" t="s">
        <v>653</v>
      </c>
      <c r="D78" s="45"/>
      <c r="E78" s="9" t="s">
        <v>1583</v>
      </c>
      <c r="F78" s="89">
        <v>43164</v>
      </c>
      <c r="G78" s="9"/>
      <c r="H78" s="9"/>
      <c r="I78" s="9"/>
      <c r="J78" t="s">
        <v>1352</v>
      </c>
      <c r="K78" s="120">
        <v>39</v>
      </c>
      <c r="L78" s="9"/>
      <c r="M78" s="7"/>
    </row>
    <row r="79" spans="1:13" hidden="1" x14ac:dyDescent="0.25">
      <c r="A79" s="4"/>
      <c r="B79" s="28" t="str">
        <f>IF(ISNUMBER(MATCH(C79, Mgt_Unit!$C$5:$C$1018, 0)), INDEX(Mgt_Unit!$B$5:$B$1018, MATCH(C79, Mgt_Unit!$C$5:$C$1018, 0)), "")</f>
        <v>jennifer.moore</v>
      </c>
      <c r="C79" t="s">
        <v>653</v>
      </c>
      <c r="D79" s="45"/>
      <c r="E79" s="9" t="s">
        <v>1583</v>
      </c>
      <c r="F79" s="89">
        <v>43164</v>
      </c>
      <c r="G79" s="9"/>
      <c r="H79" s="9"/>
      <c r="I79" s="9"/>
      <c r="J79" t="s">
        <v>1352</v>
      </c>
      <c r="K79" s="120">
        <v>39</v>
      </c>
      <c r="L79" s="9"/>
      <c r="M79" s="7"/>
    </row>
    <row r="80" spans="1:13" hidden="1" x14ac:dyDescent="0.25">
      <c r="A80" s="4"/>
      <c r="B80" s="28" t="str">
        <f>IF(ISNUMBER(MATCH(C80, Mgt_Unit!$C$5:$C$1018, 0)), INDEX(Mgt_Unit!$B$5:$B$1018, MATCH(C80, Mgt_Unit!$C$5:$C$1018, 0)), "")</f>
        <v>jennifer.moore</v>
      </c>
      <c r="C80" t="s">
        <v>653</v>
      </c>
      <c r="D80" s="45"/>
      <c r="E80" s="9" t="s">
        <v>1583</v>
      </c>
      <c r="F80" s="89">
        <v>43164</v>
      </c>
      <c r="G80" s="9"/>
      <c r="H80" s="9"/>
      <c r="I80" s="9"/>
      <c r="J80" t="s">
        <v>1360</v>
      </c>
      <c r="K80" s="120">
        <v>62</v>
      </c>
      <c r="L80" s="9"/>
      <c r="M80" s="7"/>
    </row>
    <row r="81" spans="1:13" hidden="1" x14ac:dyDescent="0.25">
      <c r="A81" s="4"/>
      <c r="B81" s="28" t="str">
        <f>IF(ISNUMBER(MATCH(C81, Mgt_Unit!$C$5:$C$1018, 0)), INDEX(Mgt_Unit!$B$5:$B$1018, MATCH(C81, Mgt_Unit!$C$5:$C$1018, 0)), "")</f>
        <v>jennifer.moore</v>
      </c>
      <c r="C81" t="s">
        <v>653</v>
      </c>
      <c r="D81" s="45"/>
      <c r="E81" s="9" t="s">
        <v>1583</v>
      </c>
      <c r="F81" s="89">
        <v>43243</v>
      </c>
      <c r="G81" s="9"/>
      <c r="H81" s="9"/>
      <c r="I81" s="9"/>
      <c r="J81" t="s">
        <v>1361</v>
      </c>
      <c r="K81" s="120">
        <v>2.4</v>
      </c>
      <c r="L81" s="9"/>
      <c r="M81" s="7"/>
    </row>
    <row r="82" spans="1:13" hidden="1" x14ac:dyDescent="0.25">
      <c r="A82" s="4"/>
      <c r="B82" s="28" t="str">
        <f>IF(ISNUMBER(MATCH(C82, Mgt_Unit!$C$5:$C$1018, 0)), INDEX(Mgt_Unit!$B$5:$B$1018, MATCH(C82, Mgt_Unit!$C$5:$C$1018, 0)), "")</f>
        <v>jennifer.moore</v>
      </c>
      <c r="C82" t="s">
        <v>653</v>
      </c>
      <c r="D82" s="45"/>
      <c r="E82" s="9" t="s">
        <v>1583</v>
      </c>
      <c r="F82" s="89">
        <v>43529</v>
      </c>
      <c r="G82" s="9"/>
      <c r="H82" s="9"/>
      <c r="I82" s="9"/>
      <c r="J82" t="s">
        <v>1360</v>
      </c>
      <c r="K82" s="120">
        <v>62</v>
      </c>
      <c r="L82" s="9"/>
      <c r="M82" s="7"/>
    </row>
    <row r="83" spans="1:13" hidden="1" x14ac:dyDescent="0.25">
      <c r="A83" s="4"/>
      <c r="B83" s="28" t="str">
        <f>IF(ISNUMBER(MATCH(C83, Mgt_Unit!$C$5:$C$1018, 0)), INDEX(Mgt_Unit!$B$5:$B$1018, MATCH(C83, Mgt_Unit!$C$5:$C$1018, 0)), "")</f>
        <v>jennifer.moore</v>
      </c>
      <c r="C83" t="s">
        <v>653</v>
      </c>
      <c r="D83" s="45"/>
      <c r="E83" s="9" t="s">
        <v>1583</v>
      </c>
      <c r="F83" s="89">
        <v>43529</v>
      </c>
      <c r="G83" s="9"/>
      <c r="H83" s="9"/>
      <c r="I83" s="9"/>
      <c r="J83" t="s">
        <v>1352</v>
      </c>
      <c r="K83" s="120">
        <v>39</v>
      </c>
      <c r="L83" s="9"/>
      <c r="M83" s="7"/>
    </row>
    <row r="84" spans="1:13" hidden="1" x14ac:dyDescent="0.25">
      <c r="A84" s="4"/>
      <c r="B84" s="28" t="str">
        <f>IF(ISNUMBER(MATCH(C84, Mgt_Unit!$C$5:$C$1018, 0)), INDEX(Mgt_Unit!$B$5:$B$1018, MATCH(C84, Mgt_Unit!$C$5:$C$1018, 0)), "")</f>
        <v>jennifer.moore</v>
      </c>
      <c r="C84" t="s">
        <v>653</v>
      </c>
      <c r="D84" s="45"/>
      <c r="E84" s="9" t="s">
        <v>1583</v>
      </c>
      <c r="F84" s="89">
        <v>43529</v>
      </c>
      <c r="G84" s="9"/>
      <c r="H84" s="9"/>
      <c r="I84" s="9"/>
      <c r="J84" t="s">
        <v>1352</v>
      </c>
      <c r="K84" s="120">
        <v>39</v>
      </c>
      <c r="L84" s="9"/>
      <c r="M84" s="7"/>
    </row>
    <row r="85" spans="1:13" hidden="1" x14ac:dyDescent="0.25">
      <c r="A85" s="4"/>
      <c r="B85" s="28" t="str">
        <f>IF(ISNUMBER(MATCH(C85, Mgt_Unit!$C$5:$C$1018, 0)), INDEX(Mgt_Unit!$B$5:$B$1018, MATCH(C85, Mgt_Unit!$C$5:$C$1018, 0)), "")</f>
        <v>jennifer.moore</v>
      </c>
      <c r="C85" t="s">
        <v>653</v>
      </c>
      <c r="D85" s="45"/>
      <c r="E85" s="9" t="s">
        <v>1583</v>
      </c>
      <c r="F85" s="89">
        <v>43609</v>
      </c>
      <c r="G85" s="9"/>
      <c r="H85" s="9"/>
      <c r="I85" s="9"/>
      <c r="J85" t="s">
        <v>1359</v>
      </c>
      <c r="K85" s="120">
        <v>6.3</v>
      </c>
      <c r="L85" s="9"/>
      <c r="M85" s="7"/>
    </row>
    <row r="86" spans="1:13" hidden="1" x14ac:dyDescent="0.25">
      <c r="A86" s="4"/>
      <c r="B86" s="28" t="str">
        <f>IF(ISNUMBER(MATCH(C86, Mgt_Unit!$C$5:$C$1018, 0)), INDEX(Mgt_Unit!$B$5:$B$1018, MATCH(C86, Mgt_Unit!$C$5:$C$1018, 0)), "")</f>
        <v>jennifer.moore</v>
      </c>
      <c r="C86" t="s">
        <v>654</v>
      </c>
      <c r="D86" s="45"/>
      <c r="E86" s="9" t="s">
        <v>1583</v>
      </c>
      <c r="F86" s="89">
        <v>43164</v>
      </c>
      <c r="G86" s="9"/>
      <c r="H86" s="9"/>
      <c r="I86" s="9"/>
      <c r="J86" t="s">
        <v>1360</v>
      </c>
      <c r="K86" s="120">
        <v>62</v>
      </c>
      <c r="L86" s="9"/>
      <c r="M86" s="7"/>
    </row>
    <row r="87" spans="1:13" hidden="1" x14ac:dyDescent="0.25">
      <c r="A87" s="4"/>
      <c r="B87" s="28" t="str">
        <f>IF(ISNUMBER(MATCH(C87, Mgt_Unit!$C$5:$C$1018, 0)), INDEX(Mgt_Unit!$B$5:$B$1018, MATCH(C87, Mgt_Unit!$C$5:$C$1018, 0)), "")</f>
        <v>jennifer.moore</v>
      </c>
      <c r="C87" t="s">
        <v>654</v>
      </c>
      <c r="D87" s="45"/>
      <c r="E87" s="9" t="s">
        <v>1583</v>
      </c>
      <c r="F87" s="89">
        <v>43164</v>
      </c>
      <c r="G87" s="9"/>
      <c r="H87" s="9"/>
      <c r="I87" s="9"/>
      <c r="J87" t="s">
        <v>1352</v>
      </c>
      <c r="K87" s="120">
        <v>39</v>
      </c>
      <c r="L87" s="9"/>
      <c r="M87" s="7"/>
    </row>
    <row r="88" spans="1:13" hidden="1" x14ac:dyDescent="0.25">
      <c r="A88" s="4"/>
      <c r="B88" s="28" t="str">
        <f>IF(ISNUMBER(MATCH(C88, Mgt_Unit!$C$5:$C$1018, 0)), INDEX(Mgt_Unit!$B$5:$B$1018, MATCH(C88, Mgt_Unit!$C$5:$C$1018, 0)), "")</f>
        <v>jennifer.moore</v>
      </c>
      <c r="C88" t="s">
        <v>654</v>
      </c>
      <c r="D88" s="45"/>
      <c r="E88" s="9" t="s">
        <v>1583</v>
      </c>
      <c r="F88" s="89">
        <v>43164</v>
      </c>
      <c r="G88" s="9"/>
      <c r="H88" s="9"/>
      <c r="I88" s="9"/>
      <c r="J88" t="s">
        <v>1352</v>
      </c>
      <c r="K88" s="120">
        <v>39</v>
      </c>
      <c r="L88" s="9"/>
      <c r="M88" s="7"/>
    </row>
    <row r="89" spans="1:13" hidden="1" x14ac:dyDescent="0.25">
      <c r="A89" s="4"/>
      <c r="B89" s="28" t="str">
        <f>IF(ISNUMBER(MATCH(C89, Mgt_Unit!$C$5:$C$1018, 0)), INDEX(Mgt_Unit!$B$5:$B$1018, MATCH(C89, Mgt_Unit!$C$5:$C$1018, 0)), "")</f>
        <v>jennifer.moore</v>
      </c>
      <c r="C89" t="s">
        <v>654</v>
      </c>
      <c r="D89" s="45"/>
      <c r="E89" s="9" t="s">
        <v>1583</v>
      </c>
      <c r="F89" s="89">
        <v>43243</v>
      </c>
      <c r="G89" s="9"/>
      <c r="H89" s="9"/>
      <c r="I89" s="9"/>
      <c r="J89" t="s">
        <v>1361</v>
      </c>
      <c r="K89" s="120">
        <v>2.4</v>
      </c>
      <c r="L89" s="9"/>
      <c r="M89" s="7"/>
    </row>
    <row r="90" spans="1:13" hidden="1" x14ac:dyDescent="0.25">
      <c r="A90" s="4"/>
      <c r="B90" s="28" t="str">
        <f>IF(ISNUMBER(MATCH(C90, Mgt_Unit!$C$5:$C$1018, 0)), INDEX(Mgt_Unit!$B$5:$B$1018, MATCH(C90, Mgt_Unit!$C$5:$C$1018, 0)), "")</f>
        <v>jennifer.moore</v>
      </c>
      <c r="C90" t="s">
        <v>654</v>
      </c>
      <c r="D90" s="45"/>
      <c r="E90" s="9" t="s">
        <v>1583</v>
      </c>
      <c r="F90" s="89">
        <v>43529</v>
      </c>
      <c r="G90" s="9"/>
      <c r="H90" s="9"/>
      <c r="I90" s="9"/>
      <c r="J90" t="s">
        <v>1360</v>
      </c>
      <c r="K90" s="120">
        <v>62</v>
      </c>
      <c r="L90" s="9"/>
      <c r="M90" s="7"/>
    </row>
    <row r="91" spans="1:13" hidden="1" x14ac:dyDescent="0.25">
      <c r="A91" s="4"/>
      <c r="B91" s="28" t="str">
        <f>IF(ISNUMBER(MATCH(C91, Mgt_Unit!$C$5:$C$1018, 0)), INDEX(Mgt_Unit!$B$5:$B$1018, MATCH(C91, Mgt_Unit!$C$5:$C$1018, 0)), "")</f>
        <v>jennifer.moore</v>
      </c>
      <c r="C91" t="s">
        <v>654</v>
      </c>
      <c r="D91" s="45"/>
      <c r="E91" s="9" t="s">
        <v>1583</v>
      </c>
      <c r="F91" s="89">
        <v>43529</v>
      </c>
      <c r="G91" s="9"/>
      <c r="H91" s="9"/>
      <c r="I91" s="9"/>
      <c r="J91" t="s">
        <v>1352</v>
      </c>
      <c r="K91" s="120">
        <v>39</v>
      </c>
      <c r="L91" s="9"/>
      <c r="M91" s="7"/>
    </row>
    <row r="92" spans="1:13" hidden="1" x14ac:dyDescent="0.25">
      <c r="A92" s="4"/>
      <c r="B92" s="28" t="str">
        <f>IF(ISNUMBER(MATCH(C92, Mgt_Unit!$C$5:$C$1018, 0)), INDEX(Mgt_Unit!$B$5:$B$1018, MATCH(C92, Mgt_Unit!$C$5:$C$1018, 0)), "")</f>
        <v>jennifer.moore</v>
      </c>
      <c r="C92" t="s">
        <v>654</v>
      </c>
      <c r="D92" s="45"/>
      <c r="E92" s="9" t="s">
        <v>1583</v>
      </c>
      <c r="F92" s="89">
        <v>43529</v>
      </c>
      <c r="G92" s="9"/>
      <c r="H92" s="9"/>
      <c r="I92" s="9"/>
      <c r="J92" t="s">
        <v>1352</v>
      </c>
      <c r="K92" s="120">
        <v>39</v>
      </c>
      <c r="L92" s="9"/>
      <c r="M92" s="7"/>
    </row>
    <row r="93" spans="1:13" hidden="1" x14ac:dyDescent="0.25">
      <c r="A93" s="4"/>
      <c r="B93" s="28" t="str">
        <f>IF(ISNUMBER(MATCH(C93, Mgt_Unit!$C$5:$C$1018, 0)), INDEX(Mgt_Unit!$B$5:$B$1018, MATCH(C93, Mgt_Unit!$C$5:$C$1018, 0)), "")</f>
        <v>jennifer.moore</v>
      </c>
      <c r="C93" t="s">
        <v>654</v>
      </c>
      <c r="D93" s="45"/>
      <c r="E93" s="9" t="s">
        <v>1583</v>
      </c>
      <c r="F93" s="89">
        <v>43609</v>
      </c>
      <c r="G93" s="9"/>
      <c r="H93" s="9"/>
      <c r="I93" s="9"/>
      <c r="J93" t="s">
        <v>1359</v>
      </c>
      <c r="K93" s="120">
        <v>6.3</v>
      </c>
      <c r="L93" s="9"/>
      <c r="M93" s="7"/>
    </row>
    <row r="94" spans="1:13" hidden="1" x14ac:dyDescent="0.25">
      <c r="A94" s="4"/>
      <c r="B94" s="28" t="str">
        <f>IF(ISNUMBER(MATCH(C94, Mgt_Unit!$C$5:$C$1018, 0)), INDEX(Mgt_Unit!$B$5:$B$1018, MATCH(C94, Mgt_Unit!$C$5:$C$1018, 0)), "")</f>
        <v>jennifer.moore</v>
      </c>
      <c r="C94" t="s">
        <v>655</v>
      </c>
      <c r="D94" s="45"/>
      <c r="E94" s="9" t="s">
        <v>1583</v>
      </c>
      <c r="F94" s="89">
        <v>43243</v>
      </c>
      <c r="G94" s="9"/>
      <c r="H94" s="9"/>
      <c r="I94" s="9"/>
      <c r="J94" t="s">
        <v>1361</v>
      </c>
      <c r="K94" s="120">
        <v>2.4</v>
      </c>
      <c r="L94" s="9"/>
      <c r="M94" s="7"/>
    </row>
    <row r="95" spans="1:13" hidden="1" x14ac:dyDescent="0.25">
      <c r="A95" s="4"/>
      <c r="B95" s="28" t="str">
        <f>IF(ISNUMBER(MATCH(C95, Mgt_Unit!$C$5:$C$1018, 0)), INDEX(Mgt_Unit!$B$5:$B$1018, MATCH(C95, Mgt_Unit!$C$5:$C$1018, 0)), "")</f>
        <v>jennifer.moore</v>
      </c>
      <c r="C95" t="s">
        <v>655</v>
      </c>
      <c r="D95" s="45"/>
      <c r="E95" s="9" t="s">
        <v>1583</v>
      </c>
      <c r="F95" s="89">
        <v>43609</v>
      </c>
      <c r="G95" s="9"/>
      <c r="H95" s="9"/>
      <c r="I95" s="9"/>
      <c r="J95" t="s">
        <v>1359</v>
      </c>
      <c r="K95" s="120">
        <v>6.3</v>
      </c>
      <c r="L95" s="9"/>
      <c r="M95" s="7"/>
    </row>
    <row r="96" spans="1:13" hidden="1" x14ac:dyDescent="0.25">
      <c r="A96" s="4"/>
      <c r="B96" s="28" t="str">
        <f>IF(ISNUMBER(MATCH(C96, Mgt_Unit!$C$5:$C$1018, 0)), INDEX(Mgt_Unit!$B$5:$B$1018, MATCH(C96, Mgt_Unit!$C$5:$C$1018, 0)), "")</f>
        <v>jennifer.moore</v>
      </c>
      <c r="C96" t="s">
        <v>656</v>
      </c>
      <c r="D96" s="45"/>
      <c r="E96" s="9" t="s">
        <v>1583</v>
      </c>
      <c r="F96" s="89">
        <v>43243</v>
      </c>
      <c r="G96" s="9"/>
      <c r="H96" s="9"/>
      <c r="I96" s="9"/>
      <c r="J96" t="s">
        <v>1361</v>
      </c>
      <c r="K96" s="120">
        <v>2.4</v>
      </c>
      <c r="L96" s="9"/>
      <c r="M96" s="7"/>
    </row>
    <row r="97" spans="1:13" hidden="1" x14ac:dyDescent="0.25">
      <c r="A97" s="4"/>
      <c r="B97" s="28" t="str">
        <f>IF(ISNUMBER(MATCH(C97, Mgt_Unit!$C$5:$C$1018, 0)), INDEX(Mgt_Unit!$B$5:$B$1018, MATCH(C97, Mgt_Unit!$C$5:$C$1018, 0)), "")</f>
        <v>jennifer.moore</v>
      </c>
      <c r="C97" t="s">
        <v>656</v>
      </c>
      <c r="D97" s="45"/>
      <c r="E97" s="9" t="s">
        <v>1583</v>
      </c>
      <c r="F97" s="89">
        <v>43609</v>
      </c>
      <c r="G97" s="9"/>
      <c r="H97" s="9"/>
      <c r="I97" s="9"/>
      <c r="J97" t="s">
        <v>1359</v>
      </c>
      <c r="K97" s="120">
        <v>6.3</v>
      </c>
      <c r="L97" s="9"/>
      <c r="M97" s="7"/>
    </row>
    <row r="98" spans="1:13" hidden="1" x14ac:dyDescent="0.25">
      <c r="A98" s="4"/>
      <c r="B98" s="28" t="str">
        <f>IF(ISNUMBER(MATCH(C98, Mgt_Unit!$C$5:$C$1018, 0)), INDEX(Mgt_Unit!$B$5:$B$1018, MATCH(C98, Mgt_Unit!$C$5:$C$1018, 0)), "")</f>
        <v>jennifer.moore</v>
      </c>
      <c r="C98" t="s">
        <v>657</v>
      </c>
      <c r="D98" s="45"/>
      <c r="E98" s="9" t="s">
        <v>1583</v>
      </c>
      <c r="F98" s="89">
        <v>43164</v>
      </c>
      <c r="G98" s="9"/>
      <c r="H98" s="9"/>
      <c r="I98" s="9"/>
      <c r="J98" t="s">
        <v>1352</v>
      </c>
      <c r="K98" s="120">
        <v>39</v>
      </c>
      <c r="L98" s="9"/>
      <c r="M98" s="7"/>
    </row>
    <row r="99" spans="1:13" hidden="1" x14ac:dyDescent="0.25">
      <c r="A99" s="4"/>
      <c r="B99" s="28" t="str">
        <f>IF(ISNUMBER(MATCH(C99, Mgt_Unit!$C$5:$C$1018, 0)), INDEX(Mgt_Unit!$B$5:$B$1018, MATCH(C99, Mgt_Unit!$C$5:$C$1018, 0)), "")</f>
        <v>jennifer.moore</v>
      </c>
      <c r="C99" t="s">
        <v>657</v>
      </c>
      <c r="D99" s="45"/>
      <c r="E99" s="9" t="s">
        <v>1583</v>
      </c>
      <c r="F99" s="89">
        <v>43164</v>
      </c>
      <c r="G99" s="9"/>
      <c r="H99" s="9"/>
      <c r="I99" s="9"/>
      <c r="J99" t="s">
        <v>1352</v>
      </c>
      <c r="K99" s="120">
        <v>39</v>
      </c>
      <c r="L99" s="9"/>
      <c r="M99" s="7"/>
    </row>
    <row r="100" spans="1:13" hidden="1" x14ac:dyDescent="0.25">
      <c r="A100" s="4"/>
      <c r="B100" s="28" t="str">
        <f>IF(ISNUMBER(MATCH(C100, Mgt_Unit!$C$5:$C$1018, 0)), INDEX(Mgt_Unit!$B$5:$B$1018, MATCH(C100, Mgt_Unit!$C$5:$C$1018, 0)), "")</f>
        <v>jennifer.moore</v>
      </c>
      <c r="C100" t="s">
        <v>657</v>
      </c>
      <c r="D100" s="45"/>
      <c r="E100" s="9" t="s">
        <v>1583</v>
      </c>
      <c r="F100" s="89">
        <v>43164</v>
      </c>
      <c r="G100" s="9"/>
      <c r="H100" s="9"/>
      <c r="I100" s="9"/>
      <c r="J100" t="s">
        <v>1360</v>
      </c>
      <c r="K100" s="120">
        <v>62</v>
      </c>
      <c r="L100" s="9"/>
      <c r="M100" s="7"/>
    </row>
    <row r="101" spans="1:13" hidden="1" x14ac:dyDescent="0.25">
      <c r="A101" s="4"/>
      <c r="B101" s="28" t="str">
        <f>IF(ISNUMBER(MATCH(C101, Mgt_Unit!$C$5:$C$1018, 0)), INDEX(Mgt_Unit!$B$5:$B$1018, MATCH(C101, Mgt_Unit!$C$5:$C$1018, 0)), "")</f>
        <v>jennifer.moore</v>
      </c>
      <c r="C101" t="s">
        <v>657</v>
      </c>
      <c r="D101" s="45"/>
      <c r="E101" s="9" t="s">
        <v>1583</v>
      </c>
      <c r="F101" s="89">
        <v>43244</v>
      </c>
      <c r="G101" s="9"/>
      <c r="H101" s="9"/>
      <c r="I101" s="9"/>
      <c r="J101" t="s">
        <v>1359</v>
      </c>
      <c r="K101" s="120">
        <v>6.3</v>
      </c>
      <c r="L101" s="9"/>
      <c r="M101" s="7"/>
    </row>
    <row r="102" spans="1:13" hidden="1" x14ac:dyDescent="0.25">
      <c r="A102" s="4"/>
      <c r="B102" s="28" t="str">
        <f>IF(ISNUMBER(MATCH(C102, Mgt_Unit!$C$5:$C$1018, 0)), INDEX(Mgt_Unit!$B$5:$B$1018, MATCH(C102, Mgt_Unit!$C$5:$C$1018, 0)), "")</f>
        <v>jennifer.moore</v>
      </c>
      <c r="C102" t="s">
        <v>658</v>
      </c>
      <c r="D102" s="45"/>
      <c r="E102" s="9" t="s">
        <v>1583</v>
      </c>
      <c r="F102" s="89">
        <v>43242</v>
      </c>
      <c r="G102" s="9"/>
      <c r="H102" s="9"/>
      <c r="I102" s="9"/>
      <c r="J102" t="s">
        <v>1361</v>
      </c>
      <c r="K102" s="120">
        <v>2.4</v>
      </c>
      <c r="L102" s="9"/>
      <c r="M102" s="7"/>
    </row>
    <row r="103" spans="1:13" hidden="1" x14ac:dyDescent="0.25">
      <c r="A103" s="4"/>
      <c r="B103" s="28" t="str">
        <f>IF(ISNUMBER(MATCH(C103, Mgt_Unit!$C$5:$C$1018, 0)), INDEX(Mgt_Unit!$B$5:$B$1018, MATCH(C103, Mgt_Unit!$C$5:$C$1018, 0)), "")</f>
        <v>jennifer.moore</v>
      </c>
      <c r="C103" t="s">
        <v>658</v>
      </c>
      <c r="D103" s="45"/>
      <c r="E103" s="9" t="s">
        <v>1583</v>
      </c>
      <c r="F103" s="89">
        <v>43439</v>
      </c>
      <c r="G103" s="9"/>
      <c r="H103" s="9"/>
      <c r="I103" s="9"/>
      <c r="J103" t="s">
        <v>1352</v>
      </c>
      <c r="K103" s="120">
        <v>39</v>
      </c>
      <c r="L103" s="9"/>
      <c r="M103" s="7"/>
    </row>
    <row r="104" spans="1:13" hidden="1" x14ac:dyDescent="0.25">
      <c r="A104" s="4"/>
      <c r="B104" s="28" t="str">
        <f>IF(ISNUMBER(MATCH(C104, Mgt_Unit!$C$5:$C$1018, 0)), INDEX(Mgt_Unit!$B$5:$B$1018, MATCH(C104, Mgt_Unit!$C$5:$C$1018, 0)), "")</f>
        <v>jennifer.moore</v>
      </c>
      <c r="C104" t="s">
        <v>658</v>
      </c>
      <c r="D104" s="45"/>
      <c r="E104" s="9" t="s">
        <v>1583</v>
      </c>
      <c r="F104" s="89">
        <v>43439</v>
      </c>
      <c r="G104" s="9"/>
      <c r="H104" s="9"/>
      <c r="I104" s="9"/>
      <c r="J104" t="s">
        <v>1352</v>
      </c>
      <c r="K104" s="120">
        <v>39</v>
      </c>
      <c r="L104" s="9"/>
      <c r="M104" s="7"/>
    </row>
    <row r="105" spans="1:13" hidden="1" x14ac:dyDescent="0.25">
      <c r="A105" s="4"/>
      <c r="B105" s="28" t="str">
        <f>IF(ISNUMBER(MATCH(C105, Mgt_Unit!$C$5:$C$1018, 0)), INDEX(Mgt_Unit!$B$5:$B$1018, MATCH(C105, Mgt_Unit!$C$5:$C$1018, 0)), "")</f>
        <v>jennifer.moore</v>
      </c>
      <c r="C105" t="s">
        <v>658</v>
      </c>
      <c r="D105" s="45"/>
      <c r="E105" s="9" t="s">
        <v>1583</v>
      </c>
      <c r="F105" s="89">
        <v>43439</v>
      </c>
      <c r="G105" s="9"/>
      <c r="H105" s="9"/>
      <c r="I105" s="9"/>
      <c r="J105" t="s">
        <v>1360</v>
      </c>
      <c r="K105" s="120">
        <v>62</v>
      </c>
      <c r="L105" s="9"/>
      <c r="M105" s="7"/>
    </row>
    <row r="106" spans="1:13" hidden="1" x14ac:dyDescent="0.25">
      <c r="A106" s="4"/>
      <c r="B106" s="28" t="str">
        <f>IF(ISNUMBER(MATCH(C106, Mgt_Unit!$C$5:$C$1018, 0)), INDEX(Mgt_Unit!$B$5:$B$1018, MATCH(C106, Mgt_Unit!$C$5:$C$1018, 0)), "")</f>
        <v>jennifer.moore</v>
      </c>
      <c r="C106" t="s">
        <v>658</v>
      </c>
      <c r="D106" s="45"/>
      <c r="E106" s="9" t="s">
        <v>1583</v>
      </c>
      <c r="F106" s="89">
        <v>43439</v>
      </c>
      <c r="G106" s="9"/>
      <c r="H106" s="9"/>
      <c r="I106" s="9"/>
      <c r="J106" t="s">
        <v>1363</v>
      </c>
      <c r="K106" s="120">
        <v>20</v>
      </c>
      <c r="L106" s="9"/>
      <c r="M106" s="7"/>
    </row>
    <row r="107" spans="1:13" hidden="1" x14ac:dyDescent="0.25">
      <c r="A107" s="4"/>
      <c r="B107" s="28" t="str">
        <f>IF(ISNUMBER(MATCH(C107, Mgt_Unit!$C$5:$C$1018, 0)), INDEX(Mgt_Unit!$B$5:$B$1018, MATCH(C107, Mgt_Unit!$C$5:$C$1018, 0)), "")</f>
        <v>jennifer.moore</v>
      </c>
      <c r="C107" t="s">
        <v>658</v>
      </c>
      <c r="D107" s="45"/>
      <c r="E107" s="9" t="s">
        <v>1583</v>
      </c>
      <c r="F107" s="89">
        <v>43607</v>
      </c>
      <c r="G107" s="9"/>
      <c r="H107" s="9"/>
      <c r="I107" s="9"/>
      <c r="J107" t="s">
        <v>1359</v>
      </c>
      <c r="K107" s="120">
        <v>2.4</v>
      </c>
      <c r="L107" s="9"/>
      <c r="M107" s="7"/>
    </row>
    <row r="108" spans="1:13" hidden="1" x14ac:dyDescent="0.25">
      <c r="A108" s="4"/>
      <c r="B108" s="28" t="str">
        <f>IF(ISNUMBER(MATCH(C108, Mgt_Unit!$C$5:$C$1018, 0)), INDEX(Mgt_Unit!$B$5:$B$1018, MATCH(C108, Mgt_Unit!$C$5:$C$1018, 0)), "")</f>
        <v>jennifer.moore</v>
      </c>
      <c r="C108" t="s">
        <v>658</v>
      </c>
      <c r="D108" s="45"/>
      <c r="E108" s="9" t="s">
        <v>1583</v>
      </c>
      <c r="F108" s="89">
        <v>43774</v>
      </c>
      <c r="G108" s="9"/>
      <c r="H108" s="9"/>
      <c r="I108" s="9"/>
      <c r="J108" t="s">
        <v>1352</v>
      </c>
      <c r="K108" s="120">
        <v>39</v>
      </c>
      <c r="L108" s="9"/>
      <c r="M108" s="7"/>
    </row>
    <row r="109" spans="1:13" hidden="1" x14ac:dyDescent="0.25">
      <c r="A109" s="4"/>
      <c r="B109" s="28" t="str">
        <f>IF(ISNUMBER(MATCH(C109, Mgt_Unit!$C$5:$C$1018, 0)), INDEX(Mgt_Unit!$B$5:$B$1018, MATCH(C109, Mgt_Unit!$C$5:$C$1018, 0)), "")</f>
        <v>jennifer.moore</v>
      </c>
      <c r="C109" t="s">
        <v>658</v>
      </c>
      <c r="D109" s="45"/>
      <c r="E109" s="9" t="s">
        <v>1583</v>
      </c>
      <c r="F109" s="89">
        <v>43804</v>
      </c>
      <c r="G109" s="9"/>
      <c r="H109" s="9"/>
      <c r="I109" s="9"/>
      <c r="J109" t="s">
        <v>1363</v>
      </c>
      <c r="K109" s="120">
        <v>20</v>
      </c>
      <c r="L109" s="9"/>
      <c r="M109" s="7"/>
    </row>
    <row r="110" spans="1:13" hidden="1" x14ac:dyDescent="0.25">
      <c r="A110" s="4"/>
      <c r="B110" s="28" t="str">
        <f>IF(ISNUMBER(MATCH(C110, Mgt_Unit!$C$5:$C$1018, 0)), INDEX(Mgt_Unit!$B$5:$B$1018, MATCH(C110, Mgt_Unit!$C$5:$C$1018, 0)), "")</f>
        <v>jennifer.moore</v>
      </c>
      <c r="C110" t="s">
        <v>658</v>
      </c>
      <c r="D110" s="45"/>
      <c r="E110" s="9" t="s">
        <v>1583</v>
      </c>
      <c r="F110" s="89">
        <v>43804</v>
      </c>
      <c r="G110" s="9"/>
      <c r="H110" s="9"/>
      <c r="I110" s="9"/>
      <c r="J110" t="s">
        <v>1352</v>
      </c>
      <c r="K110" s="120">
        <v>39</v>
      </c>
      <c r="L110" s="9"/>
      <c r="M110" s="7"/>
    </row>
    <row r="111" spans="1:13" hidden="1" x14ac:dyDescent="0.25">
      <c r="A111" s="4"/>
      <c r="B111" s="28" t="str">
        <f>IF(ISNUMBER(MATCH(C111, Mgt_Unit!$C$5:$C$1018, 0)), INDEX(Mgt_Unit!$B$5:$B$1018, MATCH(C111, Mgt_Unit!$C$5:$C$1018, 0)), "")</f>
        <v>jennifer.moore</v>
      </c>
      <c r="C111" t="s">
        <v>658</v>
      </c>
      <c r="D111" s="45"/>
      <c r="E111" s="9" t="s">
        <v>1583</v>
      </c>
      <c r="F111" s="89">
        <v>43804</v>
      </c>
      <c r="G111" s="9"/>
      <c r="H111" s="9"/>
      <c r="I111" s="9"/>
      <c r="J111" t="s">
        <v>1360</v>
      </c>
      <c r="K111" s="120">
        <v>62</v>
      </c>
      <c r="L111" s="9"/>
      <c r="M111" s="7"/>
    </row>
    <row r="112" spans="1:13" hidden="1" x14ac:dyDescent="0.25">
      <c r="A112" s="4"/>
      <c r="B112" s="28" t="str">
        <f>IF(ISNUMBER(MATCH(C112, Mgt_Unit!$C$5:$C$1018, 0)), INDEX(Mgt_Unit!$B$5:$B$1018, MATCH(C112, Mgt_Unit!$C$5:$C$1018, 0)), "")</f>
        <v>jennifer.moore</v>
      </c>
      <c r="C112" t="s">
        <v>659</v>
      </c>
      <c r="D112" s="45"/>
      <c r="E112" s="9" t="s">
        <v>1583</v>
      </c>
      <c r="F112" s="89">
        <v>43242</v>
      </c>
      <c r="G112" s="9"/>
      <c r="H112" s="9"/>
      <c r="I112" s="9"/>
      <c r="J112" t="s">
        <v>1359</v>
      </c>
      <c r="K112" s="120">
        <v>2.4</v>
      </c>
      <c r="L112" s="9"/>
      <c r="M112" s="7"/>
    </row>
    <row r="113" spans="1:13" hidden="1" x14ac:dyDescent="0.25">
      <c r="A113" s="4"/>
      <c r="B113" s="28" t="str">
        <f>IF(ISNUMBER(MATCH(C113, Mgt_Unit!$C$5:$C$1018, 0)), INDEX(Mgt_Unit!$B$5:$B$1018, MATCH(C113, Mgt_Unit!$C$5:$C$1018, 0)), "")</f>
        <v>jennifer.moore</v>
      </c>
      <c r="C113" t="s">
        <v>659</v>
      </c>
      <c r="D113" s="45"/>
      <c r="E113" s="9" t="s">
        <v>1583</v>
      </c>
      <c r="F113" s="89">
        <v>43409</v>
      </c>
      <c r="G113" s="9"/>
      <c r="H113" s="9"/>
      <c r="I113" s="9"/>
      <c r="J113" t="s">
        <v>1352</v>
      </c>
      <c r="K113" s="120">
        <v>39</v>
      </c>
      <c r="L113" s="9"/>
      <c r="M113" s="7"/>
    </row>
    <row r="114" spans="1:13" hidden="1" x14ac:dyDescent="0.25">
      <c r="A114" s="4"/>
      <c r="B114" s="28" t="str">
        <f>IF(ISNUMBER(MATCH(C114, Mgt_Unit!$C$5:$C$1018, 0)), INDEX(Mgt_Unit!$B$5:$B$1018, MATCH(C114, Mgt_Unit!$C$5:$C$1018, 0)), "")</f>
        <v>jennifer.moore</v>
      </c>
      <c r="C114" t="s">
        <v>659</v>
      </c>
      <c r="D114" s="45"/>
      <c r="E114" s="9" t="s">
        <v>1583</v>
      </c>
      <c r="F114" s="89">
        <v>43409</v>
      </c>
      <c r="G114" s="9"/>
      <c r="H114" s="9"/>
      <c r="I114" s="9"/>
      <c r="J114" t="s">
        <v>1360</v>
      </c>
      <c r="K114" s="120">
        <v>62</v>
      </c>
      <c r="L114" s="9"/>
      <c r="M114" s="7"/>
    </row>
    <row r="115" spans="1:13" hidden="1" x14ac:dyDescent="0.25">
      <c r="A115" s="4"/>
      <c r="B115" s="28" t="str">
        <f>IF(ISNUMBER(MATCH(C115, Mgt_Unit!$C$5:$C$1018, 0)), INDEX(Mgt_Unit!$B$5:$B$1018, MATCH(C115, Mgt_Unit!$C$5:$C$1018, 0)), "")</f>
        <v>jennifer.moore</v>
      </c>
      <c r="C115" t="s">
        <v>659</v>
      </c>
      <c r="D115" s="45"/>
      <c r="E115" s="9" t="s">
        <v>1583</v>
      </c>
      <c r="F115" s="89">
        <v>43409</v>
      </c>
      <c r="G115" s="9"/>
      <c r="H115" s="9"/>
      <c r="I115" s="9"/>
      <c r="J115" t="s">
        <v>1352</v>
      </c>
      <c r="K115" s="120">
        <v>39</v>
      </c>
      <c r="L115" s="9"/>
      <c r="M115" s="7"/>
    </row>
    <row r="116" spans="1:13" hidden="1" x14ac:dyDescent="0.25">
      <c r="A116" s="4"/>
      <c r="B116" s="28" t="str">
        <f>IF(ISNUMBER(MATCH(C116, Mgt_Unit!$C$5:$C$1018, 0)), INDEX(Mgt_Unit!$B$5:$B$1018, MATCH(C116, Mgt_Unit!$C$5:$C$1018, 0)), "")</f>
        <v>jennifer.moore</v>
      </c>
      <c r="C116" t="s">
        <v>659</v>
      </c>
      <c r="D116" s="45"/>
      <c r="E116" s="9" t="s">
        <v>1583</v>
      </c>
      <c r="F116" s="89">
        <v>43409</v>
      </c>
      <c r="G116" s="9"/>
      <c r="H116" s="9"/>
      <c r="I116" s="9"/>
      <c r="J116" t="s">
        <v>1363</v>
      </c>
      <c r="K116" s="120">
        <v>20</v>
      </c>
      <c r="L116" s="9"/>
      <c r="M116" s="7"/>
    </row>
    <row r="117" spans="1:13" hidden="1" x14ac:dyDescent="0.25">
      <c r="A117" s="4"/>
      <c r="B117" s="28" t="str">
        <f>IF(ISNUMBER(MATCH(C117, Mgt_Unit!$C$5:$C$1018, 0)), INDEX(Mgt_Unit!$B$5:$B$1018, MATCH(C117, Mgt_Unit!$C$5:$C$1018, 0)), "")</f>
        <v>jennifer.moore</v>
      </c>
      <c r="C117" t="s">
        <v>659</v>
      </c>
      <c r="D117" s="45"/>
      <c r="E117" s="9" t="s">
        <v>1583</v>
      </c>
      <c r="F117" s="89">
        <v>43607</v>
      </c>
      <c r="G117" s="9"/>
      <c r="H117" s="9"/>
      <c r="I117" s="9"/>
      <c r="J117" t="s">
        <v>1361</v>
      </c>
      <c r="K117" s="120">
        <v>2.4</v>
      </c>
      <c r="L117" s="9"/>
      <c r="M117" s="7"/>
    </row>
    <row r="118" spans="1:13" hidden="1" x14ac:dyDescent="0.25">
      <c r="A118" s="4"/>
      <c r="B118" s="28" t="str">
        <f>IF(ISNUMBER(MATCH(C118, Mgt_Unit!$C$5:$C$1018, 0)), INDEX(Mgt_Unit!$B$5:$B$1018, MATCH(C118, Mgt_Unit!$C$5:$C$1018, 0)), "")</f>
        <v>jennifer.moore</v>
      </c>
      <c r="C118" t="s">
        <v>659</v>
      </c>
      <c r="D118" s="45"/>
      <c r="E118" s="9" t="s">
        <v>1583</v>
      </c>
      <c r="F118" s="89">
        <v>43804</v>
      </c>
      <c r="G118" s="9"/>
      <c r="H118" s="9"/>
      <c r="I118" s="9"/>
      <c r="J118" t="s">
        <v>1363</v>
      </c>
      <c r="K118" s="120">
        <v>20</v>
      </c>
      <c r="L118" s="9"/>
      <c r="M118" s="7"/>
    </row>
    <row r="119" spans="1:13" hidden="1" x14ac:dyDescent="0.25">
      <c r="A119" s="4"/>
      <c r="B119" s="28" t="str">
        <f>IF(ISNUMBER(MATCH(C119, Mgt_Unit!$C$5:$C$1018, 0)), INDEX(Mgt_Unit!$B$5:$B$1018, MATCH(C119, Mgt_Unit!$C$5:$C$1018, 0)), "")</f>
        <v>jennifer.moore</v>
      </c>
      <c r="C119" t="s">
        <v>659</v>
      </c>
      <c r="D119" s="45"/>
      <c r="E119" s="9" t="s">
        <v>1583</v>
      </c>
      <c r="F119" s="89">
        <v>43804</v>
      </c>
      <c r="G119" s="9"/>
      <c r="H119" s="9"/>
      <c r="I119" s="9"/>
      <c r="J119" t="s">
        <v>1352</v>
      </c>
      <c r="K119" s="120">
        <v>39</v>
      </c>
      <c r="L119" s="9"/>
      <c r="M119" s="7"/>
    </row>
    <row r="120" spans="1:13" hidden="1" x14ac:dyDescent="0.25">
      <c r="A120" s="4"/>
      <c r="B120" s="28" t="str">
        <f>IF(ISNUMBER(MATCH(C120, Mgt_Unit!$C$5:$C$1018, 0)), INDEX(Mgt_Unit!$B$5:$B$1018, MATCH(C120, Mgt_Unit!$C$5:$C$1018, 0)), "")</f>
        <v>jennifer.moore</v>
      </c>
      <c r="C120" t="s">
        <v>659</v>
      </c>
      <c r="D120" s="45"/>
      <c r="E120" s="9" t="s">
        <v>1583</v>
      </c>
      <c r="F120" s="89">
        <v>43804</v>
      </c>
      <c r="G120" s="9"/>
      <c r="H120" s="9"/>
      <c r="I120" s="9"/>
      <c r="J120" t="s">
        <v>1352</v>
      </c>
      <c r="K120" s="120">
        <v>39</v>
      </c>
      <c r="L120" s="9"/>
      <c r="M120" s="7"/>
    </row>
    <row r="121" spans="1:13" hidden="1" x14ac:dyDescent="0.25">
      <c r="A121" s="4"/>
      <c r="B121" s="28" t="str">
        <f>IF(ISNUMBER(MATCH(C121, Mgt_Unit!$C$5:$C$1018, 0)), INDEX(Mgt_Unit!$B$5:$B$1018, MATCH(C121, Mgt_Unit!$C$5:$C$1018, 0)), "")</f>
        <v>jennifer.moore</v>
      </c>
      <c r="C121" t="s">
        <v>659</v>
      </c>
      <c r="D121" s="45"/>
      <c r="E121" s="9" t="s">
        <v>1583</v>
      </c>
      <c r="F121" s="89">
        <v>43804</v>
      </c>
      <c r="G121" s="9"/>
      <c r="H121" s="9"/>
      <c r="I121" s="9"/>
      <c r="J121" t="s">
        <v>1360</v>
      </c>
      <c r="K121" s="120">
        <v>62</v>
      </c>
      <c r="L121" s="9"/>
      <c r="M121" s="7"/>
    </row>
    <row r="122" spans="1:13" hidden="1" x14ac:dyDescent="0.25">
      <c r="A122" s="4"/>
      <c r="B122" s="28" t="str">
        <f>IF(ISNUMBER(MATCH(C122, Mgt_Unit!$C$5:$C$1018, 0)), INDEX(Mgt_Unit!$B$5:$B$1018, MATCH(C122, Mgt_Unit!$C$5:$C$1018, 0)), "")</f>
        <v>jennifer.moore</v>
      </c>
      <c r="C122" t="s">
        <v>660</v>
      </c>
      <c r="D122" s="45"/>
      <c r="E122" s="9" t="s">
        <v>1583</v>
      </c>
      <c r="F122" s="89">
        <v>43242</v>
      </c>
      <c r="G122" s="9"/>
      <c r="H122" s="9"/>
      <c r="I122" s="9"/>
      <c r="J122" t="s">
        <v>1361</v>
      </c>
      <c r="K122" s="120">
        <v>2.4</v>
      </c>
      <c r="L122" s="9"/>
      <c r="M122" s="7"/>
    </row>
    <row r="123" spans="1:13" hidden="1" x14ac:dyDescent="0.25">
      <c r="A123" s="4"/>
      <c r="B123" s="28" t="str">
        <f>IF(ISNUMBER(MATCH(C123, Mgt_Unit!$C$5:$C$1018, 0)), INDEX(Mgt_Unit!$B$5:$B$1018, MATCH(C123, Mgt_Unit!$C$5:$C$1018, 0)), "")</f>
        <v>jennifer.moore</v>
      </c>
      <c r="C123" t="s">
        <v>660</v>
      </c>
      <c r="D123" s="45"/>
      <c r="E123" s="9" t="s">
        <v>1583</v>
      </c>
      <c r="F123" s="89">
        <v>43439</v>
      </c>
      <c r="G123" s="9"/>
      <c r="H123" s="9"/>
      <c r="I123" s="9"/>
      <c r="J123" t="s">
        <v>1364</v>
      </c>
      <c r="K123" s="120">
        <v>2.2000000000000002</v>
      </c>
      <c r="L123" s="9"/>
      <c r="M123" s="7"/>
    </row>
    <row r="124" spans="1:13" hidden="1" x14ac:dyDescent="0.25">
      <c r="A124" s="4"/>
      <c r="B124" s="28" t="str">
        <f>IF(ISNUMBER(MATCH(C124, Mgt_Unit!$C$5:$C$1018, 0)), INDEX(Mgt_Unit!$B$5:$B$1018, MATCH(C124, Mgt_Unit!$C$5:$C$1018, 0)), "")</f>
        <v>jennifer.moore</v>
      </c>
      <c r="C124" t="s">
        <v>660</v>
      </c>
      <c r="D124" s="45"/>
      <c r="E124" s="9" t="s">
        <v>1583</v>
      </c>
      <c r="F124" s="89">
        <v>43607</v>
      </c>
      <c r="G124" s="9"/>
      <c r="H124" s="9"/>
      <c r="I124" s="9"/>
      <c r="J124" t="s">
        <v>1359</v>
      </c>
      <c r="K124" s="120">
        <v>2.4</v>
      </c>
      <c r="L124" s="9"/>
      <c r="M124" s="7"/>
    </row>
    <row r="125" spans="1:13" hidden="1" x14ac:dyDescent="0.25">
      <c r="A125" s="4"/>
      <c r="B125" s="28" t="str">
        <f>IF(ISNUMBER(MATCH(C125, Mgt_Unit!$C$5:$C$1018, 0)), INDEX(Mgt_Unit!$B$5:$B$1018, MATCH(C125, Mgt_Unit!$C$5:$C$1018, 0)), "")</f>
        <v>jennifer.moore</v>
      </c>
      <c r="C125" t="s">
        <v>660</v>
      </c>
      <c r="D125" s="45"/>
      <c r="E125" s="9" t="s">
        <v>1583</v>
      </c>
      <c r="F125" s="89">
        <v>43774</v>
      </c>
      <c r="G125" s="9"/>
      <c r="H125" s="9"/>
      <c r="I125" s="9"/>
      <c r="J125" t="s">
        <v>1364</v>
      </c>
      <c r="K125" s="120">
        <v>2.2000000000000002</v>
      </c>
      <c r="L125" s="9"/>
      <c r="M125" s="7"/>
    </row>
    <row r="126" spans="1:13" hidden="1" x14ac:dyDescent="0.25">
      <c r="A126" s="4"/>
      <c r="B126" s="28" t="str">
        <f>IF(ISNUMBER(MATCH(C126, Mgt_Unit!$C$5:$C$1018, 0)), INDEX(Mgt_Unit!$B$5:$B$1018, MATCH(C126, Mgt_Unit!$C$5:$C$1018, 0)), "")</f>
        <v>jennifer.moore</v>
      </c>
      <c r="C126" t="s">
        <v>661</v>
      </c>
      <c r="D126" s="45"/>
      <c r="E126" s="9" t="s">
        <v>1583</v>
      </c>
      <c r="F126" s="89">
        <v>43242</v>
      </c>
      <c r="G126" s="9"/>
      <c r="H126" s="9"/>
      <c r="I126" s="9"/>
      <c r="J126" t="s">
        <v>1359</v>
      </c>
      <c r="K126" s="120">
        <v>2.4</v>
      </c>
      <c r="L126" s="9"/>
      <c r="M126" s="7"/>
    </row>
    <row r="127" spans="1:13" hidden="1" x14ac:dyDescent="0.25">
      <c r="A127" s="4"/>
      <c r="B127" s="28" t="str">
        <f>IF(ISNUMBER(MATCH(C127, Mgt_Unit!$C$5:$C$1018, 0)), INDEX(Mgt_Unit!$B$5:$B$1018, MATCH(C127, Mgt_Unit!$C$5:$C$1018, 0)), "")</f>
        <v>jennifer.moore</v>
      </c>
      <c r="C127" t="s">
        <v>661</v>
      </c>
      <c r="D127" s="45"/>
      <c r="E127" s="9" t="s">
        <v>1583</v>
      </c>
      <c r="F127" s="89">
        <v>43607</v>
      </c>
      <c r="G127" s="9"/>
      <c r="H127" s="9"/>
      <c r="I127" s="9"/>
      <c r="J127" t="s">
        <v>1361</v>
      </c>
      <c r="K127" s="120">
        <v>2.4</v>
      </c>
      <c r="L127" s="9"/>
      <c r="M127" s="7"/>
    </row>
    <row r="128" spans="1:13" hidden="1" x14ac:dyDescent="0.25">
      <c r="A128" s="4"/>
      <c r="B128" s="28" t="str">
        <f>IF(ISNUMBER(MATCH(C128, Mgt_Unit!$C$5:$C$1018, 0)), INDEX(Mgt_Unit!$B$5:$B$1018, MATCH(C128, Mgt_Unit!$C$5:$C$1018, 0)), "")</f>
        <v>jennifer.moore</v>
      </c>
      <c r="C128" t="s">
        <v>661</v>
      </c>
      <c r="D128" s="45"/>
      <c r="E128" s="9" t="s">
        <v>1583</v>
      </c>
      <c r="F128" s="89">
        <v>43804</v>
      </c>
      <c r="G128" s="9"/>
      <c r="H128" s="9"/>
      <c r="I128" s="9"/>
      <c r="J128" t="s">
        <v>1364</v>
      </c>
      <c r="K128" s="120">
        <v>2.2000000000000002</v>
      </c>
      <c r="L128" s="9"/>
      <c r="M128" s="7"/>
    </row>
    <row r="129" spans="1:13" hidden="1" x14ac:dyDescent="0.25">
      <c r="A129" s="4"/>
      <c r="B129" s="28" t="str">
        <f>IF(ISNUMBER(MATCH(C129, Mgt_Unit!$C$5:$C$1018, 0)), INDEX(Mgt_Unit!$B$5:$B$1018, MATCH(C129, Mgt_Unit!$C$5:$C$1018, 0)), "")</f>
        <v>jennifer.moore</v>
      </c>
      <c r="C129" t="s">
        <v>662</v>
      </c>
      <c r="D129" s="45"/>
      <c r="E129" s="9" t="s">
        <v>1583</v>
      </c>
      <c r="F129" s="89">
        <v>43242</v>
      </c>
      <c r="G129" s="9"/>
      <c r="H129" s="9"/>
      <c r="I129" s="9"/>
      <c r="J129" t="s">
        <v>1361</v>
      </c>
      <c r="K129" s="120">
        <v>2.4</v>
      </c>
      <c r="L129" s="9"/>
      <c r="M129" s="7"/>
    </row>
    <row r="130" spans="1:13" hidden="1" x14ac:dyDescent="0.25">
      <c r="A130" s="4"/>
      <c r="B130" s="28" t="str">
        <f>IF(ISNUMBER(MATCH(C130, Mgt_Unit!$C$5:$C$1018, 0)), INDEX(Mgt_Unit!$B$5:$B$1018, MATCH(C130, Mgt_Unit!$C$5:$C$1018, 0)), "")</f>
        <v>jennifer.moore</v>
      </c>
      <c r="C130" t="s">
        <v>662</v>
      </c>
      <c r="D130" s="45"/>
      <c r="E130" s="9" t="s">
        <v>1583</v>
      </c>
      <c r="F130" s="89">
        <v>43439</v>
      </c>
      <c r="G130" s="9"/>
      <c r="H130" s="9"/>
      <c r="I130" s="9"/>
      <c r="J130" t="s">
        <v>1364</v>
      </c>
      <c r="K130" s="120">
        <v>2.2000000000000002</v>
      </c>
      <c r="L130" s="9"/>
      <c r="M130" s="7"/>
    </row>
    <row r="131" spans="1:13" hidden="1" x14ac:dyDescent="0.25">
      <c r="A131" s="4"/>
      <c r="B131" s="28" t="str">
        <f>IF(ISNUMBER(MATCH(C131, Mgt_Unit!$C$5:$C$1018, 0)), INDEX(Mgt_Unit!$B$5:$B$1018, MATCH(C131, Mgt_Unit!$C$5:$C$1018, 0)), "")</f>
        <v>jennifer.moore</v>
      </c>
      <c r="C131" t="s">
        <v>662</v>
      </c>
      <c r="D131" s="45"/>
      <c r="E131" s="9" t="s">
        <v>1583</v>
      </c>
      <c r="F131" s="89">
        <v>43607</v>
      </c>
      <c r="G131" s="9"/>
      <c r="H131" s="9"/>
      <c r="I131" s="9"/>
      <c r="J131" t="s">
        <v>1359</v>
      </c>
      <c r="K131" s="120">
        <v>2.4</v>
      </c>
      <c r="L131" s="9"/>
      <c r="M131" s="7"/>
    </row>
    <row r="132" spans="1:13" hidden="1" x14ac:dyDescent="0.25">
      <c r="A132" s="4"/>
      <c r="B132" s="28" t="str">
        <f>IF(ISNUMBER(MATCH(C132, Mgt_Unit!$C$5:$C$1018, 0)), INDEX(Mgt_Unit!$B$5:$B$1018, MATCH(C132, Mgt_Unit!$C$5:$C$1018, 0)), "")</f>
        <v>jennifer.moore</v>
      </c>
      <c r="C132" t="s">
        <v>662</v>
      </c>
      <c r="D132" s="45"/>
      <c r="E132" s="9" t="s">
        <v>1583</v>
      </c>
      <c r="F132" s="89">
        <v>43774</v>
      </c>
      <c r="G132" s="9"/>
      <c r="H132" s="9"/>
      <c r="I132" s="9"/>
      <c r="J132" t="s">
        <v>1364</v>
      </c>
      <c r="K132" s="120">
        <v>2.2000000000000002</v>
      </c>
      <c r="L132" s="9"/>
      <c r="M132" s="7"/>
    </row>
    <row r="133" spans="1:13" hidden="1" x14ac:dyDescent="0.25">
      <c r="A133" s="4"/>
      <c r="B133" s="28" t="str">
        <f>IF(ISNUMBER(MATCH(C133, Mgt_Unit!$C$5:$C$1018, 0)), INDEX(Mgt_Unit!$B$5:$B$1018, MATCH(C133, Mgt_Unit!$C$5:$C$1018, 0)), "")</f>
        <v>jennifer.moore</v>
      </c>
      <c r="C133" t="s">
        <v>663</v>
      </c>
      <c r="D133" s="45"/>
      <c r="E133" s="9" t="s">
        <v>1583</v>
      </c>
      <c r="F133" s="89">
        <v>43242</v>
      </c>
      <c r="G133" s="9"/>
      <c r="H133" s="9"/>
      <c r="I133" s="9"/>
      <c r="J133" t="s">
        <v>1359</v>
      </c>
      <c r="K133" s="120">
        <v>2.4</v>
      </c>
      <c r="L133" s="9"/>
      <c r="M133" s="7"/>
    </row>
    <row r="134" spans="1:13" hidden="1" x14ac:dyDescent="0.25">
      <c r="A134" s="4"/>
      <c r="B134" s="28" t="str">
        <f>IF(ISNUMBER(MATCH(C134, Mgt_Unit!$C$5:$C$1018, 0)), INDEX(Mgt_Unit!$B$5:$B$1018, MATCH(C134, Mgt_Unit!$C$5:$C$1018, 0)), "")</f>
        <v>jennifer.moore</v>
      </c>
      <c r="C134" t="s">
        <v>663</v>
      </c>
      <c r="D134" s="45"/>
      <c r="E134" s="9" t="s">
        <v>1583</v>
      </c>
      <c r="F134" s="89">
        <v>43409</v>
      </c>
      <c r="G134" s="9"/>
      <c r="H134" s="9"/>
      <c r="I134" s="9"/>
      <c r="J134" t="s">
        <v>1364</v>
      </c>
      <c r="K134" s="120">
        <v>2.2000000000000002</v>
      </c>
      <c r="L134" s="9"/>
      <c r="M134" s="7"/>
    </row>
    <row r="135" spans="1:13" hidden="1" x14ac:dyDescent="0.25">
      <c r="A135" s="4"/>
      <c r="B135" s="28" t="str">
        <f>IF(ISNUMBER(MATCH(C135, Mgt_Unit!$C$5:$C$1018, 0)), INDEX(Mgt_Unit!$B$5:$B$1018, MATCH(C135, Mgt_Unit!$C$5:$C$1018, 0)), "")</f>
        <v>jennifer.moore</v>
      </c>
      <c r="C135" t="s">
        <v>663</v>
      </c>
      <c r="D135" s="45"/>
      <c r="E135" s="9" t="s">
        <v>1583</v>
      </c>
      <c r="F135" s="89">
        <v>43607</v>
      </c>
      <c r="G135" s="9"/>
      <c r="H135" s="9"/>
      <c r="I135" s="9"/>
      <c r="J135" t="s">
        <v>1361</v>
      </c>
      <c r="K135" s="120">
        <v>2.4</v>
      </c>
      <c r="L135" s="9"/>
      <c r="M135" s="7"/>
    </row>
    <row r="136" spans="1:13" hidden="1" x14ac:dyDescent="0.25">
      <c r="A136" s="4"/>
      <c r="B136" s="28" t="str">
        <f>IF(ISNUMBER(MATCH(C136, Mgt_Unit!$C$5:$C$1018, 0)), INDEX(Mgt_Unit!$B$5:$B$1018, MATCH(C136, Mgt_Unit!$C$5:$C$1018, 0)), "")</f>
        <v>jennifer.moore</v>
      </c>
      <c r="C136" t="s">
        <v>663</v>
      </c>
      <c r="D136" s="45"/>
      <c r="E136" s="9" t="s">
        <v>1583</v>
      </c>
      <c r="F136" s="89">
        <v>43804</v>
      </c>
      <c r="G136" s="9"/>
      <c r="H136" s="9"/>
      <c r="I136" s="9"/>
      <c r="J136" t="s">
        <v>1364</v>
      </c>
      <c r="K136" s="120">
        <v>2.2000000000000002</v>
      </c>
      <c r="L136" s="9"/>
      <c r="M136" s="7"/>
    </row>
    <row r="137" spans="1:13" hidden="1" x14ac:dyDescent="0.25">
      <c r="A137" s="4"/>
      <c r="B137" s="28" t="str">
        <f>IF(ISNUMBER(MATCH(C137, Mgt_Unit!$C$5:$C$1018, 0)), INDEX(Mgt_Unit!$B$5:$B$1018, MATCH(C137, Mgt_Unit!$C$5:$C$1018, 0)), "")</f>
        <v>jennifer.moore</v>
      </c>
      <c r="C137" t="s">
        <v>664</v>
      </c>
      <c r="D137" s="45"/>
      <c r="E137" s="9" t="s">
        <v>1583</v>
      </c>
      <c r="F137" s="89">
        <v>43185</v>
      </c>
      <c r="G137" s="9"/>
      <c r="H137" s="9"/>
      <c r="I137" s="9"/>
      <c r="J137" t="s">
        <v>1352</v>
      </c>
      <c r="K137" s="120">
        <v>39</v>
      </c>
      <c r="L137" s="9"/>
      <c r="M137" s="7"/>
    </row>
    <row r="138" spans="1:13" hidden="1" x14ac:dyDescent="0.25">
      <c r="A138" s="4"/>
      <c r="B138" s="28" t="str">
        <f>IF(ISNUMBER(MATCH(C138, Mgt_Unit!$C$5:$C$1018, 0)), INDEX(Mgt_Unit!$B$5:$B$1018, MATCH(C138, Mgt_Unit!$C$5:$C$1018, 0)), "")</f>
        <v>jennifer.moore</v>
      </c>
      <c r="C138" t="s">
        <v>664</v>
      </c>
      <c r="D138" s="45"/>
      <c r="E138" s="9" t="s">
        <v>1583</v>
      </c>
      <c r="F138" s="89">
        <v>43185</v>
      </c>
      <c r="G138" s="9"/>
      <c r="H138" s="9"/>
      <c r="I138" s="9"/>
      <c r="J138" t="s">
        <v>1352</v>
      </c>
      <c r="K138" s="120">
        <v>39</v>
      </c>
      <c r="L138" s="9"/>
      <c r="M138" s="7"/>
    </row>
    <row r="139" spans="1:13" hidden="1" x14ac:dyDescent="0.25">
      <c r="A139" s="4"/>
      <c r="B139" s="28" t="str">
        <f>IF(ISNUMBER(MATCH(C139, Mgt_Unit!$C$5:$C$1018, 0)), INDEX(Mgt_Unit!$B$5:$B$1018, MATCH(C139, Mgt_Unit!$C$5:$C$1018, 0)), "")</f>
        <v>jennifer.moore</v>
      </c>
      <c r="C139" t="s">
        <v>664</v>
      </c>
      <c r="D139" s="45"/>
      <c r="E139" s="9" t="s">
        <v>1583</v>
      </c>
      <c r="F139" s="89">
        <v>43202</v>
      </c>
      <c r="G139" s="9"/>
      <c r="H139" s="9"/>
      <c r="I139" s="9"/>
      <c r="J139" t="s">
        <v>1365</v>
      </c>
      <c r="K139" s="120">
        <v>2.4</v>
      </c>
      <c r="L139" s="9"/>
      <c r="M139" s="7"/>
    </row>
    <row r="140" spans="1:13" hidden="1" x14ac:dyDescent="0.25">
      <c r="A140" s="4"/>
      <c r="B140" s="28" t="str">
        <f>IF(ISNUMBER(MATCH(C140, Mgt_Unit!$C$5:$C$1018, 0)), INDEX(Mgt_Unit!$B$5:$B$1018, MATCH(C140, Mgt_Unit!$C$5:$C$1018, 0)), "")</f>
        <v>jennifer.moore</v>
      </c>
      <c r="C140" t="s">
        <v>665</v>
      </c>
      <c r="D140" s="45"/>
      <c r="E140" s="9" t="s">
        <v>1583</v>
      </c>
      <c r="F140" s="89">
        <v>43185</v>
      </c>
      <c r="G140" s="9"/>
      <c r="H140" s="9"/>
      <c r="I140" s="9"/>
      <c r="J140" t="s">
        <v>1352</v>
      </c>
      <c r="K140" s="120">
        <v>39</v>
      </c>
      <c r="L140" s="9"/>
      <c r="M140" s="7"/>
    </row>
    <row r="141" spans="1:13" hidden="1" x14ac:dyDescent="0.25">
      <c r="A141" s="4"/>
      <c r="B141" s="28" t="str">
        <f>IF(ISNUMBER(MATCH(C141, Mgt_Unit!$C$5:$C$1018, 0)), INDEX(Mgt_Unit!$B$5:$B$1018, MATCH(C141, Mgt_Unit!$C$5:$C$1018, 0)), "")</f>
        <v>jennifer.moore</v>
      </c>
      <c r="C141" t="s">
        <v>665</v>
      </c>
      <c r="D141" s="45"/>
      <c r="E141" s="9" t="s">
        <v>1583</v>
      </c>
      <c r="F141" s="89">
        <v>43185</v>
      </c>
      <c r="G141" s="9"/>
      <c r="H141" s="9"/>
      <c r="I141" s="9"/>
      <c r="J141" t="s">
        <v>1352</v>
      </c>
      <c r="K141" s="120">
        <v>39</v>
      </c>
      <c r="L141" s="9"/>
      <c r="M141" s="7"/>
    </row>
    <row r="142" spans="1:13" hidden="1" x14ac:dyDescent="0.25">
      <c r="A142" s="4"/>
      <c r="B142" s="28" t="str">
        <f>IF(ISNUMBER(MATCH(C142, Mgt_Unit!$C$5:$C$1018, 0)), INDEX(Mgt_Unit!$B$5:$B$1018, MATCH(C142, Mgt_Unit!$C$5:$C$1018, 0)), "")</f>
        <v>jennifer.moore</v>
      </c>
      <c r="C142" t="s">
        <v>665</v>
      </c>
      <c r="D142" s="45"/>
      <c r="E142" s="9" t="s">
        <v>1583</v>
      </c>
      <c r="F142" s="89">
        <v>43186</v>
      </c>
      <c r="G142" s="9"/>
      <c r="H142" s="9"/>
      <c r="I142" s="9"/>
      <c r="J142" t="s">
        <v>1363</v>
      </c>
      <c r="K142" s="120">
        <v>20</v>
      </c>
      <c r="L142" s="9"/>
      <c r="M142" s="7"/>
    </row>
    <row r="143" spans="1:13" hidden="1" x14ac:dyDescent="0.25">
      <c r="A143" s="4"/>
      <c r="B143" s="28" t="str">
        <f>IF(ISNUMBER(MATCH(C143, Mgt_Unit!$C$5:$C$1018, 0)), INDEX(Mgt_Unit!$B$5:$B$1018, MATCH(C143, Mgt_Unit!$C$5:$C$1018, 0)), "")</f>
        <v>jennifer.moore</v>
      </c>
      <c r="C143" t="s">
        <v>665</v>
      </c>
      <c r="D143" s="45"/>
      <c r="E143" s="9" t="s">
        <v>1583</v>
      </c>
      <c r="F143" s="89">
        <v>43202</v>
      </c>
      <c r="G143" s="9"/>
      <c r="H143" s="9"/>
      <c r="I143" s="9"/>
      <c r="J143" t="s">
        <v>1365</v>
      </c>
      <c r="K143" s="120">
        <v>2.4</v>
      </c>
      <c r="L143" s="9"/>
      <c r="M143" s="7"/>
    </row>
    <row r="144" spans="1:13" hidden="1" x14ac:dyDescent="0.25">
      <c r="A144" s="4"/>
      <c r="B144" s="28" t="str">
        <f>IF(ISNUMBER(MATCH(C144, Mgt_Unit!$C$5:$C$1018, 0)), INDEX(Mgt_Unit!$B$5:$B$1018, MATCH(C144, Mgt_Unit!$C$5:$C$1018, 0)), "")</f>
        <v>jennifer.moore</v>
      </c>
      <c r="C144" t="s">
        <v>666</v>
      </c>
      <c r="D144" s="45"/>
      <c r="E144" s="9" t="s">
        <v>1583</v>
      </c>
      <c r="F144" s="89">
        <v>43202</v>
      </c>
      <c r="G144" s="9"/>
      <c r="H144" s="9"/>
      <c r="I144" s="9"/>
      <c r="J144" t="s">
        <v>1361</v>
      </c>
      <c r="K144" s="120">
        <v>2.4</v>
      </c>
      <c r="L144" s="9"/>
      <c r="M144" s="7"/>
    </row>
    <row r="145" spans="1:13" hidden="1" x14ac:dyDescent="0.25">
      <c r="A145" s="4"/>
      <c r="B145" s="28" t="str">
        <f>IF(ISNUMBER(MATCH(C145, Mgt_Unit!$C$5:$C$1018, 0)), INDEX(Mgt_Unit!$B$5:$B$1018, MATCH(C145, Mgt_Unit!$C$5:$C$1018, 0)), "")</f>
        <v>jennifer.moore</v>
      </c>
      <c r="C145" t="s">
        <v>667</v>
      </c>
      <c r="D145" s="45"/>
      <c r="E145" s="9" t="s">
        <v>1583</v>
      </c>
      <c r="F145" s="89">
        <v>43236</v>
      </c>
      <c r="G145" s="9"/>
      <c r="H145" s="9"/>
      <c r="I145" s="9"/>
      <c r="J145" t="s">
        <v>1359</v>
      </c>
      <c r="K145" s="120">
        <v>6.5</v>
      </c>
      <c r="L145" s="9"/>
      <c r="M145" s="7"/>
    </row>
    <row r="146" spans="1:13" hidden="1" x14ac:dyDescent="0.25">
      <c r="A146" s="4"/>
      <c r="B146" s="28" t="str">
        <f>IF(ISNUMBER(MATCH(C146, Mgt_Unit!$C$5:$C$1018, 0)), INDEX(Mgt_Unit!$B$5:$B$1018, MATCH(C146, Mgt_Unit!$C$5:$C$1018, 0)), "")</f>
        <v>jennifer.moore</v>
      </c>
      <c r="C146" t="s">
        <v>667</v>
      </c>
      <c r="D146" s="45"/>
      <c r="E146" s="9" t="s">
        <v>1583</v>
      </c>
      <c r="F146" s="89">
        <v>43574</v>
      </c>
      <c r="G146" s="9"/>
      <c r="H146" s="9"/>
      <c r="I146" s="9"/>
      <c r="J146" t="s">
        <v>1361</v>
      </c>
      <c r="K146" s="120">
        <v>2.4</v>
      </c>
      <c r="L146" s="9"/>
      <c r="M146" s="7"/>
    </row>
    <row r="147" spans="1:13" hidden="1" x14ac:dyDescent="0.25">
      <c r="A147" s="4"/>
      <c r="B147" s="28" t="str">
        <f>IF(ISNUMBER(MATCH(C147, Mgt_Unit!$C$5:$C$1018, 0)), INDEX(Mgt_Unit!$B$5:$B$1018, MATCH(C147, Mgt_Unit!$C$5:$C$1018, 0)), "")</f>
        <v>jennifer.moore</v>
      </c>
      <c r="C147" t="s">
        <v>668</v>
      </c>
      <c r="D147" s="45"/>
      <c r="E147" s="9" t="s">
        <v>1583</v>
      </c>
      <c r="F147" s="89">
        <v>43202</v>
      </c>
      <c r="G147" s="9"/>
      <c r="H147" s="9"/>
      <c r="I147" s="9"/>
      <c r="J147" t="s">
        <v>1361</v>
      </c>
      <c r="K147" s="120">
        <v>2.4</v>
      </c>
      <c r="L147" s="9"/>
      <c r="M147" s="7"/>
    </row>
    <row r="148" spans="1:13" hidden="1" x14ac:dyDescent="0.25">
      <c r="A148" s="4"/>
      <c r="B148" s="28" t="str">
        <f>IF(ISNUMBER(MATCH(C148, Mgt_Unit!$C$5:$C$1018, 0)), INDEX(Mgt_Unit!$B$5:$B$1018, MATCH(C148, Mgt_Unit!$C$5:$C$1018, 0)), "")</f>
        <v>jennifer.moore</v>
      </c>
      <c r="C148" t="s">
        <v>668</v>
      </c>
      <c r="D148" s="45"/>
      <c r="E148" s="9" t="s">
        <v>1583</v>
      </c>
      <c r="F148" s="89">
        <v>43601</v>
      </c>
      <c r="G148" s="9"/>
      <c r="H148" s="9"/>
      <c r="I148" s="9"/>
      <c r="J148" t="s">
        <v>1359</v>
      </c>
      <c r="K148" s="120">
        <v>2.4</v>
      </c>
      <c r="L148" s="9"/>
      <c r="M148" s="7"/>
    </row>
    <row r="149" spans="1:13" hidden="1" x14ac:dyDescent="0.25">
      <c r="A149" s="4"/>
      <c r="B149" s="28" t="str">
        <f>IF(ISNUMBER(MATCH(C149, Mgt_Unit!$C$5:$C$1018, 0)), INDEX(Mgt_Unit!$B$5:$B$1018, MATCH(C149, Mgt_Unit!$C$5:$C$1018, 0)), "")</f>
        <v>jennifer.moore</v>
      </c>
      <c r="C149" t="s">
        <v>669</v>
      </c>
      <c r="D149" s="45"/>
      <c r="E149" s="9" t="s">
        <v>1583</v>
      </c>
      <c r="F149" s="89">
        <v>43108</v>
      </c>
      <c r="G149" s="9"/>
      <c r="H149" s="9"/>
      <c r="I149" s="9"/>
      <c r="J149" t="s">
        <v>1359</v>
      </c>
      <c r="K149" s="120">
        <v>6.3</v>
      </c>
      <c r="L149" s="9"/>
      <c r="M149" s="7"/>
    </row>
    <row r="150" spans="1:13" hidden="1" x14ac:dyDescent="0.25">
      <c r="A150" s="4"/>
      <c r="B150" s="28" t="str">
        <f>IF(ISNUMBER(MATCH(C150, Mgt_Unit!$C$5:$C$1018, 0)), INDEX(Mgt_Unit!$B$5:$B$1018, MATCH(C150, Mgt_Unit!$C$5:$C$1018, 0)), "")</f>
        <v>jennifer.moore</v>
      </c>
      <c r="C150" t="s">
        <v>669</v>
      </c>
      <c r="D150" s="45"/>
      <c r="E150" s="9" t="s">
        <v>1583</v>
      </c>
      <c r="F150" s="89">
        <v>43243</v>
      </c>
      <c r="G150" s="9"/>
      <c r="H150" s="9"/>
      <c r="I150" s="9"/>
      <c r="J150" t="s">
        <v>1357</v>
      </c>
      <c r="K150" s="120">
        <v>62</v>
      </c>
      <c r="L150" s="9"/>
      <c r="M150" s="7"/>
    </row>
    <row r="151" spans="1:13" hidden="1" x14ac:dyDescent="0.25">
      <c r="A151" s="4"/>
      <c r="B151" s="28" t="str">
        <f>IF(ISNUMBER(MATCH(C151, Mgt_Unit!$C$5:$C$1018, 0)), INDEX(Mgt_Unit!$B$5:$B$1018, MATCH(C151, Mgt_Unit!$C$5:$C$1018, 0)), "")</f>
        <v>jennifer.moore</v>
      </c>
      <c r="C151" t="s">
        <v>669</v>
      </c>
      <c r="D151" s="45"/>
      <c r="E151" s="9" t="s">
        <v>1583</v>
      </c>
      <c r="F151" s="89">
        <v>43244</v>
      </c>
      <c r="G151" s="9"/>
      <c r="H151" s="9"/>
      <c r="I151" s="9"/>
      <c r="J151" t="s">
        <v>1352</v>
      </c>
      <c r="K151" s="120">
        <v>39</v>
      </c>
      <c r="L151" s="9"/>
      <c r="M151" s="7"/>
    </row>
    <row r="152" spans="1:13" hidden="1" x14ac:dyDescent="0.25">
      <c r="A152" s="4"/>
      <c r="B152" s="28" t="str">
        <f>IF(ISNUMBER(MATCH(C152, Mgt_Unit!$C$5:$C$1018, 0)), INDEX(Mgt_Unit!$B$5:$B$1018, MATCH(C152, Mgt_Unit!$C$5:$C$1018, 0)), "")</f>
        <v>jennifer.moore</v>
      </c>
      <c r="C152" t="s">
        <v>669</v>
      </c>
      <c r="D152" s="45"/>
      <c r="E152" s="9" t="s">
        <v>1583</v>
      </c>
      <c r="F152" s="89">
        <v>43245</v>
      </c>
      <c r="G152" s="9"/>
      <c r="H152" s="9"/>
      <c r="I152" s="9"/>
      <c r="J152" t="s">
        <v>1352</v>
      </c>
      <c r="K152" s="120">
        <v>39</v>
      </c>
      <c r="L152" s="9"/>
      <c r="M152" s="7"/>
    </row>
    <row r="153" spans="1:13" hidden="1" x14ac:dyDescent="0.25">
      <c r="A153" s="4"/>
      <c r="B153" s="28" t="str">
        <f>IF(ISNUMBER(MATCH(C153, Mgt_Unit!$C$5:$C$1018, 0)), INDEX(Mgt_Unit!$B$5:$B$1018, MATCH(C153, Mgt_Unit!$C$5:$C$1018, 0)), "")</f>
        <v>jennifer.moore</v>
      </c>
      <c r="C153" t="s">
        <v>669</v>
      </c>
      <c r="D153" s="45"/>
      <c r="E153" s="9" t="s">
        <v>1583</v>
      </c>
      <c r="F153" s="89">
        <v>43246</v>
      </c>
      <c r="G153" s="9"/>
      <c r="H153" s="9"/>
      <c r="I153" s="9"/>
      <c r="J153" t="s">
        <v>1363</v>
      </c>
      <c r="K153" s="120">
        <v>20</v>
      </c>
      <c r="L153" s="9"/>
      <c r="M153" s="7"/>
    </row>
    <row r="154" spans="1:13" hidden="1" x14ac:dyDescent="0.25">
      <c r="A154" s="4"/>
      <c r="B154" s="28" t="str">
        <f>IF(ISNUMBER(MATCH(C154, Mgt_Unit!$C$5:$C$1018, 0)), INDEX(Mgt_Unit!$B$5:$B$1018, MATCH(C154, Mgt_Unit!$C$5:$C$1018, 0)), "")</f>
        <v>jennifer.moore</v>
      </c>
      <c r="C154" t="s">
        <v>669</v>
      </c>
      <c r="D154" s="45"/>
      <c r="E154" s="9" t="s">
        <v>1583</v>
      </c>
      <c r="F154" s="89">
        <v>43253</v>
      </c>
      <c r="G154" s="9"/>
      <c r="H154" s="9"/>
      <c r="I154" s="9"/>
      <c r="J154" t="s">
        <v>1361</v>
      </c>
      <c r="K154" s="120">
        <v>2.4</v>
      </c>
      <c r="L154" s="9"/>
      <c r="M154" s="7"/>
    </row>
    <row r="155" spans="1:13" hidden="1" x14ac:dyDescent="0.25">
      <c r="A155" s="4"/>
      <c r="B155" s="28" t="str">
        <f>IF(ISNUMBER(MATCH(C155, Mgt_Unit!$C$5:$C$1018, 0)), INDEX(Mgt_Unit!$B$5:$B$1018, MATCH(C155, Mgt_Unit!$C$5:$C$1018, 0)), "")</f>
        <v>jennifer.moore</v>
      </c>
      <c r="C155" t="s">
        <v>669</v>
      </c>
      <c r="D155" s="45"/>
      <c r="E155" s="9" t="s">
        <v>1583</v>
      </c>
      <c r="F155" s="89">
        <v>43461</v>
      </c>
      <c r="G155" s="9"/>
      <c r="H155" s="9"/>
      <c r="I155" s="9"/>
      <c r="J155" t="s">
        <v>1366</v>
      </c>
      <c r="K155" s="120">
        <v>20</v>
      </c>
      <c r="L155" s="9"/>
      <c r="M155" s="7"/>
    </row>
    <row r="156" spans="1:13" hidden="1" x14ac:dyDescent="0.25">
      <c r="A156" s="4"/>
      <c r="B156" s="28" t="str">
        <f>IF(ISNUMBER(MATCH(C156, Mgt_Unit!$C$5:$C$1018, 0)), INDEX(Mgt_Unit!$B$5:$B$1018, MATCH(C156, Mgt_Unit!$C$5:$C$1018, 0)), "")</f>
        <v>jennifer.moore</v>
      </c>
      <c r="C156" t="s">
        <v>669</v>
      </c>
      <c r="D156" s="45"/>
      <c r="E156" s="9" t="s">
        <v>1583</v>
      </c>
      <c r="F156" s="89">
        <v>43461</v>
      </c>
      <c r="G156" s="9"/>
      <c r="H156" s="9"/>
      <c r="I156" s="9"/>
      <c r="J156" t="s">
        <v>1357</v>
      </c>
      <c r="K156" s="120">
        <v>62</v>
      </c>
      <c r="L156" s="9"/>
      <c r="M156" s="7"/>
    </row>
    <row r="157" spans="1:13" hidden="1" x14ac:dyDescent="0.25">
      <c r="A157" s="4"/>
      <c r="B157" s="28" t="str">
        <f>IF(ISNUMBER(MATCH(C157, Mgt_Unit!$C$5:$C$1018, 0)), INDEX(Mgt_Unit!$B$5:$B$1018, MATCH(C157, Mgt_Unit!$C$5:$C$1018, 0)), "")</f>
        <v>jennifer.moore</v>
      </c>
      <c r="C157" t="s">
        <v>669</v>
      </c>
      <c r="D157" s="45"/>
      <c r="E157" s="9" t="s">
        <v>1583</v>
      </c>
      <c r="F157" s="89">
        <v>43461</v>
      </c>
      <c r="G157" s="9"/>
      <c r="H157" s="9"/>
      <c r="I157" s="9"/>
      <c r="J157" t="s">
        <v>1352</v>
      </c>
      <c r="K157" s="120">
        <v>39</v>
      </c>
      <c r="L157" s="9"/>
      <c r="M157" s="7"/>
    </row>
    <row r="158" spans="1:13" hidden="1" x14ac:dyDescent="0.25">
      <c r="A158" s="4"/>
      <c r="B158" s="28" t="str">
        <f>IF(ISNUMBER(MATCH(C158, Mgt_Unit!$C$5:$C$1018, 0)), INDEX(Mgt_Unit!$B$5:$B$1018, MATCH(C158, Mgt_Unit!$C$5:$C$1018, 0)), "")</f>
        <v>jennifer.moore</v>
      </c>
      <c r="C158" t="s">
        <v>669</v>
      </c>
      <c r="D158" s="45"/>
      <c r="E158" s="9" t="s">
        <v>1583</v>
      </c>
      <c r="F158" s="89">
        <v>43461</v>
      </c>
      <c r="G158" s="9"/>
      <c r="H158" s="9"/>
      <c r="I158" s="9"/>
      <c r="J158" t="s">
        <v>1352</v>
      </c>
      <c r="K158" s="120">
        <v>39</v>
      </c>
      <c r="L158" s="9"/>
      <c r="M158" s="7"/>
    </row>
    <row r="159" spans="1:13" hidden="1" x14ac:dyDescent="0.25">
      <c r="A159" s="4"/>
      <c r="B159" s="28" t="str">
        <f>IF(ISNUMBER(MATCH(C159, Mgt_Unit!$C$5:$C$1018, 0)), INDEX(Mgt_Unit!$B$5:$B$1018, MATCH(C159, Mgt_Unit!$C$5:$C$1018, 0)), "")</f>
        <v>jennifer.moore</v>
      </c>
      <c r="C159" t="s">
        <v>670</v>
      </c>
      <c r="D159" s="45"/>
      <c r="E159" s="9" t="s">
        <v>1583</v>
      </c>
      <c r="F159" s="89">
        <v>43108</v>
      </c>
      <c r="G159" s="9"/>
      <c r="H159" s="9"/>
      <c r="I159" s="9"/>
      <c r="J159" t="s">
        <v>1359</v>
      </c>
      <c r="K159" s="120">
        <v>6.3</v>
      </c>
      <c r="L159" s="9"/>
      <c r="M159" s="7"/>
    </row>
    <row r="160" spans="1:13" hidden="1" x14ac:dyDescent="0.25">
      <c r="A160" s="4"/>
      <c r="B160" s="28" t="str">
        <f>IF(ISNUMBER(MATCH(C160, Mgt_Unit!$C$5:$C$1018, 0)), INDEX(Mgt_Unit!$B$5:$B$1018, MATCH(C160, Mgt_Unit!$C$5:$C$1018, 0)), "")</f>
        <v>jennifer.moore</v>
      </c>
      <c r="C160" t="s">
        <v>670</v>
      </c>
      <c r="D160" s="45"/>
      <c r="E160" s="9" t="s">
        <v>1583</v>
      </c>
      <c r="F160" s="89">
        <v>43246</v>
      </c>
      <c r="G160" s="9"/>
      <c r="H160" s="9"/>
      <c r="I160" s="9"/>
      <c r="J160" t="s">
        <v>1362</v>
      </c>
      <c r="K160" s="120">
        <v>2.2000000000000002</v>
      </c>
      <c r="L160" s="9"/>
      <c r="M160" s="7"/>
    </row>
    <row r="161" spans="1:13" hidden="1" x14ac:dyDescent="0.25">
      <c r="A161" s="4"/>
      <c r="B161" s="28" t="str">
        <f>IF(ISNUMBER(MATCH(C161, Mgt_Unit!$C$5:$C$1018, 0)), INDEX(Mgt_Unit!$B$5:$B$1018, MATCH(C161, Mgt_Unit!$C$5:$C$1018, 0)), "")</f>
        <v>jennifer.moore</v>
      </c>
      <c r="C161" t="s">
        <v>670</v>
      </c>
      <c r="D161" s="45"/>
      <c r="E161" s="9" t="s">
        <v>1583</v>
      </c>
      <c r="F161" s="89">
        <v>43253</v>
      </c>
      <c r="G161" s="9"/>
      <c r="H161" s="9"/>
      <c r="I161" s="9"/>
      <c r="J161" t="s">
        <v>1361</v>
      </c>
      <c r="K161" s="120">
        <v>2.4</v>
      </c>
      <c r="L161" s="9"/>
      <c r="M161" s="7"/>
    </row>
    <row r="162" spans="1:13" hidden="1" x14ac:dyDescent="0.25">
      <c r="A162" s="4"/>
      <c r="B162" s="28" t="str">
        <f>IF(ISNUMBER(MATCH(C162, Mgt_Unit!$C$5:$C$1018, 0)), INDEX(Mgt_Unit!$B$5:$B$1018, MATCH(C162, Mgt_Unit!$C$5:$C$1018, 0)), "")</f>
        <v>jennifer.moore</v>
      </c>
      <c r="C162" t="s">
        <v>670</v>
      </c>
      <c r="D162" s="45"/>
      <c r="E162" s="9" t="s">
        <v>1583</v>
      </c>
      <c r="F162" s="89">
        <v>43461</v>
      </c>
      <c r="G162" s="9"/>
      <c r="H162" s="9"/>
      <c r="I162" s="9"/>
      <c r="J162" t="s">
        <v>1362</v>
      </c>
      <c r="K162" s="120">
        <v>2.2000000000000002</v>
      </c>
      <c r="L162" s="9"/>
      <c r="M162" s="7"/>
    </row>
    <row r="163" spans="1:13" hidden="1" x14ac:dyDescent="0.25">
      <c r="A163" s="4"/>
      <c r="B163" s="28" t="str">
        <f>IF(ISNUMBER(MATCH(C163, Mgt_Unit!$C$5:$C$1018, 0)), INDEX(Mgt_Unit!$B$5:$B$1018, MATCH(C163, Mgt_Unit!$C$5:$C$1018, 0)), "")</f>
        <v>jennifer.moore</v>
      </c>
      <c r="C163" t="s">
        <v>670</v>
      </c>
      <c r="D163" s="45"/>
      <c r="E163" s="9" t="s">
        <v>1583</v>
      </c>
      <c r="F163" s="89">
        <v>43461</v>
      </c>
      <c r="G163" s="9"/>
      <c r="H163" s="9"/>
      <c r="I163" s="9"/>
      <c r="J163" t="s">
        <v>1357</v>
      </c>
      <c r="K163" s="120">
        <v>62</v>
      </c>
      <c r="L163" s="9"/>
      <c r="M163" s="7"/>
    </row>
    <row r="164" spans="1:13" hidden="1" x14ac:dyDescent="0.25">
      <c r="A164" s="4"/>
      <c r="B164" s="28" t="str">
        <f>IF(ISNUMBER(MATCH(C164, Mgt_Unit!$C$5:$C$1018, 0)), INDEX(Mgt_Unit!$B$5:$B$1018, MATCH(C164, Mgt_Unit!$C$5:$C$1018, 0)), "")</f>
        <v>jennifer.moore</v>
      </c>
      <c r="C164" t="s">
        <v>670</v>
      </c>
      <c r="D164" s="45"/>
      <c r="E164" s="9" t="s">
        <v>1583</v>
      </c>
      <c r="F164" s="89">
        <v>43461</v>
      </c>
      <c r="G164" s="9"/>
      <c r="H164" s="9"/>
      <c r="I164" s="9"/>
      <c r="J164" t="s">
        <v>1352</v>
      </c>
      <c r="K164" s="120">
        <v>39</v>
      </c>
      <c r="L164" s="9"/>
      <c r="M164" s="7"/>
    </row>
    <row r="165" spans="1:13" hidden="1" x14ac:dyDescent="0.25">
      <c r="A165" s="4"/>
      <c r="B165" s="28" t="str">
        <f>IF(ISNUMBER(MATCH(C165, Mgt_Unit!$C$5:$C$1018, 0)), INDEX(Mgt_Unit!$B$5:$B$1018, MATCH(C165, Mgt_Unit!$C$5:$C$1018, 0)), "")</f>
        <v>jennifer.moore</v>
      </c>
      <c r="C165" t="s">
        <v>671</v>
      </c>
      <c r="D165" s="45"/>
      <c r="E165" s="9" t="s">
        <v>1583</v>
      </c>
      <c r="F165" s="89">
        <v>43108</v>
      </c>
      <c r="G165" s="9"/>
      <c r="H165" s="9"/>
      <c r="I165" s="9"/>
      <c r="J165" t="s">
        <v>1359</v>
      </c>
      <c r="K165" s="120">
        <v>6.3</v>
      </c>
      <c r="L165" s="9"/>
      <c r="M165" s="7"/>
    </row>
    <row r="166" spans="1:13" hidden="1" x14ac:dyDescent="0.25">
      <c r="A166" s="4"/>
      <c r="B166" s="28" t="str">
        <f>IF(ISNUMBER(MATCH(C166, Mgt_Unit!$C$5:$C$1018, 0)), INDEX(Mgt_Unit!$B$5:$B$1018, MATCH(C166, Mgt_Unit!$C$5:$C$1018, 0)), "")</f>
        <v>jennifer.moore</v>
      </c>
      <c r="C166" t="s">
        <v>671</v>
      </c>
      <c r="D166" s="45"/>
      <c r="E166" s="9" t="s">
        <v>1583</v>
      </c>
      <c r="F166" s="89">
        <v>43246</v>
      </c>
      <c r="G166" s="9"/>
      <c r="H166" s="9"/>
      <c r="I166" s="9"/>
      <c r="J166" t="s">
        <v>1362</v>
      </c>
      <c r="K166" s="120">
        <v>2.2000000000000002</v>
      </c>
      <c r="L166" s="9"/>
      <c r="M166" s="7"/>
    </row>
    <row r="167" spans="1:13" hidden="1" x14ac:dyDescent="0.25">
      <c r="A167" s="4"/>
      <c r="B167" s="28" t="str">
        <f>IF(ISNUMBER(MATCH(C167, Mgt_Unit!$C$5:$C$1018, 0)), INDEX(Mgt_Unit!$B$5:$B$1018, MATCH(C167, Mgt_Unit!$C$5:$C$1018, 0)), "")</f>
        <v>jennifer.moore</v>
      </c>
      <c r="C167" t="s">
        <v>671</v>
      </c>
      <c r="D167" s="45"/>
      <c r="E167" s="9" t="s">
        <v>1583</v>
      </c>
      <c r="F167" s="89">
        <v>43253</v>
      </c>
      <c r="G167" s="9"/>
      <c r="H167" s="9"/>
      <c r="I167" s="9"/>
      <c r="J167" t="s">
        <v>1361</v>
      </c>
      <c r="K167" s="120">
        <v>2.4</v>
      </c>
      <c r="L167" s="9"/>
      <c r="M167" s="7"/>
    </row>
    <row r="168" spans="1:13" hidden="1" x14ac:dyDescent="0.25">
      <c r="A168" s="4"/>
      <c r="B168" s="28" t="str">
        <f>IF(ISNUMBER(MATCH(C168, Mgt_Unit!$C$5:$C$1018, 0)), INDEX(Mgt_Unit!$B$5:$B$1018, MATCH(C168, Mgt_Unit!$C$5:$C$1018, 0)), "")</f>
        <v>jennifer.moore</v>
      </c>
      <c r="C168" t="s">
        <v>671</v>
      </c>
      <c r="D168" s="45"/>
      <c r="E168" s="9" t="s">
        <v>1583</v>
      </c>
      <c r="F168" s="89">
        <v>43461</v>
      </c>
      <c r="G168" s="9"/>
      <c r="H168" s="9"/>
      <c r="I168" s="9"/>
      <c r="J168" t="s">
        <v>1362</v>
      </c>
      <c r="K168" s="120">
        <v>2.2000000000000002</v>
      </c>
      <c r="L168" s="9"/>
      <c r="M168" s="7"/>
    </row>
    <row r="169" spans="1:13" hidden="1" x14ac:dyDescent="0.25">
      <c r="A169" s="4"/>
      <c r="B169" s="28" t="str">
        <f>IF(ISNUMBER(MATCH(C169, Mgt_Unit!$C$5:$C$1018, 0)), INDEX(Mgt_Unit!$B$5:$B$1018, MATCH(C169, Mgt_Unit!$C$5:$C$1018, 0)), "")</f>
        <v>jennifer.moore</v>
      </c>
      <c r="C169" t="s">
        <v>672</v>
      </c>
      <c r="D169" s="45"/>
      <c r="E169" s="9" t="s">
        <v>1583</v>
      </c>
      <c r="F169" s="89">
        <v>43108</v>
      </c>
      <c r="G169" s="9"/>
      <c r="H169" s="9"/>
      <c r="I169" s="9"/>
      <c r="J169" t="s">
        <v>1359</v>
      </c>
      <c r="K169" s="120">
        <v>6.3</v>
      </c>
      <c r="L169" s="9"/>
      <c r="M169" s="7"/>
    </row>
    <row r="170" spans="1:13" hidden="1" x14ac:dyDescent="0.25">
      <c r="A170" s="4"/>
      <c r="B170" s="28" t="str">
        <f>IF(ISNUMBER(MATCH(C170, Mgt_Unit!$C$5:$C$1018, 0)), INDEX(Mgt_Unit!$B$5:$B$1018, MATCH(C170, Mgt_Unit!$C$5:$C$1018, 0)), "")</f>
        <v>jennifer.moore</v>
      </c>
      <c r="C170" t="s">
        <v>672</v>
      </c>
      <c r="D170" s="45"/>
      <c r="E170" s="9" t="s">
        <v>1583</v>
      </c>
      <c r="F170" s="89">
        <v>43246</v>
      </c>
      <c r="G170" s="9"/>
      <c r="H170" s="9"/>
      <c r="I170" s="9"/>
      <c r="J170" t="s">
        <v>1362</v>
      </c>
      <c r="K170" s="120">
        <v>2.2000000000000002</v>
      </c>
      <c r="L170" s="9"/>
      <c r="M170" s="7"/>
    </row>
    <row r="171" spans="1:13" hidden="1" x14ac:dyDescent="0.25">
      <c r="A171" s="4"/>
      <c r="B171" s="28" t="str">
        <f>IF(ISNUMBER(MATCH(C171, Mgt_Unit!$C$5:$C$1018, 0)), INDEX(Mgt_Unit!$B$5:$B$1018, MATCH(C171, Mgt_Unit!$C$5:$C$1018, 0)), "")</f>
        <v>jennifer.moore</v>
      </c>
      <c r="C171" t="s">
        <v>672</v>
      </c>
      <c r="D171" s="45"/>
      <c r="E171" s="9" t="s">
        <v>1583</v>
      </c>
      <c r="F171" s="89">
        <v>43253</v>
      </c>
      <c r="G171" s="9"/>
      <c r="H171" s="9"/>
      <c r="I171" s="9"/>
      <c r="J171" t="s">
        <v>1361</v>
      </c>
      <c r="K171" s="120">
        <v>2.4</v>
      </c>
      <c r="L171" s="9"/>
      <c r="M171" s="7"/>
    </row>
    <row r="172" spans="1:13" hidden="1" x14ac:dyDescent="0.25">
      <c r="A172" s="4"/>
      <c r="B172" s="28" t="str">
        <f>IF(ISNUMBER(MATCH(C172, Mgt_Unit!$C$5:$C$1018, 0)), INDEX(Mgt_Unit!$B$5:$B$1018, MATCH(C172, Mgt_Unit!$C$5:$C$1018, 0)), "")</f>
        <v>jennifer.moore</v>
      </c>
      <c r="C172" t="s">
        <v>672</v>
      </c>
      <c r="D172" s="45"/>
      <c r="E172" s="9" t="s">
        <v>1583</v>
      </c>
      <c r="F172" s="89">
        <v>43461</v>
      </c>
      <c r="G172" s="9"/>
      <c r="H172" s="9"/>
      <c r="I172" s="9"/>
      <c r="J172" t="s">
        <v>1362</v>
      </c>
      <c r="K172" s="120">
        <v>2.2000000000000002</v>
      </c>
      <c r="L172" s="9"/>
      <c r="M172" s="7"/>
    </row>
    <row r="173" spans="1:13" hidden="1" x14ac:dyDescent="0.25">
      <c r="A173" s="4"/>
      <c r="B173" s="28" t="str">
        <f>IF(ISNUMBER(MATCH(C173, Mgt_Unit!$C$5:$C$1018, 0)), INDEX(Mgt_Unit!$B$5:$B$1018, MATCH(C173, Mgt_Unit!$C$5:$C$1018, 0)), "")</f>
        <v>jennifer.moore</v>
      </c>
      <c r="C173" t="s">
        <v>673</v>
      </c>
      <c r="D173" s="45"/>
      <c r="E173" s="9" t="s">
        <v>1583</v>
      </c>
      <c r="F173" s="89">
        <v>43108</v>
      </c>
      <c r="G173" s="9"/>
      <c r="H173" s="9"/>
      <c r="I173" s="9"/>
      <c r="J173" t="s">
        <v>1359</v>
      </c>
      <c r="K173" s="120">
        <v>6.3</v>
      </c>
      <c r="L173" s="9"/>
      <c r="M173" s="7"/>
    </row>
    <row r="174" spans="1:13" hidden="1" x14ac:dyDescent="0.25">
      <c r="A174" s="4"/>
      <c r="B174" s="28" t="str">
        <f>IF(ISNUMBER(MATCH(C174, Mgt_Unit!$C$5:$C$1018, 0)), INDEX(Mgt_Unit!$B$5:$B$1018, MATCH(C174, Mgt_Unit!$C$5:$C$1018, 0)), "")</f>
        <v>jennifer.moore</v>
      </c>
      <c r="C174" t="s">
        <v>673</v>
      </c>
      <c r="D174" s="45"/>
      <c r="E174" s="9" t="s">
        <v>1583</v>
      </c>
      <c r="F174" s="89">
        <v>43246</v>
      </c>
      <c r="G174" s="9"/>
      <c r="H174" s="9"/>
      <c r="I174" s="9"/>
      <c r="J174" t="s">
        <v>1362</v>
      </c>
      <c r="K174" s="120">
        <v>2.2000000000000002</v>
      </c>
      <c r="L174" s="9"/>
      <c r="M174" s="7"/>
    </row>
    <row r="175" spans="1:13" hidden="1" x14ac:dyDescent="0.25">
      <c r="A175" s="4"/>
      <c r="B175" s="28" t="str">
        <f>IF(ISNUMBER(MATCH(C175, Mgt_Unit!$C$5:$C$1018, 0)), INDEX(Mgt_Unit!$B$5:$B$1018, MATCH(C175, Mgt_Unit!$C$5:$C$1018, 0)), "")</f>
        <v>jennifer.moore</v>
      </c>
      <c r="C175" t="s">
        <v>673</v>
      </c>
      <c r="D175" s="45"/>
      <c r="E175" s="9" t="s">
        <v>1583</v>
      </c>
      <c r="F175" s="89">
        <v>43253</v>
      </c>
      <c r="G175" s="9"/>
      <c r="H175" s="9"/>
      <c r="I175" s="9"/>
      <c r="J175" t="s">
        <v>1361</v>
      </c>
      <c r="K175" s="120">
        <v>2.4</v>
      </c>
      <c r="L175" s="9"/>
      <c r="M175" s="7"/>
    </row>
    <row r="176" spans="1:13" hidden="1" x14ac:dyDescent="0.25">
      <c r="A176" s="4"/>
      <c r="B176" s="28" t="str">
        <f>IF(ISNUMBER(MATCH(C176, Mgt_Unit!$C$5:$C$1018, 0)), INDEX(Mgt_Unit!$B$5:$B$1018, MATCH(C176, Mgt_Unit!$C$5:$C$1018, 0)), "")</f>
        <v>jennifer.moore</v>
      </c>
      <c r="C176" t="s">
        <v>673</v>
      </c>
      <c r="D176" s="45"/>
      <c r="E176" s="9" t="s">
        <v>1583</v>
      </c>
      <c r="F176" s="89">
        <v>43461</v>
      </c>
      <c r="G176" s="9"/>
      <c r="H176" s="9"/>
      <c r="I176" s="9"/>
      <c r="J176" t="s">
        <v>1362</v>
      </c>
      <c r="K176" s="120">
        <v>2.2000000000000002</v>
      </c>
      <c r="L176" s="9"/>
      <c r="M176" s="7"/>
    </row>
    <row r="177" spans="1:13" hidden="1" x14ac:dyDescent="0.25">
      <c r="A177" s="4"/>
      <c r="B177" s="28" t="str">
        <f>IF(ISNUMBER(MATCH(C177, Mgt_Unit!$C$5:$C$1018, 0)), INDEX(Mgt_Unit!$B$5:$B$1018, MATCH(C177, Mgt_Unit!$C$5:$C$1018, 0)), "")</f>
        <v>jennifer.moore</v>
      </c>
      <c r="C177" t="s">
        <v>674</v>
      </c>
      <c r="D177" s="45"/>
      <c r="E177" s="9" t="s">
        <v>1583</v>
      </c>
      <c r="F177" s="89">
        <v>43108</v>
      </c>
      <c r="G177" s="9"/>
      <c r="H177" s="9"/>
      <c r="I177" s="9"/>
      <c r="J177" t="s">
        <v>1359</v>
      </c>
      <c r="K177" s="120">
        <v>6.3</v>
      </c>
      <c r="L177" s="9"/>
      <c r="M177" s="7"/>
    </row>
    <row r="178" spans="1:13" hidden="1" x14ac:dyDescent="0.25">
      <c r="A178" s="4"/>
      <c r="B178" s="28" t="str">
        <f>IF(ISNUMBER(MATCH(C178, Mgt_Unit!$C$5:$C$1018, 0)), INDEX(Mgt_Unit!$B$5:$B$1018, MATCH(C178, Mgt_Unit!$C$5:$C$1018, 0)), "")</f>
        <v>jennifer.moore</v>
      </c>
      <c r="C178" t="s">
        <v>674</v>
      </c>
      <c r="D178" s="45"/>
      <c r="E178" s="9" t="s">
        <v>1583</v>
      </c>
      <c r="F178" s="89">
        <v>43246</v>
      </c>
      <c r="G178" s="9"/>
      <c r="H178" s="9"/>
      <c r="I178" s="9"/>
      <c r="J178" t="s">
        <v>1362</v>
      </c>
      <c r="K178" s="120">
        <v>2.2000000000000002</v>
      </c>
      <c r="L178" s="9"/>
      <c r="M178" s="7"/>
    </row>
    <row r="179" spans="1:13" hidden="1" x14ac:dyDescent="0.25">
      <c r="A179" s="4"/>
      <c r="B179" s="28" t="str">
        <f>IF(ISNUMBER(MATCH(C179, Mgt_Unit!$C$5:$C$1018, 0)), INDEX(Mgt_Unit!$B$5:$B$1018, MATCH(C179, Mgt_Unit!$C$5:$C$1018, 0)), "")</f>
        <v>jennifer.moore</v>
      </c>
      <c r="C179" t="s">
        <v>674</v>
      </c>
      <c r="D179" s="45"/>
      <c r="E179" s="9" t="s">
        <v>1583</v>
      </c>
      <c r="F179" s="89">
        <v>43253</v>
      </c>
      <c r="G179" s="9"/>
      <c r="H179" s="9"/>
      <c r="I179" s="9"/>
      <c r="J179" t="s">
        <v>1361</v>
      </c>
      <c r="K179" s="120">
        <v>2.4</v>
      </c>
      <c r="L179" s="9"/>
      <c r="M179" s="7"/>
    </row>
    <row r="180" spans="1:13" hidden="1" x14ac:dyDescent="0.25">
      <c r="A180" s="4"/>
      <c r="B180" s="28" t="str">
        <f>IF(ISNUMBER(MATCH(C180, Mgt_Unit!$C$5:$C$1018, 0)), INDEX(Mgt_Unit!$B$5:$B$1018, MATCH(C180, Mgt_Unit!$C$5:$C$1018, 0)), "")</f>
        <v>jennifer.moore</v>
      </c>
      <c r="C180" t="s">
        <v>674</v>
      </c>
      <c r="D180" s="45"/>
      <c r="E180" s="9" t="s">
        <v>1583</v>
      </c>
      <c r="F180" s="89">
        <v>43461</v>
      </c>
      <c r="G180" s="9"/>
      <c r="H180" s="9"/>
      <c r="I180" s="9"/>
      <c r="J180" t="s">
        <v>1362</v>
      </c>
      <c r="K180" s="120">
        <v>2.2000000000000002</v>
      </c>
      <c r="L180" s="9"/>
      <c r="M180" s="7"/>
    </row>
    <row r="181" spans="1:13" hidden="1" x14ac:dyDescent="0.25">
      <c r="A181" s="4"/>
      <c r="B181" s="28" t="str">
        <f>IF(ISNUMBER(MATCH(C181, Mgt_Unit!$C$5:$C$1018, 0)), INDEX(Mgt_Unit!$B$5:$B$1018, MATCH(C181, Mgt_Unit!$C$5:$C$1018, 0)), "")</f>
        <v>jennifer.moore</v>
      </c>
      <c r="C181" t="s">
        <v>675</v>
      </c>
      <c r="D181" s="45"/>
      <c r="E181" s="9" t="s">
        <v>1583</v>
      </c>
      <c r="F181" s="89">
        <v>43108</v>
      </c>
      <c r="G181" s="9"/>
      <c r="H181" s="9"/>
      <c r="I181" s="9"/>
      <c r="J181" t="s">
        <v>1359</v>
      </c>
      <c r="K181" s="120">
        <v>6.3</v>
      </c>
      <c r="L181" s="9"/>
      <c r="M181" s="7"/>
    </row>
    <row r="182" spans="1:13" hidden="1" x14ac:dyDescent="0.25">
      <c r="A182" s="4"/>
      <c r="B182" s="28" t="str">
        <f>IF(ISNUMBER(MATCH(C182, Mgt_Unit!$C$5:$C$1018, 0)), INDEX(Mgt_Unit!$B$5:$B$1018, MATCH(C182, Mgt_Unit!$C$5:$C$1018, 0)), "")</f>
        <v>jennifer.moore</v>
      </c>
      <c r="C182" t="s">
        <v>675</v>
      </c>
      <c r="D182" s="45"/>
      <c r="E182" s="9" t="s">
        <v>1583</v>
      </c>
      <c r="F182" s="89">
        <v>43246</v>
      </c>
      <c r="G182" s="9"/>
      <c r="H182" s="9"/>
      <c r="I182" s="9"/>
      <c r="J182" t="s">
        <v>1362</v>
      </c>
      <c r="K182" s="120">
        <v>2.2000000000000002</v>
      </c>
      <c r="L182" s="9"/>
      <c r="M182" s="7"/>
    </row>
    <row r="183" spans="1:13" hidden="1" x14ac:dyDescent="0.25">
      <c r="A183" s="4"/>
      <c r="B183" s="28" t="str">
        <f>IF(ISNUMBER(MATCH(C183, Mgt_Unit!$C$5:$C$1018, 0)), INDEX(Mgt_Unit!$B$5:$B$1018, MATCH(C183, Mgt_Unit!$C$5:$C$1018, 0)), "")</f>
        <v>jennifer.moore</v>
      </c>
      <c r="C183" t="s">
        <v>675</v>
      </c>
      <c r="D183" s="45"/>
      <c r="E183" s="9" t="s">
        <v>1583</v>
      </c>
      <c r="F183" s="89">
        <v>43253</v>
      </c>
      <c r="G183" s="9"/>
      <c r="H183" s="9"/>
      <c r="I183" s="9"/>
      <c r="J183" t="s">
        <v>1361</v>
      </c>
      <c r="K183" s="120">
        <v>2.4</v>
      </c>
      <c r="L183" s="9"/>
      <c r="M183" s="7"/>
    </row>
    <row r="184" spans="1:13" hidden="1" x14ac:dyDescent="0.25">
      <c r="A184" s="4"/>
      <c r="B184" s="28" t="str">
        <f>IF(ISNUMBER(MATCH(C184, Mgt_Unit!$C$5:$C$1018, 0)), INDEX(Mgt_Unit!$B$5:$B$1018, MATCH(C184, Mgt_Unit!$C$5:$C$1018, 0)), "")</f>
        <v>jennifer.moore</v>
      </c>
      <c r="C184" t="s">
        <v>675</v>
      </c>
      <c r="D184" s="45"/>
      <c r="E184" s="9" t="s">
        <v>1583</v>
      </c>
      <c r="F184" s="89">
        <v>43461</v>
      </c>
      <c r="G184" s="9"/>
      <c r="H184" s="9"/>
      <c r="I184" s="9"/>
      <c r="J184" t="s">
        <v>1362</v>
      </c>
      <c r="K184" s="120">
        <v>2.2000000000000002</v>
      </c>
      <c r="L184" s="9"/>
      <c r="M184" s="7"/>
    </row>
    <row r="185" spans="1:13" hidden="1" x14ac:dyDescent="0.25">
      <c r="A185" s="4"/>
      <c r="B185" s="28" t="str">
        <f>IF(ISNUMBER(MATCH(C185, Mgt_Unit!$C$5:$C$1018, 0)), INDEX(Mgt_Unit!$B$5:$B$1018, MATCH(C185, Mgt_Unit!$C$5:$C$1018, 0)), "")</f>
        <v>jennifer.moore</v>
      </c>
      <c r="C185" t="s">
        <v>676</v>
      </c>
      <c r="D185" s="45"/>
      <c r="E185" s="9" t="s">
        <v>1583</v>
      </c>
      <c r="F185" s="89">
        <v>43108</v>
      </c>
      <c r="G185" s="9"/>
      <c r="H185" s="9"/>
      <c r="I185" s="9"/>
      <c r="J185" t="s">
        <v>1359</v>
      </c>
      <c r="K185" s="120">
        <v>6.3</v>
      </c>
      <c r="L185" s="9"/>
      <c r="M185" s="7"/>
    </row>
    <row r="186" spans="1:13" hidden="1" x14ac:dyDescent="0.25">
      <c r="A186" s="4"/>
      <c r="B186" s="28" t="str">
        <f>IF(ISNUMBER(MATCH(C186, Mgt_Unit!$C$5:$C$1018, 0)), INDEX(Mgt_Unit!$B$5:$B$1018, MATCH(C186, Mgt_Unit!$C$5:$C$1018, 0)), "")</f>
        <v>jennifer.moore</v>
      </c>
      <c r="C186" t="s">
        <v>676</v>
      </c>
      <c r="D186" s="45"/>
      <c r="E186" s="9" t="s">
        <v>1583</v>
      </c>
      <c r="F186" s="89">
        <v>43246</v>
      </c>
      <c r="G186" s="9"/>
      <c r="H186" s="9"/>
      <c r="I186" s="9"/>
      <c r="J186" t="s">
        <v>1362</v>
      </c>
      <c r="K186" s="120">
        <v>2.2000000000000002</v>
      </c>
      <c r="L186" s="9"/>
      <c r="M186" s="7"/>
    </row>
    <row r="187" spans="1:13" hidden="1" x14ac:dyDescent="0.25">
      <c r="A187" s="4"/>
      <c r="B187" s="28" t="str">
        <f>IF(ISNUMBER(MATCH(C187, Mgt_Unit!$C$5:$C$1018, 0)), INDEX(Mgt_Unit!$B$5:$B$1018, MATCH(C187, Mgt_Unit!$C$5:$C$1018, 0)), "")</f>
        <v>jennifer.moore</v>
      </c>
      <c r="C187" t="s">
        <v>676</v>
      </c>
      <c r="D187" s="45"/>
      <c r="E187" s="9" t="s">
        <v>1583</v>
      </c>
      <c r="F187" s="89">
        <v>43253</v>
      </c>
      <c r="G187" s="9"/>
      <c r="H187" s="9"/>
      <c r="I187" s="9"/>
      <c r="J187" t="s">
        <v>1361</v>
      </c>
      <c r="K187" s="120">
        <v>2.4</v>
      </c>
      <c r="L187" s="9"/>
      <c r="M187" s="7"/>
    </row>
    <row r="188" spans="1:13" hidden="1" x14ac:dyDescent="0.25">
      <c r="A188" s="4"/>
      <c r="B188" s="28" t="str">
        <f>IF(ISNUMBER(MATCH(C188, Mgt_Unit!$C$5:$C$1018, 0)), INDEX(Mgt_Unit!$B$5:$B$1018, MATCH(C188, Mgt_Unit!$C$5:$C$1018, 0)), "")</f>
        <v>jennifer.moore</v>
      </c>
      <c r="C188" t="s">
        <v>676</v>
      </c>
      <c r="D188" s="45"/>
      <c r="E188" s="9" t="s">
        <v>1583</v>
      </c>
      <c r="F188" s="89">
        <v>43461</v>
      </c>
      <c r="G188" s="9"/>
      <c r="H188" s="9"/>
      <c r="I188" s="9"/>
      <c r="J188" t="s">
        <v>1362</v>
      </c>
      <c r="K188" s="120">
        <v>2.2000000000000002</v>
      </c>
      <c r="L188" s="9"/>
      <c r="M188" s="7"/>
    </row>
    <row r="189" spans="1:13" hidden="1" x14ac:dyDescent="0.25">
      <c r="A189" s="4"/>
      <c r="B189" s="28" t="str">
        <f>IF(ISNUMBER(MATCH(C189, Mgt_Unit!$C$5:$C$1018, 0)), INDEX(Mgt_Unit!$B$5:$B$1018, MATCH(C189, Mgt_Unit!$C$5:$C$1018, 0)), "")</f>
        <v>jennifer.moore</v>
      </c>
      <c r="C189" t="s">
        <v>677</v>
      </c>
      <c r="D189" s="45"/>
      <c r="E189" s="9" t="s">
        <v>1583</v>
      </c>
      <c r="F189" s="89">
        <v>43108</v>
      </c>
      <c r="G189" s="9"/>
      <c r="H189" s="9"/>
      <c r="I189" s="9"/>
      <c r="J189" t="s">
        <v>1359</v>
      </c>
      <c r="K189" s="120">
        <v>6.3</v>
      </c>
      <c r="L189" s="9"/>
      <c r="M189" s="7"/>
    </row>
    <row r="190" spans="1:13" hidden="1" x14ac:dyDescent="0.25">
      <c r="A190" s="4"/>
      <c r="B190" s="28" t="str">
        <f>IF(ISNUMBER(MATCH(C190, Mgt_Unit!$C$5:$C$1018, 0)), INDEX(Mgt_Unit!$B$5:$B$1018, MATCH(C190, Mgt_Unit!$C$5:$C$1018, 0)), "")</f>
        <v>jennifer.moore</v>
      </c>
      <c r="C190" t="s">
        <v>677</v>
      </c>
      <c r="D190" s="45"/>
      <c r="E190" s="9" t="s">
        <v>1583</v>
      </c>
      <c r="F190" s="89">
        <v>43246</v>
      </c>
      <c r="G190" s="9"/>
      <c r="H190" s="9"/>
      <c r="I190" s="9"/>
      <c r="J190" t="s">
        <v>1362</v>
      </c>
      <c r="K190" s="120">
        <v>2.2000000000000002</v>
      </c>
      <c r="L190" s="9"/>
      <c r="M190" s="7"/>
    </row>
    <row r="191" spans="1:13" hidden="1" x14ac:dyDescent="0.25">
      <c r="A191" s="4"/>
      <c r="B191" s="28" t="str">
        <f>IF(ISNUMBER(MATCH(C191, Mgt_Unit!$C$5:$C$1018, 0)), INDEX(Mgt_Unit!$B$5:$B$1018, MATCH(C191, Mgt_Unit!$C$5:$C$1018, 0)), "")</f>
        <v>jennifer.moore</v>
      </c>
      <c r="C191" t="s">
        <v>677</v>
      </c>
      <c r="D191" s="45"/>
      <c r="E191" s="9" t="s">
        <v>1583</v>
      </c>
      <c r="F191" s="89">
        <v>43253</v>
      </c>
      <c r="G191" s="9"/>
      <c r="H191" s="9"/>
      <c r="I191" s="9"/>
      <c r="J191" t="s">
        <v>1361</v>
      </c>
      <c r="K191" s="120">
        <v>2.4</v>
      </c>
      <c r="L191" s="9"/>
      <c r="M191" s="7"/>
    </row>
    <row r="192" spans="1:13" hidden="1" x14ac:dyDescent="0.25">
      <c r="A192" s="4"/>
      <c r="B192" s="28" t="str">
        <f>IF(ISNUMBER(MATCH(C192, Mgt_Unit!$C$5:$C$1018, 0)), INDEX(Mgt_Unit!$B$5:$B$1018, MATCH(C192, Mgt_Unit!$C$5:$C$1018, 0)), "")</f>
        <v>jennifer.moore</v>
      </c>
      <c r="C192" t="s">
        <v>677</v>
      </c>
      <c r="D192" s="45"/>
      <c r="E192" s="9" t="s">
        <v>1583</v>
      </c>
      <c r="F192" s="89">
        <v>43461</v>
      </c>
      <c r="G192" s="9"/>
      <c r="H192" s="9"/>
      <c r="I192" s="9"/>
      <c r="J192" t="s">
        <v>1362</v>
      </c>
      <c r="K192" s="120">
        <v>2.2000000000000002</v>
      </c>
      <c r="L192" s="9"/>
      <c r="M192" s="7"/>
    </row>
    <row r="193" spans="1:13" hidden="1" x14ac:dyDescent="0.25">
      <c r="A193" s="4"/>
      <c r="B193" s="28" t="str">
        <f>IF(ISNUMBER(MATCH(C193, Mgt_Unit!$C$5:$C$1018, 0)), INDEX(Mgt_Unit!$B$5:$B$1018, MATCH(C193, Mgt_Unit!$C$5:$C$1018, 0)), "")</f>
        <v>jennifer.moore</v>
      </c>
      <c r="C193" t="s">
        <v>678</v>
      </c>
      <c r="D193" s="45"/>
      <c r="E193" s="9" t="s">
        <v>1583</v>
      </c>
      <c r="F193" s="89">
        <v>43214</v>
      </c>
      <c r="G193" s="9"/>
      <c r="H193" s="9"/>
      <c r="I193" s="9"/>
      <c r="J193" t="s">
        <v>1356</v>
      </c>
      <c r="K193" s="120">
        <v>33</v>
      </c>
      <c r="L193" s="9"/>
      <c r="M193" s="7"/>
    </row>
    <row r="194" spans="1:13" hidden="1" x14ac:dyDescent="0.25">
      <c r="A194" s="4"/>
      <c r="B194" s="28" t="str">
        <f>IF(ISNUMBER(MATCH(C194, Mgt_Unit!$C$5:$C$1018, 0)), INDEX(Mgt_Unit!$B$5:$B$1018, MATCH(C194, Mgt_Unit!$C$5:$C$1018, 0)), "")</f>
        <v>jennifer.moore</v>
      </c>
      <c r="C194" t="s">
        <v>678</v>
      </c>
      <c r="D194" s="45"/>
      <c r="E194" s="9" t="s">
        <v>1583</v>
      </c>
      <c r="F194" s="89">
        <v>43215</v>
      </c>
      <c r="G194" s="9"/>
      <c r="H194" s="9"/>
      <c r="I194" s="9"/>
      <c r="J194" t="s">
        <v>1361</v>
      </c>
      <c r="K194" s="120">
        <v>2.4</v>
      </c>
      <c r="L194" s="9"/>
      <c r="M194" s="7"/>
    </row>
    <row r="195" spans="1:13" hidden="1" x14ac:dyDescent="0.25">
      <c r="A195" s="4"/>
      <c r="B195" s="28" t="str">
        <f>IF(ISNUMBER(MATCH(C195, Mgt_Unit!$C$5:$C$1018, 0)), INDEX(Mgt_Unit!$B$5:$B$1018, MATCH(C195, Mgt_Unit!$C$5:$C$1018, 0)), "")</f>
        <v>jennifer.moore</v>
      </c>
      <c r="C195" t="s">
        <v>678</v>
      </c>
      <c r="D195" s="45"/>
      <c r="E195" s="9" t="s">
        <v>1583</v>
      </c>
      <c r="F195" s="89">
        <v>43438</v>
      </c>
      <c r="G195" s="9"/>
      <c r="H195" s="9"/>
      <c r="I195" s="9"/>
      <c r="J195" t="s">
        <v>1352</v>
      </c>
      <c r="K195" s="120">
        <v>39</v>
      </c>
      <c r="L195" s="9"/>
      <c r="M195" s="7"/>
    </row>
    <row r="196" spans="1:13" hidden="1" x14ac:dyDescent="0.25">
      <c r="A196" s="4"/>
      <c r="B196" s="28" t="str">
        <f>IF(ISNUMBER(MATCH(C196, Mgt_Unit!$C$5:$C$1018, 0)), INDEX(Mgt_Unit!$B$5:$B$1018, MATCH(C196, Mgt_Unit!$C$5:$C$1018, 0)), "")</f>
        <v>jennifer.moore</v>
      </c>
      <c r="C196" t="s">
        <v>678</v>
      </c>
      <c r="D196" s="45"/>
      <c r="E196" s="9" t="s">
        <v>1583</v>
      </c>
      <c r="F196" s="89">
        <v>43438</v>
      </c>
      <c r="G196" s="9"/>
      <c r="H196" s="9"/>
      <c r="I196" s="9"/>
      <c r="J196" t="s">
        <v>1356</v>
      </c>
      <c r="K196" s="120">
        <v>33</v>
      </c>
      <c r="L196" s="9"/>
      <c r="M196" s="7"/>
    </row>
    <row r="197" spans="1:13" hidden="1" x14ac:dyDescent="0.25">
      <c r="A197" s="4"/>
      <c r="B197" s="28" t="str">
        <f>IF(ISNUMBER(MATCH(C197, Mgt_Unit!$C$5:$C$1018, 0)), INDEX(Mgt_Unit!$B$5:$B$1018, MATCH(C197, Mgt_Unit!$C$5:$C$1018, 0)), "")</f>
        <v>jennifer.moore</v>
      </c>
      <c r="C197" t="s">
        <v>678</v>
      </c>
      <c r="D197" s="45"/>
      <c r="E197" s="9" t="s">
        <v>1583</v>
      </c>
      <c r="F197" s="89">
        <v>43438</v>
      </c>
      <c r="G197" s="9"/>
      <c r="H197" s="9"/>
      <c r="I197" s="9"/>
      <c r="J197" t="s">
        <v>1352</v>
      </c>
      <c r="K197" s="120">
        <v>39</v>
      </c>
      <c r="L197" s="9"/>
      <c r="M197" s="7"/>
    </row>
    <row r="198" spans="1:13" hidden="1" x14ac:dyDescent="0.25">
      <c r="A198" s="4"/>
      <c r="B198" s="28" t="str">
        <f>IF(ISNUMBER(MATCH(C198, Mgt_Unit!$C$5:$C$1018, 0)), INDEX(Mgt_Unit!$B$5:$B$1018, MATCH(C198, Mgt_Unit!$C$5:$C$1018, 0)), "")</f>
        <v>jennifer.moore</v>
      </c>
      <c r="C198" t="s">
        <v>678</v>
      </c>
      <c r="D198" s="45"/>
      <c r="E198" s="9" t="s">
        <v>1583</v>
      </c>
      <c r="F198" s="89">
        <v>43447</v>
      </c>
      <c r="G198" s="9"/>
      <c r="H198" s="9"/>
      <c r="I198" s="9"/>
      <c r="J198" t="s">
        <v>1359</v>
      </c>
      <c r="K198" s="120">
        <v>6.3</v>
      </c>
      <c r="L198" s="9"/>
      <c r="M198" s="7"/>
    </row>
    <row r="199" spans="1:13" hidden="1" x14ac:dyDescent="0.25">
      <c r="A199" s="4"/>
      <c r="B199" s="28" t="str">
        <f>IF(ISNUMBER(MATCH(C199, Mgt_Unit!$C$5:$C$1018, 0)), INDEX(Mgt_Unit!$B$5:$B$1018, MATCH(C199, Mgt_Unit!$C$5:$C$1018, 0)), "")</f>
        <v>jennifer.moore</v>
      </c>
      <c r="C199" t="s">
        <v>679</v>
      </c>
      <c r="D199" s="45"/>
      <c r="E199" s="9" t="s">
        <v>1583</v>
      </c>
      <c r="F199" s="89">
        <v>43215</v>
      </c>
      <c r="G199" s="9"/>
      <c r="H199" s="9"/>
      <c r="I199" s="9"/>
      <c r="J199" t="s">
        <v>1361</v>
      </c>
      <c r="K199" s="120">
        <v>2.4</v>
      </c>
      <c r="L199" s="9"/>
      <c r="M199" s="7"/>
    </row>
    <row r="200" spans="1:13" hidden="1" x14ac:dyDescent="0.25">
      <c r="A200" s="4"/>
      <c r="B200" s="28" t="str">
        <f>IF(ISNUMBER(MATCH(C200, Mgt_Unit!$C$5:$C$1018, 0)), INDEX(Mgt_Unit!$B$5:$B$1018, MATCH(C200, Mgt_Unit!$C$5:$C$1018, 0)), "")</f>
        <v>jennifer.moore</v>
      </c>
      <c r="C200" t="s">
        <v>679</v>
      </c>
      <c r="D200" s="45"/>
      <c r="E200" s="9" t="s">
        <v>1583</v>
      </c>
      <c r="F200" s="89">
        <v>43216</v>
      </c>
      <c r="G200" s="9"/>
      <c r="H200" s="9"/>
      <c r="I200" s="9"/>
      <c r="J200" t="s">
        <v>1367</v>
      </c>
      <c r="K200" s="120">
        <v>7</v>
      </c>
      <c r="L200" s="9"/>
      <c r="M200" s="7"/>
    </row>
    <row r="201" spans="1:13" hidden="1" x14ac:dyDescent="0.25">
      <c r="A201" s="4"/>
      <c r="B201" s="28" t="str">
        <f>IF(ISNUMBER(MATCH(C201, Mgt_Unit!$C$5:$C$1018, 0)), INDEX(Mgt_Unit!$B$5:$B$1018, MATCH(C201, Mgt_Unit!$C$5:$C$1018, 0)), "")</f>
        <v>jennifer.moore</v>
      </c>
      <c r="C201" t="s">
        <v>679</v>
      </c>
      <c r="D201" s="45"/>
      <c r="E201" s="9" t="s">
        <v>1583</v>
      </c>
      <c r="F201" s="89">
        <v>43441</v>
      </c>
      <c r="G201" s="9"/>
      <c r="H201" s="9"/>
      <c r="I201" s="9"/>
      <c r="J201" t="s">
        <v>1362</v>
      </c>
      <c r="K201" s="120">
        <v>2.2000000000000002</v>
      </c>
      <c r="L201" s="9"/>
      <c r="M201" s="7"/>
    </row>
    <row r="202" spans="1:13" hidden="1" x14ac:dyDescent="0.25">
      <c r="A202" s="4"/>
      <c r="B202" s="28" t="str">
        <f>IF(ISNUMBER(MATCH(C202, Mgt_Unit!$C$5:$C$1018, 0)), INDEX(Mgt_Unit!$B$5:$B$1018, MATCH(C202, Mgt_Unit!$C$5:$C$1018, 0)), "")</f>
        <v>jennifer.moore</v>
      </c>
      <c r="C202" t="s">
        <v>679</v>
      </c>
      <c r="D202" s="45"/>
      <c r="E202" s="9" t="s">
        <v>1583</v>
      </c>
      <c r="F202" s="89">
        <v>43447</v>
      </c>
      <c r="G202" s="9"/>
      <c r="H202" s="9"/>
      <c r="I202" s="9"/>
      <c r="J202" t="s">
        <v>1359</v>
      </c>
      <c r="K202" s="120">
        <v>6.3</v>
      </c>
      <c r="L202" s="9"/>
      <c r="M202" s="7"/>
    </row>
    <row r="203" spans="1:13" hidden="1" x14ac:dyDescent="0.25">
      <c r="A203" s="4"/>
      <c r="B203" s="28" t="str">
        <f>IF(ISNUMBER(MATCH(C203, Mgt_Unit!$C$5:$C$1018, 0)), INDEX(Mgt_Unit!$B$5:$B$1018, MATCH(C203, Mgt_Unit!$C$5:$C$1018, 0)), "")</f>
        <v>jennifer.moore</v>
      </c>
      <c r="C203" t="s">
        <v>680</v>
      </c>
      <c r="D203" s="45"/>
      <c r="E203" s="9" t="s">
        <v>1583</v>
      </c>
      <c r="F203" s="89">
        <v>43215</v>
      </c>
      <c r="G203" s="9"/>
      <c r="H203" s="9"/>
      <c r="I203" s="9"/>
      <c r="J203" t="s">
        <v>1361</v>
      </c>
      <c r="K203" s="120">
        <v>2.4</v>
      </c>
      <c r="L203" s="9"/>
      <c r="M203" s="7"/>
    </row>
    <row r="204" spans="1:13" hidden="1" x14ac:dyDescent="0.25">
      <c r="A204" s="4"/>
      <c r="B204" s="28" t="str">
        <f>IF(ISNUMBER(MATCH(C204, Mgt_Unit!$C$5:$C$1018, 0)), INDEX(Mgt_Unit!$B$5:$B$1018, MATCH(C204, Mgt_Unit!$C$5:$C$1018, 0)), "")</f>
        <v>jennifer.moore</v>
      </c>
      <c r="C204" t="s">
        <v>680</v>
      </c>
      <c r="D204" s="45"/>
      <c r="E204" s="9" t="s">
        <v>1583</v>
      </c>
      <c r="F204" s="89">
        <v>43447</v>
      </c>
      <c r="G204" s="9"/>
      <c r="H204" s="9"/>
      <c r="I204" s="9"/>
      <c r="J204" t="s">
        <v>1359</v>
      </c>
      <c r="K204" s="120">
        <v>6.3</v>
      </c>
      <c r="L204" s="9"/>
      <c r="M204" s="7"/>
    </row>
    <row r="205" spans="1:13" hidden="1" x14ac:dyDescent="0.25">
      <c r="A205" s="4"/>
      <c r="B205" s="28" t="str">
        <f>IF(ISNUMBER(MATCH(C205, Mgt_Unit!$C$5:$C$1018, 0)), INDEX(Mgt_Unit!$B$5:$B$1018, MATCH(C205, Mgt_Unit!$C$5:$C$1018, 0)), "")</f>
        <v>jennifer.moore</v>
      </c>
      <c r="C205" t="s">
        <v>681</v>
      </c>
      <c r="D205" s="45"/>
      <c r="E205" s="9" t="s">
        <v>1583</v>
      </c>
      <c r="F205" s="89">
        <v>43215</v>
      </c>
      <c r="G205" s="9"/>
      <c r="H205" s="9"/>
      <c r="I205" s="9"/>
      <c r="J205" t="s">
        <v>1361</v>
      </c>
      <c r="K205" s="120">
        <v>2.4</v>
      </c>
      <c r="L205" s="9"/>
      <c r="M205" s="7"/>
    </row>
    <row r="206" spans="1:13" hidden="1" x14ac:dyDescent="0.25">
      <c r="A206" s="4"/>
      <c r="B206" s="28" t="str">
        <f>IF(ISNUMBER(MATCH(C206, Mgt_Unit!$C$5:$C$1018, 0)), INDEX(Mgt_Unit!$B$5:$B$1018, MATCH(C206, Mgt_Unit!$C$5:$C$1018, 0)), "")</f>
        <v>jennifer.moore</v>
      </c>
      <c r="C206" t="s">
        <v>681</v>
      </c>
      <c r="D206" s="45"/>
      <c r="E206" s="9" t="s">
        <v>1583</v>
      </c>
      <c r="F206" s="89">
        <v>43438</v>
      </c>
      <c r="G206" s="9"/>
      <c r="H206" s="9"/>
      <c r="I206" s="9"/>
      <c r="J206" t="s">
        <v>1352</v>
      </c>
      <c r="K206" s="120">
        <v>39</v>
      </c>
      <c r="L206" s="9"/>
      <c r="M206" s="7"/>
    </row>
    <row r="207" spans="1:13" hidden="1" x14ac:dyDescent="0.25">
      <c r="A207" s="4"/>
      <c r="B207" s="28" t="str">
        <f>IF(ISNUMBER(MATCH(C207, Mgt_Unit!$C$5:$C$1018, 0)), INDEX(Mgt_Unit!$B$5:$B$1018, MATCH(C207, Mgt_Unit!$C$5:$C$1018, 0)), "")</f>
        <v>jennifer.moore</v>
      </c>
      <c r="C207" t="s">
        <v>681</v>
      </c>
      <c r="D207" s="45"/>
      <c r="E207" s="9" t="s">
        <v>1583</v>
      </c>
      <c r="F207" s="89">
        <v>43438</v>
      </c>
      <c r="G207" s="9"/>
      <c r="H207" s="9"/>
      <c r="I207" s="9"/>
      <c r="J207" t="s">
        <v>1356</v>
      </c>
      <c r="K207" s="120">
        <v>33</v>
      </c>
      <c r="L207" s="9"/>
      <c r="M207" s="7"/>
    </row>
    <row r="208" spans="1:13" hidden="1" x14ac:dyDescent="0.25">
      <c r="A208" s="4"/>
      <c r="B208" s="28" t="str">
        <f>IF(ISNUMBER(MATCH(C208, Mgt_Unit!$C$5:$C$1018, 0)), INDEX(Mgt_Unit!$B$5:$B$1018, MATCH(C208, Mgt_Unit!$C$5:$C$1018, 0)), "")</f>
        <v>jennifer.moore</v>
      </c>
      <c r="C208" t="s">
        <v>681</v>
      </c>
      <c r="D208" s="45"/>
      <c r="E208" s="9" t="s">
        <v>1583</v>
      </c>
      <c r="F208" s="89">
        <v>43438</v>
      </c>
      <c r="G208" s="9"/>
      <c r="H208" s="9"/>
      <c r="I208" s="9"/>
      <c r="J208" t="s">
        <v>1352</v>
      </c>
      <c r="K208" s="120">
        <v>39</v>
      </c>
      <c r="L208" s="9"/>
      <c r="M208" s="7"/>
    </row>
    <row r="209" spans="1:13" hidden="1" x14ac:dyDescent="0.25">
      <c r="A209" s="4"/>
      <c r="B209" s="28" t="str">
        <f>IF(ISNUMBER(MATCH(C209, Mgt_Unit!$C$5:$C$1018, 0)), INDEX(Mgt_Unit!$B$5:$B$1018, MATCH(C209, Mgt_Unit!$C$5:$C$1018, 0)), "")</f>
        <v>jennifer.moore</v>
      </c>
      <c r="C209" t="s">
        <v>681</v>
      </c>
      <c r="D209" s="45"/>
      <c r="E209" s="9" t="s">
        <v>1583</v>
      </c>
      <c r="F209" s="89">
        <v>43447</v>
      </c>
      <c r="G209" s="9"/>
      <c r="H209" s="9"/>
      <c r="I209" s="9"/>
      <c r="J209" t="s">
        <v>1359</v>
      </c>
      <c r="K209" s="120">
        <v>6.3</v>
      </c>
      <c r="L209" s="9"/>
      <c r="M209" s="7"/>
    </row>
    <row r="210" spans="1:13" hidden="1" x14ac:dyDescent="0.25">
      <c r="A210" s="4"/>
      <c r="B210" s="28" t="str">
        <f>IF(ISNUMBER(MATCH(C210, Mgt_Unit!$C$5:$C$1018, 0)), INDEX(Mgt_Unit!$B$5:$B$1018, MATCH(C210, Mgt_Unit!$C$5:$C$1018, 0)), "")</f>
        <v>jennifer.moore</v>
      </c>
      <c r="C210" t="s">
        <v>682</v>
      </c>
      <c r="D210" s="45"/>
      <c r="E210" s="9" t="s">
        <v>1583</v>
      </c>
      <c r="F210" s="89">
        <v>43238</v>
      </c>
      <c r="G210" s="9"/>
      <c r="H210" s="9"/>
      <c r="I210" s="9"/>
      <c r="J210" t="s">
        <v>1361</v>
      </c>
      <c r="K210" s="120">
        <v>2.4</v>
      </c>
      <c r="L210" s="9"/>
      <c r="M210" s="7"/>
    </row>
    <row r="211" spans="1:13" hidden="1" x14ac:dyDescent="0.25">
      <c r="A211" s="4"/>
      <c r="B211" s="28" t="str">
        <f>IF(ISNUMBER(MATCH(C211, Mgt_Unit!$C$5:$C$1018, 0)), INDEX(Mgt_Unit!$B$5:$B$1018, MATCH(C211, Mgt_Unit!$C$5:$C$1018, 0)), "")</f>
        <v>jennifer.moore</v>
      </c>
      <c r="C211" t="s">
        <v>682</v>
      </c>
      <c r="D211" s="45"/>
      <c r="E211" s="9" t="s">
        <v>1583</v>
      </c>
      <c r="F211" s="89">
        <v>43438</v>
      </c>
      <c r="G211" s="9"/>
      <c r="H211" s="9"/>
      <c r="I211" s="9"/>
      <c r="J211" t="s">
        <v>1352</v>
      </c>
      <c r="K211" s="120">
        <v>39</v>
      </c>
      <c r="L211" s="9"/>
      <c r="M211" s="7"/>
    </row>
    <row r="212" spans="1:13" hidden="1" x14ac:dyDescent="0.25">
      <c r="A212" s="4"/>
      <c r="B212" s="28" t="str">
        <f>IF(ISNUMBER(MATCH(C212, Mgt_Unit!$C$5:$C$1018, 0)), INDEX(Mgt_Unit!$B$5:$B$1018, MATCH(C212, Mgt_Unit!$C$5:$C$1018, 0)), "")</f>
        <v>jennifer.moore</v>
      </c>
      <c r="C212" t="s">
        <v>682</v>
      </c>
      <c r="D212" s="45"/>
      <c r="E212" s="9" t="s">
        <v>1583</v>
      </c>
      <c r="F212" s="89">
        <v>43438</v>
      </c>
      <c r="G212" s="9"/>
      <c r="H212" s="9"/>
      <c r="I212" s="9"/>
      <c r="J212" t="s">
        <v>1356</v>
      </c>
      <c r="K212" s="120">
        <v>33</v>
      </c>
      <c r="L212" s="9"/>
      <c r="M212" s="7"/>
    </row>
    <row r="213" spans="1:13" hidden="1" x14ac:dyDescent="0.25">
      <c r="A213" s="4"/>
      <c r="B213" s="28" t="str">
        <f>IF(ISNUMBER(MATCH(C213, Mgt_Unit!$C$5:$C$1018, 0)), INDEX(Mgt_Unit!$B$5:$B$1018, MATCH(C213, Mgt_Unit!$C$5:$C$1018, 0)), "")</f>
        <v>jennifer.moore</v>
      </c>
      <c r="C213" t="s">
        <v>682</v>
      </c>
      <c r="D213" s="45"/>
      <c r="E213" s="9" t="s">
        <v>1583</v>
      </c>
      <c r="F213" s="89">
        <v>43438</v>
      </c>
      <c r="G213" s="9"/>
      <c r="H213" s="9"/>
      <c r="I213" s="9"/>
      <c r="J213" t="s">
        <v>1352</v>
      </c>
      <c r="K213" s="120">
        <v>39</v>
      </c>
      <c r="L213" s="9"/>
      <c r="M213" s="7"/>
    </row>
    <row r="214" spans="1:13" hidden="1" x14ac:dyDescent="0.25">
      <c r="A214" s="4"/>
      <c r="B214" s="28" t="str">
        <f>IF(ISNUMBER(MATCH(C214, Mgt_Unit!$C$5:$C$1018, 0)), INDEX(Mgt_Unit!$B$5:$B$1018, MATCH(C214, Mgt_Unit!$C$5:$C$1018, 0)), "")</f>
        <v>jennifer.moore</v>
      </c>
      <c r="C214" t="s">
        <v>682</v>
      </c>
      <c r="D214" s="45"/>
      <c r="E214" s="9" t="s">
        <v>1583</v>
      </c>
      <c r="F214" s="89">
        <v>43447</v>
      </c>
      <c r="G214" s="9"/>
      <c r="H214" s="9"/>
      <c r="I214" s="9"/>
      <c r="J214" t="s">
        <v>1359</v>
      </c>
      <c r="K214" s="120">
        <v>6.3</v>
      </c>
      <c r="L214" s="9"/>
      <c r="M214" s="7"/>
    </row>
    <row r="215" spans="1:13" hidden="1" x14ac:dyDescent="0.25">
      <c r="A215" s="4"/>
      <c r="B215" s="28" t="str">
        <f>IF(ISNUMBER(MATCH(C215, Mgt_Unit!$C$5:$C$1018, 0)), INDEX(Mgt_Unit!$B$5:$B$1018, MATCH(C215, Mgt_Unit!$C$5:$C$1018, 0)), "")</f>
        <v>jennifer.moore</v>
      </c>
      <c r="C215" t="s">
        <v>683</v>
      </c>
      <c r="D215" s="45"/>
      <c r="E215" s="9" t="s">
        <v>1583</v>
      </c>
      <c r="F215" s="89">
        <v>43216</v>
      </c>
      <c r="G215" s="9"/>
      <c r="H215" s="9"/>
      <c r="I215" s="9"/>
      <c r="J215" t="s">
        <v>1367</v>
      </c>
      <c r="K215" s="120">
        <v>7</v>
      </c>
      <c r="L215" s="9"/>
      <c r="M215" s="7"/>
    </row>
    <row r="216" spans="1:13" hidden="1" x14ac:dyDescent="0.25">
      <c r="A216" s="4"/>
      <c r="B216" s="28" t="str">
        <f>IF(ISNUMBER(MATCH(C216, Mgt_Unit!$C$5:$C$1018, 0)), INDEX(Mgt_Unit!$B$5:$B$1018, MATCH(C216, Mgt_Unit!$C$5:$C$1018, 0)), "")</f>
        <v>jennifer.moore</v>
      </c>
      <c r="C216" t="s">
        <v>683</v>
      </c>
      <c r="D216" s="45"/>
      <c r="E216" s="9" t="s">
        <v>1583</v>
      </c>
      <c r="F216" s="89">
        <v>43238</v>
      </c>
      <c r="G216" s="9"/>
      <c r="H216" s="9"/>
      <c r="I216" s="9"/>
      <c r="J216" t="s">
        <v>1361</v>
      </c>
      <c r="K216" s="120">
        <v>2.4</v>
      </c>
      <c r="L216" s="9"/>
      <c r="M216" s="7"/>
    </row>
    <row r="217" spans="1:13" hidden="1" x14ac:dyDescent="0.25">
      <c r="A217" s="4"/>
      <c r="B217" s="28" t="str">
        <f>IF(ISNUMBER(MATCH(C217, Mgt_Unit!$C$5:$C$1018, 0)), INDEX(Mgt_Unit!$B$5:$B$1018, MATCH(C217, Mgt_Unit!$C$5:$C$1018, 0)), "")</f>
        <v>jennifer.moore</v>
      </c>
      <c r="C217" t="s">
        <v>683</v>
      </c>
      <c r="D217" s="45"/>
      <c r="E217" s="9" t="s">
        <v>1583</v>
      </c>
      <c r="F217" s="89">
        <v>43441</v>
      </c>
      <c r="G217" s="9"/>
      <c r="H217" s="9"/>
      <c r="I217" s="9"/>
      <c r="J217" t="s">
        <v>1362</v>
      </c>
      <c r="K217" s="120">
        <v>2.2000000000000002</v>
      </c>
      <c r="L217" s="9"/>
      <c r="M217" s="7"/>
    </row>
    <row r="218" spans="1:13" hidden="1" x14ac:dyDescent="0.25">
      <c r="A218" s="4"/>
      <c r="B218" s="28" t="str">
        <f>IF(ISNUMBER(MATCH(C218, Mgt_Unit!$C$5:$C$1018, 0)), INDEX(Mgt_Unit!$B$5:$B$1018, MATCH(C218, Mgt_Unit!$C$5:$C$1018, 0)), "")</f>
        <v>jennifer.moore</v>
      </c>
      <c r="C218" t="s">
        <v>683</v>
      </c>
      <c r="D218" s="45"/>
      <c r="E218" s="9" t="s">
        <v>1583</v>
      </c>
      <c r="F218" s="89">
        <v>43448</v>
      </c>
      <c r="G218" s="9"/>
      <c r="H218" s="9"/>
      <c r="I218" s="9"/>
      <c r="J218" t="s">
        <v>1359</v>
      </c>
      <c r="K218" s="120">
        <v>6.3</v>
      </c>
      <c r="L218" s="9"/>
      <c r="M218" s="7"/>
    </row>
    <row r="219" spans="1:13" hidden="1" x14ac:dyDescent="0.25">
      <c r="A219" s="4"/>
      <c r="B219" s="28" t="str">
        <f>IF(ISNUMBER(MATCH(C219, Mgt_Unit!$C$5:$C$1018, 0)), INDEX(Mgt_Unit!$B$5:$B$1018, MATCH(C219, Mgt_Unit!$C$5:$C$1018, 0)), "")</f>
        <v>jennifer.moore</v>
      </c>
      <c r="C219" t="s">
        <v>684</v>
      </c>
      <c r="D219" s="45"/>
      <c r="E219" s="9" t="s">
        <v>1583</v>
      </c>
      <c r="F219" s="89">
        <v>43164</v>
      </c>
      <c r="G219" s="9"/>
      <c r="H219" s="9"/>
      <c r="I219" s="9"/>
      <c r="J219" t="s">
        <v>1352</v>
      </c>
      <c r="K219" s="120">
        <v>39</v>
      </c>
      <c r="L219" s="9"/>
      <c r="M219" s="7"/>
    </row>
    <row r="220" spans="1:13" hidden="1" x14ac:dyDescent="0.25">
      <c r="A220" s="4"/>
      <c r="B220" s="28" t="str">
        <f>IF(ISNUMBER(MATCH(C220, Mgt_Unit!$C$5:$C$1018, 0)), INDEX(Mgt_Unit!$B$5:$B$1018, MATCH(C220, Mgt_Unit!$C$5:$C$1018, 0)), "")</f>
        <v>jennifer.moore</v>
      </c>
      <c r="C220" t="s">
        <v>684</v>
      </c>
      <c r="D220" s="45"/>
      <c r="E220" s="9" t="s">
        <v>1583</v>
      </c>
      <c r="F220" s="89">
        <v>43232</v>
      </c>
      <c r="G220" s="9"/>
      <c r="H220" s="9"/>
      <c r="I220" s="9"/>
      <c r="J220" t="s">
        <v>1363</v>
      </c>
      <c r="K220" s="120">
        <v>20</v>
      </c>
      <c r="L220" s="9"/>
      <c r="M220" s="7"/>
    </row>
    <row r="221" spans="1:13" hidden="1" x14ac:dyDescent="0.25">
      <c r="A221" s="4"/>
      <c r="B221" s="28" t="str">
        <f>IF(ISNUMBER(MATCH(C221, Mgt_Unit!$C$5:$C$1018, 0)), INDEX(Mgt_Unit!$B$5:$B$1018, MATCH(C221, Mgt_Unit!$C$5:$C$1018, 0)), "")</f>
        <v>jennifer.moore</v>
      </c>
      <c r="C221" t="s">
        <v>684</v>
      </c>
      <c r="D221" s="45"/>
      <c r="E221" s="9" t="s">
        <v>1583</v>
      </c>
      <c r="F221" s="89">
        <v>43232</v>
      </c>
      <c r="G221" s="9"/>
      <c r="H221" s="9"/>
      <c r="I221" s="9"/>
      <c r="J221" t="s">
        <v>1368</v>
      </c>
      <c r="K221" s="120">
        <v>33</v>
      </c>
      <c r="L221" s="9"/>
      <c r="M221" s="7"/>
    </row>
    <row r="222" spans="1:13" hidden="1" x14ac:dyDescent="0.25">
      <c r="A222" s="4"/>
      <c r="B222" s="28" t="str">
        <f>IF(ISNUMBER(MATCH(C222, Mgt_Unit!$C$5:$C$1018, 0)), INDEX(Mgt_Unit!$B$5:$B$1018, MATCH(C222, Mgt_Unit!$C$5:$C$1018, 0)), "")</f>
        <v>jennifer.moore</v>
      </c>
      <c r="C222" t="s">
        <v>684</v>
      </c>
      <c r="D222" s="45"/>
      <c r="E222" s="9" t="s">
        <v>1583</v>
      </c>
      <c r="F222" s="89">
        <v>43281</v>
      </c>
      <c r="G222" s="9"/>
      <c r="H222" s="9"/>
      <c r="I222" s="9"/>
      <c r="J222" t="s">
        <v>1361</v>
      </c>
      <c r="K222" s="120">
        <v>2.4</v>
      </c>
      <c r="L222" s="9"/>
      <c r="M222" s="7"/>
    </row>
    <row r="223" spans="1:13" hidden="1" x14ac:dyDescent="0.25">
      <c r="A223" s="4"/>
      <c r="B223" s="28" t="str">
        <f>IF(ISNUMBER(MATCH(C223, Mgt_Unit!$C$5:$C$1018, 0)), INDEX(Mgt_Unit!$B$5:$B$1018, MATCH(C223, Mgt_Unit!$C$5:$C$1018, 0)), "")</f>
        <v>jennifer.moore</v>
      </c>
      <c r="C223" t="s">
        <v>684</v>
      </c>
      <c r="D223" s="45"/>
      <c r="E223" s="9" t="s">
        <v>1583</v>
      </c>
      <c r="F223" s="89">
        <v>43412</v>
      </c>
      <c r="G223" s="9"/>
      <c r="H223" s="9"/>
      <c r="I223" s="9"/>
      <c r="J223" t="s">
        <v>1352</v>
      </c>
      <c r="K223" s="120">
        <v>39</v>
      </c>
      <c r="L223" s="9"/>
      <c r="M223" s="7"/>
    </row>
    <row r="224" spans="1:13" hidden="1" x14ac:dyDescent="0.25">
      <c r="A224" s="4"/>
      <c r="B224" s="28" t="str">
        <f>IF(ISNUMBER(MATCH(C224, Mgt_Unit!$C$5:$C$1018, 0)), INDEX(Mgt_Unit!$B$5:$B$1018, MATCH(C224, Mgt_Unit!$C$5:$C$1018, 0)), "")</f>
        <v>jennifer.moore</v>
      </c>
      <c r="C224" t="s">
        <v>685</v>
      </c>
      <c r="D224" s="45"/>
      <c r="E224" s="9" t="s">
        <v>1583</v>
      </c>
      <c r="F224" s="89">
        <v>43164</v>
      </c>
      <c r="G224" s="9"/>
      <c r="H224" s="9"/>
      <c r="I224" s="9"/>
      <c r="J224" t="s">
        <v>1362</v>
      </c>
      <c r="K224" s="120">
        <v>2.2000000000000002</v>
      </c>
      <c r="L224" s="9"/>
      <c r="M224" s="7"/>
    </row>
    <row r="225" spans="1:13" hidden="1" x14ac:dyDescent="0.25">
      <c r="A225" s="4"/>
      <c r="B225" s="28" t="str">
        <f>IF(ISNUMBER(MATCH(C225, Mgt_Unit!$C$5:$C$1018, 0)), INDEX(Mgt_Unit!$B$5:$B$1018, MATCH(C225, Mgt_Unit!$C$5:$C$1018, 0)), "")</f>
        <v>jennifer.moore</v>
      </c>
      <c r="C225" t="s">
        <v>685</v>
      </c>
      <c r="D225" s="45"/>
      <c r="E225" s="9" t="s">
        <v>1583</v>
      </c>
      <c r="F225" s="89">
        <v>43281</v>
      </c>
      <c r="G225" s="9"/>
      <c r="H225" s="9"/>
      <c r="I225" s="9"/>
      <c r="J225" t="s">
        <v>1361</v>
      </c>
      <c r="K225" s="120">
        <v>2.4</v>
      </c>
      <c r="L225" s="9"/>
      <c r="M225" s="7"/>
    </row>
    <row r="226" spans="1:13" hidden="1" x14ac:dyDescent="0.25">
      <c r="A226" s="4"/>
      <c r="B226" s="28" t="str">
        <f>IF(ISNUMBER(MATCH(C226, Mgt_Unit!$C$5:$C$1018, 0)), INDEX(Mgt_Unit!$B$5:$B$1018, MATCH(C226, Mgt_Unit!$C$5:$C$1018, 0)), "")</f>
        <v>jennifer.moore</v>
      </c>
      <c r="C226" t="s">
        <v>686</v>
      </c>
      <c r="D226" s="45"/>
      <c r="E226" s="9" t="s">
        <v>1583</v>
      </c>
      <c r="F226" s="89">
        <v>43164</v>
      </c>
      <c r="G226" s="9"/>
      <c r="H226" s="9"/>
      <c r="I226" s="9"/>
      <c r="J226" t="s">
        <v>1362</v>
      </c>
      <c r="K226" s="120">
        <v>2.2000000000000002</v>
      </c>
      <c r="L226" s="9"/>
      <c r="M226" s="7"/>
    </row>
    <row r="227" spans="1:13" hidden="1" x14ac:dyDescent="0.25">
      <c r="A227" s="4"/>
      <c r="B227" s="28" t="str">
        <f>IF(ISNUMBER(MATCH(C227, Mgt_Unit!$C$5:$C$1018, 0)), INDEX(Mgt_Unit!$B$5:$B$1018, MATCH(C227, Mgt_Unit!$C$5:$C$1018, 0)), "")</f>
        <v>jennifer.moore</v>
      </c>
      <c r="C227" t="s">
        <v>686</v>
      </c>
      <c r="D227" s="45"/>
      <c r="E227" s="9" t="s">
        <v>1583</v>
      </c>
      <c r="F227" s="89">
        <v>43232</v>
      </c>
      <c r="G227" s="9"/>
      <c r="H227" s="9"/>
      <c r="I227" s="9"/>
      <c r="J227" t="s">
        <v>1368</v>
      </c>
      <c r="K227" s="120">
        <v>33</v>
      </c>
      <c r="L227" s="9"/>
      <c r="M227" s="7"/>
    </row>
    <row r="228" spans="1:13" hidden="1" x14ac:dyDescent="0.25">
      <c r="A228" s="4"/>
      <c r="B228" s="28" t="str">
        <f>IF(ISNUMBER(MATCH(C228, Mgt_Unit!$C$5:$C$1018, 0)), INDEX(Mgt_Unit!$B$5:$B$1018, MATCH(C228, Mgt_Unit!$C$5:$C$1018, 0)), "")</f>
        <v>jennifer.moore</v>
      </c>
      <c r="C228" t="s">
        <v>686</v>
      </c>
      <c r="D228" s="45"/>
      <c r="E228" s="9" t="s">
        <v>1583</v>
      </c>
      <c r="F228" s="89">
        <v>43281</v>
      </c>
      <c r="G228" s="9"/>
      <c r="H228" s="9"/>
      <c r="I228" s="9"/>
      <c r="J228" t="s">
        <v>1361</v>
      </c>
      <c r="K228" s="120">
        <v>2.4</v>
      </c>
      <c r="L228" s="9"/>
      <c r="M228" s="7"/>
    </row>
    <row r="229" spans="1:13" hidden="1" x14ac:dyDescent="0.25">
      <c r="A229" s="4"/>
      <c r="B229" s="28" t="str">
        <f>IF(ISNUMBER(MATCH(C229, Mgt_Unit!$C$5:$C$1018, 0)), INDEX(Mgt_Unit!$B$5:$B$1018, MATCH(C229, Mgt_Unit!$C$5:$C$1018, 0)), "")</f>
        <v>jennifer.moore</v>
      </c>
      <c r="C229" t="s">
        <v>687</v>
      </c>
      <c r="D229" s="45"/>
      <c r="E229" s="9" t="s">
        <v>1583</v>
      </c>
      <c r="F229" s="89">
        <v>43164</v>
      </c>
      <c r="G229" s="9"/>
      <c r="H229" s="9"/>
      <c r="I229" s="9"/>
      <c r="J229" t="s">
        <v>1362</v>
      </c>
      <c r="K229" s="120">
        <v>2.2000000000000002</v>
      </c>
      <c r="L229" s="9"/>
      <c r="M229" s="7"/>
    </row>
    <row r="230" spans="1:13" hidden="1" x14ac:dyDescent="0.25">
      <c r="A230" s="4"/>
      <c r="B230" s="28" t="str">
        <f>IF(ISNUMBER(MATCH(C230, Mgt_Unit!$C$5:$C$1018, 0)), INDEX(Mgt_Unit!$B$5:$B$1018, MATCH(C230, Mgt_Unit!$C$5:$C$1018, 0)), "")</f>
        <v>jennifer.moore</v>
      </c>
      <c r="C230" t="s">
        <v>687</v>
      </c>
      <c r="D230" s="45"/>
      <c r="E230" s="9" t="s">
        <v>1583</v>
      </c>
      <c r="F230" s="89">
        <v>43232</v>
      </c>
      <c r="G230" s="9"/>
      <c r="H230" s="9"/>
      <c r="I230" s="9"/>
      <c r="J230" t="s">
        <v>1362</v>
      </c>
      <c r="K230" s="120">
        <v>2.2000000000000002</v>
      </c>
      <c r="L230" s="9"/>
      <c r="M230" s="7"/>
    </row>
    <row r="231" spans="1:13" hidden="1" x14ac:dyDescent="0.25">
      <c r="A231" s="4"/>
      <c r="B231" s="28" t="str">
        <f>IF(ISNUMBER(MATCH(C231, Mgt_Unit!$C$5:$C$1018, 0)), INDEX(Mgt_Unit!$B$5:$B$1018, MATCH(C231, Mgt_Unit!$C$5:$C$1018, 0)), "")</f>
        <v>jennifer.moore</v>
      </c>
      <c r="C231" t="s">
        <v>687</v>
      </c>
      <c r="D231" s="45"/>
      <c r="E231" s="9" t="s">
        <v>1583</v>
      </c>
      <c r="F231" s="89">
        <v>43232</v>
      </c>
      <c r="G231" s="9"/>
      <c r="H231" s="9"/>
      <c r="I231" s="9"/>
      <c r="J231" t="s">
        <v>1368</v>
      </c>
      <c r="K231" s="120">
        <v>33</v>
      </c>
      <c r="L231" s="9"/>
      <c r="M231" s="7"/>
    </row>
    <row r="232" spans="1:13" hidden="1" x14ac:dyDescent="0.25">
      <c r="A232" s="4"/>
      <c r="B232" s="28" t="str">
        <f>IF(ISNUMBER(MATCH(C232, Mgt_Unit!$C$5:$C$1018, 0)), INDEX(Mgt_Unit!$B$5:$B$1018, MATCH(C232, Mgt_Unit!$C$5:$C$1018, 0)), "")</f>
        <v>jennifer.moore</v>
      </c>
      <c r="C232" t="s">
        <v>687</v>
      </c>
      <c r="D232" s="45"/>
      <c r="E232" s="9" t="s">
        <v>1583</v>
      </c>
      <c r="F232" s="89">
        <v>43281</v>
      </c>
      <c r="G232" s="9"/>
      <c r="H232" s="9"/>
      <c r="I232" s="9"/>
      <c r="J232" t="s">
        <v>1361</v>
      </c>
      <c r="K232" s="120">
        <v>2.4</v>
      </c>
      <c r="L232" s="9"/>
      <c r="M232" s="7"/>
    </row>
    <row r="233" spans="1:13" hidden="1" x14ac:dyDescent="0.25">
      <c r="A233" s="4"/>
      <c r="B233" s="28" t="str">
        <f>IF(ISNUMBER(MATCH(C233, Mgt_Unit!$C$5:$C$1018, 0)), INDEX(Mgt_Unit!$B$5:$B$1018, MATCH(C233, Mgt_Unit!$C$5:$C$1018, 0)), "")</f>
        <v>jennifer.moore</v>
      </c>
      <c r="C233" t="s">
        <v>687</v>
      </c>
      <c r="D233" s="45"/>
      <c r="E233" s="9" t="s">
        <v>1583</v>
      </c>
      <c r="F233" s="89">
        <v>43431</v>
      </c>
      <c r="G233" s="9"/>
      <c r="H233" s="9"/>
      <c r="I233" s="9"/>
      <c r="J233" t="s">
        <v>1361</v>
      </c>
      <c r="K233" s="120">
        <v>2.4</v>
      </c>
      <c r="L233" s="9"/>
      <c r="M233" s="7"/>
    </row>
    <row r="234" spans="1:13" hidden="1" x14ac:dyDescent="0.25">
      <c r="A234" s="4"/>
      <c r="B234" s="28" t="str">
        <f>IF(ISNUMBER(MATCH(C234, Mgt_Unit!$C$5:$C$1018, 0)), INDEX(Mgt_Unit!$B$5:$B$1018, MATCH(C234, Mgt_Unit!$C$5:$C$1018, 0)), "")</f>
        <v>jennifer.moore</v>
      </c>
      <c r="C234" t="s">
        <v>688</v>
      </c>
      <c r="D234" s="45"/>
      <c r="E234" s="9" t="s">
        <v>1583</v>
      </c>
      <c r="F234" s="89">
        <v>43164</v>
      </c>
      <c r="G234" s="9"/>
      <c r="H234" s="9"/>
      <c r="I234" s="9"/>
      <c r="J234" t="s">
        <v>1362</v>
      </c>
      <c r="K234" s="120">
        <v>2.2000000000000002</v>
      </c>
      <c r="L234" s="9"/>
      <c r="M234" s="7"/>
    </row>
    <row r="235" spans="1:13" hidden="1" x14ac:dyDescent="0.25">
      <c r="A235" s="4"/>
      <c r="B235" s="28" t="str">
        <f>IF(ISNUMBER(MATCH(C235, Mgt_Unit!$C$5:$C$1018, 0)), INDEX(Mgt_Unit!$B$5:$B$1018, MATCH(C235, Mgt_Unit!$C$5:$C$1018, 0)), "")</f>
        <v>jennifer.moore</v>
      </c>
      <c r="C235" t="s">
        <v>688</v>
      </c>
      <c r="D235" s="45"/>
      <c r="E235" s="9" t="s">
        <v>1583</v>
      </c>
      <c r="F235" s="89">
        <v>43281</v>
      </c>
      <c r="G235" s="9"/>
      <c r="H235" s="9"/>
      <c r="I235" s="9"/>
      <c r="J235" t="s">
        <v>1361</v>
      </c>
      <c r="K235" s="120">
        <v>2.4</v>
      </c>
      <c r="L235" s="9"/>
      <c r="M235" s="7"/>
    </row>
    <row r="236" spans="1:13" hidden="1" x14ac:dyDescent="0.25">
      <c r="A236" s="4"/>
      <c r="B236" s="28" t="str">
        <f>IF(ISNUMBER(MATCH(C236, Mgt_Unit!$C$5:$C$1018, 0)), INDEX(Mgt_Unit!$B$5:$B$1018, MATCH(C236, Mgt_Unit!$C$5:$C$1018, 0)), "")</f>
        <v>jennifer.moore</v>
      </c>
      <c r="C236" t="s">
        <v>688</v>
      </c>
      <c r="D236" s="45"/>
      <c r="E236" s="9" t="s">
        <v>1583</v>
      </c>
      <c r="F236" s="89">
        <v>43431</v>
      </c>
      <c r="G236" s="9"/>
      <c r="H236" s="9"/>
      <c r="I236" s="9"/>
      <c r="J236" t="s">
        <v>1361</v>
      </c>
      <c r="K236" s="120">
        <v>2.4</v>
      </c>
      <c r="L236" s="9"/>
      <c r="M236" s="7"/>
    </row>
    <row r="237" spans="1:13" hidden="1" x14ac:dyDescent="0.25">
      <c r="A237" s="4"/>
      <c r="B237" s="28" t="str">
        <f>IF(ISNUMBER(MATCH(C237, Mgt_Unit!$C$5:$C$1018, 0)), INDEX(Mgt_Unit!$B$5:$B$1018, MATCH(C237, Mgt_Unit!$C$5:$C$1018, 0)), "")</f>
        <v>jennifer.moore</v>
      </c>
      <c r="C237" t="s">
        <v>689</v>
      </c>
      <c r="D237" s="45"/>
      <c r="E237" s="9" t="s">
        <v>1583</v>
      </c>
      <c r="F237" s="89">
        <v>43118</v>
      </c>
      <c r="G237" s="9"/>
      <c r="H237" s="9"/>
      <c r="I237" s="9"/>
      <c r="J237" t="s">
        <v>1369</v>
      </c>
      <c r="K237" s="120">
        <v>0</v>
      </c>
      <c r="L237" s="9"/>
      <c r="M237" s="7"/>
    </row>
    <row r="238" spans="1:13" hidden="1" x14ac:dyDescent="0.25">
      <c r="A238" s="4"/>
      <c r="B238" s="28" t="str">
        <f>IF(ISNUMBER(MATCH(C238, Mgt_Unit!$C$5:$C$1018, 0)), INDEX(Mgt_Unit!$B$5:$B$1018, MATCH(C238, Mgt_Unit!$C$5:$C$1018, 0)), "")</f>
        <v>jennifer.moore</v>
      </c>
      <c r="C238" t="s">
        <v>689</v>
      </c>
      <c r="D238" s="45"/>
      <c r="E238" s="9" t="s">
        <v>1583</v>
      </c>
      <c r="F238" s="89">
        <v>43244</v>
      </c>
      <c r="G238" s="9"/>
      <c r="H238" s="9"/>
      <c r="I238" s="9"/>
      <c r="J238" t="s">
        <v>1370</v>
      </c>
      <c r="K238" s="120">
        <v>0</v>
      </c>
      <c r="L238" s="9"/>
      <c r="M238" s="7"/>
    </row>
    <row r="239" spans="1:13" hidden="1" x14ac:dyDescent="0.25">
      <c r="A239" s="4"/>
      <c r="B239" s="28" t="str">
        <f>IF(ISNUMBER(MATCH(C239, Mgt_Unit!$C$5:$C$1018, 0)), INDEX(Mgt_Unit!$B$5:$B$1018, MATCH(C239, Mgt_Unit!$C$5:$C$1018, 0)), "")</f>
        <v>jennifer.moore</v>
      </c>
      <c r="C239" t="s">
        <v>689</v>
      </c>
      <c r="D239" s="45"/>
      <c r="E239" s="9" t="s">
        <v>1583</v>
      </c>
      <c r="F239" s="89">
        <v>43293</v>
      </c>
      <c r="G239" s="9"/>
      <c r="H239" s="9"/>
      <c r="I239" s="9"/>
      <c r="J239" t="s">
        <v>1361</v>
      </c>
      <c r="K239" s="120">
        <v>2.4</v>
      </c>
      <c r="L239" s="9"/>
      <c r="M239" s="7"/>
    </row>
    <row r="240" spans="1:13" hidden="1" x14ac:dyDescent="0.25">
      <c r="A240" s="4"/>
      <c r="B240" s="28" t="str">
        <f>IF(ISNUMBER(MATCH(C240, Mgt_Unit!$C$5:$C$1018, 0)), INDEX(Mgt_Unit!$B$5:$B$1018, MATCH(C240, Mgt_Unit!$C$5:$C$1018, 0)), "")</f>
        <v>jennifer.moore</v>
      </c>
      <c r="C240" t="s">
        <v>689</v>
      </c>
      <c r="D240" s="45"/>
      <c r="E240" s="9" t="s">
        <v>1583</v>
      </c>
      <c r="F240" s="89">
        <v>43646</v>
      </c>
      <c r="G240" s="9"/>
      <c r="H240" s="9"/>
      <c r="I240" s="9"/>
      <c r="J240" t="s">
        <v>1361</v>
      </c>
      <c r="K240" s="120">
        <v>2.4</v>
      </c>
      <c r="L240" s="9"/>
      <c r="M240" s="7"/>
    </row>
    <row r="241" spans="1:13" hidden="1" x14ac:dyDescent="0.25">
      <c r="A241" s="4"/>
      <c r="B241" s="28" t="str">
        <f>IF(ISNUMBER(MATCH(C241, Mgt_Unit!$C$5:$C$1018, 0)), INDEX(Mgt_Unit!$B$5:$B$1018, MATCH(C241, Mgt_Unit!$C$5:$C$1018, 0)), "")</f>
        <v>jennifer.moore</v>
      </c>
      <c r="C241" t="s">
        <v>689</v>
      </c>
      <c r="D241" s="45"/>
      <c r="E241" s="9" t="s">
        <v>1583</v>
      </c>
      <c r="F241" s="89">
        <v>43799</v>
      </c>
      <c r="G241" s="9"/>
      <c r="H241" s="9"/>
      <c r="I241" s="9"/>
      <c r="J241" t="s">
        <v>1371</v>
      </c>
      <c r="K241" s="120">
        <v>19</v>
      </c>
      <c r="L241" s="9"/>
      <c r="M241" s="7"/>
    </row>
    <row r="242" spans="1:13" hidden="1" x14ac:dyDescent="0.25">
      <c r="A242" s="4"/>
      <c r="B242" s="28" t="str">
        <f>IF(ISNUMBER(MATCH(C242, Mgt_Unit!$C$5:$C$1018, 0)), INDEX(Mgt_Unit!$B$5:$B$1018, MATCH(C242, Mgt_Unit!$C$5:$C$1018, 0)), "")</f>
        <v>jennifer.moore</v>
      </c>
      <c r="C242" t="s">
        <v>690</v>
      </c>
      <c r="D242" s="45"/>
      <c r="E242" s="9" t="s">
        <v>1583</v>
      </c>
      <c r="F242" s="89">
        <v>43244</v>
      </c>
      <c r="G242" s="9"/>
      <c r="H242" s="9"/>
      <c r="I242" s="9"/>
      <c r="J242" t="s">
        <v>1370</v>
      </c>
      <c r="K242" s="120">
        <v>0</v>
      </c>
      <c r="L242" s="9"/>
      <c r="M242" s="7"/>
    </row>
    <row r="243" spans="1:13" hidden="1" x14ac:dyDescent="0.25">
      <c r="A243" s="4"/>
      <c r="B243" s="28" t="str">
        <f>IF(ISNUMBER(MATCH(C243, Mgt_Unit!$C$5:$C$1018, 0)), INDEX(Mgt_Unit!$B$5:$B$1018, MATCH(C243, Mgt_Unit!$C$5:$C$1018, 0)), "")</f>
        <v>jennifer.moore</v>
      </c>
      <c r="C243" t="s">
        <v>690</v>
      </c>
      <c r="D243" s="45"/>
      <c r="E243" s="9" t="s">
        <v>1583</v>
      </c>
      <c r="F243" s="89">
        <v>43293</v>
      </c>
      <c r="G243" s="9"/>
      <c r="H243" s="9"/>
      <c r="I243" s="9"/>
      <c r="J243" t="s">
        <v>1361</v>
      </c>
      <c r="K243" s="120">
        <v>2.4</v>
      </c>
      <c r="L243" s="9"/>
      <c r="M243" s="7"/>
    </row>
    <row r="244" spans="1:13" hidden="1" x14ac:dyDescent="0.25">
      <c r="A244" s="4"/>
      <c r="B244" s="28" t="str">
        <f>IF(ISNUMBER(MATCH(C244, Mgt_Unit!$C$5:$C$1018, 0)), INDEX(Mgt_Unit!$B$5:$B$1018, MATCH(C244, Mgt_Unit!$C$5:$C$1018, 0)), "")</f>
        <v>jennifer.moore</v>
      </c>
      <c r="C244" t="s">
        <v>690</v>
      </c>
      <c r="D244" s="45"/>
      <c r="E244" s="9" t="s">
        <v>1583</v>
      </c>
      <c r="F244" s="89">
        <v>43646</v>
      </c>
      <c r="G244" s="9"/>
      <c r="H244" s="9"/>
      <c r="I244" s="9"/>
      <c r="J244" t="s">
        <v>1361</v>
      </c>
      <c r="K244" s="120">
        <v>2.4</v>
      </c>
      <c r="L244" s="9"/>
      <c r="M244" s="7"/>
    </row>
    <row r="245" spans="1:13" hidden="1" x14ac:dyDescent="0.25">
      <c r="A245" s="4"/>
      <c r="B245" s="28" t="str">
        <f>IF(ISNUMBER(MATCH(C245, Mgt_Unit!$C$5:$C$1018, 0)), INDEX(Mgt_Unit!$B$5:$B$1018, MATCH(C245, Mgt_Unit!$C$5:$C$1018, 0)), "")</f>
        <v>jennifer.moore</v>
      </c>
      <c r="C245" t="s">
        <v>690</v>
      </c>
      <c r="D245" s="45"/>
      <c r="E245" s="9" t="s">
        <v>1583</v>
      </c>
      <c r="F245" s="89">
        <v>43799</v>
      </c>
      <c r="G245" s="9"/>
      <c r="H245" s="9"/>
      <c r="I245" s="9"/>
      <c r="J245" t="s">
        <v>1371</v>
      </c>
      <c r="K245" s="120">
        <v>19</v>
      </c>
      <c r="L245" s="9"/>
      <c r="M245" s="7"/>
    </row>
    <row r="246" spans="1:13" hidden="1" x14ac:dyDescent="0.25">
      <c r="A246" s="4"/>
      <c r="B246" s="28" t="str">
        <f>IF(ISNUMBER(MATCH(C246, Mgt_Unit!$C$5:$C$1018, 0)), INDEX(Mgt_Unit!$B$5:$B$1018, MATCH(C246, Mgt_Unit!$C$5:$C$1018, 0)), "")</f>
        <v>jennifer.moore</v>
      </c>
      <c r="C246" t="s">
        <v>691</v>
      </c>
      <c r="D246" s="45"/>
      <c r="E246" s="9" t="s">
        <v>1583</v>
      </c>
      <c r="F246" s="89">
        <v>43244</v>
      </c>
      <c r="G246" s="9"/>
      <c r="H246" s="9"/>
      <c r="I246" s="9"/>
      <c r="J246" t="s">
        <v>1370</v>
      </c>
      <c r="K246" s="120">
        <v>0</v>
      </c>
      <c r="L246" s="9"/>
      <c r="M246" s="7"/>
    </row>
    <row r="247" spans="1:13" hidden="1" x14ac:dyDescent="0.25">
      <c r="A247" s="4"/>
      <c r="B247" s="28" t="str">
        <f>IF(ISNUMBER(MATCH(C247, Mgt_Unit!$C$5:$C$1018, 0)), INDEX(Mgt_Unit!$B$5:$B$1018, MATCH(C247, Mgt_Unit!$C$5:$C$1018, 0)), "")</f>
        <v>jennifer.moore</v>
      </c>
      <c r="C247" t="s">
        <v>691</v>
      </c>
      <c r="D247" s="45"/>
      <c r="E247" s="9" t="s">
        <v>1583</v>
      </c>
      <c r="F247" s="89">
        <v>43287</v>
      </c>
      <c r="G247" s="9"/>
      <c r="H247" s="9"/>
      <c r="I247" s="9"/>
      <c r="J247" t="s">
        <v>1372</v>
      </c>
      <c r="K247" s="120">
        <v>78</v>
      </c>
      <c r="L247" s="9"/>
      <c r="M247" s="7"/>
    </row>
    <row r="248" spans="1:13" hidden="1" x14ac:dyDescent="0.25">
      <c r="A248" s="4"/>
      <c r="B248" s="28" t="str">
        <f>IF(ISNUMBER(MATCH(C248, Mgt_Unit!$C$5:$C$1018, 0)), INDEX(Mgt_Unit!$B$5:$B$1018, MATCH(C248, Mgt_Unit!$C$5:$C$1018, 0)), "")</f>
        <v>jennifer.moore</v>
      </c>
      <c r="C248" t="s">
        <v>691</v>
      </c>
      <c r="D248" s="45"/>
      <c r="E248" s="9" t="s">
        <v>1583</v>
      </c>
      <c r="F248" s="89">
        <v>43290</v>
      </c>
      <c r="G248" s="9"/>
      <c r="H248" s="9"/>
      <c r="I248" s="9"/>
      <c r="J248" t="s">
        <v>1373</v>
      </c>
      <c r="K248" s="120">
        <v>16</v>
      </c>
      <c r="L248" s="9"/>
      <c r="M248" s="7"/>
    </row>
    <row r="249" spans="1:13" hidden="1" x14ac:dyDescent="0.25">
      <c r="A249" s="4"/>
      <c r="B249" s="28" t="str">
        <f>IF(ISNUMBER(MATCH(C249, Mgt_Unit!$C$5:$C$1018, 0)), INDEX(Mgt_Unit!$B$5:$B$1018, MATCH(C249, Mgt_Unit!$C$5:$C$1018, 0)), "")</f>
        <v>jennifer.moore</v>
      </c>
      <c r="C249" t="s">
        <v>691</v>
      </c>
      <c r="D249" s="45"/>
      <c r="E249" s="9" t="s">
        <v>1583</v>
      </c>
      <c r="F249" s="89">
        <v>43291</v>
      </c>
      <c r="G249" s="9"/>
      <c r="H249" s="9"/>
      <c r="I249" s="9"/>
      <c r="J249" t="s">
        <v>1374</v>
      </c>
      <c r="K249" s="120">
        <v>2.2000000000000002</v>
      </c>
      <c r="L249" s="9"/>
      <c r="M249" s="7"/>
    </row>
    <row r="250" spans="1:13" hidden="1" x14ac:dyDescent="0.25">
      <c r="A250" s="4"/>
      <c r="B250" s="28" t="str">
        <f>IF(ISNUMBER(MATCH(C250, Mgt_Unit!$C$5:$C$1018, 0)), INDEX(Mgt_Unit!$B$5:$B$1018, MATCH(C250, Mgt_Unit!$C$5:$C$1018, 0)), "")</f>
        <v>jennifer.moore</v>
      </c>
      <c r="C250" t="s">
        <v>691</v>
      </c>
      <c r="D250" s="45"/>
      <c r="E250" s="9" t="s">
        <v>1583</v>
      </c>
      <c r="F250" s="89">
        <v>43293</v>
      </c>
      <c r="G250" s="9"/>
      <c r="H250" s="9"/>
      <c r="I250" s="9"/>
      <c r="J250" t="s">
        <v>1361</v>
      </c>
      <c r="K250" s="120">
        <v>2.4</v>
      </c>
      <c r="L250" s="9"/>
      <c r="M250" s="7"/>
    </row>
    <row r="251" spans="1:13" hidden="1" x14ac:dyDescent="0.25">
      <c r="A251" s="4"/>
      <c r="B251" s="28" t="str">
        <f>IF(ISNUMBER(MATCH(C251, Mgt_Unit!$C$5:$C$1018, 0)), INDEX(Mgt_Unit!$B$5:$B$1018, MATCH(C251, Mgt_Unit!$C$5:$C$1018, 0)), "")</f>
        <v>jennifer.moore</v>
      </c>
      <c r="C251" t="s">
        <v>691</v>
      </c>
      <c r="D251" s="45"/>
      <c r="E251" s="9" t="s">
        <v>1583</v>
      </c>
      <c r="F251" s="89">
        <v>43646</v>
      </c>
      <c r="G251" s="9"/>
      <c r="H251" s="9"/>
      <c r="I251" s="9"/>
      <c r="J251" t="s">
        <v>1361</v>
      </c>
      <c r="K251" s="120">
        <v>2.4</v>
      </c>
      <c r="L251" s="9"/>
      <c r="M251" s="7"/>
    </row>
    <row r="252" spans="1:13" hidden="1" x14ac:dyDescent="0.25">
      <c r="A252" s="4"/>
      <c r="B252" s="28" t="str">
        <f>IF(ISNUMBER(MATCH(C252, Mgt_Unit!$C$5:$C$1018, 0)), INDEX(Mgt_Unit!$B$5:$B$1018, MATCH(C252, Mgt_Unit!$C$5:$C$1018, 0)), "")</f>
        <v>jennifer.moore</v>
      </c>
      <c r="C252" t="s">
        <v>691</v>
      </c>
      <c r="D252" s="45"/>
      <c r="E252" s="9" t="s">
        <v>1583</v>
      </c>
      <c r="F252" s="89">
        <v>43799</v>
      </c>
      <c r="G252" s="9"/>
      <c r="H252" s="9"/>
      <c r="I252" s="9"/>
      <c r="J252" t="s">
        <v>1371</v>
      </c>
      <c r="K252" s="120">
        <v>19</v>
      </c>
      <c r="L252" s="9"/>
      <c r="M252" s="7"/>
    </row>
    <row r="253" spans="1:13" hidden="1" x14ac:dyDescent="0.25">
      <c r="A253" s="4"/>
      <c r="B253" s="28" t="str">
        <f>IF(ISNUMBER(MATCH(C253, Mgt_Unit!$C$5:$C$1018, 0)), INDEX(Mgt_Unit!$B$5:$B$1018, MATCH(C253, Mgt_Unit!$C$5:$C$1018, 0)), "")</f>
        <v>jennifer.moore</v>
      </c>
      <c r="C253" t="s">
        <v>692</v>
      </c>
      <c r="D253" s="45"/>
      <c r="E253" s="9" t="s">
        <v>1583</v>
      </c>
      <c r="F253" s="89">
        <v>43118</v>
      </c>
      <c r="G253" s="9"/>
      <c r="H253" s="9"/>
      <c r="I253" s="9"/>
      <c r="J253" t="s">
        <v>1369</v>
      </c>
      <c r="K253" s="120">
        <v>0</v>
      </c>
      <c r="L253" s="9"/>
      <c r="M253" s="7"/>
    </row>
    <row r="254" spans="1:13" hidden="1" x14ac:dyDescent="0.25">
      <c r="A254" s="4"/>
      <c r="B254" s="28" t="str">
        <f>IF(ISNUMBER(MATCH(C254, Mgt_Unit!$C$5:$C$1018, 0)), INDEX(Mgt_Unit!$B$5:$B$1018, MATCH(C254, Mgt_Unit!$C$5:$C$1018, 0)), "")</f>
        <v>jennifer.moore</v>
      </c>
      <c r="C254" t="s">
        <v>692</v>
      </c>
      <c r="D254" s="45"/>
      <c r="E254" s="9" t="s">
        <v>1583</v>
      </c>
      <c r="F254" s="89">
        <v>43244</v>
      </c>
      <c r="G254" s="9"/>
      <c r="H254" s="9"/>
      <c r="I254" s="9"/>
      <c r="J254" t="s">
        <v>1370</v>
      </c>
      <c r="K254" s="120">
        <v>0</v>
      </c>
      <c r="L254" s="9"/>
      <c r="M254" s="7"/>
    </row>
    <row r="255" spans="1:13" hidden="1" x14ac:dyDescent="0.25">
      <c r="A255" s="4"/>
      <c r="B255" s="28" t="str">
        <f>IF(ISNUMBER(MATCH(C255, Mgt_Unit!$C$5:$C$1018, 0)), INDEX(Mgt_Unit!$B$5:$B$1018, MATCH(C255, Mgt_Unit!$C$5:$C$1018, 0)), "")</f>
        <v>jennifer.moore</v>
      </c>
      <c r="C255" t="s">
        <v>692</v>
      </c>
      <c r="D255" s="45"/>
      <c r="E255" s="9" t="s">
        <v>1583</v>
      </c>
      <c r="F255" s="89">
        <v>43293</v>
      </c>
      <c r="G255" s="9"/>
      <c r="H255" s="9"/>
      <c r="I255" s="9"/>
      <c r="J255" t="s">
        <v>1361</v>
      </c>
      <c r="K255" s="120">
        <v>2.4</v>
      </c>
      <c r="L255" s="9"/>
      <c r="M255" s="7"/>
    </row>
    <row r="256" spans="1:13" hidden="1" x14ac:dyDescent="0.25">
      <c r="A256" s="4"/>
      <c r="B256" s="28" t="str">
        <f>IF(ISNUMBER(MATCH(C256, Mgt_Unit!$C$5:$C$1018, 0)), INDEX(Mgt_Unit!$B$5:$B$1018, MATCH(C256, Mgt_Unit!$C$5:$C$1018, 0)), "")</f>
        <v>jennifer.moore</v>
      </c>
      <c r="C256" t="s">
        <v>693</v>
      </c>
      <c r="D256" s="45"/>
      <c r="E256" s="9" t="s">
        <v>1583</v>
      </c>
      <c r="F256" s="89">
        <v>43244</v>
      </c>
      <c r="G256" s="9"/>
      <c r="H256" s="9"/>
      <c r="I256" s="9"/>
      <c r="J256" t="s">
        <v>1370</v>
      </c>
      <c r="K256" s="120">
        <v>0</v>
      </c>
      <c r="L256" s="9"/>
      <c r="M256" s="7"/>
    </row>
    <row r="257" spans="1:13" hidden="1" x14ac:dyDescent="0.25">
      <c r="A257" s="4"/>
      <c r="B257" s="28" t="str">
        <f>IF(ISNUMBER(MATCH(C257, Mgt_Unit!$C$5:$C$1018, 0)), INDEX(Mgt_Unit!$B$5:$B$1018, MATCH(C257, Mgt_Unit!$C$5:$C$1018, 0)), "")</f>
        <v>jennifer.moore</v>
      </c>
      <c r="C257" t="s">
        <v>693</v>
      </c>
      <c r="D257" s="45"/>
      <c r="E257" s="9" t="s">
        <v>1583</v>
      </c>
      <c r="F257" s="89">
        <v>43293</v>
      </c>
      <c r="G257" s="9"/>
      <c r="H257" s="9"/>
      <c r="I257" s="9"/>
      <c r="J257" t="s">
        <v>1361</v>
      </c>
      <c r="K257" s="120">
        <v>2.4</v>
      </c>
      <c r="L257" s="9"/>
      <c r="M257" s="7"/>
    </row>
    <row r="258" spans="1:13" hidden="1" x14ac:dyDescent="0.25">
      <c r="A258" s="4"/>
      <c r="B258" s="28" t="str">
        <f>IF(ISNUMBER(MATCH(C258, Mgt_Unit!$C$5:$C$1018, 0)), INDEX(Mgt_Unit!$B$5:$B$1018, MATCH(C258, Mgt_Unit!$C$5:$C$1018, 0)), "")</f>
        <v>jennifer.moore</v>
      </c>
      <c r="C258" t="s">
        <v>694</v>
      </c>
      <c r="D258" s="45"/>
      <c r="E258" s="9" t="s">
        <v>1583</v>
      </c>
      <c r="F258" s="89">
        <v>43244</v>
      </c>
      <c r="G258" s="9"/>
      <c r="H258" s="9"/>
      <c r="I258" s="9"/>
      <c r="J258" t="s">
        <v>1370</v>
      </c>
      <c r="K258" s="120">
        <v>0</v>
      </c>
      <c r="L258" s="9"/>
      <c r="M258" s="7"/>
    </row>
    <row r="259" spans="1:13" hidden="1" x14ac:dyDescent="0.25">
      <c r="A259" s="4"/>
      <c r="B259" s="28" t="str">
        <f>IF(ISNUMBER(MATCH(C259, Mgt_Unit!$C$5:$C$1018, 0)), INDEX(Mgt_Unit!$B$5:$B$1018, MATCH(C259, Mgt_Unit!$C$5:$C$1018, 0)), "")</f>
        <v>jennifer.moore</v>
      </c>
      <c r="C259" t="s">
        <v>694</v>
      </c>
      <c r="D259" s="45"/>
      <c r="E259" s="9" t="s">
        <v>1583</v>
      </c>
      <c r="F259" s="89">
        <v>43287</v>
      </c>
      <c r="G259" s="9"/>
      <c r="H259" s="9"/>
      <c r="I259" s="9"/>
      <c r="J259" t="s">
        <v>1372</v>
      </c>
      <c r="K259" s="120">
        <v>78</v>
      </c>
      <c r="L259" s="9"/>
      <c r="M259" s="7"/>
    </row>
    <row r="260" spans="1:13" hidden="1" x14ac:dyDescent="0.25">
      <c r="A260" s="4"/>
      <c r="B260" s="28" t="str">
        <f>IF(ISNUMBER(MATCH(C260, Mgt_Unit!$C$5:$C$1018, 0)), INDEX(Mgt_Unit!$B$5:$B$1018, MATCH(C260, Mgt_Unit!$C$5:$C$1018, 0)), "")</f>
        <v>jennifer.moore</v>
      </c>
      <c r="C260" t="s">
        <v>694</v>
      </c>
      <c r="D260" s="45"/>
      <c r="E260" s="9" t="s">
        <v>1583</v>
      </c>
      <c r="F260" s="89">
        <v>43290</v>
      </c>
      <c r="G260" s="9"/>
      <c r="H260" s="9"/>
      <c r="I260" s="9"/>
      <c r="J260" t="s">
        <v>1373</v>
      </c>
      <c r="K260" s="120">
        <v>16</v>
      </c>
      <c r="L260" s="9"/>
      <c r="M260" s="7"/>
    </row>
    <row r="261" spans="1:13" hidden="1" x14ac:dyDescent="0.25">
      <c r="A261" s="4"/>
      <c r="B261" s="28" t="str">
        <f>IF(ISNUMBER(MATCH(C261, Mgt_Unit!$C$5:$C$1018, 0)), INDEX(Mgt_Unit!$B$5:$B$1018, MATCH(C261, Mgt_Unit!$C$5:$C$1018, 0)), "")</f>
        <v>jennifer.moore</v>
      </c>
      <c r="C261" t="s">
        <v>694</v>
      </c>
      <c r="D261" s="45"/>
      <c r="E261" s="9" t="s">
        <v>1583</v>
      </c>
      <c r="F261" s="89">
        <v>43291</v>
      </c>
      <c r="G261" s="9"/>
      <c r="H261" s="9"/>
      <c r="I261" s="9"/>
      <c r="J261" t="s">
        <v>1374</v>
      </c>
      <c r="K261" s="120">
        <v>2.2000000000000002</v>
      </c>
      <c r="L261" s="9"/>
      <c r="M261" s="7"/>
    </row>
    <row r="262" spans="1:13" hidden="1" x14ac:dyDescent="0.25">
      <c r="A262" s="4"/>
      <c r="B262" s="28" t="str">
        <f>IF(ISNUMBER(MATCH(C262, Mgt_Unit!$C$5:$C$1018, 0)), INDEX(Mgt_Unit!$B$5:$B$1018, MATCH(C262, Mgt_Unit!$C$5:$C$1018, 0)), "")</f>
        <v>jennifer.moore</v>
      </c>
      <c r="C262" t="s">
        <v>694</v>
      </c>
      <c r="D262" s="45"/>
      <c r="E262" s="9" t="s">
        <v>1583</v>
      </c>
      <c r="F262" s="89">
        <v>43293</v>
      </c>
      <c r="G262" s="9"/>
      <c r="H262" s="9"/>
      <c r="I262" s="9"/>
      <c r="J262" t="s">
        <v>1361</v>
      </c>
      <c r="K262" s="120">
        <v>2.4</v>
      </c>
      <c r="L262" s="9"/>
      <c r="M262" s="7"/>
    </row>
    <row r="263" spans="1:13" hidden="1" x14ac:dyDescent="0.25">
      <c r="A263" s="4"/>
      <c r="B263" s="28" t="str">
        <f>IF(ISNUMBER(MATCH(C263, Mgt_Unit!$C$5:$C$1018, 0)), INDEX(Mgt_Unit!$B$5:$B$1018, MATCH(C263, Mgt_Unit!$C$5:$C$1018, 0)), "")</f>
        <v>jennifer.moore</v>
      </c>
      <c r="C263" t="s">
        <v>695</v>
      </c>
      <c r="D263" s="45"/>
      <c r="E263" s="9" t="s">
        <v>1583</v>
      </c>
      <c r="F263" s="89">
        <v>43118</v>
      </c>
      <c r="G263" s="9"/>
      <c r="H263" s="9"/>
      <c r="I263" s="9"/>
      <c r="J263" t="s">
        <v>1369</v>
      </c>
      <c r="K263" s="120">
        <v>0</v>
      </c>
      <c r="L263" s="9"/>
      <c r="M263" s="7"/>
    </row>
    <row r="264" spans="1:13" hidden="1" x14ac:dyDescent="0.25">
      <c r="A264" s="4"/>
      <c r="B264" s="28" t="str">
        <f>IF(ISNUMBER(MATCH(C264, Mgt_Unit!$C$5:$C$1018, 0)), INDEX(Mgt_Unit!$B$5:$B$1018, MATCH(C264, Mgt_Unit!$C$5:$C$1018, 0)), "")</f>
        <v>jennifer.moore</v>
      </c>
      <c r="C264" t="s">
        <v>695</v>
      </c>
      <c r="D264" s="45"/>
      <c r="E264" s="9" t="s">
        <v>1583</v>
      </c>
      <c r="F264" s="89">
        <v>43244</v>
      </c>
      <c r="G264" s="9"/>
      <c r="H264" s="9"/>
      <c r="I264" s="9"/>
      <c r="J264" t="s">
        <v>1370</v>
      </c>
      <c r="K264" s="120">
        <v>0</v>
      </c>
      <c r="L264" s="9"/>
      <c r="M264" s="7"/>
    </row>
    <row r="265" spans="1:13" hidden="1" x14ac:dyDescent="0.25">
      <c r="A265" s="4"/>
      <c r="B265" s="28" t="str">
        <f>IF(ISNUMBER(MATCH(C265, Mgt_Unit!$C$5:$C$1018, 0)), INDEX(Mgt_Unit!$B$5:$B$1018, MATCH(C265, Mgt_Unit!$C$5:$C$1018, 0)), "")</f>
        <v>jennifer.moore</v>
      </c>
      <c r="C265" t="s">
        <v>695</v>
      </c>
      <c r="D265" s="45"/>
      <c r="E265" s="9" t="s">
        <v>1583</v>
      </c>
      <c r="F265" s="89">
        <v>43293</v>
      </c>
      <c r="G265" s="9"/>
      <c r="H265" s="9"/>
      <c r="I265" s="9"/>
      <c r="J265" t="s">
        <v>1361</v>
      </c>
      <c r="K265" s="120">
        <v>2.4</v>
      </c>
      <c r="L265" s="9"/>
      <c r="M265" s="7"/>
    </row>
    <row r="266" spans="1:13" hidden="1" x14ac:dyDescent="0.25">
      <c r="A266" s="4"/>
      <c r="B266" s="28" t="str">
        <f>IF(ISNUMBER(MATCH(C266, Mgt_Unit!$C$5:$C$1018, 0)), INDEX(Mgt_Unit!$B$5:$B$1018, MATCH(C266, Mgt_Unit!$C$5:$C$1018, 0)), "")</f>
        <v>jennifer.moore</v>
      </c>
      <c r="C266" t="s">
        <v>695</v>
      </c>
      <c r="D266" s="45"/>
      <c r="E266" s="9" t="s">
        <v>1583</v>
      </c>
      <c r="F266" s="89">
        <v>43609</v>
      </c>
      <c r="G266" s="9"/>
      <c r="H266" s="9"/>
      <c r="I266" s="9"/>
      <c r="J266" t="s">
        <v>1370</v>
      </c>
      <c r="K266" s="120">
        <v>0</v>
      </c>
      <c r="L266" s="9"/>
      <c r="M266" s="7"/>
    </row>
    <row r="267" spans="1:13" hidden="1" x14ac:dyDescent="0.25">
      <c r="A267" s="4"/>
      <c r="B267" s="28" t="str">
        <f>IF(ISNUMBER(MATCH(C267, Mgt_Unit!$C$5:$C$1018, 0)), INDEX(Mgt_Unit!$B$5:$B$1018, MATCH(C267, Mgt_Unit!$C$5:$C$1018, 0)), "")</f>
        <v>jennifer.moore</v>
      </c>
      <c r="C267" t="s">
        <v>695</v>
      </c>
      <c r="D267" s="45"/>
      <c r="E267" s="9" t="s">
        <v>1583</v>
      </c>
      <c r="F267" s="89">
        <v>43646</v>
      </c>
      <c r="G267" s="9"/>
      <c r="H267" s="9"/>
      <c r="I267" s="9"/>
      <c r="J267" t="s">
        <v>1361</v>
      </c>
      <c r="K267" s="120">
        <v>2.4</v>
      </c>
      <c r="L267" s="9"/>
      <c r="M267" s="7"/>
    </row>
    <row r="268" spans="1:13" hidden="1" x14ac:dyDescent="0.25">
      <c r="A268" s="4"/>
      <c r="B268" s="28" t="str">
        <f>IF(ISNUMBER(MATCH(C268, Mgt_Unit!$C$5:$C$1018, 0)), INDEX(Mgt_Unit!$B$5:$B$1018, MATCH(C268, Mgt_Unit!$C$5:$C$1018, 0)), "")</f>
        <v>jennifer.moore</v>
      </c>
      <c r="C268" t="s">
        <v>696</v>
      </c>
      <c r="D268" s="45"/>
      <c r="E268" s="9" t="s">
        <v>1583</v>
      </c>
      <c r="F268" s="89">
        <v>43244</v>
      </c>
      <c r="G268" s="9"/>
      <c r="H268" s="9"/>
      <c r="I268" s="9"/>
      <c r="J268" t="s">
        <v>1370</v>
      </c>
      <c r="K268" s="120">
        <v>0</v>
      </c>
      <c r="L268" s="9"/>
      <c r="M268" s="7"/>
    </row>
    <row r="269" spans="1:13" hidden="1" x14ac:dyDescent="0.25">
      <c r="A269" s="4"/>
      <c r="B269" s="28" t="str">
        <f>IF(ISNUMBER(MATCH(C269, Mgt_Unit!$C$5:$C$1018, 0)), INDEX(Mgt_Unit!$B$5:$B$1018, MATCH(C269, Mgt_Unit!$C$5:$C$1018, 0)), "")</f>
        <v>jennifer.moore</v>
      </c>
      <c r="C269" t="s">
        <v>696</v>
      </c>
      <c r="D269" s="45"/>
      <c r="E269" s="9" t="s">
        <v>1583</v>
      </c>
      <c r="F269" s="89">
        <v>43293</v>
      </c>
      <c r="G269" s="9"/>
      <c r="H269" s="9"/>
      <c r="I269" s="9"/>
      <c r="J269" t="s">
        <v>1361</v>
      </c>
      <c r="K269" s="120">
        <v>2.4</v>
      </c>
      <c r="L269" s="9"/>
      <c r="M269" s="7"/>
    </row>
    <row r="270" spans="1:13" hidden="1" x14ac:dyDescent="0.25">
      <c r="A270" s="4"/>
      <c r="B270" s="28" t="str">
        <f>IF(ISNUMBER(MATCH(C270, Mgt_Unit!$C$5:$C$1018, 0)), INDEX(Mgt_Unit!$B$5:$B$1018, MATCH(C270, Mgt_Unit!$C$5:$C$1018, 0)), "")</f>
        <v>jennifer.moore</v>
      </c>
      <c r="C270" t="s">
        <v>696</v>
      </c>
      <c r="D270" s="45"/>
      <c r="E270" s="9" t="s">
        <v>1583</v>
      </c>
      <c r="F270" s="89">
        <v>43609</v>
      </c>
      <c r="G270" s="9"/>
      <c r="H270" s="9"/>
      <c r="I270" s="9"/>
      <c r="J270" t="s">
        <v>1370</v>
      </c>
      <c r="K270" s="120">
        <v>0</v>
      </c>
      <c r="L270" s="9"/>
      <c r="M270" s="7"/>
    </row>
    <row r="271" spans="1:13" hidden="1" x14ac:dyDescent="0.25">
      <c r="A271" s="4"/>
      <c r="B271" s="28" t="str">
        <f>IF(ISNUMBER(MATCH(C271, Mgt_Unit!$C$5:$C$1018, 0)), INDEX(Mgt_Unit!$B$5:$B$1018, MATCH(C271, Mgt_Unit!$C$5:$C$1018, 0)), "")</f>
        <v>jennifer.moore</v>
      </c>
      <c r="C271" t="s">
        <v>696</v>
      </c>
      <c r="D271" s="45"/>
      <c r="E271" s="9" t="s">
        <v>1583</v>
      </c>
      <c r="F271" s="89">
        <v>43646</v>
      </c>
      <c r="G271" s="9"/>
      <c r="H271" s="9"/>
      <c r="I271" s="9"/>
      <c r="J271" t="s">
        <v>1361</v>
      </c>
      <c r="K271" s="120">
        <v>2.4</v>
      </c>
      <c r="L271" s="9"/>
      <c r="M271" s="7"/>
    </row>
    <row r="272" spans="1:13" hidden="1" x14ac:dyDescent="0.25">
      <c r="A272" s="4"/>
      <c r="B272" s="28" t="str">
        <f>IF(ISNUMBER(MATCH(C272, Mgt_Unit!$C$5:$C$1018, 0)), INDEX(Mgt_Unit!$B$5:$B$1018, MATCH(C272, Mgt_Unit!$C$5:$C$1018, 0)), "")</f>
        <v>jennifer.moore</v>
      </c>
      <c r="C272" t="s">
        <v>697</v>
      </c>
      <c r="D272" s="45"/>
      <c r="E272" s="9" t="s">
        <v>1583</v>
      </c>
      <c r="F272" s="89">
        <v>43244</v>
      </c>
      <c r="G272" s="9"/>
      <c r="H272" s="9"/>
      <c r="I272" s="9"/>
      <c r="J272" t="s">
        <v>1370</v>
      </c>
      <c r="K272" s="120">
        <v>0</v>
      </c>
      <c r="L272" s="9"/>
      <c r="M272" s="7"/>
    </row>
    <row r="273" spans="1:13" hidden="1" x14ac:dyDescent="0.25">
      <c r="A273" s="4"/>
      <c r="B273" s="28" t="str">
        <f>IF(ISNUMBER(MATCH(C273, Mgt_Unit!$C$5:$C$1018, 0)), INDEX(Mgt_Unit!$B$5:$B$1018, MATCH(C273, Mgt_Unit!$C$5:$C$1018, 0)), "")</f>
        <v>jennifer.moore</v>
      </c>
      <c r="C273" t="s">
        <v>697</v>
      </c>
      <c r="D273" s="45"/>
      <c r="E273" s="9" t="s">
        <v>1583</v>
      </c>
      <c r="F273" s="89">
        <v>43287</v>
      </c>
      <c r="G273" s="9"/>
      <c r="H273" s="9"/>
      <c r="I273" s="9"/>
      <c r="J273" t="s">
        <v>1372</v>
      </c>
      <c r="K273" s="120">
        <v>78</v>
      </c>
      <c r="L273" s="9"/>
      <c r="M273" s="7"/>
    </row>
    <row r="274" spans="1:13" hidden="1" x14ac:dyDescent="0.25">
      <c r="A274" s="4"/>
      <c r="B274" s="28" t="str">
        <f>IF(ISNUMBER(MATCH(C274, Mgt_Unit!$C$5:$C$1018, 0)), INDEX(Mgt_Unit!$B$5:$B$1018, MATCH(C274, Mgt_Unit!$C$5:$C$1018, 0)), "")</f>
        <v>jennifer.moore</v>
      </c>
      <c r="C274" t="s">
        <v>697</v>
      </c>
      <c r="D274" s="45"/>
      <c r="E274" s="9" t="s">
        <v>1583</v>
      </c>
      <c r="F274" s="89">
        <v>43290</v>
      </c>
      <c r="G274" s="9"/>
      <c r="H274" s="9"/>
      <c r="I274" s="9"/>
      <c r="J274" t="s">
        <v>1373</v>
      </c>
      <c r="K274" s="120">
        <v>16</v>
      </c>
      <c r="L274" s="9"/>
      <c r="M274" s="7"/>
    </row>
    <row r="275" spans="1:13" hidden="1" x14ac:dyDescent="0.25">
      <c r="A275" s="4"/>
      <c r="B275" s="28" t="str">
        <f>IF(ISNUMBER(MATCH(C275, Mgt_Unit!$C$5:$C$1018, 0)), INDEX(Mgt_Unit!$B$5:$B$1018, MATCH(C275, Mgt_Unit!$C$5:$C$1018, 0)), "")</f>
        <v>jennifer.moore</v>
      </c>
      <c r="C275" t="s">
        <v>697</v>
      </c>
      <c r="D275" s="45"/>
      <c r="E275" s="9" t="s">
        <v>1583</v>
      </c>
      <c r="F275" s="89">
        <v>43291</v>
      </c>
      <c r="G275" s="9"/>
      <c r="H275" s="9"/>
      <c r="I275" s="9"/>
      <c r="J275" t="s">
        <v>1374</v>
      </c>
      <c r="K275" s="120">
        <v>2.2000000000000002</v>
      </c>
      <c r="L275" s="9"/>
      <c r="M275" s="7"/>
    </row>
    <row r="276" spans="1:13" hidden="1" x14ac:dyDescent="0.25">
      <c r="A276" s="4"/>
      <c r="B276" s="28" t="str">
        <f>IF(ISNUMBER(MATCH(C276, Mgt_Unit!$C$5:$C$1018, 0)), INDEX(Mgt_Unit!$B$5:$B$1018, MATCH(C276, Mgt_Unit!$C$5:$C$1018, 0)), "")</f>
        <v>jennifer.moore</v>
      </c>
      <c r="C276" t="s">
        <v>697</v>
      </c>
      <c r="D276" s="45"/>
      <c r="E276" s="9" t="s">
        <v>1583</v>
      </c>
      <c r="F276" s="89">
        <v>43293</v>
      </c>
      <c r="G276" s="9"/>
      <c r="H276" s="9"/>
      <c r="I276" s="9"/>
      <c r="J276" t="s">
        <v>1361</v>
      </c>
      <c r="K276" s="120">
        <v>2.4</v>
      </c>
      <c r="L276" s="9"/>
      <c r="M276" s="7"/>
    </row>
    <row r="277" spans="1:13" hidden="1" x14ac:dyDescent="0.25">
      <c r="A277" s="4"/>
      <c r="B277" s="28" t="str">
        <f>IF(ISNUMBER(MATCH(C277, Mgt_Unit!$C$5:$C$1018, 0)), INDEX(Mgt_Unit!$B$5:$B$1018, MATCH(C277, Mgt_Unit!$C$5:$C$1018, 0)), "")</f>
        <v>jennifer.moore</v>
      </c>
      <c r="C277" t="s">
        <v>697</v>
      </c>
      <c r="D277" s="45"/>
      <c r="E277" s="9" t="s">
        <v>1583</v>
      </c>
      <c r="F277" s="89">
        <v>43609</v>
      </c>
      <c r="G277" s="9"/>
      <c r="H277" s="9"/>
      <c r="I277" s="9"/>
      <c r="J277" t="s">
        <v>1370</v>
      </c>
      <c r="K277" s="120">
        <v>0</v>
      </c>
      <c r="L277" s="9"/>
      <c r="M277" s="7"/>
    </row>
    <row r="278" spans="1:13" hidden="1" x14ac:dyDescent="0.25">
      <c r="A278" s="4"/>
      <c r="B278" s="28" t="str">
        <f>IF(ISNUMBER(MATCH(C278, Mgt_Unit!$C$5:$C$1018, 0)), INDEX(Mgt_Unit!$B$5:$B$1018, MATCH(C278, Mgt_Unit!$C$5:$C$1018, 0)), "")</f>
        <v>jennifer.moore</v>
      </c>
      <c r="C278" t="s">
        <v>697</v>
      </c>
      <c r="D278" s="45"/>
      <c r="E278" s="9" t="s">
        <v>1583</v>
      </c>
      <c r="F278" s="89">
        <v>43640</v>
      </c>
      <c r="G278" s="9"/>
      <c r="H278" s="9"/>
      <c r="I278" s="9"/>
      <c r="J278" t="s">
        <v>1372</v>
      </c>
      <c r="K278" s="120">
        <v>78</v>
      </c>
      <c r="L278" s="9"/>
      <c r="M278" s="7"/>
    </row>
    <row r="279" spans="1:13" hidden="1" x14ac:dyDescent="0.25">
      <c r="A279" s="4"/>
      <c r="B279" s="28" t="str">
        <f>IF(ISNUMBER(MATCH(C279, Mgt_Unit!$C$5:$C$1018, 0)), INDEX(Mgt_Unit!$B$5:$B$1018, MATCH(C279, Mgt_Unit!$C$5:$C$1018, 0)), "")</f>
        <v>jennifer.moore</v>
      </c>
      <c r="C279" t="s">
        <v>697</v>
      </c>
      <c r="D279" s="45"/>
      <c r="E279" s="9" t="s">
        <v>1583</v>
      </c>
      <c r="F279" s="89">
        <v>43644</v>
      </c>
      <c r="G279" s="9"/>
      <c r="H279" s="9"/>
      <c r="I279" s="9"/>
      <c r="J279" t="s">
        <v>1373</v>
      </c>
      <c r="K279" s="120">
        <v>16</v>
      </c>
      <c r="L279" s="9"/>
      <c r="M279" s="7"/>
    </row>
    <row r="280" spans="1:13" hidden="1" x14ac:dyDescent="0.25">
      <c r="A280" s="4"/>
      <c r="B280" s="28" t="str">
        <f>IF(ISNUMBER(MATCH(C280, Mgt_Unit!$C$5:$C$1018, 0)), INDEX(Mgt_Unit!$B$5:$B$1018, MATCH(C280, Mgt_Unit!$C$5:$C$1018, 0)), "")</f>
        <v>jennifer.moore</v>
      </c>
      <c r="C280" t="s">
        <v>697</v>
      </c>
      <c r="D280" s="45"/>
      <c r="E280" s="9" t="s">
        <v>1583</v>
      </c>
      <c r="F280" s="89">
        <v>43645</v>
      </c>
      <c r="G280" s="9"/>
      <c r="H280" s="9"/>
      <c r="I280" s="9"/>
      <c r="J280" t="s">
        <v>1374</v>
      </c>
      <c r="K280" s="120">
        <v>2.2000000000000002</v>
      </c>
      <c r="L280" s="9"/>
      <c r="M280" s="7"/>
    </row>
    <row r="281" spans="1:13" hidden="1" x14ac:dyDescent="0.25">
      <c r="A281" s="4"/>
      <c r="B281" s="28" t="str">
        <f>IF(ISNUMBER(MATCH(C281, Mgt_Unit!$C$5:$C$1018, 0)), INDEX(Mgt_Unit!$B$5:$B$1018, MATCH(C281, Mgt_Unit!$C$5:$C$1018, 0)), "")</f>
        <v>jennifer.moore</v>
      </c>
      <c r="C281" t="s">
        <v>697</v>
      </c>
      <c r="D281" s="45"/>
      <c r="E281" s="9" t="s">
        <v>1583</v>
      </c>
      <c r="F281" s="89">
        <v>43646</v>
      </c>
      <c r="G281" s="9"/>
      <c r="H281" s="9"/>
      <c r="I281" s="9"/>
      <c r="J281" t="s">
        <v>1361</v>
      </c>
      <c r="K281" s="120">
        <v>2.4</v>
      </c>
      <c r="L281" s="9"/>
      <c r="M281" s="7"/>
    </row>
    <row r="282" spans="1:13" hidden="1" x14ac:dyDescent="0.25">
      <c r="A282" s="4"/>
      <c r="B282" s="28" t="str">
        <f>IF(ISNUMBER(MATCH(C282, Mgt_Unit!$C$5:$C$1018, 0)), INDEX(Mgt_Unit!$B$5:$B$1018, MATCH(C282, Mgt_Unit!$C$5:$C$1018, 0)), "")</f>
        <v>jennifer.moore</v>
      </c>
      <c r="C282" t="s">
        <v>698</v>
      </c>
      <c r="D282" s="45"/>
      <c r="E282" s="9" t="s">
        <v>1583</v>
      </c>
      <c r="F282" s="89">
        <v>43197</v>
      </c>
      <c r="G282" s="9"/>
      <c r="H282" s="9"/>
      <c r="I282" s="9"/>
      <c r="J282" t="s">
        <v>1356</v>
      </c>
      <c r="K282" s="120">
        <v>33</v>
      </c>
      <c r="L282" s="9"/>
      <c r="M282" s="7"/>
    </row>
    <row r="283" spans="1:13" hidden="1" x14ac:dyDescent="0.25">
      <c r="A283" s="4"/>
      <c r="B283" s="28" t="str">
        <f>IF(ISNUMBER(MATCH(C283, Mgt_Unit!$C$5:$C$1018, 0)), INDEX(Mgt_Unit!$B$5:$B$1018, MATCH(C283, Mgt_Unit!$C$5:$C$1018, 0)), "")</f>
        <v>jennifer.moore</v>
      </c>
      <c r="C283" t="s">
        <v>698</v>
      </c>
      <c r="D283" s="45"/>
      <c r="E283" s="9" t="s">
        <v>1583</v>
      </c>
      <c r="F283" s="89">
        <v>43235</v>
      </c>
      <c r="G283" s="9"/>
      <c r="H283" s="9"/>
      <c r="I283" s="9"/>
      <c r="J283" t="s">
        <v>1361</v>
      </c>
      <c r="K283" s="120">
        <v>2.4</v>
      </c>
      <c r="L283" s="9"/>
      <c r="M283" s="7"/>
    </row>
    <row r="284" spans="1:13" hidden="1" x14ac:dyDescent="0.25">
      <c r="A284" s="4"/>
      <c r="B284" s="28" t="str">
        <f>IF(ISNUMBER(MATCH(C284, Mgt_Unit!$C$5:$C$1018, 0)), INDEX(Mgt_Unit!$B$5:$B$1018, MATCH(C284, Mgt_Unit!$C$5:$C$1018, 0)), "")</f>
        <v>jennifer.moore</v>
      </c>
      <c r="C284" t="s">
        <v>699</v>
      </c>
      <c r="D284" s="45"/>
      <c r="E284" s="9" t="s">
        <v>1583</v>
      </c>
      <c r="F284" s="89">
        <v>43208</v>
      </c>
      <c r="G284" s="9"/>
      <c r="H284" s="9"/>
      <c r="I284" s="9"/>
      <c r="J284" t="s">
        <v>1357</v>
      </c>
      <c r="K284" s="120">
        <v>62</v>
      </c>
      <c r="L284" s="9"/>
      <c r="M284" s="7"/>
    </row>
    <row r="285" spans="1:13" hidden="1" x14ac:dyDescent="0.25">
      <c r="A285" s="4"/>
      <c r="B285" s="28" t="str">
        <f>IF(ISNUMBER(MATCH(C285, Mgt_Unit!$C$5:$C$1018, 0)), INDEX(Mgt_Unit!$B$5:$B$1018, MATCH(C285, Mgt_Unit!$C$5:$C$1018, 0)), "")</f>
        <v>jennifer.moore</v>
      </c>
      <c r="C285" t="s">
        <v>699</v>
      </c>
      <c r="D285" s="45"/>
      <c r="E285" s="9" t="s">
        <v>1583</v>
      </c>
      <c r="F285" s="89">
        <v>43209</v>
      </c>
      <c r="G285" s="9"/>
      <c r="H285" s="9"/>
      <c r="I285" s="9"/>
      <c r="J285" t="s">
        <v>1352</v>
      </c>
      <c r="K285" s="120">
        <v>39</v>
      </c>
      <c r="L285" s="9"/>
      <c r="M285" s="7"/>
    </row>
    <row r="286" spans="1:13" hidden="1" x14ac:dyDescent="0.25">
      <c r="A286" s="4"/>
      <c r="B286" s="28" t="str">
        <f>IF(ISNUMBER(MATCH(C286, Mgt_Unit!$C$5:$C$1018, 0)), INDEX(Mgt_Unit!$B$5:$B$1018, MATCH(C286, Mgt_Unit!$C$5:$C$1018, 0)), "")</f>
        <v>jennifer.moore</v>
      </c>
      <c r="C286" t="s">
        <v>699</v>
      </c>
      <c r="D286" s="45"/>
      <c r="E286" s="9" t="s">
        <v>1583</v>
      </c>
      <c r="F286" s="89">
        <v>43235</v>
      </c>
      <c r="G286" s="9"/>
      <c r="H286" s="9"/>
      <c r="I286" s="9"/>
      <c r="J286" t="s">
        <v>1361</v>
      </c>
      <c r="K286" s="120">
        <v>2.4</v>
      </c>
      <c r="L286" s="9"/>
      <c r="M286" s="7"/>
    </row>
    <row r="287" spans="1:13" hidden="1" x14ac:dyDescent="0.25">
      <c r="A287" s="4"/>
      <c r="B287" s="28" t="str">
        <f>IF(ISNUMBER(MATCH(C287, Mgt_Unit!$C$5:$C$1018, 0)), INDEX(Mgt_Unit!$B$5:$B$1018, MATCH(C287, Mgt_Unit!$C$5:$C$1018, 0)), "")</f>
        <v>jennifer.moore</v>
      </c>
      <c r="C287" t="s">
        <v>700</v>
      </c>
      <c r="D287" s="45"/>
      <c r="E287" s="9" t="s">
        <v>1583</v>
      </c>
      <c r="F287" s="89">
        <v>43197</v>
      </c>
      <c r="G287" s="9"/>
      <c r="H287" s="9"/>
      <c r="I287" s="9"/>
      <c r="J287" t="s">
        <v>1356</v>
      </c>
      <c r="K287" s="120">
        <v>33</v>
      </c>
      <c r="L287" s="9"/>
      <c r="M287" s="7"/>
    </row>
    <row r="288" spans="1:13" hidden="1" x14ac:dyDescent="0.25">
      <c r="A288" s="4"/>
      <c r="B288" s="28" t="str">
        <f>IF(ISNUMBER(MATCH(C288, Mgt_Unit!$C$5:$C$1018, 0)), INDEX(Mgt_Unit!$B$5:$B$1018, MATCH(C288, Mgt_Unit!$C$5:$C$1018, 0)), "")</f>
        <v>jennifer.moore</v>
      </c>
      <c r="C288" t="s">
        <v>700</v>
      </c>
      <c r="D288" s="45"/>
      <c r="E288" s="9" t="s">
        <v>1583</v>
      </c>
      <c r="F288" s="89">
        <v>43208</v>
      </c>
      <c r="G288" s="9"/>
      <c r="H288" s="9"/>
      <c r="I288" s="9"/>
      <c r="J288" t="s">
        <v>1374</v>
      </c>
      <c r="K288" s="120">
        <v>2.2000000000000002</v>
      </c>
      <c r="L288" s="9"/>
      <c r="M288" s="7"/>
    </row>
    <row r="289" spans="1:13" hidden="1" x14ac:dyDescent="0.25">
      <c r="A289" s="4"/>
      <c r="B289" s="28" t="str">
        <f>IF(ISNUMBER(MATCH(C289, Mgt_Unit!$C$5:$C$1018, 0)), INDEX(Mgt_Unit!$B$5:$B$1018, MATCH(C289, Mgt_Unit!$C$5:$C$1018, 0)), "")</f>
        <v>jennifer.moore</v>
      </c>
      <c r="C289" t="s">
        <v>700</v>
      </c>
      <c r="D289" s="45"/>
      <c r="E289" s="9" t="s">
        <v>1583</v>
      </c>
      <c r="F289" s="89">
        <v>43208</v>
      </c>
      <c r="G289" s="9"/>
      <c r="H289" s="9"/>
      <c r="I289" s="9"/>
      <c r="J289" t="s">
        <v>1362</v>
      </c>
      <c r="K289" s="120">
        <v>2.2000000000000002</v>
      </c>
      <c r="L289" s="9"/>
      <c r="M289" s="7"/>
    </row>
    <row r="290" spans="1:13" hidden="1" x14ac:dyDescent="0.25">
      <c r="A290" s="4"/>
      <c r="B290" s="28" t="str">
        <f>IF(ISNUMBER(MATCH(C290, Mgt_Unit!$C$5:$C$1018, 0)), INDEX(Mgt_Unit!$B$5:$B$1018, MATCH(C290, Mgt_Unit!$C$5:$C$1018, 0)), "")</f>
        <v>jennifer.moore</v>
      </c>
      <c r="C290" t="s">
        <v>700</v>
      </c>
      <c r="D290" s="45"/>
      <c r="E290" s="9" t="s">
        <v>1583</v>
      </c>
      <c r="F290" s="89">
        <v>43275</v>
      </c>
      <c r="G290" s="9"/>
      <c r="H290" s="9"/>
      <c r="I290" s="9"/>
      <c r="J290" t="s">
        <v>1361</v>
      </c>
      <c r="K290" s="120">
        <v>2.4</v>
      </c>
      <c r="L290" s="9"/>
      <c r="M290" s="7"/>
    </row>
    <row r="291" spans="1:13" hidden="1" x14ac:dyDescent="0.25">
      <c r="A291" s="4"/>
      <c r="B291" s="28" t="str">
        <f>IF(ISNUMBER(MATCH(C291, Mgt_Unit!$C$5:$C$1018, 0)), INDEX(Mgt_Unit!$B$5:$B$1018, MATCH(C291, Mgt_Unit!$C$5:$C$1018, 0)), "")</f>
        <v>jennifer.moore</v>
      </c>
      <c r="C291" t="s">
        <v>700</v>
      </c>
      <c r="D291" s="45"/>
      <c r="E291" s="9" t="s">
        <v>1583</v>
      </c>
      <c r="F291" s="89">
        <v>43562</v>
      </c>
      <c r="G291" s="9"/>
      <c r="H291" s="9"/>
      <c r="I291" s="9"/>
      <c r="J291" t="s">
        <v>1356</v>
      </c>
      <c r="K291" s="120">
        <v>33</v>
      </c>
      <c r="L291" s="9"/>
      <c r="M291" s="7"/>
    </row>
    <row r="292" spans="1:13" hidden="1" x14ac:dyDescent="0.25">
      <c r="A292" s="4"/>
      <c r="B292" s="28" t="str">
        <f>IF(ISNUMBER(MATCH(C292, Mgt_Unit!$C$5:$C$1018, 0)), INDEX(Mgt_Unit!$B$5:$B$1018, MATCH(C292, Mgt_Unit!$C$5:$C$1018, 0)), "")</f>
        <v>jennifer.moore</v>
      </c>
      <c r="C292" t="s">
        <v>700</v>
      </c>
      <c r="D292" s="45"/>
      <c r="E292" s="9" t="s">
        <v>1583</v>
      </c>
      <c r="F292" s="89">
        <v>43600</v>
      </c>
      <c r="G292" s="9"/>
      <c r="H292" s="9"/>
      <c r="I292" s="9"/>
      <c r="J292" t="s">
        <v>1361</v>
      </c>
      <c r="K292" s="120">
        <v>2.4</v>
      </c>
      <c r="L292" s="9"/>
      <c r="M292" s="7"/>
    </row>
    <row r="293" spans="1:13" hidden="1" x14ac:dyDescent="0.25">
      <c r="A293" s="4"/>
      <c r="B293" s="28" t="str">
        <f>IF(ISNUMBER(MATCH(C293, Mgt_Unit!$C$5:$C$1018, 0)), INDEX(Mgt_Unit!$B$5:$B$1018, MATCH(C293, Mgt_Unit!$C$5:$C$1018, 0)), "")</f>
        <v>jennifer.moore</v>
      </c>
      <c r="C293" t="s">
        <v>701</v>
      </c>
      <c r="D293" s="45"/>
      <c r="E293" s="9" t="s">
        <v>1583</v>
      </c>
      <c r="F293" s="89">
        <v>43208</v>
      </c>
      <c r="G293" s="9"/>
      <c r="H293" s="9"/>
      <c r="I293" s="9"/>
      <c r="J293" t="s">
        <v>1374</v>
      </c>
      <c r="K293" s="120">
        <v>2.2000000000000002</v>
      </c>
      <c r="L293" s="9"/>
      <c r="M293" s="7"/>
    </row>
    <row r="294" spans="1:13" hidden="1" x14ac:dyDescent="0.25">
      <c r="A294" s="4"/>
      <c r="B294" s="28" t="str">
        <f>IF(ISNUMBER(MATCH(C294, Mgt_Unit!$C$5:$C$1018, 0)), INDEX(Mgt_Unit!$B$5:$B$1018, MATCH(C294, Mgt_Unit!$C$5:$C$1018, 0)), "")</f>
        <v>jennifer.moore</v>
      </c>
      <c r="C294" t="s">
        <v>701</v>
      </c>
      <c r="D294" s="45"/>
      <c r="E294" s="9" t="s">
        <v>1583</v>
      </c>
      <c r="F294" s="89">
        <v>43208</v>
      </c>
      <c r="G294" s="9"/>
      <c r="H294" s="9"/>
      <c r="I294" s="9"/>
      <c r="J294" t="s">
        <v>1362</v>
      </c>
      <c r="K294" s="120">
        <v>2.2000000000000002</v>
      </c>
      <c r="L294" s="9"/>
      <c r="M294" s="7"/>
    </row>
    <row r="295" spans="1:13" hidden="1" x14ac:dyDescent="0.25">
      <c r="A295" s="4"/>
      <c r="B295" s="28" t="str">
        <f>IF(ISNUMBER(MATCH(C295, Mgt_Unit!$C$5:$C$1018, 0)), INDEX(Mgt_Unit!$B$5:$B$1018, MATCH(C295, Mgt_Unit!$C$5:$C$1018, 0)), "")</f>
        <v>jennifer.moore</v>
      </c>
      <c r="C295" t="s">
        <v>701</v>
      </c>
      <c r="D295" s="45"/>
      <c r="E295" s="9" t="s">
        <v>1583</v>
      </c>
      <c r="F295" s="89">
        <v>43235</v>
      </c>
      <c r="G295" s="9"/>
      <c r="H295" s="9"/>
      <c r="I295" s="9"/>
      <c r="J295" t="s">
        <v>1361</v>
      </c>
      <c r="K295" s="120">
        <v>2.4</v>
      </c>
      <c r="L295" s="9"/>
      <c r="M295" s="7"/>
    </row>
    <row r="296" spans="1:13" hidden="1" x14ac:dyDescent="0.25">
      <c r="A296" s="4"/>
      <c r="B296" s="28" t="str">
        <f>IF(ISNUMBER(MATCH(C296, Mgt_Unit!$C$5:$C$1018, 0)), INDEX(Mgt_Unit!$B$5:$B$1018, MATCH(C296, Mgt_Unit!$C$5:$C$1018, 0)), "")</f>
        <v>jennifer.moore</v>
      </c>
      <c r="C296" t="s">
        <v>701</v>
      </c>
      <c r="D296" s="45"/>
      <c r="E296" s="9" t="s">
        <v>1583</v>
      </c>
      <c r="F296" s="89">
        <v>43562</v>
      </c>
      <c r="G296" s="9"/>
      <c r="H296" s="9"/>
      <c r="I296" s="9"/>
      <c r="J296" t="s">
        <v>1356</v>
      </c>
      <c r="K296" s="120">
        <v>33</v>
      </c>
      <c r="L296" s="9"/>
      <c r="M296" s="7"/>
    </row>
    <row r="297" spans="1:13" hidden="1" x14ac:dyDescent="0.25">
      <c r="A297" s="4"/>
      <c r="B297" s="28" t="str">
        <f>IF(ISNUMBER(MATCH(C297, Mgt_Unit!$C$5:$C$1018, 0)), INDEX(Mgt_Unit!$B$5:$B$1018, MATCH(C297, Mgt_Unit!$C$5:$C$1018, 0)), "")</f>
        <v>jennifer.moore</v>
      </c>
      <c r="C297" t="s">
        <v>701</v>
      </c>
      <c r="D297" s="45"/>
      <c r="E297" s="9" t="s">
        <v>1583</v>
      </c>
      <c r="F297" s="89">
        <v>43573</v>
      </c>
      <c r="G297" s="9"/>
      <c r="H297" s="9"/>
      <c r="I297" s="9"/>
      <c r="J297" t="s">
        <v>1374</v>
      </c>
      <c r="K297" s="120">
        <v>2.2000000000000002</v>
      </c>
      <c r="L297" s="9"/>
      <c r="M297" s="7"/>
    </row>
    <row r="298" spans="1:13" hidden="1" x14ac:dyDescent="0.25">
      <c r="A298" s="4"/>
      <c r="B298" s="28" t="str">
        <f>IF(ISNUMBER(MATCH(C298, Mgt_Unit!$C$5:$C$1018, 0)), INDEX(Mgt_Unit!$B$5:$B$1018, MATCH(C298, Mgt_Unit!$C$5:$C$1018, 0)), "")</f>
        <v>jennifer.moore</v>
      </c>
      <c r="C298" t="s">
        <v>701</v>
      </c>
      <c r="D298" s="45"/>
      <c r="E298" s="9" t="s">
        <v>1583</v>
      </c>
      <c r="F298" s="89">
        <v>43573</v>
      </c>
      <c r="G298" s="9"/>
      <c r="H298" s="9"/>
      <c r="I298" s="9"/>
      <c r="J298" t="s">
        <v>1362</v>
      </c>
      <c r="K298" s="120">
        <v>2.2000000000000002</v>
      </c>
      <c r="L298" s="9"/>
      <c r="M298" s="7"/>
    </row>
    <row r="299" spans="1:13" hidden="1" x14ac:dyDescent="0.25">
      <c r="A299" s="4"/>
      <c r="B299" s="28" t="str">
        <f>IF(ISNUMBER(MATCH(C299, Mgt_Unit!$C$5:$C$1018, 0)), INDEX(Mgt_Unit!$B$5:$B$1018, MATCH(C299, Mgt_Unit!$C$5:$C$1018, 0)), "")</f>
        <v>jennifer.moore</v>
      </c>
      <c r="C299" t="s">
        <v>701</v>
      </c>
      <c r="D299" s="45"/>
      <c r="E299" s="9" t="s">
        <v>1583</v>
      </c>
      <c r="F299" s="89">
        <v>43640</v>
      </c>
      <c r="G299" s="9"/>
      <c r="H299" s="9"/>
      <c r="I299" s="9"/>
      <c r="J299" t="s">
        <v>1361</v>
      </c>
      <c r="K299" s="120">
        <v>2.4</v>
      </c>
      <c r="L299" s="9"/>
      <c r="M299" s="7"/>
    </row>
    <row r="300" spans="1:13" hidden="1" x14ac:dyDescent="0.25">
      <c r="A300" s="4"/>
      <c r="B300" s="28" t="str">
        <f>IF(ISNUMBER(MATCH(C300, Mgt_Unit!$C$5:$C$1018, 0)), INDEX(Mgt_Unit!$B$5:$B$1018, MATCH(C300, Mgt_Unit!$C$5:$C$1018, 0)), "")</f>
        <v>jennifer.moore</v>
      </c>
      <c r="C300" t="s">
        <v>702</v>
      </c>
      <c r="D300" s="45"/>
      <c r="E300" s="9" t="s">
        <v>1583</v>
      </c>
      <c r="F300" s="89">
        <v>42443</v>
      </c>
      <c r="G300" s="9"/>
      <c r="H300" s="9"/>
      <c r="I300" s="9"/>
      <c r="J300" t="s">
        <v>1356</v>
      </c>
      <c r="K300" s="120">
        <v>33</v>
      </c>
      <c r="L300" s="9"/>
      <c r="M300" s="7"/>
    </row>
    <row r="301" spans="1:13" hidden="1" x14ac:dyDescent="0.25">
      <c r="A301" s="4"/>
      <c r="B301" s="28" t="str">
        <f>IF(ISNUMBER(MATCH(C301, Mgt_Unit!$C$5:$C$1018, 0)), INDEX(Mgt_Unit!$B$5:$B$1018, MATCH(C301, Mgt_Unit!$C$5:$C$1018, 0)), "")</f>
        <v>jennifer.moore</v>
      </c>
      <c r="C301" t="s">
        <v>702</v>
      </c>
      <c r="D301" s="45"/>
      <c r="E301" s="9" t="s">
        <v>1583</v>
      </c>
      <c r="F301" s="89">
        <v>42563</v>
      </c>
      <c r="G301" s="9"/>
      <c r="H301" s="9"/>
      <c r="I301" s="9"/>
      <c r="J301" t="s">
        <v>1359</v>
      </c>
      <c r="K301" s="120">
        <v>6.3</v>
      </c>
      <c r="L301" s="9"/>
      <c r="M301" s="7"/>
    </row>
    <row r="302" spans="1:13" hidden="1" x14ac:dyDescent="0.25">
      <c r="A302" s="4"/>
      <c r="B302" s="28" t="str">
        <f>IF(ISNUMBER(MATCH(C302, Mgt_Unit!$C$5:$C$1018, 0)), INDEX(Mgt_Unit!$B$5:$B$1018, MATCH(C302, Mgt_Unit!$C$5:$C$1018, 0)), "")</f>
        <v>jennifer.moore</v>
      </c>
      <c r="C302" t="s">
        <v>702</v>
      </c>
      <c r="D302" s="45"/>
      <c r="E302" s="9" t="s">
        <v>1583</v>
      </c>
      <c r="F302" s="89">
        <v>42832</v>
      </c>
      <c r="G302" s="9"/>
      <c r="H302" s="9"/>
      <c r="I302" s="9"/>
      <c r="J302" t="s">
        <v>1356</v>
      </c>
      <c r="K302" s="120">
        <v>33</v>
      </c>
      <c r="L302" s="9"/>
      <c r="M302" s="7"/>
    </row>
    <row r="303" spans="1:13" hidden="1" x14ac:dyDescent="0.25">
      <c r="A303" s="4"/>
      <c r="B303" s="28" t="str">
        <f>IF(ISNUMBER(MATCH(C303, Mgt_Unit!$C$5:$C$1018, 0)), INDEX(Mgt_Unit!$B$5:$B$1018, MATCH(C303, Mgt_Unit!$C$5:$C$1018, 0)), "")</f>
        <v>jennifer.moore</v>
      </c>
      <c r="C303" t="s">
        <v>702</v>
      </c>
      <c r="D303" s="45"/>
      <c r="E303" s="9" t="s">
        <v>1583</v>
      </c>
      <c r="F303" s="89">
        <v>42843</v>
      </c>
      <c r="G303" s="9"/>
      <c r="H303" s="9"/>
      <c r="I303" s="9"/>
      <c r="J303" t="s">
        <v>1374</v>
      </c>
      <c r="K303" s="120">
        <v>2.2000000000000002</v>
      </c>
      <c r="L303" s="9"/>
      <c r="M303" s="7"/>
    </row>
    <row r="304" spans="1:13" hidden="1" x14ac:dyDescent="0.25">
      <c r="A304" s="4"/>
      <c r="B304" s="28" t="str">
        <f>IF(ISNUMBER(MATCH(C304, Mgt_Unit!$C$5:$C$1018, 0)), INDEX(Mgt_Unit!$B$5:$B$1018, MATCH(C304, Mgt_Unit!$C$5:$C$1018, 0)), "")</f>
        <v>jennifer.moore</v>
      </c>
      <c r="C304" t="s">
        <v>702</v>
      </c>
      <c r="D304" s="45"/>
      <c r="E304" s="9" t="s">
        <v>1583</v>
      </c>
      <c r="F304" s="89">
        <v>42843</v>
      </c>
      <c r="G304" s="9"/>
      <c r="H304" s="9"/>
      <c r="I304" s="9"/>
      <c r="J304" t="s">
        <v>1362</v>
      </c>
      <c r="K304" s="120">
        <v>2.2000000000000002</v>
      </c>
      <c r="L304" s="9"/>
      <c r="M304" s="7"/>
    </row>
    <row r="305" spans="1:13" hidden="1" x14ac:dyDescent="0.25">
      <c r="A305" s="4"/>
      <c r="B305" s="28" t="str">
        <f>IF(ISNUMBER(MATCH(C305, Mgt_Unit!$C$5:$C$1018, 0)), INDEX(Mgt_Unit!$B$5:$B$1018, MATCH(C305, Mgt_Unit!$C$5:$C$1018, 0)), "")</f>
        <v>jennifer.moore</v>
      </c>
      <c r="C305" t="s">
        <v>702</v>
      </c>
      <c r="D305" s="45"/>
      <c r="E305" s="9" t="s">
        <v>1583</v>
      </c>
      <c r="F305" s="89">
        <v>42910</v>
      </c>
      <c r="G305" s="9"/>
      <c r="H305" s="9"/>
      <c r="I305" s="9"/>
      <c r="J305" t="s">
        <v>1361</v>
      </c>
      <c r="K305" s="120">
        <v>2.4</v>
      </c>
      <c r="L305" s="9"/>
      <c r="M305" s="7"/>
    </row>
    <row r="306" spans="1:13" hidden="1" x14ac:dyDescent="0.25">
      <c r="A306" s="4"/>
      <c r="B306" s="28" t="str">
        <f>IF(ISNUMBER(MATCH(C306, Mgt_Unit!$C$5:$C$1018, 0)), INDEX(Mgt_Unit!$B$5:$B$1018, MATCH(C306, Mgt_Unit!$C$5:$C$1018, 0)), "")</f>
        <v>jennifer.moore</v>
      </c>
      <c r="C306" t="s">
        <v>702</v>
      </c>
      <c r="D306" s="45"/>
      <c r="E306" s="9" t="s">
        <v>1583</v>
      </c>
      <c r="F306" s="89">
        <v>43197</v>
      </c>
      <c r="G306" s="9"/>
      <c r="H306" s="9"/>
      <c r="I306" s="9"/>
      <c r="J306" t="s">
        <v>1356</v>
      </c>
      <c r="K306" s="120">
        <v>33</v>
      </c>
      <c r="L306" s="9"/>
      <c r="M306" s="7"/>
    </row>
    <row r="307" spans="1:13" hidden="1" x14ac:dyDescent="0.25">
      <c r="A307" s="4"/>
      <c r="B307" s="28" t="str">
        <f>IF(ISNUMBER(MATCH(C307, Mgt_Unit!$C$5:$C$1018, 0)), INDEX(Mgt_Unit!$B$5:$B$1018, MATCH(C307, Mgt_Unit!$C$5:$C$1018, 0)), "")</f>
        <v>jennifer.moore</v>
      </c>
      <c r="C307" t="s">
        <v>702</v>
      </c>
      <c r="D307" s="45"/>
      <c r="E307" s="9" t="s">
        <v>1583</v>
      </c>
      <c r="F307" s="89">
        <v>43235</v>
      </c>
      <c r="G307" s="9"/>
      <c r="H307" s="9"/>
      <c r="I307" s="9"/>
      <c r="J307" t="s">
        <v>1361</v>
      </c>
      <c r="K307" s="120">
        <v>2.4</v>
      </c>
      <c r="L307" s="9"/>
      <c r="M307" s="7"/>
    </row>
    <row r="308" spans="1:13" hidden="1" x14ac:dyDescent="0.25">
      <c r="A308" s="4"/>
      <c r="B308" s="28" t="str">
        <f>IF(ISNUMBER(MATCH(C308, Mgt_Unit!$C$5:$C$1018, 0)), INDEX(Mgt_Unit!$B$5:$B$1018, MATCH(C308, Mgt_Unit!$C$5:$C$1018, 0)), "")</f>
        <v>jennifer.moore</v>
      </c>
      <c r="C308" t="s">
        <v>703</v>
      </c>
      <c r="D308" s="45"/>
      <c r="E308" s="9" t="s">
        <v>1583</v>
      </c>
      <c r="F308" s="89">
        <v>43256</v>
      </c>
      <c r="G308" s="9"/>
      <c r="H308" s="9"/>
      <c r="I308" s="9"/>
      <c r="J308" t="s">
        <v>1375</v>
      </c>
      <c r="K308" s="120">
        <v>39</v>
      </c>
      <c r="L308" s="9"/>
      <c r="M308" s="7"/>
    </row>
    <row r="309" spans="1:13" hidden="1" x14ac:dyDescent="0.25">
      <c r="A309" s="4"/>
      <c r="B309" s="28" t="str">
        <f>IF(ISNUMBER(MATCH(C309, Mgt_Unit!$C$5:$C$1018, 0)), INDEX(Mgt_Unit!$B$5:$B$1018, MATCH(C309, Mgt_Unit!$C$5:$C$1018, 0)), "")</f>
        <v>jennifer.moore</v>
      </c>
      <c r="C309" t="s">
        <v>703</v>
      </c>
      <c r="D309" s="45"/>
      <c r="E309" s="9" t="s">
        <v>1583</v>
      </c>
      <c r="F309" s="89">
        <v>43263</v>
      </c>
      <c r="G309" s="9"/>
      <c r="H309" s="9"/>
      <c r="I309" s="9"/>
      <c r="J309" t="s">
        <v>1376</v>
      </c>
      <c r="K309" s="120">
        <v>62</v>
      </c>
      <c r="L309" s="9"/>
      <c r="M309" s="7"/>
    </row>
    <row r="310" spans="1:13" hidden="1" x14ac:dyDescent="0.25">
      <c r="A310" s="4"/>
      <c r="B310" s="28" t="str">
        <f>IF(ISNUMBER(MATCH(C310, Mgt_Unit!$C$5:$C$1018, 0)), INDEX(Mgt_Unit!$B$5:$B$1018, MATCH(C310, Mgt_Unit!$C$5:$C$1018, 0)), "")</f>
        <v>jennifer.moore</v>
      </c>
      <c r="C310" t="s">
        <v>703</v>
      </c>
      <c r="D310" s="45"/>
      <c r="E310" s="9" t="s">
        <v>1583</v>
      </c>
      <c r="F310" s="89">
        <v>43264</v>
      </c>
      <c r="G310" s="9"/>
      <c r="H310" s="9"/>
      <c r="I310" s="9"/>
      <c r="J310" t="s">
        <v>1352</v>
      </c>
      <c r="K310" s="120">
        <v>39</v>
      </c>
      <c r="L310" s="9"/>
      <c r="M310" s="7"/>
    </row>
    <row r="311" spans="1:13" hidden="1" x14ac:dyDescent="0.25">
      <c r="A311" s="4"/>
      <c r="B311" s="28" t="str">
        <f>IF(ISNUMBER(MATCH(C311, Mgt_Unit!$C$5:$C$1018, 0)), INDEX(Mgt_Unit!$B$5:$B$1018, MATCH(C311, Mgt_Unit!$C$5:$C$1018, 0)), "")</f>
        <v>jennifer.moore</v>
      </c>
      <c r="C311" t="s">
        <v>703</v>
      </c>
      <c r="D311" s="45"/>
      <c r="E311" s="9" t="s">
        <v>1583</v>
      </c>
      <c r="F311" s="89">
        <v>43265</v>
      </c>
      <c r="G311" s="9"/>
      <c r="H311" s="9"/>
      <c r="I311" s="9"/>
      <c r="J311" t="s">
        <v>1374</v>
      </c>
      <c r="K311" s="120">
        <v>2.2000000000000002</v>
      </c>
      <c r="L311" s="9"/>
      <c r="M311" s="7"/>
    </row>
    <row r="312" spans="1:13" hidden="1" x14ac:dyDescent="0.25">
      <c r="A312" s="4"/>
      <c r="B312" s="28" t="str">
        <f>IF(ISNUMBER(MATCH(C312, Mgt_Unit!$C$5:$C$1018, 0)), INDEX(Mgt_Unit!$B$5:$B$1018, MATCH(C312, Mgt_Unit!$C$5:$C$1018, 0)), "")</f>
        <v>jennifer.moore</v>
      </c>
      <c r="C312" t="s">
        <v>703</v>
      </c>
      <c r="D312" s="45"/>
      <c r="E312" s="9" t="s">
        <v>1583</v>
      </c>
      <c r="F312" s="89">
        <v>43280</v>
      </c>
      <c r="G312" s="9"/>
      <c r="H312" s="9"/>
      <c r="I312" s="9"/>
      <c r="J312" t="s">
        <v>1361</v>
      </c>
      <c r="K312" s="120">
        <v>2.4</v>
      </c>
      <c r="L312" s="9"/>
      <c r="M312" s="7"/>
    </row>
    <row r="313" spans="1:13" hidden="1" x14ac:dyDescent="0.25">
      <c r="A313" s="4"/>
      <c r="B313" s="28" t="str">
        <f>IF(ISNUMBER(MATCH(C313, Mgt_Unit!$C$5:$C$1018, 0)), INDEX(Mgt_Unit!$B$5:$B$1018, MATCH(C313, Mgt_Unit!$C$5:$C$1018, 0)), "")</f>
        <v>jennifer.moore</v>
      </c>
      <c r="C313" t="s">
        <v>703</v>
      </c>
      <c r="D313" s="45"/>
      <c r="E313" s="9" t="s">
        <v>1583</v>
      </c>
      <c r="F313" s="89">
        <v>43321</v>
      </c>
      <c r="G313" s="9"/>
      <c r="H313" s="9"/>
      <c r="I313" s="9"/>
      <c r="J313" t="s">
        <v>1377</v>
      </c>
      <c r="K313" s="120">
        <v>3.3</v>
      </c>
      <c r="L313" s="9"/>
      <c r="M313" s="7"/>
    </row>
    <row r="314" spans="1:13" hidden="1" x14ac:dyDescent="0.25">
      <c r="A314" s="4"/>
      <c r="B314" s="28" t="str">
        <f>IF(ISNUMBER(MATCH(C314, Mgt_Unit!$C$5:$C$1018, 0)), INDEX(Mgt_Unit!$B$5:$B$1018, MATCH(C314, Mgt_Unit!$C$5:$C$1018, 0)), "")</f>
        <v>jennifer.moore</v>
      </c>
      <c r="C314" t="s">
        <v>704</v>
      </c>
      <c r="D314" s="45"/>
      <c r="E314" s="9" t="s">
        <v>1583</v>
      </c>
      <c r="F314" s="89">
        <v>43215</v>
      </c>
      <c r="G314" s="9"/>
      <c r="H314" s="9"/>
      <c r="I314" s="9"/>
      <c r="J314" t="s">
        <v>1378</v>
      </c>
      <c r="K314" s="120">
        <v>0</v>
      </c>
      <c r="L314" s="9"/>
      <c r="M314" s="7"/>
    </row>
    <row r="315" spans="1:13" hidden="1" x14ac:dyDescent="0.25">
      <c r="A315" s="4"/>
      <c r="B315" s="28" t="str">
        <f>IF(ISNUMBER(MATCH(C315, Mgt_Unit!$C$5:$C$1018, 0)), INDEX(Mgt_Unit!$B$5:$B$1018, MATCH(C315, Mgt_Unit!$C$5:$C$1018, 0)), "")</f>
        <v>jennifer.moore</v>
      </c>
      <c r="C315" t="s">
        <v>704</v>
      </c>
      <c r="D315" s="45"/>
      <c r="E315" s="9" t="s">
        <v>1583</v>
      </c>
      <c r="F315" s="89">
        <v>43256</v>
      </c>
      <c r="G315" s="9"/>
      <c r="H315" s="9"/>
      <c r="I315" s="9"/>
      <c r="J315" t="s">
        <v>1352</v>
      </c>
      <c r="K315" s="120">
        <v>39</v>
      </c>
      <c r="L315" s="9"/>
      <c r="M315" s="7"/>
    </row>
    <row r="316" spans="1:13" hidden="1" x14ac:dyDescent="0.25">
      <c r="A316" s="4"/>
      <c r="B316" s="28" t="str">
        <f>IF(ISNUMBER(MATCH(C316, Mgt_Unit!$C$5:$C$1018, 0)), INDEX(Mgt_Unit!$B$5:$B$1018, MATCH(C316, Mgt_Unit!$C$5:$C$1018, 0)), "")</f>
        <v>jennifer.moore</v>
      </c>
      <c r="C316" t="s">
        <v>704</v>
      </c>
      <c r="D316" s="45"/>
      <c r="E316" s="9" t="s">
        <v>1583</v>
      </c>
      <c r="F316" s="89">
        <v>43263</v>
      </c>
      <c r="G316" s="9"/>
      <c r="H316" s="9"/>
      <c r="I316" s="9"/>
      <c r="J316" t="s">
        <v>1376</v>
      </c>
      <c r="K316" s="120">
        <v>62</v>
      </c>
      <c r="L316" s="9"/>
      <c r="M316" s="7"/>
    </row>
    <row r="317" spans="1:13" hidden="1" x14ac:dyDescent="0.25">
      <c r="A317" s="4"/>
      <c r="B317" s="28" t="str">
        <f>IF(ISNUMBER(MATCH(C317, Mgt_Unit!$C$5:$C$1018, 0)), INDEX(Mgt_Unit!$B$5:$B$1018, MATCH(C317, Mgt_Unit!$C$5:$C$1018, 0)), "")</f>
        <v>jennifer.moore</v>
      </c>
      <c r="C317" t="s">
        <v>704</v>
      </c>
      <c r="D317" s="45"/>
      <c r="E317" s="9" t="s">
        <v>1583</v>
      </c>
      <c r="F317" s="89">
        <v>43264</v>
      </c>
      <c r="G317" s="9"/>
      <c r="H317" s="9"/>
      <c r="I317" s="9"/>
      <c r="J317" t="s">
        <v>1352</v>
      </c>
      <c r="K317" s="120">
        <v>39</v>
      </c>
      <c r="L317" s="9"/>
      <c r="M317" s="7"/>
    </row>
    <row r="318" spans="1:13" hidden="1" x14ac:dyDescent="0.25">
      <c r="A318" s="4"/>
      <c r="B318" s="28" t="str">
        <f>IF(ISNUMBER(MATCH(C318, Mgt_Unit!$C$5:$C$1018, 0)), INDEX(Mgt_Unit!$B$5:$B$1018, MATCH(C318, Mgt_Unit!$C$5:$C$1018, 0)), "")</f>
        <v>jennifer.moore</v>
      </c>
      <c r="C318" t="s">
        <v>704</v>
      </c>
      <c r="D318" s="45"/>
      <c r="E318" s="9" t="s">
        <v>1583</v>
      </c>
      <c r="F318" s="89">
        <v>43265</v>
      </c>
      <c r="G318" s="9"/>
      <c r="H318" s="9"/>
      <c r="I318" s="9"/>
      <c r="J318" t="s">
        <v>1374</v>
      </c>
      <c r="K318" s="120">
        <v>2.2000000000000002</v>
      </c>
      <c r="L318" s="9"/>
      <c r="M318" s="7"/>
    </row>
    <row r="319" spans="1:13" hidden="1" x14ac:dyDescent="0.25">
      <c r="A319" s="4"/>
      <c r="B319" s="28" t="str">
        <f>IF(ISNUMBER(MATCH(C319, Mgt_Unit!$C$5:$C$1018, 0)), INDEX(Mgt_Unit!$B$5:$B$1018, MATCH(C319, Mgt_Unit!$C$5:$C$1018, 0)), "")</f>
        <v>jennifer.moore</v>
      </c>
      <c r="C319" t="s">
        <v>704</v>
      </c>
      <c r="D319" s="45"/>
      <c r="E319" s="9" t="s">
        <v>1583</v>
      </c>
      <c r="F319" s="89">
        <v>43280</v>
      </c>
      <c r="G319" s="9"/>
      <c r="H319" s="9"/>
      <c r="I319" s="9"/>
      <c r="J319" t="s">
        <v>1361</v>
      </c>
      <c r="K319" s="120">
        <v>2.4</v>
      </c>
      <c r="L319" s="9"/>
      <c r="M319" s="7"/>
    </row>
    <row r="320" spans="1:13" hidden="1" x14ac:dyDescent="0.25">
      <c r="A320" s="4"/>
      <c r="B320" s="28" t="str">
        <f>IF(ISNUMBER(MATCH(C320, Mgt_Unit!$C$5:$C$1018, 0)), INDEX(Mgt_Unit!$B$5:$B$1018, MATCH(C320, Mgt_Unit!$C$5:$C$1018, 0)), "")</f>
        <v>jennifer.moore</v>
      </c>
      <c r="C320" t="s">
        <v>704</v>
      </c>
      <c r="D320" s="45"/>
      <c r="E320" s="9" t="s">
        <v>1583</v>
      </c>
      <c r="F320" s="89">
        <v>43321</v>
      </c>
      <c r="G320" s="9"/>
      <c r="H320" s="9"/>
      <c r="I320" s="9"/>
      <c r="J320" t="s">
        <v>1377</v>
      </c>
      <c r="K320" s="120">
        <v>3.3</v>
      </c>
      <c r="L320" s="9"/>
      <c r="M320" s="7"/>
    </row>
    <row r="321" spans="1:13" hidden="1" x14ac:dyDescent="0.25">
      <c r="A321" s="4"/>
      <c r="B321" s="28" t="str">
        <f>IF(ISNUMBER(MATCH(C321, Mgt_Unit!$C$5:$C$1018, 0)), INDEX(Mgt_Unit!$B$5:$B$1018, MATCH(C321, Mgt_Unit!$C$5:$C$1018, 0)), "")</f>
        <v>jennifer.moore</v>
      </c>
      <c r="C321" t="s">
        <v>705</v>
      </c>
      <c r="D321" s="45"/>
      <c r="E321" s="9" t="s">
        <v>1583</v>
      </c>
      <c r="F321" s="89">
        <v>43215</v>
      </c>
      <c r="G321" s="9"/>
      <c r="H321" s="9"/>
      <c r="I321" s="9"/>
      <c r="J321" t="s">
        <v>1378</v>
      </c>
      <c r="K321" s="120">
        <v>0</v>
      </c>
      <c r="L321" s="9"/>
      <c r="M321" s="7"/>
    </row>
    <row r="322" spans="1:13" hidden="1" x14ac:dyDescent="0.25">
      <c r="A322" s="4"/>
      <c r="B322" s="28" t="str">
        <f>IF(ISNUMBER(MATCH(C322, Mgt_Unit!$C$5:$C$1018, 0)), INDEX(Mgt_Unit!$B$5:$B$1018, MATCH(C322, Mgt_Unit!$C$5:$C$1018, 0)), "")</f>
        <v>jennifer.moore</v>
      </c>
      <c r="C322" t="s">
        <v>705</v>
      </c>
      <c r="D322" s="45"/>
      <c r="E322" s="9" t="s">
        <v>1583</v>
      </c>
      <c r="F322" s="89">
        <v>43280</v>
      </c>
      <c r="G322" s="9"/>
      <c r="H322" s="9"/>
      <c r="I322" s="9"/>
      <c r="J322" t="s">
        <v>1361</v>
      </c>
      <c r="K322" s="120">
        <v>2.4</v>
      </c>
      <c r="L322" s="9"/>
      <c r="M322" s="7"/>
    </row>
    <row r="323" spans="1:13" hidden="1" x14ac:dyDescent="0.25">
      <c r="A323" s="4"/>
      <c r="B323" s="28" t="str">
        <f>IF(ISNUMBER(MATCH(C323, Mgt_Unit!$C$5:$C$1018, 0)), INDEX(Mgt_Unit!$B$5:$B$1018, MATCH(C323, Mgt_Unit!$C$5:$C$1018, 0)), "")</f>
        <v>jennifer.moore</v>
      </c>
      <c r="C323" t="s">
        <v>705</v>
      </c>
      <c r="D323" s="45"/>
      <c r="E323" s="9" t="s">
        <v>1583</v>
      </c>
      <c r="F323" s="89">
        <v>43321</v>
      </c>
      <c r="G323" s="9"/>
      <c r="H323" s="9"/>
      <c r="I323" s="9"/>
      <c r="J323" t="s">
        <v>1362</v>
      </c>
      <c r="K323" s="120">
        <v>2.2000000000000002</v>
      </c>
      <c r="L323" s="9"/>
      <c r="M323" s="7"/>
    </row>
    <row r="324" spans="1:13" hidden="1" x14ac:dyDescent="0.25">
      <c r="A324" s="4"/>
      <c r="B324" s="28" t="str">
        <f>IF(ISNUMBER(MATCH(C324, Mgt_Unit!$C$5:$C$1018, 0)), INDEX(Mgt_Unit!$B$5:$B$1018, MATCH(C324, Mgt_Unit!$C$5:$C$1018, 0)), "")</f>
        <v>jennifer.moore</v>
      </c>
      <c r="C324" t="s">
        <v>706</v>
      </c>
      <c r="D324" s="45"/>
      <c r="E324" s="9" t="s">
        <v>1583</v>
      </c>
      <c r="F324" s="89">
        <v>43215</v>
      </c>
      <c r="G324" s="9"/>
      <c r="H324" s="9"/>
      <c r="I324" s="9"/>
      <c r="J324" t="s">
        <v>1378</v>
      </c>
      <c r="K324" s="120">
        <v>0</v>
      </c>
      <c r="L324" s="9"/>
      <c r="M324" s="7"/>
    </row>
    <row r="325" spans="1:13" hidden="1" x14ac:dyDescent="0.25">
      <c r="A325" s="4"/>
      <c r="B325" s="28" t="str">
        <f>IF(ISNUMBER(MATCH(C325, Mgt_Unit!$C$5:$C$1018, 0)), INDEX(Mgt_Unit!$B$5:$B$1018, MATCH(C325, Mgt_Unit!$C$5:$C$1018, 0)), "")</f>
        <v>jennifer.moore</v>
      </c>
      <c r="C325" t="s">
        <v>706</v>
      </c>
      <c r="D325" s="45"/>
      <c r="E325" s="9" t="s">
        <v>1583</v>
      </c>
      <c r="F325" s="89">
        <v>43280</v>
      </c>
      <c r="G325" s="9"/>
      <c r="H325" s="9"/>
      <c r="I325" s="9"/>
      <c r="J325" t="s">
        <v>1361</v>
      </c>
      <c r="K325" s="120">
        <v>2.4</v>
      </c>
      <c r="L325" s="9"/>
      <c r="M325" s="7"/>
    </row>
    <row r="326" spans="1:13" hidden="1" x14ac:dyDescent="0.25">
      <c r="A326" s="4"/>
      <c r="B326" s="28" t="str">
        <f>IF(ISNUMBER(MATCH(C326, Mgt_Unit!$C$5:$C$1018, 0)), INDEX(Mgt_Unit!$B$5:$B$1018, MATCH(C326, Mgt_Unit!$C$5:$C$1018, 0)), "")</f>
        <v>jennifer.moore</v>
      </c>
      <c r="C326" t="s">
        <v>706</v>
      </c>
      <c r="D326" s="45"/>
      <c r="E326" s="9" t="s">
        <v>1583</v>
      </c>
      <c r="F326" s="89">
        <v>43321</v>
      </c>
      <c r="G326" s="9"/>
      <c r="H326" s="9"/>
      <c r="I326" s="9"/>
      <c r="J326" t="s">
        <v>1362</v>
      </c>
      <c r="K326" s="120">
        <v>2.2000000000000002</v>
      </c>
      <c r="L326" s="9"/>
      <c r="M326" s="7"/>
    </row>
    <row r="327" spans="1:13" hidden="1" x14ac:dyDescent="0.25">
      <c r="A327" s="4"/>
      <c r="B327" s="28" t="str">
        <f>IF(ISNUMBER(MATCH(C327, Mgt_Unit!$C$5:$C$1018, 0)), INDEX(Mgt_Unit!$B$5:$B$1018, MATCH(C327, Mgt_Unit!$C$5:$C$1018, 0)), "")</f>
        <v>jennifer.moore</v>
      </c>
      <c r="C327" t="s">
        <v>706</v>
      </c>
      <c r="D327" s="45"/>
      <c r="E327" s="9" t="s">
        <v>1583</v>
      </c>
      <c r="F327" s="89">
        <v>43645</v>
      </c>
      <c r="G327" s="9"/>
      <c r="H327" s="9"/>
      <c r="I327" s="9"/>
      <c r="J327" t="s">
        <v>1361</v>
      </c>
      <c r="K327" s="120">
        <v>2.4</v>
      </c>
      <c r="L327" s="9"/>
      <c r="M327" s="7"/>
    </row>
    <row r="328" spans="1:13" hidden="1" x14ac:dyDescent="0.25">
      <c r="A328" s="4"/>
      <c r="B328" s="28" t="str">
        <f>IF(ISNUMBER(MATCH(C328, Mgt_Unit!$C$5:$C$1018, 0)), INDEX(Mgt_Unit!$B$5:$B$1018, MATCH(C328, Mgt_Unit!$C$5:$C$1018, 0)), "")</f>
        <v>jennifer.moore</v>
      </c>
      <c r="C328" t="s">
        <v>706</v>
      </c>
      <c r="D328" s="45"/>
      <c r="E328" s="9" t="s">
        <v>1583</v>
      </c>
      <c r="F328" s="89">
        <v>43686</v>
      </c>
      <c r="G328" s="9"/>
      <c r="H328" s="9"/>
      <c r="I328" s="9"/>
      <c r="J328" t="s">
        <v>1362</v>
      </c>
      <c r="K328" s="120">
        <v>2.2000000000000002</v>
      </c>
      <c r="L328" s="9"/>
      <c r="M328" s="7"/>
    </row>
    <row r="329" spans="1:13" hidden="1" x14ac:dyDescent="0.25">
      <c r="A329" s="4"/>
      <c r="B329" s="28" t="str">
        <f>IF(ISNUMBER(MATCH(C329, Mgt_Unit!$C$5:$C$1018, 0)), INDEX(Mgt_Unit!$B$5:$B$1018, MATCH(C329, Mgt_Unit!$C$5:$C$1018, 0)), "")</f>
        <v>jennifer.moore</v>
      </c>
      <c r="C329" t="s">
        <v>707</v>
      </c>
      <c r="D329" s="45"/>
      <c r="E329" s="9" t="s">
        <v>1583</v>
      </c>
      <c r="F329" s="89">
        <v>43280</v>
      </c>
      <c r="G329" s="9"/>
      <c r="H329" s="9"/>
      <c r="I329" s="9"/>
      <c r="J329" t="s">
        <v>1361</v>
      </c>
      <c r="K329" s="120">
        <v>2.4</v>
      </c>
      <c r="L329" s="9"/>
      <c r="M329" s="7"/>
    </row>
    <row r="330" spans="1:13" hidden="1" x14ac:dyDescent="0.25">
      <c r="A330" s="4"/>
      <c r="B330" s="28" t="str">
        <f>IF(ISNUMBER(MATCH(C330, Mgt_Unit!$C$5:$C$1018, 0)), INDEX(Mgt_Unit!$B$5:$B$1018, MATCH(C330, Mgt_Unit!$C$5:$C$1018, 0)), "")</f>
        <v>jennifer.moore</v>
      </c>
      <c r="C330" t="s">
        <v>707</v>
      </c>
      <c r="D330" s="45"/>
      <c r="E330" s="9" t="s">
        <v>1583</v>
      </c>
      <c r="F330" s="89">
        <v>43321</v>
      </c>
      <c r="G330" s="9"/>
      <c r="H330" s="9"/>
      <c r="I330" s="9"/>
      <c r="J330" t="s">
        <v>1362</v>
      </c>
      <c r="K330" s="120">
        <v>2.2000000000000002</v>
      </c>
      <c r="L330" s="9"/>
      <c r="M330" s="7"/>
    </row>
    <row r="331" spans="1:13" hidden="1" x14ac:dyDescent="0.25">
      <c r="A331" s="4"/>
      <c r="B331" s="28" t="str">
        <f>IF(ISNUMBER(MATCH(C331, Mgt_Unit!$C$5:$C$1018, 0)), INDEX(Mgt_Unit!$B$5:$B$1018, MATCH(C331, Mgt_Unit!$C$5:$C$1018, 0)), "")</f>
        <v>jennifer.moore</v>
      </c>
      <c r="C331" t="s">
        <v>707</v>
      </c>
      <c r="D331" s="45"/>
      <c r="E331" s="9" t="s">
        <v>1583</v>
      </c>
      <c r="F331" s="89">
        <v>43580</v>
      </c>
      <c r="G331" s="9"/>
      <c r="H331" s="9"/>
      <c r="I331" s="9"/>
      <c r="J331" t="s">
        <v>1378</v>
      </c>
      <c r="K331" s="120">
        <v>0</v>
      </c>
      <c r="L331" s="9"/>
      <c r="M331" s="7"/>
    </row>
    <row r="332" spans="1:13" hidden="1" x14ac:dyDescent="0.25">
      <c r="A332" s="4"/>
      <c r="B332" s="28" t="str">
        <f>IF(ISNUMBER(MATCH(C332, Mgt_Unit!$C$5:$C$1018, 0)), INDEX(Mgt_Unit!$B$5:$B$1018, MATCH(C332, Mgt_Unit!$C$5:$C$1018, 0)), "")</f>
        <v>jennifer.moore</v>
      </c>
      <c r="C332" t="s">
        <v>707</v>
      </c>
      <c r="D332" s="45"/>
      <c r="E332" s="9" t="s">
        <v>1583</v>
      </c>
      <c r="F332" s="89">
        <v>43645</v>
      </c>
      <c r="G332" s="9"/>
      <c r="H332" s="9"/>
      <c r="I332" s="9"/>
      <c r="J332" t="s">
        <v>1361</v>
      </c>
      <c r="K332" s="120">
        <v>2.4</v>
      </c>
      <c r="L332" s="9"/>
      <c r="M332" s="7"/>
    </row>
    <row r="333" spans="1:13" hidden="1" x14ac:dyDescent="0.25">
      <c r="A333" s="4"/>
      <c r="B333" s="28" t="str">
        <f>IF(ISNUMBER(MATCH(C333, Mgt_Unit!$C$5:$C$1018, 0)), INDEX(Mgt_Unit!$B$5:$B$1018, MATCH(C333, Mgt_Unit!$C$5:$C$1018, 0)), "")</f>
        <v>jennifer.moore</v>
      </c>
      <c r="C333" t="s">
        <v>707</v>
      </c>
      <c r="D333" s="45"/>
      <c r="E333" s="9" t="s">
        <v>1583</v>
      </c>
      <c r="F333" s="89">
        <v>43686</v>
      </c>
      <c r="G333" s="9"/>
      <c r="H333" s="9"/>
      <c r="I333" s="9"/>
      <c r="J333" t="s">
        <v>1362</v>
      </c>
      <c r="K333" s="120">
        <v>2.2000000000000002</v>
      </c>
      <c r="L333" s="9"/>
      <c r="M333" s="7"/>
    </row>
    <row r="334" spans="1:13" hidden="1" x14ac:dyDescent="0.25">
      <c r="A334" s="4"/>
      <c r="B334" s="28" t="str">
        <f>IF(ISNUMBER(MATCH(C334, Mgt_Unit!$C$5:$C$1018, 0)), INDEX(Mgt_Unit!$B$5:$B$1018, MATCH(C334, Mgt_Unit!$C$5:$C$1018, 0)), "")</f>
        <v>jennifer.moore</v>
      </c>
      <c r="C334" t="s">
        <v>708</v>
      </c>
      <c r="D334" s="45"/>
      <c r="E334" s="9" t="s">
        <v>1583</v>
      </c>
      <c r="F334" s="89">
        <v>43256</v>
      </c>
      <c r="G334" s="9"/>
      <c r="H334" s="9"/>
      <c r="I334" s="9"/>
      <c r="J334" t="s">
        <v>1352</v>
      </c>
      <c r="K334" s="120">
        <v>39</v>
      </c>
      <c r="L334" s="9"/>
      <c r="M334" s="7"/>
    </row>
    <row r="335" spans="1:13" hidden="1" x14ac:dyDescent="0.25">
      <c r="A335" s="4"/>
      <c r="B335" s="28" t="str">
        <f>IF(ISNUMBER(MATCH(C335, Mgt_Unit!$C$5:$C$1018, 0)), INDEX(Mgt_Unit!$B$5:$B$1018, MATCH(C335, Mgt_Unit!$C$5:$C$1018, 0)), "")</f>
        <v>jennifer.moore</v>
      </c>
      <c r="C335" t="s">
        <v>708</v>
      </c>
      <c r="D335" s="45"/>
      <c r="E335" s="9" t="s">
        <v>1583</v>
      </c>
      <c r="F335" s="89">
        <v>43263</v>
      </c>
      <c r="G335" s="9"/>
      <c r="H335" s="9"/>
      <c r="I335" s="9"/>
      <c r="J335" t="s">
        <v>1379</v>
      </c>
      <c r="K335" s="120">
        <v>62</v>
      </c>
      <c r="L335" s="9"/>
      <c r="M335" s="7"/>
    </row>
    <row r="336" spans="1:13" hidden="1" x14ac:dyDescent="0.25">
      <c r="A336" s="4"/>
      <c r="B336" s="28" t="str">
        <f>IF(ISNUMBER(MATCH(C336, Mgt_Unit!$C$5:$C$1018, 0)), INDEX(Mgt_Unit!$B$5:$B$1018, MATCH(C336, Mgt_Unit!$C$5:$C$1018, 0)), "")</f>
        <v>jennifer.moore</v>
      </c>
      <c r="C336" t="s">
        <v>708</v>
      </c>
      <c r="D336" s="45"/>
      <c r="E336" s="9" t="s">
        <v>1583</v>
      </c>
      <c r="F336" s="89">
        <v>43264</v>
      </c>
      <c r="G336" s="9"/>
      <c r="H336" s="9"/>
      <c r="I336" s="9"/>
      <c r="J336" t="s">
        <v>1352</v>
      </c>
      <c r="K336" s="120">
        <v>39</v>
      </c>
      <c r="L336" s="9"/>
      <c r="M336" s="7"/>
    </row>
    <row r="337" spans="1:13" hidden="1" x14ac:dyDescent="0.25">
      <c r="A337" s="4"/>
      <c r="B337" s="28" t="str">
        <f>IF(ISNUMBER(MATCH(C337, Mgt_Unit!$C$5:$C$1018, 0)), INDEX(Mgt_Unit!$B$5:$B$1018, MATCH(C337, Mgt_Unit!$C$5:$C$1018, 0)), "")</f>
        <v>jennifer.moore</v>
      </c>
      <c r="C337" t="s">
        <v>708</v>
      </c>
      <c r="D337" s="45"/>
      <c r="E337" s="9" t="s">
        <v>1583</v>
      </c>
      <c r="F337" s="89">
        <v>43265</v>
      </c>
      <c r="G337" s="9"/>
      <c r="H337" s="9"/>
      <c r="I337" s="9"/>
      <c r="J337" t="s">
        <v>1374</v>
      </c>
      <c r="K337" s="120">
        <v>20</v>
      </c>
      <c r="L337" s="9"/>
      <c r="M337" s="7"/>
    </row>
    <row r="338" spans="1:13" hidden="1" x14ac:dyDescent="0.25">
      <c r="A338" s="4"/>
      <c r="B338" s="28" t="str">
        <f>IF(ISNUMBER(MATCH(C338, Mgt_Unit!$C$5:$C$1018, 0)), INDEX(Mgt_Unit!$B$5:$B$1018, MATCH(C338, Mgt_Unit!$C$5:$C$1018, 0)), "")</f>
        <v>jennifer.moore</v>
      </c>
      <c r="C338" t="s">
        <v>708</v>
      </c>
      <c r="D338" s="45"/>
      <c r="E338" s="9" t="s">
        <v>1583</v>
      </c>
      <c r="F338" s="89">
        <v>43280</v>
      </c>
      <c r="G338" s="9"/>
      <c r="H338" s="9"/>
      <c r="I338" s="9"/>
      <c r="J338" t="s">
        <v>1361</v>
      </c>
      <c r="K338" s="120">
        <v>2.4</v>
      </c>
      <c r="L338" s="9"/>
      <c r="M338" s="7"/>
    </row>
    <row r="339" spans="1:13" hidden="1" x14ac:dyDescent="0.25">
      <c r="A339" s="4"/>
      <c r="B339" s="28" t="str">
        <f>IF(ISNUMBER(MATCH(C339, Mgt_Unit!$C$5:$C$1018, 0)), INDEX(Mgt_Unit!$B$5:$B$1018, MATCH(C339, Mgt_Unit!$C$5:$C$1018, 0)), "")</f>
        <v>jennifer.moore</v>
      </c>
      <c r="C339" t="s">
        <v>708</v>
      </c>
      <c r="D339" s="45"/>
      <c r="E339" s="9" t="s">
        <v>1583</v>
      </c>
      <c r="F339" s="89">
        <v>43321</v>
      </c>
      <c r="G339" s="9"/>
      <c r="H339" s="9"/>
      <c r="I339" s="9"/>
      <c r="J339" t="s">
        <v>1377</v>
      </c>
      <c r="K339" s="120">
        <v>3.3</v>
      </c>
      <c r="L339" s="9"/>
      <c r="M339" s="7"/>
    </row>
    <row r="340" spans="1:13" hidden="1" x14ac:dyDescent="0.25">
      <c r="A340" s="4"/>
      <c r="B340" s="28" t="str">
        <f>IF(ISNUMBER(MATCH(C340, Mgt_Unit!$C$5:$C$1018, 0)), INDEX(Mgt_Unit!$B$5:$B$1018, MATCH(C340, Mgt_Unit!$C$5:$C$1018, 0)), "")</f>
        <v>jennifer.moore</v>
      </c>
      <c r="C340" t="s">
        <v>709</v>
      </c>
      <c r="D340" s="45"/>
      <c r="E340" s="9" t="s">
        <v>1583</v>
      </c>
      <c r="F340" s="89">
        <v>43256</v>
      </c>
      <c r="G340" s="9"/>
      <c r="H340" s="9"/>
      <c r="I340" s="9"/>
      <c r="J340" t="s">
        <v>1352</v>
      </c>
      <c r="K340" s="120">
        <v>39</v>
      </c>
      <c r="L340" s="9"/>
      <c r="M340" s="7"/>
    </row>
    <row r="341" spans="1:13" hidden="1" x14ac:dyDescent="0.25">
      <c r="A341" s="4"/>
      <c r="B341" s="28" t="str">
        <f>IF(ISNUMBER(MATCH(C341, Mgt_Unit!$C$5:$C$1018, 0)), INDEX(Mgt_Unit!$B$5:$B$1018, MATCH(C341, Mgt_Unit!$C$5:$C$1018, 0)), "")</f>
        <v>jennifer.moore</v>
      </c>
      <c r="C341" t="s">
        <v>709</v>
      </c>
      <c r="D341" s="45"/>
      <c r="E341" s="9" t="s">
        <v>1583</v>
      </c>
      <c r="F341" s="89">
        <v>43263</v>
      </c>
      <c r="G341" s="9"/>
      <c r="H341" s="9"/>
      <c r="I341" s="9"/>
      <c r="J341" t="s">
        <v>1376</v>
      </c>
      <c r="K341" s="120">
        <v>62</v>
      </c>
      <c r="L341" s="9"/>
      <c r="M341" s="7"/>
    </row>
    <row r="342" spans="1:13" hidden="1" x14ac:dyDescent="0.25">
      <c r="A342" s="4"/>
      <c r="B342" s="28" t="str">
        <f>IF(ISNUMBER(MATCH(C342, Mgt_Unit!$C$5:$C$1018, 0)), INDEX(Mgt_Unit!$B$5:$B$1018, MATCH(C342, Mgt_Unit!$C$5:$C$1018, 0)), "")</f>
        <v>jennifer.moore</v>
      </c>
      <c r="C342" t="s">
        <v>709</v>
      </c>
      <c r="D342" s="45"/>
      <c r="E342" s="9" t="s">
        <v>1583</v>
      </c>
      <c r="F342" s="89">
        <v>43264</v>
      </c>
      <c r="G342" s="9"/>
      <c r="H342" s="9"/>
      <c r="I342" s="9"/>
      <c r="J342" t="s">
        <v>1352</v>
      </c>
      <c r="K342" s="120">
        <v>39</v>
      </c>
      <c r="L342" s="9"/>
      <c r="M342" s="7"/>
    </row>
    <row r="343" spans="1:13" hidden="1" x14ac:dyDescent="0.25">
      <c r="A343" s="4"/>
      <c r="B343" s="28" t="str">
        <f>IF(ISNUMBER(MATCH(C343, Mgt_Unit!$C$5:$C$1018, 0)), INDEX(Mgt_Unit!$B$5:$B$1018, MATCH(C343, Mgt_Unit!$C$5:$C$1018, 0)), "")</f>
        <v>jennifer.moore</v>
      </c>
      <c r="C343" t="s">
        <v>709</v>
      </c>
      <c r="D343" s="45"/>
      <c r="E343" s="9" t="s">
        <v>1583</v>
      </c>
      <c r="F343" s="89">
        <v>43280</v>
      </c>
      <c r="G343" s="9"/>
      <c r="H343" s="9"/>
      <c r="I343" s="9"/>
      <c r="J343" t="s">
        <v>1359</v>
      </c>
      <c r="K343" s="120">
        <v>6.3</v>
      </c>
      <c r="L343" s="9"/>
      <c r="M343" s="7"/>
    </row>
    <row r="344" spans="1:13" hidden="1" x14ac:dyDescent="0.25">
      <c r="A344" s="4"/>
      <c r="B344" s="28" t="str">
        <f>IF(ISNUMBER(MATCH(C344, Mgt_Unit!$C$5:$C$1018, 0)), INDEX(Mgt_Unit!$B$5:$B$1018, MATCH(C344, Mgt_Unit!$C$5:$C$1018, 0)), "")</f>
        <v>jennifer.moore</v>
      </c>
      <c r="C344" t="s">
        <v>709</v>
      </c>
      <c r="D344" s="45"/>
      <c r="E344" s="9" t="s">
        <v>1583</v>
      </c>
      <c r="F344" s="89">
        <v>43280</v>
      </c>
      <c r="G344" s="9"/>
      <c r="H344" s="9"/>
      <c r="I344" s="9"/>
      <c r="J344" t="s">
        <v>1352</v>
      </c>
      <c r="K344" s="120">
        <v>39</v>
      </c>
      <c r="L344" s="9"/>
      <c r="M344" s="7"/>
    </row>
    <row r="345" spans="1:13" hidden="1" x14ac:dyDescent="0.25">
      <c r="A345" s="4"/>
      <c r="B345" s="28" t="str">
        <f>IF(ISNUMBER(MATCH(C345, Mgt_Unit!$C$5:$C$1018, 0)), INDEX(Mgt_Unit!$B$5:$B$1018, MATCH(C345, Mgt_Unit!$C$5:$C$1018, 0)), "")</f>
        <v>jennifer.moore</v>
      </c>
      <c r="C345" t="s">
        <v>709</v>
      </c>
      <c r="D345" s="45"/>
      <c r="E345" s="9" t="s">
        <v>1583</v>
      </c>
      <c r="F345" s="89">
        <v>43645</v>
      </c>
      <c r="G345" s="9"/>
      <c r="H345" s="9"/>
      <c r="I345" s="9"/>
      <c r="J345" t="s">
        <v>1361</v>
      </c>
      <c r="K345" s="120">
        <v>2.4</v>
      </c>
      <c r="L345" s="9"/>
      <c r="M345" s="7"/>
    </row>
    <row r="346" spans="1:13" hidden="1" x14ac:dyDescent="0.25">
      <c r="A346" s="4"/>
      <c r="B346" s="28" t="str">
        <f>IF(ISNUMBER(MATCH(C346, Mgt_Unit!$C$5:$C$1018, 0)), INDEX(Mgt_Unit!$B$5:$B$1018, MATCH(C346, Mgt_Unit!$C$5:$C$1018, 0)), "")</f>
        <v>jennifer.moore</v>
      </c>
      <c r="C346" t="s">
        <v>709</v>
      </c>
      <c r="D346" s="45"/>
      <c r="E346" s="9" t="s">
        <v>1583</v>
      </c>
      <c r="F346" s="89">
        <v>43686</v>
      </c>
      <c r="G346" s="9"/>
      <c r="H346" s="9"/>
      <c r="I346" s="9"/>
      <c r="J346" t="s">
        <v>1362</v>
      </c>
      <c r="K346" s="120">
        <v>2.2000000000000002</v>
      </c>
      <c r="L346" s="9"/>
      <c r="M346" s="7"/>
    </row>
    <row r="347" spans="1:13" hidden="1" x14ac:dyDescent="0.25">
      <c r="A347" s="4"/>
      <c r="B347" s="28" t="str">
        <f>IF(ISNUMBER(MATCH(C347, Mgt_Unit!$C$5:$C$1018, 0)), INDEX(Mgt_Unit!$B$5:$B$1018, MATCH(C347, Mgt_Unit!$C$5:$C$1018, 0)), "")</f>
        <v>jennifer.moore</v>
      </c>
      <c r="C347" t="s">
        <v>709</v>
      </c>
      <c r="D347" s="45"/>
      <c r="E347" s="9" t="s">
        <v>1583</v>
      </c>
      <c r="F347" s="89">
        <v>43686</v>
      </c>
      <c r="G347" s="9"/>
      <c r="H347" s="9"/>
      <c r="I347" s="9"/>
      <c r="J347" t="s">
        <v>1377</v>
      </c>
      <c r="K347" s="120">
        <v>3.3</v>
      </c>
      <c r="L347" s="9"/>
      <c r="M347" s="7"/>
    </row>
    <row r="348" spans="1:13" hidden="1" x14ac:dyDescent="0.25">
      <c r="A348" s="4"/>
      <c r="B348" s="28" t="str">
        <f>IF(ISNUMBER(MATCH(C348, Mgt_Unit!$C$5:$C$1018, 0)), INDEX(Mgt_Unit!$B$5:$B$1018, MATCH(C348, Mgt_Unit!$C$5:$C$1018, 0)), "")</f>
        <v>jennifer.moore</v>
      </c>
      <c r="C348" t="s">
        <v>710</v>
      </c>
      <c r="D348" s="45"/>
      <c r="E348" s="9" t="s">
        <v>1583</v>
      </c>
      <c r="F348" s="89">
        <v>43256</v>
      </c>
      <c r="G348" s="9"/>
      <c r="H348" s="9"/>
      <c r="I348" s="9"/>
      <c r="J348" t="s">
        <v>1352</v>
      </c>
      <c r="K348" s="120">
        <v>39</v>
      </c>
      <c r="L348" s="9"/>
      <c r="M348" s="7"/>
    </row>
    <row r="349" spans="1:13" hidden="1" x14ac:dyDescent="0.25">
      <c r="A349" s="4"/>
      <c r="B349" s="28" t="str">
        <f>IF(ISNUMBER(MATCH(C349, Mgt_Unit!$C$5:$C$1018, 0)), INDEX(Mgt_Unit!$B$5:$B$1018, MATCH(C349, Mgt_Unit!$C$5:$C$1018, 0)), "")</f>
        <v>jennifer.moore</v>
      </c>
      <c r="C349" t="s">
        <v>710</v>
      </c>
      <c r="D349" s="45"/>
      <c r="E349" s="9" t="s">
        <v>1583</v>
      </c>
      <c r="F349" s="89">
        <v>43263</v>
      </c>
      <c r="G349" s="9"/>
      <c r="H349" s="9"/>
      <c r="I349" s="9"/>
      <c r="J349" t="s">
        <v>1376</v>
      </c>
      <c r="K349" s="120">
        <v>62</v>
      </c>
      <c r="L349" s="9"/>
      <c r="M349" s="7"/>
    </row>
    <row r="350" spans="1:13" hidden="1" x14ac:dyDescent="0.25">
      <c r="A350" s="4"/>
      <c r="B350" s="28" t="str">
        <f>IF(ISNUMBER(MATCH(C350, Mgt_Unit!$C$5:$C$1018, 0)), INDEX(Mgt_Unit!$B$5:$B$1018, MATCH(C350, Mgt_Unit!$C$5:$C$1018, 0)), "")</f>
        <v>jennifer.moore</v>
      </c>
      <c r="C350" t="s">
        <v>710</v>
      </c>
      <c r="D350" s="45"/>
      <c r="E350" s="9" t="s">
        <v>1583</v>
      </c>
      <c r="F350" s="89">
        <v>43264</v>
      </c>
      <c r="G350" s="9"/>
      <c r="H350" s="9"/>
      <c r="I350" s="9"/>
      <c r="J350" t="s">
        <v>1352</v>
      </c>
      <c r="K350" s="120">
        <v>39</v>
      </c>
      <c r="L350" s="9"/>
      <c r="M350" s="7"/>
    </row>
    <row r="351" spans="1:13" hidden="1" x14ac:dyDescent="0.25">
      <c r="A351" s="4"/>
      <c r="B351" s="28" t="str">
        <f>IF(ISNUMBER(MATCH(C351, Mgt_Unit!$C$5:$C$1018, 0)), INDEX(Mgt_Unit!$B$5:$B$1018, MATCH(C351, Mgt_Unit!$C$5:$C$1018, 0)), "")</f>
        <v>jennifer.moore</v>
      </c>
      <c r="C351" t="s">
        <v>710</v>
      </c>
      <c r="D351" s="45"/>
      <c r="E351" s="9" t="s">
        <v>1583</v>
      </c>
      <c r="F351" s="89">
        <v>43265</v>
      </c>
      <c r="G351" s="9"/>
      <c r="H351" s="9"/>
      <c r="I351" s="9"/>
      <c r="J351" t="s">
        <v>1374</v>
      </c>
      <c r="K351" s="120">
        <v>20</v>
      </c>
      <c r="L351" s="9"/>
      <c r="M351" s="7"/>
    </row>
    <row r="352" spans="1:13" hidden="1" x14ac:dyDescent="0.25">
      <c r="A352" s="4"/>
      <c r="B352" s="28" t="str">
        <f>IF(ISNUMBER(MATCH(C352, Mgt_Unit!$C$5:$C$1018, 0)), INDEX(Mgt_Unit!$B$5:$B$1018, MATCH(C352, Mgt_Unit!$C$5:$C$1018, 0)), "")</f>
        <v>jennifer.moore</v>
      </c>
      <c r="C352" t="s">
        <v>710</v>
      </c>
      <c r="D352" s="45"/>
      <c r="E352" s="9" t="s">
        <v>1583</v>
      </c>
      <c r="F352" s="89">
        <v>43280</v>
      </c>
      <c r="G352" s="9"/>
      <c r="H352" s="9"/>
      <c r="I352" s="9"/>
      <c r="J352" t="s">
        <v>1361</v>
      </c>
      <c r="K352" s="120">
        <v>2.4</v>
      </c>
      <c r="L352" s="9"/>
      <c r="M352" s="7"/>
    </row>
    <row r="353" spans="1:13" hidden="1" x14ac:dyDescent="0.25">
      <c r="A353" s="4"/>
      <c r="B353" s="28" t="str">
        <f>IF(ISNUMBER(MATCH(C353, Mgt_Unit!$C$5:$C$1018, 0)), INDEX(Mgt_Unit!$B$5:$B$1018, MATCH(C353, Mgt_Unit!$C$5:$C$1018, 0)), "")</f>
        <v>jennifer.moore</v>
      </c>
      <c r="C353" t="s">
        <v>710</v>
      </c>
      <c r="D353" s="45"/>
      <c r="E353" s="9" t="s">
        <v>1583</v>
      </c>
      <c r="F353" s="89">
        <v>43321</v>
      </c>
      <c r="G353" s="9"/>
      <c r="H353" s="9"/>
      <c r="I353" s="9"/>
      <c r="J353" t="s">
        <v>1362</v>
      </c>
      <c r="K353" s="120">
        <v>5</v>
      </c>
      <c r="L353" s="9"/>
      <c r="M353" s="7"/>
    </row>
    <row r="354" spans="1:13" hidden="1" x14ac:dyDescent="0.25">
      <c r="A354" s="4"/>
      <c r="B354" s="28" t="str">
        <f>IF(ISNUMBER(MATCH(C354, Mgt_Unit!$C$5:$C$1018, 0)), INDEX(Mgt_Unit!$B$5:$B$1018, MATCH(C354, Mgt_Unit!$C$5:$C$1018, 0)), "")</f>
        <v>jennifer.moore</v>
      </c>
      <c r="C354" t="s">
        <v>710</v>
      </c>
      <c r="D354" s="45"/>
      <c r="E354" s="9" t="s">
        <v>1583</v>
      </c>
      <c r="F354" s="89">
        <v>43321</v>
      </c>
      <c r="G354" s="9"/>
      <c r="H354" s="9"/>
      <c r="I354" s="9"/>
      <c r="J354" t="s">
        <v>1377</v>
      </c>
      <c r="K354" s="120">
        <v>3.3</v>
      </c>
      <c r="L354" s="9"/>
      <c r="M354" s="7"/>
    </row>
    <row r="355" spans="1:13" hidden="1" x14ac:dyDescent="0.25">
      <c r="A355" s="4"/>
      <c r="B355" s="28" t="str">
        <f>IF(ISNUMBER(MATCH(C355, Mgt_Unit!$C$5:$C$1018, 0)), INDEX(Mgt_Unit!$B$5:$B$1018, MATCH(C355, Mgt_Unit!$C$5:$C$1018, 0)), "")</f>
        <v>jennifer.moore</v>
      </c>
      <c r="C355" t="s">
        <v>710</v>
      </c>
      <c r="D355" s="45"/>
      <c r="E355" s="9" t="s">
        <v>1583</v>
      </c>
      <c r="F355" s="89">
        <v>43621</v>
      </c>
      <c r="G355" s="9"/>
      <c r="H355" s="9"/>
      <c r="I355" s="9"/>
      <c r="J355" t="s">
        <v>1352</v>
      </c>
      <c r="K355" s="120">
        <v>39</v>
      </c>
      <c r="L355" s="9"/>
      <c r="M355" s="7"/>
    </row>
    <row r="356" spans="1:13" hidden="1" x14ac:dyDescent="0.25">
      <c r="A356" s="4"/>
      <c r="B356" s="28" t="str">
        <f>IF(ISNUMBER(MATCH(C356, Mgt_Unit!$C$5:$C$1018, 0)), INDEX(Mgt_Unit!$B$5:$B$1018, MATCH(C356, Mgt_Unit!$C$5:$C$1018, 0)), "")</f>
        <v>jennifer.moore</v>
      </c>
      <c r="C356" t="s">
        <v>710</v>
      </c>
      <c r="D356" s="45"/>
      <c r="E356" s="9" t="s">
        <v>1583</v>
      </c>
      <c r="F356" s="89">
        <v>43628</v>
      </c>
      <c r="G356" s="9"/>
      <c r="H356" s="9"/>
      <c r="I356" s="9"/>
      <c r="J356" t="s">
        <v>1376</v>
      </c>
      <c r="K356" s="120">
        <v>62</v>
      </c>
      <c r="L356" s="9"/>
      <c r="M356" s="7"/>
    </row>
    <row r="357" spans="1:13" hidden="1" x14ac:dyDescent="0.25">
      <c r="A357" s="4"/>
      <c r="B357" s="28" t="str">
        <f>IF(ISNUMBER(MATCH(C357, Mgt_Unit!$C$5:$C$1018, 0)), INDEX(Mgt_Unit!$B$5:$B$1018, MATCH(C357, Mgt_Unit!$C$5:$C$1018, 0)), "")</f>
        <v>jennifer.moore</v>
      </c>
      <c r="C357" t="s">
        <v>710</v>
      </c>
      <c r="D357" s="45"/>
      <c r="E357" s="9" t="s">
        <v>1583</v>
      </c>
      <c r="F357" s="89">
        <v>43629</v>
      </c>
      <c r="G357" s="9"/>
      <c r="H357" s="9"/>
      <c r="I357" s="9"/>
      <c r="J357" t="s">
        <v>1352</v>
      </c>
      <c r="K357" s="120">
        <v>39</v>
      </c>
      <c r="L357" s="9"/>
      <c r="M357" s="7"/>
    </row>
    <row r="358" spans="1:13" hidden="1" x14ac:dyDescent="0.25">
      <c r="A358" s="4"/>
      <c r="B358" s="28" t="str">
        <f>IF(ISNUMBER(MATCH(C358, Mgt_Unit!$C$5:$C$1018, 0)), INDEX(Mgt_Unit!$B$5:$B$1018, MATCH(C358, Mgt_Unit!$C$5:$C$1018, 0)), "")</f>
        <v>jennifer.moore</v>
      </c>
      <c r="C358" t="s">
        <v>710</v>
      </c>
      <c r="D358" s="45"/>
      <c r="E358" s="9" t="s">
        <v>1583</v>
      </c>
      <c r="F358" s="89">
        <v>43645</v>
      </c>
      <c r="G358" s="9"/>
      <c r="H358" s="9"/>
      <c r="I358" s="9"/>
      <c r="J358" t="s">
        <v>1359</v>
      </c>
      <c r="K358" s="120">
        <v>6.3</v>
      </c>
      <c r="L358" s="9"/>
      <c r="M358" s="7"/>
    </row>
    <row r="359" spans="1:13" hidden="1" x14ac:dyDescent="0.25">
      <c r="A359" s="4"/>
      <c r="B359" s="28" t="str">
        <f>IF(ISNUMBER(MATCH(C359, Mgt_Unit!$C$5:$C$1018, 0)), INDEX(Mgt_Unit!$B$5:$B$1018, MATCH(C359, Mgt_Unit!$C$5:$C$1018, 0)), "")</f>
        <v>jennifer.moore</v>
      </c>
      <c r="C359" t="s">
        <v>711</v>
      </c>
      <c r="D359" s="45"/>
      <c r="E359" s="9" t="s">
        <v>1583</v>
      </c>
      <c r="F359" s="89">
        <v>43118</v>
      </c>
      <c r="G359" s="9"/>
      <c r="H359" s="9"/>
      <c r="I359" s="9"/>
      <c r="J359" t="s">
        <v>1359</v>
      </c>
      <c r="K359" s="120">
        <v>6.3</v>
      </c>
      <c r="L359" s="9"/>
      <c r="M359" s="7"/>
    </row>
    <row r="360" spans="1:13" hidden="1" x14ac:dyDescent="0.25">
      <c r="A360" s="4"/>
      <c r="B360" s="28" t="str">
        <f>IF(ISNUMBER(MATCH(C360, Mgt_Unit!$C$5:$C$1018, 0)), INDEX(Mgt_Unit!$B$5:$B$1018, MATCH(C360, Mgt_Unit!$C$5:$C$1018, 0)), "")</f>
        <v>jennifer.moore</v>
      </c>
      <c r="C360" t="s">
        <v>711</v>
      </c>
      <c r="D360" s="45"/>
      <c r="E360" s="9" t="s">
        <v>1583</v>
      </c>
      <c r="F360" s="89">
        <v>43251</v>
      </c>
      <c r="G360" s="9"/>
      <c r="H360" s="9"/>
      <c r="I360" s="9"/>
      <c r="J360" t="s">
        <v>1361</v>
      </c>
      <c r="K360" s="120">
        <v>2.4</v>
      </c>
      <c r="L360" s="9"/>
      <c r="M360" s="7"/>
    </row>
    <row r="361" spans="1:13" hidden="1" x14ac:dyDescent="0.25">
      <c r="A361" s="4"/>
      <c r="B361" s="28" t="str">
        <f>IF(ISNUMBER(MATCH(C361, Mgt_Unit!$C$5:$C$1018, 0)), INDEX(Mgt_Unit!$B$5:$B$1018, MATCH(C361, Mgt_Unit!$C$5:$C$1018, 0)), "")</f>
        <v>jennifer.moore</v>
      </c>
      <c r="C361" t="s">
        <v>712</v>
      </c>
      <c r="D361" s="45"/>
      <c r="E361" s="9" t="s">
        <v>1583</v>
      </c>
      <c r="F361" s="89">
        <v>43118</v>
      </c>
      <c r="G361" s="9"/>
      <c r="H361" s="9"/>
      <c r="I361" s="9"/>
      <c r="J361" t="s">
        <v>1359</v>
      </c>
      <c r="K361" s="120">
        <v>6.3</v>
      </c>
      <c r="L361" s="9"/>
      <c r="M361" s="7"/>
    </row>
    <row r="362" spans="1:13" hidden="1" x14ac:dyDescent="0.25">
      <c r="A362" s="4"/>
      <c r="B362" s="28" t="str">
        <f>IF(ISNUMBER(MATCH(C362, Mgt_Unit!$C$5:$C$1018, 0)), INDEX(Mgt_Unit!$B$5:$B$1018, MATCH(C362, Mgt_Unit!$C$5:$C$1018, 0)), "")</f>
        <v>jennifer.moore</v>
      </c>
      <c r="C362" t="s">
        <v>712</v>
      </c>
      <c r="D362" s="45"/>
      <c r="E362" s="9" t="s">
        <v>1583</v>
      </c>
      <c r="F362" s="89">
        <v>43251</v>
      </c>
      <c r="G362" s="9"/>
      <c r="H362" s="9"/>
      <c r="I362" s="9"/>
      <c r="J362" t="s">
        <v>1361</v>
      </c>
      <c r="K362" s="120">
        <v>2.4</v>
      </c>
      <c r="L362" s="9"/>
      <c r="M362" s="7"/>
    </row>
    <row r="363" spans="1:13" hidden="1" x14ac:dyDescent="0.25">
      <c r="A363" s="4"/>
      <c r="B363" s="28" t="str">
        <f>IF(ISNUMBER(MATCH(C363, Mgt_Unit!$C$5:$C$1018, 0)), INDEX(Mgt_Unit!$B$5:$B$1018, MATCH(C363, Mgt_Unit!$C$5:$C$1018, 0)), "")</f>
        <v>jennifer.moore</v>
      </c>
      <c r="C363" t="s">
        <v>713</v>
      </c>
      <c r="D363" s="45"/>
      <c r="E363" s="9" t="s">
        <v>1583</v>
      </c>
      <c r="F363" s="89">
        <v>43236</v>
      </c>
      <c r="G363" s="9"/>
      <c r="H363" s="9"/>
      <c r="I363" s="9"/>
      <c r="J363" t="s">
        <v>1368</v>
      </c>
      <c r="K363" s="120">
        <v>33</v>
      </c>
      <c r="L363" s="9"/>
      <c r="M363" s="7"/>
    </row>
    <row r="364" spans="1:13" hidden="1" x14ac:dyDescent="0.25">
      <c r="A364" s="4"/>
      <c r="B364" s="28" t="str">
        <f>IF(ISNUMBER(MATCH(C364, Mgt_Unit!$C$5:$C$1018, 0)), INDEX(Mgt_Unit!$B$5:$B$1018, MATCH(C364, Mgt_Unit!$C$5:$C$1018, 0)), "")</f>
        <v>jennifer.moore</v>
      </c>
      <c r="C364" t="s">
        <v>713</v>
      </c>
      <c r="D364" s="45"/>
      <c r="E364" s="9" t="s">
        <v>1583</v>
      </c>
      <c r="F364" s="89">
        <v>43118</v>
      </c>
      <c r="G364" s="9"/>
      <c r="H364" s="9"/>
      <c r="I364" s="9"/>
      <c r="J364" t="s">
        <v>1359</v>
      </c>
      <c r="K364" s="120">
        <v>6.3</v>
      </c>
      <c r="L364" s="9"/>
      <c r="M364" s="7"/>
    </row>
    <row r="365" spans="1:13" hidden="1" x14ac:dyDescent="0.25">
      <c r="A365" s="4"/>
      <c r="B365" s="28" t="str">
        <f>IF(ISNUMBER(MATCH(C365, Mgt_Unit!$C$5:$C$1018, 0)), INDEX(Mgt_Unit!$B$5:$B$1018, MATCH(C365, Mgt_Unit!$C$5:$C$1018, 0)), "")</f>
        <v>jennifer.moore</v>
      </c>
      <c r="C365" t="s">
        <v>713</v>
      </c>
      <c r="D365" s="45"/>
      <c r="E365" s="9" t="s">
        <v>1583</v>
      </c>
      <c r="F365" s="89">
        <v>43251</v>
      </c>
      <c r="G365" s="9"/>
      <c r="H365" s="9"/>
      <c r="I365" s="9"/>
      <c r="J365" t="s">
        <v>1361</v>
      </c>
      <c r="K365" s="120">
        <v>2.4</v>
      </c>
      <c r="L365" s="9"/>
      <c r="M365" s="7"/>
    </row>
    <row r="366" spans="1:13" hidden="1" x14ac:dyDescent="0.25">
      <c r="A366" s="4"/>
      <c r="B366" s="28" t="str">
        <f>IF(ISNUMBER(MATCH(C366, Mgt_Unit!$C$5:$C$1018, 0)), INDEX(Mgt_Unit!$B$5:$B$1018, MATCH(C366, Mgt_Unit!$C$5:$C$1018, 0)), "")</f>
        <v>jennifer.moore</v>
      </c>
      <c r="C366" t="s">
        <v>714</v>
      </c>
      <c r="D366" s="45"/>
      <c r="E366" s="9" t="s">
        <v>1583</v>
      </c>
      <c r="F366" s="89">
        <v>43236</v>
      </c>
      <c r="G366" s="9"/>
      <c r="H366" s="9"/>
      <c r="I366" s="9"/>
      <c r="J366" t="s">
        <v>1380</v>
      </c>
      <c r="K366" s="120">
        <v>16</v>
      </c>
      <c r="L366" s="9"/>
      <c r="M366" s="7"/>
    </row>
    <row r="367" spans="1:13" hidden="1" x14ac:dyDescent="0.25">
      <c r="A367" s="4"/>
      <c r="B367" s="28" t="str">
        <f>IF(ISNUMBER(MATCH(C367, Mgt_Unit!$C$5:$C$1018, 0)), INDEX(Mgt_Unit!$B$5:$B$1018, MATCH(C367, Mgt_Unit!$C$5:$C$1018, 0)), "")</f>
        <v>jennifer.moore</v>
      </c>
      <c r="C367" t="s">
        <v>714</v>
      </c>
      <c r="D367" s="45"/>
      <c r="E367" s="9" t="s">
        <v>1583</v>
      </c>
      <c r="F367" s="89">
        <v>43236</v>
      </c>
      <c r="G367" s="9"/>
      <c r="H367" s="9"/>
      <c r="I367" s="9"/>
      <c r="J367" t="s">
        <v>1380</v>
      </c>
      <c r="K367" s="120">
        <v>16</v>
      </c>
      <c r="L367" s="9"/>
      <c r="M367" s="7"/>
    </row>
    <row r="368" spans="1:13" hidden="1" x14ac:dyDescent="0.25">
      <c r="A368" s="4"/>
      <c r="B368" s="28" t="str">
        <f>IF(ISNUMBER(MATCH(C368, Mgt_Unit!$C$5:$C$1018, 0)), INDEX(Mgt_Unit!$B$5:$B$1018, MATCH(C368, Mgt_Unit!$C$5:$C$1018, 0)), "")</f>
        <v>jennifer.moore</v>
      </c>
      <c r="C368" t="s">
        <v>714</v>
      </c>
      <c r="D368" s="45"/>
      <c r="E368" s="9" t="s">
        <v>1583</v>
      </c>
      <c r="F368" s="89">
        <v>43118</v>
      </c>
      <c r="G368" s="9"/>
      <c r="H368" s="9"/>
      <c r="I368" s="9"/>
      <c r="J368" t="s">
        <v>1359</v>
      </c>
      <c r="K368" s="120">
        <v>6.3</v>
      </c>
      <c r="L368" s="9"/>
      <c r="M368" s="7"/>
    </row>
    <row r="369" spans="1:13" hidden="1" x14ac:dyDescent="0.25">
      <c r="A369" s="4"/>
      <c r="B369" s="28" t="str">
        <f>IF(ISNUMBER(MATCH(C369, Mgt_Unit!$C$5:$C$1018, 0)), INDEX(Mgt_Unit!$B$5:$B$1018, MATCH(C369, Mgt_Unit!$C$5:$C$1018, 0)), "")</f>
        <v>jennifer.moore</v>
      </c>
      <c r="C369" t="s">
        <v>714</v>
      </c>
      <c r="D369" s="45"/>
      <c r="E369" s="9" t="s">
        <v>1583</v>
      </c>
      <c r="F369" s="89">
        <v>43251</v>
      </c>
      <c r="G369" s="9"/>
      <c r="H369" s="9"/>
      <c r="I369" s="9"/>
      <c r="J369" t="s">
        <v>1361</v>
      </c>
      <c r="K369" s="120">
        <v>2.4</v>
      </c>
      <c r="L369" s="9"/>
      <c r="M369" s="7"/>
    </row>
    <row r="370" spans="1:13" hidden="1" x14ac:dyDescent="0.25">
      <c r="A370" s="4"/>
      <c r="B370" s="28" t="str">
        <f>IF(ISNUMBER(MATCH(C370, Mgt_Unit!$C$5:$C$1018, 0)), INDEX(Mgt_Unit!$B$5:$B$1018, MATCH(C370, Mgt_Unit!$C$5:$C$1018, 0)), "")</f>
        <v>jennifer.moore</v>
      </c>
      <c r="C370" t="s">
        <v>714</v>
      </c>
      <c r="D370" s="45"/>
      <c r="E370" s="9" t="s">
        <v>1583</v>
      </c>
      <c r="F370" s="89">
        <v>43291</v>
      </c>
      <c r="G370" s="9"/>
      <c r="H370" s="9"/>
      <c r="I370" s="9"/>
      <c r="J370" t="s">
        <v>1381</v>
      </c>
      <c r="K370" s="120">
        <v>2.9</v>
      </c>
      <c r="L370" s="9"/>
      <c r="M370" s="7"/>
    </row>
    <row r="371" spans="1:13" hidden="1" x14ac:dyDescent="0.25">
      <c r="A371" s="4"/>
      <c r="B371" s="28" t="str">
        <f>IF(ISNUMBER(MATCH(C371, Mgt_Unit!$C$5:$C$1018, 0)), INDEX(Mgt_Unit!$B$5:$B$1018, MATCH(C371, Mgt_Unit!$C$5:$C$1018, 0)), "")</f>
        <v>jennifer.moore</v>
      </c>
      <c r="C371" t="s">
        <v>715</v>
      </c>
      <c r="D371" s="45"/>
      <c r="E371" s="9" t="s">
        <v>1583</v>
      </c>
      <c r="F371" s="89">
        <v>43236</v>
      </c>
      <c r="G371" s="9"/>
      <c r="H371" s="9"/>
      <c r="I371" s="9"/>
      <c r="J371" t="s">
        <v>1382</v>
      </c>
      <c r="K371" s="120">
        <v>62</v>
      </c>
      <c r="L371" s="9"/>
      <c r="M371" s="7"/>
    </row>
    <row r="372" spans="1:13" hidden="1" x14ac:dyDescent="0.25">
      <c r="A372" s="4"/>
      <c r="B372" s="28" t="str">
        <f>IF(ISNUMBER(MATCH(C372, Mgt_Unit!$C$5:$C$1018, 0)), INDEX(Mgt_Unit!$B$5:$B$1018, MATCH(C372, Mgt_Unit!$C$5:$C$1018, 0)), "")</f>
        <v>jennifer.moore</v>
      </c>
      <c r="C372" t="s">
        <v>715</v>
      </c>
      <c r="D372" s="45"/>
      <c r="E372" s="9" t="s">
        <v>1583</v>
      </c>
      <c r="F372" s="89">
        <v>43236</v>
      </c>
      <c r="G372" s="9"/>
      <c r="H372" s="9"/>
      <c r="I372" s="9"/>
      <c r="J372" t="s">
        <v>1380</v>
      </c>
      <c r="K372" s="120">
        <v>16</v>
      </c>
      <c r="L372" s="9"/>
      <c r="M372" s="7"/>
    </row>
    <row r="373" spans="1:13" hidden="1" x14ac:dyDescent="0.25">
      <c r="A373" s="4"/>
      <c r="B373" s="28" t="str">
        <f>IF(ISNUMBER(MATCH(C373, Mgt_Unit!$C$5:$C$1018, 0)), INDEX(Mgt_Unit!$B$5:$B$1018, MATCH(C373, Mgt_Unit!$C$5:$C$1018, 0)), "")</f>
        <v>jennifer.moore</v>
      </c>
      <c r="C373" t="s">
        <v>715</v>
      </c>
      <c r="D373" s="45"/>
      <c r="E373" s="9" t="s">
        <v>1583</v>
      </c>
      <c r="F373" s="89">
        <v>43236</v>
      </c>
      <c r="G373" s="9"/>
      <c r="H373" s="9"/>
      <c r="I373" s="9"/>
      <c r="J373" t="s">
        <v>1380</v>
      </c>
      <c r="K373" s="120">
        <v>16</v>
      </c>
      <c r="L373" s="9"/>
      <c r="M373" s="7"/>
    </row>
    <row r="374" spans="1:13" hidden="1" x14ac:dyDescent="0.25">
      <c r="A374" s="4"/>
      <c r="B374" s="28" t="str">
        <f>IF(ISNUMBER(MATCH(C374, Mgt_Unit!$C$5:$C$1018, 0)), INDEX(Mgt_Unit!$B$5:$B$1018, MATCH(C374, Mgt_Unit!$C$5:$C$1018, 0)), "")</f>
        <v>jennifer.moore</v>
      </c>
      <c r="C374" t="s">
        <v>715</v>
      </c>
      <c r="D374" s="45"/>
      <c r="E374" s="9" t="s">
        <v>1583</v>
      </c>
      <c r="F374" s="89">
        <v>43118</v>
      </c>
      <c r="G374" s="9"/>
      <c r="H374" s="9"/>
      <c r="I374" s="9"/>
      <c r="J374" t="s">
        <v>1359</v>
      </c>
      <c r="K374" s="120">
        <v>6.3</v>
      </c>
      <c r="L374" s="9"/>
      <c r="M374" s="7"/>
    </row>
    <row r="375" spans="1:13" hidden="1" x14ac:dyDescent="0.25">
      <c r="A375" s="4"/>
      <c r="B375" s="28" t="str">
        <f>IF(ISNUMBER(MATCH(C375, Mgt_Unit!$C$5:$C$1018, 0)), INDEX(Mgt_Unit!$B$5:$B$1018, MATCH(C375, Mgt_Unit!$C$5:$C$1018, 0)), "")</f>
        <v>jennifer.moore</v>
      </c>
      <c r="C375" t="s">
        <v>715</v>
      </c>
      <c r="D375" s="45"/>
      <c r="E375" s="9" t="s">
        <v>1583</v>
      </c>
      <c r="F375" s="89">
        <v>43251</v>
      </c>
      <c r="G375" s="9"/>
      <c r="H375" s="9"/>
      <c r="I375" s="9"/>
      <c r="J375" t="s">
        <v>1383</v>
      </c>
      <c r="K375" s="120">
        <v>2.4</v>
      </c>
      <c r="L375" s="9"/>
      <c r="M375" s="7"/>
    </row>
    <row r="376" spans="1:13" hidden="1" x14ac:dyDescent="0.25">
      <c r="A376" s="4"/>
      <c r="B376" s="28" t="str">
        <f>IF(ISNUMBER(MATCH(C376, Mgt_Unit!$C$5:$C$1018, 0)), INDEX(Mgt_Unit!$B$5:$B$1018, MATCH(C376, Mgt_Unit!$C$5:$C$1018, 0)), "")</f>
        <v>jennifer.moore</v>
      </c>
      <c r="C376" t="s">
        <v>715</v>
      </c>
      <c r="D376" s="45"/>
      <c r="E376" s="9" t="s">
        <v>1583</v>
      </c>
      <c r="F376" s="89">
        <v>43291</v>
      </c>
      <c r="G376" s="9"/>
      <c r="H376" s="9"/>
      <c r="I376" s="9"/>
      <c r="J376" t="s">
        <v>1381</v>
      </c>
      <c r="K376" s="120">
        <v>2.9</v>
      </c>
      <c r="L376" s="9"/>
      <c r="M376" s="7"/>
    </row>
    <row r="377" spans="1:13" hidden="1" x14ac:dyDescent="0.25">
      <c r="A377" s="4"/>
      <c r="B377" s="28" t="str">
        <f>IF(ISNUMBER(MATCH(C377, Mgt_Unit!$C$5:$C$1018, 0)), INDEX(Mgt_Unit!$B$5:$B$1018, MATCH(C377, Mgt_Unit!$C$5:$C$1018, 0)), "")</f>
        <v>jennifer.moore</v>
      </c>
      <c r="C377" t="s">
        <v>716</v>
      </c>
      <c r="D377" s="45"/>
      <c r="E377" s="9" t="s">
        <v>1583</v>
      </c>
      <c r="F377" s="89">
        <v>43236</v>
      </c>
      <c r="G377" s="9"/>
      <c r="H377" s="9"/>
      <c r="I377" s="9"/>
      <c r="J377" t="s">
        <v>1368</v>
      </c>
      <c r="K377" s="120">
        <v>33</v>
      </c>
      <c r="L377" s="9"/>
      <c r="M377" s="7"/>
    </row>
    <row r="378" spans="1:13" hidden="1" x14ac:dyDescent="0.25">
      <c r="A378" s="4"/>
      <c r="B378" s="28" t="str">
        <f>IF(ISNUMBER(MATCH(C378, Mgt_Unit!$C$5:$C$1018, 0)), INDEX(Mgt_Unit!$B$5:$B$1018, MATCH(C378, Mgt_Unit!$C$5:$C$1018, 0)), "")</f>
        <v>jennifer.moore</v>
      </c>
      <c r="C378" t="s">
        <v>716</v>
      </c>
      <c r="D378" s="45"/>
      <c r="E378" s="9" t="s">
        <v>1583</v>
      </c>
      <c r="F378" s="89">
        <v>43118</v>
      </c>
      <c r="G378" s="9"/>
      <c r="H378" s="9"/>
      <c r="I378" s="9"/>
      <c r="J378" t="s">
        <v>1359</v>
      </c>
      <c r="K378" s="120">
        <v>6.3</v>
      </c>
      <c r="L378" s="9"/>
      <c r="M378" s="7"/>
    </row>
    <row r="379" spans="1:13" hidden="1" x14ac:dyDescent="0.25">
      <c r="A379" s="4"/>
      <c r="B379" s="28" t="str">
        <f>IF(ISNUMBER(MATCH(C379, Mgt_Unit!$C$5:$C$1018, 0)), INDEX(Mgt_Unit!$B$5:$B$1018, MATCH(C379, Mgt_Unit!$C$5:$C$1018, 0)), "")</f>
        <v>jennifer.moore</v>
      </c>
      <c r="C379" t="s">
        <v>716</v>
      </c>
      <c r="D379" s="45"/>
      <c r="E379" s="9" t="s">
        <v>1583</v>
      </c>
      <c r="F379" s="89">
        <v>43251</v>
      </c>
      <c r="G379" s="9"/>
      <c r="H379" s="9"/>
      <c r="I379" s="9"/>
      <c r="J379" t="s">
        <v>1361</v>
      </c>
      <c r="K379" s="120">
        <v>2.4</v>
      </c>
      <c r="L379" s="9"/>
      <c r="M379" s="7"/>
    </row>
    <row r="380" spans="1:13" hidden="1" x14ac:dyDescent="0.25">
      <c r="A380" s="4"/>
      <c r="B380" s="28" t="str">
        <f>IF(ISNUMBER(MATCH(C380, Mgt_Unit!$C$5:$C$1018, 0)), INDEX(Mgt_Unit!$B$5:$B$1018, MATCH(C380, Mgt_Unit!$C$5:$C$1018, 0)), "")</f>
        <v>jennifer.moore</v>
      </c>
      <c r="C380" t="s">
        <v>717</v>
      </c>
      <c r="D380" s="45"/>
      <c r="E380" s="9" t="s">
        <v>1583</v>
      </c>
      <c r="F380" s="89">
        <v>43260</v>
      </c>
      <c r="G380" s="9"/>
      <c r="H380" s="9"/>
      <c r="I380" s="9"/>
      <c r="J380" t="s">
        <v>1352</v>
      </c>
      <c r="K380" s="120">
        <v>39</v>
      </c>
      <c r="L380" s="9"/>
      <c r="M380" s="7"/>
    </row>
    <row r="381" spans="1:13" hidden="1" x14ac:dyDescent="0.25">
      <c r="A381" s="4"/>
      <c r="B381" s="28" t="str">
        <f>IF(ISNUMBER(MATCH(C381, Mgt_Unit!$C$5:$C$1018, 0)), INDEX(Mgt_Unit!$B$5:$B$1018, MATCH(C381, Mgt_Unit!$C$5:$C$1018, 0)), "")</f>
        <v>jennifer.moore</v>
      </c>
      <c r="C381" t="s">
        <v>717</v>
      </c>
      <c r="D381" s="45"/>
      <c r="E381" s="9" t="s">
        <v>1583</v>
      </c>
      <c r="F381" s="89">
        <v>43257</v>
      </c>
      <c r="G381" s="9"/>
      <c r="H381" s="9"/>
      <c r="I381" s="9"/>
      <c r="J381" t="s">
        <v>1363</v>
      </c>
      <c r="K381" s="120">
        <v>20</v>
      </c>
      <c r="L381" s="9"/>
      <c r="M381" s="7"/>
    </row>
    <row r="382" spans="1:13" hidden="1" x14ac:dyDescent="0.25">
      <c r="A382" s="4"/>
      <c r="B382" s="28" t="str">
        <f>IF(ISNUMBER(MATCH(C382, Mgt_Unit!$C$5:$C$1018, 0)), INDEX(Mgt_Unit!$B$5:$B$1018, MATCH(C382, Mgt_Unit!$C$5:$C$1018, 0)), "")</f>
        <v>jennifer.moore</v>
      </c>
      <c r="C382" t="s">
        <v>717</v>
      </c>
      <c r="D382" s="45"/>
      <c r="E382" s="9" t="s">
        <v>1583</v>
      </c>
      <c r="F382" s="89">
        <v>43280</v>
      </c>
      <c r="G382" s="9"/>
      <c r="H382" s="9"/>
      <c r="I382" s="9"/>
      <c r="J382" t="s">
        <v>1361</v>
      </c>
      <c r="K382" s="120">
        <v>2.4</v>
      </c>
      <c r="L382" s="9"/>
      <c r="M382" s="7"/>
    </row>
    <row r="383" spans="1:13" hidden="1" x14ac:dyDescent="0.25">
      <c r="A383" s="4"/>
      <c r="B383" s="28" t="str">
        <f>IF(ISNUMBER(MATCH(C383, Mgt_Unit!$C$5:$C$1018, 0)), INDEX(Mgt_Unit!$B$5:$B$1018, MATCH(C383, Mgt_Unit!$C$5:$C$1018, 0)), "")</f>
        <v>jennifer.moore</v>
      </c>
      <c r="C383" t="s">
        <v>718</v>
      </c>
      <c r="D383" s="45"/>
      <c r="E383" s="9" t="s">
        <v>1583</v>
      </c>
      <c r="F383" s="89">
        <v>43260</v>
      </c>
      <c r="G383" s="9"/>
      <c r="H383" s="9"/>
      <c r="I383" s="9"/>
      <c r="J383" t="s">
        <v>1362</v>
      </c>
      <c r="K383" s="120">
        <v>2.2000000000000002</v>
      </c>
      <c r="L383" s="9"/>
      <c r="M383" s="7"/>
    </row>
    <row r="384" spans="1:13" hidden="1" x14ac:dyDescent="0.25">
      <c r="A384" s="4"/>
      <c r="B384" s="28" t="str">
        <f>IF(ISNUMBER(MATCH(C384, Mgt_Unit!$C$5:$C$1018, 0)), INDEX(Mgt_Unit!$B$5:$B$1018, MATCH(C384, Mgt_Unit!$C$5:$C$1018, 0)), "")</f>
        <v>jennifer.moore</v>
      </c>
      <c r="C384" t="s">
        <v>718</v>
      </c>
      <c r="D384" s="45"/>
      <c r="E384" s="9" t="s">
        <v>1583</v>
      </c>
      <c r="F384" s="89">
        <v>43280</v>
      </c>
      <c r="G384" s="9"/>
      <c r="H384" s="9"/>
      <c r="I384" s="9"/>
      <c r="J384" t="s">
        <v>1361</v>
      </c>
      <c r="K384" s="120">
        <v>2.4</v>
      </c>
      <c r="L384" s="9"/>
      <c r="M384" s="7"/>
    </row>
    <row r="385" spans="1:13" hidden="1" x14ac:dyDescent="0.25">
      <c r="A385" s="4"/>
      <c r="B385" s="28" t="str">
        <f>IF(ISNUMBER(MATCH(C385, Mgt_Unit!$C$5:$C$1018, 0)), INDEX(Mgt_Unit!$B$5:$B$1018, MATCH(C385, Mgt_Unit!$C$5:$C$1018, 0)), "")</f>
        <v>jennifer.moore</v>
      </c>
      <c r="C385" t="s">
        <v>718</v>
      </c>
      <c r="D385" s="45"/>
      <c r="E385" s="9" t="s">
        <v>1583</v>
      </c>
      <c r="F385" s="89">
        <v>43625</v>
      </c>
      <c r="G385" s="9"/>
      <c r="H385" s="9"/>
      <c r="I385" s="9"/>
      <c r="J385" t="s">
        <v>1362</v>
      </c>
      <c r="K385" s="120">
        <v>2.2000000000000002</v>
      </c>
      <c r="L385" s="9"/>
      <c r="M385" s="7"/>
    </row>
    <row r="386" spans="1:13" hidden="1" x14ac:dyDescent="0.25">
      <c r="A386" s="4"/>
      <c r="B386" s="28" t="str">
        <f>IF(ISNUMBER(MATCH(C386, Mgt_Unit!$C$5:$C$1018, 0)), INDEX(Mgt_Unit!$B$5:$B$1018, MATCH(C386, Mgt_Unit!$C$5:$C$1018, 0)), "")</f>
        <v>jennifer.moore</v>
      </c>
      <c r="C386" t="s">
        <v>718</v>
      </c>
      <c r="D386" s="45"/>
      <c r="E386" s="9" t="s">
        <v>1583</v>
      </c>
      <c r="F386" s="89">
        <v>43645</v>
      </c>
      <c r="G386" s="9"/>
      <c r="H386" s="9"/>
      <c r="I386" s="9"/>
      <c r="J386" t="s">
        <v>1361</v>
      </c>
      <c r="K386" s="120">
        <v>2.4</v>
      </c>
      <c r="L386" s="9"/>
      <c r="M386" s="7"/>
    </row>
    <row r="387" spans="1:13" hidden="1" x14ac:dyDescent="0.25">
      <c r="A387" s="4"/>
      <c r="B387" s="28" t="str">
        <f>IF(ISNUMBER(MATCH(C387, Mgt_Unit!$C$5:$C$1018, 0)), INDEX(Mgt_Unit!$B$5:$B$1018, MATCH(C387, Mgt_Unit!$C$5:$C$1018, 0)), "")</f>
        <v>jennifer.moore</v>
      </c>
      <c r="C387" t="s">
        <v>719</v>
      </c>
      <c r="D387" s="45"/>
      <c r="E387" s="9" t="s">
        <v>1583</v>
      </c>
      <c r="F387" s="89">
        <v>43260</v>
      </c>
      <c r="G387" s="9"/>
      <c r="H387" s="9"/>
      <c r="I387" s="9"/>
      <c r="J387" t="s">
        <v>1352</v>
      </c>
      <c r="K387" s="120">
        <v>39</v>
      </c>
      <c r="L387" s="9"/>
      <c r="M387" s="7"/>
    </row>
    <row r="388" spans="1:13" hidden="1" x14ac:dyDescent="0.25">
      <c r="A388" s="4"/>
      <c r="B388" s="28" t="str">
        <f>IF(ISNUMBER(MATCH(C388, Mgt_Unit!$C$5:$C$1018, 0)), INDEX(Mgt_Unit!$B$5:$B$1018, MATCH(C388, Mgt_Unit!$C$5:$C$1018, 0)), "")</f>
        <v>jennifer.moore</v>
      </c>
      <c r="C388" t="s">
        <v>719</v>
      </c>
      <c r="D388" s="45"/>
      <c r="E388" s="9" t="s">
        <v>1583</v>
      </c>
      <c r="F388" s="89">
        <v>43260</v>
      </c>
      <c r="G388" s="9"/>
      <c r="H388" s="9"/>
      <c r="I388" s="9"/>
      <c r="J388" t="s">
        <v>1363</v>
      </c>
      <c r="K388" s="120">
        <v>20</v>
      </c>
      <c r="L388" s="9"/>
      <c r="M388" s="7"/>
    </row>
    <row r="389" spans="1:13" hidden="1" x14ac:dyDescent="0.25">
      <c r="A389" s="4"/>
      <c r="B389" s="28" t="str">
        <f>IF(ISNUMBER(MATCH(C389, Mgt_Unit!$C$5:$C$1018, 0)), INDEX(Mgt_Unit!$B$5:$B$1018, MATCH(C389, Mgt_Unit!$C$5:$C$1018, 0)), "")</f>
        <v>jennifer.moore</v>
      </c>
      <c r="C389" t="s">
        <v>719</v>
      </c>
      <c r="D389" s="45"/>
      <c r="E389" s="9" t="s">
        <v>1583</v>
      </c>
      <c r="F389" s="89">
        <v>43280</v>
      </c>
      <c r="G389" s="9"/>
      <c r="H389" s="9"/>
      <c r="I389" s="9"/>
      <c r="J389" t="s">
        <v>1361</v>
      </c>
      <c r="K389" s="120">
        <v>2.4</v>
      </c>
      <c r="L389" s="9"/>
      <c r="M389" s="7"/>
    </row>
    <row r="390" spans="1:13" hidden="1" x14ac:dyDescent="0.25">
      <c r="A390" s="4"/>
      <c r="B390" s="28" t="str">
        <f>IF(ISNUMBER(MATCH(C390, Mgt_Unit!$C$5:$C$1018, 0)), INDEX(Mgt_Unit!$B$5:$B$1018, MATCH(C390, Mgt_Unit!$C$5:$C$1018, 0)), "")</f>
        <v>jennifer.moore</v>
      </c>
      <c r="C390" t="s">
        <v>720</v>
      </c>
      <c r="D390" s="45"/>
      <c r="E390" s="9" t="s">
        <v>1583</v>
      </c>
      <c r="F390" s="89">
        <v>43260</v>
      </c>
      <c r="G390" s="9"/>
      <c r="H390" s="9"/>
      <c r="I390" s="9"/>
      <c r="J390" t="s">
        <v>1362</v>
      </c>
      <c r="K390" s="120">
        <v>2.2000000000000002</v>
      </c>
      <c r="L390" s="9"/>
      <c r="M390" s="7"/>
    </row>
    <row r="391" spans="1:13" hidden="1" x14ac:dyDescent="0.25">
      <c r="A391" s="4"/>
      <c r="B391" s="28" t="str">
        <f>IF(ISNUMBER(MATCH(C391, Mgt_Unit!$C$5:$C$1018, 0)), INDEX(Mgt_Unit!$B$5:$B$1018, MATCH(C391, Mgt_Unit!$C$5:$C$1018, 0)), "")</f>
        <v>jennifer.moore</v>
      </c>
      <c r="C391" t="s">
        <v>720</v>
      </c>
      <c r="D391" s="45"/>
      <c r="E391" s="9" t="s">
        <v>1583</v>
      </c>
      <c r="F391" s="89">
        <v>43280</v>
      </c>
      <c r="G391" s="9"/>
      <c r="H391" s="9"/>
      <c r="I391" s="9"/>
      <c r="J391" t="s">
        <v>1361</v>
      </c>
      <c r="K391" s="120">
        <v>2.4</v>
      </c>
      <c r="L391" s="9"/>
      <c r="M391" s="7"/>
    </row>
    <row r="392" spans="1:13" hidden="1" x14ac:dyDescent="0.25">
      <c r="A392" s="4"/>
      <c r="B392" s="28" t="str">
        <f>IF(ISNUMBER(MATCH(C392, Mgt_Unit!$C$5:$C$1018, 0)), INDEX(Mgt_Unit!$B$5:$B$1018, MATCH(C392, Mgt_Unit!$C$5:$C$1018, 0)), "")</f>
        <v>jennifer.moore</v>
      </c>
      <c r="C392" t="s">
        <v>721</v>
      </c>
      <c r="D392" s="45"/>
      <c r="E392" s="9" t="s">
        <v>1583</v>
      </c>
      <c r="F392" s="89">
        <v>43260</v>
      </c>
      <c r="G392" s="9"/>
      <c r="H392" s="9"/>
      <c r="I392" s="9"/>
      <c r="J392" t="s">
        <v>1362</v>
      </c>
      <c r="K392" s="120">
        <v>2.2000000000000002</v>
      </c>
      <c r="L392" s="9"/>
      <c r="M392" s="7"/>
    </row>
    <row r="393" spans="1:13" hidden="1" x14ac:dyDescent="0.25">
      <c r="A393" s="4"/>
      <c r="B393" s="28" t="str">
        <f>IF(ISNUMBER(MATCH(C393, Mgt_Unit!$C$5:$C$1018, 0)), INDEX(Mgt_Unit!$B$5:$B$1018, MATCH(C393, Mgt_Unit!$C$5:$C$1018, 0)), "")</f>
        <v>jennifer.moore</v>
      </c>
      <c r="C393" t="s">
        <v>721</v>
      </c>
      <c r="D393" s="45"/>
      <c r="E393" s="9" t="s">
        <v>1583</v>
      </c>
      <c r="F393" s="89">
        <v>43280</v>
      </c>
      <c r="G393" s="9"/>
      <c r="H393" s="9"/>
      <c r="I393" s="9"/>
      <c r="J393" t="s">
        <v>1361</v>
      </c>
      <c r="K393" s="120">
        <v>2.4</v>
      </c>
      <c r="L393" s="9"/>
      <c r="M393" s="7"/>
    </row>
    <row r="394" spans="1:13" hidden="1" x14ac:dyDescent="0.25">
      <c r="A394" s="4"/>
      <c r="B394" s="28" t="str">
        <f>IF(ISNUMBER(MATCH(C394, Mgt_Unit!$C$5:$C$1018, 0)), INDEX(Mgt_Unit!$B$5:$B$1018, MATCH(C394, Mgt_Unit!$C$5:$C$1018, 0)), "")</f>
        <v>jennifer.moore</v>
      </c>
      <c r="C394" t="s">
        <v>722</v>
      </c>
      <c r="D394" s="45"/>
      <c r="E394" s="9" t="s">
        <v>1583</v>
      </c>
      <c r="F394" s="89">
        <v>43260</v>
      </c>
      <c r="G394" s="9"/>
      <c r="H394" s="9"/>
      <c r="I394" s="9"/>
      <c r="J394" t="s">
        <v>1362</v>
      </c>
      <c r="K394" s="120">
        <v>2.2000000000000002</v>
      </c>
      <c r="L394" s="9"/>
      <c r="M394" s="7"/>
    </row>
    <row r="395" spans="1:13" hidden="1" x14ac:dyDescent="0.25">
      <c r="A395" s="4"/>
      <c r="B395" s="28" t="str">
        <f>IF(ISNUMBER(MATCH(C395, Mgt_Unit!$C$5:$C$1018, 0)), INDEX(Mgt_Unit!$B$5:$B$1018, MATCH(C395, Mgt_Unit!$C$5:$C$1018, 0)), "")</f>
        <v>jennifer.moore</v>
      </c>
      <c r="C395" t="s">
        <v>722</v>
      </c>
      <c r="D395" s="45"/>
      <c r="E395" s="9" t="s">
        <v>1583</v>
      </c>
      <c r="F395" s="89">
        <v>43280</v>
      </c>
      <c r="G395" s="9"/>
      <c r="H395" s="9"/>
      <c r="I395" s="9"/>
      <c r="J395" t="s">
        <v>1359</v>
      </c>
      <c r="K395" s="120">
        <v>6.3</v>
      </c>
      <c r="L395" s="9"/>
      <c r="M395" s="7"/>
    </row>
    <row r="396" spans="1:13" hidden="1" x14ac:dyDescent="0.25">
      <c r="A396" s="4"/>
      <c r="B396" s="28" t="str">
        <f>IF(ISNUMBER(MATCH(C396, Mgt_Unit!$C$5:$C$1018, 0)), INDEX(Mgt_Unit!$B$5:$B$1018, MATCH(C396, Mgt_Unit!$C$5:$C$1018, 0)), "")</f>
        <v>jennifer.moore</v>
      </c>
      <c r="C396" t="s">
        <v>722</v>
      </c>
      <c r="D396" s="45"/>
      <c r="E396" s="9" t="s">
        <v>1583</v>
      </c>
      <c r="F396" s="89">
        <v>43625</v>
      </c>
      <c r="G396" s="9"/>
      <c r="H396" s="9"/>
      <c r="I396" s="9"/>
      <c r="J396" t="s">
        <v>1362</v>
      </c>
      <c r="K396" s="120">
        <v>2.2000000000000002</v>
      </c>
      <c r="L396" s="9"/>
      <c r="M396" s="7"/>
    </row>
    <row r="397" spans="1:13" hidden="1" x14ac:dyDescent="0.25">
      <c r="A397" s="4"/>
      <c r="B397" s="28" t="str">
        <f>IF(ISNUMBER(MATCH(C397, Mgt_Unit!$C$5:$C$1018, 0)), INDEX(Mgt_Unit!$B$5:$B$1018, MATCH(C397, Mgt_Unit!$C$5:$C$1018, 0)), "")</f>
        <v>jennifer.moore</v>
      </c>
      <c r="C397" t="s">
        <v>722</v>
      </c>
      <c r="D397" s="45"/>
      <c r="E397" s="9" t="s">
        <v>1583</v>
      </c>
      <c r="F397" s="89">
        <v>43645</v>
      </c>
      <c r="G397" s="9"/>
      <c r="H397" s="9"/>
      <c r="I397" s="9"/>
      <c r="J397" t="s">
        <v>1361</v>
      </c>
      <c r="K397" s="120">
        <v>2.4</v>
      </c>
      <c r="L397" s="9"/>
      <c r="M397" s="7"/>
    </row>
    <row r="398" spans="1:13" hidden="1" x14ac:dyDescent="0.25">
      <c r="A398" s="4"/>
      <c r="B398" s="28" t="str">
        <f>IF(ISNUMBER(MATCH(C398, Mgt_Unit!$C$5:$C$1018, 0)), INDEX(Mgt_Unit!$B$5:$B$1018, MATCH(C398, Mgt_Unit!$C$5:$C$1018, 0)), "")</f>
        <v>jennifer.moore</v>
      </c>
      <c r="C398" t="s">
        <v>723</v>
      </c>
      <c r="D398" s="45"/>
      <c r="E398" s="9" t="s">
        <v>1583</v>
      </c>
      <c r="F398" s="89">
        <v>43260</v>
      </c>
      <c r="G398" s="9"/>
      <c r="H398" s="9"/>
      <c r="I398" s="9"/>
      <c r="J398" t="s">
        <v>1362</v>
      </c>
      <c r="K398" s="120">
        <v>2.2000000000000002</v>
      </c>
      <c r="L398" s="9"/>
      <c r="M398" s="7"/>
    </row>
    <row r="399" spans="1:13" hidden="1" x14ac:dyDescent="0.25">
      <c r="A399" s="4"/>
      <c r="B399" s="28" t="str">
        <f>IF(ISNUMBER(MATCH(C399, Mgt_Unit!$C$5:$C$1018, 0)), INDEX(Mgt_Unit!$B$5:$B$1018, MATCH(C399, Mgt_Unit!$C$5:$C$1018, 0)), "")</f>
        <v>jennifer.moore</v>
      </c>
      <c r="C399" t="s">
        <v>723</v>
      </c>
      <c r="D399" s="45"/>
      <c r="E399" s="9" t="s">
        <v>1583</v>
      </c>
      <c r="F399" s="89">
        <v>43280</v>
      </c>
      <c r="G399" s="9"/>
      <c r="H399" s="9"/>
      <c r="I399" s="9"/>
      <c r="J399" t="s">
        <v>1361</v>
      </c>
      <c r="K399" s="120">
        <v>2.4</v>
      </c>
      <c r="L399" s="9"/>
      <c r="M399" s="7"/>
    </row>
    <row r="400" spans="1:13" hidden="1" x14ac:dyDescent="0.25">
      <c r="A400" s="4"/>
      <c r="B400" s="28" t="str">
        <f>IF(ISNUMBER(MATCH(C400, Mgt_Unit!$C$5:$C$1018, 0)), INDEX(Mgt_Unit!$B$5:$B$1018, MATCH(C400, Mgt_Unit!$C$5:$C$1018, 0)), "")</f>
        <v>jennifer.moore</v>
      </c>
      <c r="C400" t="s">
        <v>723</v>
      </c>
      <c r="D400" s="45"/>
      <c r="E400" s="9" t="s">
        <v>1583</v>
      </c>
      <c r="F400" s="89">
        <v>43625</v>
      </c>
      <c r="G400" s="9"/>
      <c r="H400" s="9"/>
      <c r="I400" s="9"/>
      <c r="J400" t="s">
        <v>1362</v>
      </c>
      <c r="K400" s="120">
        <v>2.2000000000000002</v>
      </c>
      <c r="L400" s="9"/>
      <c r="M400" s="7"/>
    </row>
    <row r="401" spans="1:13" hidden="1" x14ac:dyDescent="0.25">
      <c r="A401" s="4"/>
      <c r="B401" s="28" t="str">
        <f>IF(ISNUMBER(MATCH(C401, Mgt_Unit!$C$5:$C$1018, 0)), INDEX(Mgt_Unit!$B$5:$B$1018, MATCH(C401, Mgt_Unit!$C$5:$C$1018, 0)), "")</f>
        <v>jennifer.moore</v>
      </c>
      <c r="C401" t="s">
        <v>723</v>
      </c>
      <c r="D401" s="45"/>
      <c r="E401" s="9" t="s">
        <v>1583</v>
      </c>
      <c r="F401" s="89">
        <v>43645</v>
      </c>
      <c r="G401" s="9"/>
      <c r="H401" s="9"/>
      <c r="I401" s="9"/>
      <c r="J401" t="s">
        <v>1359</v>
      </c>
      <c r="K401" s="120">
        <v>6.3</v>
      </c>
      <c r="L401" s="9"/>
      <c r="M401" s="7"/>
    </row>
    <row r="402" spans="1:13" hidden="1" x14ac:dyDescent="0.25">
      <c r="A402" s="4"/>
      <c r="B402" s="28" t="str">
        <f>IF(ISNUMBER(MATCH(C402, Mgt_Unit!$C$5:$C$1018, 0)), INDEX(Mgt_Unit!$B$5:$B$1018, MATCH(C402, Mgt_Unit!$C$5:$C$1018, 0)), "")</f>
        <v>jennifer.moore</v>
      </c>
      <c r="C402" t="s">
        <v>724</v>
      </c>
      <c r="D402" s="45"/>
      <c r="E402" s="9" t="s">
        <v>1583</v>
      </c>
      <c r="F402" s="89">
        <v>43260</v>
      </c>
      <c r="G402" s="9"/>
      <c r="H402" s="9"/>
      <c r="I402" s="9"/>
      <c r="J402" t="s">
        <v>1362</v>
      </c>
      <c r="K402" s="120">
        <v>2.2000000000000002</v>
      </c>
      <c r="L402" s="9"/>
      <c r="M402" s="7"/>
    </row>
    <row r="403" spans="1:13" hidden="1" x14ac:dyDescent="0.25">
      <c r="A403" s="4"/>
      <c r="B403" s="28" t="str">
        <f>IF(ISNUMBER(MATCH(C403, Mgt_Unit!$C$5:$C$1018, 0)), INDEX(Mgt_Unit!$B$5:$B$1018, MATCH(C403, Mgt_Unit!$C$5:$C$1018, 0)), "")</f>
        <v>jennifer.moore</v>
      </c>
      <c r="C403" t="s">
        <v>724</v>
      </c>
      <c r="D403" s="45"/>
      <c r="E403" s="9" t="s">
        <v>1583</v>
      </c>
      <c r="F403" s="89">
        <v>43280</v>
      </c>
      <c r="G403" s="9"/>
      <c r="H403" s="9"/>
      <c r="I403" s="9"/>
      <c r="J403" t="s">
        <v>1359</v>
      </c>
      <c r="K403" s="120">
        <v>6.3</v>
      </c>
      <c r="L403" s="9"/>
      <c r="M403" s="7"/>
    </row>
    <row r="404" spans="1:13" hidden="1" x14ac:dyDescent="0.25">
      <c r="A404" s="4"/>
      <c r="B404" s="28" t="str">
        <f>IF(ISNUMBER(MATCH(C404, Mgt_Unit!$C$5:$C$1018, 0)), INDEX(Mgt_Unit!$B$5:$B$1018, MATCH(C404, Mgt_Unit!$C$5:$C$1018, 0)), "")</f>
        <v>jennifer.moore</v>
      </c>
      <c r="C404" t="s">
        <v>724</v>
      </c>
      <c r="D404" s="45"/>
      <c r="E404" s="9" t="s">
        <v>1583</v>
      </c>
      <c r="F404" s="89">
        <v>43625</v>
      </c>
      <c r="G404" s="9"/>
      <c r="H404" s="9"/>
      <c r="I404" s="9"/>
      <c r="J404" t="s">
        <v>1362</v>
      </c>
      <c r="K404" s="120">
        <v>2.2000000000000002</v>
      </c>
      <c r="L404" s="9"/>
      <c r="M404" s="7"/>
    </row>
    <row r="405" spans="1:13" hidden="1" x14ac:dyDescent="0.25">
      <c r="A405" s="4"/>
      <c r="B405" s="28" t="str">
        <f>IF(ISNUMBER(MATCH(C405, Mgt_Unit!$C$5:$C$1018, 0)), INDEX(Mgt_Unit!$B$5:$B$1018, MATCH(C405, Mgt_Unit!$C$5:$C$1018, 0)), "")</f>
        <v>jennifer.moore</v>
      </c>
      <c r="C405" t="s">
        <v>724</v>
      </c>
      <c r="D405" s="45"/>
      <c r="E405" s="9" t="s">
        <v>1583</v>
      </c>
      <c r="F405" s="89">
        <v>43645</v>
      </c>
      <c r="G405" s="9"/>
      <c r="H405" s="9"/>
      <c r="I405" s="9"/>
      <c r="J405" t="s">
        <v>1361</v>
      </c>
      <c r="K405" s="120">
        <v>2.4</v>
      </c>
      <c r="L405" s="9"/>
      <c r="M405" s="7"/>
    </row>
    <row r="406" spans="1:13" hidden="1" x14ac:dyDescent="0.25">
      <c r="A406" s="4"/>
      <c r="B406" s="28" t="str">
        <f>IF(ISNUMBER(MATCH(C406, Mgt_Unit!$C$5:$C$1018, 0)), INDEX(Mgt_Unit!$B$5:$B$1018, MATCH(C406, Mgt_Unit!$C$5:$C$1018, 0)), "")</f>
        <v>jennifer.moore</v>
      </c>
      <c r="C406" t="s">
        <v>725</v>
      </c>
      <c r="D406" s="45"/>
      <c r="E406" s="9" t="s">
        <v>1583</v>
      </c>
      <c r="F406" s="89">
        <v>43260</v>
      </c>
      <c r="G406" s="9"/>
      <c r="H406" s="9"/>
      <c r="I406" s="9"/>
      <c r="J406" t="s">
        <v>1362</v>
      </c>
      <c r="K406" s="120">
        <v>2.2000000000000002</v>
      </c>
      <c r="L406" s="9"/>
      <c r="M406" s="7"/>
    </row>
    <row r="407" spans="1:13" hidden="1" x14ac:dyDescent="0.25">
      <c r="A407" s="4"/>
      <c r="B407" s="28" t="str">
        <f>IF(ISNUMBER(MATCH(C407, Mgt_Unit!$C$5:$C$1018, 0)), INDEX(Mgt_Unit!$B$5:$B$1018, MATCH(C407, Mgt_Unit!$C$5:$C$1018, 0)), "")</f>
        <v>jennifer.moore</v>
      </c>
      <c r="C407" t="s">
        <v>725</v>
      </c>
      <c r="D407" s="45"/>
      <c r="E407" s="9" t="s">
        <v>1583</v>
      </c>
      <c r="F407" s="89">
        <v>43280</v>
      </c>
      <c r="G407" s="9"/>
      <c r="H407" s="9"/>
      <c r="I407" s="9"/>
      <c r="J407" t="s">
        <v>1361</v>
      </c>
      <c r="K407" s="120">
        <v>2.4</v>
      </c>
      <c r="L407" s="9"/>
      <c r="M407" s="7"/>
    </row>
    <row r="408" spans="1:13" hidden="1" x14ac:dyDescent="0.25">
      <c r="A408" s="4"/>
      <c r="B408" s="28" t="str">
        <f>IF(ISNUMBER(MATCH(C408, Mgt_Unit!$C$5:$C$1018, 0)), INDEX(Mgt_Unit!$B$5:$B$1018, MATCH(C408, Mgt_Unit!$C$5:$C$1018, 0)), "")</f>
        <v>jennifer.moore</v>
      </c>
      <c r="C408" t="s">
        <v>725</v>
      </c>
      <c r="D408" s="45"/>
      <c r="E408" s="9" t="s">
        <v>1583</v>
      </c>
      <c r="F408" s="89">
        <v>43625</v>
      </c>
      <c r="G408" s="9"/>
      <c r="H408" s="9"/>
      <c r="I408" s="9"/>
      <c r="J408" t="s">
        <v>1362</v>
      </c>
      <c r="K408" s="120">
        <v>2.2000000000000002</v>
      </c>
      <c r="L408" s="9"/>
      <c r="M408" s="7"/>
    </row>
    <row r="409" spans="1:13" hidden="1" x14ac:dyDescent="0.25">
      <c r="A409" s="4"/>
      <c r="B409" s="28" t="str">
        <f>IF(ISNUMBER(MATCH(C409, Mgt_Unit!$C$5:$C$1018, 0)), INDEX(Mgt_Unit!$B$5:$B$1018, MATCH(C409, Mgt_Unit!$C$5:$C$1018, 0)), "")</f>
        <v>jennifer.moore</v>
      </c>
      <c r="C409" t="s">
        <v>725</v>
      </c>
      <c r="D409" s="45"/>
      <c r="E409" s="9" t="s">
        <v>1583</v>
      </c>
      <c r="F409" s="89">
        <v>43645</v>
      </c>
      <c r="G409" s="9"/>
      <c r="H409" s="9"/>
      <c r="I409" s="9"/>
      <c r="J409" t="s">
        <v>1359</v>
      </c>
      <c r="K409" s="120">
        <v>6.3</v>
      </c>
      <c r="L409" s="9"/>
      <c r="M409" s="7"/>
    </row>
    <row r="410" spans="1:13" hidden="1" x14ac:dyDescent="0.25">
      <c r="A410" s="4"/>
      <c r="B410" s="28" t="str">
        <f>IF(ISNUMBER(MATCH(C410, Mgt_Unit!$C$5:$C$1018, 0)), INDEX(Mgt_Unit!$B$5:$B$1018, MATCH(C410, Mgt_Unit!$C$5:$C$1018, 0)), "")</f>
        <v>jennifer.moore</v>
      </c>
      <c r="C410" t="s">
        <v>726</v>
      </c>
      <c r="D410" s="45"/>
      <c r="E410" s="9" t="s">
        <v>1583</v>
      </c>
      <c r="F410" s="89">
        <v>43260</v>
      </c>
      <c r="G410" s="9"/>
      <c r="H410" s="9"/>
      <c r="I410" s="9"/>
      <c r="J410" t="s">
        <v>1362</v>
      </c>
      <c r="K410" s="120">
        <v>2.2000000000000002</v>
      </c>
      <c r="L410" s="9"/>
      <c r="M410" s="7"/>
    </row>
    <row r="411" spans="1:13" hidden="1" x14ac:dyDescent="0.25">
      <c r="A411" s="4"/>
      <c r="B411" s="28" t="str">
        <f>IF(ISNUMBER(MATCH(C411, Mgt_Unit!$C$5:$C$1018, 0)), INDEX(Mgt_Unit!$B$5:$B$1018, MATCH(C411, Mgt_Unit!$C$5:$C$1018, 0)), "")</f>
        <v>jennifer.moore</v>
      </c>
      <c r="C411" t="s">
        <v>726</v>
      </c>
      <c r="D411" s="45"/>
      <c r="E411" s="9" t="s">
        <v>1583</v>
      </c>
      <c r="F411" s="89">
        <v>43280</v>
      </c>
      <c r="G411" s="9"/>
      <c r="H411" s="9"/>
      <c r="I411" s="9"/>
      <c r="J411" t="s">
        <v>1361</v>
      </c>
      <c r="K411" s="120">
        <v>2.4</v>
      </c>
      <c r="L411" s="9"/>
      <c r="M411" s="7"/>
    </row>
    <row r="412" spans="1:13" hidden="1" x14ac:dyDescent="0.25">
      <c r="A412" s="4"/>
      <c r="B412" s="28" t="str">
        <f>IF(ISNUMBER(MATCH(C412, Mgt_Unit!$C$5:$C$1018, 0)), INDEX(Mgt_Unit!$B$5:$B$1018, MATCH(C412, Mgt_Unit!$C$5:$C$1018, 0)), "")</f>
        <v>jennifer.moore</v>
      </c>
      <c r="C412" t="s">
        <v>726</v>
      </c>
      <c r="D412" s="45"/>
      <c r="E412" s="9" t="s">
        <v>1583</v>
      </c>
      <c r="F412" s="89">
        <v>43625</v>
      </c>
      <c r="G412" s="9"/>
      <c r="H412" s="9"/>
      <c r="I412" s="9"/>
      <c r="J412" t="s">
        <v>1362</v>
      </c>
      <c r="K412" s="120">
        <v>2.2000000000000002</v>
      </c>
      <c r="L412" s="9"/>
      <c r="M412" s="7"/>
    </row>
    <row r="413" spans="1:13" hidden="1" x14ac:dyDescent="0.25">
      <c r="A413" s="4"/>
      <c r="B413" s="28" t="str">
        <f>IF(ISNUMBER(MATCH(C413, Mgt_Unit!$C$5:$C$1018, 0)), INDEX(Mgt_Unit!$B$5:$B$1018, MATCH(C413, Mgt_Unit!$C$5:$C$1018, 0)), "")</f>
        <v>jennifer.moore</v>
      </c>
      <c r="C413" t="s">
        <v>726</v>
      </c>
      <c r="D413" s="45"/>
      <c r="E413" s="9" t="s">
        <v>1583</v>
      </c>
      <c r="F413" s="89">
        <v>43645</v>
      </c>
      <c r="G413" s="9"/>
      <c r="H413" s="9"/>
      <c r="I413" s="9"/>
      <c r="J413" t="s">
        <v>1361</v>
      </c>
      <c r="K413" s="120">
        <v>2.4</v>
      </c>
      <c r="L413" s="9"/>
      <c r="M413" s="7"/>
    </row>
    <row r="414" spans="1:13" hidden="1" x14ac:dyDescent="0.25">
      <c r="A414" s="4"/>
      <c r="B414" s="28" t="str">
        <f>IF(ISNUMBER(MATCH(C414, Mgt_Unit!$C$5:$C$1018, 0)), INDEX(Mgt_Unit!$B$5:$B$1018, MATCH(C414, Mgt_Unit!$C$5:$C$1018, 0)), "")</f>
        <v>jennifer.moore</v>
      </c>
      <c r="C414" t="s">
        <v>727</v>
      </c>
      <c r="D414" s="45"/>
      <c r="E414" s="9" t="s">
        <v>1583</v>
      </c>
      <c r="F414" s="89">
        <v>43234</v>
      </c>
      <c r="G414" s="9"/>
      <c r="H414" s="9"/>
      <c r="I414" s="9"/>
      <c r="J414" t="s">
        <v>1384</v>
      </c>
      <c r="K414" s="120">
        <v>62</v>
      </c>
      <c r="L414" s="9"/>
      <c r="M414" s="7"/>
    </row>
    <row r="415" spans="1:13" hidden="1" x14ac:dyDescent="0.25">
      <c r="A415" s="4"/>
      <c r="B415" s="28" t="str">
        <f>IF(ISNUMBER(MATCH(C415, Mgt_Unit!$C$5:$C$1018, 0)), INDEX(Mgt_Unit!$B$5:$B$1018, MATCH(C415, Mgt_Unit!$C$5:$C$1018, 0)), "")</f>
        <v>jennifer.moore</v>
      </c>
      <c r="C415" t="s">
        <v>727</v>
      </c>
      <c r="D415" s="45"/>
      <c r="E415" s="9" t="s">
        <v>1583</v>
      </c>
      <c r="F415" s="89">
        <v>43235</v>
      </c>
      <c r="G415" s="9"/>
      <c r="H415" s="9"/>
      <c r="I415" s="9"/>
      <c r="J415" t="s">
        <v>1352</v>
      </c>
      <c r="K415" s="120">
        <v>39</v>
      </c>
      <c r="L415" s="9"/>
      <c r="M415" s="7"/>
    </row>
    <row r="416" spans="1:13" hidden="1" x14ac:dyDescent="0.25">
      <c r="A416" s="4"/>
      <c r="B416" s="28" t="str">
        <f>IF(ISNUMBER(MATCH(C416, Mgt_Unit!$C$5:$C$1018, 0)), INDEX(Mgt_Unit!$B$5:$B$1018, MATCH(C416, Mgt_Unit!$C$5:$C$1018, 0)), "")</f>
        <v>jennifer.moore</v>
      </c>
      <c r="C416" t="s">
        <v>727</v>
      </c>
      <c r="D416" s="45"/>
      <c r="E416" s="9" t="s">
        <v>1583</v>
      </c>
      <c r="F416" s="89">
        <v>43236</v>
      </c>
      <c r="G416" s="9"/>
      <c r="H416" s="9"/>
      <c r="I416" s="9"/>
      <c r="J416" t="s">
        <v>1385</v>
      </c>
      <c r="K416" s="120">
        <v>20</v>
      </c>
      <c r="L416" s="9"/>
      <c r="M416" s="7"/>
    </row>
    <row r="417" spans="1:13" hidden="1" x14ac:dyDescent="0.25">
      <c r="A417" s="4"/>
      <c r="B417" s="28" t="str">
        <f>IF(ISNUMBER(MATCH(C417, Mgt_Unit!$C$5:$C$1018, 0)), INDEX(Mgt_Unit!$B$5:$B$1018, MATCH(C417, Mgt_Unit!$C$5:$C$1018, 0)), "")</f>
        <v>jennifer.moore</v>
      </c>
      <c r="C417" t="s">
        <v>727</v>
      </c>
      <c r="D417" s="45"/>
      <c r="E417" s="9" t="s">
        <v>1583</v>
      </c>
      <c r="F417" s="89">
        <v>43256</v>
      </c>
      <c r="G417" s="9"/>
      <c r="H417" s="9"/>
      <c r="I417" s="9"/>
      <c r="J417" t="s">
        <v>1386</v>
      </c>
      <c r="K417" s="120">
        <v>16</v>
      </c>
      <c r="L417" s="9"/>
      <c r="M417" s="7"/>
    </row>
    <row r="418" spans="1:13" hidden="1" x14ac:dyDescent="0.25">
      <c r="A418" s="4"/>
      <c r="B418" s="28" t="str">
        <f>IF(ISNUMBER(MATCH(C418, Mgt_Unit!$C$5:$C$1018, 0)), INDEX(Mgt_Unit!$B$5:$B$1018, MATCH(C418, Mgt_Unit!$C$5:$C$1018, 0)), "")</f>
        <v>jennifer.moore</v>
      </c>
      <c r="C418" t="s">
        <v>727</v>
      </c>
      <c r="D418" s="45"/>
      <c r="E418" s="9" t="s">
        <v>1583</v>
      </c>
      <c r="F418" s="89">
        <v>43258</v>
      </c>
      <c r="G418" s="9"/>
      <c r="H418" s="9"/>
      <c r="I418" s="9"/>
      <c r="J418" t="s">
        <v>1361</v>
      </c>
      <c r="K418" s="120">
        <v>2.4</v>
      </c>
      <c r="L418" s="9"/>
      <c r="M418" s="7"/>
    </row>
    <row r="419" spans="1:13" hidden="1" x14ac:dyDescent="0.25">
      <c r="A419" s="4"/>
      <c r="B419" s="28" t="str">
        <f>IF(ISNUMBER(MATCH(C419, Mgt_Unit!$C$5:$C$1018, 0)), INDEX(Mgt_Unit!$B$5:$B$1018, MATCH(C419, Mgt_Unit!$C$5:$C$1018, 0)), "")</f>
        <v>jennifer.moore</v>
      </c>
      <c r="C419" t="s">
        <v>727</v>
      </c>
      <c r="D419" s="45"/>
      <c r="E419" s="9" t="s">
        <v>1583</v>
      </c>
      <c r="F419" s="89">
        <v>43425</v>
      </c>
      <c r="G419" s="9"/>
      <c r="H419" s="9"/>
      <c r="I419" s="9"/>
      <c r="J419" t="s">
        <v>1384</v>
      </c>
      <c r="K419" s="120">
        <v>62</v>
      </c>
      <c r="L419" s="9"/>
      <c r="M419" s="7"/>
    </row>
    <row r="420" spans="1:13" hidden="1" x14ac:dyDescent="0.25">
      <c r="A420" s="4"/>
      <c r="B420" s="28" t="str">
        <f>IF(ISNUMBER(MATCH(C420, Mgt_Unit!$C$5:$C$1018, 0)), INDEX(Mgt_Unit!$B$5:$B$1018, MATCH(C420, Mgt_Unit!$C$5:$C$1018, 0)), "")</f>
        <v>jennifer.moore</v>
      </c>
      <c r="C420" t="s">
        <v>727</v>
      </c>
      <c r="D420" s="45"/>
      <c r="E420" s="9" t="s">
        <v>1583</v>
      </c>
      <c r="F420" s="89">
        <v>43425</v>
      </c>
      <c r="G420" s="9"/>
      <c r="H420" s="9"/>
      <c r="I420" s="9"/>
      <c r="J420" t="s">
        <v>1352</v>
      </c>
      <c r="K420" s="120">
        <v>39</v>
      </c>
      <c r="L420" s="9"/>
      <c r="M420" s="7"/>
    </row>
    <row r="421" spans="1:13" hidden="1" x14ac:dyDescent="0.25">
      <c r="A421" s="4"/>
      <c r="B421" s="28" t="str">
        <f>IF(ISNUMBER(MATCH(C421, Mgt_Unit!$C$5:$C$1018, 0)), INDEX(Mgt_Unit!$B$5:$B$1018, MATCH(C421, Mgt_Unit!$C$5:$C$1018, 0)), "")</f>
        <v>jennifer.moore</v>
      </c>
      <c r="C421" t="s">
        <v>727</v>
      </c>
      <c r="D421" s="45"/>
      <c r="E421" s="9" t="s">
        <v>1583</v>
      </c>
      <c r="F421" s="89">
        <v>43427</v>
      </c>
      <c r="G421" s="9"/>
      <c r="H421" s="9"/>
      <c r="I421" s="9"/>
      <c r="J421" t="s">
        <v>1385</v>
      </c>
      <c r="K421" s="120">
        <v>20</v>
      </c>
      <c r="L421" s="9"/>
      <c r="M421" s="7"/>
    </row>
    <row r="422" spans="1:13" hidden="1" x14ac:dyDescent="0.25">
      <c r="A422" s="4"/>
      <c r="B422" s="28" t="str">
        <f>IF(ISNUMBER(MATCH(C422, Mgt_Unit!$C$5:$C$1018, 0)), INDEX(Mgt_Unit!$B$5:$B$1018, MATCH(C422, Mgt_Unit!$C$5:$C$1018, 0)), "")</f>
        <v>jennifer.moore</v>
      </c>
      <c r="C422" t="s">
        <v>727</v>
      </c>
      <c r="D422" s="45"/>
      <c r="E422" s="9" t="s">
        <v>1583</v>
      </c>
      <c r="F422" s="89">
        <v>43445</v>
      </c>
      <c r="G422" s="9"/>
      <c r="H422" s="9"/>
      <c r="I422" s="9"/>
      <c r="J422" t="s">
        <v>1386</v>
      </c>
      <c r="K422" s="120">
        <v>16</v>
      </c>
      <c r="L422" s="9"/>
      <c r="M422" s="7"/>
    </row>
    <row r="423" spans="1:13" hidden="1" x14ac:dyDescent="0.25">
      <c r="A423" s="4"/>
      <c r="B423" s="28" t="str">
        <f>IF(ISNUMBER(MATCH(C423, Mgt_Unit!$C$5:$C$1018, 0)), INDEX(Mgt_Unit!$B$5:$B$1018, MATCH(C423, Mgt_Unit!$C$5:$C$1018, 0)), "")</f>
        <v>jennifer.moore</v>
      </c>
      <c r="C423" t="s">
        <v>727</v>
      </c>
      <c r="D423" s="45"/>
      <c r="E423" s="9" t="s">
        <v>1583</v>
      </c>
      <c r="F423" s="89">
        <v>43447</v>
      </c>
      <c r="G423" s="9"/>
      <c r="H423" s="9"/>
      <c r="I423" s="9"/>
      <c r="J423" t="s">
        <v>1355</v>
      </c>
      <c r="K423" s="120">
        <v>6.3</v>
      </c>
      <c r="L423" s="9"/>
      <c r="M423" s="7"/>
    </row>
    <row r="424" spans="1:13" hidden="1" x14ac:dyDescent="0.25">
      <c r="A424" s="4"/>
      <c r="B424" s="28" t="str">
        <f>IF(ISNUMBER(MATCH(C424, Mgt_Unit!$C$5:$C$1018, 0)), INDEX(Mgt_Unit!$B$5:$B$1018, MATCH(C424, Mgt_Unit!$C$5:$C$1018, 0)), "")</f>
        <v>jennifer.moore</v>
      </c>
      <c r="C424" t="s">
        <v>728</v>
      </c>
      <c r="D424" s="45"/>
      <c r="E424" s="9" t="s">
        <v>1583</v>
      </c>
      <c r="F424" s="89">
        <v>43235</v>
      </c>
      <c r="G424" s="9"/>
      <c r="H424" s="9"/>
      <c r="I424" s="9"/>
      <c r="J424" t="s">
        <v>1352</v>
      </c>
      <c r="K424" s="120">
        <v>39</v>
      </c>
      <c r="L424" s="9"/>
      <c r="M424" s="7"/>
    </row>
    <row r="425" spans="1:13" hidden="1" x14ac:dyDescent="0.25">
      <c r="A425" s="4"/>
      <c r="B425" s="28" t="str">
        <f>IF(ISNUMBER(MATCH(C425, Mgt_Unit!$C$5:$C$1018, 0)), INDEX(Mgt_Unit!$B$5:$B$1018, MATCH(C425, Mgt_Unit!$C$5:$C$1018, 0)), "")</f>
        <v>jennifer.moore</v>
      </c>
      <c r="C425" t="s">
        <v>728</v>
      </c>
      <c r="D425" s="45"/>
      <c r="E425" s="9" t="s">
        <v>1583</v>
      </c>
      <c r="F425" s="89">
        <v>43236</v>
      </c>
      <c r="G425" s="9"/>
      <c r="H425" s="9"/>
      <c r="I425" s="9"/>
      <c r="J425" t="s">
        <v>1385</v>
      </c>
      <c r="K425" s="120">
        <v>20</v>
      </c>
      <c r="L425" s="9"/>
      <c r="M425" s="7"/>
    </row>
    <row r="426" spans="1:13" hidden="1" x14ac:dyDescent="0.25">
      <c r="A426" s="4"/>
      <c r="B426" s="28" t="str">
        <f>IF(ISNUMBER(MATCH(C426, Mgt_Unit!$C$5:$C$1018, 0)), INDEX(Mgt_Unit!$B$5:$B$1018, MATCH(C426, Mgt_Unit!$C$5:$C$1018, 0)), "")</f>
        <v>jennifer.moore</v>
      </c>
      <c r="C426" t="s">
        <v>728</v>
      </c>
      <c r="D426" s="45"/>
      <c r="E426" s="9" t="s">
        <v>1583</v>
      </c>
      <c r="F426" s="89">
        <v>43256</v>
      </c>
      <c r="G426" s="9"/>
      <c r="H426" s="9"/>
      <c r="I426" s="9"/>
      <c r="J426" t="s">
        <v>1386</v>
      </c>
      <c r="K426" s="120">
        <v>16</v>
      </c>
      <c r="L426" s="9"/>
      <c r="M426" s="7"/>
    </row>
    <row r="427" spans="1:13" hidden="1" x14ac:dyDescent="0.25">
      <c r="A427" s="4"/>
      <c r="B427" s="28" t="str">
        <f>IF(ISNUMBER(MATCH(C427, Mgt_Unit!$C$5:$C$1018, 0)), INDEX(Mgt_Unit!$B$5:$B$1018, MATCH(C427, Mgt_Unit!$C$5:$C$1018, 0)), "")</f>
        <v>jennifer.moore</v>
      </c>
      <c r="C427" t="s">
        <v>728</v>
      </c>
      <c r="D427" s="45"/>
      <c r="E427" s="9" t="s">
        <v>1583</v>
      </c>
      <c r="F427" s="89">
        <v>43258</v>
      </c>
      <c r="G427" s="9"/>
      <c r="H427" s="9"/>
      <c r="I427" s="9"/>
      <c r="J427" t="s">
        <v>1361</v>
      </c>
      <c r="K427" s="120">
        <v>2.4</v>
      </c>
      <c r="L427" s="9"/>
      <c r="M427" s="7"/>
    </row>
    <row r="428" spans="1:13" hidden="1" x14ac:dyDescent="0.25">
      <c r="A428" s="4"/>
      <c r="B428" s="28" t="str">
        <f>IF(ISNUMBER(MATCH(C428, Mgt_Unit!$C$5:$C$1018, 0)), INDEX(Mgt_Unit!$B$5:$B$1018, MATCH(C428, Mgt_Unit!$C$5:$C$1018, 0)), "")</f>
        <v>jennifer.moore</v>
      </c>
      <c r="C428" t="s">
        <v>728</v>
      </c>
      <c r="D428" s="45"/>
      <c r="E428" s="9" t="s">
        <v>1583</v>
      </c>
      <c r="F428" s="89">
        <v>43425</v>
      </c>
      <c r="G428" s="9"/>
      <c r="H428" s="9"/>
      <c r="I428" s="9"/>
      <c r="J428" t="s">
        <v>1352</v>
      </c>
      <c r="K428" s="120">
        <v>39</v>
      </c>
      <c r="L428" s="9"/>
      <c r="M428" s="7"/>
    </row>
    <row r="429" spans="1:13" hidden="1" x14ac:dyDescent="0.25">
      <c r="A429" s="4"/>
      <c r="B429" s="28" t="str">
        <f>IF(ISNUMBER(MATCH(C429, Mgt_Unit!$C$5:$C$1018, 0)), INDEX(Mgt_Unit!$B$5:$B$1018, MATCH(C429, Mgt_Unit!$C$5:$C$1018, 0)), "")</f>
        <v>jennifer.moore</v>
      </c>
      <c r="C429" t="s">
        <v>728</v>
      </c>
      <c r="D429" s="45"/>
      <c r="E429" s="9" t="s">
        <v>1583</v>
      </c>
      <c r="F429" s="89">
        <v>43427</v>
      </c>
      <c r="G429" s="9"/>
      <c r="H429" s="9"/>
      <c r="I429" s="9"/>
      <c r="J429" t="s">
        <v>1385</v>
      </c>
      <c r="K429" s="120">
        <v>20</v>
      </c>
      <c r="L429" s="9"/>
      <c r="M429" s="7"/>
    </row>
    <row r="430" spans="1:13" hidden="1" x14ac:dyDescent="0.25">
      <c r="A430" s="4"/>
      <c r="B430" s="28" t="str">
        <f>IF(ISNUMBER(MATCH(C430, Mgt_Unit!$C$5:$C$1018, 0)), INDEX(Mgt_Unit!$B$5:$B$1018, MATCH(C430, Mgt_Unit!$C$5:$C$1018, 0)), "")</f>
        <v>jennifer.moore</v>
      </c>
      <c r="C430" t="s">
        <v>728</v>
      </c>
      <c r="D430" s="45"/>
      <c r="E430" s="9" t="s">
        <v>1583</v>
      </c>
      <c r="F430" s="89">
        <v>43445</v>
      </c>
      <c r="G430" s="9"/>
      <c r="H430" s="9"/>
      <c r="I430" s="9"/>
      <c r="J430" t="s">
        <v>1386</v>
      </c>
      <c r="K430" s="120">
        <v>16</v>
      </c>
      <c r="L430" s="9"/>
      <c r="M430" s="7"/>
    </row>
    <row r="431" spans="1:13" hidden="1" x14ac:dyDescent="0.25">
      <c r="A431" s="4"/>
      <c r="B431" s="28" t="str">
        <f>IF(ISNUMBER(MATCH(C431, Mgt_Unit!$C$5:$C$1018, 0)), INDEX(Mgt_Unit!$B$5:$B$1018, MATCH(C431, Mgt_Unit!$C$5:$C$1018, 0)), "")</f>
        <v>jennifer.moore</v>
      </c>
      <c r="C431" t="s">
        <v>728</v>
      </c>
      <c r="D431" s="45"/>
      <c r="E431" s="9" t="s">
        <v>1583</v>
      </c>
      <c r="F431" s="89">
        <v>43447</v>
      </c>
      <c r="G431" s="9"/>
      <c r="H431" s="9"/>
      <c r="I431" s="9"/>
      <c r="J431" t="s">
        <v>1355</v>
      </c>
      <c r="K431" s="120">
        <v>6.3</v>
      </c>
      <c r="L431" s="9"/>
      <c r="M431" s="7"/>
    </row>
    <row r="432" spans="1:13" hidden="1" x14ac:dyDescent="0.25">
      <c r="A432" s="4"/>
      <c r="B432" s="28" t="str">
        <f>IF(ISNUMBER(MATCH(C432, Mgt_Unit!$C$5:$C$1018, 0)), INDEX(Mgt_Unit!$B$5:$B$1018, MATCH(C432, Mgt_Unit!$C$5:$C$1018, 0)), "")</f>
        <v>jennifer.moore</v>
      </c>
      <c r="C432" t="s">
        <v>729</v>
      </c>
      <c r="D432" s="45"/>
      <c r="E432" s="9" t="s">
        <v>1583</v>
      </c>
      <c r="F432" s="89">
        <v>43234</v>
      </c>
      <c r="G432" s="9"/>
      <c r="H432" s="9"/>
      <c r="I432" s="9"/>
      <c r="J432" t="s">
        <v>1387</v>
      </c>
      <c r="K432" s="120">
        <v>12</v>
      </c>
      <c r="L432" s="9"/>
      <c r="M432" s="7"/>
    </row>
    <row r="433" spans="1:13" hidden="1" x14ac:dyDescent="0.25">
      <c r="A433" s="4"/>
      <c r="B433" s="28" t="str">
        <f>IF(ISNUMBER(MATCH(C433, Mgt_Unit!$C$5:$C$1018, 0)), INDEX(Mgt_Unit!$B$5:$B$1018, MATCH(C433, Mgt_Unit!$C$5:$C$1018, 0)), "")</f>
        <v>jennifer.moore</v>
      </c>
      <c r="C433" t="s">
        <v>729</v>
      </c>
      <c r="D433" s="45"/>
      <c r="E433" s="9" t="s">
        <v>1583</v>
      </c>
      <c r="F433" s="89">
        <v>43235</v>
      </c>
      <c r="G433" s="9"/>
      <c r="H433" s="9"/>
      <c r="I433" s="9"/>
      <c r="J433" t="s">
        <v>1352</v>
      </c>
      <c r="K433" s="120">
        <v>39</v>
      </c>
      <c r="L433" s="9"/>
      <c r="M433" s="7"/>
    </row>
    <row r="434" spans="1:13" hidden="1" x14ac:dyDescent="0.25">
      <c r="A434" s="4"/>
      <c r="B434" s="28" t="str">
        <f>IF(ISNUMBER(MATCH(C434, Mgt_Unit!$C$5:$C$1018, 0)), INDEX(Mgt_Unit!$B$5:$B$1018, MATCH(C434, Mgt_Unit!$C$5:$C$1018, 0)), "")</f>
        <v>jennifer.moore</v>
      </c>
      <c r="C434" t="s">
        <v>729</v>
      </c>
      <c r="D434" s="45"/>
      <c r="E434" s="9" t="s">
        <v>1583</v>
      </c>
      <c r="F434" s="89">
        <v>43236</v>
      </c>
      <c r="G434" s="9"/>
      <c r="H434" s="9"/>
      <c r="I434" s="9"/>
      <c r="J434" t="s">
        <v>1385</v>
      </c>
      <c r="K434" s="120">
        <v>20</v>
      </c>
      <c r="L434" s="9"/>
      <c r="M434" s="7"/>
    </row>
    <row r="435" spans="1:13" hidden="1" x14ac:dyDescent="0.25">
      <c r="A435" s="4"/>
      <c r="B435" s="28" t="str">
        <f>IF(ISNUMBER(MATCH(C435, Mgt_Unit!$C$5:$C$1018, 0)), INDEX(Mgt_Unit!$B$5:$B$1018, MATCH(C435, Mgt_Unit!$C$5:$C$1018, 0)), "")</f>
        <v>jennifer.moore</v>
      </c>
      <c r="C435" t="s">
        <v>729</v>
      </c>
      <c r="D435" s="45"/>
      <c r="E435" s="9" t="s">
        <v>1583</v>
      </c>
      <c r="F435" s="89">
        <v>43256</v>
      </c>
      <c r="G435" s="9"/>
      <c r="H435" s="9"/>
      <c r="I435" s="9"/>
      <c r="J435" t="s">
        <v>1386</v>
      </c>
      <c r="K435" s="120">
        <v>16</v>
      </c>
      <c r="L435" s="9"/>
      <c r="M435" s="7"/>
    </row>
    <row r="436" spans="1:13" hidden="1" x14ac:dyDescent="0.25">
      <c r="A436" s="4"/>
      <c r="B436" s="28" t="str">
        <f>IF(ISNUMBER(MATCH(C436, Mgt_Unit!$C$5:$C$1018, 0)), INDEX(Mgt_Unit!$B$5:$B$1018, MATCH(C436, Mgt_Unit!$C$5:$C$1018, 0)), "")</f>
        <v>jennifer.moore</v>
      </c>
      <c r="C436" t="s">
        <v>729</v>
      </c>
      <c r="D436" s="45"/>
      <c r="E436" s="9" t="s">
        <v>1583</v>
      </c>
      <c r="F436" s="89">
        <v>43258</v>
      </c>
      <c r="G436" s="9"/>
      <c r="H436" s="9"/>
      <c r="I436" s="9"/>
      <c r="J436" t="s">
        <v>1361</v>
      </c>
      <c r="K436" s="120">
        <v>2.4</v>
      </c>
      <c r="L436" s="9"/>
      <c r="M436" s="7"/>
    </row>
    <row r="437" spans="1:13" hidden="1" x14ac:dyDescent="0.25">
      <c r="A437" s="4"/>
      <c r="B437" s="28" t="str">
        <f>IF(ISNUMBER(MATCH(C437, Mgt_Unit!$C$5:$C$1018, 0)), INDEX(Mgt_Unit!$B$5:$B$1018, MATCH(C437, Mgt_Unit!$C$5:$C$1018, 0)), "")</f>
        <v>jennifer.moore</v>
      </c>
      <c r="C437" t="s">
        <v>729</v>
      </c>
      <c r="D437" s="45"/>
      <c r="E437" s="9" t="s">
        <v>1583</v>
      </c>
      <c r="F437" s="89">
        <v>43425</v>
      </c>
      <c r="G437" s="9"/>
      <c r="H437" s="9"/>
      <c r="I437" s="9"/>
      <c r="J437" t="s">
        <v>1352</v>
      </c>
      <c r="K437" s="120">
        <v>39</v>
      </c>
      <c r="L437" s="9"/>
      <c r="M437" s="7"/>
    </row>
    <row r="438" spans="1:13" hidden="1" x14ac:dyDescent="0.25">
      <c r="A438" s="4"/>
      <c r="B438" s="28" t="str">
        <f>IF(ISNUMBER(MATCH(C438, Mgt_Unit!$C$5:$C$1018, 0)), INDEX(Mgt_Unit!$B$5:$B$1018, MATCH(C438, Mgt_Unit!$C$5:$C$1018, 0)), "")</f>
        <v>jennifer.moore</v>
      </c>
      <c r="C438" t="s">
        <v>729</v>
      </c>
      <c r="D438" s="45"/>
      <c r="E438" s="9" t="s">
        <v>1583</v>
      </c>
      <c r="F438" s="89">
        <v>43427</v>
      </c>
      <c r="G438" s="9"/>
      <c r="H438" s="9"/>
      <c r="I438" s="9"/>
      <c r="J438" t="s">
        <v>1385</v>
      </c>
      <c r="K438" s="120">
        <v>20</v>
      </c>
      <c r="L438" s="9"/>
      <c r="M438" s="7"/>
    </row>
    <row r="439" spans="1:13" hidden="1" x14ac:dyDescent="0.25">
      <c r="A439" s="4"/>
      <c r="B439" s="28" t="str">
        <f>IF(ISNUMBER(MATCH(C439, Mgt_Unit!$C$5:$C$1018, 0)), INDEX(Mgt_Unit!$B$5:$B$1018, MATCH(C439, Mgt_Unit!$C$5:$C$1018, 0)), "")</f>
        <v>jennifer.moore</v>
      </c>
      <c r="C439" t="s">
        <v>729</v>
      </c>
      <c r="D439" s="45"/>
      <c r="E439" s="9" t="s">
        <v>1583</v>
      </c>
      <c r="F439" s="89">
        <v>43445</v>
      </c>
      <c r="G439" s="9"/>
      <c r="H439" s="9"/>
      <c r="I439" s="9"/>
      <c r="J439" t="s">
        <v>1352</v>
      </c>
      <c r="K439" s="120">
        <v>39</v>
      </c>
      <c r="L439" s="9"/>
      <c r="M439" s="7"/>
    </row>
    <row r="440" spans="1:13" hidden="1" x14ac:dyDescent="0.25">
      <c r="A440" s="4"/>
      <c r="B440" s="28" t="str">
        <f>IF(ISNUMBER(MATCH(C440, Mgt_Unit!$C$5:$C$1018, 0)), INDEX(Mgt_Unit!$B$5:$B$1018, MATCH(C440, Mgt_Unit!$C$5:$C$1018, 0)), "")</f>
        <v>jennifer.moore</v>
      </c>
      <c r="C440" t="s">
        <v>729</v>
      </c>
      <c r="D440" s="45"/>
      <c r="E440" s="9" t="s">
        <v>1583</v>
      </c>
      <c r="F440" s="89">
        <v>43447</v>
      </c>
      <c r="G440" s="9"/>
      <c r="H440" s="9"/>
      <c r="I440" s="9"/>
      <c r="J440" t="s">
        <v>1355</v>
      </c>
      <c r="K440" s="120">
        <v>6.3</v>
      </c>
      <c r="L440" s="9"/>
      <c r="M440" s="7"/>
    </row>
    <row r="441" spans="1:13" hidden="1" x14ac:dyDescent="0.25">
      <c r="A441" s="4"/>
      <c r="B441" s="28" t="str">
        <f>IF(ISNUMBER(MATCH(C441, Mgt_Unit!$C$5:$C$1018, 0)), INDEX(Mgt_Unit!$B$5:$B$1018, MATCH(C441, Mgt_Unit!$C$5:$C$1018, 0)), "")</f>
        <v>jennifer.moore</v>
      </c>
      <c r="C441" t="s">
        <v>730</v>
      </c>
      <c r="D441" s="45"/>
      <c r="E441" s="9" t="s">
        <v>1583</v>
      </c>
      <c r="F441" s="89">
        <v>43258</v>
      </c>
      <c r="G441" s="9"/>
      <c r="H441" s="9"/>
      <c r="I441" s="9"/>
      <c r="J441" t="s">
        <v>1361</v>
      </c>
      <c r="K441" s="120">
        <v>2.4</v>
      </c>
      <c r="L441" s="9"/>
      <c r="M441" s="7"/>
    </row>
    <row r="442" spans="1:13" hidden="1" x14ac:dyDescent="0.25">
      <c r="A442" s="4"/>
      <c r="B442" s="28" t="str">
        <f>IF(ISNUMBER(MATCH(C442, Mgt_Unit!$C$5:$C$1018, 0)), INDEX(Mgt_Unit!$B$5:$B$1018, MATCH(C442, Mgt_Unit!$C$5:$C$1018, 0)), "")</f>
        <v>jennifer.moore</v>
      </c>
      <c r="C442" t="s">
        <v>730</v>
      </c>
      <c r="D442" s="45"/>
      <c r="E442" s="9" t="s">
        <v>1583</v>
      </c>
      <c r="F442" s="89">
        <v>43445</v>
      </c>
      <c r="G442" s="9"/>
      <c r="H442" s="9"/>
      <c r="I442" s="9"/>
      <c r="J442" t="s">
        <v>1355</v>
      </c>
      <c r="K442" s="120">
        <v>6.3</v>
      </c>
      <c r="L442" s="9"/>
      <c r="M442" s="7"/>
    </row>
    <row r="443" spans="1:13" hidden="1" x14ac:dyDescent="0.25">
      <c r="A443" s="4"/>
      <c r="B443" s="28" t="str">
        <f>IF(ISNUMBER(MATCH(C443, Mgt_Unit!$C$5:$C$1018, 0)), INDEX(Mgt_Unit!$B$5:$B$1018, MATCH(C443, Mgt_Unit!$C$5:$C$1018, 0)), "")</f>
        <v>jennifer.moore</v>
      </c>
      <c r="C443" t="s">
        <v>731</v>
      </c>
      <c r="D443" s="45"/>
      <c r="E443" s="9" t="s">
        <v>1583</v>
      </c>
      <c r="F443" s="89">
        <v>43258</v>
      </c>
      <c r="G443" s="9"/>
      <c r="H443" s="9"/>
      <c r="I443" s="9"/>
      <c r="J443" t="s">
        <v>1361</v>
      </c>
      <c r="K443" s="120">
        <v>2.4</v>
      </c>
      <c r="L443" s="9"/>
      <c r="M443" s="7"/>
    </row>
    <row r="444" spans="1:13" hidden="1" x14ac:dyDescent="0.25">
      <c r="A444" s="4"/>
      <c r="B444" s="28" t="str">
        <f>IF(ISNUMBER(MATCH(C444, Mgt_Unit!$C$5:$C$1018, 0)), INDEX(Mgt_Unit!$B$5:$B$1018, MATCH(C444, Mgt_Unit!$C$5:$C$1018, 0)), "")</f>
        <v>jennifer.moore</v>
      </c>
      <c r="C444" t="s">
        <v>731</v>
      </c>
      <c r="D444" s="45"/>
      <c r="E444" s="9" t="s">
        <v>1583</v>
      </c>
      <c r="F444" s="89">
        <v>43445</v>
      </c>
      <c r="G444" s="9"/>
      <c r="H444" s="9"/>
      <c r="I444" s="9"/>
      <c r="J444" t="s">
        <v>1355</v>
      </c>
      <c r="K444" s="120">
        <v>6.3</v>
      </c>
      <c r="L444" s="9"/>
      <c r="M444" s="7"/>
    </row>
    <row r="445" spans="1:13" hidden="1" x14ac:dyDescent="0.25">
      <c r="A445" s="4"/>
      <c r="B445" s="28" t="str">
        <f>IF(ISNUMBER(MATCH(C445, Mgt_Unit!$C$5:$C$1018, 0)), INDEX(Mgt_Unit!$B$5:$B$1018, MATCH(C445, Mgt_Unit!$C$5:$C$1018, 0)), "")</f>
        <v>jennifer.moore</v>
      </c>
      <c r="C445" t="s">
        <v>732</v>
      </c>
      <c r="D445" s="45"/>
      <c r="E445" s="9" t="s">
        <v>1583</v>
      </c>
      <c r="F445" s="89">
        <v>43258</v>
      </c>
      <c r="G445" s="9"/>
      <c r="H445" s="9"/>
      <c r="I445" s="9"/>
      <c r="J445" t="s">
        <v>1361</v>
      </c>
      <c r="K445" s="120">
        <v>2.4</v>
      </c>
      <c r="L445" s="9"/>
      <c r="M445" s="7"/>
    </row>
    <row r="446" spans="1:13" hidden="1" x14ac:dyDescent="0.25">
      <c r="A446" s="4"/>
      <c r="B446" s="28" t="str">
        <f>IF(ISNUMBER(MATCH(C446, Mgt_Unit!$C$5:$C$1018, 0)), INDEX(Mgt_Unit!$B$5:$B$1018, MATCH(C446, Mgt_Unit!$C$5:$C$1018, 0)), "")</f>
        <v>jennifer.moore</v>
      </c>
      <c r="C446" t="s">
        <v>732</v>
      </c>
      <c r="D446" s="45"/>
      <c r="E446" s="9" t="s">
        <v>1583</v>
      </c>
      <c r="F446" s="89">
        <v>43445</v>
      </c>
      <c r="G446" s="9"/>
      <c r="H446" s="9"/>
      <c r="I446" s="9"/>
      <c r="J446" t="s">
        <v>1355</v>
      </c>
      <c r="K446" s="120">
        <v>6.3</v>
      </c>
      <c r="L446" s="9"/>
      <c r="M446" s="7"/>
    </row>
    <row r="447" spans="1:13" hidden="1" x14ac:dyDescent="0.25">
      <c r="A447" s="4"/>
      <c r="B447" s="28" t="str">
        <f>IF(ISNUMBER(MATCH(C447, Mgt_Unit!$C$5:$C$1018, 0)), INDEX(Mgt_Unit!$B$5:$B$1018, MATCH(C447, Mgt_Unit!$C$5:$C$1018, 0)), "")</f>
        <v>jennifer.moore</v>
      </c>
      <c r="C447" t="s">
        <v>733</v>
      </c>
      <c r="D447" s="45"/>
      <c r="E447" s="9" t="s">
        <v>1583</v>
      </c>
      <c r="F447" s="89">
        <v>43258</v>
      </c>
      <c r="G447" s="9"/>
      <c r="H447" s="9"/>
      <c r="I447" s="9"/>
      <c r="J447" t="s">
        <v>1361</v>
      </c>
      <c r="K447" s="120">
        <v>2.4</v>
      </c>
      <c r="L447" s="9"/>
      <c r="M447" s="7"/>
    </row>
    <row r="448" spans="1:13" hidden="1" x14ac:dyDescent="0.25">
      <c r="A448" s="4"/>
      <c r="B448" s="28" t="str">
        <f>IF(ISNUMBER(MATCH(C448, Mgt_Unit!$C$5:$C$1018, 0)), INDEX(Mgt_Unit!$B$5:$B$1018, MATCH(C448, Mgt_Unit!$C$5:$C$1018, 0)), "")</f>
        <v>jennifer.moore</v>
      </c>
      <c r="C448" t="s">
        <v>733</v>
      </c>
      <c r="D448" s="45"/>
      <c r="E448" s="9" t="s">
        <v>1583</v>
      </c>
      <c r="F448" s="89">
        <v>43445</v>
      </c>
      <c r="G448" s="9"/>
      <c r="H448" s="9"/>
      <c r="I448" s="9"/>
      <c r="J448" t="s">
        <v>1355</v>
      </c>
      <c r="K448" s="120">
        <v>6.3</v>
      </c>
      <c r="L448" s="9"/>
      <c r="M448" s="7"/>
    </row>
    <row r="449" spans="1:13" hidden="1" x14ac:dyDescent="0.25">
      <c r="A449" s="4"/>
      <c r="B449" s="28" t="str">
        <f>IF(ISNUMBER(MATCH(C449, Mgt_Unit!$C$5:$C$1018, 0)), INDEX(Mgt_Unit!$B$5:$B$1018, MATCH(C449, Mgt_Unit!$C$5:$C$1018, 0)), "")</f>
        <v>jennifer.moore</v>
      </c>
      <c r="C449" t="s">
        <v>734</v>
      </c>
      <c r="D449" s="45"/>
      <c r="E449" s="9" t="s">
        <v>1583</v>
      </c>
      <c r="F449" s="89">
        <v>43063</v>
      </c>
      <c r="G449" s="9"/>
      <c r="H449" s="9"/>
      <c r="I449" s="9"/>
      <c r="J449" t="s">
        <v>1374</v>
      </c>
      <c r="K449" s="120">
        <v>2.2000000000000002</v>
      </c>
      <c r="L449" s="9"/>
      <c r="M449" s="7"/>
    </row>
    <row r="450" spans="1:13" hidden="1" x14ac:dyDescent="0.25">
      <c r="A450" s="4"/>
      <c r="B450" s="28" t="str">
        <f>IF(ISNUMBER(MATCH(C450, Mgt_Unit!$C$5:$C$1018, 0)), INDEX(Mgt_Unit!$B$5:$B$1018, MATCH(C450, Mgt_Unit!$C$5:$C$1018, 0)), "")</f>
        <v>jennifer.moore</v>
      </c>
      <c r="C450" t="s">
        <v>734</v>
      </c>
      <c r="D450" s="45"/>
      <c r="E450" s="9" t="s">
        <v>1583</v>
      </c>
      <c r="F450" s="89">
        <v>43110</v>
      </c>
      <c r="G450" s="9"/>
      <c r="H450" s="9"/>
      <c r="I450" s="9"/>
      <c r="J450" t="s">
        <v>1361</v>
      </c>
      <c r="K450" s="120">
        <v>2.4</v>
      </c>
      <c r="L450" s="9"/>
      <c r="M450" s="7"/>
    </row>
    <row r="451" spans="1:13" hidden="1" x14ac:dyDescent="0.25">
      <c r="A451" s="4"/>
      <c r="B451" s="28" t="str">
        <f>IF(ISNUMBER(MATCH(C451, Mgt_Unit!$C$5:$C$1018, 0)), INDEX(Mgt_Unit!$B$5:$B$1018, MATCH(C451, Mgt_Unit!$C$5:$C$1018, 0)), "")</f>
        <v>jennifer.moore</v>
      </c>
      <c r="C451" t="s">
        <v>734</v>
      </c>
      <c r="D451" s="45"/>
      <c r="E451" s="9" t="s">
        <v>1583</v>
      </c>
      <c r="F451" s="89">
        <v>43438</v>
      </c>
      <c r="G451" s="9"/>
      <c r="H451" s="9"/>
      <c r="I451" s="9"/>
      <c r="J451" t="s">
        <v>1374</v>
      </c>
      <c r="K451" s="120">
        <v>2.2000000000000002</v>
      </c>
      <c r="L451" s="9"/>
      <c r="M451" s="7"/>
    </row>
    <row r="452" spans="1:13" hidden="1" x14ac:dyDescent="0.25">
      <c r="A452" s="4"/>
      <c r="B452" s="28" t="str">
        <f>IF(ISNUMBER(MATCH(C452, Mgt_Unit!$C$5:$C$1018, 0)), INDEX(Mgt_Unit!$B$5:$B$1018, MATCH(C452, Mgt_Unit!$C$5:$C$1018, 0)), "")</f>
        <v>jennifer.moore</v>
      </c>
      <c r="C452" t="s">
        <v>734</v>
      </c>
      <c r="D452" s="45"/>
      <c r="E452" s="9" t="s">
        <v>1583</v>
      </c>
      <c r="F452" s="89">
        <v>43445</v>
      </c>
      <c r="G452" s="9"/>
      <c r="H452" s="9"/>
      <c r="I452" s="9"/>
      <c r="J452" t="s">
        <v>1361</v>
      </c>
      <c r="K452" s="120">
        <v>2.4</v>
      </c>
      <c r="L452" s="9"/>
      <c r="M452" s="7"/>
    </row>
    <row r="453" spans="1:13" hidden="1" x14ac:dyDescent="0.25">
      <c r="A453" s="4"/>
      <c r="B453" s="28" t="str">
        <f>IF(ISNUMBER(MATCH(C453, Mgt_Unit!$C$5:$C$1018, 0)), INDEX(Mgt_Unit!$B$5:$B$1018, MATCH(C453, Mgt_Unit!$C$5:$C$1018, 0)), "")</f>
        <v>jennifer.moore</v>
      </c>
      <c r="C453" t="s">
        <v>735</v>
      </c>
      <c r="D453" s="45"/>
      <c r="E453" s="9" t="s">
        <v>1583</v>
      </c>
      <c r="F453" s="89">
        <v>43063</v>
      </c>
      <c r="G453" s="9"/>
      <c r="H453" s="9"/>
      <c r="I453" s="9"/>
      <c r="J453" t="s">
        <v>1374</v>
      </c>
      <c r="K453" s="120">
        <v>2.2000000000000002</v>
      </c>
      <c r="L453" s="9"/>
      <c r="M453" s="7"/>
    </row>
    <row r="454" spans="1:13" hidden="1" x14ac:dyDescent="0.25">
      <c r="A454" s="4"/>
      <c r="B454" s="28" t="str">
        <f>IF(ISNUMBER(MATCH(C454, Mgt_Unit!$C$5:$C$1018, 0)), INDEX(Mgt_Unit!$B$5:$B$1018, MATCH(C454, Mgt_Unit!$C$5:$C$1018, 0)), "")</f>
        <v>jennifer.moore</v>
      </c>
      <c r="C454" t="s">
        <v>735</v>
      </c>
      <c r="D454" s="45"/>
      <c r="E454" s="9" t="s">
        <v>1583</v>
      </c>
      <c r="F454" s="89">
        <v>43110</v>
      </c>
      <c r="G454" s="9"/>
      <c r="H454" s="9"/>
      <c r="I454" s="9"/>
      <c r="J454" t="s">
        <v>1361</v>
      </c>
      <c r="K454" s="120">
        <v>2.4</v>
      </c>
      <c r="L454" s="9"/>
      <c r="M454" s="7"/>
    </row>
    <row r="455" spans="1:13" hidden="1" x14ac:dyDescent="0.25">
      <c r="A455" s="4"/>
      <c r="B455" s="28" t="str">
        <f>IF(ISNUMBER(MATCH(C455, Mgt_Unit!$C$5:$C$1018, 0)), INDEX(Mgt_Unit!$B$5:$B$1018, MATCH(C455, Mgt_Unit!$C$5:$C$1018, 0)), "")</f>
        <v>jennifer.moore</v>
      </c>
      <c r="C455" t="s">
        <v>735</v>
      </c>
      <c r="D455" s="45"/>
      <c r="E455" s="9" t="s">
        <v>1584</v>
      </c>
      <c r="F455" s="89">
        <v>43445</v>
      </c>
      <c r="G455" s="9"/>
      <c r="H455" s="9"/>
      <c r="I455" s="9"/>
      <c r="J455" t="s">
        <v>1361</v>
      </c>
      <c r="K455" s="120">
        <v>2.4</v>
      </c>
      <c r="L455" s="9"/>
      <c r="M455" s="7"/>
    </row>
    <row r="456" spans="1:13" hidden="1" x14ac:dyDescent="0.25">
      <c r="A456" s="4"/>
      <c r="B456" s="28" t="str">
        <f>IF(ISNUMBER(MATCH(C456, Mgt_Unit!$C$5:$C$1018, 0)), INDEX(Mgt_Unit!$B$5:$B$1018, MATCH(C456, Mgt_Unit!$C$5:$C$1018, 0)), "")</f>
        <v>jennifer.moore</v>
      </c>
      <c r="C456" t="s">
        <v>736</v>
      </c>
      <c r="D456" s="45"/>
      <c r="E456" s="9" t="s">
        <v>1583</v>
      </c>
      <c r="F456" s="89">
        <v>43063</v>
      </c>
      <c r="G456" s="9"/>
      <c r="H456" s="9"/>
      <c r="I456" s="9"/>
      <c r="J456" t="s">
        <v>1374</v>
      </c>
      <c r="K456" s="120">
        <v>2.2000000000000002</v>
      </c>
      <c r="L456" s="9"/>
      <c r="M456" s="7"/>
    </row>
    <row r="457" spans="1:13" hidden="1" x14ac:dyDescent="0.25">
      <c r="A457" s="4"/>
      <c r="B457" s="28" t="str">
        <f>IF(ISNUMBER(MATCH(C457, Mgt_Unit!$C$5:$C$1018, 0)), INDEX(Mgt_Unit!$B$5:$B$1018, MATCH(C457, Mgt_Unit!$C$5:$C$1018, 0)), "")</f>
        <v>jennifer.moore</v>
      </c>
      <c r="C457" t="s">
        <v>736</v>
      </c>
      <c r="D457" s="45"/>
      <c r="E457" s="9" t="s">
        <v>1584</v>
      </c>
      <c r="F457" s="89">
        <v>43110</v>
      </c>
      <c r="G457" s="9"/>
      <c r="H457" s="9"/>
      <c r="I457" s="9"/>
      <c r="J457" t="s">
        <v>1359</v>
      </c>
      <c r="K457" s="120">
        <v>6.3</v>
      </c>
      <c r="L457" s="9"/>
      <c r="M457" s="7"/>
    </row>
    <row r="458" spans="1:13" hidden="1" x14ac:dyDescent="0.25">
      <c r="A458" s="4"/>
      <c r="B458" s="28" t="str">
        <f>IF(ISNUMBER(MATCH(C458, Mgt_Unit!$C$5:$C$1018, 0)), INDEX(Mgt_Unit!$B$5:$B$1018, MATCH(C458, Mgt_Unit!$C$5:$C$1018, 0)), "")</f>
        <v>jennifer.moore</v>
      </c>
      <c r="C458" t="s">
        <v>736</v>
      </c>
      <c r="D458" s="45"/>
      <c r="E458" s="9" t="s">
        <v>1583</v>
      </c>
      <c r="F458" s="89">
        <v>43438</v>
      </c>
      <c r="G458" s="9"/>
      <c r="H458" s="9"/>
      <c r="I458" s="9"/>
      <c r="J458" t="s">
        <v>1374</v>
      </c>
      <c r="K458" s="120">
        <v>2.2000000000000002</v>
      </c>
      <c r="L458" s="9"/>
      <c r="M458" s="7"/>
    </row>
    <row r="459" spans="1:13" hidden="1" x14ac:dyDescent="0.25">
      <c r="A459" s="4"/>
      <c r="B459" s="28" t="str">
        <f>IF(ISNUMBER(MATCH(C459, Mgt_Unit!$C$5:$C$1018, 0)), INDEX(Mgt_Unit!$B$5:$B$1018, MATCH(C459, Mgt_Unit!$C$5:$C$1018, 0)), "")</f>
        <v>jennifer.moore</v>
      </c>
      <c r="C459" t="s">
        <v>736</v>
      </c>
      <c r="D459" s="45"/>
      <c r="E459" s="9" t="s">
        <v>1584</v>
      </c>
      <c r="F459" s="89">
        <v>43445</v>
      </c>
      <c r="G459" s="9"/>
      <c r="H459" s="9"/>
      <c r="I459" s="9"/>
      <c r="J459" t="s">
        <v>1361</v>
      </c>
      <c r="K459" s="120">
        <v>2.4</v>
      </c>
      <c r="L459" s="9"/>
      <c r="M459" s="7"/>
    </row>
    <row r="460" spans="1:13" hidden="1" x14ac:dyDescent="0.25">
      <c r="A460" s="4"/>
      <c r="B460" s="28" t="str">
        <f>IF(ISNUMBER(MATCH(C460, Mgt_Unit!$C$5:$C$1018, 0)), INDEX(Mgt_Unit!$B$5:$B$1018, MATCH(C460, Mgt_Unit!$C$5:$C$1018, 0)), "")</f>
        <v>jennifer.moore</v>
      </c>
      <c r="C460" t="s">
        <v>737</v>
      </c>
      <c r="D460" s="45"/>
      <c r="E460" s="9" t="s">
        <v>1583</v>
      </c>
      <c r="F460" s="89">
        <v>43063</v>
      </c>
      <c r="G460" s="9"/>
      <c r="H460" s="9"/>
      <c r="I460" s="9"/>
      <c r="J460" t="s">
        <v>1374</v>
      </c>
      <c r="K460" s="120">
        <v>2.2000000000000002</v>
      </c>
      <c r="L460" s="9"/>
      <c r="M460" s="7"/>
    </row>
    <row r="461" spans="1:13" hidden="1" x14ac:dyDescent="0.25">
      <c r="A461" s="4"/>
      <c r="B461" s="28" t="str">
        <f>IF(ISNUMBER(MATCH(C461, Mgt_Unit!$C$5:$C$1018, 0)), INDEX(Mgt_Unit!$B$5:$B$1018, MATCH(C461, Mgt_Unit!$C$5:$C$1018, 0)), "")</f>
        <v>jennifer.moore</v>
      </c>
      <c r="C461" t="s">
        <v>737</v>
      </c>
      <c r="D461" s="45"/>
      <c r="E461" s="9" t="s">
        <v>1584</v>
      </c>
      <c r="F461" s="89">
        <v>43110</v>
      </c>
      <c r="G461" s="9"/>
      <c r="H461" s="9"/>
      <c r="I461" s="9"/>
      <c r="J461" t="s">
        <v>1359</v>
      </c>
      <c r="K461" s="120">
        <v>6.3</v>
      </c>
      <c r="L461" s="9"/>
      <c r="M461" s="7"/>
    </row>
    <row r="462" spans="1:13" hidden="1" x14ac:dyDescent="0.25">
      <c r="A462" s="4"/>
      <c r="B462" s="28" t="str">
        <f>IF(ISNUMBER(MATCH(C462, Mgt_Unit!$C$5:$C$1018, 0)), INDEX(Mgt_Unit!$B$5:$B$1018, MATCH(C462, Mgt_Unit!$C$5:$C$1018, 0)), "")</f>
        <v>jennifer.moore</v>
      </c>
      <c r="C462" t="s">
        <v>737</v>
      </c>
      <c r="D462" s="45"/>
      <c r="E462" s="9" t="s">
        <v>1583</v>
      </c>
      <c r="F462" s="89">
        <v>43438</v>
      </c>
      <c r="G462" s="9"/>
      <c r="H462" s="9"/>
      <c r="I462" s="9"/>
      <c r="J462" t="s">
        <v>1374</v>
      </c>
      <c r="K462" s="120">
        <v>2.2000000000000002</v>
      </c>
      <c r="L462" s="9"/>
      <c r="M462" s="7"/>
    </row>
    <row r="463" spans="1:13" hidden="1" x14ac:dyDescent="0.25">
      <c r="A463" s="4"/>
      <c r="B463" s="28" t="str">
        <f>IF(ISNUMBER(MATCH(C463, Mgt_Unit!$C$5:$C$1018, 0)), INDEX(Mgt_Unit!$B$5:$B$1018, MATCH(C463, Mgt_Unit!$C$5:$C$1018, 0)), "")</f>
        <v>jennifer.moore</v>
      </c>
      <c r="C463" t="s">
        <v>737</v>
      </c>
      <c r="D463" s="45"/>
      <c r="E463" s="9" t="s">
        <v>1584</v>
      </c>
      <c r="F463" s="89">
        <v>43445</v>
      </c>
      <c r="G463" s="9"/>
      <c r="H463" s="9"/>
      <c r="I463" s="9"/>
      <c r="J463" t="s">
        <v>1361</v>
      </c>
      <c r="K463" s="120">
        <v>2.4</v>
      </c>
      <c r="L463" s="9"/>
      <c r="M463" s="7"/>
    </row>
    <row r="464" spans="1:13" hidden="1" x14ac:dyDescent="0.25">
      <c r="A464" s="4"/>
      <c r="B464" s="28" t="str">
        <f>IF(ISNUMBER(MATCH(C464, Mgt_Unit!$C$5:$C$1018, 0)), INDEX(Mgt_Unit!$B$5:$B$1018, MATCH(C464, Mgt_Unit!$C$5:$C$1018, 0)), "")</f>
        <v>jennifer.moore</v>
      </c>
      <c r="C464" t="s">
        <v>738</v>
      </c>
      <c r="D464" s="45"/>
      <c r="E464" s="9" t="s">
        <v>1583</v>
      </c>
      <c r="F464" s="89">
        <v>42992</v>
      </c>
      <c r="G464" s="9"/>
      <c r="H464" s="9"/>
      <c r="I464" s="9"/>
      <c r="J464" t="s">
        <v>1352</v>
      </c>
      <c r="K464" s="120">
        <v>39</v>
      </c>
      <c r="L464" s="9"/>
      <c r="M464" s="7"/>
    </row>
    <row r="465" spans="1:13" hidden="1" x14ac:dyDescent="0.25">
      <c r="A465" s="4"/>
      <c r="B465" s="28" t="str">
        <f>IF(ISNUMBER(MATCH(C465, Mgt_Unit!$C$5:$C$1018, 0)), INDEX(Mgt_Unit!$B$5:$B$1018, MATCH(C465, Mgt_Unit!$C$5:$C$1018, 0)), "")</f>
        <v>jennifer.moore</v>
      </c>
      <c r="C465" t="s">
        <v>738</v>
      </c>
      <c r="D465" s="45"/>
      <c r="E465" s="9" t="s">
        <v>1583</v>
      </c>
      <c r="F465" s="89">
        <v>42992</v>
      </c>
      <c r="G465" s="9"/>
      <c r="H465" s="9"/>
      <c r="I465" s="9"/>
      <c r="J465" t="s">
        <v>1352</v>
      </c>
      <c r="K465" s="120">
        <v>39</v>
      </c>
      <c r="L465" s="9"/>
      <c r="M465" s="7"/>
    </row>
    <row r="466" spans="1:13" hidden="1" x14ac:dyDescent="0.25">
      <c r="A466" s="4"/>
      <c r="B466" s="28" t="str">
        <f>IF(ISNUMBER(MATCH(C466, Mgt_Unit!$C$5:$C$1018, 0)), INDEX(Mgt_Unit!$B$5:$B$1018, MATCH(C466, Mgt_Unit!$C$5:$C$1018, 0)), "")</f>
        <v>jennifer.moore</v>
      </c>
      <c r="C466" t="s">
        <v>738</v>
      </c>
      <c r="D466" s="45"/>
      <c r="E466" s="9" t="s">
        <v>1583</v>
      </c>
      <c r="F466" s="89">
        <v>42992</v>
      </c>
      <c r="G466" s="9"/>
      <c r="H466" s="9"/>
      <c r="I466" s="9"/>
      <c r="J466" t="s">
        <v>1352</v>
      </c>
      <c r="K466" s="120">
        <v>39</v>
      </c>
      <c r="L466" s="9"/>
      <c r="M466" s="7"/>
    </row>
    <row r="467" spans="1:13" hidden="1" x14ac:dyDescent="0.25">
      <c r="A467" s="4"/>
      <c r="B467" s="28" t="str">
        <f>IF(ISNUMBER(MATCH(C467, Mgt_Unit!$C$5:$C$1018, 0)), INDEX(Mgt_Unit!$B$5:$B$1018, MATCH(C467, Mgt_Unit!$C$5:$C$1018, 0)), "")</f>
        <v>jennifer.moore</v>
      </c>
      <c r="C467" t="s">
        <v>738</v>
      </c>
      <c r="D467" s="45"/>
      <c r="E467" s="9" t="s">
        <v>1583</v>
      </c>
      <c r="F467" s="89">
        <v>42999</v>
      </c>
      <c r="G467" s="9"/>
      <c r="H467" s="9"/>
      <c r="I467" s="9"/>
      <c r="J467" t="s">
        <v>1363</v>
      </c>
      <c r="K467" s="120">
        <v>20</v>
      </c>
      <c r="L467" s="9"/>
      <c r="M467" s="7"/>
    </row>
    <row r="468" spans="1:13" hidden="1" x14ac:dyDescent="0.25">
      <c r="A468" s="4"/>
      <c r="B468" s="28" t="str">
        <f>IF(ISNUMBER(MATCH(C468, Mgt_Unit!$C$5:$C$1018, 0)), INDEX(Mgt_Unit!$B$5:$B$1018, MATCH(C468, Mgt_Unit!$C$5:$C$1018, 0)), "")</f>
        <v>jennifer.moore</v>
      </c>
      <c r="C468" t="s">
        <v>738</v>
      </c>
      <c r="D468" s="45"/>
      <c r="E468" s="9" t="s">
        <v>1583</v>
      </c>
      <c r="F468" s="89">
        <v>43063</v>
      </c>
      <c r="G468" s="9"/>
      <c r="H468" s="9"/>
      <c r="I468" s="9"/>
      <c r="J468" t="s">
        <v>1374</v>
      </c>
      <c r="K468" s="120">
        <v>2.2000000000000002</v>
      </c>
      <c r="L468" s="9"/>
      <c r="M468" s="7"/>
    </row>
    <row r="469" spans="1:13" hidden="1" x14ac:dyDescent="0.25">
      <c r="A469" s="4"/>
      <c r="B469" s="28" t="str">
        <f>IF(ISNUMBER(MATCH(C469, Mgt_Unit!$C$5:$C$1018, 0)), INDEX(Mgt_Unit!$B$5:$B$1018, MATCH(C469, Mgt_Unit!$C$5:$C$1018, 0)), "")</f>
        <v>jennifer.moore</v>
      </c>
      <c r="C469" t="s">
        <v>738</v>
      </c>
      <c r="D469" s="45"/>
      <c r="E469" s="9" t="s">
        <v>1583</v>
      </c>
      <c r="F469" s="89">
        <v>43110</v>
      </c>
      <c r="G469" s="9"/>
      <c r="H469" s="9"/>
      <c r="I469" s="9"/>
      <c r="J469" t="s">
        <v>1361</v>
      </c>
      <c r="K469" s="120">
        <v>2.4</v>
      </c>
      <c r="L469" s="9"/>
      <c r="M469" s="7"/>
    </row>
    <row r="470" spans="1:13" hidden="1" x14ac:dyDescent="0.25">
      <c r="A470" s="4"/>
      <c r="B470" s="28" t="str">
        <f>IF(ISNUMBER(MATCH(C470, Mgt_Unit!$C$5:$C$1018, 0)), INDEX(Mgt_Unit!$B$5:$B$1018, MATCH(C470, Mgt_Unit!$C$5:$C$1018, 0)), "")</f>
        <v>jennifer.moore</v>
      </c>
      <c r="C470" t="s">
        <v>738</v>
      </c>
      <c r="D470" s="45"/>
      <c r="E470" s="9" t="s">
        <v>1583</v>
      </c>
      <c r="F470" s="89">
        <v>43340</v>
      </c>
      <c r="G470" s="9"/>
      <c r="H470" s="9"/>
      <c r="I470" s="9"/>
      <c r="J470" t="s">
        <v>1379</v>
      </c>
      <c r="K470" s="120">
        <v>78</v>
      </c>
      <c r="L470" s="9"/>
      <c r="M470" s="7"/>
    </row>
    <row r="471" spans="1:13" hidden="1" x14ac:dyDescent="0.25">
      <c r="A471" s="4"/>
      <c r="B471" s="28" t="str">
        <f>IF(ISNUMBER(MATCH(C471, Mgt_Unit!$C$5:$C$1018, 0)), INDEX(Mgt_Unit!$B$5:$B$1018, MATCH(C471, Mgt_Unit!$C$5:$C$1018, 0)), "")</f>
        <v>jennifer.moore</v>
      </c>
      <c r="C471" t="s">
        <v>738</v>
      </c>
      <c r="D471" s="45"/>
      <c r="E471" s="9" t="s">
        <v>1583</v>
      </c>
      <c r="F471" s="89">
        <v>43348</v>
      </c>
      <c r="G471" s="9"/>
      <c r="H471" s="9"/>
      <c r="I471" s="9"/>
      <c r="J471" t="s">
        <v>1388</v>
      </c>
      <c r="K471" s="120">
        <v>39</v>
      </c>
      <c r="L471" s="9"/>
      <c r="M471" s="7"/>
    </row>
    <row r="472" spans="1:13" hidden="1" x14ac:dyDescent="0.25">
      <c r="A472" s="4"/>
      <c r="B472" s="28" t="str">
        <f>IF(ISNUMBER(MATCH(C472, Mgt_Unit!$C$5:$C$1018, 0)), INDEX(Mgt_Unit!$B$5:$B$1018, MATCH(C472, Mgt_Unit!$C$5:$C$1018, 0)), "")</f>
        <v>jennifer.moore</v>
      </c>
      <c r="C472" t="s">
        <v>738</v>
      </c>
      <c r="D472" s="45"/>
      <c r="E472" s="9" t="s">
        <v>1583</v>
      </c>
      <c r="F472" s="89">
        <v>43348</v>
      </c>
      <c r="G472" s="9"/>
      <c r="H472" s="9"/>
      <c r="I472" s="9"/>
      <c r="J472" t="s">
        <v>1388</v>
      </c>
      <c r="K472" s="120">
        <v>39</v>
      </c>
      <c r="L472" s="9"/>
      <c r="M472" s="7"/>
    </row>
    <row r="473" spans="1:13" hidden="1" x14ac:dyDescent="0.25">
      <c r="A473" s="4"/>
      <c r="B473" s="28" t="str">
        <f>IF(ISNUMBER(MATCH(C473, Mgt_Unit!$C$5:$C$1018, 0)), INDEX(Mgt_Unit!$B$5:$B$1018, MATCH(C473, Mgt_Unit!$C$5:$C$1018, 0)), "")</f>
        <v>jennifer.moore</v>
      </c>
      <c r="C473" t="s">
        <v>738</v>
      </c>
      <c r="D473" s="45"/>
      <c r="E473" s="9" t="s">
        <v>1583</v>
      </c>
      <c r="F473" s="89">
        <v>43413</v>
      </c>
      <c r="G473" s="9"/>
      <c r="H473" s="9"/>
      <c r="I473" s="9"/>
      <c r="J473" t="s">
        <v>1363</v>
      </c>
      <c r="K473" s="120">
        <v>20</v>
      </c>
      <c r="L473" s="9"/>
      <c r="M473" s="7"/>
    </row>
    <row r="474" spans="1:13" hidden="1" x14ac:dyDescent="0.25">
      <c r="A474" s="4"/>
      <c r="B474" s="28" t="str">
        <f>IF(ISNUMBER(MATCH(C474, Mgt_Unit!$C$5:$C$1018, 0)), INDEX(Mgt_Unit!$B$5:$B$1018, MATCH(C474, Mgt_Unit!$C$5:$C$1018, 0)), "")</f>
        <v>jennifer.moore</v>
      </c>
      <c r="C474" t="s">
        <v>738</v>
      </c>
      <c r="D474" s="45"/>
      <c r="E474" s="9" t="s">
        <v>1583</v>
      </c>
      <c r="F474" s="89">
        <v>43438</v>
      </c>
      <c r="G474" s="9"/>
      <c r="H474" s="9"/>
      <c r="I474" s="9"/>
      <c r="J474" t="s">
        <v>1374</v>
      </c>
      <c r="K474" s="120">
        <v>2.2000000000000002</v>
      </c>
      <c r="L474" s="9"/>
      <c r="M474" s="7"/>
    </row>
    <row r="475" spans="1:13" hidden="1" x14ac:dyDescent="0.25">
      <c r="A475" s="4"/>
      <c r="B475" s="28" t="str">
        <f>IF(ISNUMBER(MATCH(C475, Mgt_Unit!$C$5:$C$1018, 0)), INDEX(Mgt_Unit!$B$5:$B$1018, MATCH(C475, Mgt_Unit!$C$5:$C$1018, 0)), "")</f>
        <v>jennifer.moore</v>
      </c>
      <c r="C475" t="s">
        <v>738</v>
      </c>
      <c r="D475" s="45"/>
      <c r="E475" s="9" t="s">
        <v>1583</v>
      </c>
      <c r="F475" s="89">
        <v>43445</v>
      </c>
      <c r="G475" s="9"/>
      <c r="H475" s="9"/>
      <c r="I475" s="9"/>
      <c r="J475" t="s">
        <v>1361</v>
      </c>
      <c r="K475" s="120">
        <v>2.4</v>
      </c>
      <c r="L475" s="9"/>
      <c r="M475" s="7"/>
    </row>
    <row r="476" spans="1:13" hidden="1" x14ac:dyDescent="0.25">
      <c r="A476" s="4"/>
      <c r="B476" s="28" t="str">
        <f>IF(ISNUMBER(MATCH(C476, Mgt_Unit!$C$5:$C$1018, 0)), INDEX(Mgt_Unit!$B$5:$B$1018, MATCH(C476, Mgt_Unit!$C$5:$C$1018, 0)), "")</f>
        <v>jennifer.moore</v>
      </c>
      <c r="C476" t="s">
        <v>739</v>
      </c>
      <c r="D476" s="45"/>
      <c r="E476" s="9" t="s">
        <v>1583</v>
      </c>
      <c r="F476" s="89">
        <v>42992</v>
      </c>
      <c r="G476" s="9"/>
      <c r="H476" s="9"/>
      <c r="I476" s="9"/>
      <c r="J476" t="s">
        <v>1389</v>
      </c>
      <c r="K476" s="120">
        <v>39</v>
      </c>
      <c r="L476" s="9"/>
      <c r="M476" s="7"/>
    </row>
    <row r="477" spans="1:13" hidden="1" x14ac:dyDescent="0.25">
      <c r="A477" s="4"/>
      <c r="B477" s="28" t="str">
        <f>IF(ISNUMBER(MATCH(C477, Mgt_Unit!$C$5:$C$1018, 0)), INDEX(Mgt_Unit!$B$5:$B$1018, MATCH(C477, Mgt_Unit!$C$5:$C$1018, 0)), "")</f>
        <v>jennifer.moore</v>
      </c>
      <c r="C477" t="s">
        <v>739</v>
      </c>
      <c r="D477" s="45"/>
      <c r="E477" s="9" t="s">
        <v>1583</v>
      </c>
      <c r="F477" s="89">
        <v>42992</v>
      </c>
      <c r="G477" s="9"/>
      <c r="H477" s="9"/>
      <c r="I477" s="9"/>
      <c r="J477" t="s">
        <v>1389</v>
      </c>
      <c r="K477" s="120">
        <v>39</v>
      </c>
      <c r="L477" s="9"/>
      <c r="M477" s="7"/>
    </row>
    <row r="478" spans="1:13" hidden="1" x14ac:dyDescent="0.25">
      <c r="A478" s="4"/>
      <c r="B478" s="28" t="str">
        <f>IF(ISNUMBER(MATCH(C478, Mgt_Unit!$C$5:$C$1018, 0)), INDEX(Mgt_Unit!$B$5:$B$1018, MATCH(C478, Mgt_Unit!$C$5:$C$1018, 0)), "")</f>
        <v>jennifer.moore</v>
      </c>
      <c r="C478" t="s">
        <v>739</v>
      </c>
      <c r="D478" s="45"/>
      <c r="E478" s="9" t="s">
        <v>1583</v>
      </c>
      <c r="F478" s="89">
        <v>42992</v>
      </c>
      <c r="G478" s="9"/>
      <c r="H478" s="9"/>
      <c r="I478" s="9"/>
      <c r="J478" t="s">
        <v>1389</v>
      </c>
      <c r="K478" s="120">
        <v>39</v>
      </c>
      <c r="L478" s="9"/>
      <c r="M478" s="7"/>
    </row>
    <row r="479" spans="1:13" hidden="1" x14ac:dyDescent="0.25">
      <c r="A479" s="4"/>
      <c r="B479" s="28" t="str">
        <f>IF(ISNUMBER(MATCH(C479, Mgt_Unit!$C$5:$C$1018, 0)), INDEX(Mgt_Unit!$B$5:$B$1018, MATCH(C479, Mgt_Unit!$C$5:$C$1018, 0)), "")</f>
        <v>jennifer.moore</v>
      </c>
      <c r="C479" t="s">
        <v>739</v>
      </c>
      <c r="D479" s="45"/>
      <c r="E479" s="9" t="s">
        <v>1583</v>
      </c>
      <c r="F479" s="89">
        <v>42999</v>
      </c>
      <c r="G479" s="9"/>
      <c r="H479" s="9"/>
      <c r="I479" s="9"/>
      <c r="J479" t="s">
        <v>1363</v>
      </c>
      <c r="K479" s="120">
        <v>20</v>
      </c>
      <c r="L479" s="9"/>
      <c r="M479" s="7"/>
    </row>
    <row r="480" spans="1:13" hidden="1" x14ac:dyDescent="0.25">
      <c r="A480" s="4"/>
      <c r="B480" s="28" t="str">
        <f>IF(ISNUMBER(MATCH(C480, Mgt_Unit!$C$5:$C$1018, 0)), INDEX(Mgt_Unit!$B$5:$B$1018, MATCH(C480, Mgt_Unit!$C$5:$C$1018, 0)), "")</f>
        <v>jennifer.moore</v>
      </c>
      <c r="C480" t="s">
        <v>739</v>
      </c>
      <c r="D480" s="45"/>
      <c r="E480" s="9" t="s">
        <v>1583</v>
      </c>
      <c r="F480" s="89">
        <v>43063</v>
      </c>
      <c r="G480" s="9"/>
      <c r="H480" s="9"/>
      <c r="I480" s="9"/>
      <c r="J480" t="s">
        <v>1374</v>
      </c>
      <c r="K480" s="120">
        <v>2.2000000000000002</v>
      </c>
      <c r="L480" s="9"/>
      <c r="M480" s="7"/>
    </row>
    <row r="481" spans="1:13" hidden="1" x14ac:dyDescent="0.25">
      <c r="A481" s="4"/>
      <c r="B481" s="28" t="str">
        <f>IF(ISNUMBER(MATCH(C481, Mgt_Unit!$C$5:$C$1018, 0)), INDEX(Mgt_Unit!$B$5:$B$1018, MATCH(C481, Mgt_Unit!$C$5:$C$1018, 0)), "")</f>
        <v>jennifer.moore</v>
      </c>
      <c r="C481" t="s">
        <v>739</v>
      </c>
      <c r="D481" s="45"/>
      <c r="E481" s="9" t="s">
        <v>1584</v>
      </c>
      <c r="F481" s="89">
        <v>43110</v>
      </c>
      <c r="G481" s="9"/>
      <c r="H481" s="9"/>
      <c r="I481" s="9"/>
      <c r="J481" t="s">
        <v>1361</v>
      </c>
      <c r="K481" s="120">
        <v>2.4</v>
      </c>
      <c r="L481" s="9"/>
      <c r="M481" s="7"/>
    </row>
    <row r="482" spans="1:13" hidden="1" x14ac:dyDescent="0.25">
      <c r="A482" s="4"/>
      <c r="B482" s="28" t="str">
        <f>IF(ISNUMBER(MATCH(C482, Mgt_Unit!$C$5:$C$1018, 0)), INDEX(Mgt_Unit!$B$5:$B$1018, MATCH(C482, Mgt_Unit!$C$5:$C$1018, 0)), "")</f>
        <v>jennifer.moore</v>
      </c>
      <c r="C482" t="s">
        <v>739</v>
      </c>
      <c r="D482" s="45"/>
      <c r="E482" s="9" t="s">
        <v>1583</v>
      </c>
      <c r="F482" s="89">
        <v>43340</v>
      </c>
      <c r="G482" s="9"/>
      <c r="H482" s="9"/>
      <c r="I482" s="9"/>
      <c r="J482" t="s">
        <v>1379</v>
      </c>
      <c r="K482" s="120">
        <v>78</v>
      </c>
      <c r="L482" s="9"/>
      <c r="M482" s="7"/>
    </row>
    <row r="483" spans="1:13" hidden="1" x14ac:dyDescent="0.25">
      <c r="A483" s="4"/>
      <c r="B483" s="28" t="str">
        <f>IF(ISNUMBER(MATCH(C483, Mgt_Unit!$C$5:$C$1018, 0)), INDEX(Mgt_Unit!$B$5:$B$1018, MATCH(C483, Mgt_Unit!$C$5:$C$1018, 0)), "")</f>
        <v>jennifer.moore</v>
      </c>
      <c r="C483" t="s">
        <v>739</v>
      </c>
      <c r="D483" s="45"/>
      <c r="E483" s="9" t="s">
        <v>1583</v>
      </c>
      <c r="F483" s="89">
        <v>43348</v>
      </c>
      <c r="G483" s="9"/>
      <c r="H483" s="9"/>
      <c r="I483" s="9"/>
      <c r="J483" t="s">
        <v>1389</v>
      </c>
      <c r="K483" s="120">
        <v>39</v>
      </c>
      <c r="L483" s="9"/>
      <c r="M483" s="7"/>
    </row>
    <row r="484" spans="1:13" hidden="1" x14ac:dyDescent="0.25">
      <c r="A484" s="4"/>
      <c r="B484" s="28" t="str">
        <f>IF(ISNUMBER(MATCH(C484, Mgt_Unit!$C$5:$C$1018, 0)), INDEX(Mgt_Unit!$B$5:$B$1018, MATCH(C484, Mgt_Unit!$C$5:$C$1018, 0)), "")</f>
        <v>jennifer.moore</v>
      </c>
      <c r="C484" t="s">
        <v>739</v>
      </c>
      <c r="D484" s="45"/>
      <c r="E484" s="9" t="s">
        <v>1583</v>
      </c>
      <c r="F484" s="89">
        <v>43348</v>
      </c>
      <c r="G484" s="9"/>
      <c r="H484" s="9"/>
      <c r="I484" s="9"/>
      <c r="J484" t="s">
        <v>1389</v>
      </c>
      <c r="K484" s="120">
        <v>39</v>
      </c>
      <c r="L484" s="9"/>
      <c r="M484" s="7"/>
    </row>
    <row r="485" spans="1:13" hidden="1" x14ac:dyDescent="0.25">
      <c r="A485" s="4"/>
      <c r="B485" s="28" t="str">
        <f>IF(ISNUMBER(MATCH(C485, Mgt_Unit!$C$5:$C$1018, 0)), INDEX(Mgt_Unit!$B$5:$B$1018, MATCH(C485, Mgt_Unit!$C$5:$C$1018, 0)), "")</f>
        <v>jennifer.moore</v>
      </c>
      <c r="C485" t="s">
        <v>739</v>
      </c>
      <c r="D485" s="45"/>
      <c r="E485" s="9" t="s">
        <v>1583</v>
      </c>
      <c r="F485" s="89">
        <v>43413</v>
      </c>
      <c r="G485" s="9"/>
      <c r="H485" s="9"/>
      <c r="I485" s="9"/>
      <c r="J485" t="s">
        <v>1363</v>
      </c>
      <c r="K485" s="120">
        <v>20</v>
      </c>
      <c r="L485" s="9"/>
      <c r="M485" s="7"/>
    </row>
    <row r="486" spans="1:13" hidden="1" x14ac:dyDescent="0.25">
      <c r="A486" s="4"/>
      <c r="B486" s="28" t="str">
        <f>IF(ISNUMBER(MATCH(C486, Mgt_Unit!$C$5:$C$1018, 0)), INDEX(Mgt_Unit!$B$5:$B$1018, MATCH(C486, Mgt_Unit!$C$5:$C$1018, 0)), "")</f>
        <v>jennifer.moore</v>
      </c>
      <c r="C486" t="s">
        <v>739</v>
      </c>
      <c r="D486" s="45"/>
      <c r="E486" s="9" t="s">
        <v>1583</v>
      </c>
      <c r="F486" s="89">
        <v>43438</v>
      </c>
      <c r="G486" s="9"/>
      <c r="H486" s="9"/>
      <c r="I486" s="9"/>
      <c r="J486" t="s">
        <v>1374</v>
      </c>
      <c r="K486" s="120">
        <v>2.2000000000000002</v>
      </c>
      <c r="L486" s="9"/>
      <c r="M486" s="7"/>
    </row>
    <row r="487" spans="1:13" hidden="1" x14ac:dyDescent="0.25">
      <c r="A487" s="4"/>
      <c r="B487" s="28" t="str">
        <f>IF(ISNUMBER(MATCH(C487, Mgt_Unit!$C$5:$C$1018, 0)), INDEX(Mgt_Unit!$B$5:$B$1018, MATCH(C487, Mgt_Unit!$C$5:$C$1018, 0)), "")</f>
        <v>jennifer.moore</v>
      </c>
      <c r="C487" t="s">
        <v>739</v>
      </c>
      <c r="D487" s="45"/>
      <c r="E487" s="9" t="s">
        <v>1583</v>
      </c>
      <c r="F487" s="89">
        <v>43445</v>
      </c>
      <c r="G487" s="9"/>
      <c r="H487" s="9"/>
      <c r="I487" s="9"/>
      <c r="J487" t="s">
        <v>1361</v>
      </c>
      <c r="K487" s="120">
        <v>2.4</v>
      </c>
      <c r="L487" s="9"/>
      <c r="M487" s="7"/>
    </row>
    <row r="488" spans="1:13" hidden="1" x14ac:dyDescent="0.25">
      <c r="A488" s="4"/>
      <c r="B488" s="28" t="str">
        <f>IF(ISNUMBER(MATCH(C488, Mgt_Unit!$C$5:$C$1018, 0)), INDEX(Mgt_Unit!$B$5:$B$1018, MATCH(C488, Mgt_Unit!$C$5:$C$1018, 0)), "")</f>
        <v>jennifer.moore</v>
      </c>
      <c r="C488" t="s">
        <v>740</v>
      </c>
      <c r="D488" s="45"/>
      <c r="E488" s="9" t="s">
        <v>1583</v>
      </c>
      <c r="F488" s="89">
        <v>43063</v>
      </c>
      <c r="G488" s="9"/>
      <c r="H488" s="9"/>
      <c r="I488" s="9"/>
      <c r="J488" t="s">
        <v>1374</v>
      </c>
      <c r="K488" s="120">
        <v>2.2000000000000002</v>
      </c>
      <c r="L488" s="9"/>
      <c r="M488" s="7"/>
    </row>
    <row r="489" spans="1:13" hidden="1" x14ac:dyDescent="0.25">
      <c r="A489" s="4"/>
      <c r="B489" s="28" t="str">
        <f>IF(ISNUMBER(MATCH(C489, Mgt_Unit!$C$5:$C$1018, 0)), INDEX(Mgt_Unit!$B$5:$B$1018, MATCH(C489, Mgt_Unit!$C$5:$C$1018, 0)), "")</f>
        <v>jennifer.moore</v>
      </c>
      <c r="C489" t="s">
        <v>740</v>
      </c>
      <c r="D489" s="45"/>
      <c r="E489" s="9" t="s">
        <v>1584</v>
      </c>
      <c r="F489" s="89">
        <v>43110</v>
      </c>
      <c r="G489" s="9"/>
      <c r="H489" s="9"/>
      <c r="I489" s="9"/>
      <c r="J489" t="s">
        <v>1359</v>
      </c>
      <c r="K489" s="120">
        <v>6.3</v>
      </c>
      <c r="L489" s="9"/>
      <c r="M489" s="7"/>
    </row>
    <row r="490" spans="1:13" hidden="1" x14ac:dyDescent="0.25">
      <c r="A490" s="4"/>
      <c r="B490" s="28" t="str">
        <f>IF(ISNUMBER(MATCH(C490, Mgt_Unit!$C$5:$C$1018, 0)), INDEX(Mgt_Unit!$B$5:$B$1018, MATCH(C490, Mgt_Unit!$C$5:$C$1018, 0)), "")</f>
        <v>jennifer.moore</v>
      </c>
      <c r="C490" t="s">
        <v>740</v>
      </c>
      <c r="D490" s="45"/>
      <c r="E490" s="9" t="s">
        <v>1583</v>
      </c>
      <c r="F490" s="89">
        <v>43438</v>
      </c>
      <c r="G490" s="9"/>
      <c r="H490" s="9"/>
      <c r="I490" s="9"/>
      <c r="J490" t="s">
        <v>1374</v>
      </c>
      <c r="K490" s="120">
        <v>2.2000000000000002</v>
      </c>
      <c r="L490" s="9"/>
      <c r="M490" s="7"/>
    </row>
    <row r="491" spans="1:13" hidden="1" x14ac:dyDescent="0.25">
      <c r="A491" s="4"/>
      <c r="B491" s="28" t="str">
        <f>IF(ISNUMBER(MATCH(C491, Mgt_Unit!$C$5:$C$1018, 0)), INDEX(Mgt_Unit!$B$5:$B$1018, MATCH(C491, Mgt_Unit!$C$5:$C$1018, 0)), "")</f>
        <v>jennifer.moore</v>
      </c>
      <c r="C491" t="s">
        <v>740</v>
      </c>
      <c r="D491" s="45"/>
      <c r="E491" s="9" t="s">
        <v>1584</v>
      </c>
      <c r="F491" s="89">
        <v>43445</v>
      </c>
      <c r="G491" s="9"/>
      <c r="H491" s="9"/>
      <c r="I491" s="9"/>
      <c r="J491" t="s">
        <v>1359</v>
      </c>
      <c r="K491" s="120">
        <v>6.3</v>
      </c>
      <c r="L491" s="9"/>
      <c r="M491" s="7"/>
    </row>
    <row r="492" spans="1:13" hidden="1" x14ac:dyDescent="0.25">
      <c r="A492" s="4"/>
      <c r="B492" s="28" t="str">
        <f>IF(ISNUMBER(MATCH(C492, Mgt_Unit!$C$5:$C$1018, 0)), INDEX(Mgt_Unit!$B$5:$B$1018, MATCH(C492, Mgt_Unit!$C$5:$C$1018, 0)), "")</f>
        <v>jennifer.moore</v>
      </c>
      <c r="C492" t="s">
        <v>741</v>
      </c>
      <c r="D492" s="45"/>
      <c r="E492" s="9" t="s">
        <v>1583</v>
      </c>
      <c r="F492" s="89">
        <v>43063</v>
      </c>
      <c r="G492" s="9"/>
      <c r="H492" s="9"/>
      <c r="I492" s="9"/>
      <c r="J492" t="s">
        <v>1374</v>
      </c>
      <c r="K492" s="120">
        <v>2.2000000000000002</v>
      </c>
      <c r="L492" s="9"/>
      <c r="M492" s="7"/>
    </row>
    <row r="493" spans="1:13" hidden="1" x14ac:dyDescent="0.25">
      <c r="A493" s="4"/>
      <c r="B493" s="28" t="str">
        <f>IF(ISNUMBER(MATCH(C493, Mgt_Unit!$C$5:$C$1018, 0)), INDEX(Mgt_Unit!$B$5:$B$1018, MATCH(C493, Mgt_Unit!$C$5:$C$1018, 0)), "")</f>
        <v>jennifer.moore</v>
      </c>
      <c r="C493" t="s">
        <v>741</v>
      </c>
      <c r="D493" s="45"/>
      <c r="E493" s="9" t="s">
        <v>1583</v>
      </c>
      <c r="F493" s="89">
        <v>43110</v>
      </c>
      <c r="G493" s="9"/>
      <c r="H493" s="9"/>
      <c r="I493" s="9"/>
      <c r="J493" t="s">
        <v>1361</v>
      </c>
      <c r="K493" s="120">
        <v>2.4</v>
      </c>
      <c r="L493" s="9"/>
      <c r="M493" s="7"/>
    </row>
    <row r="494" spans="1:13" hidden="1" x14ac:dyDescent="0.25">
      <c r="A494" s="4"/>
      <c r="B494" s="28" t="str">
        <f>IF(ISNUMBER(MATCH(C494, Mgt_Unit!$C$5:$C$1018, 0)), INDEX(Mgt_Unit!$B$5:$B$1018, MATCH(C494, Mgt_Unit!$C$5:$C$1018, 0)), "")</f>
        <v>jennifer.moore</v>
      </c>
      <c r="C494" t="s">
        <v>741</v>
      </c>
      <c r="D494" s="45"/>
      <c r="E494" s="9" t="s">
        <v>1583</v>
      </c>
      <c r="F494" s="89">
        <v>43438</v>
      </c>
      <c r="G494" s="9"/>
      <c r="H494" s="9"/>
      <c r="I494" s="9"/>
      <c r="J494" t="s">
        <v>1374</v>
      </c>
      <c r="K494" s="120">
        <v>2.2000000000000002</v>
      </c>
      <c r="L494" s="9"/>
      <c r="M494" s="7"/>
    </row>
    <row r="495" spans="1:13" hidden="1" x14ac:dyDescent="0.25">
      <c r="A495" s="4"/>
      <c r="B495" s="28" t="str">
        <f>IF(ISNUMBER(MATCH(C495, Mgt_Unit!$C$5:$C$1018, 0)), INDEX(Mgt_Unit!$B$5:$B$1018, MATCH(C495, Mgt_Unit!$C$5:$C$1018, 0)), "")</f>
        <v>jennifer.moore</v>
      </c>
      <c r="C495" t="s">
        <v>741</v>
      </c>
      <c r="D495" s="45"/>
      <c r="E495" s="9" t="s">
        <v>1583</v>
      </c>
      <c r="F495" s="89">
        <v>43445</v>
      </c>
      <c r="G495" s="9"/>
      <c r="H495" s="9"/>
      <c r="I495" s="9"/>
      <c r="J495" t="s">
        <v>1359</v>
      </c>
      <c r="K495" s="120">
        <v>6</v>
      </c>
      <c r="L495" s="9"/>
      <c r="M495" s="7"/>
    </row>
    <row r="496" spans="1:13" hidden="1" x14ac:dyDescent="0.25">
      <c r="A496" s="4"/>
      <c r="B496" s="28" t="str">
        <f>IF(ISNUMBER(MATCH(C496, Mgt_Unit!$C$5:$C$1018, 0)), INDEX(Mgt_Unit!$B$5:$B$1018, MATCH(C496, Mgt_Unit!$C$5:$C$1018, 0)), "")</f>
        <v>jennifer.moore</v>
      </c>
      <c r="C496" t="s">
        <v>742</v>
      </c>
      <c r="D496" s="45"/>
      <c r="E496" s="9" t="s">
        <v>1583</v>
      </c>
      <c r="F496" s="89">
        <v>43063</v>
      </c>
      <c r="G496" s="9"/>
      <c r="H496" s="9"/>
      <c r="I496" s="9"/>
      <c r="J496" t="s">
        <v>1374</v>
      </c>
      <c r="K496" s="120">
        <v>2.2000000000000002</v>
      </c>
      <c r="L496" s="9"/>
      <c r="M496" s="7"/>
    </row>
    <row r="497" spans="1:13" hidden="1" x14ac:dyDescent="0.25">
      <c r="A497" s="4"/>
      <c r="B497" s="28" t="str">
        <f>IF(ISNUMBER(MATCH(C497, Mgt_Unit!$C$5:$C$1018, 0)), INDEX(Mgt_Unit!$B$5:$B$1018, MATCH(C497, Mgt_Unit!$C$5:$C$1018, 0)), "")</f>
        <v>jennifer.moore</v>
      </c>
      <c r="C497" t="s">
        <v>742</v>
      </c>
      <c r="D497" s="45"/>
      <c r="E497" s="9" t="s">
        <v>1583</v>
      </c>
      <c r="F497" s="89">
        <v>43110</v>
      </c>
      <c r="G497" s="9"/>
      <c r="H497" s="9"/>
      <c r="I497" s="9"/>
      <c r="J497" t="s">
        <v>1361</v>
      </c>
      <c r="K497" s="120">
        <v>2.4</v>
      </c>
      <c r="L497" s="9"/>
      <c r="M497" s="7"/>
    </row>
    <row r="498" spans="1:13" hidden="1" x14ac:dyDescent="0.25">
      <c r="A498" s="4"/>
      <c r="B498" s="28" t="str">
        <f>IF(ISNUMBER(MATCH(C498, Mgt_Unit!$C$5:$C$1018, 0)), INDEX(Mgt_Unit!$B$5:$B$1018, MATCH(C498, Mgt_Unit!$C$5:$C$1018, 0)), "")</f>
        <v>jennifer.moore</v>
      </c>
      <c r="C498" t="s">
        <v>742</v>
      </c>
      <c r="D498" s="45"/>
      <c r="E498" s="9" t="s">
        <v>1583</v>
      </c>
      <c r="F498" s="89">
        <v>43438</v>
      </c>
      <c r="G498" s="9"/>
      <c r="H498" s="9"/>
      <c r="I498" s="9"/>
      <c r="J498" t="s">
        <v>1374</v>
      </c>
      <c r="K498" s="120">
        <v>2.2000000000000002</v>
      </c>
      <c r="L498" s="9"/>
      <c r="M498" s="7"/>
    </row>
    <row r="499" spans="1:13" hidden="1" x14ac:dyDescent="0.25">
      <c r="A499" s="4"/>
      <c r="B499" s="28" t="str">
        <f>IF(ISNUMBER(MATCH(C499, Mgt_Unit!$C$5:$C$1018, 0)), INDEX(Mgt_Unit!$B$5:$B$1018, MATCH(C499, Mgt_Unit!$C$5:$C$1018, 0)), "")</f>
        <v>jennifer.moore</v>
      </c>
      <c r="C499" t="s">
        <v>742</v>
      </c>
      <c r="D499" s="45"/>
      <c r="E499" s="9" t="s">
        <v>1583</v>
      </c>
      <c r="F499" s="89">
        <v>43445</v>
      </c>
      <c r="G499" s="9"/>
      <c r="H499" s="9"/>
      <c r="I499" s="9"/>
      <c r="J499" t="s">
        <v>1361</v>
      </c>
      <c r="K499" s="120">
        <v>2.4</v>
      </c>
      <c r="L499" s="9"/>
      <c r="M499" s="7"/>
    </row>
    <row r="500" spans="1:13" hidden="1" x14ac:dyDescent="0.25">
      <c r="A500" s="4"/>
      <c r="B500" s="28" t="str">
        <f>IF(ISNUMBER(MATCH(C500, Mgt_Unit!$C$5:$C$1018, 0)), INDEX(Mgt_Unit!$B$5:$B$1018, MATCH(C500, Mgt_Unit!$C$5:$C$1018, 0)), "")</f>
        <v>jennifer.moore</v>
      </c>
      <c r="C500" t="s">
        <v>743</v>
      </c>
      <c r="D500" s="45"/>
      <c r="E500" s="9" t="s">
        <v>1583</v>
      </c>
      <c r="F500" s="89">
        <v>43063</v>
      </c>
      <c r="G500" s="9"/>
      <c r="H500" s="9"/>
      <c r="I500" s="9"/>
      <c r="J500" t="s">
        <v>1374</v>
      </c>
      <c r="K500" s="120">
        <v>2.2000000000000002</v>
      </c>
      <c r="L500" s="9"/>
      <c r="M500" s="7"/>
    </row>
    <row r="501" spans="1:13" hidden="1" x14ac:dyDescent="0.25">
      <c r="A501" s="4"/>
      <c r="B501" s="28" t="str">
        <f>IF(ISNUMBER(MATCH(C501, Mgt_Unit!$C$5:$C$1018, 0)), INDEX(Mgt_Unit!$B$5:$B$1018, MATCH(C501, Mgt_Unit!$C$5:$C$1018, 0)), "")</f>
        <v>jennifer.moore</v>
      </c>
      <c r="C501" t="s">
        <v>743</v>
      </c>
      <c r="D501" s="45"/>
      <c r="E501" s="9" t="s">
        <v>1584</v>
      </c>
      <c r="F501" s="89">
        <v>43110</v>
      </c>
      <c r="G501" s="9"/>
      <c r="H501" s="9"/>
      <c r="I501" s="9"/>
      <c r="J501" t="s">
        <v>1361</v>
      </c>
      <c r="K501" s="120">
        <v>2.4</v>
      </c>
      <c r="L501" s="9"/>
      <c r="M501" s="7"/>
    </row>
    <row r="502" spans="1:13" hidden="1" x14ac:dyDescent="0.25">
      <c r="A502" s="4"/>
      <c r="B502" s="28" t="str">
        <f>IF(ISNUMBER(MATCH(C502, Mgt_Unit!$C$5:$C$1018, 0)), INDEX(Mgt_Unit!$B$5:$B$1018, MATCH(C502, Mgt_Unit!$C$5:$C$1018, 0)), "")</f>
        <v>jennifer.moore</v>
      </c>
      <c r="C502" t="s">
        <v>743</v>
      </c>
      <c r="D502" s="45"/>
      <c r="E502" s="9" t="s">
        <v>1583</v>
      </c>
      <c r="F502" s="89">
        <v>43438</v>
      </c>
      <c r="G502" s="9"/>
      <c r="H502" s="9"/>
      <c r="I502" s="9"/>
      <c r="J502" t="s">
        <v>1374</v>
      </c>
      <c r="K502" s="120">
        <v>2.2000000000000002</v>
      </c>
      <c r="L502" s="9"/>
      <c r="M502" s="7"/>
    </row>
    <row r="503" spans="1:13" hidden="1" x14ac:dyDescent="0.25">
      <c r="A503" s="4"/>
      <c r="B503" s="28" t="str">
        <f>IF(ISNUMBER(MATCH(C503, Mgt_Unit!$C$5:$C$1018, 0)), INDEX(Mgt_Unit!$B$5:$B$1018, MATCH(C503, Mgt_Unit!$C$5:$C$1018, 0)), "")</f>
        <v>jennifer.moore</v>
      </c>
      <c r="C503" t="s">
        <v>743</v>
      </c>
      <c r="D503" s="45"/>
      <c r="E503" s="9" t="s">
        <v>1583</v>
      </c>
      <c r="F503" s="89">
        <v>43445</v>
      </c>
      <c r="G503" s="9"/>
      <c r="H503" s="9"/>
      <c r="I503" s="9"/>
      <c r="J503" t="s">
        <v>1361</v>
      </c>
      <c r="K503" s="120">
        <v>2.4</v>
      </c>
      <c r="L503" s="9"/>
      <c r="M503" s="7"/>
    </row>
    <row r="504" spans="1:13" hidden="1" x14ac:dyDescent="0.25">
      <c r="A504" s="14"/>
      <c r="B504" s="28" t="str">
        <f>IF(ISNUMBER(MATCH(C504, Mgt_Unit!$C$5:$C$1018, 0)), INDEX(Mgt_Unit!$B$5:$B$1018, MATCH(C504, Mgt_Unit!$C$5:$C$1018, 0)), "")</f>
        <v>jennifer.moore</v>
      </c>
      <c r="C504" t="s">
        <v>744</v>
      </c>
      <c r="D504" s="45"/>
      <c r="E504" s="9" t="s">
        <v>1583</v>
      </c>
      <c r="F504" s="89">
        <v>43063</v>
      </c>
      <c r="G504" s="9"/>
      <c r="H504" s="9"/>
      <c r="I504" s="9"/>
      <c r="J504" t="s">
        <v>1374</v>
      </c>
      <c r="K504" s="120">
        <v>2.2000000000000002</v>
      </c>
      <c r="L504" s="9"/>
      <c r="M504" s="7"/>
    </row>
    <row r="505" spans="1:13" hidden="1" x14ac:dyDescent="0.25">
      <c r="A505" s="4"/>
      <c r="B505" s="28" t="str">
        <f>IF(ISNUMBER(MATCH(C505, Mgt_Unit!$C$5:$C$1018, 0)), INDEX(Mgt_Unit!$B$5:$B$1018, MATCH(C505, Mgt_Unit!$C$5:$C$1018, 0)), "")</f>
        <v>jennifer.moore</v>
      </c>
      <c r="C505" t="s">
        <v>744</v>
      </c>
      <c r="D505" s="45"/>
      <c r="E505" s="9" t="s">
        <v>1583</v>
      </c>
      <c r="F505" s="89">
        <v>43110</v>
      </c>
      <c r="G505" s="9"/>
      <c r="H505" s="9"/>
      <c r="I505" s="9"/>
      <c r="J505" t="s">
        <v>1361</v>
      </c>
      <c r="K505" s="120">
        <v>2.4</v>
      </c>
      <c r="L505" s="9"/>
      <c r="M505" s="7"/>
    </row>
    <row r="506" spans="1:13" hidden="1" x14ac:dyDescent="0.25">
      <c r="A506" s="4"/>
      <c r="B506" s="28" t="str">
        <f>IF(ISNUMBER(MATCH(C506, Mgt_Unit!$C$5:$C$1018, 0)), INDEX(Mgt_Unit!$B$5:$B$1018, MATCH(C506, Mgt_Unit!$C$5:$C$1018, 0)), "")</f>
        <v>jennifer.moore</v>
      </c>
      <c r="C506" t="s">
        <v>744</v>
      </c>
      <c r="D506" s="45"/>
      <c r="E506" s="9" t="s">
        <v>1584</v>
      </c>
      <c r="F506" s="89">
        <v>43445</v>
      </c>
      <c r="G506" s="9"/>
      <c r="H506" s="9"/>
      <c r="I506" s="9"/>
      <c r="J506" t="s">
        <v>1359</v>
      </c>
      <c r="K506" s="120">
        <v>6.3</v>
      </c>
      <c r="L506" s="9"/>
      <c r="M506" s="7"/>
    </row>
    <row r="507" spans="1:13" hidden="1" x14ac:dyDescent="0.25">
      <c r="A507" s="4"/>
      <c r="B507" s="28" t="str">
        <f>IF(ISNUMBER(MATCH(C507, Mgt_Unit!$C$5:$C$1018, 0)), INDEX(Mgt_Unit!$B$5:$B$1018, MATCH(C507, Mgt_Unit!$C$5:$C$1018, 0)), "")</f>
        <v>jennifer.moore</v>
      </c>
      <c r="C507" t="s">
        <v>745</v>
      </c>
      <c r="D507" s="45"/>
      <c r="E507" s="9" t="s">
        <v>1583</v>
      </c>
      <c r="F507" s="89">
        <v>43063</v>
      </c>
      <c r="G507" s="9"/>
      <c r="H507" s="9"/>
      <c r="I507" s="9"/>
      <c r="J507" t="s">
        <v>1374</v>
      </c>
      <c r="K507" s="120">
        <v>2.2000000000000002</v>
      </c>
      <c r="L507" s="9"/>
      <c r="M507" s="7"/>
    </row>
    <row r="508" spans="1:13" hidden="1" x14ac:dyDescent="0.25">
      <c r="A508" s="4"/>
      <c r="B508" s="28" t="str">
        <f>IF(ISNUMBER(MATCH(C508, Mgt_Unit!$C$5:$C$1018, 0)), INDEX(Mgt_Unit!$B$5:$B$1018, MATCH(C508, Mgt_Unit!$C$5:$C$1018, 0)), "")</f>
        <v>jennifer.moore</v>
      </c>
      <c r="C508" t="s">
        <v>745</v>
      </c>
      <c r="D508" s="45"/>
      <c r="E508" s="9" t="s">
        <v>1583</v>
      </c>
      <c r="F508" s="89">
        <v>43110</v>
      </c>
      <c r="G508" s="9"/>
      <c r="H508" s="9"/>
      <c r="I508" s="9"/>
      <c r="J508" t="s">
        <v>1361</v>
      </c>
      <c r="K508" s="120">
        <v>2.4</v>
      </c>
      <c r="L508" s="9"/>
      <c r="M508" s="7"/>
    </row>
    <row r="509" spans="1:13" hidden="1" x14ac:dyDescent="0.25">
      <c r="A509" s="4"/>
      <c r="B509" s="28" t="str">
        <f>IF(ISNUMBER(MATCH(C509, Mgt_Unit!$C$5:$C$1018, 0)), INDEX(Mgt_Unit!$B$5:$B$1018, MATCH(C509, Mgt_Unit!$C$5:$C$1018, 0)), "")</f>
        <v>jennifer.moore</v>
      </c>
      <c r="C509" t="s">
        <v>745</v>
      </c>
      <c r="D509" s="45"/>
      <c r="E509" s="9" t="s">
        <v>1583</v>
      </c>
      <c r="F509" s="89">
        <v>43445</v>
      </c>
      <c r="G509" s="9"/>
      <c r="H509" s="9"/>
      <c r="I509" s="9"/>
      <c r="J509" t="s">
        <v>1361</v>
      </c>
      <c r="K509" s="120">
        <v>2.4</v>
      </c>
      <c r="L509" s="9"/>
      <c r="M509" s="7"/>
    </row>
    <row r="510" spans="1:13" hidden="1" x14ac:dyDescent="0.25">
      <c r="A510" s="4"/>
      <c r="B510" s="28" t="str">
        <f>IF(ISNUMBER(MATCH(C510, Mgt_Unit!$C$5:$C$1018, 0)), INDEX(Mgt_Unit!$B$5:$B$1018, MATCH(C510, Mgt_Unit!$C$5:$C$1018, 0)), "")</f>
        <v>jennifer.moore</v>
      </c>
      <c r="C510" t="s">
        <v>746</v>
      </c>
      <c r="D510" s="45"/>
      <c r="E510" s="9" t="s">
        <v>1583</v>
      </c>
      <c r="F510" s="89">
        <v>43063</v>
      </c>
      <c r="G510" s="9"/>
      <c r="H510" s="9"/>
      <c r="I510" s="9"/>
      <c r="J510" t="s">
        <v>1352</v>
      </c>
      <c r="K510" s="120">
        <v>39</v>
      </c>
      <c r="L510" s="9"/>
      <c r="M510" s="7"/>
    </row>
    <row r="511" spans="1:13" hidden="1" x14ac:dyDescent="0.25">
      <c r="A511" s="4"/>
      <c r="B511" s="28" t="str">
        <f>IF(ISNUMBER(MATCH(C511, Mgt_Unit!$C$5:$C$1018, 0)), INDEX(Mgt_Unit!$B$5:$B$1018, MATCH(C511, Mgt_Unit!$C$5:$C$1018, 0)), "")</f>
        <v>jennifer.moore</v>
      </c>
      <c r="C511" t="s">
        <v>746</v>
      </c>
      <c r="D511" s="45"/>
      <c r="E511" s="9" t="s">
        <v>1583</v>
      </c>
      <c r="F511" s="89">
        <v>43063</v>
      </c>
      <c r="G511" s="9"/>
      <c r="H511" s="9"/>
      <c r="I511" s="9"/>
      <c r="J511" t="s">
        <v>1352</v>
      </c>
      <c r="K511" s="120">
        <v>39</v>
      </c>
      <c r="L511" s="9"/>
      <c r="M511" s="7"/>
    </row>
    <row r="512" spans="1:13" hidden="1" x14ac:dyDescent="0.25">
      <c r="A512" s="4"/>
      <c r="B512" s="28" t="str">
        <f>IF(ISNUMBER(MATCH(C512, Mgt_Unit!$C$5:$C$1018, 0)), INDEX(Mgt_Unit!$B$5:$B$1018, MATCH(C512, Mgt_Unit!$C$5:$C$1018, 0)), "")</f>
        <v>jennifer.moore</v>
      </c>
      <c r="C512" t="s">
        <v>746</v>
      </c>
      <c r="D512" s="45"/>
      <c r="E512" s="9" t="s">
        <v>1583</v>
      </c>
      <c r="F512" s="89">
        <v>43063</v>
      </c>
      <c r="G512" s="9"/>
      <c r="H512" s="9"/>
      <c r="I512" s="9"/>
      <c r="J512" t="s">
        <v>1352</v>
      </c>
      <c r="K512" s="120">
        <v>39</v>
      </c>
      <c r="L512" s="9"/>
      <c r="M512" s="7"/>
    </row>
    <row r="513" spans="1:13" hidden="1" x14ac:dyDescent="0.25">
      <c r="A513" s="4"/>
      <c r="B513" s="28" t="str">
        <f>IF(ISNUMBER(MATCH(C513, Mgt_Unit!$C$5:$C$1018, 0)), INDEX(Mgt_Unit!$B$5:$B$1018, MATCH(C513, Mgt_Unit!$C$5:$C$1018, 0)), "")</f>
        <v>jennifer.moore</v>
      </c>
      <c r="C513" t="s">
        <v>746</v>
      </c>
      <c r="D513" s="45"/>
      <c r="E513" s="9" t="s">
        <v>1583</v>
      </c>
      <c r="F513" s="89">
        <v>43063</v>
      </c>
      <c r="G513" s="9"/>
      <c r="H513" s="9"/>
      <c r="I513" s="9"/>
      <c r="J513" t="s">
        <v>1374</v>
      </c>
      <c r="K513" s="120">
        <v>2.2000000000000002</v>
      </c>
      <c r="L513" s="9"/>
      <c r="M513" s="7"/>
    </row>
    <row r="514" spans="1:13" hidden="1" x14ac:dyDescent="0.25">
      <c r="A514" s="4"/>
      <c r="B514" s="28" t="str">
        <f>IF(ISNUMBER(MATCH(C514, Mgt_Unit!$C$5:$C$1018, 0)), INDEX(Mgt_Unit!$B$5:$B$1018, MATCH(C514, Mgt_Unit!$C$5:$C$1018, 0)), "")</f>
        <v>jennifer.moore</v>
      </c>
      <c r="C514" t="s">
        <v>746</v>
      </c>
      <c r="D514" s="45"/>
      <c r="E514" s="9" t="s">
        <v>1584</v>
      </c>
      <c r="F514" s="89">
        <v>43110</v>
      </c>
      <c r="G514" s="9"/>
      <c r="H514" s="9"/>
      <c r="I514" s="9"/>
      <c r="J514" t="s">
        <v>1359</v>
      </c>
      <c r="K514" s="120">
        <v>6.3</v>
      </c>
      <c r="L514" s="9"/>
      <c r="M514" s="7"/>
    </row>
    <row r="515" spans="1:13" hidden="1" x14ac:dyDescent="0.25">
      <c r="A515" s="4"/>
      <c r="B515" s="28" t="str">
        <f>IF(ISNUMBER(MATCH(C515, Mgt_Unit!$C$5:$C$1018, 0)), INDEX(Mgt_Unit!$B$5:$B$1018, MATCH(C515, Mgt_Unit!$C$5:$C$1018, 0)), "")</f>
        <v>jennifer.moore</v>
      </c>
      <c r="C515" t="s">
        <v>746</v>
      </c>
      <c r="D515" s="45"/>
      <c r="E515" s="9" t="s">
        <v>1583</v>
      </c>
      <c r="F515" s="89">
        <v>43438</v>
      </c>
      <c r="G515" s="9"/>
      <c r="H515" s="9"/>
      <c r="I515" s="9"/>
      <c r="J515" t="s">
        <v>1374</v>
      </c>
      <c r="K515" s="120">
        <v>2.2000000000000002</v>
      </c>
      <c r="L515" s="9"/>
      <c r="M515" s="7"/>
    </row>
    <row r="516" spans="1:13" hidden="1" x14ac:dyDescent="0.25">
      <c r="A516" s="4"/>
      <c r="B516" s="28" t="str">
        <f>IF(ISNUMBER(MATCH(C516, Mgt_Unit!$C$5:$C$1018, 0)), INDEX(Mgt_Unit!$B$5:$B$1018, MATCH(C516, Mgt_Unit!$C$5:$C$1018, 0)), "")</f>
        <v>jennifer.moore</v>
      </c>
      <c r="C516" t="s">
        <v>746</v>
      </c>
      <c r="D516" s="45"/>
      <c r="E516" s="9" t="s">
        <v>1584</v>
      </c>
      <c r="F516" s="89">
        <v>43445</v>
      </c>
      <c r="G516" s="9"/>
      <c r="H516" s="9"/>
      <c r="I516" s="9"/>
      <c r="J516" t="s">
        <v>1359</v>
      </c>
      <c r="K516" s="120">
        <v>6.3</v>
      </c>
      <c r="L516" s="9"/>
      <c r="M516" s="7"/>
    </row>
    <row r="517" spans="1:13" hidden="1" x14ac:dyDescent="0.25">
      <c r="A517" s="4"/>
      <c r="B517" s="28" t="str">
        <f>IF(ISNUMBER(MATCH(C517, Mgt_Unit!$C$5:$C$1018, 0)), INDEX(Mgt_Unit!$B$5:$B$1018, MATCH(C517, Mgt_Unit!$C$5:$C$1018, 0)), "")</f>
        <v>jennifer.moore</v>
      </c>
      <c r="C517" t="s">
        <v>747</v>
      </c>
      <c r="D517" s="45"/>
      <c r="E517" s="9" t="s">
        <v>1583</v>
      </c>
      <c r="F517" s="89">
        <v>43240</v>
      </c>
      <c r="G517" s="9"/>
      <c r="H517" s="9"/>
      <c r="I517" s="9"/>
      <c r="J517" t="s">
        <v>1357</v>
      </c>
      <c r="K517" s="120">
        <v>78</v>
      </c>
      <c r="L517" s="9"/>
      <c r="M517" s="7"/>
    </row>
    <row r="518" spans="1:13" hidden="1" x14ac:dyDescent="0.25">
      <c r="A518" s="4"/>
      <c r="B518" s="28" t="str">
        <f>IF(ISNUMBER(MATCH(C518, Mgt_Unit!$C$5:$C$1018, 0)), INDEX(Mgt_Unit!$B$5:$B$1018, MATCH(C518, Mgt_Unit!$C$5:$C$1018, 0)), "")</f>
        <v>jennifer.moore</v>
      </c>
      <c r="C518" t="s">
        <v>747</v>
      </c>
      <c r="D518" s="45"/>
      <c r="E518" s="9" t="s">
        <v>1583</v>
      </c>
      <c r="F518" s="89">
        <v>43250</v>
      </c>
      <c r="G518" s="9"/>
      <c r="H518" s="9"/>
      <c r="I518" s="9"/>
      <c r="J518" t="s">
        <v>1352</v>
      </c>
      <c r="K518" s="120">
        <v>39</v>
      </c>
      <c r="L518" s="9"/>
      <c r="M518" s="7"/>
    </row>
    <row r="519" spans="1:13" hidden="1" x14ac:dyDescent="0.25">
      <c r="A519" s="4"/>
      <c r="B519" s="28" t="str">
        <f>IF(ISNUMBER(MATCH(C519, Mgt_Unit!$C$5:$C$1018, 0)), INDEX(Mgt_Unit!$B$5:$B$1018, MATCH(C519, Mgt_Unit!$C$5:$C$1018, 0)), "")</f>
        <v>jennifer.moore</v>
      </c>
      <c r="C519" t="s">
        <v>747</v>
      </c>
      <c r="D519" s="45"/>
      <c r="E519" s="9" t="s">
        <v>1583</v>
      </c>
      <c r="F519" s="89">
        <v>43250</v>
      </c>
      <c r="G519" s="9"/>
      <c r="H519" s="9"/>
      <c r="I519" s="9"/>
      <c r="J519" t="s">
        <v>1374</v>
      </c>
      <c r="K519" s="120">
        <v>2.2000000000000002</v>
      </c>
      <c r="L519" s="9"/>
      <c r="M519" s="7"/>
    </row>
    <row r="520" spans="1:13" hidden="1" x14ac:dyDescent="0.25">
      <c r="A520" s="4"/>
      <c r="B520" s="28" t="str">
        <f>IF(ISNUMBER(MATCH(C520, Mgt_Unit!$C$5:$C$1018, 0)), INDEX(Mgt_Unit!$B$5:$B$1018, MATCH(C520, Mgt_Unit!$C$5:$C$1018, 0)), "")</f>
        <v>jennifer.moore</v>
      </c>
      <c r="C520" t="s">
        <v>747</v>
      </c>
      <c r="D520" s="45"/>
      <c r="E520" s="9" t="s">
        <v>1583</v>
      </c>
      <c r="F520" s="89">
        <v>43250</v>
      </c>
      <c r="G520" s="9"/>
      <c r="H520" s="9"/>
      <c r="I520" s="9"/>
      <c r="J520" t="s">
        <v>1362</v>
      </c>
      <c r="K520" s="120">
        <v>2.2000000000000002</v>
      </c>
      <c r="L520" s="9"/>
      <c r="M520" s="7"/>
    </row>
    <row r="521" spans="1:13" hidden="1" x14ac:dyDescent="0.25">
      <c r="A521" s="4"/>
      <c r="B521" s="28" t="str">
        <f>IF(ISNUMBER(MATCH(C521, Mgt_Unit!$C$5:$C$1018, 0)), INDEX(Mgt_Unit!$B$5:$B$1018, MATCH(C521, Mgt_Unit!$C$5:$C$1018, 0)), "")</f>
        <v>jennifer.moore</v>
      </c>
      <c r="C521" t="s">
        <v>747</v>
      </c>
      <c r="D521" s="45"/>
      <c r="E521" s="9" t="s">
        <v>1583</v>
      </c>
      <c r="F521" s="89">
        <v>43266</v>
      </c>
      <c r="G521" s="9"/>
      <c r="H521" s="9"/>
      <c r="I521" s="9"/>
      <c r="J521" t="s">
        <v>1352</v>
      </c>
      <c r="K521" s="120">
        <v>39</v>
      </c>
      <c r="L521" s="9"/>
      <c r="M521" s="7"/>
    </row>
    <row r="522" spans="1:13" hidden="1" x14ac:dyDescent="0.25">
      <c r="A522" s="4"/>
      <c r="B522" s="28" t="str">
        <f>IF(ISNUMBER(MATCH(C522, Mgt_Unit!$C$5:$C$1018, 0)), INDEX(Mgt_Unit!$B$5:$B$1018, MATCH(C522, Mgt_Unit!$C$5:$C$1018, 0)), "")</f>
        <v>jennifer.moore</v>
      </c>
      <c r="C522" t="s">
        <v>747</v>
      </c>
      <c r="D522" s="45"/>
      <c r="E522" s="9" t="s">
        <v>1583</v>
      </c>
      <c r="F522" s="89">
        <v>43266</v>
      </c>
      <c r="G522" s="9"/>
      <c r="H522" s="9"/>
      <c r="I522" s="9"/>
      <c r="J522" t="s">
        <v>1365</v>
      </c>
      <c r="K522" s="120">
        <v>2.4</v>
      </c>
      <c r="L522" s="9"/>
      <c r="M522" s="7"/>
    </row>
    <row r="523" spans="1:13" hidden="1" x14ac:dyDescent="0.25">
      <c r="A523" s="4"/>
      <c r="B523" s="28" t="str">
        <f>IF(ISNUMBER(MATCH(C523, Mgt_Unit!$C$5:$C$1018, 0)), INDEX(Mgt_Unit!$B$5:$B$1018, MATCH(C523, Mgt_Unit!$C$5:$C$1018, 0)), "")</f>
        <v>jennifer.moore</v>
      </c>
      <c r="C523" t="s">
        <v>747</v>
      </c>
      <c r="D523" s="45"/>
      <c r="E523" s="9" t="s">
        <v>1583</v>
      </c>
      <c r="F523" s="89">
        <v>43416</v>
      </c>
      <c r="G523" s="9"/>
      <c r="H523" s="9"/>
      <c r="I523" s="9"/>
      <c r="J523" t="s">
        <v>1352</v>
      </c>
      <c r="K523" s="120">
        <v>39</v>
      </c>
      <c r="L523" s="9"/>
      <c r="M523" s="7"/>
    </row>
    <row r="524" spans="1:13" hidden="1" x14ac:dyDescent="0.25">
      <c r="A524" s="4"/>
      <c r="B524" s="28" t="str">
        <f>IF(ISNUMBER(MATCH(C524, Mgt_Unit!$C$5:$C$1018, 0)), INDEX(Mgt_Unit!$B$5:$B$1018, MATCH(C524, Mgt_Unit!$C$5:$C$1018, 0)), "")</f>
        <v>jennifer.moore</v>
      </c>
      <c r="C524" t="s">
        <v>747</v>
      </c>
      <c r="D524" s="45"/>
      <c r="E524" s="9" t="s">
        <v>1583</v>
      </c>
      <c r="F524" s="89">
        <v>43416</v>
      </c>
      <c r="G524" s="9"/>
      <c r="H524" s="9"/>
      <c r="I524" s="9"/>
      <c r="J524" t="s">
        <v>1374</v>
      </c>
      <c r="K524" s="120">
        <v>2.2000000000000002</v>
      </c>
      <c r="L524" s="9"/>
      <c r="M524" s="7"/>
    </row>
    <row r="525" spans="1:13" hidden="1" x14ac:dyDescent="0.25">
      <c r="A525" s="4"/>
      <c r="B525" s="28" t="str">
        <f>IF(ISNUMBER(MATCH(C525, Mgt_Unit!$C$5:$C$1018, 0)), INDEX(Mgt_Unit!$B$5:$B$1018, MATCH(C525, Mgt_Unit!$C$5:$C$1018, 0)), "")</f>
        <v>jennifer.moore</v>
      </c>
      <c r="C525" t="s">
        <v>747</v>
      </c>
      <c r="D525" s="45"/>
      <c r="E525" s="9" t="s">
        <v>1583</v>
      </c>
      <c r="F525" s="89">
        <v>43416</v>
      </c>
      <c r="G525" s="9"/>
      <c r="H525" s="9"/>
      <c r="I525" s="9"/>
      <c r="J525" t="s">
        <v>1362</v>
      </c>
      <c r="K525" s="120">
        <v>20</v>
      </c>
      <c r="L525" s="9"/>
      <c r="M525" s="7"/>
    </row>
    <row r="526" spans="1:13" hidden="1" x14ac:dyDescent="0.25">
      <c r="A526" s="4"/>
      <c r="B526" s="28" t="str">
        <f>IF(ISNUMBER(MATCH(C526, Mgt_Unit!$C$5:$C$1018, 0)), INDEX(Mgt_Unit!$B$5:$B$1018, MATCH(C526, Mgt_Unit!$C$5:$C$1018, 0)), "")</f>
        <v>jennifer.moore</v>
      </c>
      <c r="C526" t="s">
        <v>747</v>
      </c>
      <c r="D526" s="45"/>
      <c r="E526" s="9" t="s">
        <v>1583</v>
      </c>
      <c r="F526" s="89">
        <v>43439</v>
      </c>
      <c r="G526" s="9"/>
      <c r="H526" s="9"/>
      <c r="I526" s="9"/>
      <c r="J526" t="s">
        <v>1359</v>
      </c>
      <c r="K526" s="120">
        <v>6.3</v>
      </c>
      <c r="L526" s="9"/>
      <c r="M526" s="7"/>
    </row>
    <row r="527" spans="1:13" hidden="1" x14ac:dyDescent="0.25">
      <c r="A527" s="4"/>
      <c r="B527" s="28" t="str">
        <f>IF(ISNUMBER(MATCH(C527, Mgt_Unit!$C$5:$C$1018, 0)), INDEX(Mgt_Unit!$B$5:$B$1018, MATCH(C527, Mgt_Unit!$C$5:$C$1018, 0)), "")</f>
        <v>jennifer.moore</v>
      </c>
      <c r="C527" t="s">
        <v>747</v>
      </c>
      <c r="D527" s="45"/>
      <c r="E527" s="9" t="s">
        <v>1583</v>
      </c>
      <c r="F527" s="89">
        <v>43439</v>
      </c>
      <c r="G527" s="9"/>
      <c r="H527" s="9"/>
      <c r="I527" s="9"/>
      <c r="J527" t="s">
        <v>1390</v>
      </c>
      <c r="K527" s="120">
        <v>16</v>
      </c>
      <c r="L527" s="9"/>
      <c r="M527" s="7"/>
    </row>
    <row r="528" spans="1:13" hidden="1" x14ac:dyDescent="0.25">
      <c r="A528" s="4"/>
      <c r="B528" s="28" t="str">
        <f>IF(ISNUMBER(MATCH(C528, Mgt_Unit!$C$5:$C$1018, 0)), INDEX(Mgt_Unit!$B$5:$B$1018, MATCH(C528, Mgt_Unit!$C$5:$C$1018, 0)), "")</f>
        <v>jennifer.moore</v>
      </c>
      <c r="C528" t="s">
        <v>748</v>
      </c>
      <c r="D528" s="45"/>
      <c r="E528" s="9" t="s">
        <v>1583</v>
      </c>
      <c r="F528" s="89">
        <v>43250</v>
      </c>
      <c r="G528" s="9"/>
      <c r="H528" s="9"/>
      <c r="I528" s="9"/>
      <c r="J528" t="s">
        <v>1390</v>
      </c>
      <c r="K528" s="120">
        <v>16</v>
      </c>
      <c r="L528" s="9"/>
      <c r="M528" s="7"/>
    </row>
    <row r="529" spans="1:13" hidden="1" x14ac:dyDescent="0.25">
      <c r="A529" s="4"/>
      <c r="B529" s="28" t="str">
        <f>IF(ISNUMBER(MATCH(C529, Mgt_Unit!$C$5:$C$1018, 0)), INDEX(Mgt_Unit!$B$5:$B$1018, MATCH(C529, Mgt_Unit!$C$5:$C$1018, 0)), "")</f>
        <v>jennifer.moore</v>
      </c>
      <c r="C529" t="s">
        <v>748</v>
      </c>
      <c r="D529" s="45"/>
      <c r="E529" s="9" t="s">
        <v>1583</v>
      </c>
      <c r="F529" s="89">
        <v>43250</v>
      </c>
      <c r="G529" s="9"/>
      <c r="H529" s="9"/>
      <c r="I529" s="9"/>
      <c r="J529" t="s">
        <v>1374</v>
      </c>
      <c r="K529" s="120">
        <v>2.2000000000000002</v>
      </c>
      <c r="L529" s="9"/>
      <c r="M529" s="7"/>
    </row>
    <row r="530" spans="1:13" hidden="1" x14ac:dyDescent="0.25">
      <c r="A530" s="4"/>
      <c r="B530" s="28" t="str">
        <f>IF(ISNUMBER(MATCH(C530, Mgt_Unit!$C$5:$C$1018, 0)), INDEX(Mgt_Unit!$B$5:$B$1018, MATCH(C530, Mgt_Unit!$C$5:$C$1018, 0)), "")</f>
        <v>jennifer.moore</v>
      </c>
      <c r="C530" t="s">
        <v>748</v>
      </c>
      <c r="D530" s="45"/>
      <c r="E530" s="9" t="s">
        <v>1583</v>
      </c>
      <c r="F530" s="89">
        <v>43250</v>
      </c>
      <c r="G530" s="9"/>
      <c r="H530" s="9"/>
      <c r="I530" s="9"/>
      <c r="J530" t="s">
        <v>1362</v>
      </c>
      <c r="K530" s="120">
        <v>2.2000000000000002</v>
      </c>
      <c r="L530" s="9"/>
      <c r="M530" s="7"/>
    </row>
    <row r="531" spans="1:13" hidden="1" x14ac:dyDescent="0.25">
      <c r="A531" s="4"/>
      <c r="B531" s="28" t="str">
        <f>IF(ISNUMBER(MATCH(C531, Mgt_Unit!$C$5:$C$1018, 0)), INDEX(Mgt_Unit!$B$5:$B$1018, MATCH(C531, Mgt_Unit!$C$5:$C$1018, 0)), "")</f>
        <v>jennifer.moore</v>
      </c>
      <c r="C531" t="s">
        <v>748</v>
      </c>
      <c r="D531" s="45"/>
      <c r="E531" s="9" t="s">
        <v>1583</v>
      </c>
      <c r="F531" s="89">
        <v>43266</v>
      </c>
      <c r="G531" s="9"/>
      <c r="H531" s="9"/>
      <c r="I531" s="9"/>
      <c r="J531" t="s">
        <v>1365</v>
      </c>
      <c r="K531" s="120">
        <v>2.4</v>
      </c>
      <c r="L531" s="9"/>
      <c r="M531" s="7"/>
    </row>
    <row r="532" spans="1:13" hidden="1" x14ac:dyDescent="0.25">
      <c r="A532" s="4"/>
      <c r="B532" s="28" t="str">
        <f>IF(ISNUMBER(MATCH(C532, Mgt_Unit!$C$5:$C$1018, 0)), INDEX(Mgt_Unit!$B$5:$B$1018, MATCH(C532, Mgt_Unit!$C$5:$C$1018, 0)), "")</f>
        <v>jennifer.moore</v>
      </c>
      <c r="C532" t="s">
        <v>748</v>
      </c>
      <c r="D532" s="45"/>
      <c r="E532" s="9" t="s">
        <v>1583</v>
      </c>
      <c r="F532" s="89">
        <v>43416</v>
      </c>
      <c r="G532" s="9"/>
      <c r="H532" s="9"/>
      <c r="I532" s="9"/>
      <c r="J532" t="s">
        <v>1374</v>
      </c>
      <c r="K532" s="120">
        <v>2.2000000000000002</v>
      </c>
      <c r="L532" s="9"/>
      <c r="M532" s="7"/>
    </row>
    <row r="533" spans="1:13" hidden="1" x14ac:dyDescent="0.25">
      <c r="A533" s="4"/>
      <c r="B533" s="28" t="str">
        <f>IF(ISNUMBER(MATCH(C533, Mgt_Unit!$C$5:$C$1018, 0)), INDEX(Mgt_Unit!$B$5:$B$1018, MATCH(C533, Mgt_Unit!$C$5:$C$1018, 0)), "")</f>
        <v>jennifer.moore</v>
      </c>
      <c r="C533" t="s">
        <v>748</v>
      </c>
      <c r="D533" s="45"/>
      <c r="E533" s="9" t="s">
        <v>1583</v>
      </c>
      <c r="F533" s="89">
        <v>43416</v>
      </c>
      <c r="G533" s="9"/>
      <c r="H533" s="9"/>
      <c r="I533" s="9"/>
      <c r="J533" t="s">
        <v>1362</v>
      </c>
      <c r="K533" s="120">
        <v>2.2000000000000002</v>
      </c>
      <c r="L533" s="9"/>
      <c r="M533" s="7"/>
    </row>
    <row r="534" spans="1:13" hidden="1" x14ac:dyDescent="0.25">
      <c r="A534" s="4"/>
      <c r="B534" s="28" t="str">
        <f>IF(ISNUMBER(MATCH(C534, Mgt_Unit!$C$5:$C$1018, 0)), INDEX(Mgt_Unit!$B$5:$B$1018, MATCH(C534, Mgt_Unit!$C$5:$C$1018, 0)), "")</f>
        <v>jennifer.moore</v>
      </c>
      <c r="C534" t="s">
        <v>748</v>
      </c>
      <c r="D534" s="45"/>
      <c r="E534" s="9" t="s">
        <v>1583</v>
      </c>
      <c r="F534" s="89">
        <v>43439</v>
      </c>
      <c r="G534" s="9"/>
      <c r="H534" s="9"/>
      <c r="I534" s="9"/>
      <c r="J534" t="s">
        <v>1359</v>
      </c>
      <c r="K534" s="120">
        <v>6.3</v>
      </c>
      <c r="L534" s="9"/>
      <c r="M534" s="7"/>
    </row>
    <row r="535" spans="1:13" hidden="1" x14ac:dyDescent="0.25">
      <c r="A535" s="4"/>
      <c r="B535" s="28" t="str">
        <f>IF(ISNUMBER(MATCH(C535, Mgt_Unit!$C$5:$C$1018, 0)), INDEX(Mgt_Unit!$B$5:$B$1018, MATCH(C535, Mgt_Unit!$C$5:$C$1018, 0)), "")</f>
        <v>jennifer.moore</v>
      </c>
      <c r="C535" t="s">
        <v>749</v>
      </c>
      <c r="D535" s="45"/>
      <c r="E535" s="9" t="s">
        <v>1583</v>
      </c>
      <c r="F535" s="89">
        <v>43250</v>
      </c>
      <c r="G535" s="9"/>
      <c r="H535" s="9"/>
      <c r="I535" s="9"/>
      <c r="J535" t="s">
        <v>1374</v>
      </c>
      <c r="K535" s="120">
        <v>2.2000000000000002</v>
      </c>
      <c r="L535" s="9"/>
      <c r="M535" s="7"/>
    </row>
    <row r="536" spans="1:13" hidden="1" x14ac:dyDescent="0.25">
      <c r="A536" s="4"/>
      <c r="B536" s="28" t="str">
        <f>IF(ISNUMBER(MATCH(C536, Mgt_Unit!$C$5:$C$1018, 0)), INDEX(Mgt_Unit!$B$5:$B$1018, MATCH(C536, Mgt_Unit!$C$5:$C$1018, 0)), "")</f>
        <v>jennifer.moore</v>
      </c>
      <c r="C536" t="s">
        <v>749</v>
      </c>
      <c r="D536" s="45"/>
      <c r="E536" s="9" t="s">
        <v>1583</v>
      </c>
      <c r="F536" s="89">
        <v>43250</v>
      </c>
      <c r="G536" s="9"/>
      <c r="H536" s="9"/>
      <c r="I536" s="9"/>
      <c r="J536" t="s">
        <v>1362</v>
      </c>
      <c r="K536" s="120">
        <v>2.2000000000000002</v>
      </c>
      <c r="L536" s="9"/>
      <c r="M536" s="7"/>
    </row>
    <row r="537" spans="1:13" hidden="1" x14ac:dyDescent="0.25">
      <c r="A537" s="4"/>
      <c r="B537" s="28" t="str">
        <f>IF(ISNUMBER(MATCH(C537, Mgt_Unit!$C$5:$C$1018, 0)), INDEX(Mgt_Unit!$B$5:$B$1018, MATCH(C537, Mgt_Unit!$C$5:$C$1018, 0)), "")</f>
        <v>jennifer.moore</v>
      </c>
      <c r="C537" t="s">
        <v>749</v>
      </c>
      <c r="D537" s="45"/>
      <c r="E537" s="9" t="s">
        <v>1583</v>
      </c>
      <c r="F537" s="89">
        <v>43266</v>
      </c>
      <c r="G537" s="9"/>
      <c r="H537" s="9"/>
      <c r="I537" s="9"/>
      <c r="J537" t="s">
        <v>1365</v>
      </c>
      <c r="K537" s="120">
        <v>2.4</v>
      </c>
      <c r="L537" s="9"/>
      <c r="M537" s="7"/>
    </row>
    <row r="538" spans="1:13" hidden="1" x14ac:dyDescent="0.25">
      <c r="A538" s="4"/>
      <c r="B538" s="28" t="str">
        <f>IF(ISNUMBER(MATCH(C538, Mgt_Unit!$C$5:$C$1018, 0)), INDEX(Mgt_Unit!$B$5:$B$1018, MATCH(C538, Mgt_Unit!$C$5:$C$1018, 0)), "")</f>
        <v>jennifer.moore</v>
      </c>
      <c r="C538" t="s">
        <v>749</v>
      </c>
      <c r="D538" s="45"/>
      <c r="E538" s="9" t="s">
        <v>1583</v>
      </c>
      <c r="F538" s="89">
        <v>43416</v>
      </c>
      <c r="G538" s="9"/>
      <c r="H538" s="9"/>
      <c r="I538" s="9"/>
      <c r="J538" t="s">
        <v>1374</v>
      </c>
      <c r="K538" s="120">
        <v>2.2000000000000002</v>
      </c>
      <c r="L538" s="9"/>
      <c r="M538" s="7"/>
    </row>
    <row r="539" spans="1:13" hidden="1" x14ac:dyDescent="0.25">
      <c r="A539" s="4"/>
      <c r="B539" s="28" t="str">
        <f>IF(ISNUMBER(MATCH(C539, Mgt_Unit!$C$5:$C$1018, 0)), INDEX(Mgt_Unit!$B$5:$B$1018, MATCH(C539, Mgt_Unit!$C$5:$C$1018, 0)), "")</f>
        <v>jennifer.moore</v>
      </c>
      <c r="C539" t="s">
        <v>749</v>
      </c>
      <c r="D539" s="45"/>
      <c r="E539" s="9" t="s">
        <v>1583</v>
      </c>
      <c r="F539" s="89">
        <v>43416</v>
      </c>
      <c r="G539" s="9"/>
      <c r="H539" s="9"/>
      <c r="I539" s="9"/>
      <c r="J539" t="s">
        <v>1362</v>
      </c>
      <c r="K539" s="120">
        <v>2.2000000000000002</v>
      </c>
      <c r="L539" s="9"/>
      <c r="M539" s="7"/>
    </row>
    <row r="540" spans="1:13" hidden="1" x14ac:dyDescent="0.25">
      <c r="A540" s="4"/>
      <c r="B540" s="28" t="str">
        <f>IF(ISNUMBER(MATCH(C540, Mgt_Unit!$C$5:$C$1018, 0)), INDEX(Mgt_Unit!$B$5:$B$1018, MATCH(C540, Mgt_Unit!$C$5:$C$1018, 0)), "")</f>
        <v>jennifer.moore</v>
      </c>
      <c r="C540" t="s">
        <v>749</v>
      </c>
      <c r="D540" s="45"/>
      <c r="E540" s="9" t="s">
        <v>1583</v>
      </c>
      <c r="F540" s="89">
        <v>43439</v>
      </c>
      <c r="G540" s="9"/>
      <c r="H540" s="9"/>
      <c r="I540" s="9"/>
      <c r="J540" t="s">
        <v>1359</v>
      </c>
      <c r="K540" s="120">
        <v>6.3</v>
      </c>
      <c r="L540" s="9"/>
      <c r="M540" s="7"/>
    </row>
    <row r="541" spans="1:13" hidden="1" x14ac:dyDescent="0.25">
      <c r="A541" s="4"/>
      <c r="B541" s="28" t="str">
        <f>IF(ISNUMBER(MATCH(C541, Mgt_Unit!$C$5:$C$1018, 0)), INDEX(Mgt_Unit!$B$5:$B$1018, MATCH(C541, Mgt_Unit!$C$5:$C$1018, 0)), "")</f>
        <v>jennifer.moore</v>
      </c>
      <c r="C541" t="s">
        <v>750</v>
      </c>
      <c r="D541" s="45"/>
      <c r="E541" s="9" t="s">
        <v>1583</v>
      </c>
      <c r="F541" s="89">
        <v>43250</v>
      </c>
      <c r="G541" s="9"/>
      <c r="H541" s="9"/>
      <c r="I541" s="9"/>
      <c r="J541" t="s">
        <v>1374</v>
      </c>
      <c r="K541" s="120">
        <v>2.2000000000000002</v>
      </c>
      <c r="L541" s="9"/>
      <c r="M541" s="7"/>
    </row>
    <row r="542" spans="1:13" hidden="1" x14ac:dyDescent="0.25">
      <c r="A542" s="4"/>
      <c r="B542" s="28" t="str">
        <f>IF(ISNUMBER(MATCH(C542, Mgt_Unit!$C$5:$C$1018, 0)), INDEX(Mgt_Unit!$B$5:$B$1018, MATCH(C542, Mgt_Unit!$C$5:$C$1018, 0)), "")</f>
        <v>jennifer.moore</v>
      </c>
      <c r="C542" t="s">
        <v>750</v>
      </c>
      <c r="D542" s="45"/>
      <c r="E542" s="9" t="s">
        <v>1583</v>
      </c>
      <c r="F542" s="89">
        <v>43250</v>
      </c>
      <c r="G542" s="9"/>
      <c r="H542" s="9"/>
      <c r="I542" s="9"/>
      <c r="J542" t="s">
        <v>1362</v>
      </c>
      <c r="K542" s="120">
        <v>2.2000000000000002</v>
      </c>
      <c r="L542" s="9"/>
      <c r="M542" s="7"/>
    </row>
    <row r="543" spans="1:13" hidden="1" x14ac:dyDescent="0.25">
      <c r="A543" s="4"/>
      <c r="B543" s="28" t="str">
        <f>IF(ISNUMBER(MATCH(C543, Mgt_Unit!$C$5:$C$1018, 0)), INDEX(Mgt_Unit!$B$5:$B$1018, MATCH(C543, Mgt_Unit!$C$5:$C$1018, 0)), "")</f>
        <v>jennifer.moore</v>
      </c>
      <c r="C543" t="s">
        <v>750</v>
      </c>
      <c r="D543" s="45"/>
      <c r="E543" s="9" t="s">
        <v>1583</v>
      </c>
      <c r="F543" s="89">
        <v>43266</v>
      </c>
      <c r="G543" s="9"/>
      <c r="H543" s="9"/>
      <c r="I543" s="9"/>
      <c r="J543" t="s">
        <v>1365</v>
      </c>
      <c r="K543" s="120">
        <v>2.4</v>
      </c>
      <c r="L543" s="9"/>
      <c r="M543" s="7"/>
    </row>
    <row r="544" spans="1:13" hidden="1" x14ac:dyDescent="0.25">
      <c r="A544" s="4"/>
      <c r="B544" s="28" t="str">
        <f>IF(ISNUMBER(MATCH(C544, Mgt_Unit!$C$5:$C$1018, 0)), INDEX(Mgt_Unit!$B$5:$B$1018, MATCH(C544, Mgt_Unit!$C$5:$C$1018, 0)), "")</f>
        <v>jennifer.moore</v>
      </c>
      <c r="C544" t="s">
        <v>750</v>
      </c>
      <c r="D544" s="45"/>
      <c r="E544" s="9" t="s">
        <v>1583</v>
      </c>
      <c r="F544" s="89">
        <v>43416</v>
      </c>
      <c r="G544" s="9"/>
      <c r="H544" s="9"/>
      <c r="I544" s="9"/>
      <c r="J544" t="s">
        <v>1374</v>
      </c>
      <c r="K544" s="120">
        <v>2.2000000000000002</v>
      </c>
      <c r="L544" s="9"/>
      <c r="M544" s="7"/>
    </row>
    <row r="545" spans="1:13" hidden="1" x14ac:dyDescent="0.25">
      <c r="A545" s="4"/>
      <c r="B545" s="28" t="str">
        <f>IF(ISNUMBER(MATCH(C545, Mgt_Unit!$C$5:$C$1018, 0)), INDEX(Mgt_Unit!$B$5:$B$1018, MATCH(C545, Mgt_Unit!$C$5:$C$1018, 0)), "")</f>
        <v>jennifer.moore</v>
      </c>
      <c r="C545" t="s">
        <v>750</v>
      </c>
      <c r="D545" s="45"/>
      <c r="E545" s="9" t="s">
        <v>1583</v>
      </c>
      <c r="F545" s="89">
        <v>43416</v>
      </c>
      <c r="G545" s="9"/>
      <c r="H545" s="9"/>
      <c r="I545" s="9"/>
      <c r="J545" t="s">
        <v>1362</v>
      </c>
      <c r="K545" s="120">
        <v>2.2000000000000002</v>
      </c>
      <c r="L545" s="9"/>
      <c r="M545" s="7"/>
    </row>
    <row r="546" spans="1:13" hidden="1" x14ac:dyDescent="0.25">
      <c r="A546" s="4"/>
      <c r="B546" s="28" t="str">
        <f>IF(ISNUMBER(MATCH(C546, Mgt_Unit!$C$5:$C$1018, 0)), INDEX(Mgt_Unit!$B$5:$B$1018, MATCH(C546, Mgt_Unit!$C$5:$C$1018, 0)), "")</f>
        <v>jennifer.moore</v>
      </c>
      <c r="C546" t="s">
        <v>750</v>
      </c>
      <c r="D546" s="45"/>
      <c r="E546" s="9" t="s">
        <v>1583</v>
      </c>
      <c r="F546" s="89">
        <v>43439</v>
      </c>
      <c r="G546" s="9"/>
      <c r="H546" s="9"/>
      <c r="I546" s="9"/>
      <c r="J546" t="s">
        <v>1359</v>
      </c>
      <c r="K546" s="120">
        <v>6.3</v>
      </c>
      <c r="L546" s="9"/>
      <c r="M546" s="7"/>
    </row>
    <row r="547" spans="1:13" hidden="1" x14ac:dyDescent="0.25">
      <c r="A547" s="4"/>
      <c r="B547" s="28" t="str">
        <f>IF(ISNUMBER(MATCH(C547, Mgt_Unit!$C$5:$C$1018, 0)), INDEX(Mgt_Unit!$B$5:$B$1018, MATCH(C547, Mgt_Unit!$C$5:$C$1018, 0)), "")</f>
        <v>jennifer.moore</v>
      </c>
      <c r="C547" t="s">
        <v>751</v>
      </c>
      <c r="D547" s="45"/>
      <c r="E547" s="9" t="s">
        <v>1583</v>
      </c>
      <c r="F547" s="89">
        <v>43250</v>
      </c>
      <c r="G547" s="9"/>
      <c r="H547" s="9"/>
      <c r="I547" s="9"/>
      <c r="J547" t="s">
        <v>1374</v>
      </c>
      <c r="K547" s="120">
        <v>2.2000000000000002</v>
      </c>
      <c r="L547" s="9"/>
      <c r="M547" s="7"/>
    </row>
    <row r="548" spans="1:13" hidden="1" x14ac:dyDescent="0.25">
      <c r="A548" s="4"/>
      <c r="B548" s="28" t="str">
        <f>IF(ISNUMBER(MATCH(C548, Mgt_Unit!$C$5:$C$1018, 0)), INDEX(Mgt_Unit!$B$5:$B$1018, MATCH(C548, Mgt_Unit!$C$5:$C$1018, 0)), "")</f>
        <v>jennifer.moore</v>
      </c>
      <c r="C548" t="s">
        <v>751</v>
      </c>
      <c r="D548" s="45"/>
      <c r="E548" s="9" t="s">
        <v>1583</v>
      </c>
      <c r="F548" s="89">
        <v>43250</v>
      </c>
      <c r="G548" s="9"/>
      <c r="H548" s="9"/>
      <c r="I548" s="9"/>
      <c r="J548" t="s">
        <v>1362</v>
      </c>
      <c r="K548" s="120">
        <v>2.2000000000000002</v>
      </c>
      <c r="L548" s="9"/>
      <c r="M548" s="7"/>
    </row>
    <row r="549" spans="1:13" hidden="1" x14ac:dyDescent="0.25">
      <c r="A549" s="4"/>
      <c r="B549" s="28" t="str">
        <f>IF(ISNUMBER(MATCH(C549, Mgt_Unit!$C$5:$C$1018, 0)), INDEX(Mgt_Unit!$B$5:$B$1018, MATCH(C549, Mgt_Unit!$C$5:$C$1018, 0)), "")</f>
        <v>jennifer.moore</v>
      </c>
      <c r="C549" t="s">
        <v>751</v>
      </c>
      <c r="D549" s="45"/>
      <c r="E549" s="9" t="s">
        <v>1583</v>
      </c>
      <c r="F549" s="89">
        <v>43266</v>
      </c>
      <c r="G549" s="9"/>
      <c r="H549" s="9"/>
      <c r="I549" s="9"/>
      <c r="J549" t="s">
        <v>1365</v>
      </c>
      <c r="K549" s="120">
        <v>2.4</v>
      </c>
      <c r="L549" s="9"/>
      <c r="M549" s="7"/>
    </row>
    <row r="550" spans="1:13" hidden="1" x14ac:dyDescent="0.25">
      <c r="A550" s="4"/>
      <c r="B550" s="28" t="str">
        <f>IF(ISNUMBER(MATCH(C550, Mgt_Unit!$C$5:$C$1018, 0)), INDEX(Mgt_Unit!$B$5:$B$1018, MATCH(C550, Mgt_Unit!$C$5:$C$1018, 0)), "")</f>
        <v>jennifer.moore</v>
      </c>
      <c r="C550" t="s">
        <v>751</v>
      </c>
      <c r="D550" s="45"/>
      <c r="E550" s="9" t="s">
        <v>1583</v>
      </c>
      <c r="F550" s="89">
        <v>43416</v>
      </c>
      <c r="G550" s="9"/>
      <c r="H550" s="9"/>
      <c r="I550" s="9"/>
      <c r="J550" t="s">
        <v>1374</v>
      </c>
      <c r="K550" s="120">
        <v>2.2000000000000002</v>
      </c>
      <c r="L550" s="9"/>
      <c r="M550" s="7"/>
    </row>
    <row r="551" spans="1:13" hidden="1" x14ac:dyDescent="0.25">
      <c r="A551" s="4"/>
      <c r="B551" s="28" t="str">
        <f>IF(ISNUMBER(MATCH(C551, Mgt_Unit!$C$5:$C$1018, 0)), INDEX(Mgt_Unit!$B$5:$B$1018, MATCH(C551, Mgt_Unit!$C$5:$C$1018, 0)), "")</f>
        <v>jennifer.moore</v>
      </c>
      <c r="C551" t="s">
        <v>751</v>
      </c>
      <c r="D551" s="45"/>
      <c r="E551" s="9" t="s">
        <v>1583</v>
      </c>
      <c r="F551" s="89">
        <v>43416</v>
      </c>
      <c r="G551" s="9"/>
      <c r="H551" s="9"/>
      <c r="I551" s="9"/>
      <c r="J551" t="s">
        <v>1362</v>
      </c>
      <c r="K551" s="120">
        <v>2.2000000000000002</v>
      </c>
      <c r="L551" s="9"/>
      <c r="M551" s="7"/>
    </row>
    <row r="552" spans="1:13" hidden="1" x14ac:dyDescent="0.25">
      <c r="A552" s="4"/>
      <c r="B552" s="28" t="str">
        <f>IF(ISNUMBER(MATCH(C552, Mgt_Unit!$C$5:$C$1018, 0)), INDEX(Mgt_Unit!$B$5:$B$1018, MATCH(C552, Mgt_Unit!$C$5:$C$1018, 0)), "")</f>
        <v>jennifer.moore</v>
      </c>
      <c r="C552" t="s">
        <v>751</v>
      </c>
      <c r="D552" s="45"/>
      <c r="E552" s="9" t="s">
        <v>1583</v>
      </c>
      <c r="F552" s="89">
        <v>43439</v>
      </c>
      <c r="G552" s="9"/>
      <c r="H552" s="9"/>
      <c r="I552" s="9"/>
      <c r="J552" t="s">
        <v>1359</v>
      </c>
      <c r="K552" s="120">
        <v>6.3</v>
      </c>
      <c r="L552" s="9"/>
      <c r="M552" s="7"/>
    </row>
    <row r="553" spans="1:13" hidden="1" x14ac:dyDescent="0.25">
      <c r="A553" s="4"/>
      <c r="B553" s="28" t="str">
        <f>IF(ISNUMBER(MATCH(C553, Mgt_Unit!$C$5:$C$1018, 0)), INDEX(Mgt_Unit!$B$5:$B$1018, MATCH(C553, Mgt_Unit!$C$5:$C$1018, 0)), "")</f>
        <v>jennifer.moore</v>
      </c>
      <c r="C553" t="s">
        <v>752</v>
      </c>
      <c r="D553" s="45"/>
      <c r="E553" s="9" t="s">
        <v>1583</v>
      </c>
      <c r="F553" s="89">
        <v>43250</v>
      </c>
      <c r="G553" s="9"/>
      <c r="H553" s="9"/>
      <c r="I553" s="9"/>
      <c r="J553" t="s">
        <v>1374</v>
      </c>
      <c r="K553" s="120">
        <v>2.2000000000000002</v>
      </c>
      <c r="L553" s="9"/>
      <c r="M553" s="7"/>
    </row>
    <row r="554" spans="1:13" hidden="1" x14ac:dyDescent="0.25">
      <c r="A554" s="4"/>
      <c r="B554" s="28" t="str">
        <f>IF(ISNUMBER(MATCH(C554, Mgt_Unit!$C$5:$C$1018, 0)), INDEX(Mgt_Unit!$B$5:$B$1018, MATCH(C554, Mgt_Unit!$C$5:$C$1018, 0)), "")</f>
        <v>jennifer.moore</v>
      </c>
      <c r="C554" t="s">
        <v>752</v>
      </c>
      <c r="D554" s="45"/>
      <c r="E554" s="9" t="s">
        <v>1583</v>
      </c>
      <c r="F554" s="89">
        <v>43250</v>
      </c>
      <c r="G554" s="9"/>
      <c r="H554" s="9"/>
      <c r="I554" s="9"/>
      <c r="J554" t="s">
        <v>1362</v>
      </c>
      <c r="K554" s="120">
        <v>2.2000000000000002</v>
      </c>
      <c r="L554" s="9"/>
      <c r="M554" s="7"/>
    </row>
    <row r="555" spans="1:13" hidden="1" x14ac:dyDescent="0.25">
      <c r="A555" s="4"/>
      <c r="B555" s="28" t="str">
        <f>IF(ISNUMBER(MATCH(C555, Mgt_Unit!$C$5:$C$1018, 0)), INDEX(Mgt_Unit!$B$5:$B$1018, MATCH(C555, Mgt_Unit!$C$5:$C$1018, 0)), "")</f>
        <v>jennifer.moore</v>
      </c>
      <c r="C555" t="s">
        <v>752</v>
      </c>
      <c r="D555" s="45"/>
      <c r="E555" s="9" t="s">
        <v>1583</v>
      </c>
      <c r="F555" s="89">
        <v>43266</v>
      </c>
      <c r="G555" s="9"/>
      <c r="H555" s="9"/>
      <c r="I555" s="9"/>
      <c r="J555" t="s">
        <v>1365</v>
      </c>
      <c r="K555" s="120">
        <v>2.4</v>
      </c>
      <c r="L555" s="9"/>
      <c r="M555" s="7"/>
    </row>
    <row r="556" spans="1:13" hidden="1" x14ac:dyDescent="0.25">
      <c r="A556" s="4"/>
      <c r="B556" s="28" t="str">
        <f>IF(ISNUMBER(MATCH(C556, Mgt_Unit!$C$5:$C$1018, 0)), INDEX(Mgt_Unit!$B$5:$B$1018, MATCH(C556, Mgt_Unit!$C$5:$C$1018, 0)), "")</f>
        <v>jennifer.moore</v>
      </c>
      <c r="C556" t="s">
        <v>752</v>
      </c>
      <c r="D556" s="45"/>
      <c r="E556" s="9" t="s">
        <v>1583</v>
      </c>
      <c r="F556" s="89">
        <v>43416</v>
      </c>
      <c r="G556" s="9"/>
      <c r="H556" s="9"/>
      <c r="I556" s="9"/>
      <c r="J556" t="s">
        <v>1374</v>
      </c>
      <c r="K556" s="120">
        <v>2.2000000000000002</v>
      </c>
      <c r="L556" s="9"/>
      <c r="M556" s="7"/>
    </row>
    <row r="557" spans="1:13" hidden="1" x14ac:dyDescent="0.25">
      <c r="A557" s="4"/>
      <c r="B557" s="28" t="str">
        <f>IF(ISNUMBER(MATCH(C557, Mgt_Unit!$C$5:$C$1018, 0)), INDEX(Mgt_Unit!$B$5:$B$1018, MATCH(C557, Mgt_Unit!$C$5:$C$1018, 0)), "")</f>
        <v>jennifer.moore</v>
      </c>
      <c r="C557" t="s">
        <v>752</v>
      </c>
      <c r="D557" s="45"/>
      <c r="E557" s="9" t="s">
        <v>1583</v>
      </c>
      <c r="F557" s="89">
        <v>43416</v>
      </c>
      <c r="G557" s="9"/>
      <c r="H557" s="9"/>
      <c r="I557" s="9"/>
      <c r="J557" t="s">
        <v>1362</v>
      </c>
      <c r="K557" s="120">
        <v>2.2000000000000002</v>
      </c>
      <c r="L557" s="9"/>
      <c r="M557" s="7"/>
    </row>
    <row r="558" spans="1:13" hidden="1" x14ac:dyDescent="0.25">
      <c r="A558" s="4"/>
      <c r="B558" s="28" t="str">
        <f>IF(ISNUMBER(MATCH(C558, Mgt_Unit!$C$5:$C$1018, 0)), INDEX(Mgt_Unit!$B$5:$B$1018, MATCH(C558, Mgt_Unit!$C$5:$C$1018, 0)), "")</f>
        <v>jennifer.moore</v>
      </c>
      <c r="C558" t="s">
        <v>752</v>
      </c>
      <c r="D558" s="45"/>
      <c r="E558" s="9" t="s">
        <v>1583</v>
      </c>
      <c r="F558" s="89">
        <v>43439</v>
      </c>
      <c r="G558" s="9"/>
      <c r="H558" s="9"/>
      <c r="I558" s="9"/>
      <c r="J558" t="s">
        <v>1359</v>
      </c>
      <c r="K558" s="120">
        <v>6.3</v>
      </c>
      <c r="L558" s="9"/>
      <c r="M558" s="7"/>
    </row>
    <row r="559" spans="1:13" hidden="1" x14ac:dyDescent="0.25">
      <c r="A559" s="4"/>
      <c r="B559" s="28" t="str">
        <f>IF(ISNUMBER(MATCH(C559, Mgt_Unit!$C$5:$C$1018, 0)), INDEX(Mgt_Unit!$B$5:$B$1018, MATCH(C559, Mgt_Unit!$C$5:$C$1018, 0)), "")</f>
        <v>jennifer.moore</v>
      </c>
      <c r="C559" t="s">
        <v>753</v>
      </c>
      <c r="D559" s="45"/>
      <c r="E559" s="9" t="s">
        <v>1583</v>
      </c>
      <c r="F559" s="89">
        <v>43240</v>
      </c>
      <c r="G559" s="9"/>
      <c r="H559" s="9"/>
      <c r="I559" s="9"/>
      <c r="J559" t="s">
        <v>1391</v>
      </c>
      <c r="K559" s="120">
        <v>78</v>
      </c>
      <c r="L559" s="9"/>
      <c r="M559" s="7"/>
    </row>
    <row r="560" spans="1:13" hidden="1" x14ac:dyDescent="0.25">
      <c r="A560" s="4"/>
      <c r="B560" s="28" t="str">
        <f>IF(ISNUMBER(MATCH(C560, Mgt_Unit!$C$5:$C$1018, 0)), INDEX(Mgt_Unit!$B$5:$B$1018, MATCH(C560, Mgt_Unit!$C$5:$C$1018, 0)), "")</f>
        <v>jennifer.moore</v>
      </c>
      <c r="C560" t="s">
        <v>753</v>
      </c>
      <c r="D560" s="45"/>
      <c r="E560" s="9" t="s">
        <v>1583</v>
      </c>
      <c r="F560" s="89">
        <v>43250</v>
      </c>
      <c r="G560" s="9"/>
      <c r="H560" s="9"/>
      <c r="I560" s="9"/>
      <c r="J560" t="s">
        <v>1362</v>
      </c>
      <c r="K560" s="120">
        <v>20</v>
      </c>
      <c r="L560" s="9"/>
      <c r="M560" s="7"/>
    </row>
    <row r="561" spans="1:13" hidden="1" x14ac:dyDescent="0.25">
      <c r="A561" s="4"/>
      <c r="B561" s="28" t="str">
        <f>IF(ISNUMBER(MATCH(C561, Mgt_Unit!$C$5:$C$1018, 0)), INDEX(Mgt_Unit!$B$5:$B$1018, MATCH(C561, Mgt_Unit!$C$5:$C$1018, 0)), "")</f>
        <v>jennifer.moore</v>
      </c>
      <c r="C561" t="s">
        <v>753</v>
      </c>
      <c r="D561" s="45"/>
      <c r="E561" s="9" t="s">
        <v>1583</v>
      </c>
      <c r="F561" s="89">
        <v>43250</v>
      </c>
      <c r="G561" s="9"/>
      <c r="H561" s="9"/>
      <c r="I561" s="9"/>
      <c r="J561" t="s">
        <v>1352</v>
      </c>
      <c r="K561" s="120">
        <v>39</v>
      </c>
      <c r="L561" s="9"/>
      <c r="M561" s="7"/>
    </row>
    <row r="562" spans="1:13" hidden="1" x14ac:dyDescent="0.25">
      <c r="A562" s="4"/>
      <c r="B562" s="28" t="str">
        <f>IF(ISNUMBER(MATCH(C562, Mgt_Unit!$C$5:$C$1018, 0)), INDEX(Mgt_Unit!$B$5:$B$1018, MATCH(C562, Mgt_Unit!$C$5:$C$1018, 0)), "")</f>
        <v>jennifer.moore</v>
      </c>
      <c r="C562" t="s">
        <v>753</v>
      </c>
      <c r="D562" s="45"/>
      <c r="E562" s="9" t="s">
        <v>1583</v>
      </c>
      <c r="F562" s="89">
        <v>43250</v>
      </c>
      <c r="G562" s="9"/>
      <c r="H562" s="9"/>
      <c r="I562" s="9"/>
      <c r="J562" t="s">
        <v>1374</v>
      </c>
      <c r="K562" s="120">
        <v>2.2000000000000002</v>
      </c>
      <c r="L562" s="9"/>
      <c r="M562" s="7"/>
    </row>
    <row r="563" spans="1:13" hidden="1" x14ac:dyDescent="0.25">
      <c r="A563" s="4"/>
      <c r="B563" s="28" t="str">
        <f>IF(ISNUMBER(MATCH(C563, Mgt_Unit!$C$5:$C$1018, 0)), INDEX(Mgt_Unit!$B$5:$B$1018, MATCH(C563, Mgt_Unit!$C$5:$C$1018, 0)), "")</f>
        <v>jennifer.moore</v>
      </c>
      <c r="C563" t="s">
        <v>753</v>
      </c>
      <c r="D563" s="45"/>
      <c r="E563" s="9" t="s">
        <v>1583</v>
      </c>
      <c r="F563" s="89">
        <v>43266</v>
      </c>
      <c r="G563" s="9"/>
      <c r="H563" s="9"/>
      <c r="I563" s="9"/>
      <c r="J563" t="s">
        <v>1352</v>
      </c>
      <c r="K563" s="120">
        <v>39</v>
      </c>
      <c r="L563" s="9"/>
      <c r="M563" s="7"/>
    </row>
    <row r="564" spans="1:13" hidden="1" x14ac:dyDescent="0.25">
      <c r="A564" s="4"/>
      <c r="B564" s="28" t="str">
        <f>IF(ISNUMBER(MATCH(C564, Mgt_Unit!$C$5:$C$1018, 0)), INDEX(Mgt_Unit!$B$5:$B$1018, MATCH(C564, Mgt_Unit!$C$5:$C$1018, 0)), "")</f>
        <v>jennifer.moore</v>
      </c>
      <c r="C564" t="s">
        <v>753</v>
      </c>
      <c r="D564" s="45"/>
      <c r="E564" s="9" t="s">
        <v>1583</v>
      </c>
      <c r="F564" s="89">
        <v>43266</v>
      </c>
      <c r="G564" s="9"/>
      <c r="H564" s="9"/>
      <c r="I564" s="9"/>
      <c r="J564" t="s">
        <v>1365</v>
      </c>
      <c r="K564" s="120">
        <v>2.4</v>
      </c>
      <c r="L564" s="9"/>
      <c r="M564" s="7"/>
    </row>
    <row r="565" spans="1:13" hidden="1" x14ac:dyDescent="0.25">
      <c r="A565" s="4"/>
      <c r="B565" s="28" t="str">
        <f>IF(ISNUMBER(MATCH(C565, Mgt_Unit!$C$5:$C$1018, 0)), INDEX(Mgt_Unit!$B$5:$B$1018, MATCH(C565, Mgt_Unit!$C$5:$C$1018, 0)), "")</f>
        <v>jennifer.moore</v>
      </c>
      <c r="C565" t="s">
        <v>753</v>
      </c>
      <c r="D565" s="45"/>
      <c r="E565" s="9" t="s">
        <v>1583</v>
      </c>
      <c r="F565" s="89">
        <v>43416</v>
      </c>
      <c r="G565" s="9"/>
      <c r="H565" s="9"/>
      <c r="I565" s="9"/>
      <c r="J565" t="s">
        <v>1352</v>
      </c>
      <c r="K565" s="120">
        <v>39</v>
      </c>
      <c r="L565" s="9"/>
      <c r="M565" s="7"/>
    </row>
    <row r="566" spans="1:13" hidden="1" x14ac:dyDescent="0.25">
      <c r="A566" s="4"/>
      <c r="B566" s="28" t="str">
        <f>IF(ISNUMBER(MATCH(C566, Mgt_Unit!$C$5:$C$1018, 0)), INDEX(Mgt_Unit!$B$5:$B$1018, MATCH(C566, Mgt_Unit!$C$5:$C$1018, 0)), "")</f>
        <v>jennifer.moore</v>
      </c>
      <c r="C566" t="s">
        <v>753</v>
      </c>
      <c r="D566" s="45"/>
      <c r="E566" s="9" t="s">
        <v>1583</v>
      </c>
      <c r="F566" s="89">
        <v>43416</v>
      </c>
      <c r="G566" s="9"/>
      <c r="H566" s="9"/>
      <c r="I566" s="9"/>
      <c r="J566" t="s">
        <v>1374</v>
      </c>
      <c r="K566" s="120">
        <v>2.2000000000000002</v>
      </c>
      <c r="L566" s="9"/>
      <c r="M566" s="7"/>
    </row>
    <row r="567" spans="1:13" hidden="1" x14ac:dyDescent="0.25">
      <c r="A567" s="4"/>
      <c r="B567" s="28" t="str">
        <f>IF(ISNUMBER(MATCH(C567, Mgt_Unit!$C$5:$C$1018, 0)), INDEX(Mgt_Unit!$B$5:$B$1018, MATCH(C567, Mgt_Unit!$C$5:$C$1018, 0)), "")</f>
        <v>jennifer.moore</v>
      </c>
      <c r="C567" t="s">
        <v>753</v>
      </c>
      <c r="D567" s="45"/>
      <c r="E567" s="9" t="s">
        <v>1583</v>
      </c>
      <c r="F567" s="89">
        <v>43416</v>
      </c>
      <c r="G567" s="9"/>
      <c r="H567" s="9"/>
      <c r="I567" s="9"/>
      <c r="J567" t="s">
        <v>1363</v>
      </c>
      <c r="K567" s="120">
        <v>20</v>
      </c>
      <c r="L567" s="9"/>
      <c r="M567" s="7"/>
    </row>
    <row r="568" spans="1:13" hidden="1" x14ac:dyDescent="0.25">
      <c r="A568" s="4"/>
      <c r="B568" s="28" t="str">
        <f>IF(ISNUMBER(MATCH(C568, Mgt_Unit!$C$5:$C$1018, 0)), INDEX(Mgt_Unit!$B$5:$B$1018, MATCH(C568, Mgt_Unit!$C$5:$C$1018, 0)), "")</f>
        <v>jennifer.moore</v>
      </c>
      <c r="C568" t="s">
        <v>753</v>
      </c>
      <c r="D568" s="45"/>
      <c r="E568" s="9" t="s">
        <v>1583</v>
      </c>
      <c r="F568" s="89">
        <v>43439</v>
      </c>
      <c r="G568" s="9"/>
      <c r="H568" s="9"/>
      <c r="I568" s="9"/>
      <c r="J568" t="s">
        <v>1359</v>
      </c>
      <c r="K568" s="120">
        <v>6.3</v>
      </c>
      <c r="L568" s="9"/>
      <c r="M568" s="7"/>
    </row>
    <row r="569" spans="1:13" hidden="1" x14ac:dyDescent="0.25">
      <c r="A569" s="4"/>
      <c r="B569" s="28" t="str">
        <f>IF(ISNUMBER(MATCH(C569, Mgt_Unit!$C$5:$C$1018, 0)), INDEX(Mgt_Unit!$B$5:$B$1018, MATCH(C569, Mgt_Unit!$C$5:$C$1018, 0)), "")</f>
        <v>jennifer.moore</v>
      </c>
      <c r="C569" t="s">
        <v>753</v>
      </c>
      <c r="D569" s="45"/>
      <c r="E569" s="9" t="s">
        <v>1583</v>
      </c>
      <c r="F569" s="89">
        <v>43439</v>
      </c>
      <c r="G569" s="9"/>
      <c r="H569" s="9"/>
      <c r="I569" s="9"/>
      <c r="J569" t="s">
        <v>1352</v>
      </c>
      <c r="K569" s="120">
        <v>39</v>
      </c>
      <c r="L569" s="9"/>
      <c r="M569" s="7"/>
    </row>
    <row r="570" spans="1:13" hidden="1" x14ac:dyDescent="0.25">
      <c r="A570" s="4"/>
      <c r="B570" s="28" t="str">
        <f>IF(ISNUMBER(MATCH(C570, Mgt_Unit!$C$5:$C$1018, 0)), INDEX(Mgt_Unit!$B$5:$B$1018, MATCH(C570, Mgt_Unit!$C$5:$C$1018, 0)), "")</f>
        <v>jennifer.moore</v>
      </c>
      <c r="C570" t="s">
        <v>754</v>
      </c>
      <c r="D570" s="45"/>
      <c r="E570" s="9" t="s">
        <v>1583</v>
      </c>
      <c r="F570" s="89">
        <v>43250</v>
      </c>
      <c r="G570" s="9"/>
      <c r="H570" s="9"/>
      <c r="I570" s="9"/>
      <c r="J570" t="s">
        <v>1374</v>
      </c>
      <c r="K570" s="120">
        <v>2.2000000000000002</v>
      </c>
      <c r="L570" s="9"/>
      <c r="M570" s="7"/>
    </row>
    <row r="571" spans="1:13" hidden="1" x14ac:dyDescent="0.25">
      <c r="A571" s="4"/>
      <c r="B571" s="28" t="str">
        <f>IF(ISNUMBER(MATCH(C571, Mgt_Unit!$C$5:$C$1018, 0)), INDEX(Mgt_Unit!$B$5:$B$1018, MATCH(C571, Mgt_Unit!$C$5:$C$1018, 0)), "")</f>
        <v>jennifer.moore</v>
      </c>
      <c r="C571" t="s">
        <v>754</v>
      </c>
      <c r="D571" s="45"/>
      <c r="E571" s="9" t="s">
        <v>1583</v>
      </c>
      <c r="F571" s="89">
        <v>43250</v>
      </c>
      <c r="G571" s="9"/>
      <c r="H571" s="9"/>
      <c r="I571" s="9"/>
      <c r="J571" t="s">
        <v>1362</v>
      </c>
      <c r="K571" s="120">
        <v>2.2000000000000002</v>
      </c>
      <c r="L571" s="9"/>
      <c r="M571" s="7"/>
    </row>
    <row r="572" spans="1:13" hidden="1" x14ac:dyDescent="0.25">
      <c r="A572" s="4"/>
      <c r="B572" s="28" t="str">
        <f>IF(ISNUMBER(MATCH(C572, Mgt_Unit!$C$5:$C$1018, 0)), INDEX(Mgt_Unit!$B$5:$B$1018, MATCH(C572, Mgt_Unit!$C$5:$C$1018, 0)), "")</f>
        <v>jennifer.moore</v>
      </c>
      <c r="C572" t="s">
        <v>754</v>
      </c>
      <c r="D572" s="45"/>
      <c r="E572" s="9" t="s">
        <v>1583</v>
      </c>
      <c r="F572" s="89">
        <v>43266</v>
      </c>
      <c r="G572" s="9"/>
      <c r="H572" s="9"/>
      <c r="I572" s="9"/>
      <c r="J572" t="s">
        <v>1365</v>
      </c>
      <c r="K572" s="120">
        <v>2.4</v>
      </c>
      <c r="L572" s="9"/>
      <c r="M572" s="7"/>
    </row>
    <row r="573" spans="1:13" hidden="1" x14ac:dyDescent="0.25">
      <c r="A573" s="4"/>
      <c r="B573" s="28" t="str">
        <f>IF(ISNUMBER(MATCH(C573, Mgt_Unit!$C$5:$C$1018, 0)), INDEX(Mgt_Unit!$B$5:$B$1018, MATCH(C573, Mgt_Unit!$C$5:$C$1018, 0)), "")</f>
        <v>jennifer.moore</v>
      </c>
      <c r="C573" t="s">
        <v>754</v>
      </c>
      <c r="D573" s="45"/>
      <c r="E573" s="9" t="s">
        <v>1583</v>
      </c>
      <c r="F573" s="89">
        <v>43416</v>
      </c>
      <c r="G573" s="9"/>
      <c r="H573" s="9"/>
      <c r="I573" s="9"/>
      <c r="J573" t="s">
        <v>1374</v>
      </c>
      <c r="K573" s="120">
        <v>2.2000000000000002</v>
      </c>
      <c r="L573" s="9"/>
      <c r="M573" s="7"/>
    </row>
    <row r="574" spans="1:13" hidden="1" x14ac:dyDescent="0.25">
      <c r="A574" s="4"/>
      <c r="B574" s="28" t="str">
        <f>IF(ISNUMBER(MATCH(C574, Mgt_Unit!$C$5:$C$1018, 0)), INDEX(Mgt_Unit!$B$5:$B$1018, MATCH(C574, Mgt_Unit!$C$5:$C$1018, 0)), "")</f>
        <v>jennifer.moore</v>
      </c>
      <c r="C574" t="s">
        <v>754</v>
      </c>
      <c r="D574" s="45"/>
      <c r="E574" s="9" t="s">
        <v>1583</v>
      </c>
      <c r="F574" s="89">
        <v>43416</v>
      </c>
      <c r="G574" s="9"/>
      <c r="H574" s="9"/>
      <c r="I574" s="9"/>
      <c r="J574" t="s">
        <v>1362</v>
      </c>
      <c r="K574" s="120">
        <v>2.2000000000000002</v>
      </c>
      <c r="L574" s="9"/>
      <c r="M574" s="7"/>
    </row>
    <row r="575" spans="1:13" hidden="1" x14ac:dyDescent="0.25">
      <c r="A575" s="4"/>
      <c r="B575" s="28" t="str">
        <f>IF(ISNUMBER(MATCH(C575, Mgt_Unit!$C$5:$C$1018, 0)), INDEX(Mgt_Unit!$B$5:$B$1018, MATCH(C575, Mgt_Unit!$C$5:$C$1018, 0)), "")</f>
        <v>jennifer.moore</v>
      </c>
      <c r="C575" t="s">
        <v>754</v>
      </c>
      <c r="D575" s="45"/>
      <c r="E575" s="9" t="s">
        <v>1583</v>
      </c>
      <c r="F575" s="89">
        <v>43439</v>
      </c>
      <c r="G575" s="9"/>
      <c r="H575" s="9"/>
      <c r="I575" s="9"/>
      <c r="J575" t="s">
        <v>1359</v>
      </c>
      <c r="K575" s="120">
        <v>6.3</v>
      </c>
      <c r="L575" s="9"/>
      <c r="M575" s="7"/>
    </row>
    <row r="576" spans="1:13" hidden="1" x14ac:dyDescent="0.25">
      <c r="A576" s="4"/>
      <c r="B576" s="28" t="str">
        <f>IF(ISNUMBER(MATCH(C576, Mgt_Unit!$C$5:$C$1018, 0)), INDEX(Mgt_Unit!$B$5:$B$1018, MATCH(C576, Mgt_Unit!$C$5:$C$1018, 0)), "")</f>
        <v>jennifer.moore</v>
      </c>
      <c r="C576" t="s">
        <v>755</v>
      </c>
      <c r="D576" s="45"/>
      <c r="E576" s="9" t="s">
        <v>1583</v>
      </c>
      <c r="F576" s="89">
        <v>43250</v>
      </c>
      <c r="G576" s="9"/>
      <c r="H576" s="9"/>
      <c r="I576" s="9"/>
      <c r="J576" t="s">
        <v>1374</v>
      </c>
      <c r="K576" s="120">
        <v>2.2000000000000002</v>
      </c>
      <c r="L576" s="9"/>
      <c r="M576" s="7"/>
    </row>
    <row r="577" spans="1:13" hidden="1" x14ac:dyDescent="0.25">
      <c r="A577" s="4"/>
      <c r="B577" s="28" t="str">
        <f>IF(ISNUMBER(MATCH(C577, Mgt_Unit!$C$5:$C$1018, 0)), INDEX(Mgt_Unit!$B$5:$B$1018, MATCH(C577, Mgt_Unit!$C$5:$C$1018, 0)), "")</f>
        <v>jennifer.moore</v>
      </c>
      <c r="C577" t="s">
        <v>755</v>
      </c>
      <c r="D577" s="45"/>
      <c r="E577" s="9" t="s">
        <v>1583</v>
      </c>
      <c r="F577" s="89">
        <v>43250</v>
      </c>
      <c r="G577" s="9"/>
      <c r="H577" s="9"/>
      <c r="I577" s="9"/>
      <c r="J577" t="s">
        <v>1362</v>
      </c>
      <c r="K577" s="120">
        <v>2.2000000000000002</v>
      </c>
      <c r="L577" s="9"/>
      <c r="M577" s="7"/>
    </row>
    <row r="578" spans="1:13" hidden="1" x14ac:dyDescent="0.25">
      <c r="A578" s="4"/>
      <c r="B578" s="28" t="str">
        <f>IF(ISNUMBER(MATCH(C578, Mgt_Unit!$C$5:$C$1018, 0)), INDEX(Mgt_Unit!$B$5:$B$1018, MATCH(C578, Mgt_Unit!$C$5:$C$1018, 0)), "")</f>
        <v>jennifer.moore</v>
      </c>
      <c r="C578" t="s">
        <v>755</v>
      </c>
      <c r="D578" s="45"/>
      <c r="E578" s="9" t="s">
        <v>1583</v>
      </c>
      <c r="F578" s="89">
        <v>43266</v>
      </c>
      <c r="G578" s="9"/>
      <c r="H578" s="9"/>
      <c r="I578" s="9"/>
      <c r="J578" t="s">
        <v>1365</v>
      </c>
      <c r="K578" s="120">
        <v>2.4</v>
      </c>
      <c r="L578" s="9"/>
      <c r="M578" s="7"/>
    </row>
    <row r="579" spans="1:13" hidden="1" x14ac:dyDescent="0.25">
      <c r="A579" s="4"/>
      <c r="B579" s="28" t="str">
        <f>IF(ISNUMBER(MATCH(C579, Mgt_Unit!$C$5:$C$1018, 0)), INDEX(Mgt_Unit!$B$5:$B$1018, MATCH(C579, Mgt_Unit!$C$5:$C$1018, 0)), "")</f>
        <v>jennifer.moore</v>
      </c>
      <c r="C579" t="s">
        <v>755</v>
      </c>
      <c r="D579" s="45"/>
      <c r="E579" s="9" t="s">
        <v>1583</v>
      </c>
      <c r="F579" s="89">
        <v>43416</v>
      </c>
      <c r="G579" s="9"/>
      <c r="H579" s="9"/>
      <c r="I579" s="9"/>
      <c r="J579" t="s">
        <v>1374</v>
      </c>
      <c r="K579" s="120">
        <v>2.2000000000000002</v>
      </c>
      <c r="L579" s="9"/>
      <c r="M579" s="7"/>
    </row>
    <row r="580" spans="1:13" hidden="1" x14ac:dyDescent="0.25">
      <c r="A580" s="4"/>
      <c r="B580" s="28" t="str">
        <f>IF(ISNUMBER(MATCH(C580, Mgt_Unit!$C$5:$C$1018, 0)), INDEX(Mgt_Unit!$B$5:$B$1018, MATCH(C580, Mgt_Unit!$C$5:$C$1018, 0)), "")</f>
        <v>jennifer.moore</v>
      </c>
      <c r="C580" t="s">
        <v>755</v>
      </c>
      <c r="D580" s="45"/>
      <c r="E580" s="9" t="s">
        <v>1583</v>
      </c>
      <c r="F580" s="89">
        <v>43416</v>
      </c>
      <c r="G580" s="9"/>
      <c r="H580" s="9"/>
      <c r="I580" s="9"/>
      <c r="J580" t="s">
        <v>1362</v>
      </c>
      <c r="K580" s="120">
        <v>5</v>
      </c>
      <c r="L580" s="9"/>
      <c r="M580" s="7"/>
    </row>
    <row r="581" spans="1:13" hidden="1" x14ac:dyDescent="0.25">
      <c r="A581" s="4"/>
      <c r="B581" s="28" t="str">
        <f>IF(ISNUMBER(MATCH(C581, Mgt_Unit!$C$5:$C$1018, 0)), INDEX(Mgt_Unit!$B$5:$B$1018, MATCH(C581, Mgt_Unit!$C$5:$C$1018, 0)), "")</f>
        <v>jennifer.moore</v>
      </c>
      <c r="C581" t="s">
        <v>755</v>
      </c>
      <c r="D581" s="45"/>
      <c r="E581" s="9" t="s">
        <v>1583</v>
      </c>
      <c r="F581" s="89">
        <v>43439</v>
      </c>
      <c r="G581" s="9"/>
      <c r="H581" s="9"/>
      <c r="I581" s="9"/>
      <c r="J581" t="s">
        <v>1359</v>
      </c>
      <c r="K581" s="120">
        <v>6.3</v>
      </c>
      <c r="L581" s="9"/>
      <c r="M581" s="7"/>
    </row>
    <row r="582" spans="1:13" hidden="1" x14ac:dyDescent="0.25">
      <c r="A582" s="4"/>
      <c r="B582" s="28" t="str">
        <f>IF(ISNUMBER(MATCH(C582, Mgt_Unit!$C$5:$C$1018, 0)), INDEX(Mgt_Unit!$B$5:$B$1018, MATCH(C582, Mgt_Unit!$C$5:$C$1018, 0)), "")</f>
        <v>jennifer.moore</v>
      </c>
      <c r="C582" t="s">
        <v>756</v>
      </c>
      <c r="D582" s="45"/>
      <c r="E582" s="9" t="s">
        <v>1583</v>
      </c>
      <c r="F582" s="89">
        <v>43250</v>
      </c>
      <c r="G582" s="9"/>
      <c r="H582" s="9"/>
      <c r="I582" s="9"/>
      <c r="J582" t="s">
        <v>1374</v>
      </c>
      <c r="K582" s="120">
        <v>2.2000000000000002</v>
      </c>
      <c r="L582" s="9"/>
      <c r="M582" s="7"/>
    </row>
    <row r="583" spans="1:13" hidden="1" x14ac:dyDescent="0.25">
      <c r="A583" s="4"/>
      <c r="B583" s="28" t="str">
        <f>IF(ISNUMBER(MATCH(C583, Mgt_Unit!$C$5:$C$1018, 0)), INDEX(Mgt_Unit!$B$5:$B$1018, MATCH(C583, Mgt_Unit!$C$5:$C$1018, 0)), "")</f>
        <v>jennifer.moore</v>
      </c>
      <c r="C583" t="s">
        <v>756</v>
      </c>
      <c r="D583" s="45"/>
      <c r="E583" s="9" t="s">
        <v>1583</v>
      </c>
      <c r="F583" s="89">
        <v>43250</v>
      </c>
      <c r="G583" s="9"/>
      <c r="H583" s="9"/>
      <c r="I583" s="9"/>
      <c r="J583" t="s">
        <v>1362</v>
      </c>
      <c r="K583" s="120">
        <v>2.2000000000000002</v>
      </c>
      <c r="L583" s="9"/>
      <c r="M583" s="7"/>
    </row>
    <row r="584" spans="1:13" hidden="1" x14ac:dyDescent="0.25">
      <c r="A584" s="4"/>
      <c r="B584" s="28" t="str">
        <f>IF(ISNUMBER(MATCH(C584, Mgt_Unit!$C$5:$C$1018, 0)), INDEX(Mgt_Unit!$B$5:$B$1018, MATCH(C584, Mgt_Unit!$C$5:$C$1018, 0)), "")</f>
        <v>jennifer.moore</v>
      </c>
      <c r="C584" t="s">
        <v>756</v>
      </c>
      <c r="D584" s="45"/>
      <c r="E584" s="9" t="s">
        <v>1583</v>
      </c>
      <c r="F584" s="89">
        <v>43266</v>
      </c>
      <c r="G584" s="9"/>
      <c r="H584" s="9"/>
      <c r="I584" s="9"/>
      <c r="J584" t="s">
        <v>1365</v>
      </c>
      <c r="K584" s="120">
        <v>2.4</v>
      </c>
      <c r="L584" s="9"/>
      <c r="M584" s="7"/>
    </row>
    <row r="585" spans="1:13" hidden="1" x14ac:dyDescent="0.25">
      <c r="A585" s="4"/>
      <c r="B585" s="28" t="str">
        <f>IF(ISNUMBER(MATCH(C585, Mgt_Unit!$C$5:$C$1018, 0)), INDEX(Mgt_Unit!$B$5:$B$1018, MATCH(C585, Mgt_Unit!$C$5:$C$1018, 0)), "")</f>
        <v>jennifer.moore</v>
      </c>
      <c r="C585" t="s">
        <v>756</v>
      </c>
      <c r="D585" s="45"/>
      <c r="E585" s="9" t="s">
        <v>1583</v>
      </c>
      <c r="F585" s="89">
        <v>43416</v>
      </c>
      <c r="G585" s="9"/>
      <c r="H585" s="9"/>
      <c r="I585" s="9"/>
      <c r="J585" t="s">
        <v>1374</v>
      </c>
      <c r="K585" s="120">
        <v>2.2000000000000002</v>
      </c>
      <c r="L585" s="9"/>
      <c r="M585" s="7"/>
    </row>
    <row r="586" spans="1:13" hidden="1" x14ac:dyDescent="0.25">
      <c r="A586" s="4"/>
      <c r="B586" s="28" t="str">
        <f>IF(ISNUMBER(MATCH(C586, Mgt_Unit!$C$5:$C$1018, 0)), INDEX(Mgt_Unit!$B$5:$B$1018, MATCH(C586, Mgt_Unit!$C$5:$C$1018, 0)), "")</f>
        <v>jennifer.moore</v>
      </c>
      <c r="C586" t="s">
        <v>756</v>
      </c>
      <c r="D586" s="45"/>
      <c r="E586" s="9" t="s">
        <v>1583</v>
      </c>
      <c r="F586" s="89">
        <v>43416</v>
      </c>
      <c r="G586" s="9"/>
      <c r="H586" s="9"/>
      <c r="I586" s="9"/>
      <c r="J586" t="s">
        <v>1362</v>
      </c>
      <c r="K586" s="120">
        <v>2.2000000000000002</v>
      </c>
      <c r="L586" s="9"/>
      <c r="M586" s="7"/>
    </row>
    <row r="587" spans="1:13" hidden="1" x14ac:dyDescent="0.25">
      <c r="A587" s="4"/>
      <c r="B587" s="28" t="str">
        <f>IF(ISNUMBER(MATCH(C587, Mgt_Unit!$C$5:$C$1018, 0)), INDEX(Mgt_Unit!$B$5:$B$1018, MATCH(C587, Mgt_Unit!$C$5:$C$1018, 0)), "")</f>
        <v>jennifer.moore</v>
      </c>
      <c r="C587" t="s">
        <v>756</v>
      </c>
      <c r="D587" s="45"/>
      <c r="E587" s="9" t="s">
        <v>1583</v>
      </c>
      <c r="F587" s="89">
        <v>43439</v>
      </c>
      <c r="G587" s="9"/>
      <c r="H587" s="9"/>
      <c r="I587" s="9"/>
      <c r="J587" t="s">
        <v>1359</v>
      </c>
      <c r="K587" s="120">
        <v>6.3</v>
      </c>
      <c r="L587" s="9"/>
      <c r="M587" s="7"/>
    </row>
    <row r="588" spans="1:13" hidden="1" x14ac:dyDescent="0.25">
      <c r="A588" s="4"/>
      <c r="B588" s="28" t="str">
        <f>IF(ISNUMBER(MATCH(C588, Mgt_Unit!$C$5:$C$1018, 0)), INDEX(Mgt_Unit!$B$5:$B$1018, MATCH(C588, Mgt_Unit!$C$5:$C$1018, 0)), "")</f>
        <v>jennifer.moore</v>
      </c>
      <c r="C588" t="s">
        <v>757</v>
      </c>
      <c r="D588" s="45"/>
      <c r="E588" s="9" t="s">
        <v>1583</v>
      </c>
      <c r="F588" s="89">
        <v>43416</v>
      </c>
      <c r="G588" s="9"/>
      <c r="H588" s="9"/>
      <c r="I588" s="9"/>
      <c r="J588" t="s">
        <v>1374</v>
      </c>
      <c r="K588" s="120">
        <v>2.2000000000000002</v>
      </c>
      <c r="L588" s="9"/>
      <c r="M588" s="7"/>
    </row>
    <row r="589" spans="1:13" hidden="1" x14ac:dyDescent="0.25">
      <c r="A589" s="4"/>
      <c r="B589" s="28" t="str">
        <f>IF(ISNUMBER(MATCH(C589, Mgt_Unit!$C$5:$C$1018, 0)), INDEX(Mgt_Unit!$B$5:$B$1018, MATCH(C589, Mgt_Unit!$C$5:$C$1018, 0)), "")</f>
        <v>jennifer.moore</v>
      </c>
      <c r="C589" t="s">
        <v>757</v>
      </c>
      <c r="D589" s="45"/>
      <c r="E589" s="9" t="s">
        <v>1583</v>
      </c>
      <c r="F589" s="89">
        <v>43416</v>
      </c>
      <c r="G589" s="9"/>
      <c r="H589" s="9"/>
      <c r="I589" s="9"/>
      <c r="J589" t="s">
        <v>1352</v>
      </c>
      <c r="K589" s="120">
        <v>39</v>
      </c>
      <c r="L589" s="9"/>
      <c r="M589" s="7"/>
    </row>
    <row r="590" spans="1:13" hidden="1" x14ac:dyDescent="0.25">
      <c r="A590" s="4"/>
      <c r="B590" s="28" t="str">
        <f>IF(ISNUMBER(MATCH(C590, Mgt_Unit!$C$5:$C$1018, 0)), INDEX(Mgt_Unit!$B$5:$B$1018, MATCH(C590, Mgt_Unit!$C$5:$C$1018, 0)), "")</f>
        <v>jennifer.moore</v>
      </c>
      <c r="C590" t="s">
        <v>757</v>
      </c>
      <c r="D590" s="45"/>
      <c r="E590" s="9" t="s">
        <v>1583</v>
      </c>
      <c r="F590" s="89">
        <v>43417</v>
      </c>
      <c r="G590" s="9"/>
      <c r="H590" s="9"/>
      <c r="I590" s="9"/>
      <c r="J590" t="s">
        <v>1362</v>
      </c>
      <c r="K590" s="120">
        <v>20</v>
      </c>
      <c r="L590" s="9"/>
      <c r="M590" s="7"/>
    </row>
    <row r="591" spans="1:13" hidden="1" x14ac:dyDescent="0.25">
      <c r="A591" s="4"/>
      <c r="B591" s="28" t="str">
        <f>IF(ISNUMBER(MATCH(C591, Mgt_Unit!$C$5:$C$1018, 0)), INDEX(Mgt_Unit!$B$5:$B$1018, MATCH(C591, Mgt_Unit!$C$5:$C$1018, 0)), "")</f>
        <v>jennifer.moore</v>
      </c>
      <c r="C591" t="s">
        <v>757</v>
      </c>
      <c r="D591" s="45"/>
      <c r="E591" s="9" t="s">
        <v>1583</v>
      </c>
      <c r="F591" s="89">
        <v>43439</v>
      </c>
      <c r="G591" s="9"/>
      <c r="H591" s="9"/>
      <c r="I591" s="9"/>
      <c r="J591" t="s">
        <v>1352</v>
      </c>
      <c r="K591" s="120">
        <v>39</v>
      </c>
      <c r="L591" s="9"/>
      <c r="M591" s="7"/>
    </row>
    <row r="592" spans="1:13" hidden="1" x14ac:dyDescent="0.25">
      <c r="A592" s="4"/>
      <c r="B592" s="28" t="str">
        <f>IF(ISNUMBER(MATCH(C592, Mgt_Unit!$C$5:$C$1018, 0)), INDEX(Mgt_Unit!$B$5:$B$1018, MATCH(C592, Mgt_Unit!$C$5:$C$1018, 0)), "")</f>
        <v>jennifer.moore</v>
      </c>
      <c r="C592" t="s">
        <v>757</v>
      </c>
      <c r="D592" s="45"/>
      <c r="E592" s="9" t="s">
        <v>1583</v>
      </c>
      <c r="F592" s="89">
        <v>43440</v>
      </c>
      <c r="G592" s="9"/>
      <c r="H592" s="9"/>
      <c r="I592" s="9"/>
      <c r="J592" t="s">
        <v>1392</v>
      </c>
      <c r="K592" s="120">
        <v>6.3</v>
      </c>
      <c r="L592" s="9"/>
      <c r="M592" s="7"/>
    </row>
    <row r="593" spans="1:13" hidden="1" x14ac:dyDescent="0.25">
      <c r="A593" s="4"/>
      <c r="B593" s="28" t="str">
        <f>IF(ISNUMBER(MATCH(C593, Mgt_Unit!$C$5:$C$1018, 0)), INDEX(Mgt_Unit!$B$5:$B$1018, MATCH(C593, Mgt_Unit!$C$5:$C$1018, 0)), "")</f>
        <v>jennifer.moore</v>
      </c>
      <c r="C593" t="s">
        <v>758</v>
      </c>
      <c r="D593" s="45"/>
      <c r="E593" s="9" t="s">
        <v>1583</v>
      </c>
      <c r="F593" s="89">
        <v>43264</v>
      </c>
      <c r="G593" s="9"/>
      <c r="H593" s="9"/>
      <c r="I593" s="9"/>
      <c r="J593" t="s">
        <v>1362</v>
      </c>
      <c r="K593" s="120">
        <v>5</v>
      </c>
      <c r="L593" s="9"/>
      <c r="M593" s="7"/>
    </row>
    <row r="594" spans="1:13" hidden="1" x14ac:dyDescent="0.25">
      <c r="A594" s="4"/>
      <c r="B594" s="28" t="str">
        <f>IF(ISNUMBER(MATCH(C594, Mgt_Unit!$C$5:$C$1018, 0)), INDEX(Mgt_Unit!$B$5:$B$1018, MATCH(C594, Mgt_Unit!$C$5:$C$1018, 0)), "")</f>
        <v>jennifer.moore</v>
      </c>
      <c r="C594" t="s">
        <v>758</v>
      </c>
      <c r="D594" s="45"/>
      <c r="E594" s="9" t="s">
        <v>1583</v>
      </c>
      <c r="F594" s="89">
        <v>43266</v>
      </c>
      <c r="G594" s="9"/>
      <c r="H594" s="9"/>
      <c r="I594" s="9"/>
      <c r="J594" t="s">
        <v>1365</v>
      </c>
      <c r="K594" s="120">
        <v>2.4</v>
      </c>
      <c r="L594" s="9"/>
      <c r="M594" s="7"/>
    </row>
    <row r="595" spans="1:13" hidden="1" x14ac:dyDescent="0.25">
      <c r="A595" s="4"/>
      <c r="B595" s="28" t="str">
        <f>IF(ISNUMBER(MATCH(C595, Mgt_Unit!$C$5:$C$1018, 0)), INDEX(Mgt_Unit!$B$5:$B$1018, MATCH(C595, Mgt_Unit!$C$5:$C$1018, 0)), "")</f>
        <v>jennifer.moore</v>
      </c>
      <c r="C595" t="s">
        <v>758</v>
      </c>
      <c r="D595" s="45"/>
      <c r="E595" s="9" t="s">
        <v>1583</v>
      </c>
      <c r="F595" s="89">
        <v>43416</v>
      </c>
      <c r="G595" s="9"/>
      <c r="H595" s="9"/>
      <c r="I595" s="9"/>
      <c r="J595" t="s">
        <v>1374</v>
      </c>
      <c r="K595" s="120">
        <v>2.2000000000000002</v>
      </c>
      <c r="L595" s="9"/>
      <c r="M595" s="7"/>
    </row>
    <row r="596" spans="1:13" hidden="1" x14ac:dyDescent="0.25">
      <c r="A596" s="4"/>
      <c r="B596" s="28" t="str">
        <f>IF(ISNUMBER(MATCH(C596, Mgt_Unit!$C$5:$C$1018, 0)), INDEX(Mgt_Unit!$B$5:$B$1018, MATCH(C596, Mgt_Unit!$C$5:$C$1018, 0)), "")</f>
        <v>jennifer.moore</v>
      </c>
      <c r="C596" t="s">
        <v>758</v>
      </c>
      <c r="D596" s="45"/>
      <c r="E596" s="9" t="s">
        <v>1583</v>
      </c>
      <c r="F596" s="89">
        <v>43417</v>
      </c>
      <c r="G596" s="9"/>
      <c r="H596" s="9"/>
      <c r="I596" s="9"/>
      <c r="J596" t="s">
        <v>1362</v>
      </c>
      <c r="K596" s="120">
        <v>2.2000000000000002</v>
      </c>
      <c r="L596" s="9"/>
      <c r="M596" s="7"/>
    </row>
    <row r="597" spans="1:13" hidden="1" x14ac:dyDescent="0.25">
      <c r="A597" s="4"/>
      <c r="B597" s="28" t="str">
        <f>IF(ISNUMBER(MATCH(C597, Mgt_Unit!$C$5:$C$1018, 0)), INDEX(Mgt_Unit!$B$5:$B$1018, MATCH(C597, Mgt_Unit!$C$5:$C$1018, 0)), "")</f>
        <v>jennifer.moore</v>
      </c>
      <c r="C597" t="s">
        <v>758</v>
      </c>
      <c r="D597" s="45"/>
      <c r="E597" s="9" t="s">
        <v>1583</v>
      </c>
      <c r="F597" s="89">
        <v>43440</v>
      </c>
      <c r="G597" s="9"/>
      <c r="H597" s="9"/>
      <c r="I597" s="9"/>
      <c r="J597" t="s">
        <v>1392</v>
      </c>
      <c r="K597" s="120">
        <v>6.3</v>
      </c>
      <c r="L597" s="9"/>
      <c r="M597" s="7"/>
    </row>
    <row r="598" spans="1:13" hidden="1" x14ac:dyDescent="0.25">
      <c r="A598" s="4"/>
      <c r="B598" s="28" t="str">
        <f>IF(ISNUMBER(MATCH(C598, Mgt_Unit!$C$5:$C$1018, 0)), INDEX(Mgt_Unit!$B$5:$B$1018, MATCH(C598, Mgt_Unit!$C$5:$C$1018, 0)), "")</f>
        <v>jennifer.moore</v>
      </c>
      <c r="C598" t="s">
        <v>758</v>
      </c>
      <c r="D598" s="45"/>
      <c r="E598" s="9" t="s">
        <v>1583</v>
      </c>
      <c r="F598" s="89">
        <v>43738</v>
      </c>
      <c r="G598" s="9"/>
      <c r="H598" s="9"/>
      <c r="I598" s="9"/>
      <c r="J598" t="s">
        <v>1362</v>
      </c>
      <c r="K598" s="120">
        <v>2.2000000000000002</v>
      </c>
      <c r="L598" s="9"/>
      <c r="M598" s="7"/>
    </row>
    <row r="599" spans="1:13" hidden="1" x14ac:dyDescent="0.25">
      <c r="A599" s="4"/>
      <c r="B599" s="28" t="str">
        <f>IF(ISNUMBER(MATCH(C599, Mgt_Unit!$C$5:$C$1018, 0)), INDEX(Mgt_Unit!$B$5:$B$1018, MATCH(C599, Mgt_Unit!$C$5:$C$1018, 0)), "")</f>
        <v>jennifer.moore</v>
      </c>
      <c r="C599" t="s">
        <v>758</v>
      </c>
      <c r="D599" s="45"/>
      <c r="E599" s="9" t="s">
        <v>1583</v>
      </c>
      <c r="F599" s="89">
        <v>43761</v>
      </c>
      <c r="G599" s="9"/>
      <c r="H599" s="9"/>
      <c r="I599" s="9"/>
      <c r="J599" t="s">
        <v>1365</v>
      </c>
      <c r="K599" s="120">
        <v>2.4</v>
      </c>
      <c r="L599" s="9"/>
      <c r="M599" s="7"/>
    </row>
    <row r="600" spans="1:13" hidden="1" x14ac:dyDescent="0.25">
      <c r="A600" s="4"/>
      <c r="B600" s="28" t="str">
        <f>IF(ISNUMBER(MATCH(C600, Mgt_Unit!$C$5:$C$1018, 0)), INDEX(Mgt_Unit!$B$5:$B$1018, MATCH(C600, Mgt_Unit!$C$5:$C$1018, 0)), "")</f>
        <v>jennifer.moore</v>
      </c>
      <c r="C600" t="s">
        <v>759</v>
      </c>
      <c r="D600" s="45"/>
      <c r="E600" s="9" t="s">
        <v>1583</v>
      </c>
      <c r="F600" s="89">
        <v>43373</v>
      </c>
      <c r="G600" s="9"/>
      <c r="H600" s="9"/>
      <c r="I600" s="9"/>
      <c r="J600" t="s">
        <v>1362</v>
      </c>
      <c r="K600" s="120">
        <v>2.2000000000000002</v>
      </c>
      <c r="L600" s="9"/>
      <c r="M600" s="7"/>
    </row>
    <row r="601" spans="1:13" hidden="1" x14ac:dyDescent="0.25">
      <c r="A601" s="4"/>
      <c r="B601" s="28" t="str">
        <f>IF(ISNUMBER(MATCH(C601, Mgt_Unit!$C$5:$C$1018, 0)), INDEX(Mgt_Unit!$B$5:$B$1018, MATCH(C601, Mgt_Unit!$C$5:$C$1018, 0)), "")</f>
        <v>jennifer.moore</v>
      </c>
      <c r="C601" t="s">
        <v>759</v>
      </c>
      <c r="D601" s="45"/>
      <c r="E601" s="9" t="s">
        <v>1583</v>
      </c>
      <c r="F601" s="89">
        <v>43396</v>
      </c>
      <c r="G601" s="9"/>
      <c r="H601" s="9"/>
      <c r="I601" s="9"/>
      <c r="J601" t="s">
        <v>1365</v>
      </c>
      <c r="K601" s="120">
        <v>2.4</v>
      </c>
      <c r="L601" s="9"/>
      <c r="M601" s="7"/>
    </row>
    <row r="602" spans="1:13" hidden="1" x14ac:dyDescent="0.25">
      <c r="A602" s="4"/>
      <c r="B602" s="28" t="str">
        <f>IF(ISNUMBER(MATCH(C602, Mgt_Unit!$C$5:$C$1018, 0)), INDEX(Mgt_Unit!$B$5:$B$1018, MATCH(C602, Mgt_Unit!$C$5:$C$1018, 0)), "")</f>
        <v>jennifer.moore</v>
      </c>
      <c r="C602" t="s">
        <v>759</v>
      </c>
      <c r="D602" s="45"/>
      <c r="E602" s="9" t="s">
        <v>1583</v>
      </c>
      <c r="F602" s="89">
        <v>43629</v>
      </c>
      <c r="G602" s="9"/>
      <c r="H602" s="9"/>
      <c r="I602" s="9"/>
      <c r="J602" t="s">
        <v>1362</v>
      </c>
      <c r="K602" s="120">
        <v>2.2000000000000002</v>
      </c>
      <c r="L602" s="9"/>
      <c r="M602" s="7"/>
    </row>
    <row r="603" spans="1:13" hidden="1" x14ac:dyDescent="0.25">
      <c r="A603" s="4"/>
      <c r="B603" s="28" t="str">
        <f>IF(ISNUMBER(MATCH(C603, Mgt_Unit!$C$5:$C$1018, 0)), INDEX(Mgt_Unit!$B$5:$B$1018, MATCH(C603, Mgt_Unit!$C$5:$C$1018, 0)), "")</f>
        <v>jennifer.moore</v>
      </c>
      <c r="C603" t="s">
        <v>759</v>
      </c>
      <c r="D603" s="45"/>
      <c r="E603" s="9" t="s">
        <v>1583</v>
      </c>
      <c r="F603" s="89">
        <v>43631</v>
      </c>
      <c r="G603" s="9"/>
      <c r="H603" s="9"/>
      <c r="I603" s="9"/>
      <c r="J603" t="s">
        <v>1365</v>
      </c>
      <c r="K603" s="120">
        <v>2.4</v>
      </c>
      <c r="L603" s="9"/>
      <c r="M603" s="7"/>
    </row>
    <row r="604" spans="1:13" hidden="1" x14ac:dyDescent="0.25">
      <c r="A604" s="4"/>
      <c r="B604" s="28" t="str">
        <f>IF(ISNUMBER(MATCH(C604, Mgt_Unit!$C$5:$C$1018, 0)), INDEX(Mgt_Unit!$B$5:$B$1018, MATCH(C604, Mgt_Unit!$C$5:$C$1018, 0)), "")</f>
        <v>jennifer.moore</v>
      </c>
      <c r="C604" t="s">
        <v>759</v>
      </c>
      <c r="D604" s="45"/>
      <c r="E604" s="9" t="s">
        <v>1583</v>
      </c>
      <c r="F604" s="89">
        <v>43781</v>
      </c>
      <c r="G604" s="9"/>
      <c r="H604" s="9"/>
      <c r="I604" s="9"/>
      <c r="J604" t="s">
        <v>1374</v>
      </c>
      <c r="K604" s="120">
        <v>2.2000000000000002</v>
      </c>
      <c r="L604" s="9"/>
      <c r="M604" s="7"/>
    </row>
    <row r="605" spans="1:13" hidden="1" x14ac:dyDescent="0.25">
      <c r="A605" s="4"/>
      <c r="B605" s="28" t="str">
        <f>IF(ISNUMBER(MATCH(C605, Mgt_Unit!$C$5:$C$1018, 0)), INDEX(Mgt_Unit!$B$5:$B$1018, MATCH(C605, Mgt_Unit!$C$5:$C$1018, 0)), "")</f>
        <v>jennifer.moore</v>
      </c>
      <c r="C605" t="s">
        <v>759</v>
      </c>
      <c r="D605" s="45"/>
      <c r="E605" s="9" t="s">
        <v>1583</v>
      </c>
      <c r="F605" s="89">
        <v>43782</v>
      </c>
      <c r="G605" s="9"/>
      <c r="H605" s="9"/>
      <c r="I605" s="9"/>
      <c r="J605" t="s">
        <v>1362</v>
      </c>
      <c r="K605" s="120">
        <v>2.2000000000000002</v>
      </c>
      <c r="L605" s="9"/>
      <c r="M605" s="7"/>
    </row>
    <row r="606" spans="1:13" hidden="1" x14ac:dyDescent="0.25">
      <c r="A606" s="4"/>
      <c r="B606" s="28" t="str">
        <f>IF(ISNUMBER(MATCH(C606, Mgt_Unit!$C$5:$C$1018, 0)), INDEX(Mgt_Unit!$B$5:$B$1018, MATCH(C606, Mgt_Unit!$C$5:$C$1018, 0)), "")</f>
        <v>jennifer.moore</v>
      </c>
      <c r="C606" t="s">
        <v>759</v>
      </c>
      <c r="D606" s="45"/>
      <c r="E606" s="9" t="s">
        <v>1583</v>
      </c>
      <c r="F606" s="89">
        <v>43805</v>
      </c>
      <c r="G606" s="9"/>
      <c r="H606" s="9"/>
      <c r="I606" s="9"/>
      <c r="J606" t="s">
        <v>1392</v>
      </c>
      <c r="K606" s="120">
        <v>6.3</v>
      </c>
      <c r="L606" s="9"/>
      <c r="M606" s="7"/>
    </row>
    <row r="607" spans="1:13" hidden="1" x14ac:dyDescent="0.25">
      <c r="A607" s="4"/>
      <c r="B607" s="28" t="str">
        <f>IF(ISNUMBER(MATCH(C607, Mgt_Unit!$C$5:$C$1018, 0)), INDEX(Mgt_Unit!$B$5:$B$1018, MATCH(C607, Mgt_Unit!$C$5:$C$1018, 0)), "")</f>
        <v>jennifer.moore</v>
      </c>
      <c r="C607" t="s">
        <v>760</v>
      </c>
      <c r="D607" s="45"/>
      <c r="E607" s="9" t="s">
        <v>1583</v>
      </c>
      <c r="F607" s="89">
        <v>43416</v>
      </c>
      <c r="G607" s="9"/>
      <c r="H607" s="9"/>
      <c r="I607" s="9"/>
      <c r="J607" t="s">
        <v>1374</v>
      </c>
      <c r="K607" s="120">
        <v>2.2000000000000002</v>
      </c>
      <c r="L607" s="9"/>
      <c r="M607" s="7"/>
    </row>
    <row r="608" spans="1:13" hidden="1" x14ac:dyDescent="0.25">
      <c r="A608" s="4"/>
      <c r="B608" s="28" t="str">
        <f>IF(ISNUMBER(MATCH(C608, Mgt_Unit!$C$5:$C$1018, 0)), INDEX(Mgt_Unit!$B$5:$B$1018, MATCH(C608, Mgt_Unit!$C$5:$C$1018, 0)), "")</f>
        <v>jennifer.moore</v>
      </c>
      <c r="C608" t="s">
        <v>760</v>
      </c>
      <c r="D608" s="45"/>
      <c r="E608" s="9" t="s">
        <v>1583</v>
      </c>
      <c r="F608" s="89">
        <v>43417</v>
      </c>
      <c r="G608" s="9"/>
      <c r="H608" s="9"/>
      <c r="I608" s="9"/>
      <c r="J608" t="s">
        <v>1362</v>
      </c>
      <c r="K608" s="120">
        <v>2.2000000000000002</v>
      </c>
      <c r="L608" s="9"/>
      <c r="M608" s="7"/>
    </row>
    <row r="609" spans="1:13" hidden="1" x14ac:dyDescent="0.25">
      <c r="A609" s="4"/>
      <c r="B609" s="28" t="str">
        <f>IF(ISNUMBER(MATCH(C609, Mgt_Unit!$C$5:$C$1018, 0)), INDEX(Mgt_Unit!$B$5:$B$1018, MATCH(C609, Mgt_Unit!$C$5:$C$1018, 0)), "")</f>
        <v>jennifer.moore</v>
      </c>
      <c r="C609" t="s">
        <v>760</v>
      </c>
      <c r="D609" s="45"/>
      <c r="E609" s="9" t="s">
        <v>1583</v>
      </c>
      <c r="F609" s="89">
        <v>43782</v>
      </c>
      <c r="G609" s="9"/>
      <c r="H609" s="9"/>
      <c r="I609" s="9"/>
      <c r="J609" t="s">
        <v>1362</v>
      </c>
      <c r="K609" s="120">
        <v>2.2000000000000002</v>
      </c>
      <c r="L609" s="9"/>
      <c r="M609" s="7"/>
    </row>
    <row r="610" spans="1:13" hidden="1" x14ac:dyDescent="0.25">
      <c r="A610" s="4"/>
      <c r="B610" s="28" t="str">
        <f>IF(ISNUMBER(MATCH(C610, Mgt_Unit!$C$5:$C$1018, 0)), INDEX(Mgt_Unit!$B$5:$B$1018, MATCH(C610, Mgt_Unit!$C$5:$C$1018, 0)), "")</f>
        <v>jennifer.moore</v>
      </c>
      <c r="C610" t="s">
        <v>760</v>
      </c>
      <c r="D610" s="45"/>
      <c r="E610" s="9" t="s">
        <v>1583</v>
      </c>
      <c r="F610" s="89">
        <v>43805</v>
      </c>
      <c r="G610" s="9"/>
      <c r="H610" s="9"/>
      <c r="I610" s="9"/>
      <c r="J610" t="s">
        <v>1392</v>
      </c>
      <c r="K610" s="120">
        <v>6.3</v>
      </c>
      <c r="L610" s="9"/>
      <c r="M610" s="7"/>
    </row>
    <row r="611" spans="1:13" hidden="1" x14ac:dyDescent="0.25">
      <c r="A611" s="4"/>
      <c r="B611" s="28" t="str">
        <f>IF(ISNUMBER(MATCH(C611, Mgt_Unit!$C$5:$C$1018, 0)), INDEX(Mgt_Unit!$B$5:$B$1018, MATCH(C611, Mgt_Unit!$C$5:$C$1018, 0)), "")</f>
        <v>jennifer.moore</v>
      </c>
      <c r="C611" t="s">
        <v>761</v>
      </c>
      <c r="D611" s="45"/>
      <c r="E611" s="9" t="s">
        <v>1583</v>
      </c>
      <c r="F611" s="89">
        <v>43416</v>
      </c>
      <c r="G611" s="9"/>
      <c r="H611" s="9"/>
      <c r="I611" s="9"/>
      <c r="J611" t="s">
        <v>1374</v>
      </c>
      <c r="K611" s="120">
        <v>2.2000000000000002</v>
      </c>
      <c r="L611" s="9"/>
      <c r="M611" s="7"/>
    </row>
    <row r="612" spans="1:13" hidden="1" x14ac:dyDescent="0.25">
      <c r="A612" s="4"/>
      <c r="B612" s="28" t="str">
        <f>IF(ISNUMBER(MATCH(C612, Mgt_Unit!$C$5:$C$1018, 0)), INDEX(Mgt_Unit!$B$5:$B$1018, MATCH(C612, Mgt_Unit!$C$5:$C$1018, 0)), "")</f>
        <v>jennifer.moore</v>
      </c>
      <c r="C612" t="s">
        <v>761</v>
      </c>
      <c r="D612" s="45"/>
      <c r="E612" s="9" t="s">
        <v>1583</v>
      </c>
      <c r="F612" s="89">
        <v>43417</v>
      </c>
      <c r="G612" s="9"/>
      <c r="H612" s="9"/>
      <c r="I612" s="9"/>
      <c r="J612" t="s">
        <v>1362</v>
      </c>
      <c r="K612" s="120">
        <v>2.2000000000000002</v>
      </c>
      <c r="L612" s="9"/>
      <c r="M612" s="7"/>
    </row>
    <row r="613" spans="1:13" hidden="1" x14ac:dyDescent="0.25">
      <c r="A613" s="4"/>
      <c r="B613" s="28" t="str">
        <f>IF(ISNUMBER(MATCH(C613, Mgt_Unit!$C$5:$C$1018, 0)), INDEX(Mgt_Unit!$B$5:$B$1018, MATCH(C613, Mgt_Unit!$C$5:$C$1018, 0)), "")</f>
        <v>jennifer.moore</v>
      </c>
      <c r="C613" t="s">
        <v>761</v>
      </c>
      <c r="D613" s="45"/>
      <c r="E613" s="9" t="s">
        <v>1583</v>
      </c>
      <c r="F613" s="89">
        <v>43440</v>
      </c>
      <c r="G613" s="9"/>
      <c r="H613" s="9"/>
      <c r="I613" s="9"/>
      <c r="J613" t="s">
        <v>1392</v>
      </c>
      <c r="K613" s="120">
        <v>6.3</v>
      </c>
      <c r="L613" s="9"/>
      <c r="M613" s="7"/>
    </row>
    <row r="614" spans="1:13" hidden="1" x14ac:dyDescent="0.25">
      <c r="A614" s="4"/>
      <c r="B614" s="28" t="str">
        <f>IF(ISNUMBER(MATCH(C614, Mgt_Unit!$C$5:$C$1018, 0)), INDEX(Mgt_Unit!$B$5:$B$1018, MATCH(C614, Mgt_Unit!$C$5:$C$1018, 0)), "")</f>
        <v>jennifer.moore</v>
      </c>
      <c r="C614" t="s">
        <v>761</v>
      </c>
      <c r="D614" s="45"/>
      <c r="E614" s="9" t="s">
        <v>1583</v>
      </c>
      <c r="F614" s="89">
        <v>43782</v>
      </c>
      <c r="G614" s="9"/>
      <c r="H614" s="9"/>
      <c r="I614" s="9"/>
      <c r="J614" t="s">
        <v>1362</v>
      </c>
      <c r="K614" s="120">
        <v>2.2000000000000002</v>
      </c>
      <c r="L614" s="9"/>
      <c r="M614" s="7"/>
    </row>
    <row r="615" spans="1:13" hidden="1" x14ac:dyDescent="0.25">
      <c r="A615" s="4"/>
      <c r="B615" s="28" t="str">
        <f>IF(ISNUMBER(MATCH(C615, Mgt_Unit!$C$5:$C$1018, 0)), INDEX(Mgt_Unit!$B$5:$B$1018, MATCH(C615, Mgt_Unit!$C$5:$C$1018, 0)), "")</f>
        <v>jennifer.moore</v>
      </c>
      <c r="C615" t="s">
        <v>762</v>
      </c>
      <c r="D615" s="45"/>
      <c r="E615" s="9" t="s">
        <v>1583</v>
      </c>
      <c r="F615" s="89">
        <v>43417</v>
      </c>
      <c r="G615" s="9"/>
      <c r="H615" s="9"/>
      <c r="I615" s="9"/>
      <c r="J615" t="s">
        <v>1362</v>
      </c>
      <c r="K615" s="120">
        <v>2.2000000000000002</v>
      </c>
      <c r="L615" s="9"/>
      <c r="M615" s="7"/>
    </row>
    <row r="616" spans="1:13" hidden="1" x14ac:dyDescent="0.25">
      <c r="A616" s="4"/>
      <c r="B616" s="28" t="str">
        <f>IF(ISNUMBER(MATCH(C616, Mgt_Unit!$C$5:$C$1018, 0)), INDEX(Mgt_Unit!$B$5:$B$1018, MATCH(C616, Mgt_Unit!$C$5:$C$1018, 0)), "")</f>
        <v>jennifer.moore</v>
      </c>
      <c r="C616" t="s">
        <v>762</v>
      </c>
      <c r="D616" s="45"/>
      <c r="E616" s="9" t="s">
        <v>1583</v>
      </c>
      <c r="F616" s="89">
        <v>43455</v>
      </c>
      <c r="G616" s="9"/>
      <c r="H616" s="9"/>
      <c r="I616" s="9"/>
      <c r="J616" t="s">
        <v>1365</v>
      </c>
      <c r="K616" s="120">
        <v>2.4</v>
      </c>
      <c r="L616" s="9"/>
      <c r="M616" s="7"/>
    </row>
    <row r="617" spans="1:13" hidden="1" x14ac:dyDescent="0.25">
      <c r="A617" s="4"/>
      <c r="B617" s="28" t="str">
        <f>IF(ISNUMBER(MATCH(C617, Mgt_Unit!$C$5:$C$1018, 0)), INDEX(Mgt_Unit!$B$5:$B$1018, MATCH(C617, Mgt_Unit!$C$5:$C$1018, 0)), "")</f>
        <v>jennifer.moore</v>
      </c>
      <c r="C617" t="s">
        <v>762</v>
      </c>
      <c r="D617" s="45"/>
      <c r="E617" s="9" t="s">
        <v>1583</v>
      </c>
      <c r="F617" s="89">
        <v>43782</v>
      </c>
      <c r="G617" s="9"/>
      <c r="H617" s="9"/>
      <c r="I617" s="9"/>
      <c r="J617" t="s">
        <v>1362</v>
      </c>
      <c r="K617" s="120">
        <v>2.2000000000000002</v>
      </c>
      <c r="L617" s="9"/>
      <c r="M617" s="7"/>
    </row>
    <row r="618" spans="1:13" hidden="1" x14ac:dyDescent="0.25">
      <c r="A618" s="4"/>
      <c r="B618" s="28" t="str">
        <f>IF(ISNUMBER(MATCH(C618, Mgt_Unit!$C$5:$C$1018, 0)), INDEX(Mgt_Unit!$B$5:$B$1018, MATCH(C618, Mgt_Unit!$C$5:$C$1018, 0)), "")</f>
        <v>jennifer.moore</v>
      </c>
      <c r="C618" t="s">
        <v>762</v>
      </c>
      <c r="D618" s="45"/>
      <c r="E618" s="9" t="s">
        <v>1583</v>
      </c>
      <c r="F618" s="89">
        <v>43805</v>
      </c>
      <c r="G618" s="9"/>
      <c r="H618" s="9"/>
      <c r="I618" s="9"/>
      <c r="J618" t="s">
        <v>1359</v>
      </c>
      <c r="K618" s="120">
        <v>6.3</v>
      </c>
      <c r="L618" s="9"/>
      <c r="M618" s="7"/>
    </row>
    <row r="619" spans="1:13" hidden="1" x14ac:dyDescent="0.25">
      <c r="A619" s="4"/>
      <c r="B619" s="28" t="str">
        <f>IF(ISNUMBER(MATCH(C619, Mgt_Unit!$C$5:$C$1018, 0)), INDEX(Mgt_Unit!$B$5:$B$1018, MATCH(C619, Mgt_Unit!$C$5:$C$1018, 0)), "")</f>
        <v>jennifer.moore</v>
      </c>
      <c r="C619" t="s">
        <v>763</v>
      </c>
      <c r="D619" s="45"/>
      <c r="E619" s="9" t="s">
        <v>1583</v>
      </c>
      <c r="F619" s="89">
        <v>43416</v>
      </c>
      <c r="G619" s="9"/>
      <c r="H619" s="9"/>
      <c r="I619" s="9"/>
      <c r="J619" t="s">
        <v>1374</v>
      </c>
      <c r="K619" s="120">
        <v>2.2000000000000002</v>
      </c>
      <c r="L619" s="9"/>
      <c r="M619" s="7"/>
    </row>
    <row r="620" spans="1:13" hidden="1" x14ac:dyDescent="0.25">
      <c r="A620" s="4"/>
      <c r="B620" s="28" t="str">
        <f>IF(ISNUMBER(MATCH(C620, Mgt_Unit!$C$5:$C$1018, 0)), INDEX(Mgt_Unit!$B$5:$B$1018, MATCH(C620, Mgt_Unit!$C$5:$C$1018, 0)), "")</f>
        <v>jennifer.moore</v>
      </c>
      <c r="C620" t="s">
        <v>763</v>
      </c>
      <c r="D620" s="45"/>
      <c r="E620" s="9" t="s">
        <v>1583</v>
      </c>
      <c r="F620" s="89">
        <v>43417</v>
      </c>
      <c r="G620" s="9"/>
      <c r="H620" s="9"/>
      <c r="I620" s="9"/>
      <c r="J620" t="s">
        <v>1362</v>
      </c>
      <c r="K620" s="120">
        <v>2.2000000000000002</v>
      </c>
      <c r="L620" s="9"/>
      <c r="M620" s="7"/>
    </row>
    <row r="621" spans="1:13" hidden="1" x14ac:dyDescent="0.25">
      <c r="A621" s="4"/>
      <c r="B621" s="28" t="str">
        <f>IF(ISNUMBER(MATCH(C621, Mgt_Unit!$C$5:$C$1018, 0)), INDEX(Mgt_Unit!$B$5:$B$1018, MATCH(C621, Mgt_Unit!$C$5:$C$1018, 0)), "")</f>
        <v>jennifer.moore</v>
      </c>
      <c r="C621" t="s">
        <v>763</v>
      </c>
      <c r="D621" s="45"/>
      <c r="E621" s="9" t="s">
        <v>1583</v>
      </c>
      <c r="F621" s="89">
        <v>43440</v>
      </c>
      <c r="G621" s="9"/>
      <c r="H621" s="9"/>
      <c r="I621" s="9"/>
      <c r="J621" t="s">
        <v>1392</v>
      </c>
      <c r="K621" s="120">
        <v>6.3</v>
      </c>
      <c r="L621" s="9"/>
      <c r="M621" s="7"/>
    </row>
    <row r="622" spans="1:13" hidden="1" x14ac:dyDescent="0.25">
      <c r="A622" s="4"/>
      <c r="B622" s="28" t="str">
        <f>IF(ISNUMBER(MATCH(C622, Mgt_Unit!$C$5:$C$1018, 0)), INDEX(Mgt_Unit!$B$5:$B$1018, MATCH(C622, Mgt_Unit!$C$5:$C$1018, 0)), "")</f>
        <v>jennifer.moore</v>
      </c>
      <c r="C622" t="s">
        <v>764</v>
      </c>
      <c r="D622" s="45"/>
      <c r="E622" s="9" t="s">
        <v>1583</v>
      </c>
      <c r="F622" s="89">
        <v>43416</v>
      </c>
      <c r="G622" s="9"/>
      <c r="H622" s="9"/>
      <c r="I622" s="9"/>
      <c r="J622" t="s">
        <v>1393</v>
      </c>
      <c r="K622" s="120">
        <v>4</v>
      </c>
      <c r="L622" s="9"/>
      <c r="M622" s="7"/>
    </row>
    <row r="623" spans="1:13" hidden="1" x14ac:dyDescent="0.25">
      <c r="A623" s="4"/>
      <c r="B623" s="28" t="str">
        <f>IF(ISNUMBER(MATCH(C623, Mgt_Unit!$C$5:$C$1018, 0)), INDEX(Mgt_Unit!$B$5:$B$1018, MATCH(C623, Mgt_Unit!$C$5:$C$1018, 0)), "")</f>
        <v>jennifer.moore</v>
      </c>
      <c r="C623" t="s">
        <v>764</v>
      </c>
      <c r="D623" s="45"/>
      <c r="E623" s="9" t="s">
        <v>1583</v>
      </c>
      <c r="F623" s="89">
        <v>43416</v>
      </c>
      <c r="G623" s="9"/>
      <c r="H623" s="9"/>
      <c r="I623" s="9"/>
      <c r="J623" t="s">
        <v>1374</v>
      </c>
      <c r="K623" s="120">
        <v>2.2000000000000002</v>
      </c>
      <c r="L623" s="9"/>
      <c r="M623" s="7"/>
    </row>
    <row r="624" spans="1:13" hidden="1" x14ac:dyDescent="0.25">
      <c r="A624" s="4"/>
      <c r="B624" s="28" t="str">
        <f>IF(ISNUMBER(MATCH(C624, Mgt_Unit!$C$5:$C$1018, 0)), INDEX(Mgt_Unit!$B$5:$B$1018, MATCH(C624, Mgt_Unit!$C$5:$C$1018, 0)), "")</f>
        <v>jennifer.moore</v>
      </c>
      <c r="C624" t="s">
        <v>764</v>
      </c>
      <c r="D624" s="45"/>
      <c r="E624" s="9" t="s">
        <v>1583</v>
      </c>
      <c r="F624" s="89">
        <v>43417</v>
      </c>
      <c r="G624" s="9"/>
      <c r="H624" s="9"/>
      <c r="I624" s="9"/>
      <c r="J624" t="s">
        <v>1362</v>
      </c>
      <c r="K624" s="120">
        <v>2.2000000000000002</v>
      </c>
      <c r="L624" s="9"/>
      <c r="M624" s="7"/>
    </row>
    <row r="625" spans="1:13" hidden="1" x14ac:dyDescent="0.25">
      <c r="A625" s="4"/>
      <c r="B625" s="28" t="str">
        <f>IF(ISNUMBER(MATCH(C625, Mgt_Unit!$C$5:$C$1018, 0)), INDEX(Mgt_Unit!$B$5:$B$1018, MATCH(C625, Mgt_Unit!$C$5:$C$1018, 0)), "")</f>
        <v>jennifer.moore</v>
      </c>
      <c r="C625" t="s">
        <v>764</v>
      </c>
      <c r="D625" s="45"/>
      <c r="E625" s="9" t="s">
        <v>1583</v>
      </c>
      <c r="F625" s="89">
        <v>43440</v>
      </c>
      <c r="G625" s="9"/>
      <c r="H625" s="9"/>
      <c r="I625" s="9"/>
      <c r="J625" t="s">
        <v>1359</v>
      </c>
      <c r="K625" s="120">
        <v>6.3</v>
      </c>
      <c r="L625" s="9"/>
      <c r="M625" s="7"/>
    </row>
    <row r="626" spans="1:13" hidden="1" x14ac:dyDescent="0.25">
      <c r="A626" s="4"/>
      <c r="B626" s="28" t="str">
        <f>IF(ISNUMBER(MATCH(C626, Mgt_Unit!$C$5:$C$1018, 0)), INDEX(Mgt_Unit!$B$5:$B$1018, MATCH(C626, Mgt_Unit!$C$5:$C$1018, 0)), "")</f>
        <v>jennifer.moore</v>
      </c>
      <c r="C626" t="s">
        <v>764</v>
      </c>
      <c r="D626" s="45"/>
      <c r="E626" s="9" t="s">
        <v>1583</v>
      </c>
      <c r="F626" s="89">
        <v>43782</v>
      </c>
      <c r="G626" s="9"/>
      <c r="H626" s="9"/>
      <c r="I626" s="9"/>
      <c r="J626" t="s">
        <v>1362</v>
      </c>
      <c r="K626" s="120">
        <v>2.2000000000000002</v>
      </c>
      <c r="L626" s="9"/>
      <c r="M626" s="7"/>
    </row>
    <row r="627" spans="1:13" hidden="1" x14ac:dyDescent="0.25">
      <c r="A627" s="4"/>
      <c r="B627" s="28" t="str">
        <f>IF(ISNUMBER(MATCH(C627, Mgt_Unit!$C$5:$C$1018, 0)), INDEX(Mgt_Unit!$B$5:$B$1018, MATCH(C627, Mgt_Unit!$C$5:$C$1018, 0)), "")</f>
        <v>jennifer.moore</v>
      </c>
      <c r="C627" t="s">
        <v>764</v>
      </c>
      <c r="D627" s="45"/>
      <c r="E627" s="9" t="s">
        <v>1583</v>
      </c>
      <c r="F627" s="89">
        <v>43820</v>
      </c>
      <c r="G627" s="9"/>
      <c r="H627" s="9"/>
      <c r="I627" s="9"/>
      <c r="J627" t="s">
        <v>1365</v>
      </c>
      <c r="K627" s="120">
        <v>2.4</v>
      </c>
      <c r="L627" s="9"/>
      <c r="M627" s="7"/>
    </row>
    <row r="628" spans="1:13" hidden="1" x14ac:dyDescent="0.25">
      <c r="A628" s="4"/>
      <c r="B628" s="28" t="str">
        <f>IF(ISNUMBER(MATCH(C628, Mgt_Unit!$C$5:$C$1018, 0)), INDEX(Mgt_Unit!$B$5:$B$1018, MATCH(C628, Mgt_Unit!$C$5:$C$1018, 0)), "")</f>
        <v>jennifer.moore</v>
      </c>
      <c r="C628" t="s">
        <v>765</v>
      </c>
      <c r="D628" s="45"/>
      <c r="E628" s="9" t="s">
        <v>1584</v>
      </c>
      <c r="F628" s="89">
        <v>43278</v>
      </c>
      <c r="G628" s="9"/>
      <c r="H628" s="9"/>
      <c r="I628" s="9"/>
      <c r="J628" t="s">
        <v>1394</v>
      </c>
      <c r="K628" s="120">
        <v>2.4</v>
      </c>
      <c r="L628" s="9"/>
      <c r="M628" s="7"/>
    </row>
    <row r="629" spans="1:13" hidden="1" x14ac:dyDescent="0.25">
      <c r="A629" s="4"/>
      <c r="B629" s="28" t="str">
        <f>IF(ISNUMBER(MATCH(C629, Mgt_Unit!$C$5:$C$1018, 0)), INDEX(Mgt_Unit!$B$5:$B$1018, MATCH(C629, Mgt_Unit!$C$5:$C$1018, 0)), "")</f>
        <v>jennifer.moore</v>
      </c>
      <c r="C629" t="s">
        <v>765</v>
      </c>
      <c r="D629" s="45"/>
      <c r="E629" s="9" t="s">
        <v>1583</v>
      </c>
      <c r="F629" s="89">
        <v>43416</v>
      </c>
      <c r="G629" s="9"/>
      <c r="H629" s="9"/>
      <c r="I629" s="9"/>
      <c r="J629" t="s">
        <v>1393</v>
      </c>
      <c r="K629" s="120">
        <v>4</v>
      </c>
      <c r="L629" s="9"/>
      <c r="M629" s="7"/>
    </row>
    <row r="630" spans="1:13" hidden="1" x14ac:dyDescent="0.25">
      <c r="A630" s="4"/>
      <c r="B630" s="28" t="str">
        <f>IF(ISNUMBER(MATCH(C630, Mgt_Unit!$C$5:$C$1018, 0)), INDEX(Mgt_Unit!$B$5:$B$1018, MATCH(C630, Mgt_Unit!$C$5:$C$1018, 0)), "")</f>
        <v>jennifer.moore</v>
      </c>
      <c r="C630" t="s">
        <v>765</v>
      </c>
      <c r="D630" s="45"/>
      <c r="E630" s="9" t="s">
        <v>1583</v>
      </c>
      <c r="F630" s="89">
        <v>43416</v>
      </c>
      <c r="G630" s="9"/>
      <c r="H630" s="9"/>
      <c r="I630" s="9"/>
      <c r="J630" t="s">
        <v>1374</v>
      </c>
      <c r="K630" s="120">
        <v>2.2000000000000002</v>
      </c>
      <c r="L630" s="9"/>
      <c r="M630" s="7"/>
    </row>
    <row r="631" spans="1:13" hidden="1" x14ac:dyDescent="0.25">
      <c r="A631" s="4"/>
      <c r="B631" s="28" t="str">
        <f>IF(ISNUMBER(MATCH(C631, Mgt_Unit!$C$5:$C$1018, 0)), INDEX(Mgt_Unit!$B$5:$B$1018, MATCH(C631, Mgt_Unit!$C$5:$C$1018, 0)), "")</f>
        <v>jennifer.moore</v>
      </c>
      <c r="C631" t="s">
        <v>765</v>
      </c>
      <c r="D631" s="45"/>
      <c r="E631" s="9" t="s">
        <v>1583</v>
      </c>
      <c r="F631" s="89">
        <v>43417</v>
      </c>
      <c r="G631" s="9"/>
      <c r="H631" s="9"/>
      <c r="I631" s="9"/>
      <c r="J631" t="s">
        <v>1362</v>
      </c>
      <c r="K631" s="120">
        <v>2.2000000000000002</v>
      </c>
      <c r="L631" s="9"/>
      <c r="M631" s="7"/>
    </row>
    <row r="632" spans="1:13" hidden="1" x14ac:dyDescent="0.25">
      <c r="A632" s="4"/>
      <c r="B632" s="28" t="str">
        <f>IF(ISNUMBER(MATCH(C632, Mgt_Unit!$C$5:$C$1018, 0)), INDEX(Mgt_Unit!$B$5:$B$1018, MATCH(C632, Mgt_Unit!$C$5:$C$1018, 0)), "")</f>
        <v>jennifer.moore</v>
      </c>
      <c r="C632" t="s">
        <v>765</v>
      </c>
      <c r="D632" s="45"/>
      <c r="E632" s="9" t="s">
        <v>1583</v>
      </c>
      <c r="F632" s="89">
        <v>43440</v>
      </c>
      <c r="G632" s="9"/>
      <c r="H632" s="9"/>
      <c r="I632" s="9"/>
      <c r="J632" t="s">
        <v>1392</v>
      </c>
      <c r="K632" s="120">
        <v>6.3</v>
      </c>
      <c r="L632" s="9"/>
      <c r="M632" s="7"/>
    </row>
    <row r="633" spans="1:13" hidden="1" x14ac:dyDescent="0.25">
      <c r="A633" s="4"/>
      <c r="B633" s="28" t="str">
        <f>IF(ISNUMBER(MATCH(C633, Mgt_Unit!$C$5:$C$1018, 0)), INDEX(Mgt_Unit!$B$5:$B$1018, MATCH(C633, Mgt_Unit!$C$5:$C$1018, 0)), "")</f>
        <v>jennifer.moore</v>
      </c>
      <c r="C633" t="s">
        <v>766</v>
      </c>
      <c r="D633" s="45"/>
      <c r="E633" s="9" t="s">
        <v>1583</v>
      </c>
      <c r="F633" s="89">
        <v>43241</v>
      </c>
      <c r="G633" s="9"/>
      <c r="H633" s="9"/>
      <c r="I633" s="9"/>
      <c r="J633" t="s">
        <v>1352</v>
      </c>
      <c r="K633" s="120">
        <v>39</v>
      </c>
      <c r="L633" s="9"/>
      <c r="M633" s="7"/>
    </row>
    <row r="634" spans="1:13" hidden="1" x14ac:dyDescent="0.25">
      <c r="A634" s="4"/>
      <c r="B634" s="28" t="str">
        <f>IF(ISNUMBER(MATCH(C634, Mgt_Unit!$C$5:$C$1018, 0)), INDEX(Mgt_Unit!$B$5:$B$1018, MATCH(C634, Mgt_Unit!$C$5:$C$1018, 0)), "")</f>
        <v>jennifer.moore</v>
      </c>
      <c r="C634" t="s">
        <v>766</v>
      </c>
      <c r="D634" s="45"/>
      <c r="E634" s="9" t="s">
        <v>1583</v>
      </c>
      <c r="F634" s="89">
        <v>43248</v>
      </c>
      <c r="G634" s="9"/>
      <c r="H634" s="9"/>
      <c r="I634" s="9"/>
      <c r="J634" t="s">
        <v>1352</v>
      </c>
      <c r="K634" s="120">
        <v>39</v>
      </c>
      <c r="L634" s="9"/>
      <c r="M634" s="7"/>
    </row>
    <row r="635" spans="1:13" hidden="1" x14ac:dyDescent="0.25">
      <c r="A635" s="4"/>
      <c r="B635" s="28" t="str">
        <f>IF(ISNUMBER(MATCH(C635, Mgt_Unit!$C$5:$C$1018, 0)), INDEX(Mgt_Unit!$B$5:$B$1018, MATCH(C635, Mgt_Unit!$C$5:$C$1018, 0)), "")</f>
        <v>jennifer.moore</v>
      </c>
      <c r="C635" t="s">
        <v>766</v>
      </c>
      <c r="D635" s="45"/>
      <c r="E635" s="9" t="s">
        <v>1583</v>
      </c>
      <c r="F635" s="89">
        <v>43416</v>
      </c>
      <c r="G635" s="9"/>
      <c r="H635" s="9"/>
      <c r="I635" s="9"/>
      <c r="J635" t="s">
        <v>1352</v>
      </c>
      <c r="K635" s="120">
        <v>39</v>
      </c>
      <c r="L635" s="9"/>
      <c r="M635" s="7"/>
    </row>
    <row r="636" spans="1:13" hidden="1" x14ac:dyDescent="0.25">
      <c r="A636" s="4"/>
      <c r="B636" s="28" t="str">
        <f>IF(ISNUMBER(MATCH(C636, Mgt_Unit!$C$5:$C$1018, 0)), INDEX(Mgt_Unit!$B$5:$B$1018, MATCH(C636, Mgt_Unit!$C$5:$C$1018, 0)), "")</f>
        <v>jennifer.moore</v>
      </c>
      <c r="C636" t="s">
        <v>766</v>
      </c>
      <c r="D636" s="45"/>
      <c r="E636" s="9" t="s">
        <v>1583</v>
      </c>
      <c r="F636" s="89">
        <v>43416</v>
      </c>
      <c r="G636" s="9"/>
      <c r="H636" s="9"/>
      <c r="I636" s="9"/>
      <c r="J636" t="s">
        <v>1374</v>
      </c>
      <c r="K636" s="120">
        <v>2.2000000000000002</v>
      </c>
      <c r="L636" s="9"/>
      <c r="M636" s="7"/>
    </row>
    <row r="637" spans="1:13" hidden="1" x14ac:dyDescent="0.25">
      <c r="A637" s="4"/>
      <c r="B637" s="28" t="str">
        <f>IF(ISNUMBER(MATCH(C637, Mgt_Unit!$C$5:$C$1018, 0)), INDEX(Mgt_Unit!$B$5:$B$1018, MATCH(C637, Mgt_Unit!$C$5:$C$1018, 0)), "")</f>
        <v>jennifer.moore</v>
      </c>
      <c r="C637" t="s">
        <v>766</v>
      </c>
      <c r="D637" s="45"/>
      <c r="E637" s="9" t="s">
        <v>1583</v>
      </c>
      <c r="F637" s="89">
        <v>43417</v>
      </c>
      <c r="G637" s="9"/>
      <c r="H637" s="9"/>
      <c r="I637" s="9"/>
      <c r="J637" t="s">
        <v>1362</v>
      </c>
      <c r="K637" s="120">
        <v>20</v>
      </c>
      <c r="L637" s="9"/>
      <c r="M637" s="7"/>
    </row>
    <row r="638" spans="1:13" hidden="1" x14ac:dyDescent="0.25">
      <c r="A638" s="4"/>
      <c r="B638" s="28" t="str">
        <f>IF(ISNUMBER(MATCH(C638, Mgt_Unit!$C$5:$C$1018, 0)), INDEX(Mgt_Unit!$B$5:$B$1018, MATCH(C638, Mgt_Unit!$C$5:$C$1018, 0)), "")</f>
        <v>jennifer.moore</v>
      </c>
      <c r="C638" t="s">
        <v>766</v>
      </c>
      <c r="D638" s="45"/>
      <c r="E638" s="9" t="s">
        <v>1583</v>
      </c>
      <c r="F638" s="89">
        <v>43439</v>
      </c>
      <c r="G638" s="9"/>
      <c r="H638" s="9"/>
      <c r="I638" s="9"/>
      <c r="J638" t="s">
        <v>1352</v>
      </c>
      <c r="K638" s="120">
        <v>39</v>
      </c>
      <c r="L638" s="9"/>
      <c r="M638" s="7"/>
    </row>
    <row r="639" spans="1:13" hidden="1" x14ac:dyDescent="0.25">
      <c r="A639" s="4"/>
      <c r="B639" s="28" t="str">
        <f>IF(ISNUMBER(MATCH(C639, Mgt_Unit!$C$5:$C$1018, 0)), INDEX(Mgt_Unit!$B$5:$B$1018, MATCH(C639, Mgt_Unit!$C$5:$C$1018, 0)), "")</f>
        <v>jennifer.moore</v>
      </c>
      <c r="C639" t="s">
        <v>766</v>
      </c>
      <c r="D639" s="45"/>
      <c r="E639" s="9" t="s">
        <v>1583</v>
      </c>
      <c r="F639" s="89">
        <v>43440</v>
      </c>
      <c r="G639" s="9"/>
      <c r="H639" s="9"/>
      <c r="I639" s="9"/>
      <c r="J639" t="s">
        <v>1392</v>
      </c>
      <c r="K639" s="120">
        <v>6.3</v>
      </c>
      <c r="L639" s="9"/>
      <c r="M639" s="7"/>
    </row>
    <row r="640" spans="1:13" hidden="1" x14ac:dyDescent="0.25">
      <c r="A640" s="4"/>
      <c r="B640" s="28" t="str">
        <f>IF(ISNUMBER(MATCH(C640, Mgt_Unit!$C$5:$C$1018, 0)), INDEX(Mgt_Unit!$B$5:$B$1018, MATCH(C640, Mgt_Unit!$C$5:$C$1018, 0)), "")</f>
        <v>jennifer.moore</v>
      </c>
      <c r="C640" t="s">
        <v>767</v>
      </c>
      <c r="D640" s="45"/>
      <c r="E640" s="9" t="s">
        <v>1583</v>
      </c>
      <c r="F640" s="89">
        <v>43241</v>
      </c>
      <c r="G640" s="9"/>
      <c r="H640" s="9"/>
      <c r="I640" s="9"/>
      <c r="J640" t="s">
        <v>1352</v>
      </c>
      <c r="K640" s="120">
        <v>39</v>
      </c>
      <c r="L640" s="9"/>
      <c r="M640" s="7"/>
    </row>
    <row r="641" spans="1:13" hidden="1" x14ac:dyDescent="0.25">
      <c r="A641" s="4"/>
      <c r="B641" s="28" t="str">
        <f>IF(ISNUMBER(MATCH(C641, Mgt_Unit!$C$5:$C$1018, 0)), INDEX(Mgt_Unit!$B$5:$B$1018, MATCH(C641, Mgt_Unit!$C$5:$C$1018, 0)), "")</f>
        <v>jennifer.moore</v>
      </c>
      <c r="C641" t="s">
        <v>767</v>
      </c>
      <c r="D641" s="45"/>
      <c r="E641" s="9" t="s">
        <v>1583</v>
      </c>
      <c r="F641" s="89">
        <v>43248</v>
      </c>
      <c r="G641" s="9"/>
      <c r="H641" s="9"/>
      <c r="I641" s="9"/>
      <c r="J641" t="s">
        <v>1352</v>
      </c>
      <c r="K641" s="120">
        <v>39</v>
      </c>
      <c r="L641" s="9"/>
      <c r="M641" s="7"/>
    </row>
    <row r="642" spans="1:13" hidden="1" x14ac:dyDescent="0.25">
      <c r="A642" s="4"/>
      <c r="B642" s="28" t="str">
        <f>IF(ISNUMBER(MATCH(C642, Mgt_Unit!$C$5:$C$1018, 0)), INDEX(Mgt_Unit!$B$5:$B$1018, MATCH(C642, Mgt_Unit!$C$5:$C$1018, 0)), "")</f>
        <v>jennifer.moore</v>
      </c>
      <c r="C642" t="s">
        <v>767</v>
      </c>
      <c r="D642" s="45"/>
      <c r="E642" s="9" t="s">
        <v>1583</v>
      </c>
      <c r="F642" s="89">
        <v>43416</v>
      </c>
      <c r="G642" s="9"/>
      <c r="H642" s="9"/>
      <c r="I642" s="9"/>
      <c r="J642" t="s">
        <v>1352</v>
      </c>
      <c r="K642" s="120">
        <v>39</v>
      </c>
      <c r="L642" s="9"/>
      <c r="M642" s="7"/>
    </row>
    <row r="643" spans="1:13" hidden="1" x14ac:dyDescent="0.25">
      <c r="A643" s="4"/>
      <c r="B643" s="28" t="str">
        <f>IF(ISNUMBER(MATCH(C643, Mgt_Unit!$C$5:$C$1018, 0)), INDEX(Mgt_Unit!$B$5:$B$1018, MATCH(C643, Mgt_Unit!$C$5:$C$1018, 0)), "")</f>
        <v>jennifer.moore</v>
      </c>
      <c r="C643" t="s">
        <v>767</v>
      </c>
      <c r="D643" s="45"/>
      <c r="E643" s="9" t="s">
        <v>1583</v>
      </c>
      <c r="F643" s="89">
        <v>43416</v>
      </c>
      <c r="G643" s="9"/>
      <c r="H643" s="9"/>
      <c r="I643" s="9"/>
      <c r="J643" t="s">
        <v>1374</v>
      </c>
      <c r="K643" s="120">
        <v>2.2000000000000002</v>
      </c>
      <c r="L643" s="9"/>
      <c r="M643" s="7"/>
    </row>
    <row r="644" spans="1:13" hidden="1" x14ac:dyDescent="0.25">
      <c r="A644" s="4"/>
      <c r="B644" s="28" t="str">
        <f>IF(ISNUMBER(MATCH(C644, Mgt_Unit!$C$5:$C$1018, 0)), INDEX(Mgt_Unit!$B$5:$B$1018, MATCH(C644, Mgt_Unit!$C$5:$C$1018, 0)), "")</f>
        <v>jennifer.moore</v>
      </c>
      <c r="C644" t="s">
        <v>767</v>
      </c>
      <c r="D644" s="45"/>
      <c r="E644" s="9" t="s">
        <v>1583</v>
      </c>
      <c r="F644" s="89">
        <v>43417</v>
      </c>
      <c r="G644" s="9"/>
      <c r="H644" s="9"/>
      <c r="I644" s="9"/>
      <c r="J644" t="s">
        <v>1362</v>
      </c>
      <c r="K644" s="120">
        <v>20</v>
      </c>
      <c r="L644" s="9"/>
      <c r="M644" s="7"/>
    </row>
    <row r="645" spans="1:13" hidden="1" x14ac:dyDescent="0.25">
      <c r="A645" s="4"/>
      <c r="B645" s="28" t="str">
        <f>IF(ISNUMBER(MATCH(C645, Mgt_Unit!$C$5:$C$1018, 0)), INDEX(Mgt_Unit!$B$5:$B$1018, MATCH(C645, Mgt_Unit!$C$5:$C$1018, 0)), "")</f>
        <v>jennifer.moore</v>
      </c>
      <c r="C645" t="s">
        <v>767</v>
      </c>
      <c r="D645" s="45"/>
      <c r="E645" s="9" t="s">
        <v>1583</v>
      </c>
      <c r="F645" s="89">
        <v>43439</v>
      </c>
      <c r="G645" s="9"/>
      <c r="H645" s="9"/>
      <c r="I645" s="9"/>
      <c r="J645" t="s">
        <v>1352</v>
      </c>
      <c r="K645" s="120">
        <v>39</v>
      </c>
      <c r="L645" s="9"/>
      <c r="M645" s="7"/>
    </row>
    <row r="646" spans="1:13" hidden="1" x14ac:dyDescent="0.25">
      <c r="A646" s="4"/>
      <c r="B646" s="28" t="str">
        <f>IF(ISNUMBER(MATCH(C646, Mgt_Unit!$C$5:$C$1018, 0)), INDEX(Mgt_Unit!$B$5:$B$1018, MATCH(C646, Mgt_Unit!$C$5:$C$1018, 0)), "")</f>
        <v>jennifer.moore</v>
      </c>
      <c r="C646" t="s">
        <v>767</v>
      </c>
      <c r="D646" s="45"/>
      <c r="E646" s="9" t="s">
        <v>1583</v>
      </c>
      <c r="F646" s="89">
        <v>43440</v>
      </c>
      <c r="G646" s="9"/>
      <c r="H646" s="9"/>
      <c r="I646" s="9"/>
      <c r="J646" t="s">
        <v>1392</v>
      </c>
      <c r="K646" s="120">
        <v>6.3</v>
      </c>
      <c r="L646" s="9"/>
      <c r="M646" s="7"/>
    </row>
    <row r="647" spans="1:13" hidden="1" x14ac:dyDescent="0.25">
      <c r="A647" s="4"/>
      <c r="B647" s="28" t="str">
        <f>IF(ISNUMBER(MATCH(C647, Mgt_Unit!$C$5:$C$1018, 0)), INDEX(Mgt_Unit!$B$5:$B$1018, MATCH(C647, Mgt_Unit!$C$5:$C$1018, 0)), "")</f>
        <v>jennifer.moore</v>
      </c>
      <c r="C647" t="s">
        <v>768</v>
      </c>
      <c r="D647" s="45"/>
      <c r="E647" s="9" t="s">
        <v>1583</v>
      </c>
      <c r="F647" s="89">
        <v>43416</v>
      </c>
      <c r="G647" s="9"/>
      <c r="H647" s="9"/>
      <c r="I647" s="9"/>
      <c r="J647" t="s">
        <v>1374</v>
      </c>
      <c r="K647" s="120">
        <v>2.2000000000000002</v>
      </c>
      <c r="L647" s="9"/>
      <c r="M647" s="7"/>
    </row>
    <row r="648" spans="1:13" hidden="1" x14ac:dyDescent="0.25">
      <c r="A648" s="4"/>
      <c r="B648" s="28" t="str">
        <f>IF(ISNUMBER(MATCH(C648, Mgt_Unit!$C$5:$C$1018, 0)), INDEX(Mgt_Unit!$B$5:$B$1018, MATCH(C648, Mgt_Unit!$C$5:$C$1018, 0)), "")</f>
        <v>jennifer.moore</v>
      </c>
      <c r="C648" t="s">
        <v>768</v>
      </c>
      <c r="D648" s="45"/>
      <c r="E648" s="9" t="s">
        <v>1583</v>
      </c>
      <c r="F648" s="89">
        <v>43417</v>
      </c>
      <c r="G648" s="9"/>
      <c r="H648" s="9"/>
      <c r="I648" s="9"/>
      <c r="J648" t="s">
        <v>1362</v>
      </c>
      <c r="K648" s="120">
        <v>2.2000000000000002</v>
      </c>
      <c r="L648" s="9"/>
      <c r="M648" s="7"/>
    </row>
    <row r="649" spans="1:13" hidden="1" x14ac:dyDescent="0.25">
      <c r="A649" s="4"/>
      <c r="B649" s="28" t="str">
        <f>IF(ISNUMBER(MATCH(C649, Mgt_Unit!$C$5:$C$1018, 0)), INDEX(Mgt_Unit!$B$5:$B$1018, MATCH(C649, Mgt_Unit!$C$5:$C$1018, 0)), "")</f>
        <v>jennifer.moore</v>
      </c>
      <c r="C649" t="s">
        <v>768</v>
      </c>
      <c r="D649" s="45"/>
      <c r="E649" s="9" t="s">
        <v>1583</v>
      </c>
      <c r="F649" s="89">
        <v>43440</v>
      </c>
      <c r="G649" s="9"/>
      <c r="H649" s="9"/>
      <c r="I649" s="9"/>
      <c r="J649" t="s">
        <v>1392</v>
      </c>
      <c r="K649" s="120">
        <v>6.3</v>
      </c>
      <c r="L649" s="9"/>
      <c r="M649" s="7"/>
    </row>
    <row r="650" spans="1:13" hidden="1" x14ac:dyDescent="0.25">
      <c r="A650" s="4"/>
      <c r="B650" s="28" t="str">
        <f>IF(ISNUMBER(MATCH(C650, Mgt_Unit!$C$5:$C$1018, 0)), INDEX(Mgt_Unit!$B$5:$B$1018, MATCH(C650, Mgt_Unit!$C$5:$C$1018, 0)), "")</f>
        <v>jennifer.moore</v>
      </c>
      <c r="C650" t="s">
        <v>769</v>
      </c>
      <c r="D650" s="45"/>
      <c r="E650" s="9" t="s">
        <v>1583</v>
      </c>
      <c r="F650" s="89">
        <v>43416</v>
      </c>
      <c r="G650" s="9"/>
      <c r="H650" s="9"/>
      <c r="I650" s="9"/>
      <c r="J650" t="s">
        <v>1374</v>
      </c>
      <c r="K650" s="120">
        <v>2.2000000000000002</v>
      </c>
      <c r="L650" s="9"/>
      <c r="M650" s="7"/>
    </row>
    <row r="651" spans="1:13" hidden="1" x14ac:dyDescent="0.25">
      <c r="A651" s="4"/>
      <c r="B651" s="28" t="str">
        <f>IF(ISNUMBER(MATCH(C651, Mgt_Unit!$C$5:$C$1018, 0)), INDEX(Mgt_Unit!$B$5:$B$1018, MATCH(C651, Mgt_Unit!$C$5:$C$1018, 0)), "")</f>
        <v>jennifer.moore</v>
      </c>
      <c r="C651" t="s">
        <v>769</v>
      </c>
      <c r="D651" s="45"/>
      <c r="E651" s="9" t="s">
        <v>1583</v>
      </c>
      <c r="F651" s="89">
        <v>43417</v>
      </c>
      <c r="G651" s="9"/>
      <c r="H651" s="9"/>
      <c r="I651" s="9"/>
      <c r="J651" t="s">
        <v>1362</v>
      </c>
      <c r="K651" s="120">
        <v>2.2000000000000002</v>
      </c>
      <c r="L651" s="9"/>
      <c r="M651" s="7"/>
    </row>
    <row r="652" spans="1:13" hidden="1" x14ac:dyDescent="0.25">
      <c r="A652" s="4"/>
      <c r="B652" s="28" t="str">
        <f>IF(ISNUMBER(MATCH(C652, Mgt_Unit!$C$5:$C$1018, 0)), INDEX(Mgt_Unit!$B$5:$B$1018, MATCH(C652, Mgt_Unit!$C$5:$C$1018, 0)), "")</f>
        <v>jennifer.moore</v>
      </c>
      <c r="C652" t="s">
        <v>769</v>
      </c>
      <c r="D652" s="45"/>
      <c r="E652" s="9" t="s">
        <v>1583</v>
      </c>
      <c r="F652" s="89">
        <v>43440</v>
      </c>
      <c r="G652" s="9"/>
      <c r="H652" s="9"/>
      <c r="I652" s="9"/>
      <c r="J652" t="s">
        <v>1392</v>
      </c>
      <c r="K652" s="120">
        <v>6.3</v>
      </c>
      <c r="L652" s="9"/>
      <c r="M652" s="7"/>
    </row>
    <row r="653" spans="1:13" hidden="1" x14ac:dyDescent="0.25">
      <c r="A653" s="4"/>
      <c r="B653" s="28" t="str">
        <f>IF(ISNUMBER(MATCH(C653, Mgt_Unit!$C$5:$C$1018, 0)), INDEX(Mgt_Unit!$B$5:$B$1018, MATCH(C653, Mgt_Unit!$C$5:$C$1018, 0)), "")</f>
        <v>jennifer.moore</v>
      </c>
      <c r="C653" t="s">
        <v>770</v>
      </c>
      <c r="D653" s="45"/>
      <c r="E653" s="9" t="s">
        <v>1583</v>
      </c>
      <c r="F653" s="89">
        <v>43416</v>
      </c>
      <c r="G653" s="9"/>
      <c r="H653" s="9"/>
      <c r="I653" s="9"/>
      <c r="J653" t="s">
        <v>1374</v>
      </c>
      <c r="K653" s="120">
        <v>2.2000000000000002</v>
      </c>
      <c r="L653" s="9"/>
      <c r="M653" s="7"/>
    </row>
    <row r="654" spans="1:13" hidden="1" x14ac:dyDescent="0.25">
      <c r="A654" s="4"/>
      <c r="B654" s="28" t="str">
        <f>IF(ISNUMBER(MATCH(C654, Mgt_Unit!$C$5:$C$1018, 0)), INDEX(Mgt_Unit!$B$5:$B$1018, MATCH(C654, Mgt_Unit!$C$5:$C$1018, 0)), "")</f>
        <v>jennifer.moore</v>
      </c>
      <c r="C654" t="s">
        <v>770</v>
      </c>
      <c r="D654" s="45"/>
      <c r="E654" s="9" t="s">
        <v>1583</v>
      </c>
      <c r="F654" s="89">
        <v>43417</v>
      </c>
      <c r="G654" s="9"/>
      <c r="H654" s="9"/>
      <c r="I654" s="9"/>
      <c r="J654" t="s">
        <v>1362</v>
      </c>
      <c r="K654" s="120">
        <v>2.2000000000000002</v>
      </c>
      <c r="L654" s="9"/>
      <c r="M654" s="7"/>
    </row>
    <row r="655" spans="1:13" hidden="1" x14ac:dyDescent="0.25">
      <c r="A655" s="4"/>
      <c r="B655" s="28" t="str">
        <f>IF(ISNUMBER(MATCH(C655, Mgt_Unit!$C$5:$C$1018, 0)), INDEX(Mgt_Unit!$B$5:$B$1018, MATCH(C655, Mgt_Unit!$C$5:$C$1018, 0)), "")</f>
        <v>jennifer.moore</v>
      </c>
      <c r="C655" t="s">
        <v>770</v>
      </c>
      <c r="D655" s="45"/>
      <c r="E655" s="9" t="s">
        <v>1583</v>
      </c>
      <c r="F655" s="89">
        <v>43440</v>
      </c>
      <c r="G655" s="9"/>
      <c r="H655" s="9"/>
      <c r="I655" s="9"/>
      <c r="J655" t="s">
        <v>1392</v>
      </c>
      <c r="K655" s="120">
        <v>6.3</v>
      </c>
      <c r="L655" s="9"/>
      <c r="M655" s="7"/>
    </row>
    <row r="656" spans="1:13" hidden="1" x14ac:dyDescent="0.25">
      <c r="A656" s="4"/>
      <c r="B656" s="28" t="str">
        <f>IF(ISNUMBER(MATCH(C656, Mgt_Unit!$C$5:$C$1018, 0)), INDEX(Mgt_Unit!$B$5:$B$1018, MATCH(C656, Mgt_Unit!$C$5:$C$1018, 0)), "")</f>
        <v>jennifer.moore</v>
      </c>
      <c r="C656" t="s">
        <v>771</v>
      </c>
      <c r="D656" s="45"/>
      <c r="E656" s="9" t="s">
        <v>1584</v>
      </c>
      <c r="F656" s="89">
        <v>43276</v>
      </c>
      <c r="G656" s="9"/>
      <c r="H656" s="9"/>
      <c r="I656" s="9"/>
      <c r="J656" t="s">
        <v>1395</v>
      </c>
      <c r="K656" s="120">
        <v>7.8</v>
      </c>
      <c r="L656" s="9"/>
      <c r="M656" s="7"/>
    </row>
    <row r="657" spans="1:13" hidden="1" x14ac:dyDescent="0.25">
      <c r="A657" s="4"/>
      <c r="B657" s="28" t="str">
        <f>IF(ISNUMBER(MATCH(C657, Mgt_Unit!$C$5:$C$1018, 0)), INDEX(Mgt_Unit!$B$5:$B$1018, MATCH(C657, Mgt_Unit!$C$5:$C$1018, 0)), "")</f>
        <v>jennifer.moore</v>
      </c>
      <c r="C657" t="s">
        <v>771</v>
      </c>
      <c r="D657" s="45"/>
      <c r="E657" s="9" t="s">
        <v>1583</v>
      </c>
      <c r="F657" s="89">
        <v>43276</v>
      </c>
      <c r="G657" s="9"/>
      <c r="H657" s="9"/>
      <c r="I657" s="9"/>
      <c r="J657" t="s">
        <v>1396</v>
      </c>
      <c r="K657" s="120">
        <v>37</v>
      </c>
      <c r="L657" s="9"/>
      <c r="M657" s="7"/>
    </row>
    <row r="658" spans="1:13" hidden="1" x14ac:dyDescent="0.25">
      <c r="A658" s="4"/>
      <c r="B658" s="28" t="str">
        <f>IF(ISNUMBER(MATCH(C658, Mgt_Unit!$C$5:$C$1018, 0)), INDEX(Mgt_Unit!$B$5:$B$1018, MATCH(C658, Mgt_Unit!$C$5:$C$1018, 0)), "")</f>
        <v>jennifer.moore</v>
      </c>
      <c r="C658" t="s">
        <v>771</v>
      </c>
      <c r="D658" s="45"/>
      <c r="E658" s="9" t="s">
        <v>1583</v>
      </c>
      <c r="F658" s="89">
        <v>43276</v>
      </c>
      <c r="G658" s="9"/>
      <c r="H658" s="9"/>
      <c r="I658" s="9"/>
      <c r="J658" t="s">
        <v>1397</v>
      </c>
      <c r="K658" s="120">
        <v>18</v>
      </c>
      <c r="L658" s="9"/>
      <c r="M658" s="7"/>
    </row>
    <row r="659" spans="1:13" hidden="1" x14ac:dyDescent="0.25">
      <c r="A659" s="4"/>
      <c r="B659" s="28" t="str">
        <f>IF(ISNUMBER(MATCH(C659, Mgt_Unit!$C$5:$C$1018, 0)), INDEX(Mgt_Unit!$B$5:$B$1018, MATCH(C659, Mgt_Unit!$C$5:$C$1018, 0)), "")</f>
        <v>jennifer.moore</v>
      </c>
      <c r="C659" t="s">
        <v>771</v>
      </c>
      <c r="D659" s="45"/>
      <c r="E659" s="9" t="s">
        <v>1585</v>
      </c>
      <c r="F659" s="89">
        <v>43409</v>
      </c>
      <c r="G659" s="9"/>
      <c r="H659" s="9"/>
      <c r="I659" s="9"/>
      <c r="J659" t="s">
        <v>1395</v>
      </c>
      <c r="K659" s="120">
        <v>7.8</v>
      </c>
      <c r="L659" s="9"/>
      <c r="M659" s="7"/>
    </row>
    <row r="660" spans="1:13" hidden="1" x14ac:dyDescent="0.25">
      <c r="A660" s="4"/>
      <c r="B660" s="28" t="str">
        <f>IF(ISNUMBER(MATCH(C660, Mgt_Unit!$C$5:$C$1018, 0)), INDEX(Mgt_Unit!$B$5:$B$1018, MATCH(C660, Mgt_Unit!$C$5:$C$1018, 0)), "")</f>
        <v>jennifer.moore</v>
      </c>
      <c r="C660" t="s">
        <v>771</v>
      </c>
      <c r="D660" s="45"/>
      <c r="E660" s="9" t="s">
        <v>1583</v>
      </c>
      <c r="F660" s="89">
        <v>43572</v>
      </c>
      <c r="G660" s="9"/>
      <c r="H660" s="9"/>
      <c r="I660" s="9"/>
      <c r="J660" t="s">
        <v>1396</v>
      </c>
      <c r="K660" s="120">
        <v>37</v>
      </c>
      <c r="L660" s="9"/>
      <c r="M660" s="7"/>
    </row>
    <row r="661" spans="1:13" hidden="1" x14ac:dyDescent="0.25">
      <c r="A661" s="4"/>
      <c r="B661" s="28" t="str">
        <f>IF(ISNUMBER(MATCH(C661, Mgt_Unit!$C$5:$C$1018, 0)), INDEX(Mgt_Unit!$B$5:$B$1018, MATCH(C661, Mgt_Unit!$C$5:$C$1018, 0)), "")</f>
        <v>jennifer.moore</v>
      </c>
      <c r="C661" t="s">
        <v>771</v>
      </c>
      <c r="D661" s="45"/>
      <c r="E661" s="9" t="s">
        <v>1583</v>
      </c>
      <c r="F661" s="89">
        <v>43572</v>
      </c>
      <c r="G661" s="9"/>
      <c r="H661" s="9"/>
      <c r="I661" s="9"/>
      <c r="J661" t="s">
        <v>1397</v>
      </c>
      <c r="K661" s="120">
        <v>18</v>
      </c>
      <c r="L661" s="9"/>
      <c r="M661" s="7"/>
    </row>
    <row r="662" spans="1:13" hidden="1" x14ac:dyDescent="0.25">
      <c r="A662" s="4"/>
      <c r="B662" s="28" t="str">
        <f>IF(ISNUMBER(MATCH(C662, Mgt_Unit!$C$5:$C$1018, 0)), INDEX(Mgt_Unit!$B$5:$B$1018, MATCH(C662, Mgt_Unit!$C$5:$C$1018, 0)), "")</f>
        <v>jennifer.moore</v>
      </c>
      <c r="C662" t="s">
        <v>771</v>
      </c>
      <c r="D662" s="45"/>
      <c r="E662" s="9" t="s">
        <v>1584</v>
      </c>
      <c r="F662" s="89">
        <v>43573</v>
      </c>
      <c r="G662" s="9"/>
      <c r="H662" s="9"/>
      <c r="I662" s="9"/>
      <c r="J662" t="s">
        <v>1395</v>
      </c>
      <c r="K662" s="120">
        <v>7.8</v>
      </c>
      <c r="L662" s="9"/>
      <c r="M662" s="7"/>
    </row>
    <row r="663" spans="1:13" hidden="1" x14ac:dyDescent="0.25">
      <c r="A663" s="4"/>
      <c r="B663" s="28" t="str">
        <f>IF(ISNUMBER(MATCH(C663, Mgt_Unit!$C$5:$C$1018, 0)), INDEX(Mgt_Unit!$B$5:$B$1018, MATCH(C663, Mgt_Unit!$C$5:$C$1018, 0)), "")</f>
        <v>jennifer.moore</v>
      </c>
      <c r="C663" t="s">
        <v>771</v>
      </c>
      <c r="D663" s="45"/>
      <c r="E663" s="9" t="s">
        <v>1584</v>
      </c>
      <c r="F663" s="89">
        <v>43774</v>
      </c>
      <c r="G663" s="9"/>
      <c r="H663" s="9"/>
      <c r="I663" s="9"/>
      <c r="J663" t="s">
        <v>1395</v>
      </c>
      <c r="K663" s="120">
        <v>7.8</v>
      </c>
      <c r="L663" s="9"/>
      <c r="M663" s="7"/>
    </row>
    <row r="664" spans="1:13" hidden="1" x14ac:dyDescent="0.25">
      <c r="A664" s="4"/>
      <c r="B664" s="28" t="str">
        <f>IF(ISNUMBER(MATCH(C664, Mgt_Unit!$C$5:$C$1018, 0)), INDEX(Mgt_Unit!$B$5:$B$1018, MATCH(C664, Mgt_Unit!$C$5:$C$1018, 0)), "")</f>
        <v>jennifer.moore</v>
      </c>
      <c r="C664" t="s">
        <v>772</v>
      </c>
      <c r="D664" s="45"/>
      <c r="E664" s="9" t="s">
        <v>1584</v>
      </c>
      <c r="F664" s="89">
        <v>43276</v>
      </c>
      <c r="G664" s="9"/>
      <c r="H664" s="9"/>
      <c r="I664" s="9"/>
      <c r="J664" t="s">
        <v>1398</v>
      </c>
      <c r="K664" s="120">
        <v>4</v>
      </c>
      <c r="L664" s="9"/>
      <c r="M664" s="7"/>
    </row>
    <row r="665" spans="1:13" hidden="1" x14ac:dyDescent="0.25">
      <c r="A665" s="4"/>
      <c r="B665" s="28" t="str">
        <f>IF(ISNUMBER(MATCH(C665, Mgt_Unit!$C$5:$C$1018, 0)), INDEX(Mgt_Unit!$B$5:$B$1018, MATCH(C665, Mgt_Unit!$C$5:$C$1018, 0)), "")</f>
        <v>jennifer.moore</v>
      </c>
      <c r="C665" t="s">
        <v>772</v>
      </c>
      <c r="D665" s="45"/>
      <c r="E665" s="9" t="s">
        <v>1585</v>
      </c>
      <c r="F665" s="89">
        <v>43409</v>
      </c>
      <c r="G665" s="9"/>
      <c r="H665" s="9"/>
      <c r="I665" s="9"/>
      <c r="J665" t="s">
        <v>1395</v>
      </c>
      <c r="K665" s="120">
        <v>7.8</v>
      </c>
      <c r="L665" s="9"/>
      <c r="M665" s="7"/>
    </row>
    <row r="666" spans="1:13" hidden="1" x14ac:dyDescent="0.25">
      <c r="A666" s="4"/>
      <c r="B666" s="28" t="str">
        <f>IF(ISNUMBER(MATCH(C666, Mgt_Unit!$C$5:$C$1018, 0)), INDEX(Mgt_Unit!$B$5:$B$1018, MATCH(C666, Mgt_Unit!$C$5:$C$1018, 0)), "")</f>
        <v>jennifer.moore</v>
      </c>
      <c r="C666" t="s">
        <v>772</v>
      </c>
      <c r="D666" s="45"/>
      <c r="E666" s="9" t="s">
        <v>1584</v>
      </c>
      <c r="F666" s="89">
        <v>43573</v>
      </c>
      <c r="G666" s="9"/>
      <c r="H666" s="9"/>
      <c r="I666" s="9"/>
      <c r="J666" t="s">
        <v>1398</v>
      </c>
      <c r="K666" s="120">
        <v>4</v>
      </c>
      <c r="L666" s="9"/>
      <c r="M666" s="7"/>
    </row>
    <row r="667" spans="1:13" hidden="1" x14ac:dyDescent="0.25">
      <c r="A667" s="4"/>
      <c r="B667" s="28" t="str">
        <f>IF(ISNUMBER(MATCH(C667, Mgt_Unit!$C$5:$C$1018, 0)), INDEX(Mgt_Unit!$B$5:$B$1018, MATCH(C667, Mgt_Unit!$C$5:$C$1018, 0)), "")</f>
        <v>jennifer.moore</v>
      </c>
      <c r="C667" t="s">
        <v>772</v>
      </c>
      <c r="D667" s="45"/>
      <c r="E667" s="9" t="s">
        <v>1584</v>
      </c>
      <c r="F667" s="89">
        <v>43774</v>
      </c>
      <c r="G667" s="9"/>
      <c r="H667" s="9"/>
      <c r="I667" s="9"/>
      <c r="J667" t="s">
        <v>1398</v>
      </c>
      <c r="K667" s="120">
        <v>4</v>
      </c>
      <c r="L667" s="9"/>
      <c r="M667" s="7"/>
    </row>
    <row r="668" spans="1:13" hidden="1" x14ac:dyDescent="0.25">
      <c r="A668" s="4"/>
      <c r="B668" s="28" t="str">
        <f>IF(ISNUMBER(MATCH(C668, Mgt_Unit!$C$5:$C$1018, 0)), INDEX(Mgt_Unit!$B$5:$B$1018, MATCH(C668, Mgt_Unit!$C$5:$C$1018, 0)), "")</f>
        <v>jennifer.moore</v>
      </c>
      <c r="C668" t="s">
        <v>773</v>
      </c>
      <c r="D668" s="45"/>
      <c r="E668" s="9" t="s">
        <v>1583</v>
      </c>
      <c r="F668" s="89">
        <v>43146</v>
      </c>
      <c r="G668" s="9"/>
      <c r="H668" s="9"/>
      <c r="I668" s="9"/>
      <c r="J668" t="s">
        <v>1399</v>
      </c>
      <c r="K668" s="120">
        <v>0.2</v>
      </c>
      <c r="L668" s="9"/>
      <c r="M668" s="7"/>
    </row>
    <row r="669" spans="1:13" hidden="1" x14ac:dyDescent="0.25">
      <c r="A669" s="4"/>
      <c r="B669" s="28" t="str">
        <f>IF(ISNUMBER(MATCH(C669, Mgt_Unit!$C$5:$C$1018, 0)), INDEX(Mgt_Unit!$B$5:$B$1018, MATCH(C669, Mgt_Unit!$C$5:$C$1018, 0)), "")</f>
        <v>jennifer.moore</v>
      </c>
      <c r="C669" t="s">
        <v>773</v>
      </c>
      <c r="D669" s="45"/>
      <c r="E669" s="9" t="s">
        <v>1584</v>
      </c>
      <c r="F669" s="89">
        <v>43276</v>
      </c>
      <c r="G669" s="9"/>
      <c r="H669" s="9"/>
      <c r="I669" s="9"/>
      <c r="J669" t="s">
        <v>1395</v>
      </c>
      <c r="K669" s="120">
        <v>7.8</v>
      </c>
      <c r="L669" s="9"/>
      <c r="M669" s="7"/>
    </row>
    <row r="670" spans="1:13" hidden="1" x14ac:dyDescent="0.25">
      <c r="A670" s="4"/>
      <c r="B670" s="28" t="str">
        <f>IF(ISNUMBER(MATCH(C670, Mgt_Unit!$C$5:$C$1018, 0)), INDEX(Mgt_Unit!$B$5:$B$1018, MATCH(C670, Mgt_Unit!$C$5:$C$1018, 0)), "")</f>
        <v>jennifer.moore</v>
      </c>
      <c r="C670" t="s">
        <v>773</v>
      </c>
      <c r="D670" s="45"/>
      <c r="E670" s="9" t="s">
        <v>1583</v>
      </c>
      <c r="F670" s="89">
        <v>43276</v>
      </c>
      <c r="G670" s="9"/>
      <c r="H670" s="9"/>
      <c r="I670" s="9"/>
      <c r="J670" t="s">
        <v>1397</v>
      </c>
      <c r="K670" s="120">
        <v>18</v>
      </c>
      <c r="L670" s="9"/>
      <c r="M670" s="7"/>
    </row>
    <row r="671" spans="1:13" hidden="1" x14ac:dyDescent="0.25">
      <c r="A671" s="4"/>
      <c r="B671" s="28" t="str">
        <f>IF(ISNUMBER(MATCH(C671, Mgt_Unit!$C$5:$C$1018, 0)), INDEX(Mgt_Unit!$B$5:$B$1018, MATCH(C671, Mgt_Unit!$C$5:$C$1018, 0)), "")</f>
        <v>jennifer.moore</v>
      </c>
      <c r="C671" t="s">
        <v>773</v>
      </c>
      <c r="D671" s="45"/>
      <c r="E671" s="9" t="s">
        <v>1583</v>
      </c>
      <c r="F671" s="89">
        <v>43276</v>
      </c>
      <c r="G671" s="9"/>
      <c r="H671" s="9"/>
      <c r="I671" s="9"/>
      <c r="J671" t="s">
        <v>1396</v>
      </c>
      <c r="K671" s="120">
        <v>37</v>
      </c>
      <c r="L671" s="9"/>
      <c r="M671" s="7"/>
    </row>
    <row r="672" spans="1:13" hidden="1" x14ac:dyDescent="0.25">
      <c r="A672" s="4"/>
      <c r="B672" s="28" t="str">
        <f>IF(ISNUMBER(MATCH(C672, Mgt_Unit!$C$5:$C$1018, 0)), INDEX(Mgt_Unit!$B$5:$B$1018, MATCH(C672, Mgt_Unit!$C$5:$C$1018, 0)), "")</f>
        <v>jennifer.moore</v>
      </c>
      <c r="C672" t="s">
        <v>773</v>
      </c>
      <c r="D672" s="45"/>
      <c r="E672" s="9" t="s">
        <v>1585</v>
      </c>
      <c r="F672" s="89">
        <v>43409</v>
      </c>
      <c r="G672" s="9"/>
      <c r="H672" s="9"/>
      <c r="I672" s="9"/>
      <c r="J672" t="s">
        <v>1395</v>
      </c>
      <c r="K672" s="120">
        <v>7.8</v>
      </c>
      <c r="L672" s="9"/>
      <c r="M672" s="7"/>
    </row>
    <row r="673" spans="1:13" hidden="1" x14ac:dyDescent="0.25">
      <c r="A673" s="4"/>
      <c r="B673" s="28" t="str">
        <f>IF(ISNUMBER(MATCH(C673, Mgt_Unit!$C$5:$C$1018, 0)), INDEX(Mgt_Unit!$B$5:$B$1018, MATCH(C673, Mgt_Unit!$C$5:$C$1018, 0)), "")</f>
        <v>jennifer.moore</v>
      </c>
      <c r="C673" t="s">
        <v>773</v>
      </c>
      <c r="D673" s="45"/>
      <c r="E673" s="9" t="s">
        <v>1583</v>
      </c>
      <c r="F673" s="89">
        <v>43439</v>
      </c>
      <c r="G673" s="9"/>
      <c r="H673" s="9"/>
      <c r="I673" s="9"/>
      <c r="J673" t="s">
        <v>1399</v>
      </c>
      <c r="K673" s="120">
        <v>0.2</v>
      </c>
      <c r="L673" s="9"/>
      <c r="M673" s="7"/>
    </row>
    <row r="674" spans="1:13" hidden="1" x14ac:dyDescent="0.25">
      <c r="A674" s="4"/>
      <c r="B674" s="28" t="str">
        <f>IF(ISNUMBER(MATCH(C674, Mgt_Unit!$C$5:$C$1018, 0)), INDEX(Mgt_Unit!$B$5:$B$1018, MATCH(C674, Mgt_Unit!$C$5:$C$1018, 0)), "")</f>
        <v>jennifer.moore</v>
      </c>
      <c r="C674" t="s">
        <v>773</v>
      </c>
      <c r="D674" s="45"/>
      <c r="E674" s="9" t="s">
        <v>1583</v>
      </c>
      <c r="F674" s="89">
        <v>43511</v>
      </c>
      <c r="G674" s="9"/>
      <c r="H674" s="9"/>
      <c r="I674" s="9"/>
      <c r="J674" t="s">
        <v>1399</v>
      </c>
      <c r="K674" s="120">
        <v>0.2</v>
      </c>
      <c r="L674" s="9"/>
      <c r="M674" s="7"/>
    </row>
    <row r="675" spans="1:13" hidden="1" x14ac:dyDescent="0.25">
      <c r="A675" s="4"/>
      <c r="B675" s="28" t="str">
        <f>IF(ISNUMBER(MATCH(C675, Mgt_Unit!$C$5:$C$1018, 0)), INDEX(Mgt_Unit!$B$5:$B$1018, MATCH(C675, Mgt_Unit!$C$5:$C$1018, 0)), "")</f>
        <v>jennifer.moore</v>
      </c>
      <c r="C675" t="s">
        <v>773</v>
      </c>
      <c r="D675" s="45"/>
      <c r="E675" s="9" t="s">
        <v>1583</v>
      </c>
      <c r="F675" s="89">
        <v>43572</v>
      </c>
      <c r="G675" s="9"/>
      <c r="H675" s="9"/>
      <c r="I675" s="9"/>
      <c r="J675" t="s">
        <v>1397</v>
      </c>
      <c r="K675" s="120">
        <v>18</v>
      </c>
      <c r="L675" s="9"/>
      <c r="M675" s="7"/>
    </row>
    <row r="676" spans="1:13" hidden="1" x14ac:dyDescent="0.25">
      <c r="A676" s="4"/>
      <c r="B676" s="28" t="str">
        <f>IF(ISNUMBER(MATCH(C676, Mgt_Unit!$C$5:$C$1018, 0)), INDEX(Mgt_Unit!$B$5:$B$1018, MATCH(C676, Mgt_Unit!$C$5:$C$1018, 0)), "")</f>
        <v>jennifer.moore</v>
      </c>
      <c r="C676" t="s">
        <v>773</v>
      </c>
      <c r="D676" s="45"/>
      <c r="E676" s="9" t="s">
        <v>1583</v>
      </c>
      <c r="F676" s="89">
        <v>43572</v>
      </c>
      <c r="G676" s="9"/>
      <c r="H676" s="9"/>
      <c r="I676" s="9"/>
      <c r="J676" t="s">
        <v>1396</v>
      </c>
      <c r="K676" s="120">
        <v>37</v>
      </c>
      <c r="L676" s="9"/>
      <c r="M676" s="7"/>
    </row>
    <row r="677" spans="1:13" hidden="1" x14ac:dyDescent="0.25">
      <c r="A677" s="4"/>
      <c r="B677" s="28" t="str">
        <f>IF(ISNUMBER(MATCH(C677, Mgt_Unit!$C$5:$C$1018, 0)), INDEX(Mgt_Unit!$B$5:$B$1018, MATCH(C677, Mgt_Unit!$C$5:$C$1018, 0)), "")</f>
        <v>jennifer.moore</v>
      </c>
      <c r="C677" t="s">
        <v>773</v>
      </c>
      <c r="D677" s="45"/>
      <c r="E677" s="9" t="s">
        <v>1584</v>
      </c>
      <c r="F677" s="89">
        <v>43573</v>
      </c>
      <c r="G677" s="9"/>
      <c r="H677" s="9"/>
      <c r="I677" s="9"/>
      <c r="J677" t="s">
        <v>1395</v>
      </c>
      <c r="K677" s="120">
        <v>7.8</v>
      </c>
      <c r="L677" s="9"/>
      <c r="M677" s="7"/>
    </row>
    <row r="678" spans="1:13" hidden="1" x14ac:dyDescent="0.25">
      <c r="A678" s="4"/>
      <c r="B678" s="28" t="str">
        <f>IF(ISNUMBER(MATCH(C678, Mgt_Unit!$C$5:$C$1018, 0)), INDEX(Mgt_Unit!$B$5:$B$1018, MATCH(C678, Mgt_Unit!$C$5:$C$1018, 0)), "")</f>
        <v>jennifer.moore</v>
      </c>
      <c r="C678" t="s">
        <v>773</v>
      </c>
      <c r="D678" s="45"/>
      <c r="E678" s="9" t="s">
        <v>1584</v>
      </c>
      <c r="F678" s="89">
        <v>43774</v>
      </c>
      <c r="G678" s="9"/>
      <c r="H678" s="9"/>
      <c r="I678" s="9"/>
      <c r="J678" t="s">
        <v>1395</v>
      </c>
      <c r="K678" s="120">
        <v>7.8</v>
      </c>
      <c r="L678" s="9"/>
      <c r="M678" s="7"/>
    </row>
    <row r="679" spans="1:13" hidden="1" x14ac:dyDescent="0.25">
      <c r="A679" s="4"/>
      <c r="B679" s="28" t="str">
        <f>IF(ISNUMBER(MATCH(C679, Mgt_Unit!$C$5:$C$1018, 0)), INDEX(Mgt_Unit!$B$5:$B$1018, MATCH(C679, Mgt_Unit!$C$5:$C$1018, 0)), "")</f>
        <v>jennifer.moore</v>
      </c>
      <c r="C679" t="s">
        <v>773</v>
      </c>
      <c r="D679" s="45"/>
      <c r="E679" s="9" t="s">
        <v>1583</v>
      </c>
      <c r="F679" s="89">
        <v>43804</v>
      </c>
      <c r="G679" s="9"/>
      <c r="H679" s="9"/>
      <c r="I679" s="9"/>
      <c r="J679" t="s">
        <v>1399</v>
      </c>
      <c r="K679" s="120">
        <v>0.2</v>
      </c>
      <c r="L679" s="9"/>
      <c r="M679" s="7"/>
    </row>
    <row r="680" spans="1:13" hidden="1" x14ac:dyDescent="0.25">
      <c r="A680" s="4"/>
      <c r="B680" s="28" t="str">
        <f>IF(ISNUMBER(MATCH(C680, Mgt_Unit!$C$5:$C$1018, 0)), INDEX(Mgt_Unit!$B$5:$B$1018, MATCH(C680, Mgt_Unit!$C$5:$C$1018, 0)), "")</f>
        <v>jennifer.moore</v>
      </c>
      <c r="C680" t="s">
        <v>774</v>
      </c>
      <c r="D680" s="45"/>
      <c r="E680" s="9" t="s">
        <v>1583</v>
      </c>
      <c r="F680" s="89">
        <v>43146</v>
      </c>
      <c r="G680" s="9"/>
      <c r="H680" s="9"/>
      <c r="I680" s="9"/>
      <c r="J680" t="s">
        <v>1399</v>
      </c>
      <c r="K680" s="120">
        <v>0.2</v>
      </c>
      <c r="L680" s="9"/>
      <c r="M680" s="7"/>
    </row>
    <row r="681" spans="1:13" hidden="1" x14ac:dyDescent="0.25">
      <c r="A681" s="4"/>
      <c r="B681" s="28" t="str">
        <f>IF(ISNUMBER(MATCH(C681, Mgt_Unit!$C$5:$C$1018, 0)), INDEX(Mgt_Unit!$B$5:$B$1018, MATCH(C681, Mgt_Unit!$C$5:$C$1018, 0)), "")</f>
        <v>jennifer.moore</v>
      </c>
      <c r="C681" t="s">
        <v>774</v>
      </c>
      <c r="D681" s="45"/>
      <c r="E681" s="9" t="s">
        <v>1584</v>
      </c>
      <c r="F681" s="89">
        <v>43276</v>
      </c>
      <c r="G681" s="9"/>
      <c r="H681" s="9"/>
      <c r="I681" s="9"/>
      <c r="J681" t="s">
        <v>1398</v>
      </c>
      <c r="K681" s="120">
        <v>4</v>
      </c>
      <c r="L681" s="9"/>
      <c r="M681" s="7"/>
    </row>
    <row r="682" spans="1:13" hidden="1" x14ac:dyDescent="0.25">
      <c r="A682" s="4"/>
      <c r="B682" s="28" t="str">
        <f>IF(ISNUMBER(MATCH(C682, Mgt_Unit!$C$5:$C$1018, 0)), INDEX(Mgt_Unit!$B$5:$B$1018, MATCH(C682, Mgt_Unit!$C$5:$C$1018, 0)), "")</f>
        <v>jennifer.moore</v>
      </c>
      <c r="C682" t="s">
        <v>774</v>
      </c>
      <c r="D682" s="45"/>
      <c r="E682" s="9" t="s">
        <v>1585</v>
      </c>
      <c r="F682" s="89">
        <v>43409</v>
      </c>
      <c r="G682" s="9"/>
      <c r="H682" s="9"/>
      <c r="I682" s="9"/>
      <c r="J682" t="s">
        <v>1398</v>
      </c>
      <c r="K682" s="120">
        <v>4</v>
      </c>
      <c r="L682" s="9"/>
      <c r="M682" s="7"/>
    </row>
    <row r="683" spans="1:13" hidden="1" x14ac:dyDescent="0.25">
      <c r="A683" s="4"/>
      <c r="B683" s="28" t="str">
        <f>IF(ISNUMBER(MATCH(C683, Mgt_Unit!$C$5:$C$1018, 0)), INDEX(Mgt_Unit!$B$5:$B$1018, MATCH(C683, Mgt_Unit!$C$5:$C$1018, 0)), "")</f>
        <v>jennifer.moore</v>
      </c>
      <c r="C683" t="s">
        <v>774</v>
      </c>
      <c r="D683" s="45"/>
      <c r="E683" s="9" t="s">
        <v>1583</v>
      </c>
      <c r="F683" s="89">
        <v>43439</v>
      </c>
      <c r="G683" s="9"/>
      <c r="H683" s="9"/>
      <c r="I683" s="9"/>
      <c r="J683" t="s">
        <v>1399</v>
      </c>
      <c r="K683" s="120">
        <v>0.2</v>
      </c>
      <c r="L683" s="9"/>
      <c r="M683" s="7"/>
    </row>
    <row r="684" spans="1:13" hidden="1" x14ac:dyDescent="0.25">
      <c r="A684" s="4"/>
      <c r="B684" s="28" t="str">
        <f>IF(ISNUMBER(MATCH(C684, Mgt_Unit!$C$5:$C$1018, 0)), INDEX(Mgt_Unit!$B$5:$B$1018, MATCH(C684, Mgt_Unit!$C$5:$C$1018, 0)), "")</f>
        <v>jennifer.moore</v>
      </c>
      <c r="C684" t="s">
        <v>774</v>
      </c>
      <c r="D684" s="45"/>
      <c r="E684" s="9" t="s">
        <v>1583</v>
      </c>
      <c r="F684" s="89">
        <v>43511</v>
      </c>
      <c r="G684" s="9"/>
      <c r="H684" s="9"/>
      <c r="I684" s="9"/>
      <c r="J684" t="s">
        <v>1399</v>
      </c>
      <c r="K684" s="120">
        <v>0.2</v>
      </c>
      <c r="L684" s="9"/>
      <c r="M684" s="7"/>
    </row>
    <row r="685" spans="1:13" hidden="1" x14ac:dyDescent="0.25">
      <c r="A685" s="4"/>
      <c r="B685" s="28" t="str">
        <f>IF(ISNUMBER(MATCH(C685, Mgt_Unit!$C$5:$C$1018, 0)), INDEX(Mgt_Unit!$B$5:$B$1018, MATCH(C685, Mgt_Unit!$C$5:$C$1018, 0)), "")</f>
        <v>jennifer.moore</v>
      </c>
      <c r="C685" t="s">
        <v>774</v>
      </c>
      <c r="D685" s="45"/>
      <c r="E685" s="9" t="s">
        <v>1584</v>
      </c>
      <c r="F685" s="89">
        <v>43573</v>
      </c>
      <c r="G685" s="9"/>
      <c r="H685" s="9"/>
      <c r="I685" s="9"/>
      <c r="J685" t="s">
        <v>1398</v>
      </c>
      <c r="K685" s="120">
        <v>4</v>
      </c>
      <c r="L685" s="9"/>
      <c r="M685" s="7"/>
    </row>
    <row r="686" spans="1:13" hidden="1" x14ac:dyDescent="0.25">
      <c r="A686" s="4"/>
      <c r="B686" s="28" t="str">
        <f>IF(ISNUMBER(MATCH(C686, Mgt_Unit!$C$5:$C$1018, 0)), INDEX(Mgt_Unit!$B$5:$B$1018, MATCH(C686, Mgt_Unit!$C$5:$C$1018, 0)), "")</f>
        <v>jennifer.moore</v>
      </c>
      <c r="C686" t="s">
        <v>774</v>
      </c>
      <c r="D686" s="45"/>
      <c r="E686" s="9" t="s">
        <v>1584</v>
      </c>
      <c r="F686" s="89">
        <v>43774</v>
      </c>
      <c r="G686" s="9"/>
      <c r="H686" s="9"/>
      <c r="I686" s="9"/>
      <c r="J686" t="s">
        <v>1398</v>
      </c>
      <c r="K686" s="120">
        <v>4</v>
      </c>
      <c r="L686" s="9"/>
      <c r="M686" s="7"/>
    </row>
    <row r="687" spans="1:13" hidden="1" x14ac:dyDescent="0.25">
      <c r="A687" s="4"/>
      <c r="B687" s="28" t="str">
        <f>IF(ISNUMBER(MATCH(C687, Mgt_Unit!$C$5:$C$1018, 0)), INDEX(Mgt_Unit!$B$5:$B$1018, MATCH(C687, Mgt_Unit!$C$5:$C$1018, 0)), "")</f>
        <v>jennifer.moore</v>
      </c>
      <c r="C687" t="s">
        <v>775</v>
      </c>
      <c r="D687" s="45"/>
      <c r="E687" s="9" t="s">
        <v>1584</v>
      </c>
      <c r="F687" s="89">
        <v>43208</v>
      </c>
      <c r="G687" s="9"/>
      <c r="H687" s="9"/>
      <c r="I687" s="9"/>
      <c r="J687" t="s">
        <v>1395</v>
      </c>
      <c r="K687" s="120">
        <v>7.8</v>
      </c>
      <c r="L687" s="9"/>
      <c r="M687" s="7"/>
    </row>
    <row r="688" spans="1:13" hidden="1" x14ac:dyDescent="0.25">
      <c r="A688" s="4"/>
      <c r="B688" s="28" t="str">
        <f>IF(ISNUMBER(MATCH(C688, Mgt_Unit!$C$5:$C$1018, 0)), INDEX(Mgt_Unit!$B$5:$B$1018, MATCH(C688, Mgt_Unit!$C$5:$C$1018, 0)), "")</f>
        <v>jennifer.moore</v>
      </c>
      <c r="C688" t="s">
        <v>775</v>
      </c>
      <c r="D688" s="45"/>
      <c r="E688" s="9" t="s">
        <v>1583</v>
      </c>
      <c r="F688" s="89">
        <v>43208</v>
      </c>
      <c r="G688" s="9"/>
      <c r="H688" s="9"/>
      <c r="I688" s="9"/>
      <c r="J688" t="s">
        <v>1397</v>
      </c>
      <c r="K688" s="120">
        <v>18</v>
      </c>
      <c r="L688" s="9"/>
      <c r="M688" s="7"/>
    </row>
    <row r="689" spans="1:13" hidden="1" x14ac:dyDescent="0.25">
      <c r="A689" s="4"/>
      <c r="B689" s="28" t="str">
        <f>IF(ISNUMBER(MATCH(C689, Mgt_Unit!$C$5:$C$1018, 0)), INDEX(Mgt_Unit!$B$5:$B$1018, MATCH(C689, Mgt_Unit!$C$5:$C$1018, 0)), "")</f>
        <v>jennifer.moore</v>
      </c>
      <c r="C689" t="s">
        <v>775</v>
      </c>
      <c r="D689" s="45"/>
      <c r="E689" s="9" t="s">
        <v>1583</v>
      </c>
      <c r="F689" s="89">
        <v>43208</v>
      </c>
      <c r="G689" s="9"/>
      <c r="H689" s="9"/>
      <c r="I689" s="9"/>
      <c r="J689" t="s">
        <v>1396</v>
      </c>
      <c r="K689" s="120">
        <v>37</v>
      </c>
      <c r="L689" s="9"/>
      <c r="M689" s="7"/>
    </row>
    <row r="690" spans="1:13" hidden="1" x14ac:dyDescent="0.25">
      <c r="A690" s="4"/>
      <c r="B690" s="28" t="str">
        <f>IF(ISNUMBER(MATCH(C690, Mgt_Unit!$C$5:$C$1018, 0)), INDEX(Mgt_Unit!$B$5:$B$1018, MATCH(C690, Mgt_Unit!$C$5:$C$1018, 0)), "")</f>
        <v>jennifer.moore</v>
      </c>
      <c r="C690" t="s">
        <v>775</v>
      </c>
      <c r="D690" s="45"/>
      <c r="E690" s="9" t="s">
        <v>1584</v>
      </c>
      <c r="F690" s="89">
        <v>43409</v>
      </c>
      <c r="G690" s="9"/>
      <c r="H690" s="9"/>
      <c r="I690" s="9"/>
      <c r="J690" t="s">
        <v>1398</v>
      </c>
      <c r="K690" s="120">
        <v>4</v>
      </c>
      <c r="L690" s="9"/>
      <c r="M690" s="7"/>
    </row>
    <row r="691" spans="1:13" hidden="1" x14ac:dyDescent="0.25">
      <c r="A691" s="4"/>
      <c r="B691" s="28" t="str">
        <f>IF(ISNUMBER(MATCH(C691, Mgt_Unit!$C$5:$C$1018, 0)), INDEX(Mgt_Unit!$B$5:$B$1018, MATCH(C691, Mgt_Unit!$C$5:$C$1018, 0)), "")</f>
        <v>jennifer.moore</v>
      </c>
      <c r="C691" t="s">
        <v>775</v>
      </c>
      <c r="D691" s="45"/>
      <c r="E691" s="9" t="s">
        <v>1584</v>
      </c>
      <c r="F691" s="89">
        <v>43641</v>
      </c>
      <c r="G691" s="9"/>
      <c r="H691" s="9"/>
      <c r="I691" s="9"/>
      <c r="J691" t="s">
        <v>1395</v>
      </c>
      <c r="K691" s="120">
        <v>7.8</v>
      </c>
      <c r="L691" s="9"/>
      <c r="M691" s="7"/>
    </row>
    <row r="692" spans="1:13" hidden="1" x14ac:dyDescent="0.25">
      <c r="A692" s="4"/>
      <c r="B692" s="28" t="str">
        <f>IF(ISNUMBER(MATCH(C692, Mgt_Unit!$C$5:$C$1018, 0)), INDEX(Mgt_Unit!$B$5:$B$1018, MATCH(C692, Mgt_Unit!$C$5:$C$1018, 0)), "")</f>
        <v>jennifer.moore</v>
      </c>
      <c r="C692" t="s">
        <v>775</v>
      </c>
      <c r="D692" s="45"/>
      <c r="E692" s="9" t="s">
        <v>1583</v>
      </c>
      <c r="F692" s="89">
        <v>43641</v>
      </c>
      <c r="G692" s="9"/>
      <c r="H692" s="9"/>
      <c r="I692" s="9"/>
      <c r="J692" t="s">
        <v>1397</v>
      </c>
      <c r="K692" s="120">
        <v>18</v>
      </c>
      <c r="L692" s="9"/>
      <c r="M692" s="7"/>
    </row>
    <row r="693" spans="1:13" hidden="1" x14ac:dyDescent="0.25">
      <c r="A693" s="4"/>
      <c r="B693" s="28" t="str">
        <f>IF(ISNUMBER(MATCH(C693, Mgt_Unit!$C$5:$C$1018, 0)), INDEX(Mgt_Unit!$B$5:$B$1018, MATCH(C693, Mgt_Unit!$C$5:$C$1018, 0)), "")</f>
        <v>jennifer.moore</v>
      </c>
      <c r="C693" t="s">
        <v>775</v>
      </c>
      <c r="D693" s="45"/>
      <c r="E693" s="9" t="s">
        <v>1583</v>
      </c>
      <c r="F693" s="89">
        <v>43641</v>
      </c>
      <c r="G693" s="9"/>
      <c r="H693" s="9"/>
      <c r="I693" s="9"/>
      <c r="J693" t="s">
        <v>1396</v>
      </c>
      <c r="K693" s="120">
        <v>37</v>
      </c>
      <c r="L693" s="9"/>
      <c r="M693" s="7"/>
    </row>
    <row r="694" spans="1:13" hidden="1" x14ac:dyDescent="0.25">
      <c r="A694" s="4"/>
      <c r="B694" s="28" t="str">
        <f>IF(ISNUMBER(MATCH(C694, Mgt_Unit!$C$5:$C$1018, 0)), INDEX(Mgt_Unit!$B$5:$B$1018, MATCH(C694, Mgt_Unit!$C$5:$C$1018, 0)), "")</f>
        <v>jennifer.moore</v>
      </c>
      <c r="C694" t="s">
        <v>775</v>
      </c>
      <c r="D694" s="45"/>
      <c r="E694" s="9" t="s">
        <v>1585</v>
      </c>
      <c r="F694" s="89">
        <v>43774</v>
      </c>
      <c r="G694" s="9"/>
      <c r="H694" s="9"/>
      <c r="I694" s="9"/>
      <c r="J694" t="s">
        <v>1398</v>
      </c>
      <c r="K694" s="120">
        <v>4</v>
      </c>
      <c r="L694" s="9"/>
      <c r="M694" s="7"/>
    </row>
    <row r="695" spans="1:13" hidden="1" x14ac:dyDescent="0.25">
      <c r="A695" s="4"/>
      <c r="B695" s="28" t="str">
        <f>IF(ISNUMBER(MATCH(C695, Mgt_Unit!$C$5:$C$1018, 0)), INDEX(Mgt_Unit!$B$5:$B$1018, MATCH(C695, Mgt_Unit!$C$5:$C$1018, 0)), "")</f>
        <v>jennifer.moore</v>
      </c>
      <c r="C695" t="s">
        <v>776</v>
      </c>
      <c r="D695" s="45"/>
      <c r="E695" s="9" t="s">
        <v>1584</v>
      </c>
      <c r="F695" s="89">
        <v>43208</v>
      </c>
      <c r="G695" s="9"/>
      <c r="H695" s="9"/>
      <c r="I695" s="9"/>
      <c r="J695" t="s">
        <v>1398</v>
      </c>
      <c r="K695" s="120">
        <v>4</v>
      </c>
      <c r="L695" s="9"/>
      <c r="M695" s="7"/>
    </row>
    <row r="696" spans="1:13" hidden="1" x14ac:dyDescent="0.25">
      <c r="A696" s="4"/>
      <c r="B696" s="28" t="str">
        <f>IF(ISNUMBER(MATCH(C696, Mgt_Unit!$C$5:$C$1018, 0)), INDEX(Mgt_Unit!$B$5:$B$1018, MATCH(C696, Mgt_Unit!$C$5:$C$1018, 0)), "")</f>
        <v>jennifer.moore</v>
      </c>
      <c r="C696" t="s">
        <v>776</v>
      </c>
      <c r="D696" s="45"/>
      <c r="E696" s="9" t="s">
        <v>1584</v>
      </c>
      <c r="F696" s="89">
        <v>43409</v>
      </c>
      <c r="G696" s="9"/>
      <c r="H696" s="9"/>
      <c r="I696" s="9"/>
      <c r="J696" t="s">
        <v>1398</v>
      </c>
      <c r="K696" s="120">
        <v>4</v>
      </c>
      <c r="L696" s="9"/>
      <c r="M696" s="7"/>
    </row>
    <row r="697" spans="1:13" hidden="1" x14ac:dyDescent="0.25">
      <c r="A697" s="4"/>
      <c r="B697" s="28" t="str">
        <f>IF(ISNUMBER(MATCH(C697, Mgt_Unit!$C$5:$C$1018, 0)), INDEX(Mgt_Unit!$B$5:$B$1018, MATCH(C697, Mgt_Unit!$C$5:$C$1018, 0)), "")</f>
        <v>jennifer.moore</v>
      </c>
      <c r="C697" t="s">
        <v>776</v>
      </c>
      <c r="D697" s="45"/>
      <c r="E697" s="9" t="s">
        <v>1584</v>
      </c>
      <c r="F697" s="89">
        <v>43641</v>
      </c>
      <c r="G697" s="9"/>
      <c r="H697" s="9"/>
      <c r="I697" s="9"/>
      <c r="J697" t="s">
        <v>1398</v>
      </c>
      <c r="K697" s="120">
        <v>4</v>
      </c>
      <c r="L697" s="9"/>
      <c r="M697" s="7"/>
    </row>
    <row r="698" spans="1:13" hidden="1" x14ac:dyDescent="0.25">
      <c r="A698" s="4"/>
      <c r="B698" s="28" t="str">
        <f>IF(ISNUMBER(MATCH(C698, Mgt_Unit!$C$5:$C$1018, 0)), INDEX(Mgt_Unit!$B$5:$B$1018, MATCH(C698, Mgt_Unit!$C$5:$C$1018, 0)), "")</f>
        <v>jennifer.moore</v>
      </c>
      <c r="C698" t="s">
        <v>776</v>
      </c>
      <c r="D698" s="45"/>
      <c r="E698" s="9" t="s">
        <v>1585</v>
      </c>
      <c r="F698" s="89">
        <v>43774</v>
      </c>
      <c r="G698" s="9"/>
      <c r="H698" s="9"/>
      <c r="I698" s="9"/>
      <c r="J698" t="s">
        <v>1398</v>
      </c>
      <c r="K698" s="120">
        <v>4</v>
      </c>
      <c r="L698" s="9"/>
      <c r="M698" s="7"/>
    </row>
    <row r="699" spans="1:13" hidden="1" x14ac:dyDescent="0.25">
      <c r="A699" s="4"/>
      <c r="B699" s="28" t="str">
        <f>IF(ISNUMBER(MATCH(C699, Mgt_Unit!$C$5:$C$1018, 0)), INDEX(Mgt_Unit!$B$5:$B$1018, MATCH(C699, Mgt_Unit!$C$5:$C$1018, 0)), "")</f>
        <v>jennifer.moore</v>
      </c>
      <c r="C699" t="s">
        <v>777</v>
      </c>
      <c r="D699" s="45"/>
      <c r="E699" s="9" t="s">
        <v>1583</v>
      </c>
      <c r="F699" s="89">
        <v>43146</v>
      </c>
      <c r="G699" s="9"/>
      <c r="H699" s="9"/>
      <c r="I699" s="9"/>
      <c r="J699" t="s">
        <v>1399</v>
      </c>
      <c r="K699" s="120">
        <v>0.2</v>
      </c>
      <c r="L699" s="9"/>
      <c r="M699" s="7"/>
    </row>
    <row r="700" spans="1:13" hidden="1" x14ac:dyDescent="0.25">
      <c r="A700" s="4"/>
      <c r="B700" s="28" t="str">
        <f>IF(ISNUMBER(MATCH(C700, Mgt_Unit!$C$5:$C$1018, 0)), INDEX(Mgt_Unit!$B$5:$B$1018, MATCH(C700, Mgt_Unit!$C$5:$C$1018, 0)), "")</f>
        <v>jennifer.moore</v>
      </c>
      <c r="C700" t="s">
        <v>777</v>
      </c>
      <c r="D700" s="45"/>
      <c r="E700" s="9" t="s">
        <v>1584</v>
      </c>
      <c r="F700" s="89">
        <v>43208</v>
      </c>
      <c r="G700" s="9"/>
      <c r="H700" s="9"/>
      <c r="I700" s="9"/>
      <c r="J700" t="s">
        <v>1395</v>
      </c>
      <c r="K700" s="120">
        <v>7.8</v>
      </c>
      <c r="L700" s="9"/>
      <c r="M700" s="7"/>
    </row>
    <row r="701" spans="1:13" hidden="1" x14ac:dyDescent="0.25">
      <c r="A701" s="4"/>
      <c r="B701" s="28" t="str">
        <f>IF(ISNUMBER(MATCH(C701, Mgt_Unit!$C$5:$C$1018, 0)), INDEX(Mgt_Unit!$B$5:$B$1018, MATCH(C701, Mgt_Unit!$C$5:$C$1018, 0)), "")</f>
        <v>jennifer.moore</v>
      </c>
      <c r="C701" t="s">
        <v>777</v>
      </c>
      <c r="D701" s="45"/>
      <c r="E701" s="9" t="s">
        <v>1583</v>
      </c>
      <c r="F701" s="89">
        <v>43208</v>
      </c>
      <c r="G701" s="9"/>
      <c r="H701" s="9"/>
      <c r="I701" s="9"/>
      <c r="J701" t="s">
        <v>1397</v>
      </c>
      <c r="K701" s="120">
        <v>18</v>
      </c>
      <c r="L701" s="9"/>
      <c r="M701" s="7"/>
    </row>
    <row r="702" spans="1:13" hidden="1" x14ac:dyDescent="0.25">
      <c r="A702" s="4"/>
      <c r="B702" s="28" t="str">
        <f>IF(ISNUMBER(MATCH(C702, Mgt_Unit!$C$5:$C$1018, 0)), INDEX(Mgt_Unit!$B$5:$B$1018, MATCH(C702, Mgt_Unit!$C$5:$C$1018, 0)), "")</f>
        <v>jennifer.moore</v>
      </c>
      <c r="C702" t="s">
        <v>777</v>
      </c>
      <c r="D702" s="45"/>
      <c r="E702" s="9" t="s">
        <v>1583</v>
      </c>
      <c r="F702" s="89">
        <v>43208</v>
      </c>
      <c r="G702" s="9"/>
      <c r="H702" s="9"/>
      <c r="I702" s="9"/>
      <c r="J702" t="s">
        <v>1396</v>
      </c>
      <c r="K702" s="120">
        <v>37</v>
      </c>
      <c r="L702" s="9"/>
      <c r="M702" s="7"/>
    </row>
    <row r="703" spans="1:13" hidden="1" x14ac:dyDescent="0.25">
      <c r="A703" s="4"/>
      <c r="B703" s="28" t="str">
        <f>IF(ISNUMBER(MATCH(C703, Mgt_Unit!$C$5:$C$1018, 0)), INDEX(Mgt_Unit!$B$5:$B$1018, MATCH(C703, Mgt_Unit!$C$5:$C$1018, 0)), "")</f>
        <v>jennifer.moore</v>
      </c>
      <c r="C703" t="s">
        <v>777</v>
      </c>
      <c r="D703" s="45"/>
      <c r="E703" s="9" t="s">
        <v>1584</v>
      </c>
      <c r="F703" s="89">
        <v>43409</v>
      </c>
      <c r="G703" s="9"/>
      <c r="H703" s="9"/>
      <c r="I703" s="9"/>
      <c r="J703" t="s">
        <v>1395</v>
      </c>
      <c r="K703" s="120">
        <v>7.8</v>
      </c>
      <c r="L703" s="9"/>
      <c r="M703" s="7"/>
    </row>
    <row r="704" spans="1:13" hidden="1" x14ac:dyDescent="0.25">
      <c r="A704" s="4"/>
      <c r="B704" s="28" t="str">
        <f>IF(ISNUMBER(MATCH(C704, Mgt_Unit!$C$5:$C$1018, 0)), INDEX(Mgt_Unit!$B$5:$B$1018, MATCH(C704, Mgt_Unit!$C$5:$C$1018, 0)), "")</f>
        <v>jennifer.moore</v>
      </c>
      <c r="C704" t="s">
        <v>777</v>
      </c>
      <c r="D704" s="45"/>
      <c r="E704" s="9" t="s">
        <v>1583</v>
      </c>
      <c r="F704" s="89">
        <v>43439</v>
      </c>
      <c r="G704" s="9"/>
      <c r="H704" s="9"/>
      <c r="I704" s="9"/>
      <c r="J704" t="s">
        <v>1399</v>
      </c>
      <c r="K704" s="120">
        <v>0.2</v>
      </c>
      <c r="L704" s="9"/>
      <c r="M704" s="7"/>
    </row>
    <row r="705" spans="1:13" hidden="1" x14ac:dyDescent="0.25">
      <c r="A705" s="4"/>
      <c r="B705" s="28" t="str">
        <f>IF(ISNUMBER(MATCH(C705, Mgt_Unit!$C$5:$C$1018, 0)), INDEX(Mgt_Unit!$B$5:$B$1018, MATCH(C705, Mgt_Unit!$C$5:$C$1018, 0)), "")</f>
        <v>jennifer.moore</v>
      </c>
      <c r="C705" t="s">
        <v>777</v>
      </c>
      <c r="D705" s="45"/>
      <c r="E705" s="9" t="s">
        <v>1583</v>
      </c>
      <c r="F705" s="89">
        <v>43511</v>
      </c>
      <c r="G705" s="9"/>
      <c r="H705" s="9"/>
      <c r="I705" s="9"/>
      <c r="J705" t="s">
        <v>1399</v>
      </c>
      <c r="K705" s="120">
        <v>0.2</v>
      </c>
      <c r="L705" s="9"/>
      <c r="M705" s="7"/>
    </row>
    <row r="706" spans="1:13" hidden="1" x14ac:dyDescent="0.25">
      <c r="A706" s="4"/>
      <c r="B706" s="28" t="str">
        <f>IF(ISNUMBER(MATCH(C706, Mgt_Unit!$C$5:$C$1018, 0)), INDEX(Mgt_Unit!$B$5:$B$1018, MATCH(C706, Mgt_Unit!$C$5:$C$1018, 0)), "")</f>
        <v>jennifer.moore</v>
      </c>
      <c r="C706" t="s">
        <v>777</v>
      </c>
      <c r="D706" s="45"/>
      <c r="E706" s="9" t="s">
        <v>1583</v>
      </c>
      <c r="F706" s="89">
        <v>43636</v>
      </c>
      <c r="G706" s="9"/>
      <c r="H706" s="9"/>
      <c r="I706" s="9"/>
      <c r="J706" t="s">
        <v>1396</v>
      </c>
      <c r="K706" s="120">
        <v>37</v>
      </c>
      <c r="L706" s="9"/>
      <c r="M706" s="7"/>
    </row>
    <row r="707" spans="1:13" hidden="1" x14ac:dyDescent="0.25">
      <c r="A707" s="4"/>
      <c r="B707" s="28" t="str">
        <f>IF(ISNUMBER(MATCH(C707, Mgt_Unit!$C$5:$C$1018, 0)), INDEX(Mgt_Unit!$B$5:$B$1018, MATCH(C707, Mgt_Unit!$C$5:$C$1018, 0)), "")</f>
        <v>jennifer.moore</v>
      </c>
      <c r="C707" t="s">
        <v>777</v>
      </c>
      <c r="D707" s="45"/>
      <c r="E707" s="9" t="s">
        <v>1583</v>
      </c>
      <c r="F707" s="89">
        <v>43636</v>
      </c>
      <c r="G707" s="9"/>
      <c r="H707" s="9"/>
      <c r="I707" s="9"/>
      <c r="J707" t="s">
        <v>1397</v>
      </c>
      <c r="K707" s="120">
        <v>18</v>
      </c>
      <c r="L707" s="9"/>
      <c r="M707" s="7"/>
    </row>
    <row r="708" spans="1:13" hidden="1" x14ac:dyDescent="0.25">
      <c r="A708" s="4"/>
      <c r="B708" s="28" t="str">
        <f>IF(ISNUMBER(MATCH(C708, Mgt_Unit!$C$5:$C$1018, 0)), INDEX(Mgt_Unit!$B$5:$B$1018, MATCH(C708, Mgt_Unit!$C$5:$C$1018, 0)), "")</f>
        <v>jennifer.moore</v>
      </c>
      <c r="C708" t="s">
        <v>777</v>
      </c>
      <c r="D708" s="45"/>
      <c r="E708" s="9" t="s">
        <v>1584</v>
      </c>
      <c r="F708" s="89">
        <v>43641</v>
      </c>
      <c r="G708" s="9"/>
      <c r="H708" s="9"/>
      <c r="I708" s="9"/>
      <c r="J708" t="s">
        <v>1395</v>
      </c>
      <c r="K708" s="120">
        <v>7.8</v>
      </c>
      <c r="L708" s="9"/>
      <c r="M708" s="7"/>
    </row>
    <row r="709" spans="1:13" hidden="1" x14ac:dyDescent="0.25">
      <c r="A709" s="4"/>
      <c r="B709" s="28" t="str">
        <f>IF(ISNUMBER(MATCH(C709, Mgt_Unit!$C$5:$C$1018, 0)), INDEX(Mgt_Unit!$B$5:$B$1018, MATCH(C709, Mgt_Unit!$C$5:$C$1018, 0)), "")</f>
        <v>jennifer.moore</v>
      </c>
      <c r="C709" t="s">
        <v>777</v>
      </c>
      <c r="D709" s="45"/>
      <c r="E709" s="9" t="s">
        <v>1585</v>
      </c>
      <c r="F709" s="89">
        <v>43774</v>
      </c>
      <c r="G709" s="9"/>
      <c r="H709" s="9"/>
      <c r="I709" s="9"/>
      <c r="J709" t="s">
        <v>1395</v>
      </c>
      <c r="K709" s="120">
        <v>7.8</v>
      </c>
      <c r="L709" s="9"/>
      <c r="M709" s="7"/>
    </row>
    <row r="710" spans="1:13" hidden="1" x14ac:dyDescent="0.25">
      <c r="A710" s="4"/>
      <c r="B710" s="28" t="str">
        <f>IF(ISNUMBER(MATCH(C710, Mgt_Unit!$C$5:$C$1018, 0)), INDEX(Mgt_Unit!$B$5:$B$1018, MATCH(C710, Mgt_Unit!$C$5:$C$1018, 0)), "")</f>
        <v>jennifer.moore</v>
      </c>
      <c r="C710" t="s">
        <v>777</v>
      </c>
      <c r="D710" s="45"/>
      <c r="E710" s="9" t="s">
        <v>1583</v>
      </c>
      <c r="F710" s="89">
        <v>43804</v>
      </c>
      <c r="G710" s="9"/>
      <c r="H710" s="9"/>
      <c r="I710" s="9"/>
      <c r="J710" t="s">
        <v>1399</v>
      </c>
      <c r="K710" s="120">
        <v>0.2</v>
      </c>
      <c r="L710" s="9"/>
      <c r="M710" s="7"/>
    </row>
    <row r="711" spans="1:13" hidden="1" x14ac:dyDescent="0.25">
      <c r="A711" s="4"/>
      <c r="B711" s="28" t="str">
        <f>IF(ISNUMBER(MATCH(C711, Mgt_Unit!$C$5:$C$1018, 0)), INDEX(Mgt_Unit!$B$5:$B$1018, MATCH(C711, Mgt_Unit!$C$5:$C$1018, 0)), "")</f>
        <v>jennifer.moore</v>
      </c>
      <c r="C711" t="s">
        <v>778</v>
      </c>
      <c r="D711" s="45"/>
      <c r="E711" s="9" t="s">
        <v>1583</v>
      </c>
      <c r="F711" s="89">
        <v>43146</v>
      </c>
      <c r="G711" s="9"/>
      <c r="H711" s="9"/>
      <c r="I711" s="9"/>
      <c r="J711" t="s">
        <v>1399</v>
      </c>
      <c r="K711" s="120">
        <v>0.2</v>
      </c>
      <c r="L711" s="9"/>
      <c r="M711" s="7"/>
    </row>
    <row r="712" spans="1:13" hidden="1" x14ac:dyDescent="0.25">
      <c r="A712" s="4"/>
      <c r="B712" s="28" t="str">
        <f>IF(ISNUMBER(MATCH(C712, Mgt_Unit!$C$5:$C$1018, 0)), INDEX(Mgt_Unit!$B$5:$B$1018, MATCH(C712, Mgt_Unit!$C$5:$C$1018, 0)), "")</f>
        <v>jennifer.moore</v>
      </c>
      <c r="C712" t="s">
        <v>778</v>
      </c>
      <c r="D712" s="45"/>
      <c r="E712" s="9" t="s">
        <v>1584</v>
      </c>
      <c r="F712" s="89">
        <v>43208</v>
      </c>
      <c r="G712" s="9"/>
      <c r="H712" s="9"/>
      <c r="I712" s="9"/>
      <c r="J712" t="s">
        <v>1398</v>
      </c>
      <c r="K712" s="120">
        <v>4</v>
      </c>
      <c r="L712" s="9"/>
      <c r="M712" s="7"/>
    </row>
    <row r="713" spans="1:13" hidden="1" x14ac:dyDescent="0.25">
      <c r="A713" s="4"/>
      <c r="B713" s="28" t="str">
        <f>IF(ISNUMBER(MATCH(C713, Mgt_Unit!$C$5:$C$1018, 0)), INDEX(Mgt_Unit!$B$5:$B$1018, MATCH(C713, Mgt_Unit!$C$5:$C$1018, 0)), "")</f>
        <v>jennifer.moore</v>
      </c>
      <c r="C713" t="s">
        <v>778</v>
      </c>
      <c r="D713" s="45"/>
      <c r="E713" s="9" t="s">
        <v>1584</v>
      </c>
      <c r="F713" s="89">
        <v>43409</v>
      </c>
      <c r="G713" s="9"/>
      <c r="H713" s="9"/>
      <c r="I713" s="9"/>
      <c r="J713" t="s">
        <v>1398</v>
      </c>
      <c r="K713" s="120">
        <v>4</v>
      </c>
      <c r="L713" s="9"/>
      <c r="M713" s="7"/>
    </row>
    <row r="714" spans="1:13" hidden="1" x14ac:dyDescent="0.25">
      <c r="A714" s="4"/>
      <c r="B714" s="28" t="str">
        <f>IF(ISNUMBER(MATCH(C714, Mgt_Unit!$C$5:$C$1018, 0)), INDEX(Mgt_Unit!$B$5:$B$1018, MATCH(C714, Mgt_Unit!$C$5:$C$1018, 0)), "")</f>
        <v>jennifer.moore</v>
      </c>
      <c r="C714" t="s">
        <v>778</v>
      </c>
      <c r="D714" s="45"/>
      <c r="E714" s="9" t="s">
        <v>1583</v>
      </c>
      <c r="F714" s="89">
        <v>43439</v>
      </c>
      <c r="G714" s="9"/>
      <c r="H714" s="9"/>
      <c r="I714" s="9"/>
      <c r="J714" t="s">
        <v>1399</v>
      </c>
      <c r="K714" s="120">
        <v>0.2</v>
      </c>
      <c r="L714" s="9"/>
      <c r="M714" s="7"/>
    </row>
    <row r="715" spans="1:13" hidden="1" x14ac:dyDescent="0.25">
      <c r="A715" s="4"/>
      <c r="B715" s="28" t="str">
        <f>IF(ISNUMBER(MATCH(C715, Mgt_Unit!$C$5:$C$1018, 0)), INDEX(Mgt_Unit!$B$5:$B$1018, MATCH(C715, Mgt_Unit!$C$5:$C$1018, 0)), "")</f>
        <v>jennifer.moore</v>
      </c>
      <c r="C715" t="s">
        <v>778</v>
      </c>
      <c r="D715" s="45"/>
      <c r="E715" s="9" t="s">
        <v>1583</v>
      </c>
      <c r="F715" s="89">
        <v>43511</v>
      </c>
      <c r="G715" s="9"/>
      <c r="H715" s="9"/>
      <c r="I715" s="9"/>
      <c r="J715" t="s">
        <v>1399</v>
      </c>
      <c r="K715" s="120">
        <v>0.2</v>
      </c>
      <c r="L715" s="9"/>
      <c r="M715" s="7"/>
    </row>
    <row r="716" spans="1:13" hidden="1" x14ac:dyDescent="0.25">
      <c r="A716" s="4"/>
      <c r="B716" s="28" t="str">
        <f>IF(ISNUMBER(MATCH(C716, Mgt_Unit!$C$5:$C$1018, 0)), INDEX(Mgt_Unit!$B$5:$B$1018, MATCH(C716, Mgt_Unit!$C$5:$C$1018, 0)), "")</f>
        <v>jennifer.moore</v>
      </c>
      <c r="C716" t="s">
        <v>778</v>
      </c>
      <c r="D716" s="45"/>
      <c r="E716" s="9" t="s">
        <v>1584</v>
      </c>
      <c r="F716" s="89">
        <v>43641</v>
      </c>
      <c r="G716" s="9"/>
      <c r="H716" s="9"/>
      <c r="I716" s="9"/>
      <c r="J716" t="s">
        <v>1398</v>
      </c>
      <c r="K716" s="120">
        <v>4</v>
      </c>
      <c r="L716" s="9"/>
      <c r="M716" s="7"/>
    </row>
    <row r="717" spans="1:13" hidden="1" x14ac:dyDescent="0.25">
      <c r="A717" s="4"/>
      <c r="B717" s="28" t="str">
        <f>IF(ISNUMBER(MATCH(C717, Mgt_Unit!$C$5:$C$1018, 0)), INDEX(Mgt_Unit!$B$5:$B$1018, MATCH(C717, Mgt_Unit!$C$5:$C$1018, 0)), "")</f>
        <v>jennifer.moore</v>
      </c>
      <c r="C717" t="s">
        <v>778</v>
      </c>
      <c r="D717" s="45"/>
      <c r="E717" s="9" t="s">
        <v>1585</v>
      </c>
      <c r="F717" s="89">
        <v>43774</v>
      </c>
      <c r="G717" s="9"/>
      <c r="H717" s="9"/>
      <c r="I717" s="9"/>
      <c r="J717" t="s">
        <v>1395</v>
      </c>
      <c r="K717" s="120">
        <v>7.8</v>
      </c>
      <c r="L717" s="9"/>
      <c r="M717" s="7"/>
    </row>
    <row r="718" spans="1:13" hidden="1" x14ac:dyDescent="0.25">
      <c r="A718" s="4"/>
      <c r="B718" s="28" t="str">
        <f>IF(ISNUMBER(MATCH(C718, Mgt_Unit!$C$5:$C$1018, 0)), INDEX(Mgt_Unit!$B$5:$B$1018, MATCH(C718, Mgt_Unit!$C$5:$C$1018, 0)), "")</f>
        <v>jennifer.moore</v>
      </c>
      <c r="C718" t="s">
        <v>778</v>
      </c>
      <c r="D718" s="45"/>
      <c r="E718" s="9" t="s">
        <v>1583</v>
      </c>
      <c r="F718" s="89">
        <v>43804</v>
      </c>
      <c r="G718" s="9"/>
      <c r="H718" s="9"/>
      <c r="I718" s="9"/>
      <c r="J718" t="s">
        <v>1399</v>
      </c>
      <c r="K718" s="120">
        <v>0.2</v>
      </c>
      <c r="L718" s="9"/>
      <c r="M718" s="7"/>
    </row>
    <row r="719" spans="1:13" hidden="1" x14ac:dyDescent="0.25">
      <c r="A719" s="4"/>
      <c r="B719" s="28" t="str">
        <f>IF(ISNUMBER(MATCH(C719, Mgt_Unit!$C$5:$C$1018, 0)), INDEX(Mgt_Unit!$B$5:$B$1018, MATCH(C719, Mgt_Unit!$C$5:$C$1018, 0)), "")</f>
        <v>jennifer.moore</v>
      </c>
      <c r="C719" t="s">
        <v>779</v>
      </c>
      <c r="D719" s="45"/>
      <c r="E719" s="9" t="s">
        <v>1583</v>
      </c>
      <c r="F719" s="89">
        <v>43595</v>
      </c>
      <c r="G719" s="9"/>
      <c r="H719" s="9"/>
      <c r="I719" s="9"/>
      <c r="J719" t="s">
        <v>1400</v>
      </c>
      <c r="K719" s="120">
        <v>4.9000000000000004</v>
      </c>
      <c r="L719" s="9"/>
      <c r="M719" s="7"/>
    </row>
    <row r="720" spans="1:13" hidden="1" x14ac:dyDescent="0.25">
      <c r="A720" s="4"/>
      <c r="B720" s="28" t="str">
        <f>IF(ISNUMBER(MATCH(C720, Mgt_Unit!$C$5:$C$1018, 0)), INDEX(Mgt_Unit!$B$5:$B$1018, MATCH(C720, Mgt_Unit!$C$5:$C$1018, 0)), "")</f>
        <v>jennifer.moore</v>
      </c>
      <c r="C720" t="s">
        <v>779</v>
      </c>
      <c r="D720" s="45"/>
      <c r="E720" s="9" t="s">
        <v>1584</v>
      </c>
      <c r="F720" s="89">
        <v>43600</v>
      </c>
      <c r="G720" s="9"/>
      <c r="H720" s="9"/>
      <c r="I720" s="9"/>
      <c r="J720" t="s">
        <v>1401</v>
      </c>
      <c r="K720" s="120">
        <v>4.9000000000000004</v>
      </c>
      <c r="L720" s="9"/>
      <c r="M720" s="7"/>
    </row>
    <row r="721" spans="1:13" hidden="1" x14ac:dyDescent="0.25">
      <c r="A721" s="4"/>
      <c r="B721" s="28" t="str">
        <f>IF(ISNUMBER(MATCH(C721, Mgt_Unit!$C$5:$C$1018, 0)), INDEX(Mgt_Unit!$B$5:$B$1018, MATCH(C721, Mgt_Unit!$C$5:$C$1018, 0)), "")</f>
        <v>jennifer.moore</v>
      </c>
      <c r="C721" t="s">
        <v>780</v>
      </c>
      <c r="D721" s="45"/>
      <c r="E721" s="9" t="s">
        <v>1583</v>
      </c>
      <c r="F721" s="89">
        <v>43595</v>
      </c>
      <c r="G721" s="9"/>
      <c r="H721" s="9"/>
      <c r="I721" s="9"/>
      <c r="J721" t="s">
        <v>1400</v>
      </c>
      <c r="K721" s="120">
        <v>4.9000000000000004</v>
      </c>
      <c r="L721" s="9"/>
      <c r="M721" s="7"/>
    </row>
    <row r="722" spans="1:13" hidden="1" x14ac:dyDescent="0.25">
      <c r="A722" s="4"/>
      <c r="B722" s="28" t="str">
        <f>IF(ISNUMBER(MATCH(C722, Mgt_Unit!$C$5:$C$1018, 0)), INDEX(Mgt_Unit!$B$5:$B$1018, MATCH(C722, Mgt_Unit!$C$5:$C$1018, 0)), "")</f>
        <v>jennifer.moore</v>
      </c>
      <c r="C722" t="s">
        <v>780</v>
      </c>
      <c r="D722" s="45"/>
      <c r="E722" s="9" t="s">
        <v>1584</v>
      </c>
      <c r="F722" s="89">
        <v>43600</v>
      </c>
      <c r="G722" s="9"/>
      <c r="H722" s="9"/>
      <c r="I722" s="9"/>
      <c r="J722" t="s">
        <v>1401</v>
      </c>
      <c r="K722" s="120">
        <v>4.9000000000000004</v>
      </c>
      <c r="L722" s="9"/>
      <c r="M722" s="7"/>
    </row>
    <row r="723" spans="1:13" hidden="1" x14ac:dyDescent="0.25">
      <c r="A723" s="4"/>
      <c r="B723" s="28" t="str">
        <f>IF(ISNUMBER(MATCH(C723, Mgt_Unit!$C$5:$C$1018, 0)), INDEX(Mgt_Unit!$B$5:$B$1018, MATCH(C723, Mgt_Unit!$C$5:$C$1018, 0)), "")</f>
        <v>jennifer.moore</v>
      </c>
      <c r="C723" t="s">
        <v>781</v>
      </c>
      <c r="D723" s="45"/>
      <c r="E723" s="9" t="s">
        <v>1583</v>
      </c>
      <c r="F723" s="89">
        <v>43595</v>
      </c>
      <c r="G723" s="9"/>
      <c r="H723" s="9"/>
      <c r="I723" s="9"/>
      <c r="J723" t="s">
        <v>1400</v>
      </c>
      <c r="K723" s="120">
        <v>4.9000000000000004</v>
      </c>
      <c r="L723" s="9"/>
      <c r="M723" s="7"/>
    </row>
    <row r="724" spans="1:13" hidden="1" x14ac:dyDescent="0.25">
      <c r="A724" s="4"/>
      <c r="B724" s="28" t="str">
        <f>IF(ISNUMBER(MATCH(C724, Mgt_Unit!$C$5:$C$1018, 0)), INDEX(Mgt_Unit!$B$5:$B$1018, MATCH(C724, Mgt_Unit!$C$5:$C$1018, 0)), "")</f>
        <v>jennifer.moore</v>
      </c>
      <c r="C724" t="s">
        <v>781</v>
      </c>
      <c r="D724" s="45"/>
      <c r="E724" s="9" t="s">
        <v>1584</v>
      </c>
      <c r="F724" s="89">
        <v>43600</v>
      </c>
      <c r="G724" s="9"/>
      <c r="H724" s="9"/>
      <c r="I724" s="9"/>
      <c r="J724" t="s">
        <v>1401</v>
      </c>
      <c r="K724" s="120">
        <v>4.9000000000000004</v>
      </c>
      <c r="L724" s="9"/>
      <c r="M724" s="7"/>
    </row>
    <row r="725" spans="1:13" hidden="1" x14ac:dyDescent="0.25">
      <c r="A725" s="4"/>
      <c r="B725" s="28" t="str">
        <f>IF(ISNUMBER(MATCH(C725, Mgt_Unit!$C$5:$C$1018, 0)), INDEX(Mgt_Unit!$B$5:$B$1018, MATCH(C725, Mgt_Unit!$C$5:$C$1018, 0)), "")</f>
        <v>jennifer.moore</v>
      </c>
      <c r="C725" t="s">
        <v>781</v>
      </c>
      <c r="D725" s="45"/>
      <c r="E725" s="9" t="s">
        <v>1585</v>
      </c>
      <c r="F725" s="89">
        <v>43784</v>
      </c>
      <c r="G725" s="9"/>
      <c r="H725" s="9"/>
      <c r="I725" s="9"/>
      <c r="J725" t="s">
        <v>1398</v>
      </c>
      <c r="K725" s="120">
        <v>4</v>
      </c>
      <c r="L725" s="9"/>
      <c r="M725" s="7"/>
    </row>
    <row r="726" spans="1:13" hidden="1" x14ac:dyDescent="0.25">
      <c r="A726" s="4"/>
      <c r="B726" s="28" t="str">
        <f>IF(ISNUMBER(MATCH(C726, Mgt_Unit!$C$5:$C$1018, 0)), INDEX(Mgt_Unit!$B$5:$B$1018, MATCH(C726, Mgt_Unit!$C$5:$C$1018, 0)), "")</f>
        <v>jennifer.moore</v>
      </c>
      <c r="C726" t="s">
        <v>782</v>
      </c>
      <c r="D726" s="45"/>
      <c r="E726" s="9" t="s">
        <v>1583</v>
      </c>
      <c r="F726" s="89">
        <v>43595</v>
      </c>
      <c r="G726" s="9"/>
      <c r="H726" s="9"/>
      <c r="I726" s="9"/>
      <c r="J726" t="s">
        <v>1400</v>
      </c>
      <c r="K726" s="120">
        <v>4.9000000000000004</v>
      </c>
      <c r="L726" s="9"/>
      <c r="M726" s="7"/>
    </row>
    <row r="727" spans="1:13" hidden="1" x14ac:dyDescent="0.25">
      <c r="A727" s="4"/>
      <c r="B727" s="28" t="str">
        <f>IF(ISNUMBER(MATCH(C727, Mgt_Unit!$C$5:$C$1018, 0)), INDEX(Mgt_Unit!$B$5:$B$1018, MATCH(C727, Mgt_Unit!$C$5:$C$1018, 0)), "")</f>
        <v>jennifer.moore</v>
      </c>
      <c r="C727" t="s">
        <v>782</v>
      </c>
      <c r="D727" s="45"/>
      <c r="E727" s="9" t="s">
        <v>1584</v>
      </c>
      <c r="F727" s="89">
        <v>43600</v>
      </c>
      <c r="G727" s="9"/>
      <c r="H727" s="9"/>
      <c r="I727" s="9"/>
      <c r="J727" t="s">
        <v>1401</v>
      </c>
      <c r="K727" s="120">
        <v>4.9000000000000004</v>
      </c>
      <c r="L727" s="9"/>
      <c r="M727" s="7"/>
    </row>
    <row r="728" spans="1:13" hidden="1" x14ac:dyDescent="0.25">
      <c r="A728" s="4"/>
      <c r="B728" s="28" t="str">
        <f>IF(ISNUMBER(MATCH(C728, Mgt_Unit!$C$5:$C$1018, 0)), INDEX(Mgt_Unit!$B$5:$B$1018, MATCH(C728, Mgt_Unit!$C$5:$C$1018, 0)), "")</f>
        <v>jennifer.moore</v>
      </c>
      <c r="C728" t="s">
        <v>782</v>
      </c>
      <c r="D728" s="45"/>
      <c r="E728" s="9" t="s">
        <v>1585</v>
      </c>
      <c r="F728" s="89">
        <v>43784</v>
      </c>
      <c r="G728" s="9"/>
      <c r="H728" s="9"/>
      <c r="I728" s="9"/>
      <c r="J728" t="s">
        <v>1398</v>
      </c>
      <c r="K728" s="120">
        <v>4</v>
      </c>
      <c r="L728" s="9"/>
      <c r="M728" s="7"/>
    </row>
    <row r="729" spans="1:13" hidden="1" x14ac:dyDescent="0.25">
      <c r="A729" s="4"/>
      <c r="B729" s="28" t="str">
        <f>IF(ISNUMBER(MATCH(C729, Mgt_Unit!$C$5:$C$1018, 0)), INDEX(Mgt_Unit!$B$5:$B$1018, MATCH(C729, Mgt_Unit!$C$5:$C$1018, 0)), "")</f>
        <v>jennifer.moore</v>
      </c>
      <c r="C729" t="s">
        <v>783</v>
      </c>
      <c r="D729" s="45"/>
      <c r="E729" s="9" t="s">
        <v>1583</v>
      </c>
      <c r="F729" s="89">
        <v>43595</v>
      </c>
      <c r="G729" s="9"/>
      <c r="H729" s="9"/>
      <c r="I729" s="9"/>
      <c r="J729" t="s">
        <v>1400</v>
      </c>
      <c r="K729" s="120">
        <v>4.9000000000000004</v>
      </c>
      <c r="L729" s="9"/>
      <c r="M729" s="7"/>
    </row>
    <row r="730" spans="1:13" hidden="1" x14ac:dyDescent="0.25">
      <c r="A730" s="4"/>
      <c r="B730" s="28" t="str">
        <f>IF(ISNUMBER(MATCH(C730, Mgt_Unit!$C$5:$C$1018, 0)), INDEX(Mgt_Unit!$B$5:$B$1018, MATCH(C730, Mgt_Unit!$C$5:$C$1018, 0)), "")</f>
        <v>jennifer.moore</v>
      </c>
      <c r="C730" t="s">
        <v>783</v>
      </c>
      <c r="D730" s="45"/>
      <c r="E730" s="9" t="s">
        <v>1584</v>
      </c>
      <c r="F730" s="89">
        <v>43600</v>
      </c>
      <c r="G730" s="9"/>
      <c r="H730" s="9"/>
      <c r="I730" s="9"/>
      <c r="J730" t="s">
        <v>1401</v>
      </c>
      <c r="K730" s="120">
        <v>4.9000000000000004</v>
      </c>
      <c r="L730" s="9"/>
      <c r="M730" s="7"/>
    </row>
    <row r="731" spans="1:13" hidden="1" x14ac:dyDescent="0.25">
      <c r="A731" s="4"/>
      <c r="B731" s="28" t="str">
        <f>IF(ISNUMBER(MATCH(C731, Mgt_Unit!$C$5:$C$1018, 0)), INDEX(Mgt_Unit!$B$5:$B$1018, MATCH(C731, Mgt_Unit!$C$5:$C$1018, 0)), "")</f>
        <v>jennifer.moore</v>
      </c>
      <c r="C731" t="s">
        <v>783</v>
      </c>
      <c r="D731" s="45"/>
      <c r="E731" s="9" t="s">
        <v>1585</v>
      </c>
      <c r="F731" s="89">
        <v>43784</v>
      </c>
      <c r="G731" s="9"/>
      <c r="H731" s="9"/>
      <c r="I731" s="9"/>
      <c r="J731" t="s">
        <v>1398</v>
      </c>
      <c r="K731" s="120">
        <v>4</v>
      </c>
      <c r="L731" s="9"/>
      <c r="M731" s="7"/>
    </row>
    <row r="732" spans="1:13" hidden="1" x14ac:dyDescent="0.25">
      <c r="A732" s="4"/>
      <c r="B732" s="28" t="str">
        <f>IF(ISNUMBER(MATCH(C732, Mgt_Unit!$C$5:$C$1018, 0)), INDEX(Mgt_Unit!$B$5:$B$1018, MATCH(C732, Mgt_Unit!$C$5:$C$1018, 0)), "")</f>
        <v>jennifer.moore</v>
      </c>
      <c r="C732" t="s">
        <v>784</v>
      </c>
      <c r="D732" s="45"/>
      <c r="E732" s="9" t="s">
        <v>1583</v>
      </c>
      <c r="F732" s="89">
        <v>43222</v>
      </c>
      <c r="G732" s="9"/>
      <c r="H732" s="9"/>
      <c r="I732" s="9"/>
      <c r="J732" t="s">
        <v>1400</v>
      </c>
      <c r="K732" s="120">
        <v>4.9000000000000004</v>
      </c>
      <c r="L732" s="9"/>
      <c r="M732" s="7"/>
    </row>
    <row r="733" spans="1:13" hidden="1" x14ac:dyDescent="0.25">
      <c r="A733" s="4"/>
      <c r="B733" s="28" t="str">
        <f>IF(ISNUMBER(MATCH(C733, Mgt_Unit!$C$5:$C$1018, 0)), INDEX(Mgt_Unit!$B$5:$B$1018, MATCH(C733, Mgt_Unit!$C$5:$C$1018, 0)), "")</f>
        <v>jennifer.moore</v>
      </c>
      <c r="C733" t="s">
        <v>784</v>
      </c>
      <c r="D733" s="45"/>
      <c r="E733" s="9" t="s">
        <v>1584</v>
      </c>
      <c r="F733" s="89">
        <v>43226</v>
      </c>
      <c r="G733" s="9"/>
      <c r="H733" s="9"/>
      <c r="I733" s="9"/>
      <c r="J733" t="s">
        <v>1401</v>
      </c>
      <c r="K733" s="120">
        <v>4.9000000000000004</v>
      </c>
      <c r="L733" s="9"/>
      <c r="M733" s="7"/>
    </row>
    <row r="734" spans="1:13" hidden="1" x14ac:dyDescent="0.25">
      <c r="A734" s="4"/>
      <c r="B734" s="28" t="str">
        <f>IF(ISNUMBER(MATCH(C734, Mgt_Unit!$C$5:$C$1018, 0)), INDEX(Mgt_Unit!$B$5:$B$1018, MATCH(C734, Mgt_Unit!$C$5:$C$1018, 0)), "")</f>
        <v>jennifer.moore</v>
      </c>
      <c r="C734" t="s">
        <v>784</v>
      </c>
      <c r="D734" s="45"/>
      <c r="E734" s="9" t="s">
        <v>1585</v>
      </c>
      <c r="F734" s="89">
        <v>43419</v>
      </c>
      <c r="G734" s="9"/>
      <c r="H734" s="9"/>
      <c r="I734" s="9"/>
      <c r="J734" t="s">
        <v>1398</v>
      </c>
      <c r="K734" s="120">
        <v>4</v>
      </c>
      <c r="L734" s="9"/>
      <c r="M734" s="7"/>
    </row>
    <row r="735" spans="1:13" hidden="1" x14ac:dyDescent="0.25">
      <c r="A735" s="4"/>
      <c r="B735" s="28" t="str">
        <f>IF(ISNUMBER(MATCH(C735, Mgt_Unit!$C$5:$C$1018, 0)), INDEX(Mgt_Unit!$B$5:$B$1018, MATCH(C735, Mgt_Unit!$C$5:$C$1018, 0)), "")</f>
        <v>jennifer.moore</v>
      </c>
      <c r="C735" t="s">
        <v>784</v>
      </c>
      <c r="D735" s="45"/>
      <c r="E735" s="9" t="s">
        <v>1583</v>
      </c>
      <c r="F735" s="89">
        <v>43587</v>
      </c>
      <c r="G735" s="9"/>
      <c r="H735" s="9"/>
      <c r="I735" s="9"/>
      <c r="J735" t="s">
        <v>1400</v>
      </c>
      <c r="K735" s="120">
        <v>4.9000000000000004</v>
      </c>
      <c r="L735" s="9"/>
      <c r="M735" s="7"/>
    </row>
    <row r="736" spans="1:13" hidden="1" x14ac:dyDescent="0.25">
      <c r="A736" s="4"/>
      <c r="B736" s="28" t="str">
        <f>IF(ISNUMBER(MATCH(C736, Mgt_Unit!$C$5:$C$1018, 0)), INDEX(Mgt_Unit!$B$5:$B$1018, MATCH(C736, Mgt_Unit!$C$5:$C$1018, 0)), "")</f>
        <v>jennifer.moore</v>
      </c>
      <c r="C736" t="s">
        <v>784</v>
      </c>
      <c r="D736" s="45"/>
      <c r="E736" s="9" t="s">
        <v>1584</v>
      </c>
      <c r="F736" s="89">
        <v>43588</v>
      </c>
      <c r="G736" s="9"/>
      <c r="H736" s="9"/>
      <c r="I736" s="9"/>
      <c r="J736" t="s">
        <v>1401</v>
      </c>
      <c r="K736" s="120">
        <v>4.9000000000000004</v>
      </c>
      <c r="L736" s="9"/>
      <c r="M736" s="7"/>
    </row>
    <row r="737" spans="1:13" hidden="1" x14ac:dyDescent="0.25">
      <c r="A737" s="4"/>
      <c r="B737" s="28" t="str">
        <f>IF(ISNUMBER(MATCH(C737, Mgt_Unit!$C$5:$C$1018, 0)), INDEX(Mgt_Unit!$B$5:$B$1018, MATCH(C737, Mgt_Unit!$C$5:$C$1018, 0)), "")</f>
        <v>jennifer.moore</v>
      </c>
      <c r="C737" t="s">
        <v>784</v>
      </c>
      <c r="D737" s="45"/>
      <c r="E737" s="9" t="s">
        <v>1585</v>
      </c>
      <c r="F737" s="89">
        <v>43784</v>
      </c>
      <c r="G737" s="9"/>
      <c r="H737" s="9"/>
      <c r="I737" s="9"/>
      <c r="J737" t="s">
        <v>1398</v>
      </c>
      <c r="K737" s="120">
        <v>4</v>
      </c>
      <c r="L737" s="9"/>
      <c r="M737" s="7"/>
    </row>
    <row r="738" spans="1:13" hidden="1" x14ac:dyDescent="0.25">
      <c r="A738" s="4"/>
      <c r="B738" s="28" t="str">
        <f>IF(ISNUMBER(MATCH(C738, Mgt_Unit!$C$5:$C$1018, 0)), INDEX(Mgt_Unit!$B$5:$B$1018, MATCH(C738, Mgt_Unit!$C$5:$C$1018, 0)), "")</f>
        <v>jennifer.moore</v>
      </c>
      <c r="C738" t="s">
        <v>785</v>
      </c>
      <c r="D738" s="45"/>
      <c r="E738" s="9" t="s">
        <v>1583</v>
      </c>
      <c r="F738" s="89">
        <v>43222</v>
      </c>
      <c r="G738" s="9"/>
      <c r="H738" s="9"/>
      <c r="I738" s="9"/>
      <c r="J738" t="s">
        <v>1400</v>
      </c>
      <c r="K738" s="120">
        <v>4.9000000000000004</v>
      </c>
      <c r="L738" s="9"/>
      <c r="M738" s="7"/>
    </row>
    <row r="739" spans="1:13" hidden="1" x14ac:dyDescent="0.25">
      <c r="A739" s="4"/>
      <c r="B739" s="28" t="str">
        <f>IF(ISNUMBER(MATCH(C739, Mgt_Unit!$C$5:$C$1018, 0)), INDEX(Mgt_Unit!$B$5:$B$1018, MATCH(C739, Mgt_Unit!$C$5:$C$1018, 0)), "")</f>
        <v>jennifer.moore</v>
      </c>
      <c r="C739" t="s">
        <v>785</v>
      </c>
      <c r="D739" s="45"/>
      <c r="E739" s="9" t="s">
        <v>1584</v>
      </c>
      <c r="F739" s="89">
        <v>43226</v>
      </c>
      <c r="G739" s="9"/>
      <c r="H739" s="9"/>
      <c r="I739" s="9"/>
      <c r="J739" t="s">
        <v>1401</v>
      </c>
      <c r="K739" s="120">
        <v>4.9000000000000004</v>
      </c>
      <c r="L739" s="9"/>
      <c r="M739" s="7"/>
    </row>
    <row r="740" spans="1:13" hidden="1" x14ac:dyDescent="0.25">
      <c r="A740" s="4"/>
      <c r="B740" s="28" t="str">
        <f>IF(ISNUMBER(MATCH(C740, Mgt_Unit!$C$5:$C$1018, 0)), INDEX(Mgt_Unit!$B$5:$B$1018, MATCH(C740, Mgt_Unit!$C$5:$C$1018, 0)), "")</f>
        <v>jennifer.moore</v>
      </c>
      <c r="C740" t="s">
        <v>785</v>
      </c>
      <c r="D740" s="45"/>
      <c r="E740" s="9" t="s">
        <v>1585</v>
      </c>
      <c r="F740" s="89">
        <v>43419</v>
      </c>
      <c r="G740" s="9"/>
      <c r="H740" s="9"/>
      <c r="I740" s="9"/>
      <c r="J740" t="s">
        <v>1398</v>
      </c>
      <c r="K740" s="120">
        <v>4</v>
      </c>
      <c r="L740" s="9"/>
      <c r="M740" s="7"/>
    </row>
    <row r="741" spans="1:13" hidden="1" x14ac:dyDescent="0.25">
      <c r="A741" s="4"/>
      <c r="B741" s="28" t="str">
        <f>IF(ISNUMBER(MATCH(C741, Mgt_Unit!$C$5:$C$1018, 0)), INDEX(Mgt_Unit!$B$5:$B$1018, MATCH(C741, Mgt_Unit!$C$5:$C$1018, 0)), "")</f>
        <v>jennifer.moore</v>
      </c>
      <c r="C741" t="s">
        <v>785</v>
      </c>
      <c r="D741" s="45"/>
      <c r="E741" s="9" t="s">
        <v>1583</v>
      </c>
      <c r="F741" s="89">
        <v>43587</v>
      </c>
      <c r="G741" s="9"/>
      <c r="H741" s="9"/>
      <c r="I741" s="9"/>
      <c r="J741" t="s">
        <v>1400</v>
      </c>
      <c r="K741" s="120">
        <v>4.9000000000000004</v>
      </c>
      <c r="L741" s="9"/>
      <c r="M741" s="7"/>
    </row>
    <row r="742" spans="1:13" hidden="1" x14ac:dyDescent="0.25">
      <c r="A742" s="4"/>
      <c r="B742" s="28" t="str">
        <f>IF(ISNUMBER(MATCH(C742, Mgt_Unit!$C$5:$C$1018, 0)), INDEX(Mgt_Unit!$B$5:$B$1018, MATCH(C742, Mgt_Unit!$C$5:$C$1018, 0)), "")</f>
        <v>jennifer.moore</v>
      </c>
      <c r="C742" t="s">
        <v>785</v>
      </c>
      <c r="D742" s="45"/>
      <c r="E742" s="9" t="s">
        <v>1584</v>
      </c>
      <c r="F742" s="89">
        <v>43588</v>
      </c>
      <c r="G742" s="9"/>
      <c r="H742" s="9"/>
      <c r="I742" s="9"/>
      <c r="J742" t="s">
        <v>1401</v>
      </c>
      <c r="K742" s="120">
        <v>4.9000000000000004</v>
      </c>
      <c r="L742" s="9"/>
      <c r="M742" s="7"/>
    </row>
    <row r="743" spans="1:13" hidden="1" x14ac:dyDescent="0.25">
      <c r="A743" s="4"/>
      <c r="B743" s="28" t="str">
        <f>IF(ISNUMBER(MATCH(C743, Mgt_Unit!$C$5:$C$1018, 0)), INDEX(Mgt_Unit!$B$5:$B$1018, MATCH(C743, Mgt_Unit!$C$5:$C$1018, 0)), "")</f>
        <v>jennifer.moore</v>
      </c>
      <c r="C743" t="s">
        <v>785</v>
      </c>
      <c r="D743" s="45"/>
      <c r="E743" s="9" t="s">
        <v>1585</v>
      </c>
      <c r="F743" s="89">
        <v>43784</v>
      </c>
      <c r="G743" s="9"/>
      <c r="H743" s="9"/>
      <c r="I743" s="9"/>
      <c r="J743" t="s">
        <v>1398</v>
      </c>
      <c r="K743" s="120">
        <v>4</v>
      </c>
      <c r="L743" s="9"/>
      <c r="M743" s="7"/>
    </row>
    <row r="744" spans="1:13" hidden="1" x14ac:dyDescent="0.25">
      <c r="A744" s="4"/>
      <c r="B744" s="28" t="str">
        <f>IF(ISNUMBER(MATCH(C744, Mgt_Unit!$C$5:$C$1018, 0)), INDEX(Mgt_Unit!$B$5:$B$1018, MATCH(C744, Mgt_Unit!$C$5:$C$1018, 0)), "")</f>
        <v>jennifer.moore</v>
      </c>
      <c r="C744" t="s">
        <v>786</v>
      </c>
      <c r="D744" s="45"/>
      <c r="E744" s="9" t="s">
        <v>1583</v>
      </c>
      <c r="F744" s="89">
        <v>43205</v>
      </c>
      <c r="G744" s="9"/>
      <c r="H744" s="9"/>
      <c r="I744" s="9"/>
      <c r="J744" t="s">
        <v>1400</v>
      </c>
      <c r="K744" s="120">
        <v>4.9000000000000004</v>
      </c>
      <c r="L744" s="9"/>
      <c r="M744" s="7"/>
    </row>
    <row r="745" spans="1:13" hidden="1" x14ac:dyDescent="0.25">
      <c r="A745" s="4"/>
      <c r="B745" s="28" t="str">
        <f>IF(ISNUMBER(MATCH(C745, Mgt_Unit!$C$5:$C$1018, 0)), INDEX(Mgt_Unit!$B$5:$B$1018, MATCH(C745, Mgt_Unit!$C$5:$C$1018, 0)), "")</f>
        <v>jennifer.moore</v>
      </c>
      <c r="C745" t="s">
        <v>786</v>
      </c>
      <c r="D745" s="45"/>
      <c r="E745" s="9" t="s">
        <v>1584</v>
      </c>
      <c r="F745" s="89">
        <v>43209</v>
      </c>
      <c r="G745" s="9"/>
      <c r="H745" s="9"/>
      <c r="I745" s="9"/>
      <c r="J745" t="s">
        <v>1401</v>
      </c>
      <c r="K745" s="120">
        <v>4.9000000000000004</v>
      </c>
      <c r="L745" s="9"/>
      <c r="M745" s="7"/>
    </row>
    <row r="746" spans="1:13" hidden="1" x14ac:dyDescent="0.25">
      <c r="A746" s="4"/>
      <c r="B746" s="28" t="str">
        <f>IF(ISNUMBER(MATCH(C746, Mgt_Unit!$C$5:$C$1018, 0)), INDEX(Mgt_Unit!$B$5:$B$1018, MATCH(C746, Mgt_Unit!$C$5:$C$1018, 0)), "")</f>
        <v>jennifer.moore</v>
      </c>
      <c r="C746" t="s">
        <v>786</v>
      </c>
      <c r="D746" s="45"/>
      <c r="E746" s="9" t="s">
        <v>1585</v>
      </c>
      <c r="F746" s="89">
        <v>43419</v>
      </c>
      <c r="G746" s="9"/>
      <c r="H746" s="9"/>
      <c r="I746" s="9"/>
      <c r="J746" t="s">
        <v>1398</v>
      </c>
      <c r="K746" s="120">
        <v>4</v>
      </c>
      <c r="L746" s="9"/>
      <c r="M746" s="7"/>
    </row>
    <row r="747" spans="1:13" hidden="1" x14ac:dyDescent="0.25">
      <c r="A747" s="4"/>
      <c r="B747" s="28" t="str">
        <f>IF(ISNUMBER(MATCH(C747, Mgt_Unit!$C$5:$C$1018, 0)), INDEX(Mgt_Unit!$B$5:$B$1018, MATCH(C747, Mgt_Unit!$C$5:$C$1018, 0)), "")</f>
        <v>jennifer.moore</v>
      </c>
      <c r="C747" t="s">
        <v>786</v>
      </c>
      <c r="D747" s="45"/>
      <c r="E747" s="9" t="s">
        <v>1583</v>
      </c>
      <c r="F747" s="89">
        <v>43595</v>
      </c>
      <c r="G747" s="9"/>
      <c r="H747" s="9"/>
      <c r="I747" s="9"/>
      <c r="J747" t="s">
        <v>1400</v>
      </c>
      <c r="K747" s="120">
        <v>4.9000000000000004</v>
      </c>
      <c r="L747" s="9"/>
      <c r="M747" s="7"/>
    </row>
    <row r="748" spans="1:13" hidden="1" x14ac:dyDescent="0.25">
      <c r="A748" s="4"/>
      <c r="B748" s="28" t="str">
        <f>IF(ISNUMBER(MATCH(C748, Mgt_Unit!$C$5:$C$1018, 0)), INDEX(Mgt_Unit!$B$5:$B$1018, MATCH(C748, Mgt_Unit!$C$5:$C$1018, 0)), "")</f>
        <v>jennifer.moore</v>
      </c>
      <c r="C748" t="s">
        <v>786</v>
      </c>
      <c r="D748" s="45"/>
      <c r="E748" s="9" t="s">
        <v>1584</v>
      </c>
      <c r="F748" s="89">
        <v>43600</v>
      </c>
      <c r="G748" s="9"/>
      <c r="H748" s="9"/>
      <c r="I748" s="9"/>
      <c r="J748" t="s">
        <v>1401</v>
      </c>
      <c r="K748" s="120">
        <v>4.9000000000000004</v>
      </c>
      <c r="L748" s="9"/>
      <c r="M748" s="7"/>
    </row>
    <row r="749" spans="1:13" hidden="1" x14ac:dyDescent="0.25">
      <c r="A749" s="4"/>
      <c r="B749" s="28" t="str">
        <f>IF(ISNUMBER(MATCH(C749, Mgt_Unit!$C$5:$C$1018, 0)), INDEX(Mgt_Unit!$B$5:$B$1018, MATCH(C749, Mgt_Unit!$C$5:$C$1018, 0)), "")</f>
        <v>jennifer.moore</v>
      </c>
      <c r="C749" t="s">
        <v>786</v>
      </c>
      <c r="D749" s="45"/>
      <c r="E749" s="9" t="s">
        <v>1585</v>
      </c>
      <c r="F749" s="89">
        <v>43784</v>
      </c>
      <c r="G749" s="9"/>
      <c r="H749" s="9"/>
      <c r="I749" s="9"/>
      <c r="J749" t="s">
        <v>1398</v>
      </c>
      <c r="K749" s="120">
        <v>4</v>
      </c>
      <c r="L749" s="9"/>
      <c r="M749" s="7"/>
    </row>
    <row r="750" spans="1:13" hidden="1" x14ac:dyDescent="0.25">
      <c r="A750" s="4"/>
      <c r="B750" s="28" t="str">
        <f>IF(ISNUMBER(MATCH(C750, Mgt_Unit!$C$5:$C$1018, 0)), INDEX(Mgt_Unit!$B$5:$B$1018, MATCH(C750, Mgt_Unit!$C$5:$C$1018, 0)), "")</f>
        <v>jennifer.moore</v>
      </c>
      <c r="C750" t="s">
        <v>787</v>
      </c>
      <c r="D750" s="45"/>
      <c r="E750" s="9" t="s">
        <v>1583</v>
      </c>
      <c r="F750" s="89">
        <v>43205</v>
      </c>
      <c r="G750" s="9"/>
      <c r="H750" s="9"/>
      <c r="I750" s="9"/>
      <c r="J750" t="s">
        <v>1400</v>
      </c>
      <c r="K750" s="120">
        <v>4.9000000000000004</v>
      </c>
      <c r="L750" s="9"/>
      <c r="M750" s="7"/>
    </row>
    <row r="751" spans="1:13" hidden="1" x14ac:dyDescent="0.25">
      <c r="A751" s="4"/>
      <c r="B751" s="28" t="str">
        <f>IF(ISNUMBER(MATCH(C751, Mgt_Unit!$C$5:$C$1018, 0)), INDEX(Mgt_Unit!$B$5:$B$1018, MATCH(C751, Mgt_Unit!$C$5:$C$1018, 0)), "")</f>
        <v>jennifer.moore</v>
      </c>
      <c r="C751" t="s">
        <v>787</v>
      </c>
      <c r="D751" s="45"/>
      <c r="E751" s="9" t="s">
        <v>1584</v>
      </c>
      <c r="F751" s="89">
        <v>43209</v>
      </c>
      <c r="G751" s="9"/>
      <c r="H751" s="9"/>
      <c r="I751" s="9"/>
      <c r="J751" t="s">
        <v>1401</v>
      </c>
      <c r="K751" s="120">
        <v>4.9000000000000004</v>
      </c>
      <c r="L751" s="9"/>
      <c r="M751" s="7"/>
    </row>
    <row r="752" spans="1:13" hidden="1" x14ac:dyDescent="0.25">
      <c r="A752" s="4"/>
      <c r="B752" s="28" t="str">
        <f>IF(ISNUMBER(MATCH(C752, Mgt_Unit!$C$5:$C$1018, 0)), INDEX(Mgt_Unit!$B$5:$B$1018, MATCH(C752, Mgt_Unit!$C$5:$C$1018, 0)), "")</f>
        <v>jennifer.moore</v>
      </c>
      <c r="C752" t="s">
        <v>787</v>
      </c>
      <c r="D752" s="45"/>
      <c r="E752" s="9" t="s">
        <v>1585</v>
      </c>
      <c r="F752" s="89">
        <v>43419</v>
      </c>
      <c r="G752" s="9"/>
      <c r="H752" s="9"/>
      <c r="I752" s="9"/>
      <c r="J752" t="s">
        <v>1398</v>
      </c>
      <c r="K752" s="120">
        <v>4</v>
      </c>
      <c r="L752" s="9"/>
      <c r="M752" s="7"/>
    </row>
    <row r="753" spans="1:13" hidden="1" x14ac:dyDescent="0.25">
      <c r="A753" s="4"/>
      <c r="B753" s="28" t="str">
        <f>IF(ISNUMBER(MATCH(C753, Mgt_Unit!$C$5:$C$1018, 0)), INDEX(Mgt_Unit!$B$5:$B$1018, MATCH(C753, Mgt_Unit!$C$5:$C$1018, 0)), "")</f>
        <v>jennifer.moore</v>
      </c>
      <c r="C753" t="s">
        <v>787</v>
      </c>
      <c r="D753" s="45"/>
      <c r="E753" s="9" t="s">
        <v>1583</v>
      </c>
      <c r="F753" s="89">
        <v>43595</v>
      </c>
      <c r="G753" s="9"/>
      <c r="H753" s="9"/>
      <c r="I753" s="9"/>
      <c r="J753" t="s">
        <v>1400</v>
      </c>
      <c r="K753" s="120">
        <v>4.9000000000000004</v>
      </c>
      <c r="L753" s="9"/>
      <c r="M753" s="7"/>
    </row>
    <row r="754" spans="1:13" hidden="1" x14ac:dyDescent="0.25">
      <c r="A754" s="4"/>
      <c r="B754" s="28" t="str">
        <f>IF(ISNUMBER(MATCH(C754, Mgt_Unit!$C$5:$C$1018, 0)), INDEX(Mgt_Unit!$B$5:$B$1018, MATCH(C754, Mgt_Unit!$C$5:$C$1018, 0)), "")</f>
        <v>jennifer.moore</v>
      </c>
      <c r="C754" t="s">
        <v>787</v>
      </c>
      <c r="D754" s="45"/>
      <c r="E754" s="9" t="s">
        <v>1584</v>
      </c>
      <c r="F754" s="89">
        <v>43600</v>
      </c>
      <c r="G754" s="9"/>
      <c r="H754" s="9"/>
      <c r="I754" s="9"/>
      <c r="J754" t="s">
        <v>1401</v>
      </c>
      <c r="K754" s="120">
        <v>4.9000000000000004</v>
      </c>
      <c r="L754" s="9"/>
      <c r="M754" s="7"/>
    </row>
    <row r="755" spans="1:13" hidden="1" x14ac:dyDescent="0.25">
      <c r="A755" s="4"/>
      <c r="B755" s="28" t="str">
        <f>IF(ISNUMBER(MATCH(C755, Mgt_Unit!$C$5:$C$1018, 0)), INDEX(Mgt_Unit!$B$5:$B$1018, MATCH(C755, Mgt_Unit!$C$5:$C$1018, 0)), "")</f>
        <v>jennifer.moore</v>
      </c>
      <c r="C755" t="s">
        <v>787</v>
      </c>
      <c r="D755" s="45"/>
      <c r="E755" s="9" t="s">
        <v>1585</v>
      </c>
      <c r="F755" s="89">
        <v>43784</v>
      </c>
      <c r="G755" s="9"/>
      <c r="H755" s="9"/>
      <c r="I755" s="9"/>
      <c r="J755" t="s">
        <v>1398</v>
      </c>
      <c r="K755" s="120">
        <v>4</v>
      </c>
      <c r="L755" s="9"/>
      <c r="M755" s="7"/>
    </row>
    <row r="756" spans="1:13" hidden="1" x14ac:dyDescent="0.25">
      <c r="A756" s="4"/>
      <c r="B756" s="28" t="str">
        <f>IF(ISNUMBER(MATCH(C756, Mgt_Unit!$C$5:$C$1018, 0)), INDEX(Mgt_Unit!$B$5:$B$1018, MATCH(C756, Mgt_Unit!$C$5:$C$1018, 0)), "")</f>
        <v>jennifer.moore</v>
      </c>
      <c r="C756" t="s">
        <v>788</v>
      </c>
      <c r="D756" s="45"/>
      <c r="E756" s="9" t="s">
        <v>1583</v>
      </c>
      <c r="F756" s="89">
        <v>42891</v>
      </c>
      <c r="G756" s="9"/>
      <c r="H756" s="9"/>
      <c r="I756" s="9"/>
      <c r="J756" t="s">
        <v>1400</v>
      </c>
      <c r="K756" s="120">
        <v>4.9000000000000004</v>
      </c>
      <c r="L756" s="9"/>
      <c r="M756" s="7"/>
    </row>
    <row r="757" spans="1:13" hidden="1" x14ac:dyDescent="0.25">
      <c r="A757" s="4"/>
      <c r="B757" s="28" t="str">
        <f>IF(ISNUMBER(MATCH(C757, Mgt_Unit!$C$5:$C$1018, 0)), INDEX(Mgt_Unit!$B$5:$B$1018, MATCH(C757, Mgt_Unit!$C$5:$C$1018, 0)), "")</f>
        <v>jennifer.moore</v>
      </c>
      <c r="C757" t="s">
        <v>788</v>
      </c>
      <c r="D757" s="45"/>
      <c r="E757" s="9" t="s">
        <v>1584</v>
      </c>
      <c r="F757" s="89">
        <v>42896</v>
      </c>
      <c r="G757" s="9"/>
      <c r="H757" s="9"/>
      <c r="I757" s="9"/>
      <c r="J757" t="s">
        <v>1401</v>
      </c>
      <c r="K757" s="120">
        <v>4.9000000000000004</v>
      </c>
      <c r="L757" s="9"/>
      <c r="M757" s="7"/>
    </row>
    <row r="758" spans="1:13" hidden="1" x14ac:dyDescent="0.25">
      <c r="A758" s="4"/>
      <c r="B758" s="28" t="str">
        <f>IF(ISNUMBER(MATCH(C758, Mgt_Unit!$C$5:$C$1018, 0)), INDEX(Mgt_Unit!$B$5:$B$1018, MATCH(C758, Mgt_Unit!$C$5:$C$1018, 0)), "")</f>
        <v>jennifer.moore</v>
      </c>
      <c r="C758" t="s">
        <v>788</v>
      </c>
      <c r="D758" s="45"/>
      <c r="E758" s="9" t="s">
        <v>1585</v>
      </c>
      <c r="F758" s="89">
        <v>43054</v>
      </c>
      <c r="G758" s="9"/>
      <c r="H758" s="9"/>
      <c r="I758" s="9"/>
      <c r="J758" t="s">
        <v>1398</v>
      </c>
      <c r="K758" s="120">
        <v>4</v>
      </c>
      <c r="L758" s="9"/>
      <c r="M758" s="7"/>
    </row>
    <row r="759" spans="1:13" hidden="1" x14ac:dyDescent="0.25">
      <c r="A759" s="4"/>
      <c r="B759" s="28" t="str">
        <f>IF(ISNUMBER(MATCH(C759, Mgt_Unit!$C$5:$C$1018, 0)), INDEX(Mgt_Unit!$B$5:$B$1018, MATCH(C759, Mgt_Unit!$C$5:$C$1018, 0)), "")</f>
        <v>jennifer.moore</v>
      </c>
      <c r="C759" t="s">
        <v>788</v>
      </c>
      <c r="D759" s="45"/>
      <c r="E759" s="9" t="s">
        <v>1583</v>
      </c>
      <c r="F759" s="89">
        <v>43222</v>
      </c>
      <c r="G759" s="9"/>
      <c r="H759" s="9"/>
      <c r="I759" s="9"/>
      <c r="J759" t="s">
        <v>1400</v>
      </c>
      <c r="K759" s="120">
        <v>4.9000000000000004</v>
      </c>
      <c r="L759" s="9"/>
      <c r="M759" s="7"/>
    </row>
    <row r="760" spans="1:13" hidden="1" x14ac:dyDescent="0.25">
      <c r="A760" s="4"/>
      <c r="B760" s="28" t="str">
        <f>IF(ISNUMBER(MATCH(C760, Mgt_Unit!$C$5:$C$1018, 0)), INDEX(Mgt_Unit!$B$5:$B$1018, MATCH(C760, Mgt_Unit!$C$5:$C$1018, 0)), "")</f>
        <v>jennifer.moore</v>
      </c>
      <c r="C760" t="s">
        <v>788</v>
      </c>
      <c r="D760" s="45"/>
      <c r="E760" s="9" t="s">
        <v>1584</v>
      </c>
      <c r="F760" s="89">
        <v>43226</v>
      </c>
      <c r="G760" s="9"/>
      <c r="H760" s="9"/>
      <c r="I760" s="9"/>
      <c r="J760" t="s">
        <v>1401</v>
      </c>
      <c r="K760" s="120">
        <v>4.9000000000000004</v>
      </c>
      <c r="L760" s="9"/>
      <c r="M760" s="7"/>
    </row>
    <row r="761" spans="1:13" hidden="1" x14ac:dyDescent="0.25">
      <c r="A761" s="4"/>
      <c r="B761" s="28" t="str">
        <f>IF(ISNUMBER(MATCH(C761, Mgt_Unit!$C$5:$C$1018, 0)), INDEX(Mgt_Unit!$B$5:$B$1018, MATCH(C761, Mgt_Unit!$C$5:$C$1018, 0)), "")</f>
        <v>jennifer.moore</v>
      </c>
      <c r="C761" t="s">
        <v>788</v>
      </c>
      <c r="D761" s="45"/>
      <c r="E761" s="9" t="s">
        <v>1585</v>
      </c>
      <c r="F761" s="89">
        <v>43419</v>
      </c>
      <c r="G761" s="9"/>
      <c r="H761" s="9"/>
      <c r="I761" s="9"/>
      <c r="J761" t="s">
        <v>1398</v>
      </c>
      <c r="K761" s="120">
        <v>4</v>
      </c>
      <c r="L761" s="9"/>
      <c r="M761" s="7"/>
    </row>
    <row r="762" spans="1:13" hidden="1" x14ac:dyDescent="0.25">
      <c r="A762" s="4"/>
      <c r="B762" s="28" t="str">
        <f>IF(ISNUMBER(MATCH(C762, Mgt_Unit!$C$5:$C$1018, 0)), INDEX(Mgt_Unit!$B$5:$B$1018, MATCH(C762, Mgt_Unit!$C$5:$C$1018, 0)), "")</f>
        <v>jennifer.moore</v>
      </c>
      <c r="C762" t="s">
        <v>788</v>
      </c>
      <c r="D762" s="45"/>
      <c r="E762" s="9" t="s">
        <v>1583</v>
      </c>
      <c r="F762" s="89">
        <v>43587</v>
      </c>
      <c r="G762" s="9"/>
      <c r="H762" s="9"/>
      <c r="I762" s="9"/>
      <c r="J762" t="s">
        <v>1400</v>
      </c>
      <c r="K762" s="120">
        <v>4.9000000000000004</v>
      </c>
      <c r="L762" s="9"/>
      <c r="M762" s="7"/>
    </row>
    <row r="763" spans="1:13" hidden="1" x14ac:dyDescent="0.25">
      <c r="A763" s="4"/>
      <c r="B763" s="28" t="str">
        <f>IF(ISNUMBER(MATCH(C763, Mgt_Unit!$C$5:$C$1018, 0)), INDEX(Mgt_Unit!$B$5:$B$1018, MATCH(C763, Mgt_Unit!$C$5:$C$1018, 0)), "")</f>
        <v>jennifer.moore</v>
      </c>
      <c r="C763" t="s">
        <v>788</v>
      </c>
      <c r="D763" s="45"/>
      <c r="E763" s="9" t="s">
        <v>1584</v>
      </c>
      <c r="F763" s="89">
        <v>43588</v>
      </c>
      <c r="G763" s="9"/>
      <c r="H763" s="9"/>
      <c r="I763" s="9"/>
      <c r="J763" t="s">
        <v>1401</v>
      </c>
      <c r="K763" s="120">
        <v>4.9000000000000004</v>
      </c>
      <c r="L763" s="9"/>
      <c r="M763" s="7"/>
    </row>
    <row r="764" spans="1:13" hidden="1" x14ac:dyDescent="0.25">
      <c r="A764" s="4"/>
      <c r="B764" s="28" t="str">
        <f>IF(ISNUMBER(MATCH(C764, Mgt_Unit!$C$5:$C$1018, 0)), INDEX(Mgt_Unit!$B$5:$B$1018, MATCH(C764, Mgt_Unit!$C$5:$C$1018, 0)), "")</f>
        <v>jennifer.moore</v>
      </c>
      <c r="C764" t="s">
        <v>788</v>
      </c>
      <c r="D764" s="45"/>
      <c r="E764" s="9" t="s">
        <v>1584</v>
      </c>
      <c r="F764" s="89">
        <v>43784</v>
      </c>
      <c r="G764" s="9"/>
      <c r="H764" s="9"/>
      <c r="I764" s="9"/>
      <c r="J764" t="s">
        <v>1398</v>
      </c>
      <c r="K764" s="120">
        <v>4</v>
      </c>
      <c r="L764" s="9"/>
      <c r="M764" s="7"/>
    </row>
    <row r="765" spans="1:13" hidden="1" x14ac:dyDescent="0.25">
      <c r="A765" s="4"/>
      <c r="B765" s="28" t="str">
        <f>IF(ISNUMBER(MATCH(C765, Mgt_Unit!$C$5:$C$1018, 0)), INDEX(Mgt_Unit!$B$5:$B$1018, MATCH(C765, Mgt_Unit!$C$5:$C$1018, 0)), "")</f>
        <v>jennifer.moore</v>
      </c>
      <c r="C765" t="s">
        <v>789</v>
      </c>
      <c r="D765" s="45"/>
      <c r="E765" s="9" t="s">
        <v>1583</v>
      </c>
      <c r="F765" s="89">
        <v>42840</v>
      </c>
      <c r="G765" s="9"/>
      <c r="H765" s="9"/>
      <c r="I765" s="9"/>
      <c r="J765" t="s">
        <v>1400</v>
      </c>
      <c r="K765" s="120">
        <v>4.9000000000000004</v>
      </c>
      <c r="L765" s="9"/>
      <c r="M765" s="7"/>
    </row>
    <row r="766" spans="1:13" hidden="1" x14ac:dyDescent="0.25">
      <c r="A766" s="4"/>
      <c r="B766" s="28" t="str">
        <f>IF(ISNUMBER(MATCH(C766, Mgt_Unit!$C$5:$C$1018, 0)), INDEX(Mgt_Unit!$B$5:$B$1018, MATCH(C766, Mgt_Unit!$C$5:$C$1018, 0)), "")</f>
        <v>jennifer.moore</v>
      </c>
      <c r="C766" t="s">
        <v>789</v>
      </c>
      <c r="D766" s="45"/>
      <c r="E766" s="9" t="s">
        <v>1584</v>
      </c>
      <c r="F766" s="89">
        <v>42844</v>
      </c>
      <c r="G766" s="9"/>
      <c r="H766" s="9"/>
      <c r="I766" s="9"/>
      <c r="J766" t="s">
        <v>1401</v>
      </c>
      <c r="K766" s="120">
        <v>4.9000000000000004</v>
      </c>
      <c r="L766" s="9"/>
      <c r="M766" s="7"/>
    </row>
    <row r="767" spans="1:13" hidden="1" x14ac:dyDescent="0.25">
      <c r="A767" s="4"/>
      <c r="B767" s="28" t="str">
        <f>IF(ISNUMBER(MATCH(C767, Mgt_Unit!$C$5:$C$1018, 0)), INDEX(Mgt_Unit!$B$5:$B$1018, MATCH(C767, Mgt_Unit!$C$5:$C$1018, 0)), "")</f>
        <v>jennifer.moore</v>
      </c>
      <c r="C767" t="s">
        <v>789</v>
      </c>
      <c r="D767" s="45"/>
      <c r="E767" s="9" t="s">
        <v>1584</v>
      </c>
      <c r="F767" s="89">
        <v>43054</v>
      </c>
      <c r="G767" s="9"/>
      <c r="H767" s="9"/>
      <c r="I767" s="9"/>
      <c r="J767" t="s">
        <v>1398</v>
      </c>
      <c r="K767" s="120">
        <v>4</v>
      </c>
      <c r="L767" s="9"/>
      <c r="M767" s="7"/>
    </row>
    <row r="768" spans="1:13" hidden="1" x14ac:dyDescent="0.25">
      <c r="A768" s="4"/>
      <c r="B768" s="28" t="str">
        <f>IF(ISNUMBER(MATCH(C768, Mgt_Unit!$C$5:$C$1018, 0)), INDEX(Mgt_Unit!$B$5:$B$1018, MATCH(C768, Mgt_Unit!$C$5:$C$1018, 0)), "")</f>
        <v>jennifer.moore</v>
      </c>
      <c r="C768" t="s">
        <v>789</v>
      </c>
      <c r="D768" s="45"/>
      <c r="E768" s="9" t="s">
        <v>1583</v>
      </c>
      <c r="F768" s="89">
        <v>43257</v>
      </c>
      <c r="G768" s="9"/>
      <c r="H768" s="9"/>
      <c r="I768" s="9"/>
      <c r="J768" t="s">
        <v>1400</v>
      </c>
      <c r="K768" s="120">
        <v>4.9000000000000004</v>
      </c>
      <c r="L768" s="9"/>
      <c r="M768" s="7"/>
    </row>
    <row r="769" spans="1:13" hidden="1" x14ac:dyDescent="0.25">
      <c r="A769" s="4"/>
      <c r="B769" s="28" t="str">
        <f>IF(ISNUMBER(MATCH(C769, Mgt_Unit!$C$5:$C$1018, 0)), INDEX(Mgt_Unit!$B$5:$B$1018, MATCH(C769, Mgt_Unit!$C$5:$C$1018, 0)), "")</f>
        <v>jennifer.moore</v>
      </c>
      <c r="C769" t="s">
        <v>789</v>
      </c>
      <c r="D769" s="45"/>
      <c r="E769" s="9" t="s">
        <v>1584</v>
      </c>
      <c r="F769" s="89">
        <v>43261</v>
      </c>
      <c r="G769" s="9"/>
      <c r="H769" s="9"/>
      <c r="I769" s="9"/>
      <c r="J769" t="s">
        <v>1401</v>
      </c>
      <c r="K769" s="120">
        <v>4.9000000000000004</v>
      </c>
      <c r="L769" s="9"/>
      <c r="M769" s="7"/>
    </row>
    <row r="770" spans="1:13" hidden="1" x14ac:dyDescent="0.25">
      <c r="A770" s="4"/>
      <c r="B770" s="28" t="str">
        <f>IF(ISNUMBER(MATCH(C770, Mgt_Unit!$C$5:$C$1018, 0)), INDEX(Mgt_Unit!$B$5:$B$1018, MATCH(C770, Mgt_Unit!$C$5:$C$1018, 0)), "")</f>
        <v>jennifer.moore</v>
      </c>
      <c r="C770" t="s">
        <v>789</v>
      </c>
      <c r="D770" s="45"/>
      <c r="E770" s="9" t="s">
        <v>1585</v>
      </c>
      <c r="F770" s="89">
        <v>43419</v>
      </c>
      <c r="G770" s="9"/>
      <c r="H770" s="9"/>
      <c r="I770" s="9"/>
      <c r="J770" t="s">
        <v>1398</v>
      </c>
      <c r="K770" s="120">
        <v>4</v>
      </c>
      <c r="L770" s="9"/>
      <c r="M770" s="7"/>
    </row>
    <row r="771" spans="1:13" hidden="1" x14ac:dyDescent="0.25">
      <c r="A771" s="4"/>
      <c r="B771" s="28" t="str">
        <f>IF(ISNUMBER(MATCH(C771, Mgt_Unit!$C$5:$C$1018, 0)), INDEX(Mgt_Unit!$B$5:$B$1018, MATCH(C771, Mgt_Unit!$C$5:$C$1018, 0)), "")</f>
        <v>jennifer.moore</v>
      </c>
      <c r="C771" t="s">
        <v>789</v>
      </c>
      <c r="D771" s="45"/>
      <c r="E771" s="9" t="s">
        <v>1583</v>
      </c>
      <c r="F771" s="89">
        <v>43595</v>
      </c>
      <c r="G771" s="9"/>
      <c r="H771" s="9"/>
      <c r="I771" s="9"/>
      <c r="J771" t="s">
        <v>1400</v>
      </c>
      <c r="K771" s="120">
        <v>4.9000000000000004</v>
      </c>
      <c r="L771" s="9"/>
      <c r="M771" s="7"/>
    </row>
    <row r="772" spans="1:13" hidden="1" x14ac:dyDescent="0.25">
      <c r="A772" s="4"/>
      <c r="B772" s="28" t="str">
        <f>IF(ISNUMBER(MATCH(C772, Mgt_Unit!$C$5:$C$1018, 0)), INDEX(Mgt_Unit!$B$5:$B$1018, MATCH(C772, Mgt_Unit!$C$5:$C$1018, 0)), "")</f>
        <v>jennifer.moore</v>
      </c>
      <c r="C772" t="s">
        <v>789</v>
      </c>
      <c r="D772" s="45"/>
      <c r="E772" s="9" t="s">
        <v>1584</v>
      </c>
      <c r="F772" s="89">
        <v>43600</v>
      </c>
      <c r="G772" s="9"/>
      <c r="H772" s="9"/>
      <c r="I772" s="9"/>
      <c r="J772" t="s">
        <v>1401</v>
      </c>
      <c r="K772" s="120">
        <v>4.9000000000000004</v>
      </c>
      <c r="L772" s="9"/>
      <c r="M772" s="7"/>
    </row>
    <row r="773" spans="1:13" hidden="1" x14ac:dyDescent="0.25">
      <c r="A773" s="4"/>
      <c r="B773" s="28" t="str">
        <f>IF(ISNUMBER(MATCH(C773, Mgt_Unit!$C$5:$C$1018, 0)), INDEX(Mgt_Unit!$B$5:$B$1018, MATCH(C773, Mgt_Unit!$C$5:$C$1018, 0)), "")</f>
        <v>jennifer.moore</v>
      </c>
      <c r="C773" t="s">
        <v>789</v>
      </c>
      <c r="D773" s="45"/>
      <c r="E773" s="9" t="s">
        <v>1585</v>
      </c>
      <c r="F773" s="89">
        <v>43784</v>
      </c>
      <c r="G773" s="9"/>
      <c r="H773" s="9"/>
      <c r="I773" s="9"/>
      <c r="J773" t="s">
        <v>1398</v>
      </c>
      <c r="K773" s="120">
        <v>4</v>
      </c>
      <c r="L773" s="9"/>
      <c r="M773" s="7"/>
    </row>
    <row r="774" spans="1:13" hidden="1" x14ac:dyDescent="0.25">
      <c r="A774" s="4"/>
      <c r="B774" s="28" t="str">
        <f>IF(ISNUMBER(MATCH(C774, Mgt_Unit!$C$5:$C$1018, 0)), INDEX(Mgt_Unit!$B$5:$B$1018, MATCH(C774, Mgt_Unit!$C$5:$C$1018, 0)), "")</f>
        <v>jennifer.moore</v>
      </c>
      <c r="C774" t="s">
        <v>790</v>
      </c>
      <c r="D774" s="45"/>
      <c r="E774" s="9" t="s">
        <v>1583</v>
      </c>
      <c r="F774" s="89">
        <v>42856</v>
      </c>
      <c r="G774" s="9"/>
      <c r="H774" s="9"/>
      <c r="I774" s="9"/>
      <c r="J774" t="s">
        <v>1400</v>
      </c>
      <c r="K774" s="120">
        <v>4.9000000000000004</v>
      </c>
      <c r="L774" s="9"/>
      <c r="M774" s="7"/>
    </row>
    <row r="775" spans="1:13" hidden="1" x14ac:dyDescent="0.25">
      <c r="A775" s="4"/>
      <c r="B775" s="28" t="str">
        <f>IF(ISNUMBER(MATCH(C775, Mgt_Unit!$C$5:$C$1018, 0)), INDEX(Mgt_Unit!$B$5:$B$1018, MATCH(C775, Mgt_Unit!$C$5:$C$1018, 0)), "")</f>
        <v>jennifer.moore</v>
      </c>
      <c r="C775" t="s">
        <v>790</v>
      </c>
      <c r="D775" s="45"/>
      <c r="E775" s="9" t="s">
        <v>1584</v>
      </c>
      <c r="F775" s="89">
        <v>42860</v>
      </c>
      <c r="G775" s="9"/>
      <c r="H775" s="9"/>
      <c r="I775" s="9"/>
      <c r="J775" t="s">
        <v>1401</v>
      </c>
      <c r="K775" s="120">
        <v>4.9000000000000004</v>
      </c>
      <c r="L775" s="9"/>
      <c r="M775" s="7"/>
    </row>
    <row r="776" spans="1:13" hidden="1" x14ac:dyDescent="0.25">
      <c r="A776" s="4"/>
      <c r="B776" s="28" t="str">
        <f>IF(ISNUMBER(MATCH(C776, Mgt_Unit!$C$5:$C$1018, 0)), INDEX(Mgt_Unit!$B$5:$B$1018, MATCH(C776, Mgt_Unit!$C$5:$C$1018, 0)), "")</f>
        <v>jennifer.moore</v>
      </c>
      <c r="C776" t="s">
        <v>790</v>
      </c>
      <c r="D776" s="45"/>
      <c r="E776" s="9" t="s">
        <v>1585</v>
      </c>
      <c r="F776" s="89">
        <v>43054</v>
      </c>
      <c r="G776" s="9"/>
      <c r="H776" s="9"/>
      <c r="I776" s="9"/>
      <c r="J776" t="s">
        <v>1398</v>
      </c>
      <c r="K776" s="120">
        <v>4</v>
      </c>
      <c r="L776" s="9"/>
      <c r="M776" s="7"/>
    </row>
    <row r="777" spans="1:13" hidden="1" x14ac:dyDescent="0.25">
      <c r="A777" s="4"/>
      <c r="B777" s="28" t="str">
        <f>IF(ISNUMBER(MATCH(C777, Mgt_Unit!$C$5:$C$1018, 0)), INDEX(Mgt_Unit!$B$5:$B$1018, MATCH(C777, Mgt_Unit!$C$5:$C$1018, 0)), "")</f>
        <v>jennifer.moore</v>
      </c>
      <c r="C777" t="s">
        <v>790</v>
      </c>
      <c r="D777" s="45"/>
      <c r="E777" s="9" t="s">
        <v>1583</v>
      </c>
      <c r="F777" s="89">
        <v>43205</v>
      </c>
      <c r="G777" s="9"/>
      <c r="H777" s="9"/>
      <c r="I777" s="9"/>
      <c r="J777" t="s">
        <v>1400</v>
      </c>
      <c r="K777" s="120">
        <v>4.9000000000000004</v>
      </c>
      <c r="L777" s="9"/>
      <c r="M777" s="7"/>
    </row>
    <row r="778" spans="1:13" hidden="1" x14ac:dyDescent="0.25">
      <c r="A778" s="4"/>
      <c r="B778" s="28" t="str">
        <f>IF(ISNUMBER(MATCH(C778, Mgt_Unit!$C$5:$C$1018, 0)), INDEX(Mgt_Unit!$B$5:$B$1018, MATCH(C778, Mgt_Unit!$C$5:$C$1018, 0)), "")</f>
        <v>jennifer.moore</v>
      </c>
      <c r="C778" t="s">
        <v>790</v>
      </c>
      <c r="D778" s="45"/>
      <c r="E778" s="9" t="s">
        <v>1584</v>
      </c>
      <c r="F778" s="89">
        <v>43209</v>
      </c>
      <c r="G778" s="9"/>
      <c r="H778" s="9"/>
      <c r="I778" s="9"/>
      <c r="J778" t="s">
        <v>1401</v>
      </c>
      <c r="K778" s="120">
        <v>4.9000000000000004</v>
      </c>
      <c r="L778" s="9"/>
      <c r="M778" s="7"/>
    </row>
    <row r="779" spans="1:13" hidden="1" x14ac:dyDescent="0.25">
      <c r="A779" s="4"/>
      <c r="B779" s="28" t="str">
        <f>IF(ISNUMBER(MATCH(C779, Mgt_Unit!$C$5:$C$1018, 0)), INDEX(Mgt_Unit!$B$5:$B$1018, MATCH(C779, Mgt_Unit!$C$5:$C$1018, 0)), "")</f>
        <v>jennifer.moore</v>
      </c>
      <c r="C779" t="s">
        <v>790</v>
      </c>
      <c r="D779" s="45"/>
      <c r="E779" s="9" t="s">
        <v>1584</v>
      </c>
      <c r="F779" s="89">
        <v>43419</v>
      </c>
      <c r="G779" s="9"/>
      <c r="H779" s="9"/>
      <c r="I779" s="9"/>
      <c r="J779" t="s">
        <v>1398</v>
      </c>
      <c r="K779" s="120">
        <v>4</v>
      </c>
      <c r="L779" s="9"/>
      <c r="M779" s="7"/>
    </row>
    <row r="780" spans="1:13" hidden="1" x14ac:dyDescent="0.25">
      <c r="A780" s="4"/>
      <c r="B780" s="28" t="str">
        <f>IF(ISNUMBER(MATCH(C780, Mgt_Unit!$C$5:$C$1018, 0)), INDEX(Mgt_Unit!$B$5:$B$1018, MATCH(C780, Mgt_Unit!$C$5:$C$1018, 0)), "")</f>
        <v>jennifer.moore</v>
      </c>
      <c r="C780" t="s">
        <v>790</v>
      </c>
      <c r="D780" s="45"/>
      <c r="E780" s="9" t="s">
        <v>1583</v>
      </c>
      <c r="F780" s="89">
        <v>43621</v>
      </c>
      <c r="G780" s="9"/>
      <c r="H780" s="9"/>
      <c r="I780" s="9"/>
      <c r="J780" t="s">
        <v>1400</v>
      </c>
      <c r="K780" s="120">
        <v>4.9000000000000004</v>
      </c>
      <c r="L780" s="9"/>
      <c r="M780" s="7"/>
    </row>
    <row r="781" spans="1:13" hidden="1" x14ac:dyDescent="0.25">
      <c r="A781" s="4"/>
      <c r="B781" s="28" t="str">
        <f>IF(ISNUMBER(MATCH(C781, Mgt_Unit!$C$5:$C$1018, 0)), INDEX(Mgt_Unit!$B$5:$B$1018, MATCH(C781, Mgt_Unit!$C$5:$C$1018, 0)), "")</f>
        <v>jennifer.moore</v>
      </c>
      <c r="C781" t="s">
        <v>790</v>
      </c>
      <c r="D781" s="45"/>
      <c r="E781" s="9" t="s">
        <v>1584</v>
      </c>
      <c r="F781" s="89">
        <v>43626</v>
      </c>
      <c r="G781" s="9"/>
      <c r="H781" s="9"/>
      <c r="I781" s="9"/>
      <c r="J781" t="s">
        <v>1401</v>
      </c>
      <c r="K781" s="120">
        <v>4.9000000000000004</v>
      </c>
      <c r="L781" s="9"/>
      <c r="M781" s="7"/>
    </row>
    <row r="782" spans="1:13" hidden="1" x14ac:dyDescent="0.25">
      <c r="A782" s="4"/>
      <c r="B782" s="28" t="str">
        <f>IF(ISNUMBER(MATCH(C782, Mgt_Unit!$C$5:$C$1018, 0)), INDEX(Mgt_Unit!$B$5:$B$1018, MATCH(C782, Mgt_Unit!$C$5:$C$1018, 0)), "")</f>
        <v>jennifer.moore</v>
      </c>
      <c r="C782" t="s">
        <v>790</v>
      </c>
      <c r="D782" s="45"/>
      <c r="E782" s="9" t="s">
        <v>1585</v>
      </c>
      <c r="F782" s="89">
        <v>43784</v>
      </c>
      <c r="G782" s="9"/>
      <c r="H782" s="9"/>
      <c r="I782" s="9"/>
      <c r="J782" t="s">
        <v>1398</v>
      </c>
      <c r="K782" s="120">
        <v>4</v>
      </c>
      <c r="L782" s="9"/>
      <c r="M782" s="7"/>
    </row>
    <row r="783" spans="1:13" hidden="1" x14ac:dyDescent="0.25">
      <c r="A783" s="4"/>
      <c r="B783" s="28" t="str">
        <f>IF(ISNUMBER(MATCH(C783, Mgt_Unit!$C$5:$C$1018, 0)), INDEX(Mgt_Unit!$B$5:$B$1018, MATCH(C783, Mgt_Unit!$C$5:$C$1018, 0)), "")</f>
        <v>jennifer.moore</v>
      </c>
      <c r="C783" t="s">
        <v>791</v>
      </c>
      <c r="D783" s="45"/>
      <c r="E783" s="9" t="s">
        <v>1583</v>
      </c>
      <c r="F783" s="89">
        <v>42475</v>
      </c>
      <c r="G783" s="9"/>
      <c r="H783" s="9"/>
      <c r="I783" s="9"/>
      <c r="J783" t="s">
        <v>1402</v>
      </c>
      <c r="K783" s="120">
        <v>65</v>
      </c>
      <c r="L783" s="9"/>
      <c r="M783" s="7"/>
    </row>
    <row r="784" spans="1:13" hidden="1" x14ac:dyDescent="0.25">
      <c r="A784" s="4"/>
      <c r="B784" s="28" t="str">
        <f>IF(ISNUMBER(MATCH(C784, Mgt_Unit!$C$5:$C$1018, 0)), INDEX(Mgt_Unit!$B$5:$B$1018, MATCH(C784, Mgt_Unit!$C$5:$C$1018, 0)), "")</f>
        <v>jennifer.moore</v>
      </c>
      <c r="C784" t="s">
        <v>791</v>
      </c>
      <c r="D784" s="45"/>
      <c r="E784" s="9" t="s">
        <v>1584</v>
      </c>
      <c r="F784" s="89">
        <v>42491</v>
      </c>
      <c r="G784" s="9"/>
      <c r="H784" s="9"/>
      <c r="I784" s="9"/>
      <c r="J784" t="s">
        <v>1395</v>
      </c>
      <c r="K784" s="120">
        <v>7.8</v>
      </c>
      <c r="L784" s="9"/>
      <c r="M784" s="7"/>
    </row>
    <row r="785" spans="1:13" hidden="1" x14ac:dyDescent="0.25">
      <c r="A785" s="4"/>
      <c r="B785" s="28" t="str">
        <f>IF(ISNUMBER(MATCH(C785, Mgt_Unit!$C$5:$C$1018, 0)), INDEX(Mgt_Unit!$B$5:$B$1018, MATCH(C785, Mgt_Unit!$C$5:$C$1018, 0)), "")</f>
        <v>jennifer.moore</v>
      </c>
      <c r="C785" t="s">
        <v>791</v>
      </c>
      <c r="D785" s="45"/>
      <c r="E785" s="9" t="s">
        <v>1585</v>
      </c>
      <c r="F785" s="89">
        <v>42674</v>
      </c>
      <c r="G785" s="9"/>
      <c r="H785" s="9"/>
      <c r="I785" s="9"/>
      <c r="J785" t="s">
        <v>1398</v>
      </c>
      <c r="K785" s="120">
        <v>4</v>
      </c>
      <c r="L785" s="9"/>
      <c r="M785" s="7"/>
    </row>
    <row r="786" spans="1:13" hidden="1" x14ac:dyDescent="0.25">
      <c r="A786" s="4"/>
      <c r="B786" s="28" t="str">
        <f>IF(ISNUMBER(MATCH(C786, Mgt_Unit!$C$5:$C$1018, 0)), INDEX(Mgt_Unit!$B$5:$B$1018, MATCH(C786, Mgt_Unit!$C$5:$C$1018, 0)), "")</f>
        <v>jennifer.moore</v>
      </c>
      <c r="C786" t="s">
        <v>791</v>
      </c>
      <c r="D786" s="45"/>
      <c r="E786" s="9" t="s">
        <v>1585</v>
      </c>
      <c r="F786" s="89">
        <v>42840</v>
      </c>
      <c r="G786" s="9"/>
      <c r="H786" s="9"/>
      <c r="I786" s="9"/>
      <c r="J786" t="s">
        <v>1398</v>
      </c>
      <c r="K786" s="120">
        <v>4</v>
      </c>
      <c r="L786" s="9"/>
      <c r="M786" s="7"/>
    </row>
    <row r="787" spans="1:13" hidden="1" x14ac:dyDescent="0.25">
      <c r="A787" s="4"/>
      <c r="B787" s="28" t="str">
        <f>IF(ISNUMBER(MATCH(C787, Mgt_Unit!$C$5:$C$1018, 0)), INDEX(Mgt_Unit!$B$5:$B$1018, MATCH(C787, Mgt_Unit!$C$5:$C$1018, 0)), "")</f>
        <v>jennifer.moore</v>
      </c>
      <c r="C787" t="s">
        <v>791</v>
      </c>
      <c r="D787" s="45"/>
      <c r="E787" s="9" t="s">
        <v>1585</v>
      </c>
      <c r="F787" s="89">
        <v>43406</v>
      </c>
      <c r="G787" s="9"/>
      <c r="H787" s="9"/>
      <c r="I787" s="9"/>
      <c r="J787" t="s">
        <v>1398</v>
      </c>
      <c r="K787" s="120">
        <v>4</v>
      </c>
      <c r="L787" s="9"/>
      <c r="M787" s="7"/>
    </row>
    <row r="788" spans="1:13" hidden="1" x14ac:dyDescent="0.25">
      <c r="A788" s="4"/>
      <c r="B788" s="28" t="str">
        <f>IF(ISNUMBER(MATCH(C788, Mgt_Unit!$C$5:$C$1018, 0)), INDEX(Mgt_Unit!$B$5:$B$1018, MATCH(C788, Mgt_Unit!$C$5:$C$1018, 0)), "")</f>
        <v>jennifer.moore</v>
      </c>
      <c r="C788" t="s">
        <v>791</v>
      </c>
      <c r="D788" s="45"/>
      <c r="E788" s="9" t="s">
        <v>1583</v>
      </c>
      <c r="F788" s="89">
        <v>43595</v>
      </c>
      <c r="G788" s="9"/>
      <c r="H788" s="9"/>
      <c r="I788" s="9"/>
      <c r="J788" t="s">
        <v>1402</v>
      </c>
      <c r="K788" s="120">
        <v>65</v>
      </c>
      <c r="L788" s="9"/>
      <c r="M788" s="7"/>
    </row>
    <row r="789" spans="1:13" hidden="1" x14ac:dyDescent="0.25">
      <c r="A789" s="4"/>
      <c r="B789" s="28" t="str">
        <f>IF(ISNUMBER(MATCH(C789, Mgt_Unit!$C$5:$C$1018, 0)), INDEX(Mgt_Unit!$B$5:$B$1018, MATCH(C789, Mgt_Unit!$C$5:$C$1018, 0)), "")</f>
        <v>jennifer.moore</v>
      </c>
      <c r="C789" t="s">
        <v>791</v>
      </c>
      <c r="D789" s="45"/>
      <c r="E789" s="9" t="s">
        <v>1584</v>
      </c>
      <c r="F789" s="89">
        <v>43600</v>
      </c>
      <c r="G789" s="9"/>
      <c r="H789" s="9"/>
      <c r="I789" s="9"/>
      <c r="J789" t="s">
        <v>1395</v>
      </c>
      <c r="K789" s="120">
        <v>7.8</v>
      </c>
      <c r="L789" s="9"/>
      <c r="M789" s="7"/>
    </row>
    <row r="790" spans="1:13" hidden="1" x14ac:dyDescent="0.25">
      <c r="A790" s="4"/>
      <c r="B790" s="28" t="str">
        <f>IF(ISNUMBER(MATCH(C790, Mgt_Unit!$C$5:$C$1018, 0)), INDEX(Mgt_Unit!$B$5:$B$1018, MATCH(C790, Mgt_Unit!$C$5:$C$1018, 0)), "")</f>
        <v>jennifer.moore</v>
      </c>
      <c r="C790" t="s">
        <v>791</v>
      </c>
      <c r="D790" s="45"/>
      <c r="E790" s="9" t="s">
        <v>1585</v>
      </c>
      <c r="F790" s="89">
        <v>43771</v>
      </c>
      <c r="G790" s="9"/>
      <c r="H790" s="9"/>
      <c r="I790" s="9"/>
      <c r="J790" t="s">
        <v>1398</v>
      </c>
      <c r="K790" s="120">
        <v>4</v>
      </c>
      <c r="L790" s="9"/>
      <c r="M790" s="7"/>
    </row>
    <row r="791" spans="1:13" hidden="1" x14ac:dyDescent="0.25">
      <c r="A791" s="4"/>
      <c r="B791" s="28" t="str">
        <f>IF(ISNUMBER(MATCH(C791, Mgt_Unit!$C$5:$C$1018, 0)), INDEX(Mgt_Unit!$B$5:$B$1018, MATCH(C791, Mgt_Unit!$C$5:$C$1018, 0)), "")</f>
        <v>jennifer.moore</v>
      </c>
      <c r="C791" t="s">
        <v>792</v>
      </c>
      <c r="D791" s="45"/>
      <c r="E791" s="9" t="s">
        <v>1583</v>
      </c>
      <c r="F791" s="89">
        <v>42475</v>
      </c>
      <c r="G791" s="9"/>
      <c r="H791" s="9"/>
      <c r="I791" s="9"/>
      <c r="J791" t="s">
        <v>1400</v>
      </c>
      <c r="K791" s="120">
        <v>4.9000000000000004</v>
      </c>
      <c r="L791" s="9"/>
      <c r="M791" s="7"/>
    </row>
    <row r="792" spans="1:13" hidden="1" x14ac:dyDescent="0.25">
      <c r="A792" s="4"/>
      <c r="B792" s="28" t="str">
        <f>IF(ISNUMBER(MATCH(C792, Mgt_Unit!$C$5:$C$1018, 0)), INDEX(Mgt_Unit!$B$5:$B$1018, MATCH(C792, Mgt_Unit!$C$5:$C$1018, 0)), "")</f>
        <v>jennifer.moore</v>
      </c>
      <c r="C792" t="s">
        <v>792</v>
      </c>
      <c r="D792" s="45"/>
      <c r="E792" s="9" t="s">
        <v>1584</v>
      </c>
      <c r="F792" s="89">
        <v>42491</v>
      </c>
      <c r="G792" s="9"/>
      <c r="H792" s="9"/>
      <c r="I792" s="9"/>
      <c r="J792" t="s">
        <v>1395</v>
      </c>
      <c r="K792" s="120">
        <v>7.8</v>
      </c>
      <c r="L792" s="9"/>
      <c r="M792" s="7"/>
    </row>
    <row r="793" spans="1:13" hidden="1" x14ac:dyDescent="0.25">
      <c r="A793" s="4"/>
      <c r="B793" s="28" t="str">
        <f>IF(ISNUMBER(MATCH(C793, Mgt_Unit!$C$5:$C$1018, 0)), INDEX(Mgt_Unit!$B$5:$B$1018, MATCH(C793, Mgt_Unit!$C$5:$C$1018, 0)), "")</f>
        <v>jennifer.moore</v>
      </c>
      <c r="C793" t="s">
        <v>792</v>
      </c>
      <c r="D793" s="45"/>
      <c r="E793" s="9" t="s">
        <v>1585</v>
      </c>
      <c r="F793" s="89">
        <v>42674</v>
      </c>
      <c r="G793" s="9"/>
      <c r="H793" s="9"/>
      <c r="I793" s="9"/>
      <c r="J793" t="s">
        <v>1398</v>
      </c>
      <c r="K793" s="120">
        <v>4</v>
      </c>
      <c r="L793" s="9"/>
      <c r="M793" s="7"/>
    </row>
    <row r="794" spans="1:13" hidden="1" x14ac:dyDescent="0.25">
      <c r="A794" s="4"/>
      <c r="B794" s="28" t="str">
        <f>IF(ISNUMBER(MATCH(C794, Mgt_Unit!$C$5:$C$1018, 0)), INDEX(Mgt_Unit!$B$5:$B$1018, MATCH(C794, Mgt_Unit!$C$5:$C$1018, 0)), "")</f>
        <v>jennifer.moore</v>
      </c>
      <c r="C794" t="s">
        <v>792</v>
      </c>
      <c r="D794" s="45"/>
      <c r="E794" s="9" t="s">
        <v>1585</v>
      </c>
      <c r="F794" s="89">
        <v>42840</v>
      </c>
      <c r="G794" s="9"/>
      <c r="H794" s="9"/>
      <c r="I794" s="9"/>
      <c r="J794" t="s">
        <v>1398</v>
      </c>
      <c r="K794" s="120">
        <v>4</v>
      </c>
      <c r="L794" s="9"/>
      <c r="M794" s="7"/>
    </row>
    <row r="795" spans="1:13" hidden="1" x14ac:dyDescent="0.25">
      <c r="A795" s="4"/>
      <c r="B795" s="28" t="str">
        <f>IF(ISNUMBER(MATCH(C795, Mgt_Unit!$C$5:$C$1018, 0)), INDEX(Mgt_Unit!$B$5:$B$1018, MATCH(C795, Mgt_Unit!$C$5:$C$1018, 0)), "")</f>
        <v>jennifer.moore</v>
      </c>
      <c r="C795" t="s">
        <v>792</v>
      </c>
      <c r="D795" s="45"/>
      <c r="E795" s="9" t="s">
        <v>1585</v>
      </c>
      <c r="F795" s="89">
        <v>43406</v>
      </c>
      <c r="G795" s="9"/>
      <c r="H795" s="9"/>
      <c r="I795" s="9"/>
      <c r="J795" t="s">
        <v>1398</v>
      </c>
      <c r="K795" s="120">
        <v>4</v>
      </c>
      <c r="L795" s="9"/>
      <c r="M795" s="7"/>
    </row>
    <row r="796" spans="1:13" hidden="1" x14ac:dyDescent="0.25">
      <c r="A796" s="4"/>
      <c r="B796" s="28" t="str">
        <f>IF(ISNUMBER(MATCH(C796, Mgt_Unit!$C$5:$C$1018, 0)), INDEX(Mgt_Unit!$B$5:$B$1018, MATCH(C796, Mgt_Unit!$C$5:$C$1018, 0)), "")</f>
        <v>jennifer.moore</v>
      </c>
      <c r="C796" t="s">
        <v>792</v>
      </c>
      <c r="D796" s="45"/>
      <c r="E796" s="9" t="s">
        <v>1583</v>
      </c>
      <c r="F796" s="89">
        <v>43595</v>
      </c>
      <c r="G796" s="9"/>
      <c r="H796" s="9"/>
      <c r="I796" s="9"/>
      <c r="J796" t="s">
        <v>1400</v>
      </c>
      <c r="K796" s="120">
        <v>4.9000000000000004</v>
      </c>
      <c r="L796" s="9"/>
      <c r="M796" s="7"/>
    </row>
    <row r="797" spans="1:13" hidden="1" x14ac:dyDescent="0.25">
      <c r="A797" s="4"/>
      <c r="B797" s="28" t="str">
        <f>IF(ISNUMBER(MATCH(C797, Mgt_Unit!$C$5:$C$1018, 0)), INDEX(Mgt_Unit!$B$5:$B$1018, MATCH(C797, Mgt_Unit!$C$5:$C$1018, 0)), "")</f>
        <v>jennifer.moore</v>
      </c>
      <c r="C797" t="s">
        <v>792</v>
      </c>
      <c r="D797" s="45"/>
      <c r="E797" s="9" t="s">
        <v>1584</v>
      </c>
      <c r="F797" s="89">
        <v>43600</v>
      </c>
      <c r="G797" s="9"/>
      <c r="H797" s="9"/>
      <c r="I797" s="9"/>
      <c r="J797" t="s">
        <v>1395</v>
      </c>
      <c r="K797" s="120">
        <v>7.8</v>
      </c>
      <c r="L797" s="9"/>
      <c r="M797" s="7"/>
    </row>
    <row r="798" spans="1:13" hidden="1" x14ac:dyDescent="0.25">
      <c r="A798" s="4"/>
      <c r="B798" s="28" t="str">
        <f>IF(ISNUMBER(MATCH(C798, Mgt_Unit!$C$5:$C$1018, 0)), INDEX(Mgt_Unit!$B$5:$B$1018, MATCH(C798, Mgt_Unit!$C$5:$C$1018, 0)), "")</f>
        <v>jennifer.moore</v>
      </c>
      <c r="C798" t="s">
        <v>792</v>
      </c>
      <c r="D798" s="45"/>
      <c r="E798" s="9" t="s">
        <v>1585</v>
      </c>
      <c r="F798" s="89">
        <v>43771</v>
      </c>
      <c r="G798" s="9"/>
      <c r="H798" s="9"/>
      <c r="I798" s="9"/>
      <c r="J798" t="s">
        <v>1398</v>
      </c>
      <c r="K798" s="120">
        <v>4</v>
      </c>
      <c r="L798" s="9"/>
      <c r="M798" s="7"/>
    </row>
    <row r="799" spans="1:13" hidden="1" x14ac:dyDescent="0.25">
      <c r="A799" s="4"/>
      <c r="B799" s="28" t="str">
        <f>IF(ISNUMBER(MATCH(C799, Mgt_Unit!$C$5:$C$1018, 0)), INDEX(Mgt_Unit!$B$5:$B$1018, MATCH(C799, Mgt_Unit!$C$5:$C$1018, 0)), "")</f>
        <v>jennifer.moore</v>
      </c>
      <c r="C799" t="s">
        <v>793</v>
      </c>
      <c r="D799" s="45"/>
      <c r="E799" s="9" t="s">
        <v>1583</v>
      </c>
      <c r="F799" s="89">
        <v>43221</v>
      </c>
      <c r="G799" s="9"/>
      <c r="H799" s="9"/>
      <c r="I799" s="9"/>
      <c r="J799" t="s">
        <v>1402</v>
      </c>
      <c r="K799" s="120">
        <v>65</v>
      </c>
      <c r="L799" s="9"/>
      <c r="M799" s="7"/>
    </row>
    <row r="800" spans="1:13" hidden="1" x14ac:dyDescent="0.25">
      <c r="A800" s="4"/>
      <c r="B800" s="28" t="str">
        <f>IF(ISNUMBER(MATCH(C800, Mgt_Unit!$C$5:$C$1018, 0)), INDEX(Mgt_Unit!$B$5:$B$1018, MATCH(C800, Mgt_Unit!$C$5:$C$1018, 0)), "")</f>
        <v>jennifer.moore</v>
      </c>
      <c r="C800" t="s">
        <v>793</v>
      </c>
      <c r="D800" s="45"/>
      <c r="E800" s="9" t="s">
        <v>1583</v>
      </c>
      <c r="F800" s="89">
        <v>43222</v>
      </c>
      <c r="G800" s="9"/>
      <c r="H800" s="9"/>
      <c r="I800" s="9"/>
      <c r="J800" t="s">
        <v>1395</v>
      </c>
      <c r="K800" s="120">
        <v>7.8</v>
      </c>
      <c r="L800" s="9"/>
      <c r="M800" s="7"/>
    </row>
    <row r="801" spans="1:13" hidden="1" x14ac:dyDescent="0.25">
      <c r="A801" s="4"/>
      <c r="B801" s="28" t="str">
        <f>IF(ISNUMBER(MATCH(C801, Mgt_Unit!$C$5:$C$1018, 0)), INDEX(Mgt_Unit!$B$5:$B$1018, MATCH(C801, Mgt_Unit!$C$5:$C$1018, 0)), "")</f>
        <v>jennifer.moore</v>
      </c>
      <c r="C801" t="s">
        <v>793</v>
      </c>
      <c r="D801" s="45"/>
      <c r="E801" s="9" t="s">
        <v>1585</v>
      </c>
      <c r="F801" s="89">
        <v>43406</v>
      </c>
      <c r="G801" s="9"/>
      <c r="H801" s="9"/>
      <c r="I801" s="9"/>
      <c r="J801" t="s">
        <v>1398</v>
      </c>
      <c r="K801" s="120">
        <v>4</v>
      </c>
      <c r="L801" s="9"/>
      <c r="M801" s="7"/>
    </row>
    <row r="802" spans="1:13" hidden="1" x14ac:dyDescent="0.25">
      <c r="A802" s="4"/>
      <c r="B802" s="28" t="str">
        <f>IF(ISNUMBER(MATCH(C802, Mgt_Unit!$C$5:$C$1018, 0)), INDEX(Mgt_Unit!$B$5:$B$1018, MATCH(C802, Mgt_Unit!$C$5:$C$1018, 0)), "")</f>
        <v>jennifer.moore</v>
      </c>
      <c r="C802" t="s">
        <v>793</v>
      </c>
      <c r="D802" s="45"/>
      <c r="E802" s="9" t="s">
        <v>1583</v>
      </c>
      <c r="F802" s="89">
        <v>43595</v>
      </c>
      <c r="G802" s="9"/>
      <c r="H802" s="9"/>
      <c r="I802" s="9"/>
      <c r="J802" t="s">
        <v>1402</v>
      </c>
      <c r="K802" s="120">
        <v>65</v>
      </c>
      <c r="L802" s="9"/>
      <c r="M802" s="7"/>
    </row>
    <row r="803" spans="1:13" hidden="1" x14ac:dyDescent="0.25">
      <c r="A803" s="4"/>
      <c r="B803" s="28" t="str">
        <f>IF(ISNUMBER(MATCH(C803, Mgt_Unit!$C$5:$C$1018, 0)), INDEX(Mgt_Unit!$B$5:$B$1018, MATCH(C803, Mgt_Unit!$C$5:$C$1018, 0)), "")</f>
        <v>jennifer.moore</v>
      </c>
      <c r="C803" t="s">
        <v>793</v>
      </c>
      <c r="D803" s="45"/>
      <c r="E803" s="9" t="s">
        <v>1584</v>
      </c>
      <c r="F803" s="89">
        <v>43600</v>
      </c>
      <c r="G803" s="9"/>
      <c r="H803" s="9"/>
      <c r="I803" s="9"/>
      <c r="J803" t="s">
        <v>1395</v>
      </c>
      <c r="K803" s="120">
        <v>7.8</v>
      </c>
      <c r="L803" s="9"/>
      <c r="M803" s="7"/>
    </row>
    <row r="804" spans="1:13" hidden="1" x14ac:dyDescent="0.25">
      <c r="A804" s="4"/>
      <c r="B804" s="28" t="str">
        <f>IF(ISNUMBER(MATCH(C804, Mgt_Unit!$C$5:$C$1018, 0)), INDEX(Mgt_Unit!$B$5:$B$1018, MATCH(C804, Mgt_Unit!$C$5:$C$1018, 0)), "")</f>
        <v>jennifer.moore</v>
      </c>
      <c r="C804" t="s">
        <v>793</v>
      </c>
      <c r="D804" s="45"/>
      <c r="E804" s="9" t="s">
        <v>1585</v>
      </c>
      <c r="F804" s="89">
        <v>43771</v>
      </c>
      <c r="G804" s="9"/>
      <c r="H804" s="9"/>
      <c r="I804" s="9"/>
      <c r="J804" t="s">
        <v>1398</v>
      </c>
      <c r="K804" s="120">
        <v>4</v>
      </c>
      <c r="L804" s="9"/>
      <c r="M804" s="7"/>
    </row>
    <row r="805" spans="1:13" hidden="1" x14ac:dyDescent="0.25">
      <c r="A805" s="4"/>
      <c r="B805" s="28" t="str">
        <f>IF(ISNUMBER(MATCH(C805, Mgt_Unit!$C$5:$C$1018, 0)), INDEX(Mgt_Unit!$B$5:$B$1018, MATCH(C805, Mgt_Unit!$C$5:$C$1018, 0)), "")</f>
        <v>jennifer.moore</v>
      </c>
      <c r="C805" t="s">
        <v>794</v>
      </c>
      <c r="D805" s="45"/>
      <c r="E805" s="9" t="s">
        <v>1583</v>
      </c>
      <c r="F805" s="89">
        <v>43221</v>
      </c>
      <c r="G805" s="9"/>
      <c r="H805" s="9"/>
      <c r="I805" s="9"/>
      <c r="J805" t="s">
        <v>1400</v>
      </c>
      <c r="K805" s="120">
        <v>4.9000000000000004</v>
      </c>
      <c r="L805" s="9"/>
      <c r="M805" s="7"/>
    </row>
    <row r="806" spans="1:13" hidden="1" x14ac:dyDescent="0.25">
      <c r="A806" s="4"/>
      <c r="B806" s="28" t="str">
        <f>IF(ISNUMBER(MATCH(C806, Mgt_Unit!$C$5:$C$1018, 0)), INDEX(Mgt_Unit!$B$5:$B$1018, MATCH(C806, Mgt_Unit!$C$5:$C$1018, 0)), "")</f>
        <v>jennifer.moore</v>
      </c>
      <c r="C806" t="s">
        <v>794</v>
      </c>
      <c r="D806" s="45"/>
      <c r="E806" s="9" t="s">
        <v>1583</v>
      </c>
      <c r="F806" s="89">
        <v>43222</v>
      </c>
      <c r="G806" s="9"/>
      <c r="H806" s="9"/>
      <c r="I806" s="9"/>
      <c r="J806" t="s">
        <v>1395</v>
      </c>
      <c r="K806" s="120">
        <v>7.8</v>
      </c>
      <c r="L806" s="9"/>
      <c r="M806" s="7"/>
    </row>
    <row r="807" spans="1:13" hidden="1" x14ac:dyDescent="0.25">
      <c r="A807" s="4"/>
      <c r="B807" s="28" t="str">
        <f>IF(ISNUMBER(MATCH(C807, Mgt_Unit!$C$5:$C$1018, 0)), INDEX(Mgt_Unit!$B$5:$B$1018, MATCH(C807, Mgt_Unit!$C$5:$C$1018, 0)), "")</f>
        <v>jennifer.moore</v>
      </c>
      <c r="C807" t="s">
        <v>794</v>
      </c>
      <c r="D807" s="45"/>
      <c r="E807" s="9" t="s">
        <v>1585</v>
      </c>
      <c r="F807" s="89">
        <v>43406</v>
      </c>
      <c r="G807" s="9"/>
      <c r="H807" s="9"/>
      <c r="I807" s="9"/>
      <c r="J807" t="s">
        <v>1398</v>
      </c>
      <c r="K807" s="120">
        <v>4</v>
      </c>
      <c r="L807" s="9"/>
      <c r="M807" s="7"/>
    </row>
    <row r="808" spans="1:13" hidden="1" x14ac:dyDescent="0.25">
      <c r="A808" s="4"/>
      <c r="B808" s="28" t="str">
        <f>IF(ISNUMBER(MATCH(C808, Mgt_Unit!$C$5:$C$1018, 0)), INDEX(Mgt_Unit!$B$5:$B$1018, MATCH(C808, Mgt_Unit!$C$5:$C$1018, 0)), "")</f>
        <v>jennifer.moore</v>
      </c>
      <c r="C808" t="s">
        <v>794</v>
      </c>
      <c r="D808" s="45"/>
      <c r="E808" s="9" t="s">
        <v>1583</v>
      </c>
      <c r="F808" s="89">
        <v>43595</v>
      </c>
      <c r="G808" s="9"/>
      <c r="H808" s="9"/>
      <c r="I808" s="9"/>
      <c r="J808" t="s">
        <v>1400</v>
      </c>
      <c r="K808" s="120">
        <v>4.9000000000000004</v>
      </c>
      <c r="L808" s="9"/>
      <c r="M808" s="7"/>
    </row>
    <row r="809" spans="1:13" hidden="1" x14ac:dyDescent="0.25">
      <c r="A809" s="4"/>
      <c r="B809" s="28" t="str">
        <f>IF(ISNUMBER(MATCH(C809, Mgt_Unit!$C$5:$C$1018, 0)), INDEX(Mgt_Unit!$B$5:$B$1018, MATCH(C809, Mgt_Unit!$C$5:$C$1018, 0)), "")</f>
        <v>jennifer.moore</v>
      </c>
      <c r="C809" t="s">
        <v>794</v>
      </c>
      <c r="D809" s="45"/>
      <c r="E809" s="9" t="s">
        <v>1584</v>
      </c>
      <c r="F809" s="89">
        <v>43600</v>
      </c>
      <c r="G809" s="9"/>
      <c r="H809" s="9"/>
      <c r="I809" s="9"/>
      <c r="J809" t="s">
        <v>1395</v>
      </c>
      <c r="K809" s="120">
        <v>7.8</v>
      </c>
      <c r="L809" s="9"/>
      <c r="M809" s="7"/>
    </row>
    <row r="810" spans="1:13" hidden="1" x14ac:dyDescent="0.25">
      <c r="A810" s="4"/>
      <c r="B810" s="28" t="str">
        <f>IF(ISNUMBER(MATCH(C810, Mgt_Unit!$C$5:$C$1018, 0)), INDEX(Mgt_Unit!$B$5:$B$1018, MATCH(C810, Mgt_Unit!$C$5:$C$1018, 0)), "")</f>
        <v>jennifer.moore</v>
      </c>
      <c r="C810" t="s">
        <v>794</v>
      </c>
      <c r="D810" s="45"/>
      <c r="E810" s="9" t="s">
        <v>1585</v>
      </c>
      <c r="F810" s="89">
        <v>43771</v>
      </c>
      <c r="G810" s="9"/>
      <c r="H810" s="9"/>
      <c r="I810" s="9"/>
      <c r="J810" t="s">
        <v>1398</v>
      </c>
      <c r="K810" s="120">
        <v>4</v>
      </c>
      <c r="L810" s="9"/>
      <c r="M810" s="7"/>
    </row>
    <row r="811" spans="1:13" hidden="1" x14ac:dyDescent="0.25">
      <c r="A811" s="4"/>
      <c r="B811" s="28" t="str">
        <f>IF(ISNUMBER(MATCH(C811, Mgt_Unit!$C$5:$C$1018, 0)), INDEX(Mgt_Unit!$B$5:$B$1018, MATCH(C811, Mgt_Unit!$C$5:$C$1018, 0)), "")</f>
        <v>jennifer.moore</v>
      </c>
      <c r="C811" t="s">
        <v>795</v>
      </c>
      <c r="D811" s="45"/>
      <c r="E811" s="9" t="s">
        <v>1583</v>
      </c>
      <c r="F811" s="89">
        <v>42485</v>
      </c>
      <c r="G811" s="9"/>
      <c r="H811" s="9"/>
      <c r="I811" s="9"/>
      <c r="J811" t="s">
        <v>1400</v>
      </c>
      <c r="K811" s="120">
        <v>4.9000000000000004</v>
      </c>
      <c r="L811" s="9"/>
      <c r="M811" s="7"/>
    </row>
    <row r="812" spans="1:13" hidden="1" x14ac:dyDescent="0.25">
      <c r="A812" s="4"/>
      <c r="B812" s="28" t="str">
        <f>IF(ISNUMBER(MATCH(C812, Mgt_Unit!$C$5:$C$1018, 0)), INDEX(Mgt_Unit!$B$5:$B$1018, MATCH(C812, Mgt_Unit!$C$5:$C$1018, 0)), "")</f>
        <v>jennifer.moore</v>
      </c>
      <c r="C812" t="s">
        <v>795</v>
      </c>
      <c r="D812" s="45"/>
      <c r="E812" s="9" t="s">
        <v>1584</v>
      </c>
      <c r="F812" s="89">
        <v>42490</v>
      </c>
      <c r="G812" s="9"/>
      <c r="H812" s="9"/>
      <c r="I812" s="9"/>
      <c r="J812" t="s">
        <v>1395</v>
      </c>
      <c r="K812" s="120">
        <v>7.8</v>
      </c>
      <c r="L812" s="9"/>
      <c r="M812" s="7"/>
    </row>
    <row r="813" spans="1:13" hidden="1" x14ac:dyDescent="0.25">
      <c r="A813" s="4"/>
      <c r="B813" s="28" t="str">
        <f>IF(ISNUMBER(MATCH(C813, Mgt_Unit!$C$5:$C$1018, 0)), INDEX(Mgt_Unit!$B$5:$B$1018, MATCH(C813, Mgt_Unit!$C$5:$C$1018, 0)), "")</f>
        <v>jennifer.moore</v>
      </c>
      <c r="C813" t="s">
        <v>795</v>
      </c>
      <c r="D813" s="45"/>
      <c r="E813" s="9" t="s">
        <v>1583</v>
      </c>
      <c r="F813" s="89">
        <v>42673</v>
      </c>
      <c r="G813" s="9"/>
      <c r="H813" s="9"/>
      <c r="I813" s="9"/>
      <c r="J813" t="s">
        <v>1400</v>
      </c>
      <c r="K813" s="120">
        <v>4.9000000000000004</v>
      </c>
      <c r="L813" s="9"/>
      <c r="M813" s="7"/>
    </row>
    <row r="814" spans="1:13" hidden="1" x14ac:dyDescent="0.25">
      <c r="A814" s="4"/>
      <c r="B814" s="28" t="str">
        <f>IF(ISNUMBER(MATCH(C814, Mgt_Unit!$C$5:$C$1018, 0)), INDEX(Mgt_Unit!$B$5:$B$1018, MATCH(C814, Mgt_Unit!$C$5:$C$1018, 0)), "")</f>
        <v>jennifer.moore</v>
      </c>
      <c r="C814" t="s">
        <v>795</v>
      </c>
      <c r="D814" s="45"/>
      <c r="E814" s="9" t="s">
        <v>1585</v>
      </c>
      <c r="F814" s="89">
        <v>42674</v>
      </c>
      <c r="G814" s="9"/>
      <c r="H814" s="9"/>
      <c r="I814" s="9"/>
      <c r="J814" t="s">
        <v>1398</v>
      </c>
      <c r="K814" s="120">
        <v>4</v>
      </c>
      <c r="L814" s="9"/>
      <c r="M814" s="7"/>
    </row>
    <row r="815" spans="1:13" hidden="1" x14ac:dyDescent="0.25">
      <c r="A815" s="4"/>
      <c r="B815" s="28" t="str">
        <f>IF(ISNUMBER(MATCH(C815, Mgt_Unit!$C$5:$C$1018, 0)), INDEX(Mgt_Unit!$B$5:$B$1018, MATCH(C815, Mgt_Unit!$C$5:$C$1018, 0)), "")</f>
        <v>jennifer.moore</v>
      </c>
      <c r="C815" t="s">
        <v>795</v>
      </c>
      <c r="D815" s="45"/>
      <c r="E815" s="9" t="s">
        <v>1585</v>
      </c>
      <c r="F815" s="89">
        <v>42840</v>
      </c>
      <c r="G815" s="9"/>
      <c r="H815" s="9"/>
      <c r="I815" s="9"/>
      <c r="J815" t="s">
        <v>1398</v>
      </c>
      <c r="K815" s="120">
        <v>4</v>
      </c>
      <c r="L815" s="9"/>
      <c r="M815" s="7"/>
    </row>
    <row r="816" spans="1:13" hidden="1" x14ac:dyDescent="0.25">
      <c r="A816" s="4"/>
      <c r="B816" s="28" t="str">
        <f>IF(ISNUMBER(MATCH(C816, Mgt_Unit!$C$5:$C$1018, 0)), INDEX(Mgt_Unit!$B$5:$B$1018, MATCH(C816, Mgt_Unit!$C$5:$C$1018, 0)), "")</f>
        <v>jennifer.moore</v>
      </c>
      <c r="C816" t="s">
        <v>795</v>
      </c>
      <c r="D816" s="45"/>
      <c r="E816" s="9" t="s">
        <v>1583</v>
      </c>
      <c r="F816" s="89">
        <v>43416</v>
      </c>
      <c r="G816" s="9"/>
      <c r="H816" s="9"/>
      <c r="I816" s="9"/>
      <c r="J816" t="s">
        <v>1400</v>
      </c>
      <c r="K816" s="120">
        <v>4.9000000000000004</v>
      </c>
      <c r="L816" s="9"/>
      <c r="M816" s="7"/>
    </row>
    <row r="817" spans="1:13" hidden="1" x14ac:dyDescent="0.25">
      <c r="A817" s="4"/>
      <c r="B817" s="28" t="str">
        <f>IF(ISNUMBER(MATCH(C817, Mgt_Unit!$C$5:$C$1018, 0)), INDEX(Mgt_Unit!$B$5:$B$1018, MATCH(C817, Mgt_Unit!$C$5:$C$1018, 0)), "")</f>
        <v>jennifer.moore</v>
      </c>
      <c r="C817" t="s">
        <v>795</v>
      </c>
      <c r="D817" s="45"/>
      <c r="E817" s="9" t="s">
        <v>1585</v>
      </c>
      <c r="F817" s="89">
        <v>43418</v>
      </c>
      <c r="G817" s="9"/>
      <c r="H817" s="9"/>
      <c r="I817" s="9"/>
      <c r="J817" t="s">
        <v>1398</v>
      </c>
      <c r="K817" s="120">
        <v>4</v>
      </c>
      <c r="L817" s="9"/>
      <c r="M817" s="7"/>
    </row>
    <row r="818" spans="1:13" hidden="1" x14ac:dyDescent="0.25">
      <c r="A818" s="4"/>
      <c r="B818" s="28" t="str">
        <f>IF(ISNUMBER(MATCH(C818, Mgt_Unit!$C$5:$C$1018, 0)), INDEX(Mgt_Unit!$B$5:$B$1018, MATCH(C818, Mgt_Unit!$C$5:$C$1018, 0)), "")</f>
        <v>jennifer.moore</v>
      </c>
      <c r="C818" t="s">
        <v>795</v>
      </c>
      <c r="D818" s="45"/>
      <c r="E818" s="9" t="s">
        <v>1583</v>
      </c>
      <c r="F818" s="89">
        <v>43595</v>
      </c>
      <c r="G818" s="9"/>
      <c r="H818" s="9"/>
      <c r="I818" s="9"/>
      <c r="J818" t="s">
        <v>1400</v>
      </c>
      <c r="K818" s="120">
        <v>4.9000000000000004</v>
      </c>
      <c r="L818" s="9"/>
      <c r="M818" s="7"/>
    </row>
    <row r="819" spans="1:13" hidden="1" x14ac:dyDescent="0.25">
      <c r="A819" s="4"/>
      <c r="B819" s="28" t="str">
        <f>IF(ISNUMBER(MATCH(C819, Mgt_Unit!$C$5:$C$1018, 0)), INDEX(Mgt_Unit!$B$5:$B$1018, MATCH(C819, Mgt_Unit!$C$5:$C$1018, 0)), "")</f>
        <v>jennifer.moore</v>
      </c>
      <c r="C819" t="s">
        <v>795</v>
      </c>
      <c r="D819" s="45"/>
      <c r="E819" s="9" t="s">
        <v>1584</v>
      </c>
      <c r="F819" s="89">
        <v>43600</v>
      </c>
      <c r="G819" s="9"/>
      <c r="H819" s="9"/>
      <c r="I819" s="9"/>
      <c r="J819" t="s">
        <v>1395</v>
      </c>
      <c r="K819" s="120">
        <v>7.8</v>
      </c>
      <c r="L819" s="9"/>
      <c r="M819" s="7"/>
    </row>
    <row r="820" spans="1:13" hidden="1" x14ac:dyDescent="0.25">
      <c r="A820" s="4"/>
      <c r="B820" s="28" t="str">
        <f>IF(ISNUMBER(MATCH(C820, Mgt_Unit!$C$5:$C$1018, 0)), INDEX(Mgt_Unit!$B$5:$B$1018, MATCH(C820, Mgt_Unit!$C$5:$C$1018, 0)), "")</f>
        <v>jennifer.moore</v>
      </c>
      <c r="C820" t="s">
        <v>795</v>
      </c>
      <c r="D820" s="45"/>
      <c r="E820" s="9" t="s">
        <v>1583</v>
      </c>
      <c r="F820" s="89">
        <v>43769</v>
      </c>
      <c r="G820" s="9"/>
      <c r="H820" s="9"/>
      <c r="I820" s="9"/>
      <c r="J820" t="s">
        <v>1403</v>
      </c>
      <c r="K820" s="120">
        <v>19</v>
      </c>
      <c r="L820" s="9"/>
      <c r="M820" s="7"/>
    </row>
    <row r="821" spans="1:13" hidden="1" x14ac:dyDescent="0.25">
      <c r="A821" s="4"/>
      <c r="B821" s="28" t="str">
        <f>IF(ISNUMBER(MATCH(C821, Mgt_Unit!$C$5:$C$1018, 0)), INDEX(Mgt_Unit!$B$5:$B$1018, MATCH(C821, Mgt_Unit!$C$5:$C$1018, 0)), "")</f>
        <v>jennifer.moore</v>
      </c>
      <c r="C821" t="s">
        <v>795</v>
      </c>
      <c r="D821" s="45"/>
      <c r="E821" s="9" t="s">
        <v>1585</v>
      </c>
      <c r="F821" s="89">
        <v>43771</v>
      </c>
      <c r="G821" s="9"/>
      <c r="H821" s="9"/>
      <c r="I821" s="9"/>
      <c r="J821" t="s">
        <v>1398</v>
      </c>
      <c r="K821" s="120">
        <v>4</v>
      </c>
      <c r="L821" s="9"/>
      <c r="M821" s="7"/>
    </row>
    <row r="822" spans="1:13" hidden="1" x14ac:dyDescent="0.25">
      <c r="A822" s="4"/>
      <c r="B822" s="28" t="str">
        <f>IF(ISNUMBER(MATCH(C822, Mgt_Unit!$C$5:$C$1018, 0)), INDEX(Mgt_Unit!$B$5:$B$1018, MATCH(C822, Mgt_Unit!$C$5:$C$1018, 0)), "")</f>
        <v>jennifer.moore</v>
      </c>
      <c r="C822" t="s">
        <v>796</v>
      </c>
      <c r="D822" s="45"/>
      <c r="E822" s="9" t="s">
        <v>1583</v>
      </c>
      <c r="F822" s="89">
        <v>42485</v>
      </c>
      <c r="G822" s="9"/>
      <c r="H822" s="9"/>
      <c r="I822" s="9"/>
      <c r="J822" t="s">
        <v>1400</v>
      </c>
      <c r="K822" s="120">
        <v>4.9000000000000004</v>
      </c>
      <c r="L822" s="9"/>
      <c r="M822" s="7"/>
    </row>
    <row r="823" spans="1:13" hidden="1" x14ac:dyDescent="0.25">
      <c r="A823" s="4"/>
      <c r="B823" s="28" t="str">
        <f>IF(ISNUMBER(MATCH(C823, Mgt_Unit!$C$5:$C$1018, 0)), INDEX(Mgt_Unit!$B$5:$B$1018, MATCH(C823, Mgt_Unit!$C$5:$C$1018, 0)), "")</f>
        <v>jennifer.moore</v>
      </c>
      <c r="C823" t="s">
        <v>796</v>
      </c>
      <c r="D823" s="45"/>
      <c r="E823" s="9" t="s">
        <v>1584</v>
      </c>
      <c r="F823" s="89">
        <v>42490</v>
      </c>
      <c r="G823" s="9"/>
      <c r="H823" s="9"/>
      <c r="I823" s="9"/>
      <c r="J823" t="s">
        <v>1395</v>
      </c>
      <c r="K823" s="120">
        <v>7.8</v>
      </c>
      <c r="L823" s="9"/>
      <c r="M823" s="7"/>
    </row>
    <row r="824" spans="1:13" hidden="1" x14ac:dyDescent="0.25">
      <c r="A824" s="4"/>
      <c r="B824" s="28" t="str">
        <f>IF(ISNUMBER(MATCH(C824, Mgt_Unit!$C$5:$C$1018, 0)), INDEX(Mgt_Unit!$B$5:$B$1018, MATCH(C824, Mgt_Unit!$C$5:$C$1018, 0)), "")</f>
        <v>jennifer.moore</v>
      </c>
      <c r="C824" t="s">
        <v>796</v>
      </c>
      <c r="D824" s="45"/>
      <c r="E824" s="9" t="s">
        <v>1583</v>
      </c>
      <c r="F824" s="89">
        <v>42673</v>
      </c>
      <c r="G824" s="9"/>
      <c r="H824" s="9"/>
      <c r="I824" s="9"/>
      <c r="J824" t="s">
        <v>1400</v>
      </c>
      <c r="K824" s="120">
        <v>4.9000000000000004</v>
      </c>
      <c r="L824" s="9"/>
      <c r="M824" s="7"/>
    </row>
    <row r="825" spans="1:13" hidden="1" x14ac:dyDescent="0.25">
      <c r="A825" s="4"/>
      <c r="B825" s="28" t="str">
        <f>IF(ISNUMBER(MATCH(C825, Mgt_Unit!$C$5:$C$1018, 0)), INDEX(Mgt_Unit!$B$5:$B$1018, MATCH(C825, Mgt_Unit!$C$5:$C$1018, 0)), "")</f>
        <v>jennifer.moore</v>
      </c>
      <c r="C825" t="s">
        <v>796</v>
      </c>
      <c r="D825" s="45"/>
      <c r="E825" s="9" t="s">
        <v>1585</v>
      </c>
      <c r="F825" s="89">
        <v>42674</v>
      </c>
      <c r="G825" s="9"/>
      <c r="H825" s="9"/>
      <c r="I825" s="9"/>
      <c r="J825" t="s">
        <v>1398</v>
      </c>
      <c r="K825" s="120">
        <v>4</v>
      </c>
      <c r="L825" s="9"/>
      <c r="M825" s="7"/>
    </row>
    <row r="826" spans="1:13" hidden="1" x14ac:dyDescent="0.25">
      <c r="A826" s="4"/>
      <c r="B826" s="28" t="str">
        <f>IF(ISNUMBER(MATCH(C826, Mgt_Unit!$C$5:$C$1018, 0)), INDEX(Mgt_Unit!$B$5:$B$1018, MATCH(C826, Mgt_Unit!$C$5:$C$1018, 0)), "")</f>
        <v>jennifer.moore</v>
      </c>
      <c r="C826" t="s">
        <v>796</v>
      </c>
      <c r="D826" s="45"/>
      <c r="E826" s="9" t="s">
        <v>1584</v>
      </c>
      <c r="F826" s="89">
        <v>42840</v>
      </c>
      <c r="G826" s="9"/>
      <c r="H826" s="9"/>
      <c r="I826" s="9"/>
      <c r="J826" t="s">
        <v>1398</v>
      </c>
      <c r="K826" s="120">
        <v>4</v>
      </c>
      <c r="L826" s="9"/>
      <c r="M826" s="7"/>
    </row>
    <row r="827" spans="1:13" hidden="1" x14ac:dyDescent="0.25">
      <c r="A827" s="4"/>
      <c r="B827" s="28" t="str">
        <f>IF(ISNUMBER(MATCH(C827, Mgt_Unit!$C$5:$C$1018, 0)), INDEX(Mgt_Unit!$B$5:$B$1018, MATCH(C827, Mgt_Unit!$C$5:$C$1018, 0)), "")</f>
        <v>jennifer.moore</v>
      </c>
      <c r="C827" t="s">
        <v>796</v>
      </c>
      <c r="D827" s="45"/>
      <c r="E827" s="9" t="s">
        <v>1583</v>
      </c>
      <c r="F827" s="89">
        <v>43416</v>
      </c>
      <c r="G827" s="9"/>
      <c r="H827" s="9"/>
      <c r="I827" s="9"/>
      <c r="J827" t="s">
        <v>1400</v>
      </c>
      <c r="K827" s="120">
        <v>4.9000000000000004</v>
      </c>
      <c r="L827" s="9"/>
      <c r="M827" s="7"/>
    </row>
    <row r="828" spans="1:13" hidden="1" x14ac:dyDescent="0.25">
      <c r="A828" s="4"/>
      <c r="B828" s="28" t="str">
        <f>IF(ISNUMBER(MATCH(C828, Mgt_Unit!$C$5:$C$1018, 0)), INDEX(Mgt_Unit!$B$5:$B$1018, MATCH(C828, Mgt_Unit!$C$5:$C$1018, 0)), "")</f>
        <v>jennifer.moore</v>
      </c>
      <c r="C828" t="s">
        <v>796</v>
      </c>
      <c r="D828" s="45"/>
      <c r="E828" s="9" t="s">
        <v>1585</v>
      </c>
      <c r="F828" s="89">
        <v>43418</v>
      </c>
      <c r="G828" s="9"/>
      <c r="H828" s="9"/>
      <c r="I828" s="9"/>
      <c r="J828" t="s">
        <v>1398</v>
      </c>
      <c r="K828" s="120">
        <v>4</v>
      </c>
      <c r="L828" s="9"/>
      <c r="M828" s="7"/>
    </row>
    <row r="829" spans="1:13" hidden="1" x14ac:dyDescent="0.25">
      <c r="A829" s="4"/>
      <c r="B829" s="28" t="str">
        <f>IF(ISNUMBER(MATCH(C829, Mgt_Unit!$C$5:$C$1018, 0)), INDEX(Mgt_Unit!$B$5:$B$1018, MATCH(C829, Mgt_Unit!$C$5:$C$1018, 0)), "")</f>
        <v>jennifer.moore</v>
      </c>
      <c r="C829" t="s">
        <v>796</v>
      </c>
      <c r="D829" s="45"/>
      <c r="E829" s="9" t="s">
        <v>1583</v>
      </c>
      <c r="F829" s="89">
        <v>43595</v>
      </c>
      <c r="G829" s="9"/>
      <c r="H829" s="9"/>
      <c r="I829" s="9"/>
      <c r="J829" t="s">
        <v>1400</v>
      </c>
      <c r="K829" s="120">
        <v>4.9000000000000004</v>
      </c>
      <c r="L829" s="9"/>
      <c r="M829" s="7"/>
    </row>
    <row r="830" spans="1:13" hidden="1" x14ac:dyDescent="0.25">
      <c r="A830" s="4"/>
      <c r="B830" s="28" t="str">
        <f>IF(ISNUMBER(MATCH(C830, Mgt_Unit!$C$5:$C$1018, 0)), INDEX(Mgt_Unit!$B$5:$B$1018, MATCH(C830, Mgt_Unit!$C$5:$C$1018, 0)), "")</f>
        <v>jennifer.moore</v>
      </c>
      <c r="C830" t="s">
        <v>796</v>
      </c>
      <c r="D830" s="45"/>
      <c r="E830" s="9" t="s">
        <v>1584</v>
      </c>
      <c r="F830" s="89">
        <v>43600</v>
      </c>
      <c r="G830" s="9"/>
      <c r="H830" s="9"/>
      <c r="I830" s="9"/>
      <c r="J830" t="s">
        <v>1395</v>
      </c>
      <c r="K830" s="120">
        <v>7.8</v>
      </c>
      <c r="L830" s="9"/>
      <c r="M830" s="7"/>
    </row>
    <row r="831" spans="1:13" hidden="1" x14ac:dyDescent="0.25">
      <c r="A831" s="4"/>
      <c r="B831" s="28" t="str">
        <f>IF(ISNUMBER(MATCH(C831, Mgt_Unit!$C$5:$C$1018, 0)), INDEX(Mgt_Unit!$B$5:$B$1018, MATCH(C831, Mgt_Unit!$C$5:$C$1018, 0)), "")</f>
        <v>jennifer.moore</v>
      </c>
      <c r="C831" t="s">
        <v>796</v>
      </c>
      <c r="D831" s="45"/>
      <c r="E831" s="9" t="s">
        <v>1583</v>
      </c>
      <c r="F831" s="89">
        <v>43769</v>
      </c>
      <c r="G831" s="9"/>
      <c r="H831" s="9"/>
      <c r="I831" s="9"/>
      <c r="J831" t="s">
        <v>1403</v>
      </c>
      <c r="K831" s="120">
        <v>19</v>
      </c>
      <c r="L831" s="9"/>
      <c r="M831" s="7"/>
    </row>
    <row r="832" spans="1:13" hidden="1" x14ac:dyDescent="0.25">
      <c r="A832" s="4"/>
      <c r="B832" s="28" t="str">
        <f>IF(ISNUMBER(MATCH(C832, Mgt_Unit!$C$5:$C$1018, 0)), INDEX(Mgt_Unit!$B$5:$B$1018, MATCH(C832, Mgt_Unit!$C$5:$C$1018, 0)), "")</f>
        <v>jennifer.moore</v>
      </c>
      <c r="C832" t="s">
        <v>796</v>
      </c>
      <c r="D832" s="45"/>
      <c r="E832" s="9" t="s">
        <v>1585</v>
      </c>
      <c r="F832" s="89">
        <v>43771</v>
      </c>
      <c r="G832" s="9"/>
      <c r="H832" s="9"/>
      <c r="I832" s="9"/>
      <c r="J832" t="s">
        <v>1398</v>
      </c>
      <c r="K832" s="120">
        <v>4</v>
      </c>
      <c r="L832" s="9"/>
      <c r="M832" s="7"/>
    </row>
    <row r="833" spans="1:13" hidden="1" x14ac:dyDescent="0.25">
      <c r="A833" s="4"/>
      <c r="B833" s="28" t="str">
        <f>IF(ISNUMBER(MATCH(C833, Mgt_Unit!$C$5:$C$1018, 0)), INDEX(Mgt_Unit!$B$5:$B$1018, MATCH(C833, Mgt_Unit!$C$5:$C$1018, 0)), "")</f>
        <v>jennifer.moore</v>
      </c>
      <c r="C833" t="s">
        <v>797</v>
      </c>
      <c r="D833" s="45"/>
      <c r="E833" s="9" t="s">
        <v>1583</v>
      </c>
      <c r="F833" s="89">
        <v>43215</v>
      </c>
      <c r="G833" s="9"/>
      <c r="H833" s="9"/>
      <c r="I833" s="9"/>
      <c r="J833" t="s">
        <v>1400</v>
      </c>
      <c r="K833" s="120">
        <v>4.9000000000000004</v>
      </c>
      <c r="L833" s="9"/>
      <c r="M833" s="7"/>
    </row>
    <row r="834" spans="1:13" hidden="1" x14ac:dyDescent="0.25">
      <c r="A834" s="4"/>
      <c r="B834" s="28" t="str">
        <f>IF(ISNUMBER(MATCH(C834, Mgt_Unit!$C$5:$C$1018, 0)), INDEX(Mgt_Unit!$B$5:$B$1018, MATCH(C834, Mgt_Unit!$C$5:$C$1018, 0)), "")</f>
        <v>jennifer.moore</v>
      </c>
      <c r="C834" t="s">
        <v>797</v>
      </c>
      <c r="D834" s="45"/>
      <c r="E834" s="9" t="s">
        <v>1584</v>
      </c>
      <c r="F834" s="89">
        <v>43220</v>
      </c>
      <c r="G834" s="9"/>
      <c r="H834" s="9"/>
      <c r="I834" s="9"/>
      <c r="J834" t="s">
        <v>1395</v>
      </c>
      <c r="K834" s="120">
        <v>7.8</v>
      </c>
      <c r="L834" s="9"/>
      <c r="M834" s="7"/>
    </row>
    <row r="835" spans="1:13" hidden="1" x14ac:dyDescent="0.25">
      <c r="A835" s="4"/>
      <c r="B835" s="28" t="str">
        <f>IF(ISNUMBER(MATCH(C835, Mgt_Unit!$C$5:$C$1018, 0)), INDEX(Mgt_Unit!$B$5:$B$1018, MATCH(C835, Mgt_Unit!$C$5:$C$1018, 0)), "")</f>
        <v>jennifer.moore</v>
      </c>
      <c r="C835" t="s">
        <v>797</v>
      </c>
      <c r="D835" s="45"/>
      <c r="E835" s="9" t="s">
        <v>1583</v>
      </c>
      <c r="F835" s="89">
        <v>43416</v>
      </c>
      <c r="G835" s="9"/>
      <c r="H835" s="9"/>
      <c r="I835" s="9"/>
      <c r="J835" t="s">
        <v>1396</v>
      </c>
      <c r="K835" s="120">
        <v>37</v>
      </c>
      <c r="L835" s="9"/>
      <c r="M835" s="7"/>
    </row>
    <row r="836" spans="1:13" hidden="1" x14ac:dyDescent="0.25">
      <c r="A836" s="4"/>
      <c r="B836" s="28" t="str">
        <f>IF(ISNUMBER(MATCH(C836, Mgt_Unit!$C$5:$C$1018, 0)), INDEX(Mgt_Unit!$B$5:$B$1018, MATCH(C836, Mgt_Unit!$C$5:$C$1018, 0)), "")</f>
        <v>jennifer.moore</v>
      </c>
      <c r="C836" t="s">
        <v>797</v>
      </c>
      <c r="D836" s="45"/>
      <c r="E836" s="9" t="s">
        <v>1585</v>
      </c>
      <c r="F836" s="89">
        <v>43418</v>
      </c>
      <c r="G836" s="9"/>
      <c r="H836" s="9"/>
      <c r="I836" s="9"/>
      <c r="J836" t="s">
        <v>1398</v>
      </c>
      <c r="K836" s="120">
        <v>4</v>
      </c>
      <c r="L836" s="9"/>
      <c r="M836" s="7"/>
    </row>
    <row r="837" spans="1:13" hidden="1" x14ac:dyDescent="0.25">
      <c r="A837" s="4"/>
      <c r="B837" s="28" t="str">
        <f>IF(ISNUMBER(MATCH(C837, Mgt_Unit!$C$5:$C$1018, 0)), INDEX(Mgt_Unit!$B$5:$B$1018, MATCH(C837, Mgt_Unit!$C$5:$C$1018, 0)), "")</f>
        <v>jennifer.moore</v>
      </c>
      <c r="C837" t="s">
        <v>797</v>
      </c>
      <c r="D837" s="45"/>
      <c r="E837" s="9" t="s">
        <v>1583</v>
      </c>
      <c r="F837" s="89">
        <v>43595</v>
      </c>
      <c r="G837" s="9"/>
      <c r="H837" s="9"/>
      <c r="I837" s="9"/>
      <c r="J837" t="s">
        <v>1400</v>
      </c>
      <c r="K837" s="120">
        <v>4.9000000000000004</v>
      </c>
      <c r="L837" s="9"/>
      <c r="M837" s="7"/>
    </row>
    <row r="838" spans="1:13" hidden="1" x14ac:dyDescent="0.25">
      <c r="A838" s="4"/>
      <c r="B838" s="28" t="str">
        <f>IF(ISNUMBER(MATCH(C838, Mgt_Unit!$C$5:$C$1018, 0)), INDEX(Mgt_Unit!$B$5:$B$1018, MATCH(C838, Mgt_Unit!$C$5:$C$1018, 0)), "")</f>
        <v>jennifer.moore</v>
      </c>
      <c r="C838" t="s">
        <v>797</v>
      </c>
      <c r="D838" s="45"/>
      <c r="E838" s="9" t="s">
        <v>1584</v>
      </c>
      <c r="F838" s="89">
        <v>43600</v>
      </c>
      <c r="G838" s="9"/>
      <c r="H838" s="9"/>
      <c r="I838" s="9"/>
      <c r="J838" t="s">
        <v>1395</v>
      </c>
      <c r="K838" s="120">
        <v>7.8</v>
      </c>
      <c r="L838" s="9"/>
      <c r="M838" s="7"/>
    </row>
    <row r="839" spans="1:13" hidden="1" x14ac:dyDescent="0.25">
      <c r="A839" s="4"/>
      <c r="B839" s="28" t="str">
        <f>IF(ISNUMBER(MATCH(C839, Mgt_Unit!$C$5:$C$1018, 0)), INDEX(Mgt_Unit!$B$5:$B$1018, MATCH(C839, Mgt_Unit!$C$5:$C$1018, 0)), "")</f>
        <v>jennifer.moore</v>
      </c>
      <c r="C839" t="s">
        <v>797</v>
      </c>
      <c r="D839" s="45"/>
      <c r="E839" s="9" t="s">
        <v>1583</v>
      </c>
      <c r="F839" s="89">
        <v>43769</v>
      </c>
      <c r="G839" s="9"/>
      <c r="H839" s="9"/>
      <c r="I839" s="9"/>
      <c r="J839" t="s">
        <v>1403</v>
      </c>
      <c r="K839" s="120">
        <v>19</v>
      </c>
      <c r="L839" s="9"/>
      <c r="M839" s="7"/>
    </row>
    <row r="840" spans="1:13" hidden="1" x14ac:dyDescent="0.25">
      <c r="A840" s="4"/>
      <c r="B840" s="28" t="str">
        <f>IF(ISNUMBER(MATCH(C840, Mgt_Unit!$C$5:$C$1018, 0)), INDEX(Mgt_Unit!$B$5:$B$1018, MATCH(C840, Mgt_Unit!$C$5:$C$1018, 0)), "")</f>
        <v>jennifer.moore</v>
      </c>
      <c r="C840" t="s">
        <v>797</v>
      </c>
      <c r="D840" s="45"/>
      <c r="E840" s="9" t="s">
        <v>1585</v>
      </c>
      <c r="F840" s="89">
        <v>43771</v>
      </c>
      <c r="G840" s="9"/>
      <c r="H840" s="9"/>
      <c r="I840" s="9"/>
      <c r="J840" t="s">
        <v>1398</v>
      </c>
      <c r="K840" s="120">
        <v>4</v>
      </c>
      <c r="L840" s="9"/>
      <c r="M840" s="7"/>
    </row>
    <row r="841" spans="1:13" hidden="1" x14ac:dyDescent="0.25">
      <c r="A841" s="4"/>
      <c r="B841" s="28" t="str">
        <f>IF(ISNUMBER(MATCH(C841, Mgt_Unit!$C$5:$C$1018, 0)), INDEX(Mgt_Unit!$B$5:$B$1018, MATCH(C841, Mgt_Unit!$C$5:$C$1018, 0)), "")</f>
        <v>jennifer.moore</v>
      </c>
      <c r="C841" t="s">
        <v>798</v>
      </c>
      <c r="D841" s="45"/>
      <c r="E841" s="9" t="s">
        <v>1583</v>
      </c>
      <c r="F841" s="89">
        <v>42485</v>
      </c>
      <c r="G841" s="9"/>
      <c r="H841" s="9"/>
      <c r="I841" s="9"/>
      <c r="J841" t="s">
        <v>1404</v>
      </c>
      <c r="K841" s="120">
        <v>20</v>
      </c>
      <c r="L841" s="9"/>
      <c r="M841" s="7"/>
    </row>
    <row r="842" spans="1:13" hidden="1" x14ac:dyDescent="0.25">
      <c r="A842" s="4"/>
      <c r="B842" s="28" t="str">
        <f>IF(ISNUMBER(MATCH(C842, Mgt_Unit!$C$5:$C$1018, 0)), INDEX(Mgt_Unit!$B$5:$B$1018, MATCH(C842, Mgt_Unit!$C$5:$C$1018, 0)), "")</f>
        <v>jennifer.moore</v>
      </c>
      <c r="C842" t="s">
        <v>798</v>
      </c>
      <c r="D842" s="45"/>
      <c r="E842" s="9" t="s">
        <v>1583</v>
      </c>
      <c r="F842" s="89">
        <v>42485</v>
      </c>
      <c r="G842" s="9"/>
      <c r="H842" s="9"/>
      <c r="I842" s="9"/>
      <c r="J842" t="s">
        <v>1405</v>
      </c>
      <c r="K842" s="120">
        <v>20</v>
      </c>
      <c r="L842" s="9"/>
      <c r="M842" s="7"/>
    </row>
    <row r="843" spans="1:13" hidden="1" x14ac:dyDescent="0.25">
      <c r="A843" s="4"/>
      <c r="B843" s="28" t="str">
        <f>IF(ISNUMBER(MATCH(C843, Mgt_Unit!$C$5:$C$1018, 0)), INDEX(Mgt_Unit!$B$5:$B$1018, MATCH(C843, Mgt_Unit!$C$5:$C$1018, 0)), "")</f>
        <v>jennifer.moore</v>
      </c>
      <c r="C843" t="s">
        <v>798</v>
      </c>
      <c r="D843" s="45"/>
      <c r="E843" s="9" t="s">
        <v>1583</v>
      </c>
      <c r="F843" s="89">
        <v>42506</v>
      </c>
      <c r="G843" s="9"/>
      <c r="H843" s="9"/>
      <c r="I843" s="9"/>
      <c r="J843" t="s">
        <v>1404</v>
      </c>
      <c r="K843" s="120">
        <v>20</v>
      </c>
      <c r="L843" s="9"/>
      <c r="M843" s="7"/>
    </row>
    <row r="844" spans="1:13" hidden="1" x14ac:dyDescent="0.25">
      <c r="A844" s="4"/>
      <c r="B844" s="28" t="str">
        <f>IF(ISNUMBER(MATCH(C844, Mgt_Unit!$C$5:$C$1018, 0)), INDEX(Mgt_Unit!$B$5:$B$1018, MATCH(C844, Mgt_Unit!$C$5:$C$1018, 0)), "")</f>
        <v>jennifer.moore</v>
      </c>
      <c r="C844" t="s">
        <v>798</v>
      </c>
      <c r="D844" s="45"/>
      <c r="E844" s="9" t="s">
        <v>1583</v>
      </c>
      <c r="F844" s="89">
        <v>42506</v>
      </c>
      <c r="G844" s="9"/>
      <c r="H844" s="9"/>
      <c r="I844" s="9"/>
      <c r="J844" t="s">
        <v>1405</v>
      </c>
      <c r="K844" s="120">
        <v>20</v>
      </c>
      <c r="L844" s="9"/>
      <c r="M844" s="7"/>
    </row>
    <row r="845" spans="1:13" hidden="1" x14ac:dyDescent="0.25">
      <c r="A845" s="4"/>
      <c r="B845" s="28" t="str">
        <f>IF(ISNUMBER(MATCH(C845, Mgt_Unit!$C$5:$C$1018, 0)), INDEX(Mgt_Unit!$B$5:$B$1018, MATCH(C845, Mgt_Unit!$C$5:$C$1018, 0)), "")</f>
        <v>jennifer.moore</v>
      </c>
      <c r="C845" t="s">
        <v>798</v>
      </c>
      <c r="D845" s="45"/>
      <c r="E845" s="9" t="s">
        <v>1583</v>
      </c>
      <c r="F845" s="89">
        <v>42523</v>
      </c>
      <c r="G845" s="9"/>
      <c r="H845" s="9"/>
      <c r="I845" s="9"/>
      <c r="J845" t="s">
        <v>1404</v>
      </c>
      <c r="K845" s="120">
        <v>20</v>
      </c>
      <c r="L845" s="9"/>
      <c r="M845" s="7"/>
    </row>
    <row r="846" spans="1:13" hidden="1" x14ac:dyDescent="0.25">
      <c r="A846" s="4"/>
      <c r="B846" s="28" t="str">
        <f>IF(ISNUMBER(MATCH(C846, Mgt_Unit!$C$5:$C$1018, 0)), INDEX(Mgt_Unit!$B$5:$B$1018, MATCH(C846, Mgt_Unit!$C$5:$C$1018, 0)), "")</f>
        <v>jennifer.moore</v>
      </c>
      <c r="C846" t="s">
        <v>798</v>
      </c>
      <c r="D846" s="45"/>
      <c r="E846" s="9" t="s">
        <v>1583</v>
      </c>
      <c r="F846" s="89">
        <v>42523</v>
      </c>
      <c r="G846" s="9"/>
      <c r="H846" s="9"/>
      <c r="I846" s="9"/>
      <c r="J846" t="s">
        <v>1405</v>
      </c>
      <c r="K846" s="120">
        <v>20</v>
      </c>
      <c r="L846" s="9"/>
      <c r="M846" s="7"/>
    </row>
    <row r="847" spans="1:13" hidden="1" x14ac:dyDescent="0.25">
      <c r="A847" s="4"/>
      <c r="B847" s="28" t="str">
        <f>IF(ISNUMBER(MATCH(C847, Mgt_Unit!$C$5:$C$1018, 0)), INDEX(Mgt_Unit!$B$5:$B$1018, MATCH(C847, Mgt_Unit!$C$5:$C$1018, 0)), "")</f>
        <v>jennifer.moore</v>
      </c>
      <c r="C847" t="s">
        <v>798</v>
      </c>
      <c r="D847" s="45"/>
      <c r="E847" s="9" t="s">
        <v>1583</v>
      </c>
      <c r="F847" s="89">
        <v>42678</v>
      </c>
      <c r="G847" s="9"/>
      <c r="H847" s="9"/>
      <c r="I847" s="9"/>
      <c r="J847" t="s">
        <v>1406</v>
      </c>
      <c r="K847" s="120">
        <v>17.600000000000001</v>
      </c>
      <c r="L847" s="9"/>
      <c r="M847" s="7"/>
    </row>
    <row r="848" spans="1:13" hidden="1" x14ac:dyDescent="0.25">
      <c r="A848" s="4"/>
      <c r="B848" s="28" t="str">
        <f>IF(ISNUMBER(MATCH(C848, Mgt_Unit!$C$5:$C$1018, 0)), INDEX(Mgt_Unit!$B$5:$B$1018, MATCH(C848, Mgt_Unit!$C$5:$C$1018, 0)), "")</f>
        <v>jennifer.moore</v>
      </c>
      <c r="C848" t="s">
        <v>798</v>
      </c>
      <c r="D848" s="45"/>
      <c r="E848" s="9" t="s">
        <v>1584</v>
      </c>
      <c r="F848" s="89">
        <v>42685</v>
      </c>
      <c r="G848" s="9"/>
      <c r="H848" s="9"/>
      <c r="I848" s="9"/>
      <c r="J848" t="s">
        <v>1407</v>
      </c>
      <c r="K848" s="120">
        <v>3.3</v>
      </c>
      <c r="L848" s="9"/>
      <c r="M848" s="7"/>
    </row>
    <row r="849" spans="1:13" hidden="1" x14ac:dyDescent="0.25">
      <c r="A849" s="4"/>
      <c r="B849" s="28" t="str">
        <f>IF(ISNUMBER(MATCH(C849, Mgt_Unit!$C$5:$C$1018, 0)), INDEX(Mgt_Unit!$B$5:$B$1018, MATCH(C849, Mgt_Unit!$C$5:$C$1018, 0)), "")</f>
        <v>jennifer.moore</v>
      </c>
      <c r="C849" t="s">
        <v>798</v>
      </c>
      <c r="D849" s="45"/>
      <c r="E849" s="9" t="s">
        <v>1583</v>
      </c>
      <c r="F849" s="89">
        <v>42943</v>
      </c>
      <c r="G849" s="9"/>
      <c r="H849" s="9"/>
      <c r="I849" s="9"/>
      <c r="J849" t="s">
        <v>1404</v>
      </c>
      <c r="K849" s="120">
        <v>20</v>
      </c>
      <c r="L849" s="9"/>
      <c r="M849" s="7"/>
    </row>
    <row r="850" spans="1:13" hidden="1" x14ac:dyDescent="0.25">
      <c r="A850" s="4"/>
      <c r="B850" s="28" t="str">
        <f>IF(ISNUMBER(MATCH(C850, Mgt_Unit!$C$5:$C$1018, 0)), INDEX(Mgt_Unit!$B$5:$B$1018, MATCH(C850, Mgt_Unit!$C$5:$C$1018, 0)), "")</f>
        <v>jennifer.moore</v>
      </c>
      <c r="C850" t="s">
        <v>798</v>
      </c>
      <c r="D850" s="45"/>
      <c r="E850" s="9" t="s">
        <v>1583</v>
      </c>
      <c r="F850" s="89">
        <v>42943</v>
      </c>
      <c r="G850" s="9"/>
      <c r="H850" s="9"/>
      <c r="I850" s="9"/>
      <c r="J850" t="s">
        <v>1405</v>
      </c>
      <c r="K850" s="120">
        <v>20</v>
      </c>
      <c r="L850" s="9"/>
      <c r="M850" s="7"/>
    </row>
    <row r="851" spans="1:13" hidden="1" x14ac:dyDescent="0.25">
      <c r="A851" s="4"/>
      <c r="B851" s="28" t="str">
        <f>IF(ISNUMBER(MATCH(C851, Mgt_Unit!$C$5:$C$1018, 0)), INDEX(Mgt_Unit!$B$5:$B$1018, MATCH(C851, Mgt_Unit!$C$5:$C$1018, 0)), "")</f>
        <v>jennifer.moore</v>
      </c>
      <c r="C851" t="s">
        <v>798</v>
      </c>
      <c r="D851" s="45"/>
      <c r="E851" s="9" t="s">
        <v>1583</v>
      </c>
      <c r="F851" s="89">
        <v>42990</v>
      </c>
      <c r="G851" s="9"/>
      <c r="H851" s="9"/>
      <c r="I851" s="9"/>
      <c r="J851" t="s">
        <v>1404</v>
      </c>
      <c r="K851" s="120">
        <v>20</v>
      </c>
      <c r="L851" s="9"/>
      <c r="M851" s="7"/>
    </row>
    <row r="852" spans="1:13" hidden="1" x14ac:dyDescent="0.25">
      <c r="A852" s="4"/>
      <c r="B852" s="28" t="str">
        <f>IF(ISNUMBER(MATCH(C852, Mgt_Unit!$C$5:$C$1018, 0)), INDEX(Mgt_Unit!$B$5:$B$1018, MATCH(C852, Mgt_Unit!$C$5:$C$1018, 0)), "")</f>
        <v>jennifer.moore</v>
      </c>
      <c r="C852" t="s">
        <v>798</v>
      </c>
      <c r="D852" s="45"/>
      <c r="E852" s="9" t="s">
        <v>1583</v>
      </c>
      <c r="F852" s="89">
        <v>42990</v>
      </c>
      <c r="G852" s="9"/>
      <c r="H852" s="9"/>
      <c r="I852" s="9"/>
      <c r="J852" t="s">
        <v>1405</v>
      </c>
      <c r="K852" s="120">
        <v>20</v>
      </c>
      <c r="L852" s="9"/>
      <c r="M852" s="7"/>
    </row>
    <row r="853" spans="1:13" hidden="1" x14ac:dyDescent="0.25">
      <c r="A853" s="4"/>
      <c r="B853" s="28" t="str">
        <f>IF(ISNUMBER(MATCH(C853, Mgt_Unit!$C$5:$C$1018, 0)), INDEX(Mgt_Unit!$B$5:$B$1018, MATCH(C853, Mgt_Unit!$C$5:$C$1018, 0)), "")</f>
        <v>jennifer.moore</v>
      </c>
      <c r="C853" t="s">
        <v>799</v>
      </c>
      <c r="D853" s="45"/>
      <c r="E853" s="9" t="s">
        <v>1583</v>
      </c>
      <c r="F853" s="89">
        <v>42485</v>
      </c>
      <c r="G853" s="9"/>
      <c r="H853" s="9"/>
      <c r="I853" s="9"/>
      <c r="J853" t="s">
        <v>1404</v>
      </c>
      <c r="K853" s="120">
        <v>20</v>
      </c>
      <c r="L853" s="9"/>
      <c r="M853" s="7"/>
    </row>
    <row r="854" spans="1:13" hidden="1" x14ac:dyDescent="0.25">
      <c r="A854" s="4"/>
      <c r="B854" s="28" t="str">
        <f>IF(ISNUMBER(MATCH(C854, Mgt_Unit!$C$5:$C$1018, 0)), INDEX(Mgt_Unit!$B$5:$B$1018, MATCH(C854, Mgt_Unit!$C$5:$C$1018, 0)), "")</f>
        <v>jennifer.moore</v>
      </c>
      <c r="C854" t="s">
        <v>799</v>
      </c>
      <c r="D854" s="45"/>
      <c r="E854" s="9" t="s">
        <v>1583</v>
      </c>
      <c r="F854" s="89">
        <v>42485</v>
      </c>
      <c r="G854" s="9"/>
      <c r="H854" s="9"/>
      <c r="I854" s="9"/>
      <c r="J854" t="s">
        <v>1405</v>
      </c>
      <c r="K854" s="120">
        <v>20</v>
      </c>
      <c r="L854" s="9"/>
      <c r="M854" s="7"/>
    </row>
    <row r="855" spans="1:13" hidden="1" x14ac:dyDescent="0.25">
      <c r="A855" s="4"/>
      <c r="B855" s="28" t="str">
        <f>IF(ISNUMBER(MATCH(C855, Mgt_Unit!$C$5:$C$1018, 0)), INDEX(Mgt_Unit!$B$5:$B$1018, MATCH(C855, Mgt_Unit!$C$5:$C$1018, 0)), "")</f>
        <v>jennifer.moore</v>
      </c>
      <c r="C855" t="s">
        <v>799</v>
      </c>
      <c r="D855" s="45"/>
      <c r="E855" s="9" t="s">
        <v>1583</v>
      </c>
      <c r="F855" s="89">
        <v>42506</v>
      </c>
      <c r="G855" s="9"/>
      <c r="H855" s="9"/>
      <c r="I855" s="9"/>
      <c r="J855" t="s">
        <v>1404</v>
      </c>
      <c r="K855" s="120">
        <v>20</v>
      </c>
      <c r="L855" s="9"/>
      <c r="M855" s="7"/>
    </row>
    <row r="856" spans="1:13" hidden="1" x14ac:dyDescent="0.25">
      <c r="A856" s="4"/>
      <c r="B856" s="28" t="str">
        <f>IF(ISNUMBER(MATCH(C856, Mgt_Unit!$C$5:$C$1018, 0)), INDEX(Mgt_Unit!$B$5:$B$1018, MATCH(C856, Mgt_Unit!$C$5:$C$1018, 0)), "")</f>
        <v>jennifer.moore</v>
      </c>
      <c r="C856" t="s">
        <v>799</v>
      </c>
      <c r="D856" s="45"/>
      <c r="E856" s="9" t="s">
        <v>1583</v>
      </c>
      <c r="F856" s="89">
        <v>42506</v>
      </c>
      <c r="G856" s="9"/>
      <c r="H856" s="9"/>
      <c r="I856" s="9"/>
      <c r="J856" t="s">
        <v>1405</v>
      </c>
      <c r="K856" s="120">
        <v>20</v>
      </c>
      <c r="L856" s="9"/>
      <c r="M856" s="7"/>
    </row>
    <row r="857" spans="1:13" hidden="1" x14ac:dyDescent="0.25">
      <c r="A857" s="4"/>
      <c r="B857" s="28" t="str">
        <f>IF(ISNUMBER(MATCH(C857, Mgt_Unit!$C$5:$C$1018, 0)), INDEX(Mgt_Unit!$B$5:$B$1018, MATCH(C857, Mgt_Unit!$C$5:$C$1018, 0)), "")</f>
        <v>jennifer.moore</v>
      </c>
      <c r="C857" t="s">
        <v>799</v>
      </c>
      <c r="D857" s="45"/>
      <c r="E857" s="9" t="s">
        <v>1583</v>
      </c>
      <c r="F857" s="89">
        <v>42523</v>
      </c>
      <c r="G857" s="9"/>
      <c r="H857" s="9"/>
      <c r="I857" s="9"/>
      <c r="J857" t="s">
        <v>1404</v>
      </c>
      <c r="K857" s="120">
        <v>20</v>
      </c>
      <c r="L857" s="9"/>
      <c r="M857" s="7"/>
    </row>
    <row r="858" spans="1:13" hidden="1" x14ac:dyDescent="0.25">
      <c r="A858" s="4"/>
      <c r="B858" s="28" t="str">
        <f>IF(ISNUMBER(MATCH(C858, Mgt_Unit!$C$5:$C$1018, 0)), INDEX(Mgt_Unit!$B$5:$B$1018, MATCH(C858, Mgt_Unit!$C$5:$C$1018, 0)), "")</f>
        <v>jennifer.moore</v>
      </c>
      <c r="C858" t="s">
        <v>799</v>
      </c>
      <c r="D858" s="45"/>
      <c r="E858" s="9" t="s">
        <v>1583</v>
      </c>
      <c r="F858" s="89">
        <v>42523</v>
      </c>
      <c r="G858" s="9"/>
      <c r="H858" s="9"/>
      <c r="I858" s="9"/>
      <c r="J858" t="s">
        <v>1405</v>
      </c>
      <c r="K858" s="120">
        <v>20</v>
      </c>
      <c r="L858" s="9"/>
      <c r="M858" s="7"/>
    </row>
    <row r="859" spans="1:13" hidden="1" x14ac:dyDescent="0.25">
      <c r="A859" s="4"/>
      <c r="B859" s="28" t="str">
        <f>IF(ISNUMBER(MATCH(C859, Mgt_Unit!$C$5:$C$1018, 0)), INDEX(Mgt_Unit!$B$5:$B$1018, MATCH(C859, Mgt_Unit!$C$5:$C$1018, 0)), "")</f>
        <v>jennifer.moore</v>
      </c>
      <c r="C859" t="s">
        <v>799</v>
      </c>
      <c r="D859" s="45"/>
      <c r="E859" s="9" t="s">
        <v>1583</v>
      </c>
      <c r="F859" s="89">
        <v>42678</v>
      </c>
      <c r="G859" s="9"/>
      <c r="H859" s="9"/>
      <c r="I859" s="9"/>
      <c r="J859" t="s">
        <v>1406</v>
      </c>
      <c r="K859" s="120">
        <v>17.600000000000001</v>
      </c>
      <c r="L859" s="9"/>
      <c r="M859" s="7"/>
    </row>
    <row r="860" spans="1:13" hidden="1" x14ac:dyDescent="0.25">
      <c r="A860" s="4"/>
      <c r="B860" s="28" t="str">
        <f>IF(ISNUMBER(MATCH(C860, Mgt_Unit!$C$5:$C$1018, 0)), INDEX(Mgt_Unit!$B$5:$B$1018, MATCH(C860, Mgt_Unit!$C$5:$C$1018, 0)), "")</f>
        <v>jennifer.moore</v>
      </c>
      <c r="C860" t="s">
        <v>799</v>
      </c>
      <c r="D860" s="45"/>
      <c r="E860" s="9" t="s">
        <v>1584</v>
      </c>
      <c r="F860" s="89">
        <v>42685</v>
      </c>
      <c r="G860" s="9"/>
      <c r="H860" s="9"/>
      <c r="I860" s="9"/>
      <c r="J860" t="s">
        <v>1408</v>
      </c>
      <c r="K860" s="120">
        <v>3.3</v>
      </c>
      <c r="L860" s="9"/>
      <c r="M860" s="7"/>
    </row>
    <row r="861" spans="1:13" hidden="1" x14ac:dyDescent="0.25">
      <c r="A861" s="4"/>
      <c r="B861" s="28" t="str">
        <f>IF(ISNUMBER(MATCH(C861, Mgt_Unit!$C$5:$C$1018, 0)), INDEX(Mgt_Unit!$B$5:$B$1018, MATCH(C861, Mgt_Unit!$C$5:$C$1018, 0)), "")</f>
        <v>jennifer.moore</v>
      </c>
      <c r="C861" t="s">
        <v>799</v>
      </c>
      <c r="D861" s="45"/>
      <c r="E861" s="9" t="s">
        <v>1583</v>
      </c>
      <c r="F861" s="89">
        <v>42943</v>
      </c>
      <c r="G861" s="9"/>
      <c r="H861" s="9"/>
      <c r="I861" s="9"/>
      <c r="J861" t="s">
        <v>1404</v>
      </c>
      <c r="K861" s="120">
        <v>20</v>
      </c>
      <c r="L861" s="9"/>
      <c r="M861" s="7"/>
    </row>
    <row r="862" spans="1:13" hidden="1" x14ac:dyDescent="0.25">
      <c r="A862" s="4"/>
      <c r="B862" s="28" t="str">
        <f>IF(ISNUMBER(MATCH(C862, Mgt_Unit!$C$5:$C$1018, 0)), INDEX(Mgt_Unit!$B$5:$B$1018, MATCH(C862, Mgt_Unit!$C$5:$C$1018, 0)), "")</f>
        <v>jennifer.moore</v>
      </c>
      <c r="C862" t="s">
        <v>799</v>
      </c>
      <c r="D862" s="45"/>
      <c r="E862" s="9" t="s">
        <v>1583</v>
      </c>
      <c r="F862" s="89">
        <v>42943</v>
      </c>
      <c r="G862" s="9"/>
      <c r="H862" s="9"/>
      <c r="I862" s="9"/>
      <c r="J862" t="s">
        <v>1405</v>
      </c>
      <c r="K862" s="120">
        <v>20</v>
      </c>
      <c r="L862" s="9"/>
      <c r="M862" s="7"/>
    </row>
    <row r="863" spans="1:13" hidden="1" x14ac:dyDescent="0.25">
      <c r="A863" s="4"/>
      <c r="B863" s="28" t="str">
        <f>IF(ISNUMBER(MATCH(C863, Mgt_Unit!$C$5:$C$1018, 0)), INDEX(Mgt_Unit!$B$5:$B$1018, MATCH(C863, Mgt_Unit!$C$5:$C$1018, 0)), "")</f>
        <v>jennifer.moore</v>
      </c>
      <c r="C863" t="s">
        <v>799</v>
      </c>
      <c r="D863" s="45"/>
      <c r="E863" s="9" t="s">
        <v>1583</v>
      </c>
      <c r="F863" s="89">
        <v>42990</v>
      </c>
      <c r="G863" s="9"/>
      <c r="H863" s="9"/>
      <c r="I863" s="9"/>
      <c r="J863" t="s">
        <v>1404</v>
      </c>
      <c r="K863" s="120">
        <v>20</v>
      </c>
      <c r="L863" s="9"/>
      <c r="M863" s="7"/>
    </row>
    <row r="864" spans="1:13" hidden="1" x14ac:dyDescent="0.25">
      <c r="A864" s="4"/>
      <c r="B864" s="28" t="str">
        <f>IF(ISNUMBER(MATCH(C864, Mgt_Unit!$C$5:$C$1018, 0)), INDEX(Mgt_Unit!$B$5:$B$1018, MATCH(C864, Mgt_Unit!$C$5:$C$1018, 0)), "")</f>
        <v>jennifer.moore</v>
      </c>
      <c r="C864" t="s">
        <v>799</v>
      </c>
      <c r="D864" s="45"/>
      <c r="E864" s="9" t="s">
        <v>1583</v>
      </c>
      <c r="F864" s="89">
        <v>42990</v>
      </c>
      <c r="G864" s="9"/>
      <c r="H864" s="9"/>
      <c r="I864" s="9"/>
      <c r="J864" t="s">
        <v>1405</v>
      </c>
      <c r="K864" s="120">
        <v>20</v>
      </c>
      <c r="L864" s="9"/>
      <c r="M864" s="7"/>
    </row>
    <row r="865" spans="1:13" hidden="1" x14ac:dyDescent="0.25">
      <c r="A865" s="4"/>
      <c r="B865" s="28" t="str">
        <f>IF(ISNUMBER(MATCH(C865, Mgt_Unit!$C$5:$C$1018, 0)), INDEX(Mgt_Unit!$B$5:$B$1018, MATCH(C865, Mgt_Unit!$C$5:$C$1018, 0)), "")</f>
        <v>jennifer.moore</v>
      </c>
      <c r="C865" t="s">
        <v>800</v>
      </c>
      <c r="D865" s="45"/>
      <c r="E865" s="9" t="s">
        <v>1583</v>
      </c>
      <c r="F865" s="89">
        <v>42468</v>
      </c>
      <c r="G865" s="9"/>
      <c r="H865" s="9"/>
      <c r="I865" s="9"/>
      <c r="J865" t="s">
        <v>1404</v>
      </c>
      <c r="K865" s="120">
        <v>20</v>
      </c>
      <c r="L865" s="9"/>
      <c r="M865" s="7"/>
    </row>
    <row r="866" spans="1:13" hidden="1" x14ac:dyDescent="0.25">
      <c r="A866" s="4"/>
      <c r="B866" s="28" t="str">
        <f>IF(ISNUMBER(MATCH(C866, Mgt_Unit!$C$5:$C$1018, 0)), INDEX(Mgt_Unit!$B$5:$B$1018, MATCH(C866, Mgt_Unit!$C$5:$C$1018, 0)), "")</f>
        <v>jennifer.moore</v>
      </c>
      <c r="C866" t="s">
        <v>800</v>
      </c>
      <c r="D866" s="45"/>
      <c r="E866" s="9" t="s">
        <v>1583</v>
      </c>
      <c r="F866" s="89">
        <v>42468</v>
      </c>
      <c r="G866" s="9"/>
      <c r="H866" s="9"/>
      <c r="I866" s="9"/>
      <c r="J866" t="s">
        <v>1405</v>
      </c>
      <c r="K866" s="120">
        <v>20</v>
      </c>
      <c r="L866" s="9"/>
      <c r="M866" s="7"/>
    </row>
    <row r="867" spans="1:13" hidden="1" x14ac:dyDescent="0.25">
      <c r="A867" s="4"/>
      <c r="B867" s="28" t="str">
        <f>IF(ISNUMBER(MATCH(C867, Mgt_Unit!$C$5:$C$1018, 0)), INDEX(Mgt_Unit!$B$5:$B$1018, MATCH(C867, Mgt_Unit!$C$5:$C$1018, 0)), "")</f>
        <v>jennifer.moore</v>
      </c>
      <c r="C867" t="s">
        <v>800</v>
      </c>
      <c r="D867" s="45"/>
      <c r="E867" s="9" t="s">
        <v>1583</v>
      </c>
      <c r="F867" s="89">
        <v>42485</v>
      </c>
      <c r="G867" s="9"/>
      <c r="H867" s="9"/>
      <c r="I867" s="9"/>
      <c r="J867" t="s">
        <v>1404</v>
      </c>
      <c r="K867" s="120">
        <v>20</v>
      </c>
      <c r="L867" s="9"/>
      <c r="M867" s="7"/>
    </row>
    <row r="868" spans="1:13" hidden="1" x14ac:dyDescent="0.25">
      <c r="A868" s="4"/>
      <c r="B868" s="28" t="str">
        <f>IF(ISNUMBER(MATCH(C868, Mgt_Unit!$C$5:$C$1018, 0)), INDEX(Mgt_Unit!$B$5:$B$1018, MATCH(C868, Mgt_Unit!$C$5:$C$1018, 0)), "")</f>
        <v>jennifer.moore</v>
      </c>
      <c r="C868" t="s">
        <v>800</v>
      </c>
      <c r="D868" s="45"/>
      <c r="E868" s="9" t="s">
        <v>1583</v>
      </c>
      <c r="F868" s="89">
        <v>42485</v>
      </c>
      <c r="G868" s="9"/>
      <c r="H868" s="9"/>
      <c r="I868" s="9"/>
      <c r="J868" t="s">
        <v>1405</v>
      </c>
      <c r="K868" s="120">
        <v>20</v>
      </c>
      <c r="L868" s="9"/>
      <c r="M868" s="7"/>
    </row>
    <row r="869" spans="1:13" hidden="1" x14ac:dyDescent="0.25">
      <c r="A869" s="4"/>
      <c r="B869" s="28" t="str">
        <f>IF(ISNUMBER(MATCH(C869, Mgt_Unit!$C$5:$C$1018, 0)), INDEX(Mgt_Unit!$B$5:$B$1018, MATCH(C869, Mgt_Unit!$C$5:$C$1018, 0)), "")</f>
        <v>jennifer.moore</v>
      </c>
      <c r="C869" t="s">
        <v>800</v>
      </c>
      <c r="D869" s="45"/>
      <c r="E869" s="9" t="s">
        <v>1583</v>
      </c>
      <c r="F869" s="89">
        <v>42506</v>
      </c>
      <c r="G869" s="9"/>
      <c r="H869" s="9"/>
      <c r="I869" s="9"/>
      <c r="J869" t="s">
        <v>1404</v>
      </c>
      <c r="K869" s="120">
        <v>20</v>
      </c>
      <c r="L869" s="9"/>
      <c r="M869" s="7"/>
    </row>
    <row r="870" spans="1:13" hidden="1" x14ac:dyDescent="0.25">
      <c r="A870" s="4"/>
      <c r="B870" s="28" t="str">
        <f>IF(ISNUMBER(MATCH(C870, Mgt_Unit!$C$5:$C$1018, 0)), INDEX(Mgt_Unit!$B$5:$B$1018, MATCH(C870, Mgt_Unit!$C$5:$C$1018, 0)), "")</f>
        <v>jennifer.moore</v>
      </c>
      <c r="C870" t="s">
        <v>800</v>
      </c>
      <c r="D870" s="45"/>
      <c r="E870" s="9" t="s">
        <v>1583</v>
      </c>
      <c r="F870" s="89">
        <v>42506</v>
      </c>
      <c r="G870" s="9"/>
      <c r="H870" s="9"/>
      <c r="I870" s="9"/>
      <c r="J870" t="s">
        <v>1405</v>
      </c>
      <c r="K870" s="120">
        <v>20</v>
      </c>
      <c r="L870" s="9"/>
      <c r="M870" s="7"/>
    </row>
    <row r="871" spans="1:13" hidden="1" x14ac:dyDescent="0.25">
      <c r="A871" s="4"/>
      <c r="B871" s="28" t="str">
        <f>IF(ISNUMBER(MATCH(C871, Mgt_Unit!$C$5:$C$1018, 0)), INDEX(Mgt_Unit!$B$5:$B$1018, MATCH(C871, Mgt_Unit!$C$5:$C$1018, 0)), "")</f>
        <v>jennifer.moore</v>
      </c>
      <c r="C871" t="s">
        <v>800</v>
      </c>
      <c r="D871" s="45"/>
      <c r="E871" s="9" t="s">
        <v>1583</v>
      </c>
      <c r="F871" s="89">
        <v>42523</v>
      </c>
      <c r="G871" s="9"/>
      <c r="H871" s="9"/>
      <c r="I871" s="9"/>
      <c r="J871" t="s">
        <v>1404</v>
      </c>
      <c r="K871" s="120">
        <v>20</v>
      </c>
      <c r="L871" s="9"/>
      <c r="M871" s="7"/>
    </row>
    <row r="872" spans="1:13" hidden="1" x14ac:dyDescent="0.25">
      <c r="A872" s="4"/>
      <c r="B872" s="28" t="str">
        <f>IF(ISNUMBER(MATCH(C872, Mgt_Unit!$C$5:$C$1018, 0)), INDEX(Mgt_Unit!$B$5:$B$1018, MATCH(C872, Mgt_Unit!$C$5:$C$1018, 0)), "")</f>
        <v>jennifer.moore</v>
      </c>
      <c r="C872" t="s">
        <v>800</v>
      </c>
      <c r="D872" s="45"/>
      <c r="E872" s="9" t="s">
        <v>1583</v>
      </c>
      <c r="F872" s="89">
        <v>42523</v>
      </c>
      <c r="G872" s="9"/>
      <c r="H872" s="9"/>
      <c r="I872" s="9"/>
      <c r="J872" t="s">
        <v>1405</v>
      </c>
      <c r="K872" s="120">
        <v>20</v>
      </c>
      <c r="L872" s="9"/>
      <c r="M872" s="7"/>
    </row>
    <row r="873" spans="1:13" hidden="1" x14ac:dyDescent="0.25">
      <c r="A873" s="4"/>
      <c r="B873" s="28" t="str">
        <f>IF(ISNUMBER(MATCH(C873, Mgt_Unit!$C$5:$C$1018, 0)), INDEX(Mgt_Unit!$B$5:$B$1018, MATCH(C873, Mgt_Unit!$C$5:$C$1018, 0)), "")</f>
        <v>jennifer.moore</v>
      </c>
      <c r="C873" t="s">
        <v>800</v>
      </c>
      <c r="D873" s="45"/>
      <c r="E873" s="9" t="s">
        <v>1583</v>
      </c>
      <c r="F873" s="89">
        <v>42678</v>
      </c>
      <c r="G873" s="9"/>
      <c r="H873" s="9"/>
      <c r="I873" s="9"/>
      <c r="J873" t="s">
        <v>1406</v>
      </c>
      <c r="K873" s="120">
        <v>17.600000000000001</v>
      </c>
      <c r="L873" s="9"/>
      <c r="M873" s="7"/>
    </row>
    <row r="874" spans="1:13" hidden="1" x14ac:dyDescent="0.25">
      <c r="A874" s="4"/>
      <c r="B874" s="28" t="str">
        <f>IF(ISNUMBER(MATCH(C874, Mgt_Unit!$C$5:$C$1018, 0)), INDEX(Mgt_Unit!$B$5:$B$1018, MATCH(C874, Mgt_Unit!$C$5:$C$1018, 0)), "")</f>
        <v>jennifer.moore</v>
      </c>
      <c r="C874" t="s">
        <v>800</v>
      </c>
      <c r="D874" s="45"/>
      <c r="E874" s="9" t="s">
        <v>1584</v>
      </c>
      <c r="F874" s="89">
        <v>42685</v>
      </c>
      <c r="G874" s="9"/>
      <c r="H874" s="9"/>
      <c r="I874" s="9"/>
      <c r="J874" t="s">
        <v>1408</v>
      </c>
      <c r="K874" s="120">
        <v>3.3</v>
      </c>
      <c r="L874" s="9"/>
      <c r="M874" s="7"/>
    </row>
    <row r="875" spans="1:13" hidden="1" x14ac:dyDescent="0.25">
      <c r="A875" s="4"/>
      <c r="B875" s="28" t="str">
        <f>IF(ISNUMBER(MATCH(C875, Mgt_Unit!$C$5:$C$1018, 0)), INDEX(Mgt_Unit!$B$5:$B$1018, MATCH(C875, Mgt_Unit!$C$5:$C$1018, 0)), "")</f>
        <v>jennifer.moore</v>
      </c>
      <c r="C875" t="s">
        <v>800</v>
      </c>
      <c r="D875" s="45"/>
      <c r="E875" s="9" t="s">
        <v>1583</v>
      </c>
      <c r="F875" s="89">
        <v>42943</v>
      </c>
      <c r="G875" s="9"/>
      <c r="H875" s="9"/>
      <c r="I875" s="9"/>
      <c r="J875" t="s">
        <v>1404</v>
      </c>
      <c r="K875" s="120">
        <v>20</v>
      </c>
      <c r="L875" s="9"/>
      <c r="M875" s="7"/>
    </row>
    <row r="876" spans="1:13" hidden="1" x14ac:dyDescent="0.25">
      <c r="A876" s="4"/>
      <c r="B876" s="28" t="str">
        <f>IF(ISNUMBER(MATCH(C876, Mgt_Unit!$C$5:$C$1018, 0)), INDEX(Mgt_Unit!$B$5:$B$1018, MATCH(C876, Mgt_Unit!$C$5:$C$1018, 0)), "")</f>
        <v>jennifer.moore</v>
      </c>
      <c r="C876" t="s">
        <v>800</v>
      </c>
      <c r="D876" s="45"/>
      <c r="E876" s="9" t="s">
        <v>1583</v>
      </c>
      <c r="F876" s="89">
        <v>42943</v>
      </c>
      <c r="G876" s="9"/>
      <c r="H876" s="9"/>
      <c r="I876" s="9"/>
      <c r="J876" t="s">
        <v>1405</v>
      </c>
      <c r="K876" s="120">
        <v>20</v>
      </c>
      <c r="L876" s="9"/>
      <c r="M876" s="7"/>
    </row>
    <row r="877" spans="1:13" hidden="1" x14ac:dyDescent="0.25">
      <c r="A877" s="4"/>
      <c r="B877" s="28" t="str">
        <f>IF(ISNUMBER(MATCH(C877, Mgt_Unit!$C$5:$C$1018, 0)), INDEX(Mgt_Unit!$B$5:$B$1018, MATCH(C877, Mgt_Unit!$C$5:$C$1018, 0)), "")</f>
        <v>jennifer.moore</v>
      </c>
      <c r="C877" t="s">
        <v>800</v>
      </c>
      <c r="D877" s="45"/>
      <c r="E877" s="9" t="s">
        <v>1583</v>
      </c>
      <c r="F877" s="89">
        <v>42990</v>
      </c>
      <c r="G877" s="9"/>
      <c r="H877" s="9"/>
      <c r="I877" s="9"/>
      <c r="J877" t="s">
        <v>1404</v>
      </c>
      <c r="K877" s="120">
        <v>20</v>
      </c>
      <c r="L877" s="9"/>
      <c r="M877" s="7"/>
    </row>
    <row r="878" spans="1:13" hidden="1" x14ac:dyDescent="0.25">
      <c r="A878" s="4"/>
      <c r="B878" s="28" t="str">
        <f>IF(ISNUMBER(MATCH(C878, Mgt_Unit!$C$5:$C$1018, 0)), INDEX(Mgt_Unit!$B$5:$B$1018, MATCH(C878, Mgt_Unit!$C$5:$C$1018, 0)), "")</f>
        <v>jennifer.moore</v>
      </c>
      <c r="C878" t="s">
        <v>800</v>
      </c>
      <c r="D878" s="45"/>
      <c r="E878" s="9" t="s">
        <v>1583</v>
      </c>
      <c r="F878" s="89">
        <v>42990</v>
      </c>
      <c r="G878" s="9"/>
      <c r="H878" s="9"/>
      <c r="I878" s="9"/>
      <c r="J878" t="s">
        <v>1405</v>
      </c>
      <c r="K878" s="120">
        <v>20</v>
      </c>
      <c r="L878" s="9"/>
      <c r="M878" s="7"/>
    </row>
    <row r="879" spans="1:13" hidden="1" x14ac:dyDescent="0.25">
      <c r="A879" s="4"/>
      <c r="B879" s="28" t="str">
        <f>IF(ISNUMBER(MATCH(C879, Mgt_Unit!$C$5:$C$1018, 0)), INDEX(Mgt_Unit!$B$5:$B$1018, MATCH(C879, Mgt_Unit!$C$5:$C$1018, 0)), "")</f>
        <v>jennifer.moore</v>
      </c>
      <c r="C879" t="s">
        <v>800</v>
      </c>
      <c r="D879" s="45"/>
      <c r="E879" s="9" t="s">
        <v>1585</v>
      </c>
      <c r="F879" s="89">
        <v>43039</v>
      </c>
      <c r="G879" s="9"/>
      <c r="H879" s="9"/>
      <c r="I879" s="9"/>
      <c r="J879" t="s">
        <v>1355</v>
      </c>
      <c r="K879" s="120">
        <v>6.3</v>
      </c>
      <c r="L879" s="9"/>
      <c r="M879" s="7"/>
    </row>
    <row r="880" spans="1:13" hidden="1" x14ac:dyDescent="0.25">
      <c r="A880" s="4"/>
      <c r="B880" s="28" t="str">
        <f>IF(ISNUMBER(MATCH(C880, Mgt_Unit!$C$5:$C$1018, 0)), INDEX(Mgt_Unit!$B$5:$B$1018, MATCH(C880, Mgt_Unit!$C$5:$C$1018, 0)), "")</f>
        <v>jennifer.moore</v>
      </c>
      <c r="C880" t="s">
        <v>801</v>
      </c>
      <c r="D880" s="45"/>
      <c r="E880" s="9" t="s">
        <v>1583</v>
      </c>
      <c r="F880" s="89">
        <v>42808</v>
      </c>
      <c r="G880" s="9"/>
      <c r="H880" s="9"/>
      <c r="I880" s="9"/>
      <c r="J880" t="s">
        <v>1399</v>
      </c>
      <c r="K880" s="120">
        <v>0.2</v>
      </c>
      <c r="L880" s="9"/>
      <c r="M880" s="7"/>
    </row>
    <row r="881" spans="1:13" hidden="1" x14ac:dyDescent="0.25">
      <c r="A881" s="4"/>
      <c r="B881" s="28" t="str">
        <f>IF(ISNUMBER(MATCH(C881, Mgt_Unit!$C$5:$C$1018, 0)), INDEX(Mgt_Unit!$B$5:$B$1018, MATCH(C881, Mgt_Unit!$C$5:$C$1018, 0)), "")</f>
        <v>jennifer.moore</v>
      </c>
      <c r="C881" t="s">
        <v>801</v>
      </c>
      <c r="D881" s="45"/>
      <c r="E881" s="9" t="s">
        <v>1583</v>
      </c>
      <c r="F881" s="89">
        <v>42809</v>
      </c>
      <c r="G881" s="9"/>
      <c r="H881" s="9"/>
      <c r="I881" s="9"/>
      <c r="J881" t="s">
        <v>1404</v>
      </c>
      <c r="K881" s="120">
        <v>20</v>
      </c>
      <c r="L881" s="9"/>
      <c r="M881" s="7"/>
    </row>
    <row r="882" spans="1:13" hidden="1" x14ac:dyDescent="0.25">
      <c r="A882" s="4"/>
      <c r="B882" s="28" t="str">
        <f>IF(ISNUMBER(MATCH(C882, Mgt_Unit!$C$5:$C$1018, 0)), INDEX(Mgt_Unit!$B$5:$B$1018, MATCH(C882, Mgt_Unit!$C$5:$C$1018, 0)), "")</f>
        <v>jennifer.moore</v>
      </c>
      <c r="C882" t="s">
        <v>801</v>
      </c>
      <c r="D882" s="45"/>
      <c r="E882" s="9" t="s">
        <v>1583</v>
      </c>
      <c r="F882" s="89">
        <v>42809</v>
      </c>
      <c r="G882" s="9"/>
      <c r="H882" s="9"/>
      <c r="I882" s="9"/>
      <c r="J882" t="s">
        <v>1405</v>
      </c>
      <c r="K882" s="120">
        <v>20</v>
      </c>
      <c r="L882" s="9"/>
      <c r="M882" s="7"/>
    </row>
    <row r="883" spans="1:13" hidden="1" x14ac:dyDescent="0.25">
      <c r="A883" s="4"/>
      <c r="B883" s="28" t="str">
        <f>IF(ISNUMBER(MATCH(C883, Mgt_Unit!$C$5:$C$1018, 0)), INDEX(Mgt_Unit!$B$5:$B$1018, MATCH(C883, Mgt_Unit!$C$5:$C$1018, 0)), "")</f>
        <v>jennifer.moore</v>
      </c>
      <c r="C883" t="s">
        <v>801</v>
      </c>
      <c r="D883" s="45"/>
      <c r="E883" s="9" t="s">
        <v>1583</v>
      </c>
      <c r="F883" s="89">
        <v>42810</v>
      </c>
      <c r="G883" s="9"/>
      <c r="H883" s="9"/>
      <c r="I883" s="9"/>
      <c r="J883" t="s">
        <v>1409</v>
      </c>
      <c r="K883" s="120">
        <v>0.15</v>
      </c>
      <c r="L883" s="9"/>
      <c r="M883" s="7"/>
    </row>
    <row r="884" spans="1:13" hidden="1" x14ac:dyDescent="0.25">
      <c r="A884" s="4"/>
      <c r="B884" s="28" t="str">
        <f>IF(ISNUMBER(MATCH(C884, Mgt_Unit!$C$5:$C$1018, 0)), INDEX(Mgt_Unit!$B$5:$B$1018, MATCH(C884, Mgt_Unit!$C$5:$C$1018, 0)), "")</f>
        <v>jennifer.moore</v>
      </c>
      <c r="C884" t="s">
        <v>801</v>
      </c>
      <c r="D884" s="45"/>
      <c r="E884" s="9" t="s">
        <v>1583</v>
      </c>
      <c r="F884" s="89">
        <v>42810</v>
      </c>
      <c r="G884" s="9"/>
      <c r="H884" s="9"/>
      <c r="I884" s="9"/>
      <c r="J884" t="s">
        <v>1410</v>
      </c>
      <c r="K884" s="120">
        <v>35</v>
      </c>
      <c r="L884" s="9"/>
      <c r="M884" s="7"/>
    </row>
    <row r="885" spans="1:13" hidden="1" x14ac:dyDescent="0.25">
      <c r="A885" s="4"/>
      <c r="B885" s="28" t="str">
        <f>IF(ISNUMBER(MATCH(C885, Mgt_Unit!$C$5:$C$1018, 0)), INDEX(Mgt_Unit!$B$5:$B$1018, MATCH(C885, Mgt_Unit!$C$5:$C$1018, 0)), "")</f>
        <v>jennifer.moore</v>
      </c>
      <c r="C885" t="s">
        <v>801</v>
      </c>
      <c r="D885" s="45"/>
      <c r="E885" s="9" t="s">
        <v>1583</v>
      </c>
      <c r="F885" s="89">
        <v>42811</v>
      </c>
      <c r="G885" s="9"/>
      <c r="H885" s="9"/>
      <c r="I885" s="9"/>
      <c r="J885" t="s">
        <v>1411</v>
      </c>
      <c r="K885" s="120">
        <v>24</v>
      </c>
      <c r="L885" s="9"/>
      <c r="M885" s="7"/>
    </row>
    <row r="886" spans="1:13" hidden="1" x14ac:dyDescent="0.25">
      <c r="A886" s="4"/>
      <c r="B886" s="28" t="str">
        <f>IF(ISNUMBER(MATCH(C886, Mgt_Unit!$C$5:$C$1018, 0)), INDEX(Mgt_Unit!$B$5:$B$1018, MATCH(C886, Mgt_Unit!$C$5:$C$1018, 0)), "")</f>
        <v>jennifer.moore</v>
      </c>
      <c r="C886" t="s">
        <v>801</v>
      </c>
      <c r="D886" s="45"/>
      <c r="E886" s="9" t="s">
        <v>1583</v>
      </c>
      <c r="F886" s="89">
        <v>42849</v>
      </c>
      <c r="G886" s="9"/>
      <c r="H886" s="9"/>
      <c r="I886" s="9"/>
      <c r="J886" t="s">
        <v>1412</v>
      </c>
      <c r="K886" s="120">
        <v>0.98</v>
      </c>
      <c r="L886" s="9"/>
      <c r="M886" s="7"/>
    </row>
    <row r="887" spans="1:13" hidden="1" x14ac:dyDescent="0.25">
      <c r="A887" s="4"/>
      <c r="B887" s="28" t="str">
        <f>IF(ISNUMBER(MATCH(C887, Mgt_Unit!$C$5:$C$1018, 0)), INDEX(Mgt_Unit!$B$5:$B$1018, MATCH(C887, Mgt_Unit!$C$5:$C$1018, 0)), "")</f>
        <v>jennifer.moore</v>
      </c>
      <c r="C887" t="s">
        <v>801</v>
      </c>
      <c r="D887" s="45"/>
      <c r="E887" s="9" t="s">
        <v>1583</v>
      </c>
      <c r="F887" s="89">
        <v>42849</v>
      </c>
      <c r="G887" s="9"/>
      <c r="H887" s="9"/>
      <c r="I887" s="9"/>
      <c r="J887" t="s">
        <v>1413</v>
      </c>
      <c r="K887" s="120">
        <v>31</v>
      </c>
      <c r="L887" s="9"/>
      <c r="M887" s="7"/>
    </row>
    <row r="888" spans="1:13" hidden="1" x14ac:dyDescent="0.25">
      <c r="A888" s="4"/>
      <c r="B888" s="28" t="str">
        <f>IF(ISNUMBER(MATCH(C888, Mgt_Unit!$C$5:$C$1018, 0)), INDEX(Mgt_Unit!$B$5:$B$1018, MATCH(C888, Mgt_Unit!$C$5:$C$1018, 0)), "")</f>
        <v>jennifer.moore</v>
      </c>
      <c r="C888" t="s">
        <v>801</v>
      </c>
      <c r="D888" s="45"/>
      <c r="E888" s="9" t="s">
        <v>1584</v>
      </c>
      <c r="F888" s="89">
        <v>42849</v>
      </c>
      <c r="G888" s="9"/>
      <c r="H888" s="9"/>
      <c r="I888" s="9"/>
      <c r="J888" t="s">
        <v>1414</v>
      </c>
      <c r="K888" s="120">
        <v>2.4</v>
      </c>
      <c r="L888" s="9"/>
      <c r="M888" s="7"/>
    </row>
    <row r="889" spans="1:13" hidden="1" x14ac:dyDescent="0.25">
      <c r="A889" s="4"/>
      <c r="B889" s="28" t="str">
        <f>IF(ISNUMBER(MATCH(C889, Mgt_Unit!$C$5:$C$1018, 0)), INDEX(Mgt_Unit!$B$5:$B$1018, MATCH(C889, Mgt_Unit!$C$5:$C$1018, 0)), "")</f>
        <v>jennifer.moore</v>
      </c>
      <c r="C889" t="s">
        <v>801</v>
      </c>
      <c r="D889" s="45"/>
      <c r="E889" s="9" t="s">
        <v>1583</v>
      </c>
      <c r="F889" s="89">
        <v>43031</v>
      </c>
      <c r="G889" s="9"/>
      <c r="H889" s="9"/>
      <c r="I889" s="9"/>
      <c r="J889" t="s">
        <v>1404</v>
      </c>
      <c r="K889" s="120">
        <v>20</v>
      </c>
      <c r="L889" s="9"/>
      <c r="M889" s="7"/>
    </row>
    <row r="890" spans="1:13" hidden="1" x14ac:dyDescent="0.25">
      <c r="A890" s="4"/>
      <c r="B890" s="28" t="str">
        <f>IF(ISNUMBER(MATCH(C890, Mgt_Unit!$C$5:$C$1018, 0)), INDEX(Mgt_Unit!$B$5:$B$1018, MATCH(C890, Mgt_Unit!$C$5:$C$1018, 0)), "")</f>
        <v>jennifer.moore</v>
      </c>
      <c r="C890" t="s">
        <v>801</v>
      </c>
      <c r="D890" s="45"/>
      <c r="E890" s="9" t="s">
        <v>1583</v>
      </c>
      <c r="F890" s="89">
        <v>43031</v>
      </c>
      <c r="G890" s="9"/>
      <c r="H890" s="9"/>
      <c r="I890" s="9"/>
      <c r="J890" t="s">
        <v>1405</v>
      </c>
      <c r="K890" s="120">
        <v>20</v>
      </c>
      <c r="L890" s="9"/>
      <c r="M890" s="7"/>
    </row>
    <row r="891" spans="1:13" hidden="1" x14ac:dyDescent="0.25">
      <c r="A891" s="4"/>
      <c r="B891" s="28" t="str">
        <f>IF(ISNUMBER(MATCH(C891, Mgt_Unit!$C$5:$C$1018, 0)), INDEX(Mgt_Unit!$B$5:$B$1018, MATCH(C891, Mgt_Unit!$C$5:$C$1018, 0)), "")</f>
        <v>jennifer.moore</v>
      </c>
      <c r="C891" t="s">
        <v>801</v>
      </c>
      <c r="D891" s="45"/>
      <c r="E891" s="9" t="s">
        <v>1583</v>
      </c>
      <c r="F891" s="89">
        <v>43031</v>
      </c>
      <c r="G891" s="9"/>
      <c r="H891" s="9"/>
      <c r="I891" s="9"/>
      <c r="J891" t="s">
        <v>1415</v>
      </c>
      <c r="K891" s="120">
        <v>20</v>
      </c>
      <c r="L891" s="9"/>
      <c r="M891" s="7"/>
    </row>
    <row r="892" spans="1:13" hidden="1" x14ac:dyDescent="0.25">
      <c r="A892" s="4"/>
      <c r="B892" s="28" t="str">
        <f>IF(ISNUMBER(MATCH(C892, Mgt_Unit!$C$5:$C$1018, 0)), INDEX(Mgt_Unit!$B$5:$B$1018, MATCH(C892, Mgt_Unit!$C$5:$C$1018, 0)), "")</f>
        <v>jennifer.moore</v>
      </c>
      <c r="C892" t="s">
        <v>801</v>
      </c>
      <c r="D892" s="45"/>
      <c r="E892" s="9" t="s">
        <v>1583</v>
      </c>
      <c r="F892" s="89">
        <v>43031</v>
      </c>
      <c r="G892" s="9"/>
      <c r="H892" s="9"/>
      <c r="I892" s="9"/>
      <c r="J892" t="s">
        <v>1416</v>
      </c>
      <c r="K892" s="120">
        <v>20</v>
      </c>
      <c r="L892" s="9"/>
      <c r="M892" s="7"/>
    </row>
    <row r="893" spans="1:13" hidden="1" x14ac:dyDescent="0.25">
      <c r="A893" s="4"/>
      <c r="B893" s="28" t="str">
        <f>IF(ISNUMBER(MATCH(C893, Mgt_Unit!$C$5:$C$1018, 0)), INDEX(Mgt_Unit!$B$5:$B$1018, MATCH(C893, Mgt_Unit!$C$5:$C$1018, 0)), "")</f>
        <v>jennifer.moore</v>
      </c>
      <c r="C893" t="s">
        <v>801</v>
      </c>
      <c r="D893" s="45"/>
      <c r="E893" s="9" t="s">
        <v>1583</v>
      </c>
      <c r="F893" s="89">
        <v>43033</v>
      </c>
      <c r="G893" s="9"/>
      <c r="H893" s="9"/>
      <c r="I893" s="9"/>
      <c r="J893" t="s">
        <v>1410</v>
      </c>
      <c r="K893" s="120">
        <v>35</v>
      </c>
      <c r="L893" s="9"/>
      <c r="M893" s="7"/>
    </row>
    <row r="894" spans="1:13" hidden="1" x14ac:dyDescent="0.25">
      <c r="A894" s="4"/>
      <c r="B894" s="28" t="str">
        <f>IF(ISNUMBER(MATCH(C894, Mgt_Unit!$C$5:$C$1018, 0)), INDEX(Mgt_Unit!$B$5:$B$1018, MATCH(C894, Mgt_Unit!$C$5:$C$1018, 0)), "")</f>
        <v>jennifer.moore</v>
      </c>
      <c r="C894" t="s">
        <v>801</v>
      </c>
      <c r="D894" s="45"/>
      <c r="E894" s="9" t="s">
        <v>1585</v>
      </c>
      <c r="F894" s="89">
        <v>43039</v>
      </c>
      <c r="G894" s="9"/>
      <c r="H894" s="9"/>
      <c r="I894" s="9"/>
      <c r="J894" t="s">
        <v>1355</v>
      </c>
      <c r="K894" s="120">
        <v>6.3</v>
      </c>
      <c r="L894" s="9"/>
      <c r="M894" s="7"/>
    </row>
    <row r="895" spans="1:13" hidden="1" x14ac:dyDescent="0.25">
      <c r="A895" s="4"/>
      <c r="B895" s="28" t="str">
        <f>IF(ISNUMBER(MATCH(C895, Mgt_Unit!$C$5:$C$1018, 0)), INDEX(Mgt_Unit!$B$5:$B$1018, MATCH(C895, Mgt_Unit!$C$5:$C$1018, 0)), "")</f>
        <v>jennifer.moore</v>
      </c>
      <c r="C895" t="s">
        <v>801</v>
      </c>
      <c r="D895" s="45"/>
      <c r="E895" s="9" t="s">
        <v>1583</v>
      </c>
      <c r="F895" s="89">
        <v>43154</v>
      </c>
      <c r="G895" s="9"/>
      <c r="H895" s="9"/>
      <c r="I895" s="9"/>
      <c r="J895" t="s">
        <v>1410</v>
      </c>
      <c r="K895" s="120">
        <v>35</v>
      </c>
      <c r="L895" s="9"/>
      <c r="M895" s="7"/>
    </row>
    <row r="896" spans="1:13" hidden="1" x14ac:dyDescent="0.25">
      <c r="A896" s="4"/>
      <c r="B896" s="28" t="str">
        <f>IF(ISNUMBER(MATCH(C896, Mgt_Unit!$C$5:$C$1018, 0)), INDEX(Mgt_Unit!$B$5:$B$1018, MATCH(C896, Mgt_Unit!$C$5:$C$1018, 0)), "")</f>
        <v>jennifer.moore</v>
      </c>
      <c r="C896" t="s">
        <v>801</v>
      </c>
      <c r="D896" s="45"/>
      <c r="E896" s="9" t="s">
        <v>1583</v>
      </c>
      <c r="F896" s="89">
        <v>43154</v>
      </c>
      <c r="G896" s="9"/>
      <c r="H896" s="9"/>
      <c r="I896" s="9"/>
      <c r="J896" t="s">
        <v>1404</v>
      </c>
      <c r="K896" s="120">
        <v>20</v>
      </c>
      <c r="L896" s="9"/>
      <c r="M896" s="7"/>
    </row>
    <row r="897" spans="1:13" hidden="1" x14ac:dyDescent="0.25">
      <c r="A897" s="4"/>
      <c r="B897" s="28" t="str">
        <f>IF(ISNUMBER(MATCH(C897, Mgt_Unit!$C$5:$C$1018, 0)), INDEX(Mgt_Unit!$B$5:$B$1018, MATCH(C897, Mgt_Unit!$C$5:$C$1018, 0)), "")</f>
        <v>jennifer.moore</v>
      </c>
      <c r="C897" t="s">
        <v>801</v>
      </c>
      <c r="D897" s="45"/>
      <c r="E897" s="9" t="s">
        <v>1583</v>
      </c>
      <c r="F897" s="89">
        <v>43154</v>
      </c>
      <c r="G897" s="9"/>
      <c r="H897" s="9"/>
      <c r="I897" s="9"/>
      <c r="J897" t="s">
        <v>1405</v>
      </c>
      <c r="K897" s="120">
        <v>20</v>
      </c>
      <c r="L897" s="9"/>
      <c r="M897" s="7"/>
    </row>
    <row r="898" spans="1:13" hidden="1" x14ac:dyDescent="0.25">
      <c r="A898" s="4"/>
      <c r="B898" s="28" t="str">
        <f>IF(ISNUMBER(MATCH(C898, Mgt_Unit!$C$5:$C$1018, 0)), INDEX(Mgt_Unit!$B$5:$B$1018, MATCH(C898, Mgt_Unit!$C$5:$C$1018, 0)), "")</f>
        <v>jennifer.moore</v>
      </c>
      <c r="C898" t="s">
        <v>801</v>
      </c>
      <c r="D898" s="45"/>
      <c r="E898" s="9" t="s">
        <v>1583</v>
      </c>
      <c r="F898" s="89">
        <v>43210</v>
      </c>
      <c r="G898" s="9"/>
      <c r="H898" s="9"/>
      <c r="I898" s="9"/>
      <c r="J898" t="s">
        <v>1399</v>
      </c>
      <c r="K898" s="120">
        <v>0.2</v>
      </c>
      <c r="L898" s="9"/>
      <c r="M898" s="7"/>
    </row>
    <row r="899" spans="1:13" hidden="1" x14ac:dyDescent="0.25">
      <c r="A899" s="4"/>
      <c r="B899" s="28" t="str">
        <f>IF(ISNUMBER(MATCH(C899, Mgt_Unit!$C$5:$C$1018, 0)), INDEX(Mgt_Unit!$B$5:$B$1018, MATCH(C899, Mgt_Unit!$C$5:$C$1018, 0)), "")</f>
        <v>jennifer.moore</v>
      </c>
      <c r="C899" t="s">
        <v>801</v>
      </c>
      <c r="D899" s="45"/>
      <c r="E899" s="9" t="s">
        <v>1583</v>
      </c>
      <c r="F899" s="89">
        <v>43216</v>
      </c>
      <c r="G899" s="9"/>
      <c r="H899" s="9"/>
      <c r="I899" s="9"/>
      <c r="J899" t="s">
        <v>1412</v>
      </c>
      <c r="K899" s="120">
        <v>0.98</v>
      </c>
      <c r="L899" s="9"/>
      <c r="M899" s="7"/>
    </row>
    <row r="900" spans="1:13" hidden="1" x14ac:dyDescent="0.25">
      <c r="A900" s="4"/>
      <c r="B900" s="28" t="str">
        <f>IF(ISNUMBER(MATCH(C900, Mgt_Unit!$C$5:$C$1018, 0)), INDEX(Mgt_Unit!$B$5:$B$1018, MATCH(C900, Mgt_Unit!$C$5:$C$1018, 0)), "")</f>
        <v>jennifer.moore</v>
      </c>
      <c r="C900" t="s">
        <v>801</v>
      </c>
      <c r="D900" s="45"/>
      <c r="E900" s="9" t="s">
        <v>1583</v>
      </c>
      <c r="F900" s="89">
        <v>43216</v>
      </c>
      <c r="G900" s="9"/>
      <c r="H900" s="9"/>
      <c r="I900" s="9"/>
      <c r="J900" t="s">
        <v>1404</v>
      </c>
      <c r="K900" s="120">
        <v>20</v>
      </c>
      <c r="L900" s="9"/>
      <c r="M900" s="7"/>
    </row>
    <row r="901" spans="1:13" hidden="1" x14ac:dyDescent="0.25">
      <c r="A901" s="4"/>
      <c r="B901" s="28" t="str">
        <f>IF(ISNUMBER(MATCH(C901, Mgt_Unit!$C$5:$C$1018, 0)), INDEX(Mgt_Unit!$B$5:$B$1018, MATCH(C901, Mgt_Unit!$C$5:$C$1018, 0)), "")</f>
        <v>jennifer.moore</v>
      </c>
      <c r="C901" t="s">
        <v>801</v>
      </c>
      <c r="D901" s="45"/>
      <c r="E901" s="9" t="s">
        <v>1583</v>
      </c>
      <c r="F901" s="89">
        <v>43216</v>
      </c>
      <c r="G901" s="9"/>
      <c r="H901" s="9"/>
      <c r="I901" s="9"/>
      <c r="J901" t="s">
        <v>1417</v>
      </c>
      <c r="K901" s="120">
        <v>6.6</v>
      </c>
      <c r="L901" s="9"/>
      <c r="M901" s="7"/>
    </row>
    <row r="902" spans="1:13" hidden="1" x14ac:dyDescent="0.25">
      <c r="A902" s="4"/>
      <c r="B902" s="28" t="str">
        <f>IF(ISNUMBER(MATCH(C902, Mgt_Unit!$C$5:$C$1018, 0)), INDEX(Mgt_Unit!$B$5:$B$1018, MATCH(C902, Mgt_Unit!$C$5:$C$1018, 0)), "")</f>
        <v>jennifer.moore</v>
      </c>
      <c r="C902" t="s">
        <v>801</v>
      </c>
      <c r="D902" s="45"/>
      <c r="E902" s="9" t="s">
        <v>1584</v>
      </c>
      <c r="F902" s="89">
        <v>43221</v>
      </c>
      <c r="G902" s="9"/>
      <c r="H902" s="9"/>
      <c r="I902" s="9"/>
      <c r="J902" t="s">
        <v>1418</v>
      </c>
      <c r="K902" s="120">
        <v>3.1</v>
      </c>
      <c r="L902" s="9"/>
      <c r="M902" s="7"/>
    </row>
    <row r="903" spans="1:13" hidden="1" x14ac:dyDescent="0.25">
      <c r="A903" s="4"/>
      <c r="B903" s="28" t="str">
        <f>IF(ISNUMBER(MATCH(C903, Mgt_Unit!$C$5:$C$1018, 0)), INDEX(Mgt_Unit!$B$5:$B$1018, MATCH(C903, Mgt_Unit!$C$5:$C$1018, 0)), "")</f>
        <v>jennifer.moore</v>
      </c>
      <c r="C903" t="s">
        <v>801</v>
      </c>
      <c r="D903" s="45"/>
      <c r="E903" s="9" t="s">
        <v>1583</v>
      </c>
      <c r="F903" s="89">
        <v>43243</v>
      </c>
      <c r="G903" s="9"/>
      <c r="H903" s="9"/>
      <c r="I903" s="9"/>
      <c r="J903" t="s">
        <v>1417</v>
      </c>
      <c r="K903" s="120">
        <v>6.6</v>
      </c>
      <c r="L903" s="9"/>
      <c r="M903" s="7"/>
    </row>
    <row r="904" spans="1:13" hidden="1" x14ac:dyDescent="0.25">
      <c r="A904" s="4"/>
      <c r="B904" s="28" t="str">
        <f>IF(ISNUMBER(MATCH(C904, Mgt_Unit!$C$5:$C$1018, 0)), INDEX(Mgt_Unit!$B$5:$B$1018, MATCH(C904, Mgt_Unit!$C$5:$C$1018, 0)), "")</f>
        <v>jennifer.moore</v>
      </c>
      <c r="C904" t="s">
        <v>801</v>
      </c>
      <c r="D904" s="45"/>
      <c r="E904" s="9" t="s">
        <v>1583</v>
      </c>
      <c r="F904" s="89">
        <v>43250</v>
      </c>
      <c r="G904" s="9"/>
      <c r="H904" s="9"/>
      <c r="I904" s="9"/>
      <c r="J904" t="s">
        <v>1417</v>
      </c>
      <c r="K904" s="120">
        <v>6.6</v>
      </c>
      <c r="L904" s="9"/>
      <c r="M904" s="7"/>
    </row>
    <row r="905" spans="1:13" hidden="1" x14ac:dyDescent="0.25">
      <c r="A905" s="4"/>
      <c r="B905" s="28" t="str">
        <f>IF(ISNUMBER(MATCH(C905, Mgt_Unit!$C$5:$C$1018, 0)), INDEX(Mgt_Unit!$B$5:$B$1018, MATCH(C905, Mgt_Unit!$C$5:$C$1018, 0)), "")</f>
        <v>jennifer.moore</v>
      </c>
      <c r="C905" t="s">
        <v>801</v>
      </c>
      <c r="D905" s="45"/>
      <c r="E905" s="9" t="s">
        <v>1583</v>
      </c>
      <c r="F905" s="89">
        <v>43342</v>
      </c>
      <c r="G905" s="9"/>
      <c r="H905" s="9"/>
      <c r="I905" s="9"/>
      <c r="J905" t="s">
        <v>1419</v>
      </c>
      <c r="K905" s="120">
        <v>2.6</v>
      </c>
      <c r="L905" s="9"/>
      <c r="M905" s="7"/>
    </row>
    <row r="906" spans="1:13" hidden="1" x14ac:dyDescent="0.25">
      <c r="A906" s="4"/>
      <c r="B906" s="28" t="str">
        <f>IF(ISNUMBER(MATCH(C906, Mgt_Unit!$C$5:$C$1018, 0)), INDEX(Mgt_Unit!$B$5:$B$1018, MATCH(C906, Mgt_Unit!$C$5:$C$1018, 0)), "")</f>
        <v>jennifer.moore</v>
      </c>
      <c r="C906" t="s">
        <v>801</v>
      </c>
      <c r="D906" s="45"/>
      <c r="E906" s="9" t="s">
        <v>1583</v>
      </c>
      <c r="F906" s="89">
        <v>43396</v>
      </c>
      <c r="G906" s="9"/>
      <c r="H906" s="9"/>
      <c r="I906" s="9"/>
      <c r="J906" t="s">
        <v>1399</v>
      </c>
      <c r="K906" s="120">
        <v>0.2</v>
      </c>
      <c r="L906" s="9"/>
      <c r="M906" s="7"/>
    </row>
    <row r="907" spans="1:13" hidden="1" x14ac:dyDescent="0.25">
      <c r="A907" s="4"/>
      <c r="B907" s="28" t="str">
        <f>IF(ISNUMBER(MATCH(C907, Mgt_Unit!$C$5:$C$1018, 0)), INDEX(Mgt_Unit!$B$5:$B$1018, MATCH(C907, Mgt_Unit!$C$5:$C$1018, 0)), "")</f>
        <v>jennifer.moore</v>
      </c>
      <c r="C907" t="s">
        <v>801</v>
      </c>
      <c r="D907" s="45"/>
      <c r="E907" s="9" t="s">
        <v>1583</v>
      </c>
      <c r="F907" s="89">
        <v>43397</v>
      </c>
      <c r="G907" s="9"/>
      <c r="H907" s="9"/>
      <c r="I907" s="9"/>
      <c r="J907" t="s">
        <v>1404</v>
      </c>
      <c r="K907" s="120">
        <v>20</v>
      </c>
      <c r="L907" s="9"/>
      <c r="M907" s="7"/>
    </row>
    <row r="908" spans="1:13" hidden="1" x14ac:dyDescent="0.25">
      <c r="A908" s="4"/>
      <c r="B908" s="28" t="str">
        <f>IF(ISNUMBER(MATCH(C908, Mgt_Unit!$C$5:$C$1018, 0)), INDEX(Mgt_Unit!$B$5:$B$1018, MATCH(C908, Mgt_Unit!$C$5:$C$1018, 0)), "")</f>
        <v>jennifer.moore</v>
      </c>
      <c r="C908" t="s">
        <v>801</v>
      </c>
      <c r="D908" s="45"/>
      <c r="E908" s="9" t="s">
        <v>1583</v>
      </c>
      <c r="F908" s="89">
        <v>43397</v>
      </c>
      <c r="G908" s="9"/>
      <c r="H908" s="9"/>
      <c r="I908" s="9"/>
      <c r="J908" t="s">
        <v>1405</v>
      </c>
      <c r="K908" s="120">
        <v>20</v>
      </c>
      <c r="L908" s="9"/>
      <c r="M908" s="7"/>
    </row>
    <row r="909" spans="1:13" hidden="1" x14ac:dyDescent="0.25">
      <c r="A909" s="4"/>
      <c r="B909" s="28" t="str">
        <f>IF(ISNUMBER(MATCH(C909, Mgt_Unit!$C$5:$C$1018, 0)), INDEX(Mgt_Unit!$B$5:$B$1018, MATCH(C909, Mgt_Unit!$C$5:$C$1018, 0)), "")</f>
        <v>jennifer.moore</v>
      </c>
      <c r="C909" t="s">
        <v>801</v>
      </c>
      <c r="D909" s="45"/>
      <c r="E909" s="9" t="s">
        <v>1583</v>
      </c>
      <c r="F909" s="89">
        <v>43403</v>
      </c>
      <c r="G909" s="9"/>
      <c r="H909" s="9"/>
      <c r="I909" s="9"/>
      <c r="J909" t="s">
        <v>1410</v>
      </c>
      <c r="K909" s="120">
        <v>35</v>
      </c>
      <c r="L909" s="9"/>
      <c r="M909" s="7"/>
    </row>
    <row r="910" spans="1:13" hidden="1" x14ac:dyDescent="0.25">
      <c r="A910" s="4"/>
      <c r="B910" s="28" t="str">
        <f>IF(ISNUMBER(MATCH(C910, Mgt_Unit!$C$5:$C$1018, 0)), INDEX(Mgt_Unit!$B$5:$B$1018, MATCH(C910, Mgt_Unit!$C$5:$C$1018, 0)), "")</f>
        <v>jennifer.moore</v>
      </c>
      <c r="C910" t="s">
        <v>801</v>
      </c>
      <c r="D910" s="45"/>
      <c r="E910" s="9" t="s">
        <v>1585</v>
      </c>
      <c r="F910" s="89">
        <v>43409</v>
      </c>
      <c r="G910" s="9"/>
      <c r="H910" s="9"/>
      <c r="I910" s="9"/>
      <c r="J910" t="s">
        <v>1355</v>
      </c>
      <c r="K910" s="120">
        <v>6.3</v>
      </c>
      <c r="L910" s="9"/>
      <c r="M910" s="7"/>
    </row>
    <row r="911" spans="1:13" hidden="1" x14ac:dyDescent="0.25">
      <c r="A911" s="4"/>
      <c r="B911" s="28" t="str">
        <f>IF(ISNUMBER(MATCH(C911, Mgt_Unit!$C$5:$C$1018, 0)), INDEX(Mgt_Unit!$B$5:$B$1018, MATCH(C911, Mgt_Unit!$C$5:$C$1018, 0)), "")</f>
        <v>jennifer.moore</v>
      </c>
      <c r="C911" t="s">
        <v>802</v>
      </c>
      <c r="D911" s="45"/>
      <c r="E911" s="9" t="s">
        <v>1583</v>
      </c>
      <c r="F911" s="89">
        <v>42809</v>
      </c>
      <c r="G911" s="9"/>
      <c r="H911" s="9"/>
      <c r="I911" s="9"/>
      <c r="J911" t="s">
        <v>1404</v>
      </c>
      <c r="K911" s="120">
        <v>20</v>
      </c>
      <c r="L911" s="9"/>
      <c r="M911" s="7"/>
    </row>
    <row r="912" spans="1:13" hidden="1" x14ac:dyDescent="0.25">
      <c r="A912" s="4"/>
      <c r="B912" s="28" t="str">
        <f>IF(ISNUMBER(MATCH(C912, Mgt_Unit!$C$5:$C$1018, 0)), INDEX(Mgt_Unit!$B$5:$B$1018, MATCH(C912, Mgt_Unit!$C$5:$C$1018, 0)), "")</f>
        <v>jennifer.moore</v>
      </c>
      <c r="C912" t="s">
        <v>802</v>
      </c>
      <c r="D912" s="45"/>
      <c r="E912" s="9" t="s">
        <v>1583</v>
      </c>
      <c r="F912" s="89">
        <v>42809</v>
      </c>
      <c r="G912" s="9"/>
      <c r="H912" s="9"/>
      <c r="I912" s="9"/>
      <c r="J912" t="s">
        <v>1405</v>
      </c>
      <c r="K912" s="120">
        <v>20</v>
      </c>
      <c r="L912" s="9"/>
      <c r="M912" s="7"/>
    </row>
    <row r="913" spans="1:13" hidden="1" x14ac:dyDescent="0.25">
      <c r="A913" s="4"/>
      <c r="B913" s="28" t="str">
        <f>IF(ISNUMBER(MATCH(C913, Mgt_Unit!$C$5:$C$1018, 0)), INDEX(Mgt_Unit!$B$5:$B$1018, MATCH(C913, Mgt_Unit!$C$5:$C$1018, 0)), "")</f>
        <v>jennifer.moore</v>
      </c>
      <c r="C913" t="s">
        <v>802</v>
      </c>
      <c r="D913" s="45"/>
      <c r="E913" s="9" t="s">
        <v>1583</v>
      </c>
      <c r="F913" s="89">
        <v>42810</v>
      </c>
      <c r="G913" s="9"/>
      <c r="H913" s="9"/>
      <c r="I913" s="9"/>
      <c r="J913" t="s">
        <v>1409</v>
      </c>
      <c r="K913" s="120">
        <v>0.15</v>
      </c>
      <c r="L913" s="9"/>
      <c r="M913" s="7"/>
    </row>
    <row r="914" spans="1:13" hidden="1" x14ac:dyDescent="0.25">
      <c r="A914" s="4"/>
      <c r="B914" s="28" t="str">
        <f>IF(ISNUMBER(MATCH(C914, Mgt_Unit!$C$5:$C$1018, 0)), INDEX(Mgt_Unit!$B$5:$B$1018, MATCH(C914, Mgt_Unit!$C$5:$C$1018, 0)), "")</f>
        <v>jennifer.moore</v>
      </c>
      <c r="C914" t="s">
        <v>802</v>
      </c>
      <c r="D914" s="45"/>
      <c r="E914" s="9" t="s">
        <v>1583</v>
      </c>
      <c r="F914" s="89">
        <v>42810</v>
      </c>
      <c r="G914" s="9"/>
      <c r="H914" s="9"/>
      <c r="I914" s="9"/>
      <c r="J914" t="s">
        <v>1410</v>
      </c>
      <c r="K914" s="120">
        <v>35</v>
      </c>
      <c r="L914" s="9"/>
      <c r="M914" s="7"/>
    </row>
    <row r="915" spans="1:13" hidden="1" x14ac:dyDescent="0.25">
      <c r="A915" s="4"/>
      <c r="B915" s="28" t="str">
        <f>IF(ISNUMBER(MATCH(C915, Mgt_Unit!$C$5:$C$1018, 0)), INDEX(Mgt_Unit!$B$5:$B$1018, MATCH(C915, Mgt_Unit!$C$5:$C$1018, 0)), "")</f>
        <v>jennifer.moore</v>
      </c>
      <c r="C915" t="s">
        <v>802</v>
      </c>
      <c r="D915" s="45"/>
      <c r="E915" s="9" t="s">
        <v>1583</v>
      </c>
      <c r="F915" s="89">
        <v>42811</v>
      </c>
      <c r="G915" s="9"/>
      <c r="H915" s="9"/>
      <c r="I915" s="9"/>
      <c r="J915" t="s">
        <v>1411</v>
      </c>
      <c r="K915" s="120">
        <v>24</v>
      </c>
      <c r="L915" s="9"/>
      <c r="M915" s="7"/>
    </row>
    <row r="916" spans="1:13" hidden="1" x14ac:dyDescent="0.25">
      <c r="A916" s="4"/>
      <c r="B916" s="28" t="str">
        <f>IF(ISNUMBER(MATCH(C916, Mgt_Unit!$C$5:$C$1018, 0)), INDEX(Mgt_Unit!$B$5:$B$1018, MATCH(C916, Mgt_Unit!$C$5:$C$1018, 0)), "")</f>
        <v>jennifer.moore</v>
      </c>
      <c r="C916" t="s">
        <v>802</v>
      </c>
      <c r="D916" s="45"/>
      <c r="E916" s="9" t="s">
        <v>1584</v>
      </c>
      <c r="F916" s="89">
        <v>42849</v>
      </c>
      <c r="G916" s="9"/>
      <c r="H916" s="9"/>
      <c r="I916" s="9"/>
      <c r="J916" t="s">
        <v>1414</v>
      </c>
      <c r="K916" s="120">
        <v>2.4</v>
      </c>
      <c r="L916" s="9"/>
      <c r="M916" s="7"/>
    </row>
    <row r="917" spans="1:13" hidden="1" x14ac:dyDescent="0.25">
      <c r="A917" s="4"/>
      <c r="B917" s="28" t="str">
        <f>IF(ISNUMBER(MATCH(C917, Mgt_Unit!$C$5:$C$1018, 0)), INDEX(Mgt_Unit!$B$5:$B$1018, MATCH(C917, Mgt_Unit!$C$5:$C$1018, 0)), "")</f>
        <v>jennifer.moore</v>
      </c>
      <c r="C917" t="s">
        <v>802</v>
      </c>
      <c r="D917" s="45"/>
      <c r="E917" s="9" t="s">
        <v>1583</v>
      </c>
      <c r="F917" s="89">
        <v>42849</v>
      </c>
      <c r="G917" s="9"/>
      <c r="H917" s="9"/>
      <c r="I917" s="9"/>
      <c r="J917" t="s">
        <v>1413</v>
      </c>
      <c r="K917" s="120">
        <v>31</v>
      </c>
      <c r="L917" s="9"/>
      <c r="M917" s="7"/>
    </row>
    <row r="918" spans="1:13" hidden="1" x14ac:dyDescent="0.25">
      <c r="A918" s="4"/>
      <c r="B918" s="28" t="str">
        <f>IF(ISNUMBER(MATCH(C918, Mgt_Unit!$C$5:$C$1018, 0)), INDEX(Mgt_Unit!$B$5:$B$1018, MATCH(C918, Mgt_Unit!$C$5:$C$1018, 0)), "")</f>
        <v>jennifer.moore</v>
      </c>
      <c r="C918" t="s">
        <v>802</v>
      </c>
      <c r="D918" s="45"/>
      <c r="E918" s="9" t="s">
        <v>1583</v>
      </c>
      <c r="F918" s="89">
        <v>42849</v>
      </c>
      <c r="G918" s="9"/>
      <c r="H918" s="9"/>
      <c r="I918" s="9"/>
      <c r="J918" t="s">
        <v>1412</v>
      </c>
      <c r="K918" s="120">
        <v>0.98</v>
      </c>
      <c r="L918" s="9"/>
      <c r="M918" s="7"/>
    </row>
    <row r="919" spans="1:13" hidden="1" x14ac:dyDescent="0.25">
      <c r="A919" s="4"/>
      <c r="B919" s="28" t="str">
        <f>IF(ISNUMBER(MATCH(C919, Mgt_Unit!$C$5:$C$1018, 0)), INDEX(Mgt_Unit!$B$5:$B$1018, MATCH(C919, Mgt_Unit!$C$5:$C$1018, 0)), "")</f>
        <v>jennifer.moore</v>
      </c>
      <c r="C919" t="s">
        <v>802</v>
      </c>
      <c r="D919" s="45"/>
      <c r="E919" s="9" t="s">
        <v>1583</v>
      </c>
      <c r="F919" s="89">
        <v>43031</v>
      </c>
      <c r="G919" s="9"/>
      <c r="H919" s="9"/>
      <c r="I919" s="9"/>
      <c r="J919" t="s">
        <v>1404</v>
      </c>
      <c r="K919" s="120">
        <v>20</v>
      </c>
      <c r="L919" s="9"/>
      <c r="M919" s="7"/>
    </row>
    <row r="920" spans="1:13" hidden="1" x14ac:dyDescent="0.25">
      <c r="A920" s="4"/>
      <c r="B920" s="28" t="str">
        <f>IF(ISNUMBER(MATCH(C920, Mgt_Unit!$C$5:$C$1018, 0)), INDEX(Mgt_Unit!$B$5:$B$1018, MATCH(C920, Mgt_Unit!$C$5:$C$1018, 0)), "")</f>
        <v>jennifer.moore</v>
      </c>
      <c r="C920" t="s">
        <v>802</v>
      </c>
      <c r="D920" s="45"/>
      <c r="E920" s="9" t="s">
        <v>1583</v>
      </c>
      <c r="F920" s="89">
        <v>43031</v>
      </c>
      <c r="G920" s="9"/>
      <c r="H920" s="9"/>
      <c r="I920" s="9"/>
      <c r="J920" t="s">
        <v>1405</v>
      </c>
      <c r="K920" s="120">
        <v>20</v>
      </c>
      <c r="L920" s="9"/>
      <c r="M920" s="7"/>
    </row>
    <row r="921" spans="1:13" hidden="1" x14ac:dyDescent="0.25">
      <c r="A921" s="4"/>
      <c r="B921" s="28" t="str">
        <f>IF(ISNUMBER(MATCH(C921, Mgt_Unit!$C$5:$C$1018, 0)), INDEX(Mgt_Unit!$B$5:$B$1018, MATCH(C921, Mgt_Unit!$C$5:$C$1018, 0)), "")</f>
        <v>jennifer.moore</v>
      </c>
      <c r="C921" t="s">
        <v>802</v>
      </c>
      <c r="D921" s="45"/>
      <c r="E921" s="9" t="s">
        <v>1583</v>
      </c>
      <c r="F921" s="89">
        <v>43031</v>
      </c>
      <c r="G921" s="9"/>
      <c r="H921" s="9"/>
      <c r="I921" s="9"/>
      <c r="J921" t="s">
        <v>1415</v>
      </c>
      <c r="K921" s="120">
        <v>20</v>
      </c>
      <c r="L921" s="9"/>
      <c r="M921" s="7"/>
    </row>
    <row r="922" spans="1:13" hidden="1" x14ac:dyDescent="0.25">
      <c r="A922" s="4"/>
      <c r="B922" s="28" t="str">
        <f>IF(ISNUMBER(MATCH(C922, Mgt_Unit!$C$5:$C$1018, 0)), INDEX(Mgt_Unit!$B$5:$B$1018, MATCH(C922, Mgt_Unit!$C$5:$C$1018, 0)), "")</f>
        <v>jennifer.moore</v>
      </c>
      <c r="C922" t="s">
        <v>802</v>
      </c>
      <c r="D922" s="45"/>
      <c r="E922" s="9" t="s">
        <v>1583</v>
      </c>
      <c r="F922" s="89">
        <v>43031</v>
      </c>
      <c r="G922" s="9"/>
      <c r="H922" s="9"/>
      <c r="I922" s="9"/>
      <c r="J922" t="s">
        <v>1416</v>
      </c>
      <c r="K922" s="120">
        <v>20</v>
      </c>
      <c r="L922" s="9"/>
      <c r="M922" s="7"/>
    </row>
    <row r="923" spans="1:13" hidden="1" x14ac:dyDescent="0.25">
      <c r="A923" s="4"/>
      <c r="B923" s="28" t="str">
        <f>IF(ISNUMBER(MATCH(C923, Mgt_Unit!$C$5:$C$1018, 0)), INDEX(Mgt_Unit!$B$5:$B$1018, MATCH(C923, Mgt_Unit!$C$5:$C$1018, 0)), "")</f>
        <v>jennifer.moore</v>
      </c>
      <c r="C923" t="s">
        <v>802</v>
      </c>
      <c r="D923" s="45"/>
      <c r="E923" s="9" t="s">
        <v>1583</v>
      </c>
      <c r="F923" s="89">
        <v>43033</v>
      </c>
      <c r="G923" s="9"/>
      <c r="H923" s="9"/>
      <c r="I923" s="9"/>
      <c r="J923" t="s">
        <v>1410</v>
      </c>
      <c r="K923" s="120">
        <v>35</v>
      </c>
      <c r="L923" s="9"/>
      <c r="M923" s="7"/>
    </row>
    <row r="924" spans="1:13" hidden="1" x14ac:dyDescent="0.25">
      <c r="A924" s="4"/>
      <c r="B924" s="28" t="str">
        <f>IF(ISNUMBER(MATCH(C924, Mgt_Unit!$C$5:$C$1018, 0)), INDEX(Mgt_Unit!$B$5:$B$1018, MATCH(C924, Mgt_Unit!$C$5:$C$1018, 0)), "")</f>
        <v>jennifer.moore</v>
      </c>
      <c r="C924" t="s">
        <v>802</v>
      </c>
      <c r="D924" s="45"/>
      <c r="E924" s="9" t="s">
        <v>1585</v>
      </c>
      <c r="F924" s="89">
        <v>43039</v>
      </c>
      <c r="G924" s="9"/>
      <c r="H924" s="9"/>
      <c r="I924" s="9"/>
      <c r="J924" t="s">
        <v>1355</v>
      </c>
      <c r="K924" s="120">
        <v>6.3</v>
      </c>
      <c r="L924" s="9"/>
      <c r="M924" s="7"/>
    </row>
    <row r="925" spans="1:13" hidden="1" x14ac:dyDescent="0.25">
      <c r="A925" s="4"/>
      <c r="B925" s="28" t="str">
        <f>IF(ISNUMBER(MATCH(C925, Mgt_Unit!$C$5:$C$1018, 0)), INDEX(Mgt_Unit!$B$5:$B$1018, MATCH(C925, Mgt_Unit!$C$5:$C$1018, 0)), "")</f>
        <v>jennifer.moore</v>
      </c>
      <c r="C925" t="s">
        <v>802</v>
      </c>
      <c r="D925" s="45"/>
      <c r="E925" s="9" t="s">
        <v>1583</v>
      </c>
      <c r="F925" s="89">
        <v>43153</v>
      </c>
      <c r="G925" s="9"/>
      <c r="H925" s="9"/>
      <c r="I925" s="9"/>
      <c r="J925" t="s">
        <v>1404</v>
      </c>
      <c r="K925" s="120">
        <v>20</v>
      </c>
      <c r="L925" s="9"/>
      <c r="M925" s="7"/>
    </row>
    <row r="926" spans="1:13" hidden="1" x14ac:dyDescent="0.25">
      <c r="A926" s="4"/>
      <c r="B926" s="28" t="str">
        <f>IF(ISNUMBER(MATCH(C926, Mgt_Unit!$C$5:$C$1018, 0)), INDEX(Mgt_Unit!$B$5:$B$1018, MATCH(C926, Mgt_Unit!$C$5:$C$1018, 0)), "")</f>
        <v>jennifer.moore</v>
      </c>
      <c r="C926" t="s">
        <v>802</v>
      </c>
      <c r="D926" s="45"/>
      <c r="E926" s="9" t="s">
        <v>1583</v>
      </c>
      <c r="F926" s="89">
        <v>43153</v>
      </c>
      <c r="G926" s="9"/>
      <c r="H926" s="9"/>
      <c r="I926" s="9"/>
      <c r="J926" t="s">
        <v>1405</v>
      </c>
      <c r="K926" s="120">
        <v>20</v>
      </c>
      <c r="L926" s="9"/>
      <c r="M926" s="7"/>
    </row>
    <row r="927" spans="1:13" hidden="1" x14ac:dyDescent="0.25">
      <c r="A927" s="4"/>
      <c r="B927" s="28" t="str">
        <f>IF(ISNUMBER(MATCH(C927, Mgt_Unit!$C$5:$C$1018, 0)), INDEX(Mgt_Unit!$B$5:$B$1018, MATCH(C927, Mgt_Unit!$C$5:$C$1018, 0)), "")</f>
        <v>jennifer.moore</v>
      </c>
      <c r="C927" t="s">
        <v>802</v>
      </c>
      <c r="D927" s="45"/>
      <c r="E927" s="9" t="s">
        <v>1583</v>
      </c>
      <c r="F927" s="89">
        <v>43153</v>
      </c>
      <c r="G927" s="9"/>
      <c r="H927" s="9"/>
      <c r="I927" s="9"/>
      <c r="J927" t="s">
        <v>1410</v>
      </c>
      <c r="K927" s="120">
        <v>35</v>
      </c>
      <c r="L927" s="9"/>
      <c r="M927" s="7"/>
    </row>
    <row r="928" spans="1:13" hidden="1" x14ac:dyDescent="0.25">
      <c r="A928" s="4"/>
      <c r="B928" s="28" t="str">
        <f>IF(ISNUMBER(MATCH(C928, Mgt_Unit!$C$5:$C$1018, 0)), INDEX(Mgt_Unit!$B$5:$B$1018, MATCH(C928, Mgt_Unit!$C$5:$C$1018, 0)), "")</f>
        <v>jennifer.moore</v>
      </c>
      <c r="C928" t="s">
        <v>802</v>
      </c>
      <c r="D928" s="45"/>
      <c r="E928" s="9" t="s">
        <v>1583</v>
      </c>
      <c r="F928" s="89">
        <v>43216</v>
      </c>
      <c r="G928" s="9"/>
      <c r="H928" s="9"/>
      <c r="I928" s="9"/>
      <c r="J928" t="s">
        <v>1412</v>
      </c>
      <c r="K928" s="120">
        <v>0.98</v>
      </c>
      <c r="L928" s="9"/>
      <c r="M928" s="7"/>
    </row>
    <row r="929" spans="1:13" hidden="1" x14ac:dyDescent="0.25">
      <c r="A929" s="4"/>
      <c r="B929" s="28" t="str">
        <f>IF(ISNUMBER(MATCH(C929, Mgt_Unit!$C$5:$C$1018, 0)), INDEX(Mgt_Unit!$B$5:$B$1018, MATCH(C929, Mgt_Unit!$C$5:$C$1018, 0)), "")</f>
        <v>jennifer.moore</v>
      </c>
      <c r="C929" t="s">
        <v>802</v>
      </c>
      <c r="D929" s="45"/>
      <c r="E929" s="9" t="s">
        <v>1583</v>
      </c>
      <c r="F929" s="89">
        <v>43216</v>
      </c>
      <c r="G929" s="9"/>
      <c r="H929" s="9"/>
      <c r="I929" s="9"/>
      <c r="J929" t="s">
        <v>1404</v>
      </c>
      <c r="K929" s="120">
        <v>20</v>
      </c>
      <c r="L929" s="9"/>
      <c r="M929" s="7"/>
    </row>
    <row r="930" spans="1:13" hidden="1" x14ac:dyDescent="0.25">
      <c r="A930" s="4"/>
      <c r="B930" s="28" t="str">
        <f>IF(ISNUMBER(MATCH(C930, Mgt_Unit!$C$5:$C$1018, 0)), INDEX(Mgt_Unit!$B$5:$B$1018, MATCH(C930, Mgt_Unit!$C$5:$C$1018, 0)), "")</f>
        <v>jennifer.moore</v>
      </c>
      <c r="C930" t="s">
        <v>802</v>
      </c>
      <c r="D930" s="45"/>
      <c r="E930" s="9" t="s">
        <v>1583</v>
      </c>
      <c r="F930" s="89">
        <v>43216</v>
      </c>
      <c r="G930" s="9"/>
      <c r="H930" s="9"/>
      <c r="I930" s="9"/>
      <c r="J930" t="s">
        <v>1417</v>
      </c>
      <c r="K930" s="120">
        <v>6.6</v>
      </c>
      <c r="L930" s="9"/>
      <c r="M930" s="7"/>
    </row>
    <row r="931" spans="1:13" hidden="1" x14ac:dyDescent="0.25">
      <c r="A931" s="4"/>
      <c r="B931" s="28" t="str">
        <f>IF(ISNUMBER(MATCH(C931, Mgt_Unit!$C$5:$C$1018, 0)), INDEX(Mgt_Unit!$B$5:$B$1018, MATCH(C931, Mgt_Unit!$C$5:$C$1018, 0)), "")</f>
        <v>jennifer.moore</v>
      </c>
      <c r="C931" t="s">
        <v>802</v>
      </c>
      <c r="D931" s="45"/>
      <c r="E931" s="9" t="s">
        <v>1584</v>
      </c>
      <c r="F931" s="89">
        <v>43221</v>
      </c>
      <c r="G931" s="9"/>
      <c r="H931" s="9"/>
      <c r="I931" s="9"/>
      <c r="J931" t="s">
        <v>1418</v>
      </c>
      <c r="K931" s="120">
        <v>3.1</v>
      </c>
      <c r="L931" s="9"/>
      <c r="M931" s="7"/>
    </row>
    <row r="932" spans="1:13" hidden="1" x14ac:dyDescent="0.25">
      <c r="A932" s="4"/>
      <c r="B932" s="28" t="str">
        <f>IF(ISNUMBER(MATCH(C932, Mgt_Unit!$C$5:$C$1018, 0)), INDEX(Mgt_Unit!$B$5:$B$1018, MATCH(C932, Mgt_Unit!$C$5:$C$1018, 0)), "")</f>
        <v>jennifer.moore</v>
      </c>
      <c r="C932" t="s">
        <v>802</v>
      </c>
      <c r="D932" s="45"/>
      <c r="E932" s="9" t="s">
        <v>1583</v>
      </c>
      <c r="F932" s="89">
        <v>43243</v>
      </c>
      <c r="G932" s="9"/>
      <c r="H932" s="9"/>
      <c r="I932" s="9"/>
      <c r="J932" t="s">
        <v>1417</v>
      </c>
      <c r="K932" s="120">
        <v>6.6</v>
      </c>
      <c r="L932" s="9"/>
      <c r="M932" s="7"/>
    </row>
    <row r="933" spans="1:13" hidden="1" x14ac:dyDescent="0.25">
      <c r="A933" s="4"/>
      <c r="B933" s="28" t="str">
        <f>IF(ISNUMBER(MATCH(C933, Mgt_Unit!$C$5:$C$1018, 0)), INDEX(Mgt_Unit!$B$5:$B$1018, MATCH(C933, Mgt_Unit!$C$5:$C$1018, 0)), "")</f>
        <v>jennifer.moore</v>
      </c>
      <c r="C933" t="s">
        <v>802</v>
      </c>
      <c r="D933" s="45"/>
      <c r="E933" s="9" t="s">
        <v>1583</v>
      </c>
      <c r="F933" s="89">
        <v>43250</v>
      </c>
      <c r="G933" s="9"/>
      <c r="H933" s="9"/>
      <c r="I933" s="9"/>
      <c r="J933" t="s">
        <v>1417</v>
      </c>
      <c r="K933" s="120">
        <v>6.6</v>
      </c>
      <c r="L933" s="9"/>
      <c r="M933" s="7"/>
    </row>
    <row r="934" spans="1:13" hidden="1" x14ac:dyDescent="0.25">
      <c r="A934" s="4"/>
      <c r="B934" s="28" t="str">
        <f>IF(ISNUMBER(MATCH(C934, Mgt_Unit!$C$5:$C$1018, 0)), INDEX(Mgt_Unit!$B$5:$B$1018, MATCH(C934, Mgt_Unit!$C$5:$C$1018, 0)), "")</f>
        <v>jennifer.moore</v>
      </c>
      <c r="C934" t="s">
        <v>802</v>
      </c>
      <c r="D934" s="45"/>
      <c r="E934" s="9" t="s">
        <v>1583</v>
      </c>
      <c r="F934" s="89">
        <v>43342</v>
      </c>
      <c r="G934" s="9"/>
      <c r="H934" s="9"/>
      <c r="I934" s="9"/>
      <c r="J934" t="s">
        <v>1419</v>
      </c>
      <c r="K934" s="120">
        <v>2.6</v>
      </c>
      <c r="L934" s="9"/>
      <c r="M934" s="7"/>
    </row>
    <row r="935" spans="1:13" hidden="1" x14ac:dyDescent="0.25">
      <c r="A935" s="4"/>
      <c r="B935" s="28" t="str">
        <f>IF(ISNUMBER(MATCH(C935, Mgt_Unit!$C$5:$C$1018, 0)), INDEX(Mgt_Unit!$B$5:$B$1018, MATCH(C935, Mgt_Unit!$C$5:$C$1018, 0)), "")</f>
        <v>jennifer.moore</v>
      </c>
      <c r="C935" t="s">
        <v>802</v>
      </c>
      <c r="D935" s="45"/>
      <c r="E935" s="9" t="s">
        <v>1583</v>
      </c>
      <c r="F935" s="89">
        <v>43361</v>
      </c>
      <c r="G935" s="9"/>
      <c r="H935" s="9"/>
      <c r="I935" s="9"/>
      <c r="J935" t="s">
        <v>1404</v>
      </c>
      <c r="K935" s="120">
        <v>20</v>
      </c>
      <c r="L935" s="9"/>
      <c r="M935" s="7"/>
    </row>
    <row r="936" spans="1:13" hidden="1" x14ac:dyDescent="0.25">
      <c r="A936" s="4"/>
      <c r="B936" s="28" t="str">
        <f>IF(ISNUMBER(MATCH(C936, Mgt_Unit!$C$5:$C$1018, 0)), INDEX(Mgt_Unit!$B$5:$B$1018, MATCH(C936, Mgt_Unit!$C$5:$C$1018, 0)), "")</f>
        <v>jennifer.moore</v>
      </c>
      <c r="C936" t="s">
        <v>802</v>
      </c>
      <c r="D936" s="45"/>
      <c r="E936" s="9" t="s">
        <v>1583</v>
      </c>
      <c r="F936" s="89">
        <v>43361</v>
      </c>
      <c r="G936" s="9"/>
      <c r="H936" s="9"/>
      <c r="I936" s="9"/>
      <c r="J936" t="s">
        <v>1404</v>
      </c>
      <c r="K936" s="120">
        <v>20</v>
      </c>
      <c r="L936" s="9"/>
      <c r="M936" s="7"/>
    </row>
    <row r="937" spans="1:13" hidden="1" x14ac:dyDescent="0.25">
      <c r="A937" s="4"/>
      <c r="B937" s="28" t="str">
        <f>IF(ISNUMBER(MATCH(C937, Mgt_Unit!$C$5:$C$1018, 0)), INDEX(Mgt_Unit!$B$5:$B$1018, MATCH(C937, Mgt_Unit!$C$5:$C$1018, 0)), "")</f>
        <v>jennifer.moore</v>
      </c>
      <c r="C937" t="s">
        <v>802</v>
      </c>
      <c r="D937" s="45"/>
      <c r="E937" s="9" t="s">
        <v>1583</v>
      </c>
      <c r="F937" s="89">
        <v>43362</v>
      </c>
      <c r="G937" s="9"/>
      <c r="H937" s="9"/>
      <c r="I937" s="9"/>
      <c r="J937" t="s">
        <v>1410</v>
      </c>
      <c r="K937" s="120">
        <v>35</v>
      </c>
      <c r="L937" s="9"/>
      <c r="M937" s="7"/>
    </row>
    <row r="938" spans="1:13" hidden="1" x14ac:dyDescent="0.25">
      <c r="A938" s="4"/>
      <c r="B938" s="28" t="str">
        <f>IF(ISNUMBER(MATCH(C938, Mgt_Unit!$C$5:$C$1018, 0)), INDEX(Mgt_Unit!$B$5:$B$1018, MATCH(C938, Mgt_Unit!$C$5:$C$1018, 0)), "")</f>
        <v>jennifer.moore</v>
      </c>
      <c r="C938" t="s">
        <v>802</v>
      </c>
      <c r="D938" s="45"/>
      <c r="E938" s="9" t="s">
        <v>1585</v>
      </c>
      <c r="F938" s="89">
        <v>43409</v>
      </c>
      <c r="G938" s="9"/>
      <c r="H938" s="9"/>
      <c r="I938" s="9"/>
      <c r="J938" t="s">
        <v>1355</v>
      </c>
      <c r="K938" s="120">
        <v>6.3</v>
      </c>
      <c r="L938" s="9"/>
      <c r="M938" s="7"/>
    </row>
    <row r="939" spans="1:13" hidden="1" x14ac:dyDescent="0.25">
      <c r="A939" s="4"/>
      <c r="B939" s="28" t="str">
        <f>IF(ISNUMBER(MATCH(C939, Mgt_Unit!$C$5:$C$1018, 0)), INDEX(Mgt_Unit!$B$5:$B$1018, MATCH(C939, Mgt_Unit!$C$5:$C$1018, 0)), "")</f>
        <v>jennifer.moore</v>
      </c>
      <c r="C939" t="s">
        <v>803</v>
      </c>
      <c r="D939" s="45"/>
      <c r="E939" s="9" t="s">
        <v>1583</v>
      </c>
      <c r="F939" s="89">
        <v>42810</v>
      </c>
      <c r="G939" s="9"/>
      <c r="H939" s="9"/>
      <c r="I939" s="9"/>
      <c r="J939" t="s">
        <v>1409</v>
      </c>
      <c r="K939" s="120">
        <v>0.15</v>
      </c>
      <c r="L939" s="9"/>
      <c r="M939" s="7"/>
    </row>
    <row r="940" spans="1:13" hidden="1" x14ac:dyDescent="0.25">
      <c r="A940" s="4"/>
      <c r="B940" s="28" t="str">
        <f>IF(ISNUMBER(MATCH(C940, Mgt_Unit!$C$5:$C$1018, 0)), INDEX(Mgt_Unit!$B$5:$B$1018, MATCH(C940, Mgt_Unit!$C$5:$C$1018, 0)), "")</f>
        <v>jennifer.moore</v>
      </c>
      <c r="C940" t="s">
        <v>803</v>
      </c>
      <c r="D940" s="45"/>
      <c r="E940" s="9" t="s">
        <v>1583</v>
      </c>
      <c r="F940" s="89">
        <v>42849</v>
      </c>
      <c r="G940" s="9"/>
      <c r="H940" s="9"/>
      <c r="I940" s="9"/>
      <c r="J940" t="s">
        <v>1412</v>
      </c>
      <c r="K940" s="120">
        <v>0.98</v>
      </c>
      <c r="L940" s="9"/>
      <c r="M940" s="7"/>
    </row>
    <row r="941" spans="1:13" hidden="1" x14ac:dyDescent="0.25">
      <c r="A941" s="4"/>
      <c r="B941" s="28" t="str">
        <f>IF(ISNUMBER(MATCH(C941, Mgt_Unit!$C$5:$C$1018, 0)), INDEX(Mgt_Unit!$B$5:$B$1018, MATCH(C941, Mgt_Unit!$C$5:$C$1018, 0)), "")</f>
        <v>jennifer.moore</v>
      </c>
      <c r="C941" t="s">
        <v>803</v>
      </c>
      <c r="D941" s="45"/>
      <c r="E941" s="9" t="s">
        <v>1583</v>
      </c>
      <c r="F941" s="89">
        <v>42849</v>
      </c>
      <c r="G941" s="9"/>
      <c r="H941" s="9"/>
      <c r="I941" s="9"/>
      <c r="J941" t="s">
        <v>1413</v>
      </c>
      <c r="K941" s="120">
        <v>31</v>
      </c>
      <c r="L941" s="9"/>
      <c r="M941" s="7"/>
    </row>
    <row r="942" spans="1:13" hidden="1" x14ac:dyDescent="0.25">
      <c r="A942" s="4"/>
      <c r="B942" s="28" t="str">
        <f>IF(ISNUMBER(MATCH(C942, Mgt_Unit!$C$5:$C$1018, 0)), INDEX(Mgt_Unit!$B$5:$B$1018, MATCH(C942, Mgt_Unit!$C$5:$C$1018, 0)), "")</f>
        <v>jennifer.moore</v>
      </c>
      <c r="C942" t="s">
        <v>803</v>
      </c>
      <c r="D942" s="45"/>
      <c r="E942" s="9" t="s">
        <v>1584</v>
      </c>
      <c r="F942" s="89">
        <v>42849</v>
      </c>
      <c r="G942" s="9"/>
      <c r="H942" s="9"/>
      <c r="I942" s="9"/>
      <c r="J942" t="s">
        <v>1414</v>
      </c>
      <c r="K942" s="120">
        <v>2.4</v>
      </c>
      <c r="L942" s="9"/>
      <c r="M942" s="7"/>
    </row>
    <row r="943" spans="1:13" hidden="1" x14ac:dyDescent="0.25">
      <c r="A943" s="4"/>
      <c r="B943" s="28" t="str">
        <f>IF(ISNUMBER(MATCH(C943, Mgt_Unit!$C$5:$C$1018, 0)), INDEX(Mgt_Unit!$B$5:$B$1018, MATCH(C943, Mgt_Unit!$C$5:$C$1018, 0)), "")</f>
        <v>jennifer.moore</v>
      </c>
      <c r="C943" t="s">
        <v>803</v>
      </c>
      <c r="D943" s="45"/>
      <c r="E943" s="9" t="s">
        <v>1583</v>
      </c>
      <c r="F943" s="89">
        <v>43031</v>
      </c>
      <c r="G943" s="9"/>
      <c r="H943" s="9"/>
      <c r="I943" s="9"/>
      <c r="J943" t="s">
        <v>1404</v>
      </c>
      <c r="K943" s="120">
        <v>20</v>
      </c>
      <c r="L943" s="9"/>
      <c r="M943" s="7"/>
    </row>
    <row r="944" spans="1:13" hidden="1" x14ac:dyDescent="0.25">
      <c r="A944" s="4"/>
      <c r="B944" s="28" t="str">
        <f>IF(ISNUMBER(MATCH(C944, Mgt_Unit!$C$5:$C$1018, 0)), INDEX(Mgt_Unit!$B$5:$B$1018, MATCH(C944, Mgt_Unit!$C$5:$C$1018, 0)), "")</f>
        <v>jennifer.moore</v>
      </c>
      <c r="C944" t="s">
        <v>803</v>
      </c>
      <c r="D944" s="45"/>
      <c r="E944" s="9" t="s">
        <v>1583</v>
      </c>
      <c r="F944" s="89">
        <v>43031</v>
      </c>
      <c r="G944" s="9"/>
      <c r="H944" s="9"/>
      <c r="I944" s="9"/>
      <c r="J944" t="s">
        <v>1405</v>
      </c>
      <c r="K944" s="120">
        <v>20</v>
      </c>
      <c r="L944" s="9"/>
      <c r="M944" s="7"/>
    </row>
    <row r="945" spans="1:13" hidden="1" x14ac:dyDescent="0.25">
      <c r="A945" s="4"/>
      <c r="B945" s="28" t="str">
        <f>IF(ISNUMBER(MATCH(C945, Mgt_Unit!$C$5:$C$1018, 0)), INDEX(Mgt_Unit!$B$5:$B$1018, MATCH(C945, Mgt_Unit!$C$5:$C$1018, 0)), "")</f>
        <v>jennifer.moore</v>
      </c>
      <c r="C945" t="s">
        <v>803</v>
      </c>
      <c r="D945" s="45"/>
      <c r="E945" s="9" t="s">
        <v>1583</v>
      </c>
      <c r="F945" s="89">
        <v>43031</v>
      </c>
      <c r="G945" s="9"/>
      <c r="H945" s="9"/>
      <c r="I945" s="9"/>
      <c r="J945" t="s">
        <v>1415</v>
      </c>
      <c r="K945" s="120">
        <v>20</v>
      </c>
      <c r="L945" s="9"/>
      <c r="M945" s="7"/>
    </row>
    <row r="946" spans="1:13" hidden="1" x14ac:dyDescent="0.25">
      <c r="A946" s="4"/>
      <c r="B946" s="28" t="str">
        <f>IF(ISNUMBER(MATCH(C946, Mgt_Unit!$C$5:$C$1018, 0)), INDEX(Mgt_Unit!$B$5:$B$1018, MATCH(C946, Mgt_Unit!$C$5:$C$1018, 0)), "")</f>
        <v>jennifer.moore</v>
      </c>
      <c r="C946" t="s">
        <v>803</v>
      </c>
      <c r="D946" s="45"/>
      <c r="E946" s="9" t="s">
        <v>1583</v>
      </c>
      <c r="F946" s="89">
        <v>43031</v>
      </c>
      <c r="G946" s="9"/>
      <c r="H946" s="9"/>
      <c r="I946" s="9"/>
      <c r="J946" t="s">
        <v>1416</v>
      </c>
      <c r="K946" s="120">
        <v>20</v>
      </c>
      <c r="L946" s="9"/>
      <c r="M946" s="7"/>
    </row>
    <row r="947" spans="1:13" hidden="1" x14ac:dyDescent="0.25">
      <c r="A947" s="4"/>
      <c r="B947" s="28" t="str">
        <f>IF(ISNUMBER(MATCH(C947, Mgt_Unit!$C$5:$C$1018, 0)), INDEX(Mgt_Unit!$B$5:$B$1018, MATCH(C947, Mgt_Unit!$C$5:$C$1018, 0)), "")</f>
        <v>jennifer.moore</v>
      </c>
      <c r="C947" t="s">
        <v>803</v>
      </c>
      <c r="D947" s="45"/>
      <c r="E947" s="9" t="s">
        <v>1583</v>
      </c>
      <c r="F947" s="89">
        <v>43033</v>
      </c>
      <c r="G947" s="9"/>
      <c r="H947" s="9"/>
      <c r="I947" s="9"/>
      <c r="J947" t="s">
        <v>1410</v>
      </c>
      <c r="K947" s="120">
        <v>35</v>
      </c>
      <c r="L947" s="9"/>
      <c r="M947" s="7"/>
    </row>
    <row r="948" spans="1:13" hidden="1" x14ac:dyDescent="0.25">
      <c r="A948" s="4"/>
      <c r="B948" s="28" t="str">
        <f>IF(ISNUMBER(MATCH(C948, Mgt_Unit!$C$5:$C$1018, 0)), INDEX(Mgt_Unit!$B$5:$B$1018, MATCH(C948, Mgt_Unit!$C$5:$C$1018, 0)), "")</f>
        <v>jennifer.moore</v>
      </c>
      <c r="C948" t="s">
        <v>803</v>
      </c>
      <c r="D948" s="45"/>
      <c r="E948" s="9" t="s">
        <v>1583</v>
      </c>
      <c r="F948" s="89">
        <v>43216</v>
      </c>
      <c r="G948" s="9"/>
      <c r="H948" s="9"/>
      <c r="I948" s="9"/>
      <c r="J948" t="s">
        <v>1404</v>
      </c>
      <c r="K948" s="120">
        <v>20</v>
      </c>
      <c r="L948" s="9"/>
      <c r="M948" s="7"/>
    </row>
    <row r="949" spans="1:13" hidden="1" x14ac:dyDescent="0.25">
      <c r="A949" s="4"/>
      <c r="B949" s="28" t="str">
        <f>IF(ISNUMBER(MATCH(C949, Mgt_Unit!$C$5:$C$1018, 0)), INDEX(Mgt_Unit!$B$5:$B$1018, MATCH(C949, Mgt_Unit!$C$5:$C$1018, 0)), "")</f>
        <v>jennifer.moore</v>
      </c>
      <c r="C949" t="s">
        <v>803</v>
      </c>
      <c r="D949" s="45"/>
      <c r="E949" s="9" t="s">
        <v>1583</v>
      </c>
      <c r="F949" s="89">
        <v>43216</v>
      </c>
      <c r="G949" s="9"/>
      <c r="H949" s="9"/>
      <c r="I949" s="9"/>
      <c r="J949" t="s">
        <v>1412</v>
      </c>
      <c r="K949" s="120">
        <v>0.98</v>
      </c>
      <c r="L949" s="9"/>
      <c r="M949" s="7"/>
    </row>
    <row r="950" spans="1:13" hidden="1" x14ac:dyDescent="0.25">
      <c r="A950" s="4"/>
      <c r="B950" s="28" t="str">
        <f>IF(ISNUMBER(MATCH(C950, Mgt_Unit!$C$5:$C$1018, 0)), INDEX(Mgt_Unit!$B$5:$B$1018, MATCH(C950, Mgt_Unit!$C$5:$C$1018, 0)), "")</f>
        <v>jennifer.moore</v>
      </c>
      <c r="C950" t="s">
        <v>803</v>
      </c>
      <c r="D950" s="45"/>
      <c r="E950" s="9" t="s">
        <v>1583</v>
      </c>
      <c r="F950" s="89">
        <v>43216</v>
      </c>
      <c r="G950" s="9"/>
      <c r="H950" s="9"/>
      <c r="I950" s="9"/>
      <c r="J950" t="s">
        <v>1417</v>
      </c>
      <c r="K950" s="120">
        <v>6.6</v>
      </c>
      <c r="L950" s="9"/>
      <c r="M950" s="7"/>
    </row>
    <row r="951" spans="1:13" hidden="1" x14ac:dyDescent="0.25">
      <c r="A951" s="4"/>
      <c r="B951" s="28" t="str">
        <f>IF(ISNUMBER(MATCH(C951, Mgt_Unit!$C$5:$C$1018, 0)), INDEX(Mgt_Unit!$B$5:$B$1018, MATCH(C951, Mgt_Unit!$C$5:$C$1018, 0)), "")</f>
        <v>jennifer.moore</v>
      </c>
      <c r="C951" t="s">
        <v>803</v>
      </c>
      <c r="D951" s="45"/>
      <c r="E951" s="9" t="s">
        <v>1584</v>
      </c>
      <c r="F951" s="89">
        <v>43221</v>
      </c>
      <c r="G951" s="9"/>
      <c r="H951" s="9"/>
      <c r="I951" s="9"/>
      <c r="J951" t="s">
        <v>1418</v>
      </c>
      <c r="K951" s="120">
        <v>3.1</v>
      </c>
      <c r="L951" s="9"/>
      <c r="M951" s="7"/>
    </row>
    <row r="952" spans="1:13" hidden="1" x14ac:dyDescent="0.25">
      <c r="A952" s="4"/>
      <c r="B952" s="28" t="str">
        <f>IF(ISNUMBER(MATCH(C952, Mgt_Unit!$C$5:$C$1018, 0)), INDEX(Mgt_Unit!$B$5:$B$1018, MATCH(C952, Mgt_Unit!$C$5:$C$1018, 0)), "")</f>
        <v>jennifer.moore</v>
      </c>
      <c r="C952" t="s">
        <v>803</v>
      </c>
      <c r="D952" s="45"/>
      <c r="E952" s="9" t="s">
        <v>1583</v>
      </c>
      <c r="F952" s="89">
        <v>43243</v>
      </c>
      <c r="G952" s="9"/>
      <c r="H952" s="9"/>
      <c r="I952" s="9"/>
      <c r="J952" t="s">
        <v>1417</v>
      </c>
      <c r="K952" s="120">
        <v>6.6</v>
      </c>
      <c r="L952" s="9"/>
      <c r="M952" s="7"/>
    </row>
    <row r="953" spans="1:13" hidden="1" x14ac:dyDescent="0.25">
      <c r="A953" s="4"/>
      <c r="B953" s="28" t="str">
        <f>IF(ISNUMBER(MATCH(C953, Mgt_Unit!$C$5:$C$1018, 0)), INDEX(Mgt_Unit!$B$5:$B$1018, MATCH(C953, Mgt_Unit!$C$5:$C$1018, 0)), "")</f>
        <v>jennifer.moore</v>
      </c>
      <c r="C953" t="s">
        <v>803</v>
      </c>
      <c r="D953" s="45"/>
      <c r="E953" s="9" t="s">
        <v>1583</v>
      </c>
      <c r="F953" s="89">
        <v>43250</v>
      </c>
      <c r="G953" s="9"/>
      <c r="H953" s="9"/>
      <c r="I953" s="9"/>
      <c r="J953" t="s">
        <v>1417</v>
      </c>
      <c r="K953" s="120">
        <v>6.6</v>
      </c>
      <c r="L953" s="9"/>
      <c r="M953" s="7"/>
    </row>
    <row r="954" spans="1:13" hidden="1" x14ac:dyDescent="0.25">
      <c r="A954" s="4"/>
      <c r="B954" s="28" t="str">
        <f>IF(ISNUMBER(MATCH(C954, Mgt_Unit!$C$5:$C$1018, 0)), INDEX(Mgt_Unit!$B$5:$B$1018, MATCH(C954, Mgt_Unit!$C$5:$C$1018, 0)), "")</f>
        <v>jennifer.moore</v>
      </c>
      <c r="C954" t="s">
        <v>803</v>
      </c>
      <c r="D954" s="45"/>
      <c r="E954" s="9" t="s">
        <v>1583</v>
      </c>
      <c r="F954" s="89">
        <v>43342</v>
      </c>
      <c r="G954" s="9"/>
      <c r="H954" s="9"/>
      <c r="I954" s="9"/>
      <c r="J954" t="s">
        <v>1419</v>
      </c>
      <c r="K954" s="120">
        <v>2.6</v>
      </c>
      <c r="L954" s="9"/>
      <c r="M954" s="7"/>
    </row>
    <row r="955" spans="1:13" hidden="1" x14ac:dyDescent="0.25">
      <c r="A955" s="4"/>
      <c r="B955" s="28" t="str">
        <f>IF(ISNUMBER(MATCH(C955, Mgt_Unit!$C$5:$C$1018, 0)), INDEX(Mgt_Unit!$B$5:$B$1018, MATCH(C955, Mgt_Unit!$C$5:$C$1018, 0)), "")</f>
        <v>jennifer.moore</v>
      </c>
      <c r="C955" t="s">
        <v>803</v>
      </c>
      <c r="D955" s="45"/>
      <c r="E955" s="9" t="s">
        <v>1583</v>
      </c>
      <c r="F955" s="89">
        <v>43361</v>
      </c>
      <c r="G955" s="9"/>
      <c r="H955" s="9"/>
      <c r="I955" s="9"/>
      <c r="J955" t="s">
        <v>1404</v>
      </c>
      <c r="K955" s="120">
        <v>20</v>
      </c>
      <c r="L955" s="9"/>
      <c r="M955" s="7"/>
    </row>
    <row r="956" spans="1:13" hidden="1" x14ac:dyDescent="0.25">
      <c r="A956" s="4"/>
      <c r="B956" s="28" t="str">
        <f>IF(ISNUMBER(MATCH(C956, Mgt_Unit!$C$5:$C$1018, 0)), INDEX(Mgt_Unit!$B$5:$B$1018, MATCH(C956, Mgt_Unit!$C$5:$C$1018, 0)), "")</f>
        <v>jennifer.moore</v>
      </c>
      <c r="C956" t="s">
        <v>803</v>
      </c>
      <c r="D956" s="45"/>
      <c r="E956" s="9" t="s">
        <v>1583</v>
      </c>
      <c r="F956" s="89">
        <v>43361</v>
      </c>
      <c r="G956" s="9"/>
      <c r="H956" s="9"/>
      <c r="I956" s="9"/>
      <c r="J956" t="s">
        <v>1405</v>
      </c>
      <c r="K956" s="120">
        <v>20</v>
      </c>
      <c r="L956" s="9"/>
      <c r="M956" s="7"/>
    </row>
    <row r="957" spans="1:13" hidden="1" x14ac:dyDescent="0.25">
      <c r="A957" s="4"/>
      <c r="B957" s="28" t="str">
        <f>IF(ISNUMBER(MATCH(C957, Mgt_Unit!$C$5:$C$1018, 0)), INDEX(Mgt_Unit!$B$5:$B$1018, MATCH(C957, Mgt_Unit!$C$5:$C$1018, 0)), "")</f>
        <v>jennifer.moore</v>
      </c>
      <c r="C957" t="s">
        <v>803</v>
      </c>
      <c r="D957" s="45"/>
      <c r="E957" s="9" t="s">
        <v>1583</v>
      </c>
      <c r="F957" s="89">
        <v>43362</v>
      </c>
      <c r="G957" s="9"/>
      <c r="H957" s="9"/>
      <c r="I957" s="9"/>
      <c r="J957" t="s">
        <v>1410</v>
      </c>
      <c r="K957" s="120">
        <v>35</v>
      </c>
      <c r="L957" s="9"/>
      <c r="M957" s="7"/>
    </row>
    <row r="958" spans="1:13" hidden="1" x14ac:dyDescent="0.25">
      <c r="A958" s="4"/>
      <c r="B958" s="28" t="str">
        <f>IF(ISNUMBER(MATCH(C958, Mgt_Unit!$C$5:$C$1018, 0)), INDEX(Mgt_Unit!$B$5:$B$1018, MATCH(C958, Mgt_Unit!$C$5:$C$1018, 0)), "")</f>
        <v>jennifer.moore</v>
      </c>
      <c r="C958" t="s">
        <v>804</v>
      </c>
      <c r="D958" s="45"/>
      <c r="E958" s="9" t="s">
        <v>1370</v>
      </c>
      <c r="F958" s="89">
        <v>41714</v>
      </c>
      <c r="G958" s="9"/>
      <c r="H958" s="9"/>
      <c r="I958" s="9"/>
      <c r="J958" t="s">
        <v>1420</v>
      </c>
      <c r="K958" s="120">
        <v>0.15</v>
      </c>
      <c r="L958" s="9"/>
      <c r="M958" s="7"/>
    </row>
    <row r="959" spans="1:13" hidden="1" x14ac:dyDescent="0.25">
      <c r="A959" s="4"/>
      <c r="B959" s="28" t="str">
        <f>IF(ISNUMBER(MATCH(C959, Mgt_Unit!$C$5:$C$1018, 0)), INDEX(Mgt_Unit!$B$5:$B$1018, MATCH(C959, Mgt_Unit!$C$5:$C$1018, 0)), "")</f>
        <v>jennifer.moore</v>
      </c>
      <c r="C959" t="s">
        <v>804</v>
      </c>
      <c r="D959" s="45"/>
      <c r="E959" s="9" t="s">
        <v>1583</v>
      </c>
      <c r="F959" s="89">
        <v>41717</v>
      </c>
      <c r="G959" s="9"/>
      <c r="H959" s="9"/>
      <c r="I959" s="9"/>
      <c r="J959" t="s">
        <v>1421</v>
      </c>
      <c r="K959" s="120">
        <v>3.3</v>
      </c>
      <c r="L959" s="9"/>
      <c r="M959" s="7"/>
    </row>
    <row r="960" spans="1:13" hidden="1" x14ac:dyDescent="0.25">
      <c r="A960" s="4"/>
      <c r="B960" s="28" t="str">
        <f>IF(ISNUMBER(MATCH(C960, Mgt_Unit!$C$5:$C$1018, 0)), INDEX(Mgt_Unit!$B$5:$B$1018, MATCH(C960, Mgt_Unit!$C$5:$C$1018, 0)), "")</f>
        <v>jennifer.moore</v>
      </c>
      <c r="C960" t="s">
        <v>804</v>
      </c>
      <c r="D960" s="45"/>
      <c r="E960" s="9" t="s">
        <v>1584</v>
      </c>
      <c r="F960" s="89">
        <v>41717</v>
      </c>
      <c r="G960" s="9"/>
      <c r="H960" s="9"/>
      <c r="I960" s="9"/>
      <c r="J960" t="s">
        <v>1422</v>
      </c>
      <c r="K960" s="120">
        <v>0.52</v>
      </c>
      <c r="L960" s="9"/>
      <c r="M960" s="7"/>
    </row>
    <row r="961" spans="1:13" hidden="1" x14ac:dyDescent="0.25">
      <c r="A961" s="4"/>
      <c r="B961" s="28" t="str">
        <f>IF(ISNUMBER(MATCH(C961, Mgt_Unit!$C$5:$C$1018, 0)), INDEX(Mgt_Unit!$B$5:$B$1018, MATCH(C961, Mgt_Unit!$C$5:$C$1018, 0)), "")</f>
        <v>jennifer.moore</v>
      </c>
      <c r="C961" t="s">
        <v>804</v>
      </c>
      <c r="D961" s="45"/>
      <c r="E961" s="9" t="s">
        <v>1431</v>
      </c>
      <c r="F961" s="89">
        <v>41834</v>
      </c>
      <c r="G961" s="9"/>
      <c r="H961" s="9"/>
      <c r="I961" s="9"/>
      <c r="J961" t="s">
        <v>1423</v>
      </c>
      <c r="K961" s="120">
        <v>0.15</v>
      </c>
      <c r="L961" s="9"/>
      <c r="M961" s="7"/>
    </row>
    <row r="962" spans="1:13" hidden="1" x14ac:dyDescent="0.25">
      <c r="A962" s="4"/>
      <c r="B962" s="28" t="str">
        <f>IF(ISNUMBER(MATCH(C962, Mgt_Unit!$C$5:$C$1018, 0)), INDEX(Mgt_Unit!$B$5:$B$1018, MATCH(C962, Mgt_Unit!$C$5:$C$1018, 0)), "")</f>
        <v>jennifer.moore</v>
      </c>
      <c r="C962" t="s">
        <v>804</v>
      </c>
      <c r="D962" s="45"/>
      <c r="E962" s="9" t="s">
        <v>1585</v>
      </c>
      <c r="F962" s="89">
        <v>41938</v>
      </c>
      <c r="G962" s="9"/>
      <c r="H962" s="9"/>
      <c r="I962" s="9"/>
      <c r="J962" t="s">
        <v>1424</v>
      </c>
      <c r="K962" s="120">
        <v>2.4</v>
      </c>
      <c r="L962" s="9"/>
      <c r="M962" s="7"/>
    </row>
    <row r="963" spans="1:13" hidden="1" x14ac:dyDescent="0.25">
      <c r="A963" s="4"/>
      <c r="B963" s="28" t="str">
        <f>IF(ISNUMBER(MATCH(C963, Mgt_Unit!$C$5:$C$1018, 0)), INDEX(Mgt_Unit!$B$5:$B$1018, MATCH(C963, Mgt_Unit!$C$5:$C$1018, 0)), "")</f>
        <v>jennifer.moore</v>
      </c>
      <c r="C963" t="s">
        <v>804</v>
      </c>
      <c r="D963" s="45"/>
      <c r="E963" s="9" t="s">
        <v>1370</v>
      </c>
      <c r="F963" s="89">
        <v>42089</v>
      </c>
      <c r="G963" s="9"/>
      <c r="H963" s="9"/>
      <c r="I963" s="9"/>
      <c r="J963" t="s">
        <v>1420</v>
      </c>
      <c r="K963" s="120">
        <v>0.15</v>
      </c>
      <c r="L963" s="9"/>
      <c r="M963" s="7"/>
    </row>
    <row r="964" spans="1:13" hidden="1" x14ac:dyDescent="0.25">
      <c r="A964" s="4"/>
      <c r="B964" s="28" t="str">
        <f>IF(ISNUMBER(MATCH(C964, Mgt_Unit!$C$5:$C$1018, 0)), INDEX(Mgt_Unit!$B$5:$B$1018, MATCH(C964, Mgt_Unit!$C$5:$C$1018, 0)), "")</f>
        <v>jennifer.moore</v>
      </c>
      <c r="C964" t="s">
        <v>804</v>
      </c>
      <c r="D964" s="45"/>
      <c r="E964" s="9" t="s">
        <v>1584</v>
      </c>
      <c r="F964" s="89">
        <v>42135</v>
      </c>
      <c r="G964" s="9"/>
      <c r="H964" s="9"/>
      <c r="I964" s="9"/>
      <c r="J964" t="s">
        <v>1422</v>
      </c>
      <c r="K964" s="120">
        <v>0.52</v>
      </c>
      <c r="L964" s="9"/>
      <c r="M964" s="7"/>
    </row>
    <row r="965" spans="1:13" hidden="1" x14ac:dyDescent="0.25">
      <c r="A965" s="4"/>
      <c r="B965" s="28" t="str">
        <f>IF(ISNUMBER(MATCH(C965, Mgt_Unit!$C$5:$C$1018, 0)), INDEX(Mgt_Unit!$B$5:$B$1018, MATCH(C965, Mgt_Unit!$C$5:$C$1018, 0)), "")</f>
        <v>jennifer.moore</v>
      </c>
      <c r="C965" t="s">
        <v>804</v>
      </c>
      <c r="D965" s="45"/>
      <c r="E965" s="9" t="s">
        <v>1583</v>
      </c>
      <c r="F965" s="89">
        <v>42135</v>
      </c>
      <c r="G965" s="9"/>
      <c r="H965" s="9"/>
      <c r="I965" s="9"/>
      <c r="J965" t="s">
        <v>1421</v>
      </c>
      <c r="K965" s="120">
        <v>3.3</v>
      </c>
      <c r="L965" s="9"/>
      <c r="M965" s="7"/>
    </row>
    <row r="966" spans="1:13" hidden="1" x14ac:dyDescent="0.25">
      <c r="A966" s="4"/>
      <c r="B966" s="28" t="str">
        <f>IF(ISNUMBER(MATCH(C966, Mgt_Unit!$C$5:$C$1018, 0)), INDEX(Mgt_Unit!$B$5:$B$1018, MATCH(C966, Mgt_Unit!$C$5:$C$1018, 0)), "")</f>
        <v>jennifer.moore</v>
      </c>
      <c r="C966" t="s">
        <v>804</v>
      </c>
      <c r="D966" s="45"/>
      <c r="E966" s="9" t="s">
        <v>1583</v>
      </c>
      <c r="F966" s="89">
        <v>42293</v>
      </c>
      <c r="G966" s="9"/>
      <c r="H966" s="9"/>
      <c r="I966" s="9"/>
      <c r="J966" t="s">
        <v>1425</v>
      </c>
      <c r="K966" s="120">
        <v>0.15</v>
      </c>
      <c r="L966" s="9"/>
      <c r="M966" s="7"/>
    </row>
    <row r="967" spans="1:13" hidden="1" x14ac:dyDescent="0.25">
      <c r="A967" s="4"/>
      <c r="B967" s="28" t="str">
        <f>IF(ISNUMBER(MATCH(C967, Mgt_Unit!$C$5:$C$1018, 0)), INDEX(Mgt_Unit!$B$5:$B$1018, MATCH(C967, Mgt_Unit!$C$5:$C$1018, 0)), "")</f>
        <v>jennifer.moore</v>
      </c>
      <c r="C967" t="s">
        <v>804</v>
      </c>
      <c r="D967" s="45"/>
      <c r="E967" s="9" t="s">
        <v>1585</v>
      </c>
      <c r="F967" s="89">
        <v>42299</v>
      </c>
      <c r="G967" s="9"/>
      <c r="H967" s="9"/>
      <c r="I967" s="9"/>
      <c r="J967" t="s">
        <v>1424</v>
      </c>
      <c r="K967" s="120">
        <v>2.4</v>
      </c>
      <c r="L967" s="9"/>
      <c r="M967" s="7"/>
    </row>
    <row r="968" spans="1:13" hidden="1" x14ac:dyDescent="0.25">
      <c r="A968" s="4"/>
      <c r="B968" s="28" t="str">
        <f>IF(ISNUMBER(MATCH(C968, Mgt_Unit!$C$5:$C$1018, 0)), INDEX(Mgt_Unit!$B$5:$B$1018, MATCH(C968, Mgt_Unit!$C$5:$C$1018, 0)), "")</f>
        <v>jennifer.moore</v>
      </c>
      <c r="C968" t="s">
        <v>804</v>
      </c>
      <c r="D968" s="45"/>
      <c r="E968" s="9" t="s">
        <v>1583</v>
      </c>
      <c r="F968" s="89">
        <v>42379</v>
      </c>
      <c r="G968" s="9"/>
      <c r="H968" s="9"/>
      <c r="I968" s="9"/>
      <c r="J968" t="s">
        <v>1420</v>
      </c>
      <c r="K968" s="120">
        <v>0.15</v>
      </c>
      <c r="L968" s="9"/>
      <c r="M968" s="7"/>
    </row>
    <row r="969" spans="1:13" hidden="1" x14ac:dyDescent="0.25">
      <c r="A969" s="4"/>
      <c r="B969" s="28" t="str">
        <f>IF(ISNUMBER(MATCH(C969, Mgt_Unit!$C$5:$C$1018, 0)), INDEX(Mgt_Unit!$B$5:$B$1018, MATCH(C969, Mgt_Unit!$C$5:$C$1018, 0)), "")</f>
        <v>jennifer.moore</v>
      </c>
      <c r="C969" t="s">
        <v>804</v>
      </c>
      <c r="D969" s="45"/>
      <c r="E969" s="9" t="s">
        <v>1583</v>
      </c>
      <c r="F969" s="89">
        <v>42422</v>
      </c>
      <c r="G969" s="9"/>
      <c r="H969" s="9"/>
      <c r="I969" s="9"/>
      <c r="J969" t="s">
        <v>1421</v>
      </c>
      <c r="K969" s="120">
        <v>3.3</v>
      </c>
      <c r="L969" s="9"/>
      <c r="M969" s="7"/>
    </row>
    <row r="970" spans="1:13" hidden="1" x14ac:dyDescent="0.25">
      <c r="A970" s="4"/>
      <c r="B970" s="28" t="str">
        <f>IF(ISNUMBER(MATCH(C970, Mgt_Unit!$C$5:$C$1018, 0)), INDEX(Mgt_Unit!$B$5:$B$1018, MATCH(C970, Mgt_Unit!$C$5:$C$1018, 0)), "")</f>
        <v>jennifer.moore</v>
      </c>
      <c r="C970" t="s">
        <v>804</v>
      </c>
      <c r="D970" s="45"/>
      <c r="E970" s="9" t="s">
        <v>1584</v>
      </c>
      <c r="F970" s="89">
        <v>42422</v>
      </c>
      <c r="G970" s="9"/>
      <c r="H970" s="9"/>
      <c r="I970" s="9"/>
      <c r="J970" t="s">
        <v>1422</v>
      </c>
      <c r="K970" s="120">
        <v>0.52</v>
      </c>
      <c r="L970" s="9"/>
      <c r="M970" s="7"/>
    </row>
    <row r="971" spans="1:13" hidden="1" x14ac:dyDescent="0.25">
      <c r="A971" s="4"/>
      <c r="B971" s="28" t="str">
        <f>IF(ISNUMBER(MATCH(C971, Mgt_Unit!$C$5:$C$1018, 0)), INDEX(Mgt_Unit!$B$5:$B$1018, MATCH(C971, Mgt_Unit!$C$5:$C$1018, 0)), "")</f>
        <v>jennifer.moore</v>
      </c>
      <c r="C971" t="s">
        <v>804</v>
      </c>
      <c r="D971" s="45"/>
      <c r="E971" s="9" t="s">
        <v>1583</v>
      </c>
      <c r="F971" s="89">
        <v>42564</v>
      </c>
      <c r="G971" s="9"/>
      <c r="H971" s="9"/>
      <c r="I971" s="9"/>
      <c r="J971" t="s">
        <v>1423</v>
      </c>
      <c r="K971" s="120">
        <v>0.15</v>
      </c>
      <c r="L971" s="9"/>
      <c r="M971" s="7"/>
    </row>
    <row r="972" spans="1:13" hidden="1" x14ac:dyDescent="0.25">
      <c r="A972" s="4"/>
      <c r="B972" s="28" t="str">
        <f>IF(ISNUMBER(MATCH(C972, Mgt_Unit!$C$5:$C$1018, 0)), INDEX(Mgt_Unit!$B$5:$B$1018, MATCH(C972, Mgt_Unit!$C$5:$C$1018, 0)), "")</f>
        <v>jennifer.moore</v>
      </c>
      <c r="C972" t="s">
        <v>804</v>
      </c>
      <c r="D972" s="45"/>
      <c r="E972" s="9" t="s">
        <v>1585</v>
      </c>
      <c r="F972" s="89">
        <v>42668</v>
      </c>
      <c r="G972" s="9"/>
      <c r="H972" s="9"/>
      <c r="I972" s="9"/>
      <c r="J972" t="s">
        <v>1424</v>
      </c>
      <c r="K972" s="120">
        <v>2.4</v>
      </c>
      <c r="L972" s="9"/>
      <c r="M972" s="7"/>
    </row>
    <row r="973" spans="1:13" hidden="1" x14ac:dyDescent="0.25">
      <c r="A973" s="4"/>
      <c r="B973" s="28" t="str">
        <f>IF(ISNUMBER(MATCH(C973, Mgt_Unit!$C$5:$C$1018, 0)), INDEX(Mgt_Unit!$B$5:$B$1018, MATCH(C973, Mgt_Unit!$C$5:$C$1018, 0)), "")</f>
        <v>jennifer.moore</v>
      </c>
      <c r="C973" t="s">
        <v>804</v>
      </c>
      <c r="D973" s="45"/>
      <c r="E973" s="9" t="s">
        <v>1370</v>
      </c>
      <c r="F973" s="89">
        <v>42830</v>
      </c>
      <c r="G973" s="9"/>
      <c r="H973" s="9"/>
      <c r="I973" s="9"/>
      <c r="J973" t="s">
        <v>1420</v>
      </c>
      <c r="K973" s="120">
        <v>0.15</v>
      </c>
      <c r="L973" s="9"/>
      <c r="M973" s="7"/>
    </row>
    <row r="974" spans="1:13" hidden="1" x14ac:dyDescent="0.25">
      <c r="A974" s="4"/>
      <c r="B974" s="28" t="str">
        <f>IF(ISNUMBER(MATCH(C974, Mgt_Unit!$C$5:$C$1018, 0)), INDEX(Mgt_Unit!$B$5:$B$1018, MATCH(C974, Mgt_Unit!$C$5:$C$1018, 0)), "")</f>
        <v>jennifer.moore</v>
      </c>
      <c r="C974" t="s">
        <v>804</v>
      </c>
      <c r="D974" s="45"/>
      <c r="E974" s="9" t="s">
        <v>1584</v>
      </c>
      <c r="F974" s="89">
        <v>42877</v>
      </c>
      <c r="G974" s="9"/>
      <c r="H974" s="9"/>
      <c r="I974" s="9"/>
      <c r="J974" t="s">
        <v>1422</v>
      </c>
      <c r="K974" s="120">
        <v>0.52</v>
      </c>
      <c r="L974" s="9"/>
      <c r="M974" s="7"/>
    </row>
    <row r="975" spans="1:13" hidden="1" x14ac:dyDescent="0.25">
      <c r="A975" s="4"/>
      <c r="B975" s="28" t="str">
        <f>IF(ISNUMBER(MATCH(C975, Mgt_Unit!$C$5:$C$1018, 0)), INDEX(Mgt_Unit!$B$5:$B$1018, MATCH(C975, Mgt_Unit!$C$5:$C$1018, 0)), "")</f>
        <v>jennifer.moore</v>
      </c>
      <c r="C975" t="s">
        <v>804</v>
      </c>
      <c r="D975" s="45"/>
      <c r="E975" s="9" t="s">
        <v>1583</v>
      </c>
      <c r="F975" s="89">
        <v>42877</v>
      </c>
      <c r="G975" s="9"/>
      <c r="H975" s="9"/>
      <c r="I975" s="9"/>
      <c r="J975" t="s">
        <v>1421</v>
      </c>
      <c r="K975" s="120">
        <v>3.3</v>
      </c>
      <c r="L975" s="9"/>
      <c r="M975" s="7"/>
    </row>
    <row r="976" spans="1:13" hidden="1" x14ac:dyDescent="0.25">
      <c r="A976" s="4"/>
      <c r="B976" s="28" t="str">
        <f>IF(ISNUMBER(MATCH(C976, Mgt_Unit!$C$5:$C$1018, 0)), INDEX(Mgt_Unit!$B$5:$B$1018, MATCH(C976, Mgt_Unit!$C$5:$C$1018, 0)), "")</f>
        <v>jennifer.moore</v>
      </c>
      <c r="C976" t="s">
        <v>804</v>
      </c>
      <c r="D976" s="45"/>
      <c r="E976" s="9" t="s">
        <v>1583</v>
      </c>
      <c r="F976" s="89">
        <v>43023</v>
      </c>
      <c r="G976" s="9"/>
      <c r="H976" s="9"/>
      <c r="I976" s="9"/>
      <c r="J976" t="s">
        <v>1425</v>
      </c>
      <c r="K976" s="120">
        <v>0.15</v>
      </c>
      <c r="L976" s="9"/>
      <c r="M976" s="7"/>
    </row>
    <row r="977" spans="1:13" hidden="1" x14ac:dyDescent="0.25">
      <c r="A977" s="4"/>
      <c r="B977" s="28" t="str">
        <f>IF(ISNUMBER(MATCH(C977, Mgt_Unit!$C$5:$C$1018, 0)), INDEX(Mgt_Unit!$B$5:$B$1018, MATCH(C977, Mgt_Unit!$C$5:$C$1018, 0)), "")</f>
        <v>jennifer.moore</v>
      </c>
      <c r="C977" t="s">
        <v>804</v>
      </c>
      <c r="D977" s="45"/>
      <c r="E977" s="9" t="s">
        <v>1585</v>
      </c>
      <c r="F977" s="89">
        <v>43029</v>
      </c>
      <c r="G977" s="9"/>
      <c r="H977" s="9"/>
      <c r="I977" s="9"/>
      <c r="J977" t="s">
        <v>1424</v>
      </c>
      <c r="K977" s="120">
        <v>2.4</v>
      </c>
      <c r="L977" s="9"/>
      <c r="M977" s="7"/>
    </row>
    <row r="978" spans="1:13" hidden="1" x14ac:dyDescent="0.25">
      <c r="A978" s="4"/>
      <c r="B978" s="28" t="str">
        <f>IF(ISNUMBER(MATCH(C978, Mgt_Unit!$C$5:$C$1018, 0)), INDEX(Mgt_Unit!$B$5:$B$1018, MATCH(C978, Mgt_Unit!$C$5:$C$1018, 0)), "")</f>
        <v>jennifer.moore</v>
      </c>
      <c r="C978" t="s">
        <v>804</v>
      </c>
      <c r="D978" s="45"/>
      <c r="E978" s="9" t="s">
        <v>1370</v>
      </c>
      <c r="F978" s="89">
        <v>43174</v>
      </c>
      <c r="G978" s="9"/>
      <c r="H978" s="9"/>
      <c r="I978" s="9"/>
      <c r="J978" t="s">
        <v>1420</v>
      </c>
      <c r="K978" s="120">
        <v>0.15</v>
      </c>
      <c r="L978" s="9"/>
      <c r="M978" s="7"/>
    </row>
    <row r="979" spans="1:13" hidden="1" x14ac:dyDescent="0.25">
      <c r="A979" s="4"/>
      <c r="B979" s="28" t="str">
        <f>IF(ISNUMBER(MATCH(C979, Mgt_Unit!$C$5:$C$1018, 0)), INDEX(Mgt_Unit!$B$5:$B$1018, MATCH(C979, Mgt_Unit!$C$5:$C$1018, 0)), "")</f>
        <v>jennifer.moore</v>
      </c>
      <c r="C979" t="s">
        <v>804</v>
      </c>
      <c r="D979" s="45"/>
      <c r="E979" s="9" t="s">
        <v>1583</v>
      </c>
      <c r="F979" s="89">
        <v>43168</v>
      </c>
      <c r="G979" s="9"/>
      <c r="H979" s="9"/>
      <c r="I979" s="9"/>
      <c r="J979" t="s">
        <v>1421</v>
      </c>
      <c r="K979" s="120">
        <v>3.3</v>
      </c>
      <c r="L979" s="9"/>
      <c r="M979" s="7"/>
    </row>
    <row r="980" spans="1:13" hidden="1" x14ac:dyDescent="0.25">
      <c r="A980" s="4"/>
      <c r="B980" s="28" t="str">
        <f>IF(ISNUMBER(MATCH(C980, Mgt_Unit!$C$5:$C$1018, 0)), INDEX(Mgt_Unit!$B$5:$B$1018, MATCH(C980, Mgt_Unit!$C$5:$C$1018, 0)), "")</f>
        <v>jennifer.moore</v>
      </c>
      <c r="C980" t="s">
        <v>804</v>
      </c>
      <c r="D980" s="45"/>
      <c r="E980" s="9" t="s">
        <v>1584</v>
      </c>
      <c r="F980" s="89">
        <v>43168</v>
      </c>
      <c r="G980" s="9"/>
      <c r="H980" s="9"/>
      <c r="I980" s="9"/>
      <c r="J980" t="s">
        <v>1422</v>
      </c>
      <c r="K980" s="120">
        <v>0.52</v>
      </c>
      <c r="L980" s="9"/>
      <c r="M980" s="7"/>
    </row>
    <row r="981" spans="1:13" hidden="1" x14ac:dyDescent="0.25">
      <c r="A981" s="4"/>
      <c r="B981" s="28" t="str">
        <f>IF(ISNUMBER(MATCH(C981, Mgt_Unit!$C$5:$C$1018, 0)), INDEX(Mgt_Unit!$B$5:$B$1018, MATCH(C981, Mgt_Unit!$C$5:$C$1018, 0)), "")</f>
        <v>jennifer.moore</v>
      </c>
      <c r="C981" t="s">
        <v>804</v>
      </c>
      <c r="D981" s="45"/>
      <c r="E981" s="9" t="s">
        <v>1583</v>
      </c>
      <c r="F981" s="89">
        <v>43294</v>
      </c>
      <c r="G981" s="9"/>
      <c r="H981" s="9"/>
      <c r="I981" s="9"/>
      <c r="J981" t="s">
        <v>1423</v>
      </c>
      <c r="K981" s="120">
        <v>0.15</v>
      </c>
      <c r="L981" s="9"/>
      <c r="M981" s="7"/>
    </row>
    <row r="982" spans="1:13" hidden="1" x14ac:dyDescent="0.25">
      <c r="A982" s="4"/>
      <c r="B982" s="28" t="str">
        <f>IF(ISNUMBER(MATCH(C982, Mgt_Unit!$C$5:$C$1018, 0)), INDEX(Mgt_Unit!$B$5:$B$1018, MATCH(C982, Mgt_Unit!$C$5:$C$1018, 0)), "")</f>
        <v>jennifer.moore</v>
      </c>
      <c r="C982" t="s">
        <v>804</v>
      </c>
      <c r="D982" s="45"/>
      <c r="E982" s="9" t="s">
        <v>1585</v>
      </c>
      <c r="F982" s="89">
        <v>43398</v>
      </c>
      <c r="G982" s="9"/>
      <c r="H982" s="9"/>
      <c r="I982" s="9"/>
      <c r="J982" t="s">
        <v>1424</v>
      </c>
      <c r="K982" s="120">
        <v>2.4</v>
      </c>
      <c r="L982" s="9"/>
      <c r="M982" s="7"/>
    </row>
    <row r="983" spans="1:13" hidden="1" x14ac:dyDescent="0.25">
      <c r="A983" s="4"/>
      <c r="B983" s="28" t="str">
        <f>IF(ISNUMBER(MATCH(C983, Mgt_Unit!$C$5:$C$1018, 0)), INDEX(Mgt_Unit!$B$5:$B$1018, MATCH(C983, Mgt_Unit!$C$5:$C$1018, 0)), "")</f>
        <v>jennifer.moore</v>
      </c>
      <c r="C983" t="s">
        <v>805</v>
      </c>
      <c r="D983" s="45"/>
      <c r="E983" s="9" t="s">
        <v>1583</v>
      </c>
      <c r="F983" s="89">
        <v>41682</v>
      </c>
      <c r="G983" s="9"/>
      <c r="H983" s="9"/>
      <c r="I983" s="9"/>
      <c r="J983" t="s">
        <v>1420</v>
      </c>
      <c r="K983" s="120">
        <v>0.15</v>
      </c>
      <c r="L983" s="9"/>
      <c r="M983" s="7"/>
    </row>
    <row r="984" spans="1:13" hidden="1" x14ac:dyDescent="0.25">
      <c r="A984" s="4"/>
      <c r="B984" s="28" t="str">
        <f>IF(ISNUMBER(MATCH(C984, Mgt_Unit!$C$5:$C$1018, 0)), INDEX(Mgt_Unit!$B$5:$B$1018, MATCH(C984, Mgt_Unit!$C$5:$C$1018, 0)), "")</f>
        <v>jennifer.moore</v>
      </c>
      <c r="C984" t="s">
        <v>805</v>
      </c>
      <c r="D984" s="45"/>
      <c r="E984" s="9" t="s">
        <v>1583</v>
      </c>
      <c r="F984" s="89">
        <v>41684</v>
      </c>
      <c r="G984" s="9"/>
      <c r="H984" s="9"/>
      <c r="I984" s="9"/>
      <c r="J984" t="s">
        <v>1420</v>
      </c>
      <c r="K984" s="120">
        <v>0.15</v>
      </c>
      <c r="L984" s="9"/>
      <c r="M984" s="7"/>
    </row>
    <row r="985" spans="1:13" hidden="1" x14ac:dyDescent="0.25">
      <c r="A985" s="4"/>
      <c r="B985" s="28" t="str">
        <f>IF(ISNUMBER(MATCH(C985, Mgt_Unit!$C$5:$C$1018, 0)), INDEX(Mgt_Unit!$B$5:$B$1018, MATCH(C985, Mgt_Unit!$C$5:$C$1018, 0)), "")</f>
        <v>jennifer.moore</v>
      </c>
      <c r="C985" t="s">
        <v>805</v>
      </c>
      <c r="D985" s="45"/>
      <c r="E985" s="9" t="s">
        <v>1583</v>
      </c>
      <c r="F985" s="89">
        <v>41690</v>
      </c>
      <c r="G985" s="9"/>
      <c r="H985" s="9"/>
      <c r="I985" s="9"/>
      <c r="J985" t="s">
        <v>1396</v>
      </c>
      <c r="K985" s="120">
        <v>37</v>
      </c>
      <c r="L985" s="9"/>
      <c r="M985" s="7"/>
    </row>
    <row r="986" spans="1:13" hidden="1" x14ac:dyDescent="0.25">
      <c r="A986" s="4"/>
      <c r="B986" s="28" t="str">
        <f>IF(ISNUMBER(MATCH(C986, Mgt_Unit!$C$5:$C$1018, 0)), INDEX(Mgt_Unit!$B$5:$B$1018, MATCH(C986, Mgt_Unit!$C$5:$C$1018, 0)), "")</f>
        <v>jennifer.moore</v>
      </c>
      <c r="C986" t="s">
        <v>805</v>
      </c>
      <c r="D986" s="45"/>
      <c r="E986" s="9" t="s">
        <v>1583</v>
      </c>
      <c r="F986" s="89">
        <v>41690</v>
      </c>
      <c r="G986" s="9"/>
      <c r="H986" s="9"/>
      <c r="I986" s="9"/>
      <c r="J986" t="s">
        <v>1396</v>
      </c>
      <c r="K986" s="120">
        <v>37</v>
      </c>
      <c r="L986" s="9"/>
      <c r="M986" s="7"/>
    </row>
    <row r="987" spans="1:13" hidden="1" x14ac:dyDescent="0.25">
      <c r="A987" s="4"/>
      <c r="B987" s="28" t="str">
        <f>IF(ISNUMBER(MATCH(C987, Mgt_Unit!$C$5:$C$1018, 0)), INDEX(Mgt_Unit!$B$5:$B$1018, MATCH(C987, Mgt_Unit!$C$5:$C$1018, 0)), "")</f>
        <v>jennifer.moore</v>
      </c>
      <c r="C987" t="s">
        <v>805</v>
      </c>
      <c r="D987" s="45"/>
      <c r="E987" s="9" t="s">
        <v>1583</v>
      </c>
      <c r="F987" s="89">
        <v>41692</v>
      </c>
      <c r="G987" s="9"/>
      <c r="H987" s="9"/>
      <c r="I987" s="9"/>
      <c r="J987" t="s">
        <v>1426</v>
      </c>
      <c r="K987" s="120">
        <v>58</v>
      </c>
      <c r="L987" s="9"/>
      <c r="M987" s="7"/>
    </row>
    <row r="988" spans="1:13" hidden="1" x14ac:dyDescent="0.25">
      <c r="A988" s="4"/>
      <c r="B988" s="28" t="str">
        <f>IF(ISNUMBER(MATCH(C988, Mgt_Unit!$C$5:$C$1018, 0)), INDEX(Mgt_Unit!$B$5:$B$1018, MATCH(C988, Mgt_Unit!$C$5:$C$1018, 0)), "")</f>
        <v>jennifer.moore</v>
      </c>
      <c r="C988" t="s">
        <v>805</v>
      </c>
      <c r="D988" s="45"/>
      <c r="E988" s="9" t="s">
        <v>1583</v>
      </c>
      <c r="F988" s="89">
        <v>41694</v>
      </c>
      <c r="G988" s="9"/>
      <c r="H988" s="9"/>
      <c r="I988" s="9"/>
      <c r="J988" t="s">
        <v>1396</v>
      </c>
      <c r="K988" s="120">
        <v>37</v>
      </c>
      <c r="L988" s="9"/>
      <c r="M988" s="7"/>
    </row>
    <row r="989" spans="1:13" hidden="1" x14ac:dyDescent="0.25">
      <c r="A989" s="4"/>
      <c r="B989" s="28" t="str">
        <f>IF(ISNUMBER(MATCH(C989, Mgt_Unit!$C$5:$C$1018, 0)), INDEX(Mgt_Unit!$B$5:$B$1018, MATCH(C989, Mgt_Unit!$C$5:$C$1018, 0)), "")</f>
        <v>jennifer.moore</v>
      </c>
      <c r="C989" t="s">
        <v>805</v>
      </c>
      <c r="D989" s="45"/>
      <c r="E989" s="9" t="s">
        <v>1583</v>
      </c>
      <c r="F989" s="89">
        <v>41695</v>
      </c>
      <c r="G989" s="9"/>
      <c r="H989" s="9"/>
      <c r="I989" s="9"/>
      <c r="J989" t="s">
        <v>1427</v>
      </c>
      <c r="K989" s="120">
        <v>35</v>
      </c>
      <c r="L989" s="9"/>
      <c r="M989" s="7"/>
    </row>
    <row r="990" spans="1:13" hidden="1" x14ac:dyDescent="0.25">
      <c r="A990" s="4"/>
      <c r="B990" s="28" t="str">
        <f>IF(ISNUMBER(MATCH(C990, Mgt_Unit!$C$5:$C$1018, 0)), INDEX(Mgt_Unit!$B$5:$B$1018, MATCH(C990, Mgt_Unit!$C$5:$C$1018, 0)), "")</f>
        <v>jennifer.moore</v>
      </c>
      <c r="C990" t="s">
        <v>805</v>
      </c>
      <c r="D990" s="45"/>
      <c r="E990" s="9" t="s">
        <v>1583</v>
      </c>
      <c r="F990" s="89">
        <v>41696</v>
      </c>
      <c r="G990" s="9"/>
      <c r="H990" s="9"/>
      <c r="I990" s="9"/>
      <c r="J990" t="s">
        <v>1362</v>
      </c>
      <c r="K990" s="120">
        <v>20</v>
      </c>
      <c r="L990" s="9"/>
      <c r="M990" s="7"/>
    </row>
    <row r="991" spans="1:13" hidden="1" x14ac:dyDescent="0.25">
      <c r="A991" s="4"/>
      <c r="B991" s="28" t="str">
        <f>IF(ISNUMBER(MATCH(C991, Mgt_Unit!$C$5:$C$1018, 0)), INDEX(Mgt_Unit!$B$5:$B$1018, MATCH(C991, Mgt_Unit!$C$5:$C$1018, 0)), "")</f>
        <v>jennifer.moore</v>
      </c>
      <c r="C991" t="s">
        <v>805</v>
      </c>
      <c r="D991" s="45"/>
      <c r="E991" s="9" t="s">
        <v>1583</v>
      </c>
      <c r="F991" s="89">
        <v>41703</v>
      </c>
      <c r="G991" s="9"/>
      <c r="H991" s="9"/>
      <c r="I991" s="9"/>
      <c r="J991" t="s">
        <v>1421</v>
      </c>
      <c r="K991" s="120">
        <v>3.3</v>
      </c>
      <c r="L991" s="9"/>
      <c r="M991" s="7"/>
    </row>
    <row r="992" spans="1:13" hidden="1" x14ac:dyDescent="0.25">
      <c r="A992" s="4"/>
      <c r="B992" s="28" t="str">
        <f>IF(ISNUMBER(MATCH(C992, Mgt_Unit!$C$5:$C$1018, 0)), INDEX(Mgt_Unit!$B$5:$B$1018, MATCH(C992, Mgt_Unit!$C$5:$C$1018, 0)), "")</f>
        <v>jennifer.moore</v>
      </c>
      <c r="C992" t="s">
        <v>805</v>
      </c>
      <c r="D992" s="45"/>
      <c r="E992" s="9" t="s">
        <v>1584</v>
      </c>
      <c r="F992" s="89">
        <v>41703</v>
      </c>
      <c r="G992" s="9"/>
      <c r="H992" s="9"/>
      <c r="I992" s="9"/>
      <c r="J992" t="s">
        <v>1422</v>
      </c>
      <c r="K992" s="120">
        <v>0.52</v>
      </c>
      <c r="L992" s="9"/>
      <c r="M992" s="7"/>
    </row>
    <row r="993" spans="1:13" hidden="1" x14ac:dyDescent="0.25">
      <c r="A993" s="4"/>
      <c r="B993" s="28" t="str">
        <f>IF(ISNUMBER(MATCH(C993, Mgt_Unit!$C$5:$C$1018, 0)), INDEX(Mgt_Unit!$B$5:$B$1018, MATCH(C993, Mgt_Unit!$C$5:$C$1018, 0)), "")</f>
        <v>jennifer.moore</v>
      </c>
      <c r="C993" t="s">
        <v>805</v>
      </c>
      <c r="D993" s="45"/>
      <c r="E993" s="9" t="s">
        <v>1583</v>
      </c>
      <c r="F993" s="89">
        <v>41716</v>
      </c>
      <c r="G993" s="9"/>
      <c r="H993" s="9"/>
      <c r="I993" s="9"/>
      <c r="J993" t="s">
        <v>1428</v>
      </c>
      <c r="K993" s="120">
        <v>26</v>
      </c>
      <c r="L993" s="9"/>
      <c r="M993" s="7"/>
    </row>
    <row r="994" spans="1:13" hidden="1" x14ac:dyDescent="0.25">
      <c r="A994" s="4"/>
      <c r="B994" s="28" t="str">
        <f>IF(ISNUMBER(MATCH(C994, Mgt_Unit!$C$5:$C$1018, 0)), INDEX(Mgt_Unit!$B$5:$B$1018, MATCH(C994, Mgt_Unit!$C$5:$C$1018, 0)), "")</f>
        <v>jennifer.moore</v>
      </c>
      <c r="C994" t="s">
        <v>805</v>
      </c>
      <c r="D994" s="45"/>
      <c r="E994" s="9" t="s">
        <v>1583</v>
      </c>
      <c r="F994" s="89">
        <v>41834</v>
      </c>
      <c r="G994" s="9"/>
      <c r="H994" s="9"/>
      <c r="I994" s="9"/>
      <c r="J994" t="s">
        <v>1423</v>
      </c>
      <c r="K994" s="120">
        <v>0.15</v>
      </c>
      <c r="L994" s="9"/>
      <c r="M994" s="7"/>
    </row>
    <row r="995" spans="1:13" hidden="1" x14ac:dyDescent="0.25">
      <c r="A995" s="4"/>
      <c r="B995" s="28" t="str">
        <f>IF(ISNUMBER(MATCH(C995, Mgt_Unit!$C$5:$C$1018, 0)), INDEX(Mgt_Unit!$B$5:$B$1018, MATCH(C995, Mgt_Unit!$C$5:$C$1018, 0)), "")</f>
        <v>jennifer.moore</v>
      </c>
      <c r="C995" t="s">
        <v>805</v>
      </c>
      <c r="D995" s="45"/>
      <c r="E995" s="9" t="s">
        <v>1583</v>
      </c>
      <c r="F995" s="89">
        <v>41839</v>
      </c>
      <c r="G995" s="9"/>
      <c r="H995" s="9"/>
      <c r="I995" s="9"/>
      <c r="J995" t="s">
        <v>1396</v>
      </c>
      <c r="K995" s="120">
        <v>37</v>
      </c>
      <c r="L995" s="9"/>
      <c r="M995" s="7"/>
    </row>
    <row r="996" spans="1:13" hidden="1" x14ac:dyDescent="0.25">
      <c r="A996" s="4"/>
      <c r="B996" s="28" t="str">
        <f>IF(ISNUMBER(MATCH(C996, Mgt_Unit!$C$5:$C$1018, 0)), INDEX(Mgt_Unit!$B$5:$B$1018, MATCH(C996, Mgt_Unit!$C$5:$C$1018, 0)), "")</f>
        <v>jennifer.moore</v>
      </c>
      <c r="C996" t="s">
        <v>805</v>
      </c>
      <c r="D996" s="45"/>
      <c r="E996" s="9" t="s">
        <v>1585</v>
      </c>
      <c r="F996" s="89">
        <v>41938</v>
      </c>
      <c r="G996" s="9"/>
      <c r="H996" s="9"/>
      <c r="I996" s="9"/>
      <c r="J996" t="s">
        <v>1424</v>
      </c>
      <c r="K996" s="120">
        <v>2.4</v>
      </c>
      <c r="L996" s="9"/>
      <c r="M996" s="7"/>
    </row>
    <row r="997" spans="1:13" hidden="1" x14ac:dyDescent="0.25">
      <c r="A997" s="4"/>
      <c r="B997" s="28" t="str">
        <f>IF(ISNUMBER(MATCH(C997, Mgt_Unit!$C$5:$C$1018, 0)), INDEX(Mgt_Unit!$B$5:$B$1018, MATCH(C997, Mgt_Unit!$C$5:$C$1018, 0)), "")</f>
        <v>jennifer.moore</v>
      </c>
      <c r="C997" t="s">
        <v>805</v>
      </c>
      <c r="D997" s="45"/>
      <c r="E997" s="9" t="s">
        <v>1583</v>
      </c>
      <c r="F997" s="89">
        <v>42089</v>
      </c>
      <c r="G997" s="9"/>
      <c r="H997" s="9"/>
      <c r="I997" s="9"/>
      <c r="J997" t="s">
        <v>1420</v>
      </c>
      <c r="K997" s="120">
        <v>0.15</v>
      </c>
      <c r="L997" s="9"/>
      <c r="M997" s="7"/>
    </row>
    <row r="998" spans="1:13" hidden="1" x14ac:dyDescent="0.25">
      <c r="A998" s="4"/>
      <c r="B998" s="28" t="str">
        <f>IF(ISNUMBER(MATCH(C998, Mgt_Unit!$C$5:$C$1018, 0)), INDEX(Mgt_Unit!$B$5:$B$1018, MATCH(C998, Mgt_Unit!$C$5:$C$1018, 0)), "")</f>
        <v>jennifer.moore</v>
      </c>
      <c r="C998" t="s">
        <v>805</v>
      </c>
      <c r="D998" s="45"/>
      <c r="E998" s="9" t="s">
        <v>1583</v>
      </c>
      <c r="F998" s="89">
        <v>42090</v>
      </c>
      <c r="G998" s="9"/>
      <c r="H998" s="9"/>
      <c r="I998" s="9"/>
      <c r="J998" t="s">
        <v>1396</v>
      </c>
      <c r="K998" s="120">
        <v>37</v>
      </c>
      <c r="L998" s="9"/>
      <c r="M998" s="7"/>
    </row>
    <row r="999" spans="1:13" hidden="1" x14ac:dyDescent="0.25">
      <c r="A999" s="4"/>
      <c r="B999" s="28" t="str">
        <f>IF(ISNUMBER(MATCH(C999, Mgt_Unit!$C$5:$C$1018, 0)), INDEX(Mgt_Unit!$B$5:$B$1018, MATCH(C999, Mgt_Unit!$C$5:$C$1018, 0)), "")</f>
        <v>jennifer.moore</v>
      </c>
      <c r="C999" t="s">
        <v>805</v>
      </c>
      <c r="D999" s="45"/>
      <c r="E999" s="9" t="s">
        <v>1583</v>
      </c>
      <c r="F999" s="89">
        <v>42090</v>
      </c>
      <c r="G999" s="9"/>
      <c r="H999" s="9"/>
      <c r="I999" s="9"/>
      <c r="J999" t="s">
        <v>1396</v>
      </c>
      <c r="K999" s="120">
        <v>37</v>
      </c>
      <c r="L999" s="9"/>
      <c r="M999" s="7"/>
    </row>
    <row r="1000" spans="1:13" hidden="1" x14ac:dyDescent="0.25">
      <c r="A1000" s="4"/>
      <c r="B1000" s="28" t="str">
        <f>IF(ISNUMBER(MATCH(C1000, Mgt_Unit!$C$5:$C$1018, 0)), INDEX(Mgt_Unit!$B$5:$B$1018, MATCH(C1000, Mgt_Unit!$C$5:$C$1018, 0)), "")</f>
        <v>jennifer.moore</v>
      </c>
      <c r="C1000" t="s">
        <v>805</v>
      </c>
      <c r="D1000" s="45"/>
      <c r="E1000" s="9" t="s">
        <v>1583</v>
      </c>
      <c r="F1000" s="89">
        <v>42092</v>
      </c>
      <c r="G1000" s="9"/>
      <c r="H1000" s="9"/>
      <c r="I1000" s="9"/>
      <c r="J1000" t="s">
        <v>1396</v>
      </c>
      <c r="K1000" s="120">
        <v>37</v>
      </c>
      <c r="L1000" s="9"/>
      <c r="M1000" s="7"/>
    </row>
    <row r="1001" spans="1:13" hidden="1" x14ac:dyDescent="0.25">
      <c r="A1001" s="4"/>
      <c r="B1001" s="28" t="str">
        <f>IF(ISNUMBER(MATCH(C1001, Mgt_Unit!$C$5:$C$1018, 0)), INDEX(Mgt_Unit!$B$5:$B$1018, MATCH(C1001, Mgt_Unit!$C$5:$C$1018, 0)), "")</f>
        <v>jennifer.moore</v>
      </c>
      <c r="C1001" t="s">
        <v>805</v>
      </c>
      <c r="D1001" s="45"/>
      <c r="E1001" s="9" t="s">
        <v>1583</v>
      </c>
      <c r="F1001" s="89">
        <v>42092</v>
      </c>
      <c r="G1001" s="9"/>
      <c r="H1001" s="9"/>
      <c r="I1001" s="9"/>
      <c r="J1001" t="s">
        <v>1426</v>
      </c>
      <c r="K1001" s="120">
        <v>58</v>
      </c>
      <c r="L1001" s="9"/>
      <c r="M1001" s="7"/>
    </row>
    <row r="1002" spans="1:13" hidden="1" x14ac:dyDescent="0.25">
      <c r="A1002" s="4"/>
      <c r="B1002" s="28" t="str">
        <f>IF(ISNUMBER(MATCH(C1002, Mgt_Unit!$C$5:$C$1018, 0)), INDEX(Mgt_Unit!$B$5:$B$1018, MATCH(C1002, Mgt_Unit!$C$5:$C$1018, 0)), "")</f>
        <v>jennifer.moore</v>
      </c>
      <c r="C1002" t="s">
        <v>805</v>
      </c>
      <c r="D1002" s="45"/>
      <c r="E1002" s="9" t="s">
        <v>1583</v>
      </c>
      <c r="F1002" s="89">
        <v>42097</v>
      </c>
      <c r="G1002" s="9"/>
      <c r="H1002" s="9"/>
      <c r="I1002" s="9"/>
      <c r="J1002" t="s">
        <v>1427</v>
      </c>
      <c r="K1002" s="120">
        <v>35</v>
      </c>
      <c r="L1002" s="9"/>
      <c r="M1002" s="7"/>
    </row>
    <row r="1003" spans="1:13" hidden="1" x14ac:dyDescent="0.25">
      <c r="A1003" s="4"/>
      <c r="B1003" s="28" t="str">
        <f>IF(ISNUMBER(MATCH(C1003, Mgt_Unit!$C$5:$C$1018, 0)), INDEX(Mgt_Unit!$B$5:$B$1018, MATCH(C1003, Mgt_Unit!$C$5:$C$1018, 0)), "")</f>
        <v>jennifer.moore</v>
      </c>
      <c r="C1003" t="s">
        <v>805</v>
      </c>
      <c r="D1003" s="45"/>
      <c r="E1003" s="9" t="s">
        <v>1583</v>
      </c>
      <c r="F1003" s="89">
        <v>42097</v>
      </c>
      <c r="G1003" s="9"/>
      <c r="H1003" s="9"/>
      <c r="I1003" s="9"/>
      <c r="J1003" t="s">
        <v>1429</v>
      </c>
      <c r="K1003" s="120">
        <v>20</v>
      </c>
      <c r="L1003" s="9"/>
      <c r="M1003" s="7"/>
    </row>
    <row r="1004" spans="1:13" hidden="1" x14ac:dyDescent="0.25">
      <c r="A1004" s="14"/>
      <c r="B1004" s="28" t="str">
        <f>IF(ISNUMBER(MATCH(C1004, Mgt_Unit!$C$5:$C$1018, 0)), INDEX(Mgt_Unit!$B$5:$B$1018, MATCH(C1004, Mgt_Unit!$C$5:$C$1018, 0)), "")</f>
        <v>jennifer.moore</v>
      </c>
      <c r="C1004" t="s">
        <v>805</v>
      </c>
      <c r="D1004" s="45"/>
      <c r="E1004" s="9" t="s">
        <v>1584</v>
      </c>
      <c r="F1004" s="89">
        <v>42135</v>
      </c>
      <c r="G1004" s="9"/>
      <c r="H1004" s="9"/>
      <c r="I1004" s="9"/>
      <c r="J1004" t="s">
        <v>1422</v>
      </c>
      <c r="K1004" s="120">
        <v>0.52</v>
      </c>
      <c r="L1004" s="9"/>
      <c r="M1004" s="7"/>
    </row>
    <row r="1005" spans="1:13" hidden="1" x14ac:dyDescent="0.25">
      <c r="B1005" s="28" t="str">
        <f>IF(ISNUMBER(MATCH(C1005, Mgt_Unit!$C$5:$C$1018, 0)), INDEX(Mgt_Unit!$B$5:$B$1018, MATCH(C1005, Mgt_Unit!$C$5:$C$1018, 0)), "")</f>
        <v>jennifer.moore</v>
      </c>
      <c r="C1005" t="s">
        <v>805</v>
      </c>
      <c r="E1005" s="17" t="s">
        <v>1583</v>
      </c>
      <c r="F1005" s="89">
        <v>42135</v>
      </c>
      <c r="J1005" t="s">
        <v>1421</v>
      </c>
      <c r="K1005" s="120">
        <v>3.3</v>
      </c>
    </row>
    <row r="1006" spans="1:13" hidden="1" x14ac:dyDescent="0.25">
      <c r="B1006" s="28" t="str">
        <f>IF(ISNUMBER(MATCH(C1006, Mgt_Unit!$C$5:$C$1018, 0)), INDEX(Mgt_Unit!$B$5:$B$1018, MATCH(C1006, Mgt_Unit!$C$5:$C$1018, 0)), "")</f>
        <v>jennifer.moore</v>
      </c>
      <c r="C1006" t="s">
        <v>805</v>
      </c>
      <c r="E1006" s="17" t="s">
        <v>1583</v>
      </c>
      <c r="F1006" s="89">
        <v>42293</v>
      </c>
      <c r="J1006" t="s">
        <v>1425</v>
      </c>
      <c r="K1006" s="120">
        <v>0.15</v>
      </c>
    </row>
    <row r="1007" spans="1:13" hidden="1" x14ac:dyDescent="0.25">
      <c r="B1007" s="28" t="str">
        <f>IF(ISNUMBER(MATCH(C1007, Mgt_Unit!$C$5:$C$1018, 0)), INDEX(Mgt_Unit!$B$5:$B$1018, MATCH(C1007, Mgt_Unit!$C$5:$C$1018, 0)), "")</f>
        <v>jennifer.moore</v>
      </c>
      <c r="C1007" t="s">
        <v>805</v>
      </c>
      <c r="E1007" s="17" t="s">
        <v>1583</v>
      </c>
      <c r="F1007" s="89">
        <v>42298</v>
      </c>
      <c r="J1007" t="s">
        <v>1396</v>
      </c>
      <c r="K1007" s="120">
        <v>37</v>
      </c>
    </row>
    <row r="1008" spans="1:13" hidden="1" x14ac:dyDescent="0.25">
      <c r="B1008" s="28" t="str">
        <f>IF(ISNUMBER(MATCH(C1008, Mgt_Unit!$C$5:$C$1018, 0)), INDEX(Mgt_Unit!$B$5:$B$1018, MATCH(C1008, Mgt_Unit!$C$5:$C$1018, 0)), "")</f>
        <v>jennifer.moore</v>
      </c>
      <c r="C1008" t="s">
        <v>805</v>
      </c>
      <c r="E1008" s="17" t="s">
        <v>1585</v>
      </c>
      <c r="F1008" s="89">
        <v>42299</v>
      </c>
      <c r="J1008" t="s">
        <v>1424</v>
      </c>
      <c r="K1008" s="120">
        <v>2.4</v>
      </c>
    </row>
    <row r="1009" spans="2:11" hidden="1" x14ac:dyDescent="0.25">
      <c r="B1009" s="28" t="str">
        <f>IF(ISNUMBER(MATCH(C1009, Mgt_Unit!$C$5:$C$1018, 0)), INDEX(Mgt_Unit!$B$5:$B$1018, MATCH(C1009, Mgt_Unit!$C$5:$C$1018, 0)), "")</f>
        <v>jennifer.moore</v>
      </c>
      <c r="C1009" t="s">
        <v>805</v>
      </c>
      <c r="E1009" s="17" t="s">
        <v>1583</v>
      </c>
      <c r="F1009" s="89">
        <v>42398</v>
      </c>
      <c r="J1009" t="s">
        <v>1420</v>
      </c>
      <c r="K1009" s="120">
        <v>0.15</v>
      </c>
    </row>
    <row r="1010" spans="2:11" hidden="1" x14ac:dyDescent="0.25">
      <c r="B1010" s="28" t="str">
        <f>IF(ISNUMBER(MATCH(C1010, Mgt_Unit!$C$5:$C$1018, 0)), INDEX(Mgt_Unit!$B$5:$B$1018, MATCH(C1010, Mgt_Unit!$C$5:$C$1018, 0)), "")</f>
        <v>jennifer.moore</v>
      </c>
      <c r="C1010" t="s">
        <v>805</v>
      </c>
      <c r="E1010" s="17" t="s">
        <v>1583</v>
      </c>
      <c r="F1010" s="89">
        <v>42400</v>
      </c>
      <c r="J1010" t="s">
        <v>1420</v>
      </c>
      <c r="K1010" s="120">
        <v>0.15</v>
      </c>
    </row>
    <row r="1011" spans="2:11" hidden="1" x14ac:dyDescent="0.25">
      <c r="B1011" s="28" t="str">
        <f>IF(ISNUMBER(MATCH(C1011, Mgt_Unit!$C$5:$C$1018, 0)), INDEX(Mgt_Unit!$B$5:$B$1018, MATCH(C1011, Mgt_Unit!$C$5:$C$1018, 0)), "")</f>
        <v>jennifer.moore</v>
      </c>
      <c r="C1011" t="s">
        <v>805</v>
      </c>
      <c r="E1011" s="17" t="s">
        <v>1583</v>
      </c>
      <c r="F1011" s="89">
        <v>42406</v>
      </c>
      <c r="J1011" t="s">
        <v>1396</v>
      </c>
      <c r="K1011" s="120">
        <v>37</v>
      </c>
    </row>
    <row r="1012" spans="2:11" hidden="1" x14ac:dyDescent="0.25">
      <c r="B1012" s="28" t="str">
        <f>IF(ISNUMBER(MATCH(C1012, Mgt_Unit!$C$5:$C$1018, 0)), INDEX(Mgt_Unit!$B$5:$B$1018, MATCH(C1012, Mgt_Unit!$C$5:$C$1018, 0)), "")</f>
        <v>jennifer.moore</v>
      </c>
      <c r="C1012" t="s">
        <v>805</v>
      </c>
      <c r="E1012" s="17" t="s">
        <v>1583</v>
      </c>
      <c r="F1012" s="89">
        <v>42406</v>
      </c>
      <c r="J1012" t="s">
        <v>1396</v>
      </c>
      <c r="K1012" s="120">
        <v>37</v>
      </c>
    </row>
    <row r="1013" spans="2:11" hidden="1" x14ac:dyDescent="0.25">
      <c r="B1013" s="28" t="str">
        <f>IF(ISNUMBER(MATCH(C1013, Mgt_Unit!$C$5:$C$1018, 0)), INDEX(Mgt_Unit!$B$5:$B$1018, MATCH(C1013, Mgt_Unit!$C$5:$C$1018, 0)), "")</f>
        <v>jennifer.moore</v>
      </c>
      <c r="C1013" t="s">
        <v>805</v>
      </c>
      <c r="E1013" s="17" t="s">
        <v>1583</v>
      </c>
      <c r="F1013" s="89">
        <v>42408</v>
      </c>
      <c r="J1013" t="s">
        <v>1426</v>
      </c>
      <c r="K1013" s="120">
        <v>58</v>
      </c>
    </row>
    <row r="1014" spans="2:11" hidden="1" x14ac:dyDescent="0.25">
      <c r="B1014" s="28" t="str">
        <f>IF(ISNUMBER(MATCH(C1014, Mgt_Unit!$C$5:$C$1018, 0)), INDEX(Mgt_Unit!$B$5:$B$1018, MATCH(C1014, Mgt_Unit!$C$5:$C$1018, 0)), "")</f>
        <v>jennifer.moore</v>
      </c>
      <c r="C1014" t="s">
        <v>805</v>
      </c>
      <c r="E1014" s="17" t="s">
        <v>1583</v>
      </c>
      <c r="F1014" s="89">
        <v>42410</v>
      </c>
      <c r="J1014" t="s">
        <v>1396</v>
      </c>
      <c r="K1014" s="120">
        <v>37</v>
      </c>
    </row>
    <row r="1015" spans="2:11" hidden="1" x14ac:dyDescent="0.25">
      <c r="B1015" s="28" t="str">
        <f>IF(ISNUMBER(MATCH(C1015, Mgt_Unit!$C$5:$C$1018, 0)), INDEX(Mgt_Unit!$B$5:$B$1018, MATCH(C1015, Mgt_Unit!$C$5:$C$1018, 0)), "")</f>
        <v>jennifer.moore</v>
      </c>
      <c r="C1015" t="s">
        <v>805</v>
      </c>
      <c r="E1015" s="17" t="s">
        <v>1583</v>
      </c>
      <c r="F1015" s="89">
        <v>42411</v>
      </c>
      <c r="J1015" t="s">
        <v>1427</v>
      </c>
      <c r="K1015" s="120">
        <v>35</v>
      </c>
    </row>
    <row r="1016" spans="2:11" hidden="1" x14ac:dyDescent="0.25">
      <c r="B1016" s="28" t="str">
        <f>IF(ISNUMBER(MATCH(C1016, Mgt_Unit!$C$5:$C$1018, 0)), INDEX(Mgt_Unit!$B$5:$B$1018, MATCH(C1016, Mgt_Unit!$C$5:$C$1018, 0)), "")</f>
        <v>jennifer.moore</v>
      </c>
      <c r="C1016" t="s">
        <v>805</v>
      </c>
      <c r="E1016" s="17" t="s">
        <v>1583</v>
      </c>
      <c r="F1016" s="89">
        <v>42412</v>
      </c>
      <c r="J1016" t="s">
        <v>1362</v>
      </c>
      <c r="K1016" s="120">
        <v>20</v>
      </c>
    </row>
    <row r="1017" spans="2:11" hidden="1" x14ac:dyDescent="0.25">
      <c r="B1017" s="28" t="str">
        <f>IF(ISNUMBER(MATCH(C1017, Mgt_Unit!$C$5:$C$1018, 0)), INDEX(Mgt_Unit!$B$5:$B$1018, MATCH(C1017, Mgt_Unit!$C$5:$C$1018, 0)), "")</f>
        <v>jennifer.moore</v>
      </c>
      <c r="C1017" t="s">
        <v>805</v>
      </c>
      <c r="E1017" s="17" t="s">
        <v>1583</v>
      </c>
      <c r="F1017" s="89">
        <v>42422</v>
      </c>
      <c r="J1017" t="s">
        <v>1421</v>
      </c>
      <c r="K1017" s="120">
        <v>3.3</v>
      </c>
    </row>
    <row r="1018" spans="2:11" hidden="1" x14ac:dyDescent="0.25">
      <c r="B1018" s="28" t="str">
        <f>IF(ISNUMBER(MATCH(C1018, Mgt_Unit!$C$5:$C$1018, 0)), INDEX(Mgt_Unit!$B$5:$B$1018, MATCH(C1018, Mgt_Unit!$C$5:$C$1018, 0)), "")</f>
        <v>jennifer.moore</v>
      </c>
      <c r="C1018" t="s">
        <v>805</v>
      </c>
      <c r="E1018" s="17" t="s">
        <v>1584</v>
      </c>
      <c r="F1018" s="89">
        <v>42422</v>
      </c>
      <c r="J1018" t="s">
        <v>1422</v>
      </c>
      <c r="K1018" s="120">
        <v>0.52</v>
      </c>
    </row>
    <row r="1019" spans="2:11" hidden="1" x14ac:dyDescent="0.25">
      <c r="B1019" s="28" t="str">
        <f>IF(ISNUMBER(MATCH(C1019, Mgt_Unit!$C$5:$C$1018, 0)), INDEX(Mgt_Unit!$B$5:$B$1018, MATCH(C1019, Mgt_Unit!$C$5:$C$1018, 0)), "")</f>
        <v>jennifer.moore</v>
      </c>
      <c r="C1019" t="s">
        <v>805</v>
      </c>
      <c r="E1019" s="17" t="s">
        <v>1583</v>
      </c>
      <c r="F1019" s="89">
        <v>42436</v>
      </c>
      <c r="J1019" t="s">
        <v>1428</v>
      </c>
      <c r="K1019" s="120">
        <v>26</v>
      </c>
    </row>
    <row r="1020" spans="2:11" hidden="1" x14ac:dyDescent="0.25">
      <c r="B1020" s="28" t="str">
        <f>IF(ISNUMBER(MATCH(C1020, Mgt_Unit!$C$5:$C$1018, 0)), INDEX(Mgt_Unit!$B$5:$B$1018, MATCH(C1020, Mgt_Unit!$C$5:$C$1018, 0)), "")</f>
        <v>jennifer.moore</v>
      </c>
      <c r="C1020" t="s">
        <v>805</v>
      </c>
      <c r="E1020" s="17" t="s">
        <v>1583</v>
      </c>
      <c r="F1020" s="89">
        <v>42564</v>
      </c>
      <c r="J1020" t="s">
        <v>1423</v>
      </c>
      <c r="K1020" s="120">
        <v>0.15</v>
      </c>
    </row>
    <row r="1021" spans="2:11" hidden="1" x14ac:dyDescent="0.25">
      <c r="B1021" s="28" t="str">
        <f>IF(ISNUMBER(MATCH(C1021, Mgt_Unit!$C$5:$C$1018, 0)), INDEX(Mgt_Unit!$B$5:$B$1018, MATCH(C1021, Mgt_Unit!$C$5:$C$1018, 0)), "")</f>
        <v>jennifer.moore</v>
      </c>
      <c r="C1021" t="s">
        <v>805</v>
      </c>
      <c r="E1021" s="17" t="s">
        <v>1583</v>
      </c>
      <c r="F1021" s="89">
        <v>42569</v>
      </c>
      <c r="J1021" t="s">
        <v>1396</v>
      </c>
      <c r="K1021" s="120">
        <v>37</v>
      </c>
    </row>
    <row r="1022" spans="2:11" hidden="1" x14ac:dyDescent="0.25">
      <c r="B1022" s="28" t="str">
        <f>IF(ISNUMBER(MATCH(C1022, Mgt_Unit!$C$5:$C$1018, 0)), INDEX(Mgt_Unit!$B$5:$B$1018, MATCH(C1022, Mgt_Unit!$C$5:$C$1018, 0)), "")</f>
        <v>jennifer.moore</v>
      </c>
      <c r="C1022" t="s">
        <v>805</v>
      </c>
      <c r="E1022" s="17" t="s">
        <v>1585</v>
      </c>
      <c r="F1022" s="89">
        <v>42668</v>
      </c>
      <c r="J1022" t="s">
        <v>1424</v>
      </c>
      <c r="K1022" s="120">
        <v>2.4</v>
      </c>
    </row>
    <row r="1023" spans="2:11" hidden="1" x14ac:dyDescent="0.25">
      <c r="B1023" s="28" t="str">
        <f>IF(ISNUMBER(MATCH(C1023, Mgt_Unit!$C$5:$C$1018, 0)), INDEX(Mgt_Unit!$B$5:$B$1018, MATCH(C1023, Mgt_Unit!$C$5:$C$1018, 0)), "")</f>
        <v>jennifer.moore</v>
      </c>
      <c r="C1023" t="s">
        <v>805</v>
      </c>
      <c r="E1023" s="17" t="s">
        <v>1583</v>
      </c>
      <c r="F1023" s="89">
        <v>42830</v>
      </c>
      <c r="J1023" t="s">
        <v>1420</v>
      </c>
      <c r="K1023" s="120">
        <v>0.15</v>
      </c>
    </row>
    <row r="1024" spans="2:11" hidden="1" x14ac:dyDescent="0.25">
      <c r="B1024" s="28" t="str">
        <f>IF(ISNUMBER(MATCH(C1024, Mgt_Unit!$C$5:$C$1018, 0)), INDEX(Mgt_Unit!$B$5:$B$1018, MATCH(C1024, Mgt_Unit!$C$5:$C$1018, 0)), "")</f>
        <v>jennifer.moore</v>
      </c>
      <c r="C1024" t="s">
        <v>805</v>
      </c>
      <c r="E1024" s="17" t="s">
        <v>1583</v>
      </c>
      <c r="F1024" s="89">
        <v>42835</v>
      </c>
      <c r="J1024" t="s">
        <v>1396</v>
      </c>
      <c r="K1024" s="120">
        <v>37</v>
      </c>
    </row>
    <row r="1025" spans="2:11" hidden="1" x14ac:dyDescent="0.25">
      <c r="B1025" s="28" t="str">
        <f>IF(ISNUMBER(MATCH(C1025, Mgt_Unit!$C$5:$C$1018, 0)), INDEX(Mgt_Unit!$B$5:$B$1018, MATCH(C1025, Mgt_Unit!$C$5:$C$1018, 0)), "")</f>
        <v>jennifer.moore</v>
      </c>
      <c r="C1025" t="s">
        <v>805</v>
      </c>
      <c r="E1025" s="17" t="s">
        <v>1583</v>
      </c>
      <c r="F1025" s="89">
        <v>42835</v>
      </c>
      <c r="J1025" t="s">
        <v>1396</v>
      </c>
      <c r="K1025" s="120">
        <v>37</v>
      </c>
    </row>
    <row r="1026" spans="2:11" hidden="1" x14ac:dyDescent="0.25">
      <c r="B1026" s="28" t="str">
        <f>IF(ISNUMBER(MATCH(C1026, Mgt_Unit!$C$5:$C$1018, 0)), INDEX(Mgt_Unit!$B$5:$B$1018, MATCH(C1026, Mgt_Unit!$C$5:$C$1018, 0)), "")</f>
        <v>jennifer.moore</v>
      </c>
      <c r="C1026" t="s">
        <v>805</v>
      </c>
      <c r="E1026" s="17" t="s">
        <v>1583</v>
      </c>
      <c r="F1026" s="89">
        <v>42840</v>
      </c>
      <c r="J1026" t="s">
        <v>1426</v>
      </c>
      <c r="K1026" s="120">
        <v>58</v>
      </c>
    </row>
    <row r="1027" spans="2:11" hidden="1" x14ac:dyDescent="0.25">
      <c r="B1027" s="28" t="str">
        <f>IF(ISNUMBER(MATCH(C1027, Mgt_Unit!$C$5:$C$1018, 0)), INDEX(Mgt_Unit!$B$5:$B$1018, MATCH(C1027, Mgt_Unit!$C$5:$C$1018, 0)), "")</f>
        <v>jennifer.moore</v>
      </c>
      <c r="C1027" t="s">
        <v>805</v>
      </c>
      <c r="E1027" s="17" t="s">
        <v>1583</v>
      </c>
      <c r="F1027" s="89">
        <v>42843</v>
      </c>
      <c r="J1027" t="s">
        <v>1429</v>
      </c>
      <c r="K1027" s="120">
        <v>20</v>
      </c>
    </row>
    <row r="1028" spans="2:11" hidden="1" x14ac:dyDescent="0.25">
      <c r="B1028" s="28" t="str">
        <f>IF(ISNUMBER(MATCH(C1028, Mgt_Unit!$C$5:$C$1018, 0)), INDEX(Mgt_Unit!$B$5:$B$1018, MATCH(C1028, Mgt_Unit!$C$5:$C$1018, 0)), "")</f>
        <v>jennifer.moore</v>
      </c>
      <c r="C1028" t="s">
        <v>805</v>
      </c>
      <c r="E1028" s="17" t="s">
        <v>1583</v>
      </c>
      <c r="F1028" s="89">
        <v>42844</v>
      </c>
      <c r="J1028" t="s">
        <v>1427</v>
      </c>
      <c r="K1028" s="120">
        <v>35</v>
      </c>
    </row>
    <row r="1029" spans="2:11" hidden="1" x14ac:dyDescent="0.25">
      <c r="B1029" s="28" t="str">
        <f>IF(ISNUMBER(MATCH(C1029, Mgt_Unit!$C$5:$C$1018, 0)), INDEX(Mgt_Unit!$B$5:$B$1018, MATCH(C1029, Mgt_Unit!$C$5:$C$1018, 0)), "")</f>
        <v>jennifer.moore</v>
      </c>
      <c r="C1029" t="s">
        <v>805</v>
      </c>
      <c r="E1029" s="17" t="s">
        <v>1583</v>
      </c>
      <c r="F1029" s="89">
        <v>42877</v>
      </c>
      <c r="J1029" t="s">
        <v>1421</v>
      </c>
      <c r="K1029" s="120">
        <v>3.3</v>
      </c>
    </row>
    <row r="1030" spans="2:11" hidden="1" x14ac:dyDescent="0.25">
      <c r="B1030" s="28" t="str">
        <f>IF(ISNUMBER(MATCH(C1030, Mgt_Unit!$C$5:$C$1018, 0)), INDEX(Mgt_Unit!$B$5:$B$1018, MATCH(C1030, Mgt_Unit!$C$5:$C$1018, 0)), "")</f>
        <v>jennifer.moore</v>
      </c>
      <c r="C1030" t="s">
        <v>805</v>
      </c>
      <c r="E1030" s="17" t="s">
        <v>1584</v>
      </c>
      <c r="F1030" s="89">
        <v>42877</v>
      </c>
      <c r="J1030" t="s">
        <v>1422</v>
      </c>
      <c r="K1030" s="120">
        <v>0.52</v>
      </c>
    </row>
    <row r="1031" spans="2:11" hidden="1" x14ac:dyDescent="0.25">
      <c r="B1031" s="28" t="str">
        <f>IF(ISNUMBER(MATCH(C1031, Mgt_Unit!$C$5:$C$1018, 0)), INDEX(Mgt_Unit!$B$5:$B$1018, MATCH(C1031, Mgt_Unit!$C$5:$C$1018, 0)), "")</f>
        <v>jennifer.moore</v>
      </c>
      <c r="C1031" t="s">
        <v>805</v>
      </c>
      <c r="E1031" s="17" t="s">
        <v>1583</v>
      </c>
      <c r="F1031" s="89">
        <v>43023</v>
      </c>
      <c r="J1031" t="s">
        <v>1425</v>
      </c>
      <c r="K1031" s="120">
        <v>0.15</v>
      </c>
    </row>
    <row r="1032" spans="2:11" hidden="1" x14ac:dyDescent="0.25">
      <c r="B1032" s="28" t="str">
        <f>IF(ISNUMBER(MATCH(C1032, Mgt_Unit!$C$5:$C$1018, 0)), INDEX(Mgt_Unit!$B$5:$B$1018, MATCH(C1032, Mgt_Unit!$C$5:$C$1018, 0)), "")</f>
        <v>jennifer.moore</v>
      </c>
      <c r="C1032" t="s">
        <v>805</v>
      </c>
      <c r="E1032" s="17" t="s">
        <v>1583</v>
      </c>
      <c r="F1032" s="89">
        <v>43028</v>
      </c>
      <c r="J1032" t="s">
        <v>1396</v>
      </c>
      <c r="K1032" s="120">
        <v>37</v>
      </c>
    </row>
    <row r="1033" spans="2:11" hidden="1" x14ac:dyDescent="0.25">
      <c r="B1033" s="28" t="str">
        <f>IF(ISNUMBER(MATCH(C1033, Mgt_Unit!$C$5:$C$1018, 0)), INDEX(Mgt_Unit!$B$5:$B$1018, MATCH(C1033, Mgt_Unit!$C$5:$C$1018, 0)), "")</f>
        <v>jennifer.moore</v>
      </c>
      <c r="C1033" t="s">
        <v>805</v>
      </c>
      <c r="E1033" s="17" t="s">
        <v>1585</v>
      </c>
      <c r="F1033" s="89">
        <v>43029</v>
      </c>
      <c r="J1033" t="s">
        <v>1424</v>
      </c>
      <c r="K1033" s="120">
        <v>2.4</v>
      </c>
    </row>
    <row r="1034" spans="2:11" hidden="1" x14ac:dyDescent="0.25">
      <c r="B1034" s="28" t="str">
        <f>IF(ISNUMBER(MATCH(C1034, Mgt_Unit!$C$5:$C$1018, 0)), INDEX(Mgt_Unit!$B$5:$B$1018, MATCH(C1034, Mgt_Unit!$C$5:$C$1018, 0)), "")</f>
        <v>jennifer.moore</v>
      </c>
      <c r="C1034" t="s">
        <v>805</v>
      </c>
      <c r="E1034" s="17" t="s">
        <v>1583</v>
      </c>
      <c r="F1034" s="89">
        <v>43145</v>
      </c>
      <c r="J1034" t="s">
        <v>1420</v>
      </c>
      <c r="K1034" s="120">
        <v>0.15</v>
      </c>
    </row>
    <row r="1035" spans="2:11" hidden="1" x14ac:dyDescent="0.25">
      <c r="B1035" s="28" t="str">
        <f>IF(ISNUMBER(MATCH(C1035, Mgt_Unit!$C$5:$C$1018, 0)), INDEX(Mgt_Unit!$B$5:$B$1018, MATCH(C1035, Mgt_Unit!$C$5:$C$1018, 0)), "")</f>
        <v>jennifer.moore</v>
      </c>
      <c r="C1035" t="s">
        <v>805</v>
      </c>
      <c r="E1035" s="17" t="s">
        <v>1583</v>
      </c>
      <c r="F1035" s="89">
        <v>43147</v>
      </c>
      <c r="J1035" t="s">
        <v>1420</v>
      </c>
      <c r="K1035" s="120">
        <v>0.15</v>
      </c>
    </row>
    <row r="1036" spans="2:11" hidden="1" x14ac:dyDescent="0.25">
      <c r="B1036" s="28" t="str">
        <f>IF(ISNUMBER(MATCH(C1036, Mgt_Unit!$C$5:$C$1018, 0)), INDEX(Mgt_Unit!$B$5:$B$1018, MATCH(C1036, Mgt_Unit!$C$5:$C$1018, 0)), "")</f>
        <v>jennifer.moore</v>
      </c>
      <c r="C1036" t="s">
        <v>805</v>
      </c>
      <c r="E1036" s="17" t="s">
        <v>1583</v>
      </c>
      <c r="F1036" s="89">
        <v>43154</v>
      </c>
      <c r="J1036" t="s">
        <v>1396</v>
      </c>
      <c r="K1036" s="120">
        <v>37</v>
      </c>
    </row>
    <row r="1037" spans="2:11" hidden="1" x14ac:dyDescent="0.25">
      <c r="B1037" s="28" t="str">
        <f>IF(ISNUMBER(MATCH(C1037, Mgt_Unit!$C$5:$C$1018, 0)), INDEX(Mgt_Unit!$B$5:$B$1018, MATCH(C1037, Mgt_Unit!$C$5:$C$1018, 0)), "")</f>
        <v>jennifer.moore</v>
      </c>
      <c r="C1037" t="s">
        <v>805</v>
      </c>
      <c r="E1037" s="17" t="s">
        <v>1583</v>
      </c>
      <c r="F1037" s="89">
        <v>43154</v>
      </c>
      <c r="J1037" t="s">
        <v>1396</v>
      </c>
      <c r="K1037" s="120">
        <v>37</v>
      </c>
    </row>
    <row r="1038" spans="2:11" hidden="1" x14ac:dyDescent="0.25">
      <c r="B1038" s="28" t="str">
        <f>IF(ISNUMBER(MATCH(C1038, Mgt_Unit!$C$5:$C$1018, 0)), INDEX(Mgt_Unit!$B$5:$B$1018, MATCH(C1038, Mgt_Unit!$C$5:$C$1018, 0)), "")</f>
        <v>jennifer.moore</v>
      </c>
      <c r="C1038" t="s">
        <v>805</v>
      </c>
      <c r="E1038" s="17" t="s">
        <v>1583</v>
      </c>
      <c r="F1038" s="89">
        <v>43156</v>
      </c>
      <c r="J1038" t="s">
        <v>1426</v>
      </c>
      <c r="K1038" s="120">
        <v>58</v>
      </c>
    </row>
    <row r="1039" spans="2:11" hidden="1" x14ac:dyDescent="0.25">
      <c r="B1039" s="28" t="str">
        <f>IF(ISNUMBER(MATCH(C1039, Mgt_Unit!$C$5:$C$1018, 0)), INDEX(Mgt_Unit!$B$5:$B$1018, MATCH(C1039, Mgt_Unit!$C$5:$C$1018, 0)), "")</f>
        <v>jennifer.moore</v>
      </c>
      <c r="C1039" t="s">
        <v>805</v>
      </c>
      <c r="E1039" s="17" t="s">
        <v>1583</v>
      </c>
      <c r="F1039" s="89">
        <v>43158</v>
      </c>
      <c r="J1039" t="s">
        <v>1396</v>
      </c>
      <c r="K1039" s="120">
        <v>37</v>
      </c>
    </row>
    <row r="1040" spans="2:11" hidden="1" x14ac:dyDescent="0.25">
      <c r="B1040" s="28" t="str">
        <f>IF(ISNUMBER(MATCH(C1040, Mgt_Unit!$C$5:$C$1018, 0)), INDEX(Mgt_Unit!$B$5:$B$1018, MATCH(C1040, Mgt_Unit!$C$5:$C$1018, 0)), "")</f>
        <v>jennifer.moore</v>
      </c>
      <c r="C1040" t="s">
        <v>805</v>
      </c>
      <c r="E1040" s="17" t="s">
        <v>1583</v>
      </c>
      <c r="F1040" s="89">
        <v>43159</v>
      </c>
      <c r="J1040" t="s">
        <v>1427</v>
      </c>
      <c r="K1040" s="120">
        <v>35</v>
      </c>
    </row>
    <row r="1041" spans="2:11" hidden="1" x14ac:dyDescent="0.25">
      <c r="B1041" s="28" t="str">
        <f>IF(ISNUMBER(MATCH(C1041, Mgt_Unit!$C$5:$C$1018, 0)), INDEX(Mgt_Unit!$B$5:$B$1018, MATCH(C1041, Mgt_Unit!$C$5:$C$1018, 0)), "")</f>
        <v>jennifer.moore</v>
      </c>
      <c r="C1041" t="s">
        <v>805</v>
      </c>
      <c r="E1041" s="17" t="s">
        <v>1583</v>
      </c>
      <c r="F1041" s="89">
        <v>43160</v>
      </c>
      <c r="J1041" t="s">
        <v>1362</v>
      </c>
      <c r="K1041" s="120">
        <v>20</v>
      </c>
    </row>
    <row r="1042" spans="2:11" hidden="1" x14ac:dyDescent="0.25">
      <c r="B1042" s="28" t="str">
        <f>IF(ISNUMBER(MATCH(C1042, Mgt_Unit!$C$5:$C$1018, 0)), INDEX(Mgt_Unit!$B$5:$B$1018, MATCH(C1042, Mgt_Unit!$C$5:$C$1018, 0)), "")</f>
        <v>jennifer.moore</v>
      </c>
      <c r="C1042" t="s">
        <v>805</v>
      </c>
      <c r="E1042" s="17" t="s">
        <v>1583</v>
      </c>
      <c r="F1042" s="89">
        <v>43168</v>
      </c>
      <c r="J1042" t="s">
        <v>1421</v>
      </c>
      <c r="K1042" s="120">
        <v>3.3</v>
      </c>
    </row>
    <row r="1043" spans="2:11" hidden="1" x14ac:dyDescent="0.25">
      <c r="B1043" s="28" t="str">
        <f>IF(ISNUMBER(MATCH(C1043, Mgt_Unit!$C$5:$C$1018, 0)), INDEX(Mgt_Unit!$B$5:$B$1018, MATCH(C1043, Mgt_Unit!$C$5:$C$1018, 0)), "")</f>
        <v>jennifer.moore</v>
      </c>
      <c r="C1043" t="s">
        <v>805</v>
      </c>
      <c r="E1043" s="17" t="s">
        <v>1584</v>
      </c>
      <c r="F1043" s="89">
        <v>43168</v>
      </c>
      <c r="J1043" t="s">
        <v>1422</v>
      </c>
      <c r="K1043" s="120">
        <v>0.52</v>
      </c>
    </row>
    <row r="1044" spans="2:11" hidden="1" x14ac:dyDescent="0.25">
      <c r="B1044" s="28" t="str">
        <f>IF(ISNUMBER(MATCH(C1044, Mgt_Unit!$C$5:$C$1018, 0)), INDEX(Mgt_Unit!$B$5:$B$1018, MATCH(C1044, Mgt_Unit!$C$5:$C$1018, 0)), "")</f>
        <v>jennifer.moore</v>
      </c>
      <c r="C1044" t="s">
        <v>805</v>
      </c>
      <c r="E1044" s="17" t="s">
        <v>1583</v>
      </c>
      <c r="F1044" s="89">
        <v>43184</v>
      </c>
      <c r="J1044" t="s">
        <v>1428</v>
      </c>
      <c r="K1044" s="120">
        <v>26</v>
      </c>
    </row>
    <row r="1045" spans="2:11" hidden="1" x14ac:dyDescent="0.25">
      <c r="B1045" s="28" t="str">
        <f>IF(ISNUMBER(MATCH(C1045, Mgt_Unit!$C$5:$C$1018, 0)), INDEX(Mgt_Unit!$B$5:$B$1018, MATCH(C1045, Mgt_Unit!$C$5:$C$1018, 0)), "")</f>
        <v>jennifer.moore</v>
      </c>
      <c r="C1045" t="s">
        <v>805</v>
      </c>
      <c r="E1045" s="17" t="s">
        <v>1583</v>
      </c>
      <c r="F1045" s="89">
        <v>43294</v>
      </c>
      <c r="J1045" t="s">
        <v>1423</v>
      </c>
      <c r="K1045" s="120">
        <v>0.15</v>
      </c>
    </row>
    <row r="1046" spans="2:11" hidden="1" x14ac:dyDescent="0.25">
      <c r="B1046" s="28" t="str">
        <f>IF(ISNUMBER(MATCH(C1046, Mgt_Unit!$C$5:$C$1018, 0)), INDEX(Mgt_Unit!$B$5:$B$1018, MATCH(C1046, Mgt_Unit!$C$5:$C$1018, 0)), "")</f>
        <v>jennifer.moore</v>
      </c>
      <c r="C1046" t="s">
        <v>805</v>
      </c>
      <c r="E1046" s="17" t="s">
        <v>1583</v>
      </c>
      <c r="F1046" s="89">
        <v>43299</v>
      </c>
      <c r="J1046" t="s">
        <v>1396</v>
      </c>
      <c r="K1046" s="120">
        <v>37</v>
      </c>
    </row>
    <row r="1047" spans="2:11" hidden="1" x14ac:dyDescent="0.25">
      <c r="B1047" s="28" t="str">
        <f>IF(ISNUMBER(MATCH(C1047, Mgt_Unit!$C$5:$C$1018, 0)), INDEX(Mgt_Unit!$B$5:$B$1018, MATCH(C1047, Mgt_Unit!$C$5:$C$1018, 0)), "")</f>
        <v>jennifer.moore</v>
      </c>
      <c r="C1047" t="s">
        <v>805</v>
      </c>
      <c r="E1047" s="17" t="s">
        <v>1585</v>
      </c>
      <c r="F1047" s="89">
        <v>43398</v>
      </c>
      <c r="J1047" t="s">
        <v>1424</v>
      </c>
      <c r="K1047" s="120">
        <v>2.4</v>
      </c>
    </row>
    <row r="1048" spans="2:11" hidden="1" x14ac:dyDescent="0.25">
      <c r="B1048" s="28" t="str">
        <f>IF(ISNUMBER(MATCH(C1048, Mgt_Unit!$C$5:$C$1018, 0)), INDEX(Mgt_Unit!$B$5:$B$1018, MATCH(C1048, Mgt_Unit!$C$5:$C$1018, 0)), "")</f>
        <v>jennifer.moore</v>
      </c>
      <c r="C1048" t="s">
        <v>806</v>
      </c>
      <c r="E1048" s="17" t="s">
        <v>1583</v>
      </c>
      <c r="F1048" s="89">
        <v>41717</v>
      </c>
      <c r="J1048" t="s">
        <v>1421</v>
      </c>
      <c r="K1048" s="120">
        <v>3.3</v>
      </c>
    </row>
    <row r="1049" spans="2:11" hidden="1" x14ac:dyDescent="0.25">
      <c r="B1049" s="28" t="str">
        <f>IF(ISNUMBER(MATCH(C1049, Mgt_Unit!$C$5:$C$1018, 0)), INDEX(Mgt_Unit!$B$5:$B$1018, MATCH(C1049, Mgt_Unit!$C$5:$C$1018, 0)), "")</f>
        <v>jennifer.moore</v>
      </c>
      <c r="C1049" t="s">
        <v>806</v>
      </c>
      <c r="E1049" s="17" t="s">
        <v>1584</v>
      </c>
      <c r="F1049" s="89">
        <v>41717</v>
      </c>
      <c r="J1049" t="s">
        <v>1422</v>
      </c>
      <c r="K1049" s="120">
        <v>0.52</v>
      </c>
    </row>
    <row r="1050" spans="2:11" hidden="1" x14ac:dyDescent="0.25">
      <c r="B1050" s="28" t="str">
        <f>IF(ISNUMBER(MATCH(C1050, Mgt_Unit!$C$5:$C$1018, 0)), INDEX(Mgt_Unit!$B$5:$B$1018, MATCH(C1050, Mgt_Unit!$C$5:$C$1018, 0)), "")</f>
        <v>jennifer.moore</v>
      </c>
      <c r="C1050" t="s">
        <v>806</v>
      </c>
      <c r="E1050" s="17" t="s">
        <v>1583</v>
      </c>
      <c r="F1050" s="89">
        <v>41834</v>
      </c>
      <c r="J1050" t="s">
        <v>1423</v>
      </c>
      <c r="K1050" s="120">
        <v>0.15</v>
      </c>
    </row>
    <row r="1051" spans="2:11" hidden="1" x14ac:dyDescent="0.25">
      <c r="B1051" s="28" t="str">
        <f>IF(ISNUMBER(MATCH(C1051, Mgt_Unit!$C$5:$C$1018, 0)), INDEX(Mgt_Unit!$B$5:$B$1018, MATCH(C1051, Mgt_Unit!$C$5:$C$1018, 0)), "")</f>
        <v>jennifer.moore</v>
      </c>
      <c r="C1051" t="s">
        <v>806</v>
      </c>
      <c r="E1051" s="17" t="s">
        <v>1584</v>
      </c>
      <c r="F1051" s="89">
        <v>42135</v>
      </c>
      <c r="J1051" t="s">
        <v>1422</v>
      </c>
      <c r="K1051" s="120">
        <v>0.52</v>
      </c>
    </row>
    <row r="1052" spans="2:11" hidden="1" x14ac:dyDescent="0.25">
      <c r="B1052" s="28" t="str">
        <f>IF(ISNUMBER(MATCH(C1052, Mgt_Unit!$C$5:$C$1018, 0)), INDEX(Mgt_Unit!$B$5:$B$1018, MATCH(C1052, Mgt_Unit!$C$5:$C$1018, 0)), "")</f>
        <v>jennifer.moore</v>
      </c>
      <c r="C1052" t="s">
        <v>806</v>
      </c>
      <c r="E1052" s="17" t="s">
        <v>1583</v>
      </c>
      <c r="F1052" s="89">
        <v>42135</v>
      </c>
      <c r="J1052" t="s">
        <v>1421</v>
      </c>
      <c r="K1052" s="120">
        <v>3.3</v>
      </c>
    </row>
    <row r="1053" spans="2:11" hidden="1" x14ac:dyDescent="0.25">
      <c r="B1053" s="28" t="str">
        <f>IF(ISNUMBER(MATCH(C1053, Mgt_Unit!$C$5:$C$1018, 0)), INDEX(Mgt_Unit!$B$5:$B$1018, MATCH(C1053, Mgt_Unit!$C$5:$C$1018, 0)), "")</f>
        <v>jennifer.moore</v>
      </c>
      <c r="C1053" t="s">
        <v>806</v>
      </c>
      <c r="E1053" s="17" t="s">
        <v>1583</v>
      </c>
      <c r="F1053" s="89">
        <v>42293</v>
      </c>
      <c r="J1053" t="s">
        <v>1425</v>
      </c>
      <c r="K1053" s="120">
        <v>0.15</v>
      </c>
    </row>
    <row r="1054" spans="2:11" hidden="1" x14ac:dyDescent="0.25">
      <c r="B1054" s="28" t="str">
        <f>IF(ISNUMBER(MATCH(C1054, Mgt_Unit!$C$5:$C$1018, 0)), INDEX(Mgt_Unit!$B$5:$B$1018, MATCH(C1054, Mgt_Unit!$C$5:$C$1018, 0)), "")</f>
        <v>jennifer.moore</v>
      </c>
      <c r="C1054" t="s">
        <v>806</v>
      </c>
      <c r="E1054" s="17" t="s">
        <v>1583</v>
      </c>
      <c r="F1054" s="89">
        <v>42422</v>
      </c>
      <c r="J1054" t="s">
        <v>1421</v>
      </c>
      <c r="K1054" s="120">
        <v>3.3</v>
      </c>
    </row>
    <row r="1055" spans="2:11" hidden="1" x14ac:dyDescent="0.25">
      <c r="B1055" s="28" t="str">
        <f>IF(ISNUMBER(MATCH(C1055, Mgt_Unit!$C$5:$C$1018, 0)), INDEX(Mgt_Unit!$B$5:$B$1018, MATCH(C1055, Mgt_Unit!$C$5:$C$1018, 0)), "")</f>
        <v>jennifer.moore</v>
      </c>
      <c r="C1055" t="s">
        <v>806</v>
      </c>
      <c r="E1055" s="17" t="s">
        <v>1584</v>
      </c>
      <c r="F1055" s="89">
        <v>42422</v>
      </c>
      <c r="J1055" t="s">
        <v>1422</v>
      </c>
      <c r="K1055" s="120">
        <v>0.52</v>
      </c>
    </row>
    <row r="1056" spans="2:11" hidden="1" x14ac:dyDescent="0.25">
      <c r="B1056" s="28" t="str">
        <f>IF(ISNUMBER(MATCH(C1056, Mgt_Unit!$C$5:$C$1018, 0)), INDEX(Mgt_Unit!$B$5:$B$1018, MATCH(C1056, Mgt_Unit!$C$5:$C$1018, 0)), "")</f>
        <v>jennifer.moore</v>
      </c>
      <c r="C1056" t="s">
        <v>806</v>
      </c>
      <c r="E1056" s="17" t="s">
        <v>1583</v>
      </c>
      <c r="F1056" s="89">
        <v>42564</v>
      </c>
      <c r="J1056" t="s">
        <v>1423</v>
      </c>
      <c r="K1056" s="120">
        <v>0.15</v>
      </c>
    </row>
    <row r="1057" spans="2:11" hidden="1" x14ac:dyDescent="0.25">
      <c r="B1057" s="28" t="str">
        <f>IF(ISNUMBER(MATCH(C1057, Mgt_Unit!$C$5:$C$1018, 0)), INDEX(Mgt_Unit!$B$5:$B$1018, MATCH(C1057, Mgt_Unit!$C$5:$C$1018, 0)), "")</f>
        <v>jennifer.moore</v>
      </c>
      <c r="C1057" t="s">
        <v>806</v>
      </c>
      <c r="E1057" s="17" t="s">
        <v>1584</v>
      </c>
      <c r="F1057" s="89">
        <v>42877</v>
      </c>
      <c r="J1057" t="s">
        <v>1422</v>
      </c>
      <c r="K1057" s="120">
        <v>0.52</v>
      </c>
    </row>
    <row r="1058" spans="2:11" hidden="1" x14ac:dyDescent="0.25">
      <c r="B1058" s="28" t="str">
        <f>IF(ISNUMBER(MATCH(C1058, Mgt_Unit!$C$5:$C$1018, 0)), INDEX(Mgt_Unit!$B$5:$B$1018, MATCH(C1058, Mgt_Unit!$C$5:$C$1018, 0)), "")</f>
        <v>jennifer.moore</v>
      </c>
      <c r="C1058" t="s">
        <v>806</v>
      </c>
      <c r="E1058" s="17" t="s">
        <v>1583</v>
      </c>
      <c r="F1058" s="89">
        <v>42877</v>
      </c>
      <c r="J1058" t="s">
        <v>1421</v>
      </c>
      <c r="K1058" s="120">
        <v>3.3</v>
      </c>
    </row>
    <row r="1059" spans="2:11" hidden="1" x14ac:dyDescent="0.25">
      <c r="B1059" s="28" t="str">
        <f>IF(ISNUMBER(MATCH(C1059, Mgt_Unit!$C$5:$C$1018, 0)), INDEX(Mgt_Unit!$B$5:$B$1018, MATCH(C1059, Mgt_Unit!$C$5:$C$1018, 0)), "")</f>
        <v>jennifer.moore</v>
      </c>
      <c r="C1059" t="s">
        <v>806</v>
      </c>
      <c r="E1059" s="17" t="s">
        <v>1583</v>
      </c>
      <c r="F1059" s="89">
        <v>43023</v>
      </c>
      <c r="J1059" t="s">
        <v>1425</v>
      </c>
      <c r="K1059" s="120">
        <v>0.15</v>
      </c>
    </row>
    <row r="1060" spans="2:11" hidden="1" x14ac:dyDescent="0.25">
      <c r="B1060" s="28" t="str">
        <f>IF(ISNUMBER(MATCH(C1060, Mgt_Unit!$C$5:$C$1018, 0)), INDEX(Mgt_Unit!$B$5:$B$1018, MATCH(C1060, Mgt_Unit!$C$5:$C$1018, 0)), "")</f>
        <v>jennifer.moore</v>
      </c>
      <c r="C1060" t="s">
        <v>806</v>
      </c>
      <c r="E1060" s="17" t="s">
        <v>1583</v>
      </c>
      <c r="F1060" s="89">
        <v>43168</v>
      </c>
      <c r="J1060" t="s">
        <v>1421</v>
      </c>
      <c r="K1060" s="120">
        <v>3.3</v>
      </c>
    </row>
    <row r="1061" spans="2:11" hidden="1" x14ac:dyDescent="0.25">
      <c r="B1061" s="28" t="str">
        <f>IF(ISNUMBER(MATCH(C1061, Mgt_Unit!$C$5:$C$1018, 0)), INDEX(Mgt_Unit!$B$5:$B$1018, MATCH(C1061, Mgt_Unit!$C$5:$C$1018, 0)), "")</f>
        <v>jennifer.moore</v>
      </c>
      <c r="C1061" t="s">
        <v>806</v>
      </c>
      <c r="E1061" s="17" t="s">
        <v>1584</v>
      </c>
      <c r="F1061" s="89">
        <v>43168</v>
      </c>
      <c r="J1061" t="s">
        <v>1422</v>
      </c>
      <c r="K1061" s="120">
        <v>0.52</v>
      </c>
    </row>
    <row r="1062" spans="2:11" hidden="1" x14ac:dyDescent="0.25">
      <c r="B1062" s="28" t="str">
        <f>IF(ISNUMBER(MATCH(C1062, Mgt_Unit!$C$5:$C$1018, 0)), INDEX(Mgt_Unit!$B$5:$B$1018, MATCH(C1062, Mgt_Unit!$C$5:$C$1018, 0)), "")</f>
        <v>jennifer.moore</v>
      </c>
      <c r="C1062" t="s">
        <v>806</v>
      </c>
      <c r="E1062" s="17" t="s">
        <v>1583</v>
      </c>
      <c r="F1062" s="89">
        <v>43294</v>
      </c>
      <c r="J1062" t="s">
        <v>1423</v>
      </c>
      <c r="K1062" s="120">
        <v>0.15</v>
      </c>
    </row>
    <row r="1063" spans="2:11" hidden="1" x14ac:dyDescent="0.25">
      <c r="B1063" s="28" t="str">
        <f>IF(ISNUMBER(MATCH(C1063, Mgt_Unit!$C$5:$C$1018, 0)), INDEX(Mgt_Unit!$B$5:$B$1018, MATCH(C1063, Mgt_Unit!$C$5:$C$1018, 0)), "")</f>
        <v>jennifer.moore</v>
      </c>
      <c r="C1063" t="s">
        <v>807</v>
      </c>
      <c r="E1063" s="17" t="s">
        <v>1583</v>
      </c>
      <c r="F1063" s="89">
        <v>41688</v>
      </c>
      <c r="J1063" t="s">
        <v>1396</v>
      </c>
      <c r="K1063" s="120">
        <v>37</v>
      </c>
    </row>
    <row r="1064" spans="2:11" hidden="1" x14ac:dyDescent="0.25">
      <c r="B1064" s="28" t="str">
        <f>IF(ISNUMBER(MATCH(C1064, Mgt_Unit!$C$5:$C$1018, 0)), INDEX(Mgt_Unit!$B$5:$B$1018, MATCH(C1064, Mgt_Unit!$C$5:$C$1018, 0)), "")</f>
        <v>jennifer.moore</v>
      </c>
      <c r="C1064" t="s">
        <v>807</v>
      </c>
      <c r="E1064" s="17" t="s">
        <v>1583</v>
      </c>
      <c r="F1064" s="89">
        <v>41689</v>
      </c>
      <c r="J1064" t="s">
        <v>1426</v>
      </c>
      <c r="K1064" s="120">
        <v>58</v>
      </c>
    </row>
    <row r="1065" spans="2:11" hidden="1" x14ac:dyDescent="0.25">
      <c r="B1065" s="28" t="str">
        <f>IF(ISNUMBER(MATCH(C1065, Mgt_Unit!$C$5:$C$1018, 0)), INDEX(Mgt_Unit!$B$5:$B$1018, MATCH(C1065, Mgt_Unit!$C$5:$C$1018, 0)), "")</f>
        <v>jennifer.moore</v>
      </c>
      <c r="C1065" t="s">
        <v>807</v>
      </c>
      <c r="E1065" s="17" t="s">
        <v>1583</v>
      </c>
      <c r="F1065" s="89">
        <v>41690</v>
      </c>
      <c r="J1065" t="s">
        <v>1396</v>
      </c>
      <c r="K1065" s="120">
        <v>37</v>
      </c>
    </row>
    <row r="1066" spans="2:11" hidden="1" x14ac:dyDescent="0.25">
      <c r="B1066" s="28" t="str">
        <f>IF(ISNUMBER(MATCH(C1066, Mgt_Unit!$C$5:$C$1018, 0)), INDEX(Mgt_Unit!$B$5:$B$1018, MATCH(C1066, Mgt_Unit!$C$5:$C$1018, 0)), "")</f>
        <v>jennifer.moore</v>
      </c>
      <c r="C1066" t="s">
        <v>807</v>
      </c>
      <c r="E1066" s="17" t="s">
        <v>1583</v>
      </c>
      <c r="F1066" s="89">
        <v>41694</v>
      </c>
      <c r="J1066" t="s">
        <v>1427</v>
      </c>
      <c r="K1066" s="120">
        <v>35</v>
      </c>
    </row>
    <row r="1067" spans="2:11" hidden="1" x14ac:dyDescent="0.25">
      <c r="B1067" s="28" t="str">
        <f>IF(ISNUMBER(MATCH(C1067, Mgt_Unit!$C$5:$C$1018, 0)), INDEX(Mgt_Unit!$B$5:$B$1018, MATCH(C1067, Mgt_Unit!$C$5:$C$1018, 0)), "")</f>
        <v>jennifer.moore</v>
      </c>
      <c r="C1067" t="s">
        <v>807</v>
      </c>
      <c r="E1067" s="17" t="s">
        <v>1583</v>
      </c>
      <c r="F1067" s="89">
        <v>41694</v>
      </c>
      <c r="J1067" t="s">
        <v>1362</v>
      </c>
      <c r="K1067" s="120">
        <v>20</v>
      </c>
    </row>
    <row r="1068" spans="2:11" hidden="1" x14ac:dyDescent="0.25">
      <c r="B1068" s="28" t="str">
        <f>IF(ISNUMBER(MATCH(C1068, Mgt_Unit!$C$5:$C$1018, 0)), INDEX(Mgt_Unit!$B$5:$B$1018, MATCH(C1068, Mgt_Unit!$C$5:$C$1018, 0)), "")</f>
        <v>jennifer.moore</v>
      </c>
      <c r="C1068" t="s">
        <v>807</v>
      </c>
      <c r="E1068" s="17" t="s">
        <v>1583</v>
      </c>
      <c r="F1068" s="89">
        <v>41717</v>
      </c>
      <c r="J1068" t="s">
        <v>1421</v>
      </c>
      <c r="K1068" s="120">
        <v>3.3</v>
      </c>
    </row>
    <row r="1069" spans="2:11" hidden="1" x14ac:dyDescent="0.25">
      <c r="B1069" s="28" t="str">
        <f>IF(ISNUMBER(MATCH(C1069, Mgt_Unit!$C$5:$C$1018, 0)), INDEX(Mgt_Unit!$B$5:$B$1018, MATCH(C1069, Mgt_Unit!$C$5:$C$1018, 0)), "")</f>
        <v>jennifer.moore</v>
      </c>
      <c r="C1069" t="s">
        <v>807</v>
      </c>
      <c r="E1069" s="17" t="s">
        <v>1584</v>
      </c>
      <c r="F1069" s="89">
        <v>41717</v>
      </c>
      <c r="J1069" t="s">
        <v>1422</v>
      </c>
      <c r="K1069" s="120">
        <v>0.52</v>
      </c>
    </row>
    <row r="1070" spans="2:11" hidden="1" x14ac:dyDescent="0.25">
      <c r="B1070" s="28" t="str">
        <f>IF(ISNUMBER(MATCH(C1070, Mgt_Unit!$C$5:$C$1018, 0)), INDEX(Mgt_Unit!$B$5:$B$1018, MATCH(C1070, Mgt_Unit!$C$5:$C$1018, 0)), "")</f>
        <v>jennifer.moore</v>
      </c>
      <c r="C1070" t="s">
        <v>807</v>
      </c>
      <c r="E1070" s="17" t="s">
        <v>1583</v>
      </c>
      <c r="F1070" s="89">
        <v>41720</v>
      </c>
      <c r="J1070" t="s">
        <v>1428</v>
      </c>
      <c r="K1070" s="120">
        <v>26</v>
      </c>
    </row>
    <row r="1071" spans="2:11" hidden="1" x14ac:dyDescent="0.25">
      <c r="B1071" s="28" t="str">
        <f>IF(ISNUMBER(MATCH(C1071, Mgt_Unit!$C$5:$C$1018, 0)), INDEX(Mgt_Unit!$B$5:$B$1018, MATCH(C1071, Mgt_Unit!$C$5:$C$1018, 0)), "")</f>
        <v>jennifer.moore</v>
      </c>
      <c r="C1071" t="s">
        <v>807</v>
      </c>
      <c r="E1071" s="17" t="s">
        <v>1583</v>
      </c>
      <c r="F1071" s="89">
        <v>41834</v>
      </c>
      <c r="J1071" t="s">
        <v>1423</v>
      </c>
      <c r="K1071" s="120">
        <v>0.15</v>
      </c>
    </row>
    <row r="1072" spans="2:11" hidden="1" x14ac:dyDescent="0.25">
      <c r="B1072" s="28" t="str">
        <f>IF(ISNUMBER(MATCH(C1072, Mgt_Unit!$C$5:$C$1018, 0)), INDEX(Mgt_Unit!$B$5:$B$1018, MATCH(C1072, Mgt_Unit!$C$5:$C$1018, 0)), "")</f>
        <v>jennifer.moore</v>
      </c>
      <c r="C1072" t="s">
        <v>807</v>
      </c>
      <c r="E1072" s="17" t="s">
        <v>1583</v>
      </c>
      <c r="F1072" s="89">
        <v>41839</v>
      </c>
      <c r="J1072" t="s">
        <v>1396</v>
      </c>
      <c r="K1072" s="120">
        <v>37</v>
      </c>
    </row>
    <row r="1073" spans="2:11" hidden="1" x14ac:dyDescent="0.25">
      <c r="B1073" s="28" t="str">
        <f>IF(ISNUMBER(MATCH(C1073, Mgt_Unit!$C$5:$C$1018, 0)), INDEX(Mgt_Unit!$B$5:$B$1018, MATCH(C1073, Mgt_Unit!$C$5:$C$1018, 0)), "")</f>
        <v>jennifer.moore</v>
      </c>
      <c r="C1073" t="s">
        <v>807</v>
      </c>
      <c r="E1073" s="17" t="s">
        <v>1583</v>
      </c>
      <c r="F1073" s="89">
        <v>42090</v>
      </c>
      <c r="J1073" t="s">
        <v>1396</v>
      </c>
      <c r="K1073" s="120">
        <v>37</v>
      </c>
    </row>
    <row r="1074" spans="2:11" hidden="1" x14ac:dyDescent="0.25">
      <c r="B1074" s="28" t="str">
        <f>IF(ISNUMBER(MATCH(C1074, Mgt_Unit!$C$5:$C$1018, 0)), INDEX(Mgt_Unit!$B$5:$B$1018, MATCH(C1074, Mgt_Unit!$C$5:$C$1018, 0)), "")</f>
        <v>jennifer.moore</v>
      </c>
      <c r="C1074" t="s">
        <v>807</v>
      </c>
      <c r="E1074" s="17" t="s">
        <v>1583</v>
      </c>
      <c r="F1074" s="89">
        <v>42092</v>
      </c>
      <c r="J1074" t="s">
        <v>1396</v>
      </c>
      <c r="K1074" s="120">
        <v>37</v>
      </c>
    </row>
    <row r="1075" spans="2:11" hidden="1" x14ac:dyDescent="0.25">
      <c r="B1075" s="28" t="str">
        <f>IF(ISNUMBER(MATCH(C1075, Mgt_Unit!$C$5:$C$1018, 0)), INDEX(Mgt_Unit!$B$5:$B$1018, MATCH(C1075, Mgt_Unit!$C$5:$C$1018, 0)), "")</f>
        <v>jennifer.moore</v>
      </c>
      <c r="C1075" t="s">
        <v>807</v>
      </c>
      <c r="E1075" s="17" t="s">
        <v>1583</v>
      </c>
      <c r="F1075" s="89">
        <v>42092</v>
      </c>
      <c r="J1075" t="s">
        <v>1426</v>
      </c>
      <c r="K1075" s="120">
        <v>58</v>
      </c>
    </row>
    <row r="1076" spans="2:11" hidden="1" x14ac:dyDescent="0.25">
      <c r="B1076" s="28" t="str">
        <f>IF(ISNUMBER(MATCH(C1076, Mgt_Unit!$C$5:$C$1018, 0)), INDEX(Mgt_Unit!$B$5:$B$1018, MATCH(C1076, Mgt_Unit!$C$5:$C$1018, 0)), "")</f>
        <v>jennifer.moore</v>
      </c>
      <c r="C1076" t="s">
        <v>807</v>
      </c>
      <c r="E1076" s="17" t="s">
        <v>1583</v>
      </c>
      <c r="F1076" s="89">
        <v>42097</v>
      </c>
      <c r="J1076" t="s">
        <v>1427</v>
      </c>
      <c r="K1076" s="120">
        <v>35</v>
      </c>
    </row>
    <row r="1077" spans="2:11" hidden="1" x14ac:dyDescent="0.25">
      <c r="B1077" s="28" t="str">
        <f>IF(ISNUMBER(MATCH(C1077, Mgt_Unit!$C$5:$C$1018, 0)), INDEX(Mgt_Unit!$B$5:$B$1018, MATCH(C1077, Mgt_Unit!$C$5:$C$1018, 0)), "")</f>
        <v>jennifer.moore</v>
      </c>
      <c r="C1077" t="s">
        <v>807</v>
      </c>
      <c r="E1077" s="17" t="s">
        <v>1583</v>
      </c>
      <c r="F1077" s="89">
        <v>42097</v>
      </c>
      <c r="J1077" t="s">
        <v>1429</v>
      </c>
      <c r="K1077" s="120">
        <v>20</v>
      </c>
    </row>
    <row r="1078" spans="2:11" hidden="1" x14ac:dyDescent="0.25">
      <c r="B1078" s="28" t="str">
        <f>IF(ISNUMBER(MATCH(C1078, Mgt_Unit!$C$5:$C$1018, 0)), INDEX(Mgt_Unit!$B$5:$B$1018, MATCH(C1078, Mgt_Unit!$C$5:$C$1018, 0)), "")</f>
        <v>jennifer.moore</v>
      </c>
      <c r="C1078" t="s">
        <v>807</v>
      </c>
      <c r="E1078" s="17" t="s">
        <v>1583</v>
      </c>
      <c r="F1078" s="89">
        <v>42135</v>
      </c>
      <c r="J1078" t="s">
        <v>1421</v>
      </c>
      <c r="K1078" s="120">
        <v>3.3</v>
      </c>
    </row>
    <row r="1079" spans="2:11" hidden="1" x14ac:dyDescent="0.25">
      <c r="B1079" s="28" t="str">
        <f>IF(ISNUMBER(MATCH(C1079, Mgt_Unit!$C$5:$C$1018, 0)), INDEX(Mgt_Unit!$B$5:$B$1018, MATCH(C1079, Mgt_Unit!$C$5:$C$1018, 0)), "")</f>
        <v>jennifer.moore</v>
      </c>
      <c r="C1079" t="s">
        <v>807</v>
      </c>
      <c r="E1079" s="17" t="s">
        <v>1584</v>
      </c>
      <c r="F1079" s="89">
        <v>42135</v>
      </c>
      <c r="J1079" t="s">
        <v>1422</v>
      </c>
      <c r="K1079" s="120">
        <v>0.52</v>
      </c>
    </row>
    <row r="1080" spans="2:11" hidden="1" x14ac:dyDescent="0.25">
      <c r="B1080" s="28" t="str">
        <f>IF(ISNUMBER(MATCH(C1080, Mgt_Unit!$C$5:$C$1018, 0)), INDEX(Mgt_Unit!$B$5:$B$1018, MATCH(C1080, Mgt_Unit!$C$5:$C$1018, 0)), "")</f>
        <v>jennifer.moore</v>
      </c>
      <c r="C1080" t="s">
        <v>807</v>
      </c>
      <c r="E1080" s="17" t="s">
        <v>1583</v>
      </c>
      <c r="F1080" s="89">
        <v>42293</v>
      </c>
      <c r="J1080" t="s">
        <v>1425</v>
      </c>
      <c r="K1080" s="120">
        <v>0.15</v>
      </c>
    </row>
    <row r="1081" spans="2:11" hidden="1" x14ac:dyDescent="0.25">
      <c r="B1081" s="28" t="str">
        <f>IF(ISNUMBER(MATCH(C1081, Mgt_Unit!$C$5:$C$1018, 0)), INDEX(Mgt_Unit!$B$5:$B$1018, MATCH(C1081, Mgt_Unit!$C$5:$C$1018, 0)), "")</f>
        <v>jennifer.moore</v>
      </c>
      <c r="C1081" t="s">
        <v>807</v>
      </c>
      <c r="E1081" s="17" t="s">
        <v>1583</v>
      </c>
      <c r="F1081" s="89">
        <v>42298</v>
      </c>
      <c r="J1081" t="s">
        <v>1396</v>
      </c>
      <c r="K1081" s="120">
        <v>37</v>
      </c>
    </row>
    <row r="1082" spans="2:11" hidden="1" x14ac:dyDescent="0.25">
      <c r="B1082" s="28" t="str">
        <f>IF(ISNUMBER(MATCH(C1082, Mgt_Unit!$C$5:$C$1018, 0)), INDEX(Mgt_Unit!$B$5:$B$1018, MATCH(C1082, Mgt_Unit!$C$5:$C$1018, 0)), "")</f>
        <v>jennifer.moore</v>
      </c>
      <c r="C1082" t="s">
        <v>807</v>
      </c>
      <c r="E1082" s="17" t="s">
        <v>1583</v>
      </c>
      <c r="F1082" s="89">
        <v>42406</v>
      </c>
      <c r="J1082" t="s">
        <v>1396</v>
      </c>
      <c r="K1082" s="120">
        <v>37</v>
      </c>
    </row>
    <row r="1083" spans="2:11" hidden="1" x14ac:dyDescent="0.25">
      <c r="B1083" s="28" t="str">
        <f>IF(ISNUMBER(MATCH(C1083, Mgt_Unit!$C$5:$C$1018, 0)), INDEX(Mgt_Unit!$B$5:$B$1018, MATCH(C1083, Mgt_Unit!$C$5:$C$1018, 0)), "")</f>
        <v>jennifer.moore</v>
      </c>
      <c r="C1083" t="s">
        <v>807</v>
      </c>
      <c r="E1083" s="17" t="s">
        <v>1583</v>
      </c>
      <c r="F1083" s="89">
        <v>42408</v>
      </c>
      <c r="J1083" t="s">
        <v>1426</v>
      </c>
      <c r="K1083" s="120">
        <v>58</v>
      </c>
    </row>
    <row r="1084" spans="2:11" hidden="1" x14ac:dyDescent="0.25">
      <c r="B1084" s="28" t="str">
        <f>IF(ISNUMBER(MATCH(C1084, Mgt_Unit!$C$5:$C$1018, 0)), INDEX(Mgt_Unit!$B$5:$B$1018, MATCH(C1084, Mgt_Unit!$C$5:$C$1018, 0)), "")</f>
        <v>jennifer.moore</v>
      </c>
      <c r="C1084" t="s">
        <v>807</v>
      </c>
      <c r="E1084" s="17" t="s">
        <v>1583</v>
      </c>
      <c r="F1084" s="89">
        <v>42410</v>
      </c>
      <c r="J1084" t="s">
        <v>1396</v>
      </c>
      <c r="K1084" s="120">
        <v>37</v>
      </c>
    </row>
    <row r="1085" spans="2:11" hidden="1" x14ac:dyDescent="0.25">
      <c r="B1085" s="28" t="str">
        <f>IF(ISNUMBER(MATCH(C1085, Mgt_Unit!$C$5:$C$1018, 0)), INDEX(Mgt_Unit!$B$5:$B$1018, MATCH(C1085, Mgt_Unit!$C$5:$C$1018, 0)), "")</f>
        <v>jennifer.moore</v>
      </c>
      <c r="C1085" t="s">
        <v>807</v>
      </c>
      <c r="E1085" s="17" t="s">
        <v>1583</v>
      </c>
      <c r="F1085" s="89">
        <v>42411</v>
      </c>
      <c r="J1085" t="s">
        <v>1427</v>
      </c>
      <c r="K1085" s="120">
        <v>35</v>
      </c>
    </row>
    <row r="1086" spans="2:11" hidden="1" x14ac:dyDescent="0.25">
      <c r="B1086" s="28" t="str">
        <f>IF(ISNUMBER(MATCH(C1086, Mgt_Unit!$C$5:$C$1018, 0)), INDEX(Mgt_Unit!$B$5:$B$1018, MATCH(C1086, Mgt_Unit!$C$5:$C$1018, 0)), "")</f>
        <v>jennifer.moore</v>
      </c>
      <c r="C1086" t="s">
        <v>807</v>
      </c>
      <c r="E1086" s="17" t="s">
        <v>1583</v>
      </c>
      <c r="F1086" s="89">
        <v>42412</v>
      </c>
      <c r="J1086" t="s">
        <v>1362</v>
      </c>
      <c r="K1086" s="120">
        <v>20</v>
      </c>
    </row>
    <row r="1087" spans="2:11" hidden="1" x14ac:dyDescent="0.25">
      <c r="B1087" s="28" t="str">
        <f>IF(ISNUMBER(MATCH(C1087, Mgt_Unit!$C$5:$C$1018, 0)), INDEX(Mgt_Unit!$B$5:$B$1018, MATCH(C1087, Mgt_Unit!$C$5:$C$1018, 0)), "")</f>
        <v>jennifer.moore</v>
      </c>
      <c r="C1087" t="s">
        <v>807</v>
      </c>
      <c r="E1087" s="17" t="s">
        <v>1583</v>
      </c>
      <c r="F1087" s="89">
        <v>42422</v>
      </c>
      <c r="J1087" t="s">
        <v>1421</v>
      </c>
      <c r="K1087" s="120">
        <v>3.3</v>
      </c>
    </row>
    <row r="1088" spans="2:11" hidden="1" x14ac:dyDescent="0.25">
      <c r="B1088" s="28" t="str">
        <f>IF(ISNUMBER(MATCH(C1088, Mgt_Unit!$C$5:$C$1018, 0)), INDEX(Mgt_Unit!$B$5:$B$1018, MATCH(C1088, Mgt_Unit!$C$5:$C$1018, 0)), "")</f>
        <v>jennifer.moore</v>
      </c>
      <c r="C1088" t="s">
        <v>807</v>
      </c>
      <c r="E1088" s="17" t="s">
        <v>1584</v>
      </c>
      <c r="F1088" s="89">
        <v>42422</v>
      </c>
      <c r="J1088" t="s">
        <v>1422</v>
      </c>
      <c r="K1088" s="120">
        <v>0.52</v>
      </c>
    </row>
    <row r="1089" spans="2:11" hidden="1" x14ac:dyDescent="0.25">
      <c r="B1089" s="28" t="str">
        <f>IF(ISNUMBER(MATCH(C1089, Mgt_Unit!$C$5:$C$1018, 0)), INDEX(Mgt_Unit!$B$5:$B$1018, MATCH(C1089, Mgt_Unit!$C$5:$C$1018, 0)), "")</f>
        <v>jennifer.moore</v>
      </c>
      <c r="C1089" t="s">
        <v>807</v>
      </c>
      <c r="E1089" s="17" t="s">
        <v>1583</v>
      </c>
      <c r="F1089" s="89">
        <v>42436</v>
      </c>
      <c r="J1089" t="s">
        <v>1428</v>
      </c>
      <c r="K1089" s="120">
        <v>26</v>
      </c>
    </row>
    <row r="1090" spans="2:11" hidden="1" x14ac:dyDescent="0.25">
      <c r="B1090" s="28" t="str">
        <f>IF(ISNUMBER(MATCH(C1090, Mgt_Unit!$C$5:$C$1018, 0)), INDEX(Mgt_Unit!$B$5:$B$1018, MATCH(C1090, Mgt_Unit!$C$5:$C$1018, 0)), "")</f>
        <v>jennifer.moore</v>
      </c>
      <c r="C1090" t="s">
        <v>807</v>
      </c>
      <c r="E1090" s="17" t="s">
        <v>1583</v>
      </c>
      <c r="F1090" s="89">
        <v>42564</v>
      </c>
      <c r="J1090" t="s">
        <v>1423</v>
      </c>
      <c r="K1090" s="120">
        <v>0.15</v>
      </c>
    </row>
    <row r="1091" spans="2:11" hidden="1" x14ac:dyDescent="0.25">
      <c r="B1091" s="28" t="str">
        <f>IF(ISNUMBER(MATCH(C1091, Mgt_Unit!$C$5:$C$1018, 0)), INDEX(Mgt_Unit!$B$5:$B$1018, MATCH(C1091, Mgt_Unit!$C$5:$C$1018, 0)), "")</f>
        <v>jennifer.moore</v>
      </c>
      <c r="C1091" t="s">
        <v>807</v>
      </c>
      <c r="E1091" s="17" t="s">
        <v>1583</v>
      </c>
      <c r="F1091" s="89">
        <v>42569</v>
      </c>
      <c r="J1091" t="s">
        <v>1396</v>
      </c>
      <c r="K1091" s="120">
        <v>37</v>
      </c>
    </row>
    <row r="1092" spans="2:11" hidden="1" x14ac:dyDescent="0.25">
      <c r="B1092" s="28" t="str">
        <f>IF(ISNUMBER(MATCH(C1092, Mgt_Unit!$C$5:$C$1018, 0)), INDEX(Mgt_Unit!$B$5:$B$1018, MATCH(C1092, Mgt_Unit!$C$5:$C$1018, 0)), "")</f>
        <v>jennifer.moore</v>
      </c>
      <c r="C1092" t="s">
        <v>807</v>
      </c>
      <c r="E1092" s="17" t="s">
        <v>1583</v>
      </c>
      <c r="F1092" s="89">
        <v>42835</v>
      </c>
      <c r="J1092" t="s">
        <v>1396</v>
      </c>
      <c r="K1092" s="120">
        <v>37</v>
      </c>
    </row>
    <row r="1093" spans="2:11" hidden="1" x14ac:dyDescent="0.25">
      <c r="B1093" s="28" t="str">
        <f>IF(ISNUMBER(MATCH(C1093, Mgt_Unit!$C$5:$C$1018, 0)), INDEX(Mgt_Unit!$B$5:$B$1018, MATCH(C1093, Mgt_Unit!$C$5:$C$1018, 0)), "")</f>
        <v>jennifer.moore</v>
      </c>
      <c r="C1093" t="s">
        <v>807</v>
      </c>
      <c r="E1093" s="17" t="s">
        <v>1583</v>
      </c>
      <c r="F1093" s="89">
        <v>42835</v>
      </c>
      <c r="J1093" t="s">
        <v>1426</v>
      </c>
      <c r="K1093" s="120">
        <v>58</v>
      </c>
    </row>
    <row r="1094" spans="2:11" hidden="1" x14ac:dyDescent="0.25">
      <c r="B1094" s="28" t="str">
        <f>IF(ISNUMBER(MATCH(C1094, Mgt_Unit!$C$5:$C$1018, 0)), INDEX(Mgt_Unit!$B$5:$B$1018, MATCH(C1094, Mgt_Unit!$C$5:$C$1018, 0)), "")</f>
        <v>jennifer.moore</v>
      </c>
      <c r="C1094" t="s">
        <v>807</v>
      </c>
      <c r="E1094" s="17" t="s">
        <v>1583</v>
      </c>
      <c r="F1094" s="89">
        <v>42840</v>
      </c>
      <c r="J1094" t="s">
        <v>1396</v>
      </c>
      <c r="K1094" s="120">
        <v>37</v>
      </c>
    </row>
    <row r="1095" spans="2:11" hidden="1" x14ac:dyDescent="0.25">
      <c r="B1095" s="28" t="str">
        <f>IF(ISNUMBER(MATCH(C1095, Mgt_Unit!$C$5:$C$1018, 0)), INDEX(Mgt_Unit!$B$5:$B$1018, MATCH(C1095, Mgt_Unit!$C$5:$C$1018, 0)), "")</f>
        <v>jennifer.moore</v>
      </c>
      <c r="C1095" t="s">
        <v>807</v>
      </c>
      <c r="E1095" s="17" t="s">
        <v>1583</v>
      </c>
      <c r="F1095" s="89">
        <v>42843</v>
      </c>
      <c r="J1095" t="s">
        <v>1427</v>
      </c>
      <c r="K1095" s="120">
        <v>35</v>
      </c>
    </row>
    <row r="1096" spans="2:11" hidden="1" x14ac:dyDescent="0.25">
      <c r="B1096" s="28" t="str">
        <f>IF(ISNUMBER(MATCH(C1096, Mgt_Unit!$C$5:$C$1018, 0)), INDEX(Mgt_Unit!$B$5:$B$1018, MATCH(C1096, Mgt_Unit!$C$5:$C$1018, 0)), "")</f>
        <v>jennifer.moore</v>
      </c>
      <c r="C1096" t="s">
        <v>807</v>
      </c>
      <c r="E1096" s="17" t="s">
        <v>1583</v>
      </c>
      <c r="F1096" s="89">
        <v>42844</v>
      </c>
      <c r="J1096" t="s">
        <v>1429</v>
      </c>
      <c r="K1096" s="120">
        <v>20</v>
      </c>
    </row>
    <row r="1097" spans="2:11" hidden="1" x14ac:dyDescent="0.25">
      <c r="B1097" s="28" t="str">
        <f>IF(ISNUMBER(MATCH(C1097, Mgt_Unit!$C$5:$C$1018, 0)), INDEX(Mgt_Unit!$B$5:$B$1018, MATCH(C1097, Mgt_Unit!$C$5:$C$1018, 0)), "")</f>
        <v>jennifer.moore</v>
      </c>
      <c r="C1097" t="s">
        <v>807</v>
      </c>
      <c r="E1097" s="17" t="s">
        <v>1584</v>
      </c>
      <c r="F1097" s="89">
        <v>42877</v>
      </c>
      <c r="J1097" t="s">
        <v>1422</v>
      </c>
      <c r="K1097" s="120">
        <v>0.52</v>
      </c>
    </row>
    <row r="1098" spans="2:11" hidden="1" x14ac:dyDescent="0.25">
      <c r="B1098" s="28" t="str">
        <f>IF(ISNUMBER(MATCH(C1098, Mgt_Unit!$C$5:$C$1018, 0)), INDEX(Mgt_Unit!$B$5:$B$1018, MATCH(C1098, Mgt_Unit!$C$5:$C$1018, 0)), "")</f>
        <v>jennifer.moore</v>
      </c>
      <c r="C1098" t="s">
        <v>807</v>
      </c>
      <c r="E1098" s="17" t="s">
        <v>1583</v>
      </c>
      <c r="F1098" s="89">
        <v>42877</v>
      </c>
      <c r="J1098" t="s">
        <v>1421</v>
      </c>
      <c r="K1098" s="120">
        <v>3.3</v>
      </c>
    </row>
    <row r="1099" spans="2:11" hidden="1" x14ac:dyDescent="0.25">
      <c r="B1099" s="28" t="str">
        <f>IF(ISNUMBER(MATCH(C1099, Mgt_Unit!$C$5:$C$1018, 0)), INDEX(Mgt_Unit!$B$5:$B$1018, MATCH(C1099, Mgt_Unit!$C$5:$C$1018, 0)), "")</f>
        <v>jennifer.moore</v>
      </c>
      <c r="C1099" t="s">
        <v>807</v>
      </c>
      <c r="E1099" s="17" t="s">
        <v>1583</v>
      </c>
      <c r="F1099" s="89">
        <v>43023</v>
      </c>
      <c r="J1099" t="s">
        <v>1425</v>
      </c>
      <c r="K1099" s="120">
        <v>0.15</v>
      </c>
    </row>
    <row r="1100" spans="2:11" hidden="1" x14ac:dyDescent="0.25">
      <c r="B1100" s="28" t="str">
        <f>IF(ISNUMBER(MATCH(C1100, Mgt_Unit!$C$5:$C$1018, 0)), INDEX(Mgt_Unit!$B$5:$B$1018, MATCH(C1100, Mgt_Unit!$C$5:$C$1018, 0)), "")</f>
        <v>jennifer.moore</v>
      </c>
      <c r="C1100" t="s">
        <v>807</v>
      </c>
      <c r="E1100" s="17" t="s">
        <v>1583</v>
      </c>
      <c r="F1100" s="89">
        <v>43028</v>
      </c>
      <c r="J1100" t="s">
        <v>1396</v>
      </c>
      <c r="K1100" s="120">
        <v>37</v>
      </c>
    </row>
    <row r="1101" spans="2:11" hidden="1" x14ac:dyDescent="0.25">
      <c r="B1101" s="28" t="str">
        <f>IF(ISNUMBER(MATCH(C1101, Mgt_Unit!$C$5:$C$1018, 0)), INDEX(Mgt_Unit!$B$5:$B$1018, MATCH(C1101, Mgt_Unit!$C$5:$C$1018, 0)), "")</f>
        <v>jennifer.moore</v>
      </c>
      <c r="C1101" t="s">
        <v>807</v>
      </c>
      <c r="E1101" s="17" t="s">
        <v>1583</v>
      </c>
      <c r="F1101" s="89">
        <v>43154</v>
      </c>
      <c r="J1101" t="s">
        <v>1396</v>
      </c>
      <c r="K1101" s="120">
        <v>37</v>
      </c>
    </row>
    <row r="1102" spans="2:11" hidden="1" x14ac:dyDescent="0.25">
      <c r="B1102" s="28" t="str">
        <f>IF(ISNUMBER(MATCH(C1102, Mgt_Unit!$C$5:$C$1018, 0)), INDEX(Mgt_Unit!$B$5:$B$1018, MATCH(C1102, Mgt_Unit!$C$5:$C$1018, 0)), "")</f>
        <v>jennifer.moore</v>
      </c>
      <c r="C1102" t="s">
        <v>807</v>
      </c>
      <c r="E1102" s="17" t="s">
        <v>1583</v>
      </c>
      <c r="F1102" s="89">
        <v>43156</v>
      </c>
      <c r="J1102" t="s">
        <v>1426</v>
      </c>
      <c r="K1102" s="120">
        <v>58</v>
      </c>
    </row>
    <row r="1103" spans="2:11" hidden="1" x14ac:dyDescent="0.25">
      <c r="B1103" s="28" t="str">
        <f>IF(ISNUMBER(MATCH(C1103, Mgt_Unit!$C$5:$C$1018, 0)), INDEX(Mgt_Unit!$B$5:$B$1018, MATCH(C1103, Mgt_Unit!$C$5:$C$1018, 0)), "")</f>
        <v>jennifer.moore</v>
      </c>
      <c r="C1103" t="s">
        <v>807</v>
      </c>
      <c r="E1103" s="17" t="s">
        <v>1583</v>
      </c>
      <c r="F1103" s="89">
        <v>43158</v>
      </c>
      <c r="J1103" t="s">
        <v>1396</v>
      </c>
      <c r="K1103" s="120">
        <v>37</v>
      </c>
    </row>
    <row r="1104" spans="2:11" hidden="1" x14ac:dyDescent="0.25">
      <c r="B1104" s="28" t="str">
        <f>IF(ISNUMBER(MATCH(C1104, Mgt_Unit!$C$5:$C$1018, 0)), INDEX(Mgt_Unit!$B$5:$B$1018, MATCH(C1104, Mgt_Unit!$C$5:$C$1018, 0)), "")</f>
        <v>jennifer.moore</v>
      </c>
      <c r="C1104" t="s">
        <v>807</v>
      </c>
      <c r="E1104" s="17" t="s">
        <v>1583</v>
      </c>
      <c r="F1104" s="89">
        <v>43149</v>
      </c>
      <c r="J1104" t="s">
        <v>1429</v>
      </c>
      <c r="K1104" s="120">
        <v>20</v>
      </c>
    </row>
    <row r="1105" spans="2:11" hidden="1" x14ac:dyDescent="0.25">
      <c r="B1105" s="28" t="str">
        <f>IF(ISNUMBER(MATCH(C1105, Mgt_Unit!$C$5:$C$1018, 0)), INDEX(Mgt_Unit!$B$5:$B$1018, MATCH(C1105, Mgt_Unit!$C$5:$C$1018, 0)), "")</f>
        <v>jennifer.moore</v>
      </c>
      <c r="C1105" t="s">
        <v>807</v>
      </c>
      <c r="E1105" s="17" t="s">
        <v>1583</v>
      </c>
      <c r="F1105" s="89">
        <v>43160</v>
      </c>
      <c r="J1105" t="s">
        <v>1362</v>
      </c>
      <c r="K1105" s="120">
        <v>20</v>
      </c>
    </row>
    <row r="1106" spans="2:11" hidden="1" x14ac:dyDescent="0.25">
      <c r="B1106" s="28" t="str">
        <f>IF(ISNUMBER(MATCH(C1106, Mgt_Unit!$C$5:$C$1018, 0)), INDEX(Mgt_Unit!$B$5:$B$1018, MATCH(C1106, Mgt_Unit!$C$5:$C$1018, 0)), "")</f>
        <v>jennifer.moore</v>
      </c>
      <c r="C1106" t="s">
        <v>807</v>
      </c>
      <c r="E1106" s="17" t="s">
        <v>1583</v>
      </c>
      <c r="F1106" s="89">
        <v>43168</v>
      </c>
      <c r="J1106" t="s">
        <v>1421</v>
      </c>
      <c r="K1106" s="120">
        <v>3.3</v>
      </c>
    </row>
    <row r="1107" spans="2:11" hidden="1" x14ac:dyDescent="0.25">
      <c r="B1107" s="28" t="str">
        <f>IF(ISNUMBER(MATCH(C1107, Mgt_Unit!$C$5:$C$1018, 0)), INDEX(Mgt_Unit!$B$5:$B$1018, MATCH(C1107, Mgt_Unit!$C$5:$C$1018, 0)), "")</f>
        <v>jennifer.moore</v>
      </c>
      <c r="C1107" t="s">
        <v>807</v>
      </c>
      <c r="E1107" s="17" t="s">
        <v>1584</v>
      </c>
      <c r="F1107" s="89">
        <v>43168</v>
      </c>
      <c r="J1107" t="s">
        <v>1422</v>
      </c>
      <c r="K1107" s="120">
        <v>0.52</v>
      </c>
    </row>
    <row r="1108" spans="2:11" hidden="1" x14ac:dyDescent="0.25">
      <c r="B1108" s="28" t="str">
        <f>IF(ISNUMBER(MATCH(C1108, Mgt_Unit!$C$5:$C$1018, 0)), INDEX(Mgt_Unit!$B$5:$B$1018, MATCH(C1108, Mgt_Unit!$C$5:$C$1018, 0)), "")</f>
        <v>jennifer.moore</v>
      </c>
      <c r="C1108" t="s">
        <v>807</v>
      </c>
      <c r="E1108" s="17" t="s">
        <v>1583</v>
      </c>
      <c r="F1108" s="89">
        <v>43184</v>
      </c>
      <c r="J1108" t="s">
        <v>1428</v>
      </c>
      <c r="K1108" s="120">
        <v>26</v>
      </c>
    </row>
    <row r="1109" spans="2:11" hidden="1" x14ac:dyDescent="0.25">
      <c r="B1109" s="28" t="str">
        <f>IF(ISNUMBER(MATCH(C1109, Mgt_Unit!$C$5:$C$1018, 0)), INDEX(Mgt_Unit!$B$5:$B$1018, MATCH(C1109, Mgt_Unit!$C$5:$C$1018, 0)), "")</f>
        <v>jennifer.moore</v>
      </c>
      <c r="C1109" t="s">
        <v>807</v>
      </c>
      <c r="E1109" s="17" t="s">
        <v>1583</v>
      </c>
      <c r="F1109" s="89">
        <v>43294</v>
      </c>
      <c r="J1109" t="s">
        <v>1423</v>
      </c>
      <c r="K1109" s="120">
        <v>0.15</v>
      </c>
    </row>
    <row r="1110" spans="2:11" hidden="1" x14ac:dyDescent="0.25">
      <c r="B1110" s="28" t="str">
        <f>IF(ISNUMBER(MATCH(C1110, Mgt_Unit!$C$5:$C$1018, 0)), INDEX(Mgt_Unit!$B$5:$B$1018, MATCH(C1110, Mgt_Unit!$C$5:$C$1018, 0)), "")</f>
        <v>jennifer.moore</v>
      </c>
      <c r="C1110" t="s">
        <v>807</v>
      </c>
      <c r="E1110" s="17" t="s">
        <v>1583</v>
      </c>
      <c r="F1110" s="89">
        <v>43299</v>
      </c>
      <c r="J1110" t="s">
        <v>1396</v>
      </c>
      <c r="K1110" s="120">
        <v>37</v>
      </c>
    </row>
    <row r="1111" spans="2:11" hidden="1" x14ac:dyDescent="0.25">
      <c r="B1111" s="28" t="str">
        <f>IF(ISNUMBER(MATCH(C1111, Mgt_Unit!$C$5:$C$1018, 0)), INDEX(Mgt_Unit!$B$5:$B$1018, MATCH(C1111, Mgt_Unit!$C$5:$C$1018, 0)), "")</f>
        <v>jennifer.moore</v>
      </c>
      <c r="C1111" t="s">
        <v>808</v>
      </c>
      <c r="E1111" s="17" t="s">
        <v>1583</v>
      </c>
      <c r="F1111" s="89">
        <v>42109</v>
      </c>
      <c r="J1111" t="s">
        <v>1430</v>
      </c>
      <c r="K1111" s="120">
        <v>0.15</v>
      </c>
    </row>
    <row r="1112" spans="2:11" hidden="1" x14ac:dyDescent="0.25">
      <c r="B1112" s="28" t="str">
        <f>IF(ISNUMBER(MATCH(C1112, Mgt_Unit!$C$5:$C$1018, 0)), INDEX(Mgt_Unit!$B$5:$B$1018, MATCH(C1112, Mgt_Unit!$C$5:$C$1018, 0)), "")</f>
        <v>jennifer.moore</v>
      </c>
      <c r="C1112" t="s">
        <v>808</v>
      </c>
      <c r="E1112" s="17" t="s">
        <v>1584</v>
      </c>
      <c r="F1112" s="89">
        <v>42170</v>
      </c>
      <c r="J1112" t="s">
        <v>1398</v>
      </c>
      <c r="K1112" s="120">
        <v>4</v>
      </c>
    </row>
    <row r="1113" spans="2:11" hidden="1" x14ac:dyDescent="0.25">
      <c r="B1113" s="28" t="str">
        <f>IF(ISNUMBER(MATCH(C1113, Mgt_Unit!$C$5:$C$1018, 0)), INDEX(Mgt_Unit!$B$5:$B$1018, MATCH(C1113, Mgt_Unit!$C$5:$C$1018, 0)), "")</f>
        <v>jennifer.moore</v>
      </c>
      <c r="C1113" t="s">
        <v>808</v>
      </c>
      <c r="E1113" s="17" t="s">
        <v>1583</v>
      </c>
      <c r="F1113" s="89">
        <v>42200</v>
      </c>
      <c r="J1113" t="s">
        <v>1430</v>
      </c>
      <c r="K1113" s="120">
        <v>0.15</v>
      </c>
    </row>
    <row r="1114" spans="2:11" hidden="1" x14ac:dyDescent="0.25">
      <c r="B1114" s="28" t="str">
        <f>IF(ISNUMBER(MATCH(C1114, Mgt_Unit!$C$5:$C$1018, 0)), INDEX(Mgt_Unit!$B$5:$B$1018, MATCH(C1114, Mgt_Unit!$C$5:$C$1018, 0)), "")</f>
        <v>jennifer.moore</v>
      </c>
      <c r="C1114" t="s">
        <v>808</v>
      </c>
      <c r="E1114" s="17" t="s">
        <v>1583</v>
      </c>
      <c r="F1114" s="89">
        <v>42323</v>
      </c>
      <c r="J1114" t="s">
        <v>1431</v>
      </c>
      <c r="K1114" s="120">
        <v>0.15</v>
      </c>
    </row>
    <row r="1115" spans="2:11" hidden="1" x14ac:dyDescent="0.25">
      <c r="B1115" s="28" t="str">
        <f>IF(ISNUMBER(MATCH(C1115, Mgt_Unit!$C$5:$C$1018, 0)), INDEX(Mgt_Unit!$B$5:$B$1018, MATCH(C1115, Mgt_Unit!$C$5:$C$1018, 0)), "")</f>
        <v>jennifer.moore</v>
      </c>
      <c r="C1115" t="s">
        <v>808</v>
      </c>
      <c r="E1115" s="17" t="s">
        <v>1583</v>
      </c>
      <c r="F1115" s="89">
        <v>42475</v>
      </c>
      <c r="J1115" t="s">
        <v>1430</v>
      </c>
      <c r="K1115" s="120">
        <v>0.15</v>
      </c>
    </row>
    <row r="1116" spans="2:11" hidden="1" x14ac:dyDescent="0.25">
      <c r="B1116" s="28" t="str">
        <f>IF(ISNUMBER(MATCH(C1116, Mgt_Unit!$C$5:$C$1018, 0)), INDEX(Mgt_Unit!$B$5:$B$1018, MATCH(C1116, Mgt_Unit!$C$5:$C$1018, 0)), "")</f>
        <v>jennifer.moore</v>
      </c>
      <c r="C1116" t="s">
        <v>808</v>
      </c>
      <c r="E1116" s="17" t="s">
        <v>1584</v>
      </c>
      <c r="F1116" s="89">
        <v>42536</v>
      </c>
      <c r="J1116" t="s">
        <v>1398</v>
      </c>
      <c r="K1116" s="120">
        <v>4</v>
      </c>
    </row>
    <row r="1117" spans="2:11" hidden="1" x14ac:dyDescent="0.25">
      <c r="B1117" s="28" t="str">
        <f>IF(ISNUMBER(MATCH(C1117, Mgt_Unit!$C$5:$C$1018, 0)), INDEX(Mgt_Unit!$B$5:$B$1018, MATCH(C1117, Mgt_Unit!$C$5:$C$1018, 0)), "")</f>
        <v>jennifer.moore</v>
      </c>
      <c r="C1117" t="s">
        <v>808</v>
      </c>
      <c r="E1117" s="17" t="s">
        <v>1583</v>
      </c>
      <c r="F1117" s="89">
        <v>42566</v>
      </c>
      <c r="J1117" t="s">
        <v>1430</v>
      </c>
      <c r="K1117" s="120">
        <v>0.15</v>
      </c>
    </row>
    <row r="1118" spans="2:11" hidden="1" x14ac:dyDescent="0.25">
      <c r="B1118" s="28" t="str">
        <f>IF(ISNUMBER(MATCH(C1118, Mgt_Unit!$C$5:$C$1018, 0)), INDEX(Mgt_Unit!$B$5:$B$1018, MATCH(C1118, Mgt_Unit!$C$5:$C$1018, 0)), "")</f>
        <v>jennifer.moore</v>
      </c>
      <c r="C1118" t="s">
        <v>808</v>
      </c>
      <c r="E1118" s="17" t="s">
        <v>1583</v>
      </c>
      <c r="F1118" s="89">
        <v>42689</v>
      </c>
      <c r="J1118" t="s">
        <v>1431</v>
      </c>
      <c r="K1118" s="120">
        <v>0.15</v>
      </c>
    </row>
    <row r="1119" spans="2:11" hidden="1" x14ac:dyDescent="0.25">
      <c r="B1119" s="28" t="str">
        <f>IF(ISNUMBER(MATCH(C1119, Mgt_Unit!$C$5:$C$1018, 0)), INDEX(Mgt_Unit!$B$5:$B$1018, MATCH(C1119, Mgt_Unit!$C$5:$C$1018, 0)), "")</f>
        <v>jennifer.moore</v>
      </c>
      <c r="C1119" t="s">
        <v>808</v>
      </c>
      <c r="E1119" s="17" t="s">
        <v>1583</v>
      </c>
      <c r="F1119" s="89">
        <v>42840</v>
      </c>
      <c r="J1119" t="s">
        <v>1430</v>
      </c>
      <c r="K1119" s="120">
        <v>0.15</v>
      </c>
    </row>
    <row r="1120" spans="2:11" hidden="1" x14ac:dyDescent="0.25">
      <c r="B1120" s="28" t="str">
        <f>IF(ISNUMBER(MATCH(C1120, Mgt_Unit!$C$5:$C$1018, 0)), INDEX(Mgt_Unit!$B$5:$B$1018, MATCH(C1120, Mgt_Unit!$C$5:$C$1018, 0)), "")</f>
        <v>jennifer.moore</v>
      </c>
      <c r="C1120" t="s">
        <v>808</v>
      </c>
      <c r="E1120" s="17" t="s">
        <v>1584</v>
      </c>
      <c r="F1120" s="89">
        <v>42903</v>
      </c>
      <c r="J1120" t="s">
        <v>1353</v>
      </c>
      <c r="K1120" s="120">
        <v>2.4</v>
      </c>
    </row>
    <row r="1121" spans="2:11" hidden="1" x14ac:dyDescent="0.25">
      <c r="B1121" s="28" t="str">
        <f>IF(ISNUMBER(MATCH(C1121, Mgt_Unit!$C$5:$C$1018, 0)), INDEX(Mgt_Unit!$B$5:$B$1018, MATCH(C1121, Mgt_Unit!$C$5:$C$1018, 0)), "")</f>
        <v>jennifer.moore</v>
      </c>
      <c r="C1121" t="s">
        <v>808</v>
      </c>
      <c r="E1121" s="17" t="s">
        <v>1583</v>
      </c>
      <c r="F1121" s="89">
        <v>43054</v>
      </c>
      <c r="J1121" t="s">
        <v>1431</v>
      </c>
      <c r="K1121" s="120">
        <v>0.15</v>
      </c>
    </row>
    <row r="1122" spans="2:11" hidden="1" x14ac:dyDescent="0.25">
      <c r="B1122" s="28" t="str">
        <f>IF(ISNUMBER(MATCH(C1122, Mgt_Unit!$C$5:$C$1018, 0)), INDEX(Mgt_Unit!$B$5:$B$1018, MATCH(C1122, Mgt_Unit!$C$5:$C$1018, 0)), "")</f>
        <v>jennifer.moore</v>
      </c>
      <c r="C1122" t="s">
        <v>808</v>
      </c>
      <c r="E1122" s="17" t="s">
        <v>1583</v>
      </c>
      <c r="F1122" s="89">
        <v>43205</v>
      </c>
      <c r="J1122" t="s">
        <v>1430</v>
      </c>
      <c r="K1122" s="120">
        <v>0.15</v>
      </c>
    </row>
    <row r="1123" spans="2:11" hidden="1" x14ac:dyDescent="0.25">
      <c r="B1123" s="28" t="str">
        <f>IF(ISNUMBER(MATCH(C1123, Mgt_Unit!$C$5:$C$1018, 0)), INDEX(Mgt_Unit!$B$5:$B$1018, MATCH(C1123, Mgt_Unit!$C$5:$C$1018, 0)), "")</f>
        <v>jennifer.moore</v>
      </c>
      <c r="C1123" t="s">
        <v>808</v>
      </c>
      <c r="E1123" s="17" t="s">
        <v>1584</v>
      </c>
      <c r="F1123" s="89">
        <v>43266</v>
      </c>
      <c r="J1123" t="s">
        <v>1398</v>
      </c>
      <c r="K1123" s="120">
        <v>4</v>
      </c>
    </row>
    <row r="1124" spans="2:11" hidden="1" x14ac:dyDescent="0.25">
      <c r="B1124" s="28" t="str">
        <f>IF(ISNUMBER(MATCH(C1124, Mgt_Unit!$C$5:$C$1018, 0)), INDEX(Mgt_Unit!$B$5:$B$1018, MATCH(C1124, Mgt_Unit!$C$5:$C$1018, 0)), "")</f>
        <v>jennifer.moore</v>
      </c>
      <c r="C1124" t="s">
        <v>808</v>
      </c>
      <c r="E1124" s="17" t="s">
        <v>1583</v>
      </c>
      <c r="F1124" s="89">
        <v>43296</v>
      </c>
      <c r="J1124" t="s">
        <v>1430</v>
      </c>
      <c r="K1124" s="120">
        <v>0.15</v>
      </c>
    </row>
    <row r="1125" spans="2:11" hidden="1" x14ac:dyDescent="0.25">
      <c r="B1125" s="28" t="str">
        <f>IF(ISNUMBER(MATCH(C1125, Mgt_Unit!$C$5:$C$1018, 0)), INDEX(Mgt_Unit!$B$5:$B$1018, MATCH(C1125, Mgt_Unit!$C$5:$C$1018, 0)), "")</f>
        <v>jennifer.moore</v>
      </c>
      <c r="C1125" t="s">
        <v>808</v>
      </c>
      <c r="E1125" s="17" t="s">
        <v>1583</v>
      </c>
      <c r="F1125" s="89">
        <v>43419</v>
      </c>
      <c r="J1125" t="s">
        <v>1431</v>
      </c>
      <c r="K1125" s="120">
        <v>0.15</v>
      </c>
    </row>
    <row r="1126" spans="2:11" hidden="1" x14ac:dyDescent="0.25">
      <c r="B1126" s="28" t="str">
        <f>IF(ISNUMBER(MATCH(C1126, Mgt_Unit!$C$5:$C$1018, 0)), INDEX(Mgt_Unit!$B$5:$B$1018, MATCH(C1126, Mgt_Unit!$C$5:$C$1018, 0)), "")</f>
        <v>jennifer.moore</v>
      </c>
      <c r="C1126" t="s">
        <v>808</v>
      </c>
      <c r="E1126" s="17" t="s">
        <v>1583</v>
      </c>
      <c r="F1126" s="89">
        <v>43570</v>
      </c>
      <c r="J1126" t="s">
        <v>1430</v>
      </c>
      <c r="K1126" s="120">
        <v>0.15</v>
      </c>
    </row>
    <row r="1127" spans="2:11" hidden="1" x14ac:dyDescent="0.25">
      <c r="B1127" s="28" t="str">
        <f>IF(ISNUMBER(MATCH(C1127, Mgt_Unit!$C$5:$C$1018, 0)), INDEX(Mgt_Unit!$B$5:$B$1018, MATCH(C1127, Mgt_Unit!$C$5:$C$1018, 0)), "")</f>
        <v>jennifer.moore</v>
      </c>
      <c r="C1127" t="s">
        <v>808</v>
      </c>
      <c r="E1127" s="17" t="s">
        <v>1584</v>
      </c>
      <c r="F1127" s="89">
        <v>43633</v>
      </c>
      <c r="J1127" t="s">
        <v>1353</v>
      </c>
      <c r="K1127" s="120">
        <v>2.4</v>
      </c>
    </row>
    <row r="1128" spans="2:11" hidden="1" x14ac:dyDescent="0.25">
      <c r="B1128" s="28" t="str">
        <f>IF(ISNUMBER(MATCH(C1128, Mgt_Unit!$C$5:$C$1018, 0)), INDEX(Mgt_Unit!$B$5:$B$1018, MATCH(C1128, Mgt_Unit!$C$5:$C$1018, 0)), "")</f>
        <v>jennifer.moore</v>
      </c>
      <c r="C1128" t="s">
        <v>808</v>
      </c>
      <c r="E1128" s="17" t="s">
        <v>1583</v>
      </c>
      <c r="F1128" s="89">
        <v>43784</v>
      </c>
      <c r="J1128" t="s">
        <v>1431</v>
      </c>
      <c r="K1128" s="120">
        <v>0.15</v>
      </c>
    </row>
    <row r="1129" spans="2:11" hidden="1" x14ac:dyDescent="0.25">
      <c r="B1129" s="28" t="str">
        <f>IF(ISNUMBER(MATCH(C1129, Mgt_Unit!$C$5:$C$1018, 0)), INDEX(Mgt_Unit!$B$5:$B$1018, MATCH(C1129, Mgt_Unit!$C$5:$C$1018, 0)), "")</f>
        <v>jennifer.moore</v>
      </c>
      <c r="C1129" t="s">
        <v>809</v>
      </c>
      <c r="E1129" s="17" t="s">
        <v>1583</v>
      </c>
      <c r="F1129" s="89">
        <v>42109</v>
      </c>
      <c r="J1129" t="s">
        <v>1430</v>
      </c>
      <c r="K1129" s="120">
        <v>0.15</v>
      </c>
    </row>
    <row r="1130" spans="2:11" hidden="1" x14ac:dyDescent="0.25">
      <c r="B1130" s="28" t="str">
        <f>IF(ISNUMBER(MATCH(C1130, Mgt_Unit!$C$5:$C$1018, 0)), INDEX(Mgt_Unit!$B$5:$B$1018, MATCH(C1130, Mgt_Unit!$C$5:$C$1018, 0)), "")</f>
        <v>jennifer.moore</v>
      </c>
      <c r="C1130" t="s">
        <v>809</v>
      </c>
      <c r="E1130" s="17" t="s">
        <v>1584</v>
      </c>
      <c r="F1130" s="89">
        <v>42170</v>
      </c>
      <c r="J1130" t="s">
        <v>1398</v>
      </c>
      <c r="K1130" s="120">
        <v>4</v>
      </c>
    </row>
    <row r="1131" spans="2:11" hidden="1" x14ac:dyDescent="0.25">
      <c r="B1131" s="28" t="str">
        <f>IF(ISNUMBER(MATCH(C1131, Mgt_Unit!$C$5:$C$1018, 0)), INDEX(Mgt_Unit!$B$5:$B$1018, MATCH(C1131, Mgt_Unit!$C$5:$C$1018, 0)), "")</f>
        <v>jennifer.moore</v>
      </c>
      <c r="C1131" t="s">
        <v>809</v>
      </c>
      <c r="E1131" s="17" t="s">
        <v>1583</v>
      </c>
      <c r="F1131" s="89">
        <v>42200</v>
      </c>
      <c r="J1131" t="s">
        <v>1430</v>
      </c>
      <c r="K1131" s="120">
        <v>0.15</v>
      </c>
    </row>
    <row r="1132" spans="2:11" hidden="1" x14ac:dyDescent="0.25">
      <c r="B1132" s="28" t="str">
        <f>IF(ISNUMBER(MATCH(C1132, Mgt_Unit!$C$5:$C$1018, 0)), INDEX(Mgt_Unit!$B$5:$B$1018, MATCH(C1132, Mgt_Unit!$C$5:$C$1018, 0)), "")</f>
        <v>jennifer.moore</v>
      </c>
      <c r="C1132" t="s">
        <v>809</v>
      </c>
      <c r="E1132" s="17" t="s">
        <v>1583</v>
      </c>
      <c r="F1132" s="89">
        <v>42323</v>
      </c>
      <c r="J1132" t="s">
        <v>1431</v>
      </c>
      <c r="K1132" s="120">
        <v>0.15</v>
      </c>
    </row>
    <row r="1133" spans="2:11" hidden="1" x14ac:dyDescent="0.25">
      <c r="B1133" s="28" t="str">
        <f>IF(ISNUMBER(MATCH(C1133, Mgt_Unit!$C$5:$C$1018, 0)), INDEX(Mgt_Unit!$B$5:$B$1018, MATCH(C1133, Mgt_Unit!$C$5:$C$1018, 0)), "")</f>
        <v>jennifer.moore</v>
      </c>
      <c r="C1133" t="s">
        <v>809</v>
      </c>
      <c r="E1133" s="17" t="s">
        <v>1583</v>
      </c>
      <c r="F1133" s="89">
        <v>42475</v>
      </c>
      <c r="J1133" t="s">
        <v>1430</v>
      </c>
      <c r="K1133" s="120">
        <v>0.15</v>
      </c>
    </row>
    <row r="1134" spans="2:11" hidden="1" x14ac:dyDescent="0.25">
      <c r="B1134" s="28" t="str">
        <f>IF(ISNUMBER(MATCH(C1134, Mgt_Unit!$C$5:$C$1018, 0)), INDEX(Mgt_Unit!$B$5:$B$1018, MATCH(C1134, Mgt_Unit!$C$5:$C$1018, 0)), "")</f>
        <v>jennifer.moore</v>
      </c>
      <c r="C1134" t="s">
        <v>809</v>
      </c>
      <c r="E1134" s="17" t="s">
        <v>1584</v>
      </c>
      <c r="F1134" s="89">
        <v>42536</v>
      </c>
      <c r="J1134" t="s">
        <v>1398</v>
      </c>
      <c r="K1134" s="120">
        <v>4</v>
      </c>
    </row>
    <row r="1135" spans="2:11" hidden="1" x14ac:dyDescent="0.25">
      <c r="B1135" s="28" t="str">
        <f>IF(ISNUMBER(MATCH(C1135, Mgt_Unit!$C$5:$C$1018, 0)), INDEX(Mgt_Unit!$B$5:$B$1018, MATCH(C1135, Mgt_Unit!$C$5:$C$1018, 0)), "")</f>
        <v>jennifer.moore</v>
      </c>
      <c r="C1135" t="s">
        <v>809</v>
      </c>
      <c r="E1135" s="17" t="s">
        <v>1583</v>
      </c>
      <c r="F1135" s="89">
        <v>42566</v>
      </c>
      <c r="J1135" t="s">
        <v>1430</v>
      </c>
      <c r="K1135" s="120">
        <v>0.15</v>
      </c>
    </row>
    <row r="1136" spans="2:11" hidden="1" x14ac:dyDescent="0.25">
      <c r="B1136" s="28" t="str">
        <f>IF(ISNUMBER(MATCH(C1136, Mgt_Unit!$C$5:$C$1018, 0)), INDEX(Mgt_Unit!$B$5:$B$1018, MATCH(C1136, Mgt_Unit!$C$5:$C$1018, 0)), "")</f>
        <v>jennifer.moore</v>
      </c>
      <c r="C1136" t="s">
        <v>809</v>
      </c>
      <c r="E1136" s="17" t="s">
        <v>1583</v>
      </c>
      <c r="F1136" s="89">
        <v>42689</v>
      </c>
      <c r="J1136" t="s">
        <v>1431</v>
      </c>
      <c r="K1136" s="120">
        <v>0.15</v>
      </c>
    </row>
    <row r="1137" spans="2:11" hidden="1" x14ac:dyDescent="0.25">
      <c r="B1137" s="28" t="str">
        <f>IF(ISNUMBER(MATCH(C1137, Mgt_Unit!$C$5:$C$1018, 0)), INDEX(Mgt_Unit!$B$5:$B$1018, MATCH(C1137, Mgt_Unit!$C$5:$C$1018, 0)), "")</f>
        <v>jennifer.moore</v>
      </c>
      <c r="C1137" t="s">
        <v>809</v>
      </c>
      <c r="E1137" s="17" t="s">
        <v>1583</v>
      </c>
      <c r="F1137" s="89">
        <v>42840</v>
      </c>
      <c r="J1137" t="s">
        <v>1430</v>
      </c>
      <c r="K1137" s="120">
        <v>0.15</v>
      </c>
    </row>
    <row r="1138" spans="2:11" hidden="1" x14ac:dyDescent="0.25">
      <c r="B1138" s="28" t="str">
        <f>IF(ISNUMBER(MATCH(C1138, Mgt_Unit!$C$5:$C$1018, 0)), INDEX(Mgt_Unit!$B$5:$B$1018, MATCH(C1138, Mgt_Unit!$C$5:$C$1018, 0)), "")</f>
        <v>jennifer.moore</v>
      </c>
      <c r="C1138" t="s">
        <v>809</v>
      </c>
      <c r="E1138" s="17" t="s">
        <v>1584</v>
      </c>
      <c r="F1138" s="89">
        <v>42903</v>
      </c>
      <c r="J1138" t="s">
        <v>1353</v>
      </c>
      <c r="K1138" s="120">
        <v>2.4</v>
      </c>
    </row>
    <row r="1139" spans="2:11" hidden="1" x14ac:dyDescent="0.25">
      <c r="B1139" s="28" t="str">
        <f>IF(ISNUMBER(MATCH(C1139, Mgt_Unit!$C$5:$C$1018, 0)), INDEX(Mgt_Unit!$B$5:$B$1018, MATCH(C1139, Mgt_Unit!$C$5:$C$1018, 0)), "")</f>
        <v>jennifer.moore</v>
      </c>
      <c r="C1139" t="s">
        <v>809</v>
      </c>
      <c r="E1139" s="17" t="s">
        <v>1583</v>
      </c>
      <c r="F1139" s="89">
        <v>43054</v>
      </c>
      <c r="J1139" t="s">
        <v>1431</v>
      </c>
      <c r="K1139" s="120">
        <v>0.15</v>
      </c>
    </row>
    <row r="1140" spans="2:11" hidden="1" x14ac:dyDescent="0.25">
      <c r="B1140" s="28" t="str">
        <f>IF(ISNUMBER(MATCH(C1140, Mgt_Unit!$C$5:$C$1018, 0)), INDEX(Mgt_Unit!$B$5:$B$1018, MATCH(C1140, Mgt_Unit!$C$5:$C$1018, 0)), "")</f>
        <v>jennifer.moore</v>
      </c>
      <c r="C1140" t="s">
        <v>809</v>
      </c>
      <c r="E1140" s="17" t="s">
        <v>1583</v>
      </c>
      <c r="F1140" s="89">
        <v>43205</v>
      </c>
      <c r="J1140" t="s">
        <v>1430</v>
      </c>
      <c r="K1140" s="120">
        <v>0.15</v>
      </c>
    </row>
    <row r="1141" spans="2:11" hidden="1" x14ac:dyDescent="0.25">
      <c r="B1141" s="28" t="str">
        <f>IF(ISNUMBER(MATCH(C1141, Mgt_Unit!$C$5:$C$1018, 0)), INDEX(Mgt_Unit!$B$5:$B$1018, MATCH(C1141, Mgt_Unit!$C$5:$C$1018, 0)), "")</f>
        <v>jennifer.moore</v>
      </c>
      <c r="C1141" t="s">
        <v>809</v>
      </c>
      <c r="E1141" s="17" t="s">
        <v>1584</v>
      </c>
      <c r="F1141" s="89">
        <v>43266</v>
      </c>
      <c r="J1141" t="s">
        <v>1398</v>
      </c>
      <c r="K1141" s="120">
        <v>4</v>
      </c>
    </row>
    <row r="1142" spans="2:11" hidden="1" x14ac:dyDescent="0.25">
      <c r="B1142" s="28" t="str">
        <f>IF(ISNUMBER(MATCH(C1142, Mgt_Unit!$C$5:$C$1018, 0)), INDEX(Mgt_Unit!$B$5:$B$1018, MATCH(C1142, Mgt_Unit!$C$5:$C$1018, 0)), "")</f>
        <v>jennifer.moore</v>
      </c>
      <c r="C1142" t="s">
        <v>809</v>
      </c>
      <c r="E1142" s="17" t="s">
        <v>1583</v>
      </c>
      <c r="F1142" s="89">
        <v>43296</v>
      </c>
      <c r="J1142" t="s">
        <v>1430</v>
      </c>
      <c r="K1142" s="120">
        <v>0.15</v>
      </c>
    </row>
    <row r="1143" spans="2:11" hidden="1" x14ac:dyDescent="0.25">
      <c r="B1143" s="28" t="str">
        <f>IF(ISNUMBER(MATCH(C1143, Mgt_Unit!$C$5:$C$1018, 0)), INDEX(Mgt_Unit!$B$5:$B$1018, MATCH(C1143, Mgt_Unit!$C$5:$C$1018, 0)), "")</f>
        <v>jennifer.moore</v>
      </c>
      <c r="C1143" t="s">
        <v>809</v>
      </c>
      <c r="E1143" s="17" t="s">
        <v>1583</v>
      </c>
      <c r="F1143" s="89">
        <v>43419</v>
      </c>
      <c r="J1143" t="s">
        <v>1431</v>
      </c>
      <c r="K1143" s="120">
        <v>0.15</v>
      </c>
    </row>
    <row r="1144" spans="2:11" hidden="1" x14ac:dyDescent="0.25">
      <c r="B1144" s="28" t="str">
        <f>IF(ISNUMBER(MATCH(C1144, Mgt_Unit!$C$5:$C$1018, 0)), INDEX(Mgt_Unit!$B$5:$B$1018, MATCH(C1144, Mgt_Unit!$C$5:$C$1018, 0)), "")</f>
        <v>jennifer.moore</v>
      </c>
      <c r="C1144" t="s">
        <v>809</v>
      </c>
      <c r="E1144" s="17" t="s">
        <v>1583</v>
      </c>
      <c r="F1144" s="89">
        <v>43570</v>
      </c>
      <c r="J1144" t="s">
        <v>1430</v>
      </c>
      <c r="K1144" s="120">
        <v>0.15</v>
      </c>
    </row>
    <row r="1145" spans="2:11" hidden="1" x14ac:dyDescent="0.25">
      <c r="B1145" s="28" t="str">
        <f>IF(ISNUMBER(MATCH(C1145, Mgt_Unit!$C$5:$C$1018, 0)), INDEX(Mgt_Unit!$B$5:$B$1018, MATCH(C1145, Mgt_Unit!$C$5:$C$1018, 0)), "")</f>
        <v>jennifer.moore</v>
      </c>
      <c r="C1145" t="s">
        <v>809</v>
      </c>
      <c r="E1145" s="17" t="s">
        <v>1584</v>
      </c>
      <c r="F1145" s="89">
        <v>43633</v>
      </c>
      <c r="J1145" t="s">
        <v>1353</v>
      </c>
      <c r="K1145" s="120">
        <v>2.4</v>
      </c>
    </row>
    <row r="1146" spans="2:11" hidden="1" x14ac:dyDescent="0.25">
      <c r="B1146" s="28" t="str">
        <f>IF(ISNUMBER(MATCH(C1146, Mgt_Unit!$C$5:$C$1018, 0)), INDEX(Mgt_Unit!$B$5:$B$1018, MATCH(C1146, Mgt_Unit!$C$5:$C$1018, 0)), "")</f>
        <v>jennifer.moore</v>
      </c>
      <c r="C1146" t="s">
        <v>809</v>
      </c>
      <c r="E1146" s="17" t="s">
        <v>1583</v>
      </c>
      <c r="F1146" s="89">
        <v>43784</v>
      </c>
      <c r="J1146" t="s">
        <v>1431</v>
      </c>
      <c r="K1146" s="120">
        <v>0.15</v>
      </c>
    </row>
    <row r="1147" spans="2:11" hidden="1" x14ac:dyDescent="0.25">
      <c r="B1147" s="28" t="str">
        <f>IF(ISNUMBER(MATCH(C1147, Mgt_Unit!$C$5:$C$1018, 0)), INDEX(Mgt_Unit!$B$5:$B$1018, MATCH(C1147, Mgt_Unit!$C$5:$C$1018, 0)), "")</f>
        <v>jennifer.moore</v>
      </c>
      <c r="C1147" t="s">
        <v>810</v>
      </c>
      <c r="E1147" s="17" t="s">
        <v>1583</v>
      </c>
      <c r="F1147" s="89">
        <v>42109</v>
      </c>
      <c r="J1147" t="s">
        <v>1430</v>
      </c>
      <c r="K1147" s="120">
        <v>0.15</v>
      </c>
    </row>
    <row r="1148" spans="2:11" hidden="1" x14ac:dyDescent="0.25">
      <c r="B1148" s="28" t="str">
        <f>IF(ISNUMBER(MATCH(C1148, Mgt_Unit!$C$5:$C$1018, 0)), INDEX(Mgt_Unit!$B$5:$B$1018, MATCH(C1148, Mgt_Unit!$C$5:$C$1018, 0)), "")</f>
        <v>jennifer.moore</v>
      </c>
      <c r="C1148" t="s">
        <v>810</v>
      </c>
      <c r="E1148" s="17" t="s">
        <v>1584</v>
      </c>
      <c r="F1148" s="89">
        <v>42170</v>
      </c>
      <c r="J1148" t="s">
        <v>1398</v>
      </c>
      <c r="K1148" s="120">
        <v>4</v>
      </c>
    </row>
    <row r="1149" spans="2:11" hidden="1" x14ac:dyDescent="0.25">
      <c r="B1149" s="28" t="str">
        <f>IF(ISNUMBER(MATCH(C1149, Mgt_Unit!$C$5:$C$1018, 0)), INDEX(Mgt_Unit!$B$5:$B$1018, MATCH(C1149, Mgt_Unit!$C$5:$C$1018, 0)), "")</f>
        <v>jennifer.moore</v>
      </c>
      <c r="C1149" t="s">
        <v>810</v>
      </c>
      <c r="E1149" s="17" t="s">
        <v>1583</v>
      </c>
      <c r="F1149" s="89">
        <v>42200</v>
      </c>
      <c r="J1149" t="s">
        <v>1430</v>
      </c>
      <c r="K1149" s="120">
        <v>0.15</v>
      </c>
    </row>
    <row r="1150" spans="2:11" hidden="1" x14ac:dyDescent="0.25">
      <c r="B1150" s="28" t="str">
        <f>IF(ISNUMBER(MATCH(C1150, Mgt_Unit!$C$5:$C$1018, 0)), INDEX(Mgt_Unit!$B$5:$B$1018, MATCH(C1150, Mgt_Unit!$C$5:$C$1018, 0)), "")</f>
        <v>jennifer.moore</v>
      </c>
      <c r="C1150" t="s">
        <v>810</v>
      </c>
      <c r="E1150" s="17" t="s">
        <v>1583</v>
      </c>
      <c r="F1150" s="89">
        <v>42323</v>
      </c>
      <c r="J1150" t="s">
        <v>1431</v>
      </c>
      <c r="K1150" s="120">
        <v>0.15</v>
      </c>
    </row>
    <row r="1151" spans="2:11" hidden="1" x14ac:dyDescent="0.25">
      <c r="B1151" s="28" t="str">
        <f>IF(ISNUMBER(MATCH(C1151, Mgt_Unit!$C$5:$C$1018, 0)), INDEX(Mgt_Unit!$B$5:$B$1018, MATCH(C1151, Mgt_Unit!$C$5:$C$1018, 0)), "")</f>
        <v>jennifer.moore</v>
      </c>
      <c r="C1151" t="s">
        <v>810</v>
      </c>
      <c r="E1151" s="17" t="s">
        <v>1583</v>
      </c>
      <c r="F1151" s="89">
        <v>42475</v>
      </c>
      <c r="J1151" t="s">
        <v>1430</v>
      </c>
      <c r="K1151" s="120">
        <v>0.15</v>
      </c>
    </row>
    <row r="1152" spans="2:11" hidden="1" x14ac:dyDescent="0.25">
      <c r="B1152" s="28" t="str">
        <f>IF(ISNUMBER(MATCH(C1152, Mgt_Unit!$C$5:$C$1018, 0)), INDEX(Mgt_Unit!$B$5:$B$1018, MATCH(C1152, Mgt_Unit!$C$5:$C$1018, 0)), "")</f>
        <v>jennifer.moore</v>
      </c>
      <c r="C1152" t="s">
        <v>810</v>
      </c>
      <c r="E1152" s="17" t="s">
        <v>1584</v>
      </c>
      <c r="F1152" s="89">
        <v>42536</v>
      </c>
      <c r="J1152" t="s">
        <v>1398</v>
      </c>
      <c r="K1152" s="120">
        <v>4</v>
      </c>
    </row>
    <row r="1153" spans="2:11" hidden="1" x14ac:dyDescent="0.25">
      <c r="B1153" s="28" t="str">
        <f>IF(ISNUMBER(MATCH(C1153, Mgt_Unit!$C$5:$C$1018, 0)), INDEX(Mgt_Unit!$B$5:$B$1018, MATCH(C1153, Mgt_Unit!$C$5:$C$1018, 0)), "")</f>
        <v>jennifer.moore</v>
      </c>
      <c r="C1153" t="s">
        <v>810</v>
      </c>
      <c r="E1153" s="17" t="s">
        <v>1583</v>
      </c>
      <c r="F1153" s="89">
        <v>42566</v>
      </c>
      <c r="J1153" t="s">
        <v>1430</v>
      </c>
      <c r="K1153" s="120">
        <v>0.15</v>
      </c>
    </row>
    <row r="1154" spans="2:11" hidden="1" x14ac:dyDescent="0.25">
      <c r="B1154" s="28" t="str">
        <f>IF(ISNUMBER(MATCH(C1154, Mgt_Unit!$C$5:$C$1018, 0)), INDEX(Mgt_Unit!$B$5:$B$1018, MATCH(C1154, Mgt_Unit!$C$5:$C$1018, 0)), "")</f>
        <v>jennifer.moore</v>
      </c>
      <c r="C1154" t="s">
        <v>810</v>
      </c>
      <c r="E1154" s="17" t="s">
        <v>1583</v>
      </c>
      <c r="F1154" s="89">
        <v>42689</v>
      </c>
      <c r="J1154" t="s">
        <v>1431</v>
      </c>
      <c r="K1154" s="120">
        <v>0.15</v>
      </c>
    </row>
    <row r="1155" spans="2:11" hidden="1" x14ac:dyDescent="0.25">
      <c r="B1155" s="28" t="str">
        <f>IF(ISNUMBER(MATCH(C1155, Mgt_Unit!$C$5:$C$1018, 0)), INDEX(Mgt_Unit!$B$5:$B$1018, MATCH(C1155, Mgt_Unit!$C$5:$C$1018, 0)), "")</f>
        <v>jennifer.moore</v>
      </c>
      <c r="C1155" t="s">
        <v>810</v>
      </c>
      <c r="E1155" s="17" t="s">
        <v>1583</v>
      </c>
      <c r="F1155" s="89">
        <v>42840</v>
      </c>
      <c r="J1155" t="s">
        <v>1430</v>
      </c>
      <c r="K1155" s="120">
        <v>0.15</v>
      </c>
    </row>
    <row r="1156" spans="2:11" hidden="1" x14ac:dyDescent="0.25">
      <c r="B1156" s="28" t="str">
        <f>IF(ISNUMBER(MATCH(C1156, Mgt_Unit!$C$5:$C$1018, 0)), INDEX(Mgt_Unit!$B$5:$B$1018, MATCH(C1156, Mgt_Unit!$C$5:$C$1018, 0)), "")</f>
        <v>jennifer.moore</v>
      </c>
      <c r="C1156" t="s">
        <v>810</v>
      </c>
      <c r="E1156" s="17" t="s">
        <v>1584</v>
      </c>
      <c r="F1156" s="89">
        <v>42903</v>
      </c>
      <c r="J1156" t="s">
        <v>1353</v>
      </c>
      <c r="K1156" s="120">
        <v>2.4</v>
      </c>
    </row>
    <row r="1157" spans="2:11" hidden="1" x14ac:dyDescent="0.25">
      <c r="B1157" s="28" t="str">
        <f>IF(ISNUMBER(MATCH(C1157, Mgt_Unit!$C$5:$C$1018, 0)), INDEX(Mgt_Unit!$B$5:$B$1018, MATCH(C1157, Mgt_Unit!$C$5:$C$1018, 0)), "")</f>
        <v>jennifer.moore</v>
      </c>
      <c r="C1157" t="s">
        <v>810</v>
      </c>
      <c r="E1157" s="17" t="s">
        <v>1583</v>
      </c>
      <c r="F1157" s="89">
        <v>43054</v>
      </c>
      <c r="J1157" t="s">
        <v>1431</v>
      </c>
      <c r="K1157" s="120">
        <v>0.15</v>
      </c>
    </row>
    <row r="1158" spans="2:11" hidden="1" x14ac:dyDescent="0.25">
      <c r="B1158" s="28" t="str">
        <f>IF(ISNUMBER(MATCH(C1158, Mgt_Unit!$C$5:$C$1018, 0)), INDEX(Mgt_Unit!$B$5:$B$1018, MATCH(C1158, Mgt_Unit!$C$5:$C$1018, 0)), "")</f>
        <v>jennifer.moore</v>
      </c>
      <c r="C1158" t="s">
        <v>810</v>
      </c>
      <c r="E1158" s="17" t="s">
        <v>1583</v>
      </c>
      <c r="F1158" s="89">
        <v>43205</v>
      </c>
      <c r="J1158" t="s">
        <v>1430</v>
      </c>
      <c r="K1158" s="120">
        <v>0.15</v>
      </c>
    </row>
    <row r="1159" spans="2:11" hidden="1" x14ac:dyDescent="0.25">
      <c r="B1159" s="28" t="str">
        <f>IF(ISNUMBER(MATCH(C1159, Mgt_Unit!$C$5:$C$1018, 0)), INDEX(Mgt_Unit!$B$5:$B$1018, MATCH(C1159, Mgt_Unit!$C$5:$C$1018, 0)), "")</f>
        <v>jennifer.moore</v>
      </c>
      <c r="C1159" t="s">
        <v>810</v>
      </c>
      <c r="E1159" s="17" t="s">
        <v>1584</v>
      </c>
      <c r="F1159" s="89">
        <v>43266</v>
      </c>
      <c r="J1159" t="s">
        <v>1398</v>
      </c>
      <c r="K1159" s="120">
        <v>4</v>
      </c>
    </row>
    <row r="1160" spans="2:11" hidden="1" x14ac:dyDescent="0.25">
      <c r="B1160" s="28" t="str">
        <f>IF(ISNUMBER(MATCH(C1160, Mgt_Unit!$C$5:$C$1018, 0)), INDEX(Mgt_Unit!$B$5:$B$1018, MATCH(C1160, Mgt_Unit!$C$5:$C$1018, 0)), "")</f>
        <v>jennifer.moore</v>
      </c>
      <c r="C1160" t="s">
        <v>810</v>
      </c>
      <c r="E1160" s="17" t="s">
        <v>1583</v>
      </c>
      <c r="F1160" s="89">
        <v>43296</v>
      </c>
      <c r="J1160" t="s">
        <v>1430</v>
      </c>
      <c r="K1160" s="120">
        <v>0.15</v>
      </c>
    </row>
    <row r="1161" spans="2:11" hidden="1" x14ac:dyDescent="0.25">
      <c r="B1161" s="28" t="str">
        <f>IF(ISNUMBER(MATCH(C1161, Mgt_Unit!$C$5:$C$1018, 0)), INDEX(Mgt_Unit!$B$5:$B$1018, MATCH(C1161, Mgt_Unit!$C$5:$C$1018, 0)), "")</f>
        <v>jennifer.moore</v>
      </c>
      <c r="C1161" t="s">
        <v>810</v>
      </c>
      <c r="E1161" s="17" t="s">
        <v>1583</v>
      </c>
      <c r="F1161" s="89">
        <v>43419</v>
      </c>
      <c r="J1161" t="s">
        <v>1431</v>
      </c>
      <c r="K1161" s="120">
        <v>0.15</v>
      </c>
    </row>
    <row r="1162" spans="2:11" hidden="1" x14ac:dyDescent="0.25">
      <c r="B1162" s="28" t="str">
        <f>IF(ISNUMBER(MATCH(C1162, Mgt_Unit!$C$5:$C$1018, 0)), INDEX(Mgt_Unit!$B$5:$B$1018, MATCH(C1162, Mgt_Unit!$C$5:$C$1018, 0)), "")</f>
        <v>jennifer.moore</v>
      </c>
      <c r="C1162" t="s">
        <v>810</v>
      </c>
      <c r="E1162" s="17" t="s">
        <v>1583</v>
      </c>
      <c r="F1162" s="89">
        <v>43570</v>
      </c>
      <c r="J1162" t="s">
        <v>1430</v>
      </c>
      <c r="K1162" s="120">
        <v>0.15</v>
      </c>
    </row>
    <row r="1163" spans="2:11" hidden="1" x14ac:dyDescent="0.25">
      <c r="B1163" s="28" t="str">
        <f>IF(ISNUMBER(MATCH(C1163, Mgt_Unit!$C$5:$C$1018, 0)), INDEX(Mgt_Unit!$B$5:$B$1018, MATCH(C1163, Mgt_Unit!$C$5:$C$1018, 0)), "")</f>
        <v>jennifer.moore</v>
      </c>
      <c r="C1163" t="s">
        <v>810</v>
      </c>
      <c r="E1163" s="17" t="s">
        <v>1584</v>
      </c>
      <c r="F1163" s="89">
        <v>43633</v>
      </c>
      <c r="J1163" t="s">
        <v>1353</v>
      </c>
      <c r="K1163" s="120">
        <v>2.4</v>
      </c>
    </row>
    <row r="1164" spans="2:11" hidden="1" x14ac:dyDescent="0.25">
      <c r="B1164" s="28" t="str">
        <f>IF(ISNUMBER(MATCH(C1164, Mgt_Unit!$C$5:$C$1018, 0)), INDEX(Mgt_Unit!$B$5:$B$1018, MATCH(C1164, Mgt_Unit!$C$5:$C$1018, 0)), "")</f>
        <v>jennifer.moore</v>
      </c>
      <c r="C1164" t="s">
        <v>810</v>
      </c>
      <c r="E1164" s="17" t="s">
        <v>1583</v>
      </c>
      <c r="F1164" s="89">
        <v>43784</v>
      </c>
      <c r="J1164" t="s">
        <v>1431</v>
      </c>
      <c r="K1164" s="120">
        <v>0.15</v>
      </c>
    </row>
    <row r="1165" spans="2:11" hidden="1" x14ac:dyDescent="0.25">
      <c r="B1165" s="28" t="str">
        <f>IF(ISNUMBER(MATCH(C1165, Mgt_Unit!$C$5:$C$1018, 0)), INDEX(Mgt_Unit!$B$5:$B$1018, MATCH(C1165, Mgt_Unit!$C$5:$C$1018, 0)), "")</f>
        <v>jennifer.moore</v>
      </c>
      <c r="C1165" t="s">
        <v>811</v>
      </c>
      <c r="E1165" s="17" t="s">
        <v>1583</v>
      </c>
      <c r="F1165" s="89">
        <v>42840</v>
      </c>
      <c r="J1165" t="s">
        <v>1430</v>
      </c>
      <c r="K1165" s="120">
        <v>0.15</v>
      </c>
    </row>
    <row r="1166" spans="2:11" hidden="1" x14ac:dyDescent="0.25">
      <c r="B1166" s="28" t="str">
        <f>IF(ISNUMBER(MATCH(C1166, Mgt_Unit!$C$5:$C$1018, 0)), INDEX(Mgt_Unit!$B$5:$B$1018, MATCH(C1166, Mgt_Unit!$C$5:$C$1018, 0)), "")</f>
        <v>jennifer.moore</v>
      </c>
      <c r="C1166" t="s">
        <v>811</v>
      </c>
      <c r="E1166" s="17" t="s">
        <v>1583</v>
      </c>
      <c r="F1166" s="89">
        <v>42962</v>
      </c>
      <c r="J1166" t="s">
        <v>1430</v>
      </c>
      <c r="K1166" s="120">
        <v>0.15</v>
      </c>
    </row>
    <row r="1167" spans="2:11" hidden="1" x14ac:dyDescent="0.25">
      <c r="B1167" s="28" t="str">
        <f>IF(ISNUMBER(MATCH(C1167, Mgt_Unit!$C$5:$C$1018, 0)), INDEX(Mgt_Unit!$B$5:$B$1018, MATCH(C1167, Mgt_Unit!$C$5:$C$1018, 0)), "")</f>
        <v>jennifer.moore</v>
      </c>
      <c r="C1167" t="s">
        <v>811</v>
      </c>
      <c r="E1167" s="17" t="s">
        <v>1584</v>
      </c>
      <c r="F1167" s="89">
        <v>43023</v>
      </c>
      <c r="J1167" t="s">
        <v>1398</v>
      </c>
      <c r="K1167" s="120">
        <v>4</v>
      </c>
    </row>
    <row r="1168" spans="2:11" hidden="1" x14ac:dyDescent="0.25">
      <c r="B1168" s="28" t="str">
        <f>IF(ISNUMBER(MATCH(C1168, Mgt_Unit!$C$5:$C$1018, 0)), INDEX(Mgt_Unit!$B$5:$B$1018, MATCH(C1168, Mgt_Unit!$C$5:$C$1018, 0)), "")</f>
        <v>jennifer.moore</v>
      </c>
      <c r="C1168" t="s">
        <v>811</v>
      </c>
      <c r="E1168" s="17" t="s">
        <v>1583</v>
      </c>
      <c r="F1168" s="89">
        <v>43174</v>
      </c>
      <c r="J1168" t="s">
        <v>1430</v>
      </c>
      <c r="K1168" s="120">
        <v>0.15</v>
      </c>
    </row>
    <row r="1169" spans="2:11" hidden="1" x14ac:dyDescent="0.25">
      <c r="B1169" s="28" t="str">
        <f>IF(ISNUMBER(MATCH(C1169, Mgt_Unit!$C$5:$C$1018, 0)), INDEX(Mgt_Unit!$B$5:$B$1018, MATCH(C1169, Mgt_Unit!$C$5:$C$1018, 0)), "")</f>
        <v>jennifer.moore</v>
      </c>
      <c r="C1169" t="s">
        <v>811</v>
      </c>
      <c r="E1169" s="17" t="s">
        <v>1583</v>
      </c>
      <c r="F1169" s="89">
        <v>43296</v>
      </c>
      <c r="J1169" t="s">
        <v>1431</v>
      </c>
      <c r="K1169" s="120">
        <v>0.15</v>
      </c>
    </row>
    <row r="1170" spans="2:11" hidden="1" x14ac:dyDescent="0.25">
      <c r="B1170" s="28" t="str">
        <f>IF(ISNUMBER(MATCH(C1170, Mgt_Unit!$C$5:$C$1018, 0)), INDEX(Mgt_Unit!$B$5:$B$1018, MATCH(C1170, Mgt_Unit!$C$5:$C$1018, 0)), "")</f>
        <v>jennifer.moore</v>
      </c>
      <c r="C1170" t="s">
        <v>812</v>
      </c>
      <c r="E1170" s="17" t="s">
        <v>1583</v>
      </c>
      <c r="F1170" s="89">
        <v>42840</v>
      </c>
      <c r="J1170" t="s">
        <v>1430</v>
      </c>
      <c r="K1170" s="120">
        <v>0.15</v>
      </c>
    </row>
    <row r="1171" spans="2:11" hidden="1" x14ac:dyDescent="0.25">
      <c r="B1171" s="28" t="str">
        <f>IF(ISNUMBER(MATCH(C1171, Mgt_Unit!$C$5:$C$1018, 0)), INDEX(Mgt_Unit!$B$5:$B$1018, MATCH(C1171, Mgt_Unit!$C$5:$C$1018, 0)), "")</f>
        <v>jennifer.moore</v>
      </c>
      <c r="C1171" t="s">
        <v>812</v>
      </c>
      <c r="E1171" s="17" t="s">
        <v>1583</v>
      </c>
      <c r="F1171" s="89">
        <v>42962</v>
      </c>
      <c r="J1171" t="s">
        <v>1430</v>
      </c>
      <c r="K1171" s="120">
        <v>0.15</v>
      </c>
    </row>
    <row r="1172" spans="2:11" hidden="1" x14ac:dyDescent="0.25">
      <c r="B1172" s="28" t="str">
        <f>IF(ISNUMBER(MATCH(C1172, Mgt_Unit!$C$5:$C$1018, 0)), INDEX(Mgt_Unit!$B$5:$B$1018, MATCH(C1172, Mgt_Unit!$C$5:$C$1018, 0)), "")</f>
        <v>jennifer.moore</v>
      </c>
      <c r="C1172" t="s">
        <v>812</v>
      </c>
      <c r="E1172" s="17" t="s">
        <v>1584</v>
      </c>
      <c r="F1172" s="89">
        <v>43023</v>
      </c>
      <c r="J1172" t="s">
        <v>1398</v>
      </c>
      <c r="K1172" s="120">
        <v>4</v>
      </c>
    </row>
    <row r="1173" spans="2:11" hidden="1" x14ac:dyDescent="0.25">
      <c r="B1173" s="28" t="str">
        <f>IF(ISNUMBER(MATCH(C1173, Mgt_Unit!$C$5:$C$1018, 0)), INDEX(Mgt_Unit!$B$5:$B$1018, MATCH(C1173, Mgt_Unit!$C$5:$C$1018, 0)), "")</f>
        <v>jennifer.moore</v>
      </c>
      <c r="C1173" t="s">
        <v>812</v>
      </c>
      <c r="E1173" s="17" t="s">
        <v>1583</v>
      </c>
      <c r="F1173" s="89">
        <v>43174</v>
      </c>
      <c r="J1173" t="s">
        <v>1430</v>
      </c>
      <c r="K1173" s="120">
        <v>0.15</v>
      </c>
    </row>
    <row r="1174" spans="2:11" hidden="1" x14ac:dyDescent="0.25">
      <c r="B1174" s="28" t="str">
        <f>IF(ISNUMBER(MATCH(C1174, Mgt_Unit!$C$5:$C$1018, 0)), INDEX(Mgt_Unit!$B$5:$B$1018, MATCH(C1174, Mgt_Unit!$C$5:$C$1018, 0)), "")</f>
        <v>jennifer.moore</v>
      </c>
      <c r="C1174" t="s">
        <v>812</v>
      </c>
      <c r="E1174" s="17" t="s">
        <v>1583</v>
      </c>
      <c r="F1174" s="89">
        <v>43296</v>
      </c>
      <c r="J1174" t="s">
        <v>1431</v>
      </c>
      <c r="K1174" s="120">
        <v>0.15</v>
      </c>
    </row>
    <row r="1175" spans="2:11" hidden="1" x14ac:dyDescent="0.25">
      <c r="B1175" s="28" t="str">
        <f>IF(ISNUMBER(MATCH(C1175, Mgt_Unit!$C$5:$C$1018, 0)), INDEX(Mgt_Unit!$B$5:$B$1018, MATCH(C1175, Mgt_Unit!$C$5:$C$1018, 0)), "")</f>
        <v>jennifer.moore</v>
      </c>
      <c r="C1175" t="s">
        <v>813</v>
      </c>
      <c r="E1175" s="17" t="s">
        <v>1583</v>
      </c>
      <c r="F1175" s="89">
        <v>42840</v>
      </c>
      <c r="J1175" t="s">
        <v>1430</v>
      </c>
      <c r="K1175" s="120">
        <v>0.15</v>
      </c>
    </row>
    <row r="1176" spans="2:11" hidden="1" x14ac:dyDescent="0.25">
      <c r="B1176" s="28" t="str">
        <f>IF(ISNUMBER(MATCH(C1176, Mgt_Unit!$C$5:$C$1018, 0)), INDEX(Mgt_Unit!$B$5:$B$1018, MATCH(C1176, Mgt_Unit!$C$5:$C$1018, 0)), "")</f>
        <v>jennifer.moore</v>
      </c>
      <c r="C1176" t="s">
        <v>813</v>
      </c>
      <c r="E1176" s="17" t="s">
        <v>1583</v>
      </c>
      <c r="F1176" s="89">
        <v>42962</v>
      </c>
      <c r="J1176" t="s">
        <v>1430</v>
      </c>
      <c r="K1176" s="120">
        <v>0.15</v>
      </c>
    </row>
    <row r="1177" spans="2:11" hidden="1" x14ac:dyDescent="0.25">
      <c r="B1177" s="28" t="str">
        <f>IF(ISNUMBER(MATCH(C1177, Mgt_Unit!$C$5:$C$1018, 0)), INDEX(Mgt_Unit!$B$5:$B$1018, MATCH(C1177, Mgt_Unit!$C$5:$C$1018, 0)), "")</f>
        <v>jennifer.moore</v>
      </c>
      <c r="C1177" t="s">
        <v>813</v>
      </c>
      <c r="E1177" s="17" t="s">
        <v>1584</v>
      </c>
      <c r="F1177" s="89">
        <v>43023</v>
      </c>
      <c r="J1177" t="s">
        <v>1398</v>
      </c>
      <c r="K1177" s="120">
        <v>4</v>
      </c>
    </row>
    <row r="1178" spans="2:11" hidden="1" x14ac:dyDescent="0.25">
      <c r="B1178" s="28" t="str">
        <f>IF(ISNUMBER(MATCH(C1178, Mgt_Unit!$C$5:$C$1018, 0)), INDEX(Mgt_Unit!$B$5:$B$1018, MATCH(C1178, Mgt_Unit!$C$5:$C$1018, 0)), "")</f>
        <v>jennifer.moore</v>
      </c>
      <c r="C1178" t="s">
        <v>813</v>
      </c>
      <c r="E1178" s="17" t="s">
        <v>1583</v>
      </c>
      <c r="F1178" s="89">
        <v>43174</v>
      </c>
      <c r="J1178" t="s">
        <v>1430</v>
      </c>
      <c r="K1178" s="120">
        <v>0.15</v>
      </c>
    </row>
    <row r="1179" spans="2:11" hidden="1" x14ac:dyDescent="0.25">
      <c r="B1179" s="28" t="str">
        <f>IF(ISNUMBER(MATCH(C1179, Mgt_Unit!$C$5:$C$1018, 0)), INDEX(Mgt_Unit!$B$5:$B$1018, MATCH(C1179, Mgt_Unit!$C$5:$C$1018, 0)), "")</f>
        <v>jennifer.moore</v>
      </c>
      <c r="C1179" t="s">
        <v>813</v>
      </c>
      <c r="E1179" s="17" t="s">
        <v>1583</v>
      </c>
      <c r="F1179" s="89">
        <v>43296</v>
      </c>
      <c r="J1179" t="s">
        <v>1431</v>
      </c>
      <c r="K1179" s="120">
        <v>0.15</v>
      </c>
    </row>
    <row r="1180" spans="2:11" hidden="1" x14ac:dyDescent="0.25">
      <c r="B1180" s="28" t="str">
        <f>IF(ISNUMBER(MATCH(C1180, Mgt_Unit!$C$5:$C$1018, 0)), INDEX(Mgt_Unit!$B$5:$B$1018, MATCH(C1180, Mgt_Unit!$C$5:$C$1018, 0)), "")</f>
        <v>jennifer.moore</v>
      </c>
      <c r="C1180" t="s">
        <v>814</v>
      </c>
      <c r="E1180" s="17" t="s">
        <v>1583</v>
      </c>
      <c r="F1180" s="89">
        <v>42475</v>
      </c>
      <c r="J1180" t="s">
        <v>1430</v>
      </c>
      <c r="K1180" s="120">
        <v>0.15</v>
      </c>
    </row>
    <row r="1181" spans="2:11" hidden="1" x14ac:dyDescent="0.25">
      <c r="B1181" s="28" t="str">
        <f>IF(ISNUMBER(MATCH(C1181, Mgt_Unit!$C$5:$C$1018, 0)), INDEX(Mgt_Unit!$B$5:$B$1018, MATCH(C1181, Mgt_Unit!$C$5:$C$1018, 0)), "")</f>
        <v>jennifer.moore</v>
      </c>
      <c r="C1181" t="s">
        <v>814</v>
      </c>
      <c r="E1181" s="17" t="s">
        <v>1583</v>
      </c>
      <c r="F1181" s="89">
        <v>42597</v>
      </c>
      <c r="J1181" t="s">
        <v>1430</v>
      </c>
      <c r="K1181" s="120">
        <v>0.15</v>
      </c>
    </row>
    <row r="1182" spans="2:11" hidden="1" x14ac:dyDescent="0.25">
      <c r="B1182" s="28" t="str">
        <f>IF(ISNUMBER(MATCH(C1182, Mgt_Unit!$C$5:$C$1018, 0)), INDEX(Mgt_Unit!$B$5:$B$1018, MATCH(C1182, Mgt_Unit!$C$5:$C$1018, 0)), "")</f>
        <v>jennifer.moore</v>
      </c>
      <c r="C1182" t="s">
        <v>814</v>
      </c>
      <c r="E1182" s="17" t="s">
        <v>1584</v>
      </c>
      <c r="F1182" s="89">
        <v>42658</v>
      </c>
      <c r="J1182" t="s">
        <v>1398</v>
      </c>
      <c r="K1182" s="120">
        <v>4</v>
      </c>
    </row>
    <row r="1183" spans="2:11" hidden="1" x14ac:dyDescent="0.25">
      <c r="B1183" s="28" t="str">
        <f>IF(ISNUMBER(MATCH(C1183, Mgt_Unit!$C$5:$C$1018, 0)), INDEX(Mgt_Unit!$B$5:$B$1018, MATCH(C1183, Mgt_Unit!$C$5:$C$1018, 0)), "")</f>
        <v>jennifer.moore</v>
      </c>
      <c r="C1183" t="s">
        <v>814</v>
      </c>
      <c r="E1183" s="17" t="s">
        <v>1583</v>
      </c>
      <c r="F1183" s="89">
        <v>42809</v>
      </c>
      <c r="J1183" t="s">
        <v>1430</v>
      </c>
      <c r="K1183" s="120">
        <v>0.15</v>
      </c>
    </row>
    <row r="1184" spans="2:11" hidden="1" x14ac:dyDescent="0.25">
      <c r="B1184" s="28" t="str">
        <f>IF(ISNUMBER(MATCH(C1184, Mgt_Unit!$C$5:$C$1018, 0)), INDEX(Mgt_Unit!$B$5:$B$1018, MATCH(C1184, Mgt_Unit!$C$5:$C$1018, 0)), "")</f>
        <v>jennifer.moore</v>
      </c>
      <c r="C1184" t="s">
        <v>814</v>
      </c>
      <c r="E1184" s="17" t="s">
        <v>1583</v>
      </c>
      <c r="F1184" s="89">
        <v>42931</v>
      </c>
      <c r="J1184" t="s">
        <v>1431</v>
      </c>
      <c r="K1184" s="120">
        <v>0.15</v>
      </c>
    </row>
    <row r="1185" spans="2:11" hidden="1" x14ac:dyDescent="0.25">
      <c r="B1185" s="28" t="str">
        <f>IF(ISNUMBER(MATCH(C1185, Mgt_Unit!$C$5:$C$1018, 0)), INDEX(Mgt_Unit!$B$5:$B$1018, MATCH(C1185, Mgt_Unit!$C$5:$C$1018, 0)), "")</f>
        <v>jennifer.moore</v>
      </c>
      <c r="C1185" t="s">
        <v>814</v>
      </c>
      <c r="E1185" s="17" t="s">
        <v>1583</v>
      </c>
      <c r="F1185" s="89">
        <v>43205</v>
      </c>
      <c r="J1185" t="s">
        <v>1430</v>
      </c>
      <c r="K1185" s="120">
        <v>0.15</v>
      </c>
    </row>
    <row r="1186" spans="2:11" hidden="1" x14ac:dyDescent="0.25">
      <c r="B1186" s="28" t="str">
        <f>IF(ISNUMBER(MATCH(C1186, Mgt_Unit!$C$5:$C$1018, 0)), INDEX(Mgt_Unit!$B$5:$B$1018, MATCH(C1186, Mgt_Unit!$C$5:$C$1018, 0)), "")</f>
        <v>jennifer.moore</v>
      </c>
      <c r="C1186" t="s">
        <v>814</v>
      </c>
      <c r="E1186" s="17" t="s">
        <v>1584</v>
      </c>
      <c r="F1186" s="89">
        <v>43266</v>
      </c>
      <c r="J1186" t="s">
        <v>1398</v>
      </c>
      <c r="K1186" s="120">
        <v>4</v>
      </c>
    </row>
    <row r="1187" spans="2:11" hidden="1" x14ac:dyDescent="0.25">
      <c r="B1187" s="28" t="str">
        <f>IF(ISNUMBER(MATCH(C1187, Mgt_Unit!$C$5:$C$1018, 0)), INDEX(Mgt_Unit!$B$5:$B$1018, MATCH(C1187, Mgt_Unit!$C$5:$C$1018, 0)), "")</f>
        <v>jennifer.moore</v>
      </c>
      <c r="C1187" t="s">
        <v>814</v>
      </c>
      <c r="E1187" s="17" t="s">
        <v>1583</v>
      </c>
      <c r="F1187" s="89">
        <v>43296</v>
      </c>
      <c r="J1187" t="s">
        <v>1430</v>
      </c>
      <c r="K1187" s="120">
        <v>0.15</v>
      </c>
    </row>
    <row r="1188" spans="2:11" hidden="1" x14ac:dyDescent="0.25">
      <c r="B1188" s="28" t="str">
        <f>IF(ISNUMBER(MATCH(C1188, Mgt_Unit!$C$5:$C$1018, 0)), INDEX(Mgt_Unit!$B$5:$B$1018, MATCH(C1188, Mgt_Unit!$C$5:$C$1018, 0)), "")</f>
        <v>jennifer.moore</v>
      </c>
      <c r="C1188" t="s">
        <v>814</v>
      </c>
      <c r="E1188" s="17" t="s">
        <v>1583</v>
      </c>
      <c r="F1188" s="89">
        <v>43419</v>
      </c>
      <c r="J1188" t="s">
        <v>1431</v>
      </c>
      <c r="K1188" s="120">
        <v>0.15</v>
      </c>
    </row>
    <row r="1189" spans="2:11" hidden="1" x14ac:dyDescent="0.25">
      <c r="B1189" s="28" t="str">
        <f>IF(ISNUMBER(MATCH(C1189, Mgt_Unit!$C$5:$C$1018, 0)), INDEX(Mgt_Unit!$B$5:$B$1018, MATCH(C1189, Mgt_Unit!$C$5:$C$1018, 0)), "")</f>
        <v>jennifer.moore</v>
      </c>
      <c r="C1189" t="s">
        <v>815</v>
      </c>
      <c r="E1189" s="17" t="s">
        <v>1583</v>
      </c>
      <c r="F1189" s="89">
        <v>42475</v>
      </c>
      <c r="J1189" t="s">
        <v>1430</v>
      </c>
      <c r="K1189" s="120">
        <v>0.15</v>
      </c>
    </row>
    <row r="1190" spans="2:11" hidden="1" x14ac:dyDescent="0.25">
      <c r="B1190" s="28" t="str">
        <f>IF(ISNUMBER(MATCH(C1190, Mgt_Unit!$C$5:$C$1018, 0)), INDEX(Mgt_Unit!$B$5:$B$1018, MATCH(C1190, Mgt_Unit!$C$5:$C$1018, 0)), "")</f>
        <v>jennifer.moore</v>
      </c>
      <c r="C1190" t="s">
        <v>815</v>
      </c>
      <c r="E1190" s="17" t="s">
        <v>1583</v>
      </c>
      <c r="F1190" s="89">
        <v>42597</v>
      </c>
      <c r="J1190" t="s">
        <v>1430</v>
      </c>
      <c r="K1190" s="120">
        <v>0.15</v>
      </c>
    </row>
    <row r="1191" spans="2:11" hidden="1" x14ac:dyDescent="0.25">
      <c r="B1191" s="28" t="str">
        <f>IF(ISNUMBER(MATCH(C1191, Mgt_Unit!$C$5:$C$1018, 0)), INDEX(Mgt_Unit!$B$5:$B$1018, MATCH(C1191, Mgt_Unit!$C$5:$C$1018, 0)), "")</f>
        <v>jennifer.moore</v>
      </c>
      <c r="C1191" t="s">
        <v>815</v>
      </c>
      <c r="E1191" s="17" t="s">
        <v>1584</v>
      </c>
      <c r="F1191" s="89">
        <v>42658</v>
      </c>
      <c r="J1191" t="s">
        <v>1398</v>
      </c>
      <c r="K1191" s="120">
        <v>4</v>
      </c>
    </row>
    <row r="1192" spans="2:11" hidden="1" x14ac:dyDescent="0.25">
      <c r="B1192" s="28" t="str">
        <f>IF(ISNUMBER(MATCH(C1192, Mgt_Unit!$C$5:$C$1018, 0)), INDEX(Mgt_Unit!$B$5:$B$1018, MATCH(C1192, Mgt_Unit!$C$5:$C$1018, 0)), "")</f>
        <v>jennifer.moore</v>
      </c>
      <c r="C1192" t="s">
        <v>815</v>
      </c>
      <c r="E1192" s="17" t="s">
        <v>1583</v>
      </c>
      <c r="F1192" s="89">
        <v>42809</v>
      </c>
      <c r="J1192" t="s">
        <v>1430</v>
      </c>
      <c r="K1192" s="120">
        <v>0.15</v>
      </c>
    </row>
    <row r="1193" spans="2:11" hidden="1" x14ac:dyDescent="0.25">
      <c r="B1193" s="28" t="str">
        <f>IF(ISNUMBER(MATCH(C1193, Mgt_Unit!$C$5:$C$1018, 0)), INDEX(Mgt_Unit!$B$5:$B$1018, MATCH(C1193, Mgt_Unit!$C$5:$C$1018, 0)), "")</f>
        <v>jennifer.moore</v>
      </c>
      <c r="C1193" t="s">
        <v>815</v>
      </c>
      <c r="E1193" s="17" t="s">
        <v>1583</v>
      </c>
      <c r="F1193" s="89">
        <v>42931</v>
      </c>
      <c r="J1193" t="s">
        <v>1431</v>
      </c>
      <c r="K1193" s="120">
        <v>0.15</v>
      </c>
    </row>
    <row r="1194" spans="2:11" hidden="1" x14ac:dyDescent="0.25">
      <c r="B1194" s="28" t="str">
        <f>IF(ISNUMBER(MATCH(C1194, Mgt_Unit!$C$5:$C$1018, 0)), INDEX(Mgt_Unit!$B$5:$B$1018, MATCH(C1194, Mgt_Unit!$C$5:$C$1018, 0)), "")</f>
        <v>jennifer.moore</v>
      </c>
      <c r="C1194" t="s">
        <v>815</v>
      </c>
      <c r="E1194" s="17" t="s">
        <v>1583</v>
      </c>
      <c r="F1194" s="89">
        <v>43205</v>
      </c>
      <c r="J1194" t="s">
        <v>1430</v>
      </c>
      <c r="K1194" s="120">
        <v>0.15</v>
      </c>
    </row>
    <row r="1195" spans="2:11" hidden="1" x14ac:dyDescent="0.25">
      <c r="B1195" s="28" t="str">
        <f>IF(ISNUMBER(MATCH(C1195, Mgt_Unit!$C$5:$C$1018, 0)), INDEX(Mgt_Unit!$B$5:$B$1018, MATCH(C1195, Mgt_Unit!$C$5:$C$1018, 0)), "")</f>
        <v>jennifer.moore</v>
      </c>
      <c r="C1195" t="s">
        <v>815</v>
      </c>
      <c r="E1195" s="17" t="s">
        <v>1584</v>
      </c>
      <c r="F1195" s="89">
        <v>43266</v>
      </c>
      <c r="J1195" t="s">
        <v>1398</v>
      </c>
      <c r="K1195" s="120">
        <v>4</v>
      </c>
    </row>
    <row r="1196" spans="2:11" hidden="1" x14ac:dyDescent="0.25">
      <c r="B1196" s="28" t="str">
        <f>IF(ISNUMBER(MATCH(C1196, Mgt_Unit!$C$5:$C$1018, 0)), INDEX(Mgt_Unit!$B$5:$B$1018, MATCH(C1196, Mgt_Unit!$C$5:$C$1018, 0)), "")</f>
        <v>jennifer.moore</v>
      </c>
      <c r="C1196" t="s">
        <v>815</v>
      </c>
      <c r="E1196" s="17" t="s">
        <v>1583</v>
      </c>
      <c r="F1196" s="89">
        <v>43296</v>
      </c>
      <c r="J1196" t="s">
        <v>1430</v>
      </c>
      <c r="K1196" s="120">
        <v>0.15</v>
      </c>
    </row>
    <row r="1197" spans="2:11" hidden="1" x14ac:dyDescent="0.25">
      <c r="B1197" s="28" t="str">
        <f>IF(ISNUMBER(MATCH(C1197, Mgt_Unit!$C$5:$C$1018, 0)), INDEX(Mgt_Unit!$B$5:$B$1018, MATCH(C1197, Mgt_Unit!$C$5:$C$1018, 0)), "")</f>
        <v>jennifer.moore</v>
      </c>
      <c r="C1197" t="s">
        <v>815</v>
      </c>
      <c r="E1197" s="17" t="s">
        <v>1583</v>
      </c>
      <c r="F1197" s="89">
        <v>43419</v>
      </c>
      <c r="J1197" t="s">
        <v>1431</v>
      </c>
      <c r="K1197" s="120">
        <v>0.15</v>
      </c>
    </row>
    <row r="1198" spans="2:11" hidden="1" x14ac:dyDescent="0.25">
      <c r="B1198" s="28" t="str">
        <f>IF(ISNUMBER(MATCH(C1198, Mgt_Unit!$C$5:$C$1018, 0)), INDEX(Mgt_Unit!$B$5:$B$1018, MATCH(C1198, Mgt_Unit!$C$5:$C$1018, 0)), "")</f>
        <v>jennifer.moore</v>
      </c>
      <c r="C1198" t="s">
        <v>816</v>
      </c>
      <c r="E1198" s="17" t="s">
        <v>1583</v>
      </c>
      <c r="F1198" s="89">
        <v>42475</v>
      </c>
      <c r="J1198" t="s">
        <v>1430</v>
      </c>
      <c r="K1198" s="120">
        <v>0.15</v>
      </c>
    </row>
    <row r="1199" spans="2:11" hidden="1" x14ac:dyDescent="0.25">
      <c r="B1199" s="28" t="str">
        <f>IF(ISNUMBER(MATCH(C1199, Mgt_Unit!$C$5:$C$1018, 0)), INDEX(Mgt_Unit!$B$5:$B$1018, MATCH(C1199, Mgt_Unit!$C$5:$C$1018, 0)), "")</f>
        <v>jennifer.moore</v>
      </c>
      <c r="C1199" t="s">
        <v>816</v>
      </c>
      <c r="E1199" s="17" t="s">
        <v>1583</v>
      </c>
      <c r="F1199" s="89">
        <v>42597</v>
      </c>
      <c r="J1199" t="s">
        <v>1430</v>
      </c>
      <c r="K1199" s="120">
        <v>0.15</v>
      </c>
    </row>
    <row r="1200" spans="2:11" hidden="1" x14ac:dyDescent="0.25">
      <c r="B1200" s="28" t="str">
        <f>IF(ISNUMBER(MATCH(C1200, Mgt_Unit!$C$5:$C$1018, 0)), INDEX(Mgt_Unit!$B$5:$B$1018, MATCH(C1200, Mgt_Unit!$C$5:$C$1018, 0)), "")</f>
        <v>jennifer.moore</v>
      </c>
      <c r="C1200" t="s">
        <v>816</v>
      </c>
      <c r="E1200" s="17" t="s">
        <v>1584</v>
      </c>
      <c r="F1200" s="89">
        <v>42658</v>
      </c>
      <c r="J1200" t="s">
        <v>1398</v>
      </c>
      <c r="K1200" s="120">
        <v>4</v>
      </c>
    </row>
    <row r="1201" spans="2:11" hidden="1" x14ac:dyDescent="0.25">
      <c r="B1201" s="28" t="str">
        <f>IF(ISNUMBER(MATCH(C1201, Mgt_Unit!$C$5:$C$1018, 0)), INDEX(Mgt_Unit!$B$5:$B$1018, MATCH(C1201, Mgt_Unit!$C$5:$C$1018, 0)), "")</f>
        <v>jennifer.moore</v>
      </c>
      <c r="C1201" t="s">
        <v>816</v>
      </c>
      <c r="E1201" s="17" t="s">
        <v>1583</v>
      </c>
      <c r="F1201" s="89">
        <v>42809</v>
      </c>
      <c r="J1201" t="s">
        <v>1430</v>
      </c>
      <c r="K1201" s="120">
        <v>0.15</v>
      </c>
    </row>
    <row r="1202" spans="2:11" hidden="1" x14ac:dyDescent="0.25">
      <c r="B1202" s="28" t="str">
        <f>IF(ISNUMBER(MATCH(C1202, Mgt_Unit!$C$5:$C$1018, 0)), INDEX(Mgt_Unit!$B$5:$B$1018, MATCH(C1202, Mgt_Unit!$C$5:$C$1018, 0)), "")</f>
        <v>jennifer.moore</v>
      </c>
      <c r="C1202" t="s">
        <v>816</v>
      </c>
      <c r="E1202" s="17" t="s">
        <v>1583</v>
      </c>
      <c r="F1202" s="89">
        <v>42931</v>
      </c>
      <c r="J1202" t="s">
        <v>1431</v>
      </c>
      <c r="K1202" s="120">
        <v>0.15</v>
      </c>
    </row>
    <row r="1203" spans="2:11" hidden="1" x14ac:dyDescent="0.25">
      <c r="B1203" s="28" t="str">
        <f>IF(ISNUMBER(MATCH(C1203, Mgt_Unit!$C$5:$C$1018, 0)), INDEX(Mgt_Unit!$B$5:$B$1018, MATCH(C1203, Mgt_Unit!$C$5:$C$1018, 0)), "")</f>
        <v>jennifer.moore</v>
      </c>
      <c r="C1203" t="s">
        <v>816</v>
      </c>
      <c r="E1203" s="17" t="s">
        <v>1583</v>
      </c>
      <c r="F1203" s="89">
        <v>43205</v>
      </c>
      <c r="J1203" t="s">
        <v>1430</v>
      </c>
      <c r="K1203" s="120">
        <v>0.15</v>
      </c>
    </row>
    <row r="1204" spans="2:11" hidden="1" x14ac:dyDescent="0.25">
      <c r="B1204" s="28" t="str">
        <f>IF(ISNUMBER(MATCH(C1204, Mgt_Unit!$C$5:$C$1018, 0)), INDEX(Mgt_Unit!$B$5:$B$1018, MATCH(C1204, Mgt_Unit!$C$5:$C$1018, 0)), "")</f>
        <v>jennifer.moore</v>
      </c>
      <c r="C1204" t="s">
        <v>816</v>
      </c>
      <c r="E1204" s="17" t="s">
        <v>1584</v>
      </c>
      <c r="F1204" s="89">
        <v>43266</v>
      </c>
      <c r="J1204" t="s">
        <v>1398</v>
      </c>
      <c r="K1204" s="120">
        <v>4</v>
      </c>
    </row>
    <row r="1205" spans="2:11" hidden="1" x14ac:dyDescent="0.25">
      <c r="B1205" s="28" t="str">
        <f>IF(ISNUMBER(MATCH(C1205, Mgt_Unit!$C$5:$C$1018, 0)), INDEX(Mgt_Unit!$B$5:$B$1018, MATCH(C1205, Mgt_Unit!$C$5:$C$1018, 0)), "")</f>
        <v>jennifer.moore</v>
      </c>
      <c r="C1205" t="s">
        <v>816</v>
      </c>
      <c r="E1205" s="17" t="s">
        <v>1583</v>
      </c>
      <c r="F1205" s="89">
        <v>43296</v>
      </c>
      <c r="J1205" t="s">
        <v>1430</v>
      </c>
      <c r="K1205" s="120">
        <v>0.15</v>
      </c>
    </row>
    <row r="1206" spans="2:11" hidden="1" x14ac:dyDescent="0.25">
      <c r="B1206" s="28" t="str">
        <f>IF(ISNUMBER(MATCH(C1206, Mgt_Unit!$C$5:$C$1018, 0)), INDEX(Mgt_Unit!$B$5:$B$1018, MATCH(C1206, Mgt_Unit!$C$5:$C$1018, 0)), "")</f>
        <v>jennifer.moore</v>
      </c>
      <c r="C1206" t="s">
        <v>816</v>
      </c>
      <c r="E1206" s="17" t="s">
        <v>1583</v>
      </c>
      <c r="F1206" s="89">
        <v>43419</v>
      </c>
      <c r="J1206" t="s">
        <v>1431</v>
      </c>
      <c r="K1206" s="120">
        <v>0.15</v>
      </c>
    </row>
    <row r="1207" spans="2:11" hidden="1" x14ac:dyDescent="0.25">
      <c r="B1207" s="28" t="str">
        <f>IF(ISNUMBER(MATCH(C1207, Mgt_Unit!$C$5:$C$1018, 0)), INDEX(Mgt_Unit!$B$5:$B$1018, MATCH(C1207, Mgt_Unit!$C$5:$C$1018, 0)), "")</f>
        <v>jennifer.moore</v>
      </c>
      <c r="C1207" t="s">
        <v>817</v>
      </c>
      <c r="E1207" s="17" t="s">
        <v>1583</v>
      </c>
      <c r="F1207" s="89">
        <v>42148</v>
      </c>
      <c r="J1207" t="s">
        <v>1430</v>
      </c>
      <c r="K1207" s="120">
        <v>0.15</v>
      </c>
    </row>
    <row r="1208" spans="2:11" hidden="1" x14ac:dyDescent="0.25">
      <c r="B1208" s="28" t="str">
        <f>IF(ISNUMBER(MATCH(C1208, Mgt_Unit!$C$5:$C$1018, 0)), INDEX(Mgt_Unit!$B$5:$B$1018, MATCH(C1208, Mgt_Unit!$C$5:$C$1018, 0)), "")</f>
        <v>jennifer.moore</v>
      </c>
      <c r="C1208" t="s">
        <v>817</v>
      </c>
      <c r="E1208" s="17" t="s">
        <v>1584</v>
      </c>
      <c r="F1208" s="89">
        <v>42165</v>
      </c>
      <c r="J1208" t="s">
        <v>1398</v>
      </c>
      <c r="K1208" s="120">
        <v>4</v>
      </c>
    </row>
    <row r="1209" spans="2:11" hidden="1" x14ac:dyDescent="0.25">
      <c r="B1209" s="28" t="str">
        <f>IF(ISNUMBER(MATCH(C1209, Mgt_Unit!$C$5:$C$1018, 0)), INDEX(Mgt_Unit!$B$5:$B$1018, MATCH(C1209, Mgt_Unit!$C$5:$C$1018, 0)), "")</f>
        <v>jennifer.moore</v>
      </c>
      <c r="C1209" t="s">
        <v>817</v>
      </c>
      <c r="E1209" s="17" t="s">
        <v>1583</v>
      </c>
      <c r="F1209" s="89">
        <v>42190</v>
      </c>
      <c r="J1209" t="s">
        <v>1430</v>
      </c>
      <c r="K1209" s="120">
        <v>0.15</v>
      </c>
    </row>
    <row r="1210" spans="2:11" hidden="1" x14ac:dyDescent="0.25">
      <c r="B1210" s="28" t="str">
        <f>IF(ISNUMBER(MATCH(C1210, Mgt_Unit!$C$5:$C$1018, 0)), INDEX(Mgt_Unit!$B$5:$B$1018, MATCH(C1210, Mgt_Unit!$C$5:$C$1018, 0)), "")</f>
        <v>jennifer.moore</v>
      </c>
      <c r="C1210" t="s">
        <v>817</v>
      </c>
      <c r="E1210" s="17" t="s">
        <v>1583</v>
      </c>
      <c r="F1210" s="89">
        <v>42250</v>
      </c>
      <c r="J1210" t="s">
        <v>1431</v>
      </c>
      <c r="K1210" s="120">
        <v>0.15</v>
      </c>
    </row>
    <row r="1211" spans="2:11" hidden="1" x14ac:dyDescent="0.25">
      <c r="B1211" s="28" t="str">
        <f>IF(ISNUMBER(MATCH(C1211, Mgt_Unit!$C$5:$C$1018, 0)), INDEX(Mgt_Unit!$B$5:$B$1018, MATCH(C1211, Mgt_Unit!$C$5:$C$1018, 0)), "")</f>
        <v>jennifer.moore</v>
      </c>
      <c r="C1211" t="s">
        <v>817</v>
      </c>
      <c r="E1211" s="17" t="s">
        <v>1583</v>
      </c>
      <c r="F1211" s="89">
        <v>42278</v>
      </c>
      <c r="J1211" t="s">
        <v>1398</v>
      </c>
      <c r="K1211" s="120">
        <v>4</v>
      </c>
    </row>
    <row r="1212" spans="2:11" hidden="1" x14ac:dyDescent="0.25">
      <c r="B1212" s="28" t="str">
        <f>IF(ISNUMBER(MATCH(C1212, Mgt_Unit!$C$5:$C$1018, 0)), INDEX(Mgt_Unit!$B$5:$B$1018, MATCH(C1212, Mgt_Unit!$C$5:$C$1018, 0)), "")</f>
        <v>jennifer.moore</v>
      </c>
      <c r="C1212" t="s">
        <v>817</v>
      </c>
      <c r="E1212" s="17" t="s">
        <v>1583</v>
      </c>
      <c r="F1212" s="89">
        <v>42487</v>
      </c>
      <c r="J1212" t="s">
        <v>1430</v>
      </c>
      <c r="K1212" s="120">
        <v>0.15</v>
      </c>
    </row>
    <row r="1213" spans="2:11" hidden="1" x14ac:dyDescent="0.25">
      <c r="B1213" s="28" t="str">
        <f>IF(ISNUMBER(MATCH(C1213, Mgt_Unit!$C$5:$C$1018, 0)), INDEX(Mgt_Unit!$B$5:$B$1018, MATCH(C1213, Mgt_Unit!$C$5:$C$1018, 0)), "")</f>
        <v>jennifer.moore</v>
      </c>
      <c r="C1213" t="s">
        <v>817</v>
      </c>
      <c r="E1213" s="17" t="s">
        <v>1583</v>
      </c>
      <c r="F1213" s="89">
        <v>42561</v>
      </c>
      <c r="J1213" t="s">
        <v>1431</v>
      </c>
      <c r="K1213" s="120">
        <v>0.15</v>
      </c>
    </row>
    <row r="1214" spans="2:11" hidden="1" x14ac:dyDescent="0.25">
      <c r="B1214" s="28" t="str">
        <f>IF(ISNUMBER(MATCH(C1214, Mgt_Unit!$C$5:$C$1018, 0)), INDEX(Mgt_Unit!$B$5:$B$1018, MATCH(C1214, Mgt_Unit!$C$5:$C$1018, 0)), "")</f>
        <v>jennifer.moore</v>
      </c>
      <c r="C1214" t="s">
        <v>817</v>
      </c>
      <c r="E1214" s="17" t="s">
        <v>1583</v>
      </c>
      <c r="F1214" s="89">
        <v>42587</v>
      </c>
      <c r="J1214" t="s">
        <v>1430</v>
      </c>
      <c r="K1214" s="120">
        <v>0.15</v>
      </c>
    </row>
    <row r="1215" spans="2:11" hidden="1" x14ac:dyDescent="0.25">
      <c r="B1215" s="28" t="str">
        <f>IF(ISNUMBER(MATCH(C1215, Mgt_Unit!$C$5:$C$1018, 0)), INDEX(Mgt_Unit!$B$5:$B$1018, MATCH(C1215, Mgt_Unit!$C$5:$C$1018, 0)), "")</f>
        <v>jennifer.moore</v>
      </c>
      <c r="C1215" t="s">
        <v>817</v>
      </c>
      <c r="E1215" s="17" t="s">
        <v>1584</v>
      </c>
      <c r="F1215" s="89">
        <v>42876</v>
      </c>
      <c r="J1215" t="s">
        <v>1353</v>
      </c>
      <c r="K1215" s="120">
        <v>2.4</v>
      </c>
    </row>
    <row r="1216" spans="2:11" hidden="1" x14ac:dyDescent="0.25">
      <c r="B1216" s="28" t="str">
        <f>IF(ISNUMBER(MATCH(C1216, Mgt_Unit!$C$5:$C$1018, 0)), INDEX(Mgt_Unit!$B$5:$B$1018, MATCH(C1216, Mgt_Unit!$C$5:$C$1018, 0)), "")</f>
        <v>jennifer.moore</v>
      </c>
      <c r="C1216" t="s">
        <v>817</v>
      </c>
      <c r="E1216" s="17" t="s">
        <v>1583</v>
      </c>
      <c r="F1216" s="89">
        <v>42879</v>
      </c>
      <c r="J1216" t="s">
        <v>1430</v>
      </c>
      <c r="K1216" s="120">
        <v>0.15</v>
      </c>
    </row>
    <row r="1217" spans="2:11" hidden="1" x14ac:dyDescent="0.25">
      <c r="B1217" s="28" t="str">
        <f>IF(ISNUMBER(MATCH(C1217, Mgt_Unit!$C$5:$C$1018, 0)), INDEX(Mgt_Unit!$B$5:$B$1018, MATCH(C1217, Mgt_Unit!$C$5:$C$1018, 0)), "")</f>
        <v>jennifer.moore</v>
      </c>
      <c r="C1217" t="s">
        <v>817</v>
      </c>
      <c r="E1217" s="17" t="s">
        <v>1583</v>
      </c>
      <c r="F1217" s="89">
        <v>43056</v>
      </c>
      <c r="J1217" t="s">
        <v>1431</v>
      </c>
      <c r="K1217" s="120">
        <v>0.15</v>
      </c>
    </row>
    <row r="1218" spans="2:11" hidden="1" x14ac:dyDescent="0.25">
      <c r="B1218" s="28" t="str">
        <f>IF(ISNUMBER(MATCH(C1218, Mgt_Unit!$C$5:$C$1018, 0)), INDEX(Mgt_Unit!$B$5:$B$1018, MATCH(C1218, Mgt_Unit!$C$5:$C$1018, 0)), "")</f>
        <v>jennifer.moore</v>
      </c>
      <c r="C1218" t="s">
        <v>817</v>
      </c>
      <c r="E1218" s="17" t="s">
        <v>1583</v>
      </c>
      <c r="F1218" s="89">
        <v>43244</v>
      </c>
      <c r="J1218" t="s">
        <v>1430</v>
      </c>
      <c r="K1218" s="120">
        <v>0.15</v>
      </c>
    </row>
    <row r="1219" spans="2:11" hidden="1" x14ac:dyDescent="0.25">
      <c r="B1219" s="28" t="str">
        <f>IF(ISNUMBER(MATCH(C1219, Mgt_Unit!$C$5:$C$1018, 0)), INDEX(Mgt_Unit!$B$5:$B$1018, MATCH(C1219, Mgt_Unit!$C$5:$C$1018, 0)), "")</f>
        <v>jennifer.moore</v>
      </c>
      <c r="C1219" t="s">
        <v>817</v>
      </c>
      <c r="E1219" s="17" t="s">
        <v>1584</v>
      </c>
      <c r="F1219" s="89">
        <v>43261</v>
      </c>
      <c r="J1219" t="s">
        <v>1398</v>
      </c>
      <c r="K1219" s="120">
        <v>4</v>
      </c>
    </row>
    <row r="1220" spans="2:11" hidden="1" x14ac:dyDescent="0.25">
      <c r="B1220" s="28" t="str">
        <f>IF(ISNUMBER(MATCH(C1220, Mgt_Unit!$C$5:$C$1018, 0)), INDEX(Mgt_Unit!$B$5:$B$1018, MATCH(C1220, Mgt_Unit!$C$5:$C$1018, 0)), "")</f>
        <v>jennifer.moore</v>
      </c>
      <c r="C1220" t="s">
        <v>817</v>
      </c>
      <c r="E1220" s="17" t="s">
        <v>1583</v>
      </c>
      <c r="F1220" s="89">
        <v>43286</v>
      </c>
      <c r="J1220" t="s">
        <v>1430</v>
      </c>
      <c r="K1220" s="120">
        <v>0.15</v>
      </c>
    </row>
    <row r="1221" spans="2:11" hidden="1" x14ac:dyDescent="0.25">
      <c r="B1221" s="28" t="str">
        <f>IF(ISNUMBER(MATCH(C1221, Mgt_Unit!$C$5:$C$1018, 0)), INDEX(Mgt_Unit!$B$5:$B$1018, MATCH(C1221, Mgt_Unit!$C$5:$C$1018, 0)), "")</f>
        <v>jennifer.moore</v>
      </c>
      <c r="C1221" t="s">
        <v>817</v>
      </c>
      <c r="E1221" s="17" t="s">
        <v>1583</v>
      </c>
      <c r="F1221" s="89">
        <v>43346</v>
      </c>
      <c r="J1221" t="s">
        <v>1431</v>
      </c>
      <c r="K1221" s="120">
        <v>0.15</v>
      </c>
    </row>
    <row r="1222" spans="2:11" hidden="1" x14ac:dyDescent="0.25">
      <c r="B1222" s="28" t="str">
        <f>IF(ISNUMBER(MATCH(C1222, Mgt_Unit!$C$5:$C$1018, 0)), INDEX(Mgt_Unit!$B$5:$B$1018, MATCH(C1222, Mgt_Unit!$C$5:$C$1018, 0)), "")</f>
        <v>jennifer.moore</v>
      </c>
      <c r="C1222" t="s">
        <v>818</v>
      </c>
      <c r="E1222" s="17" t="s">
        <v>1583</v>
      </c>
      <c r="F1222" s="89">
        <v>42148</v>
      </c>
      <c r="J1222" t="s">
        <v>1430</v>
      </c>
      <c r="K1222" s="120">
        <v>0.15</v>
      </c>
    </row>
    <row r="1223" spans="2:11" hidden="1" x14ac:dyDescent="0.25">
      <c r="B1223" s="28" t="str">
        <f>IF(ISNUMBER(MATCH(C1223, Mgt_Unit!$C$5:$C$1018, 0)), INDEX(Mgt_Unit!$B$5:$B$1018, MATCH(C1223, Mgt_Unit!$C$5:$C$1018, 0)), "")</f>
        <v>jennifer.moore</v>
      </c>
      <c r="C1223" t="s">
        <v>818</v>
      </c>
      <c r="E1223" s="17" t="s">
        <v>1584</v>
      </c>
      <c r="F1223" s="89">
        <v>42165</v>
      </c>
      <c r="J1223" t="s">
        <v>1398</v>
      </c>
      <c r="K1223" s="120">
        <v>4</v>
      </c>
    </row>
    <row r="1224" spans="2:11" hidden="1" x14ac:dyDescent="0.25">
      <c r="B1224" s="28" t="str">
        <f>IF(ISNUMBER(MATCH(C1224, Mgt_Unit!$C$5:$C$1018, 0)), INDEX(Mgt_Unit!$B$5:$B$1018, MATCH(C1224, Mgt_Unit!$C$5:$C$1018, 0)), "")</f>
        <v>jennifer.moore</v>
      </c>
      <c r="C1224" t="s">
        <v>818</v>
      </c>
      <c r="E1224" s="17" t="s">
        <v>1583</v>
      </c>
      <c r="F1224" s="89">
        <v>42190</v>
      </c>
      <c r="J1224" t="s">
        <v>1430</v>
      </c>
      <c r="K1224" s="120">
        <v>0.15</v>
      </c>
    </row>
    <row r="1225" spans="2:11" hidden="1" x14ac:dyDescent="0.25">
      <c r="B1225" s="28" t="str">
        <f>IF(ISNUMBER(MATCH(C1225, Mgt_Unit!$C$5:$C$1018, 0)), INDEX(Mgt_Unit!$B$5:$B$1018, MATCH(C1225, Mgt_Unit!$C$5:$C$1018, 0)), "")</f>
        <v>jennifer.moore</v>
      </c>
      <c r="C1225" t="s">
        <v>818</v>
      </c>
      <c r="E1225" s="17" t="s">
        <v>1583</v>
      </c>
      <c r="F1225" s="89">
        <v>42250</v>
      </c>
      <c r="J1225" t="s">
        <v>1431</v>
      </c>
      <c r="K1225" s="120">
        <v>0.15</v>
      </c>
    </row>
    <row r="1226" spans="2:11" hidden="1" x14ac:dyDescent="0.25">
      <c r="B1226" s="28" t="str">
        <f>IF(ISNUMBER(MATCH(C1226, Mgt_Unit!$C$5:$C$1018, 0)), INDEX(Mgt_Unit!$B$5:$B$1018, MATCH(C1226, Mgt_Unit!$C$5:$C$1018, 0)), "")</f>
        <v>jennifer.moore</v>
      </c>
      <c r="C1226" t="s">
        <v>818</v>
      </c>
      <c r="E1226" s="17" t="s">
        <v>1584</v>
      </c>
      <c r="F1226" s="89">
        <v>42278</v>
      </c>
      <c r="J1226" t="s">
        <v>1398</v>
      </c>
      <c r="K1226" s="120">
        <v>4</v>
      </c>
    </row>
    <row r="1227" spans="2:11" hidden="1" x14ac:dyDescent="0.25">
      <c r="B1227" s="28" t="str">
        <f>IF(ISNUMBER(MATCH(C1227, Mgt_Unit!$C$5:$C$1018, 0)), INDEX(Mgt_Unit!$B$5:$B$1018, MATCH(C1227, Mgt_Unit!$C$5:$C$1018, 0)), "")</f>
        <v>jennifer.moore</v>
      </c>
      <c r="C1227" t="s">
        <v>818</v>
      </c>
      <c r="E1227" s="17" t="s">
        <v>1583</v>
      </c>
      <c r="F1227" s="89">
        <v>42487</v>
      </c>
      <c r="J1227" t="s">
        <v>1430</v>
      </c>
      <c r="K1227" s="120">
        <v>0.15</v>
      </c>
    </row>
    <row r="1228" spans="2:11" hidden="1" x14ac:dyDescent="0.25">
      <c r="B1228" s="28" t="str">
        <f>IF(ISNUMBER(MATCH(C1228, Mgt_Unit!$C$5:$C$1018, 0)), INDEX(Mgt_Unit!$B$5:$B$1018, MATCH(C1228, Mgt_Unit!$C$5:$C$1018, 0)), "")</f>
        <v>jennifer.moore</v>
      </c>
      <c r="C1228" t="s">
        <v>818</v>
      </c>
      <c r="E1228" s="17" t="s">
        <v>1583</v>
      </c>
      <c r="F1228" s="89">
        <v>42561</v>
      </c>
      <c r="J1228" t="s">
        <v>1431</v>
      </c>
      <c r="K1228" s="120">
        <v>0.15</v>
      </c>
    </row>
    <row r="1229" spans="2:11" hidden="1" x14ac:dyDescent="0.25">
      <c r="B1229" s="28" t="str">
        <f>IF(ISNUMBER(MATCH(C1229, Mgt_Unit!$C$5:$C$1018, 0)), INDEX(Mgt_Unit!$B$5:$B$1018, MATCH(C1229, Mgt_Unit!$C$5:$C$1018, 0)), "")</f>
        <v>jennifer.moore</v>
      </c>
      <c r="C1229" t="s">
        <v>818</v>
      </c>
      <c r="E1229" s="17" t="s">
        <v>1583</v>
      </c>
      <c r="F1229" s="89">
        <v>42587</v>
      </c>
      <c r="J1229" t="s">
        <v>1430</v>
      </c>
      <c r="K1229" s="120">
        <v>0.15</v>
      </c>
    </row>
    <row r="1230" spans="2:11" hidden="1" x14ac:dyDescent="0.25">
      <c r="B1230" s="28" t="str">
        <f>IF(ISNUMBER(MATCH(C1230, Mgt_Unit!$C$5:$C$1018, 0)), INDEX(Mgt_Unit!$B$5:$B$1018, MATCH(C1230, Mgt_Unit!$C$5:$C$1018, 0)), "")</f>
        <v>jennifer.moore</v>
      </c>
      <c r="C1230" t="s">
        <v>818</v>
      </c>
      <c r="E1230" s="17" t="s">
        <v>1584</v>
      </c>
      <c r="F1230" s="89">
        <v>42876</v>
      </c>
      <c r="J1230" t="s">
        <v>1353</v>
      </c>
      <c r="K1230" s="120">
        <v>2.4</v>
      </c>
    </row>
    <row r="1231" spans="2:11" hidden="1" x14ac:dyDescent="0.25">
      <c r="B1231" s="28" t="str">
        <f>IF(ISNUMBER(MATCH(C1231, Mgt_Unit!$C$5:$C$1018, 0)), INDEX(Mgt_Unit!$B$5:$B$1018, MATCH(C1231, Mgt_Unit!$C$5:$C$1018, 0)), "")</f>
        <v>jennifer.moore</v>
      </c>
      <c r="C1231" t="s">
        <v>818</v>
      </c>
      <c r="E1231" s="17" t="s">
        <v>1583</v>
      </c>
      <c r="F1231" s="89">
        <v>42879</v>
      </c>
      <c r="J1231" t="s">
        <v>1430</v>
      </c>
      <c r="K1231" s="120">
        <v>0.15</v>
      </c>
    </row>
    <row r="1232" spans="2:11" hidden="1" x14ac:dyDescent="0.25">
      <c r="B1232" s="28" t="str">
        <f>IF(ISNUMBER(MATCH(C1232, Mgt_Unit!$C$5:$C$1018, 0)), INDEX(Mgt_Unit!$B$5:$B$1018, MATCH(C1232, Mgt_Unit!$C$5:$C$1018, 0)), "")</f>
        <v>jennifer.moore</v>
      </c>
      <c r="C1232" t="s">
        <v>818</v>
      </c>
      <c r="E1232" s="17" t="s">
        <v>1583</v>
      </c>
      <c r="F1232" s="89">
        <v>43056</v>
      </c>
      <c r="J1232" t="s">
        <v>1431</v>
      </c>
      <c r="K1232" s="120">
        <v>0.15</v>
      </c>
    </row>
    <row r="1233" spans="2:11" hidden="1" x14ac:dyDescent="0.25">
      <c r="B1233" s="28" t="str">
        <f>IF(ISNUMBER(MATCH(C1233, Mgt_Unit!$C$5:$C$1018, 0)), INDEX(Mgt_Unit!$B$5:$B$1018, MATCH(C1233, Mgt_Unit!$C$5:$C$1018, 0)), "")</f>
        <v>jennifer.moore</v>
      </c>
      <c r="C1233" t="s">
        <v>818</v>
      </c>
      <c r="E1233" s="17" t="s">
        <v>1584</v>
      </c>
      <c r="F1233" s="89">
        <v>43261</v>
      </c>
      <c r="J1233" t="s">
        <v>1398</v>
      </c>
      <c r="K1233" s="120">
        <v>4</v>
      </c>
    </row>
    <row r="1234" spans="2:11" hidden="1" x14ac:dyDescent="0.25">
      <c r="B1234" s="28" t="str">
        <f>IF(ISNUMBER(MATCH(C1234, Mgt_Unit!$C$5:$C$1018, 0)), INDEX(Mgt_Unit!$B$5:$B$1018, MATCH(C1234, Mgt_Unit!$C$5:$C$1018, 0)), "")</f>
        <v>jennifer.moore</v>
      </c>
      <c r="C1234" t="s">
        <v>818</v>
      </c>
      <c r="E1234" s="17" t="s">
        <v>1583</v>
      </c>
      <c r="F1234" s="89">
        <v>43286</v>
      </c>
      <c r="J1234" t="s">
        <v>1430</v>
      </c>
      <c r="K1234" s="120">
        <v>0.15</v>
      </c>
    </row>
    <row r="1235" spans="2:11" hidden="1" x14ac:dyDescent="0.25">
      <c r="B1235" s="28" t="str">
        <f>IF(ISNUMBER(MATCH(C1235, Mgt_Unit!$C$5:$C$1018, 0)), INDEX(Mgt_Unit!$B$5:$B$1018, MATCH(C1235, Mgt_Unit!$C$5:$C$1018, 0)), "")</f>
        <v>jennifer.moore</v>
      </c>
      <c r="C1235" t="s">
        <v>818</v>
      </c>
      <c r="E1235" s="17" t="s">
        <v>1583</v>
      </c>
      <c r="F1235" s="89">
        <v>43346</v>
      </c>
      <c r="J1235" t="s">
        <v>1431</v>
      </c>
      <c r="K1235" s="120">
        <v>0.15</v>
      </c>
    </row>
    <row r="1236" spans="2:11" hidden="1" x14ac:dyDescent="0.25">
      <c r="B1236" s="28" t="str">
        <f>IF(ISNUMBER(MATCH(C1236, Mgt_Unit!$C$5:$C$1018, 0)), INDEX(Mgt_Unit!$B$5:$B$1018, MATCH(C1236, Mgt_Unit!$C$5:$C$1018, 0)), "")</f>
        <v>jennifer.moore</v>
      </c>
      <c r="C1236" t="s">
        <v>819</v>
      </c>
      <c r="E1236" s="17" t="s">
        <v>1583</v>
      </c>
      <c r="F1236" s="89">
        <v>42148</v>
      </c>
      <c r="J1236" t="s">
        <v>1430</v>
      </c>
      <c r="K1236" s="120">
        <v>0.15</v>
      </c>
    </row>
    <row r="1237" spans="2:11" hidden="1" x14ac:dyDescent="0.25">
      <c r="B1237" s="28" t="str">
        <f>IF(ISNUMBER(MATCH(C1237, Mgt_Unit!$C$5:$C$1018, 0)), INDEX(Mgt_Unit!$B$5:$B$1018, MATCH(C1237, Mgt_Unit!$C$5:$C$1018, 0)), "")</f>
        <v>jennifer.moore</v>
      </c>
      <c r="C1237" t="s">
        <v>819</v>
      </c>
      <c r="E1237" s="17" t="s">
        <v>1584</v>
      </c>
      <c r="F1237" s="89">
        <v>42165</v>
      </c>
      <c r="J1237" t="s">
        <v>1398</v>
      </c>
      <c r="K1237" s="120">
        <v>4</v>
      </c>
    </row>
    <row r="1238" spans="2:11" hidden="1" x14ac:dyDescent="0.25">
      <c r="B1238" s="28" t="str">
        <f>IF(ISNUMBER(MATCH(C1238, Mgt_Unit!$C$5:$C$1018, 0)), INDEX(Mgt_Unit!$B$5:$B$1018, MATCH(C1238, Mgt_Unit!$C$5:$C$1018, 0)), "")</f>
        <v>jennifer.moore</v>
      </c>
      <c r="C1238" t="s">
        <v>819</v>
      </c>
      <c r="E1238" s="17" t="s">
        <v>1583</v>
      </c>
      <c r="F1238" s="89">
        <v>42190</v>
      </c>
      <c r="J1238" t="s">
        <v>1430</v>
      </c>
      <c r="K1238" s="120">
        <v>0.15</v>
      </c>
    </row>
    <row r="1239" spans="2:11" hidden="1" x14ac:dyDescent="0.25">
      <c r="B1239" s="28" t="str">
        <f>IF(ISNUMBER(MATCH(C1239, Mgt_Unit!$C$5:$C$1018, 0)), INDEX(Mgt_Unit!$B$5:$B$1018, MATCH(C1239, Mgt_Unit!$C$5:$C$1018, 0)), "")</f>
        <v>jennifer.moore</v>
      </c>
      <c r="C1239" t="s">
        <v>819</v>
      </c>
      <c r="E1239" s="17" t="s">
        <v>1583</v>
      </c>
      <c r="F1239" s="89">
        <v>42250</v>
      </c>
      <c r="J1239" t="s">
        <v>1431</v>
      </c>
      <c r="K1239" s="120">
        <v>0.15</v>
      </c>
    </row>
    <row r="1240" spans="2:11" hidden="1" x14ac:dyDescent="0.25">
      <c r="B1240" s="28" t="str">
        <f>IF(ISNUMBER(MATCH(C1240, Mgt_Unit!$C$5:$C$1018, 0)), INDEX(Mgt_Unit!$B$5:$B$1018, MATCH(C1240, Mgt_Unit!$C$5:$C$1018, 0)), "")</f>
        <v>jennifer.moore</v>
      </c>
      <c r="C1240" t="s">
        <v>819</v>
      </c>
      <c r="E1240" s="17" t="s">
        <v>1583</v>
      </c>
      <c r="F1240" s="89">
        <v>42278</v>
      </c>
      <c r="J1240" t="s">
        <v>1398</v>
      </c>
      <c r="K1240" s="120">
        <v>4</v>
      </c>
    </row>
    <row r="1241" spans="2:11" hidden="1" x14ac:dyDescent="0.25">
      <c r="B1241" s="28" t="str">
        <f>IF(ISNUMBER(MATCH(C1241, Mgt_Unit!$C$5:$C$1018, 0)), INDEX(Mgt_Unit!$B$5:$B$1018, MATCH(C1241, Mgt_Unit!$C$5:$C$1018, 0)), "")</f>
        <v>jennifer.moore</v>
      </c>
      <c r="C1241" t="s">
        <v>819</v>
      </c>
      <c r="E1241" s="17" t="s">
        <v>1583</v>
      </c>
      <c r="F1241" s="89">
        <v>42487</v>
      </c>
      <c r="J1241" t="s">
        <v>1430</v>
      </c>
      <c r="K1241" s="120">
        <v>0.15</v>
      </c>
    </row>
    <row r="1242" spans="2:11" hidden="1" x14ac:dyDescent="0.25">
      <c r="B1242" s="28" t="str">
        <f>IF(ISNUMBER(MATCH(C1242, Mgt_Unit!$C$5:$C$1018, 0)), INDEX(Mgt_Unit!$B$5:$B$1018, MATCH(C1242, Mgt_Unit!$C$5:$C$1018, 0)), "")</f>
        <v>jennifer.moore</v>
      </c>
      <c r="C1242" t="s">
        <v>819</v>
      </c>
      <c r="E1242" s="17" t="s">
        <v>1583</v>
      </c>
      <c r="F1242" s="89">
        <v>42561</v>
      </c>
      <c r="J1242" t="s">
        <v>1431</v>
      </c>
      <c r="K1242" s="120">
        <v>0.15</v>
      </c>
    </row>
    <row r="1243" spans="2:11" hidden="1" x14ac:dyDescent="0.25">
      <c r="B1243" s="28" t="str">
        <f>IF(ISNUMBER(MATCH(C1243, Mgt_Unit!$C$5:$C$1018, 0)), INDEX(Mgt_Unit!$B$5:$B$1018, MATCH(C1243, Mgt_Unit!$C$5:$C$1018, 0)), "")</f>
        <v>jennifer.moore</v>
      </c>
      <c r="C1243" t="s">
        <v>819</v>
      </c>
      <c r="E1243" s="17" t="s">
        <v>1583</v>
      </c>
      <c r="F1243" s="89">
        <v>42587</v>
      </c>
      <c r="J1243" t="s">
        <v>1430</v>
      </c>
      <c r="K1243" s="120">
        <v>0.15</v>
      </c>
    </row>
    <row r="1244" spans="2:11" hidden="1" x14ac:dyDescent="0.25">
      <c r="B1244" s="28" t="str">
        <f>IF(ISNUMBER(MATCH(C1244, Mgt_Unit!$C$5:$C$1018, 0)), INDEX(Mgt_Unit!$B$5:$B$1018, MATCH(C1244, Mgt_Unit!$C$5:$C$1018, 0)), "")</f>
        <v>jennifer.moore</v>
      </c>
      <c r="C1244" t="s">
        <v>819</v>
      </c>
      <c r="E1244" s="17" t="s">
        <v>1584</v>
      </c>
      <c r="F1244" s="89">
        <v>42876</v>
      </c>
      <c r="J1244" t="s">
        <v>1353</v>
      </c>
      <c r="K1244" s="120">
        <v>2.4</v>
      </c>
    </row>
    <row r="1245" spans="2:11" hidden="1" x14ac:dyDescent="0.25">
      <c r="B1245" s="28" t="str">
        <f>IF(ISNUMBER(MATCH(C1245, Mgt_Unit!$C$5:$C$1018, 0)), INDEX(Mgt_Unit!$B$5:$B$1018, MATCH(C1245, Mgt_Unit!$C$5:$C$1018, 0)), "")</f>
        <v>jennifer.moore</v>
      </c>
      <c r="C1245" t="s">
        <v>819</v>
      </c>
      <c r="E1245" s="17" t="s">
        <v>1583</v>
      </c>
      <c r="F1245" s="89">
        <v>42879</v>
      </c>
      <c r="J1245" t="s">
        <v>1430</v>
      </c>
      <c r="K1245" s="120">
        <v>0.15</v>
      </c>
    </row>
    <row r="1246" spans="2:11" hidden="1" x14ac:dyDescent="0.25">
      <c r="B1246" s="28" t="str">
        <f>IF(ISNUMBER(MATCH(C1246, Mgt_Unit!$C$5:$C$1018, 0)), INDEX(Mgt_Unit!$B$5:$B$1018, MATCH(C1246, Mgt_Unit!$C$5:$C$1018, 0)), "")</f>
        <v>jennifer.moore</v>
      </c>
      <c r="C1246" t="s">
        <v>819</v>
      </c>
      <c r="E1246" s="17" t="s">
        <v>1583</v>
      </c>
      <c r="F1246" s="89">
        <v>43056</v>
      </c>
      <c r="J1246" t="s">
        <v>1431</v>
      </c>
      <c r="K1246" s="120">
        <v>0.15</v>
      </c>
    </row>
    <row r="1247" spans="2:11" hidden="1" x14ac:dyDescent="0.25">
      <c r="B1247" s="28" t="str">
        <f>IF(ISNUMBER(MATCH(C1247, Mgt_Unit!$C$5:$C$1018, 0)), INDEX(Mgt_Unit!$B$5:$B$1018, MATCH(C1247, Mgt_Unit!$C$5:$C$1018, 0)), "")</f>
        <v>jennifer.moore</v>
      </c>
      <c r="C1247" t="s">
        <v>819</v>
      </c>
      <c r="E1247" s="17" t="s">
        <v>1583</v>
      </c>
      <c r="F1247" s="89">
        <v>43244</v>
      </c>
      <c r="J1247" t="s">
        <v>1430</v>
      </c>
      <c r="K1247" s="120">
        <v>0.15</v>
      </c>
    </row>
    <row r="1248" spans="2:11" hidden="1" x14ac:dyDescent="0.25">
      <c r="B1248" s="28" t="str">
        <f>IF(ISNUMBER(MATCH(C1248, Mgt_Unit!$C$5:$C$1018, 0)), INDEX(Mgt_Unit!$B$5:$B$1018, MATCH(C1248, Mgt_Unit!$C$5:$C$1018, 0)), "")</f>
        <v>jennifer.moore</v>
      </c>
      <c r="C1248" t="s">
        <v>819</v>
      </c>
      <c r="E1248" s="17" t="s">
        <v>1584</v>
      </c>
      <c r="F1248" s="89">
        <v>43261</v>
      </c>
      <c r="J1248" t="s">
        <v>1398</v>
      </c>
      <c r="K1248" s="120">
        <v>4</v>
      </c>
    </row>
    <row r="1249" spans="2:11" hidden="1" x14ac:dyDescent="0.25">
      <c r="B1249" s="28" t="str">
        <f>IF(ISNUMBER(MATCH(C1249, Mgt_Unit!$C$5:$C$1018, 0)), INDEX(Mgt_Unit!$B$5:$B$1018, MATCH(C1249, Mgt_Unit!$C$5:$C$1018, 0)), "")</f>
        <v>jennifer.moore</v>
      </c>
      <c r="C1249" t="s">
        <v>819</v>
      </c>
      <c r="E1249" s="17" t="s">
        <v>1583</v>
      </c>
      <c r="F1249" s="89">
        <v>43286</v>
      </c>
      <c r="J1249" t="s">
        <v>1430</v>
      </c>
      <c r="K1249" s="120">
        <v>0.15</v>
      </c>
    </row>
    <row r="1250" spans="2:11" hidden="1" x14ac:dyDescent="0.25">
      <c r="B1250" s="28" t="str">
        <f>IF(ISNUMBER(MATCH(C1250, Mgt_Unit!$C$5:$C$1018, 0)), INDEX(Mgt_Unit!$B$5:$B$1018, MATCH(C1250, Mgt_Unit!$C$5:$C$1018, 0)), "")</f>
        <v>jennifer.moore</v>
      </c>
      <c r="C1250" t="s">
        <v>819</v>
      </c>
      <c r="E1250" s="17" t="s">
        <v>1583</v>
      </c>
      <c r="F1250" s="89">
        <v>43346</v>
      </c>
      <c r="J1250" t="s">
        <v>1431</v>
      </c>
      <c r="K1250" s="120">
        <v>0.15</v>
      </c>
    </row>
    <row r="1251" spans="2:11" hidden="1" x14ac:dyDescent="0.25">
      <c r="B1251" s="28" t="str">
        <f>IF(ISNUMBER(MATCH(C1251, Mgt_Unit!$C$5:$C$1018, 0)), INDEX(Mgt_Unit!$B$5:$B$1018, MATCH(C1251, Mgt_Unit!$C$5:$C$1018, 0)), "")</f>
        <v>jennifer.moore</v>
      </c>
      <c r="C1251" t="s">
        <v>820</v>
      </c>
      <c r="E1251" s="17" t="s">
        <v>1583</v>
      </c>
      <c r="F1251" s="89">
        <v>42475</v>
      </c>
      <c r="J1251" t="s">
        <v>1430</v>
      </c>
      <c r="K1251" s="120">
        <v>0.15</v>
      </c>
    </row>
    <row r="1252" spans="2:11" hidden="1" x14ac:dyDescent="0.25">
      <c r="B1252" s="28" t="str">
        <f>IF(ISNUMBER(MATCH(C1252, Mgt_Unit!$C$5:$C$1018, 0)), INDEX(Mgt_Unit!$B$5:$B$1018, MATCH(C1252, Mgt_Unit!$C$5:$C$1018, 0)), "")</f>
        <v>jennifer.moore</v>
      </c>
      <c r="C1252" t="s">
        <v>820</v>
      </c>
      <c r="E1252" s="17" t="s">
        <v>1583</v>
      </c>
      <c r="F1252" s="89">
        <v>42614</v>
      </c>
      <c r="J1252" t="s">
        <v>1430</v>
      </c>
      <c r="K1252" s="120">
        <v>0.15</v>
      </c>
    </row>
    <row r="1253" spans="2:11" hidden="1" x14ac:dyDescent="0.25">
      <c r="B1253" s="28" t="str">
        <f>IF(ISNUMBER(MATCH(C1253, Mgt_Unit!$C$5:$C$1018, 0)), INDEX(Mgt_Unit!$B$5:$B$1018, MATCH(C1253, Mgt_Unit!$C$5:$C$1018, 0)), "")</f>
        <v>jennifer.moore</v>
      </c>
      <c r="C1253" t="s">
        <v>820</v>
      </c>
      <c r="E1253" s="17" t="s">
        <v>1584</v>
      </c>
      <c r="F1253" s="89">
        <v>42644</v>
      </c>
      <c r="J1253" t="s">
        <v>1398</v>
      </c>
      <c r="K1253" s="120">
        <v>4</v>
      </c>
    </row>
    <row r="1254" spans="2:11" hidden="1" x14ac:dyDescent="0.25">
      <c r="B1254" s="28" t="str">
        <f>IF(ISNUMBER(MATCH(C1254, Mgt_Unit!$C$5:$C$1018, 0)), INDEX(Mgt_Unit!$B$5:$B$1018, MATCH(C1254, Mgt_Unit!$C$5:$C$1018, 0)), "")</f>
        <v>jennifer.moore</v>
      </c>
      <c r="C1254" t="s">
        <v>820</v>
      </c>
      <c r="E1254" s="17" t="s">
        <v>1583</v>
      </c>
      <c r="F1254" s="89">
        <v>42852</v>
      </c>
      <c r="J1254" t="s">
        <v>1430</v>
      </c>
      <c r="K1254" s="120">
        <v>0.15</v>
      </c>
    </row>
    <row r="1255" spans="2:11" hidden="1" x14ac:dyDescent="0.25">
      <c r="B1255" s="28" t="str">
        <f>IF(ISNUMBER(MATCH(C1255, Mgt_Unit!$C$5:$C$1018, 0)), INDEX(Mgt_Unit!$B$5:$B$1018, MATCH(C1255, Mgt_Unit!$C$5:$C$1018, 0)), "")</f>
        <v>jennifer.moore</v>
      </c>
      <c r="C1255" t="s">
        <v>820</v>
      </c>
      <c r="E1255" s="17" t="s">
        <v>1583</v>
      </c>
      <c r="F1255" s="89">
        <v>42926</v>
      </c>
      <c r="J1255" t="s">
        <v>1431</v>
      </c>
      <c r="K1255" s="120">
        <v>0.15</v>
      </c>
    </row>
    <row r="1256" spans="2:11" hidden="1" x14ac:dyDescent="0.25">
      <c r="B1256" s="28" t="str">
        <f>IF(ISNUMBER(MATCH(C1256, Mgt_Unit!$C$5:$C$1018, 0)), INDEX(Mgt_Unit!$B$5:$B$1018, MATCH(C1256, Mgt_Unit!$C$5:$C$1018, 0)), "")</f>
        <v>jennifer.moore</v>
      </c>
      <c r="C1256" t="s">
        <v>820</v>
      </c>
      <c r="E1256" s="17" t="s">
        <v>1583</v>
      </c>
      <c r="F1256" s="89">
        <v>42979</v>
      </c>
      <c r="J1256" t="s">
        <v>1430</v>
      </c>
      <c r="K1256" s="120">
        <v>0.15</v>
      </c>
    </row>
    <row r="1257" spans="2:11" hidden="1" x14ac:dyDescent="0.25">
      <c r="B1257" s="28" t="str">
        <f>IF(ISNUMBER(MATCH(C1257, Mgt_Unit!$C$5:$C$1018, 0)), INDEX(Mgt_Unit!$B$5:$B$1018, MATCH(C1257, Mgt_Unit!$C$5:$C$1018, 0)), "")</f>
        <v>jennifer.moore</v>
      </c>
      <c r="C1257" t="s">
        <v>820</v>
      </c>
      <c r="E1257" s="17" t="s">
        <v>1584</v>
      </c>
      <c r="F1257" s="89">
        <v>43241</v>
      </c>
      <c r="J1257" t="s">
        <v>1353</v>
      </c>
      <c r="K1257" s="120">
        <v>2.4</v>
      </c>
    </row>
    <row r="1258" spans="2:11" hidden="1" x14ac:dyDescent="0.25">
      <c r="B1258" s="28" t="str">
        <f>IF(ISNUMBER(MATCH(C1258, Mgt_Unit!$C$5:$C$1018, 0)), INDEX(Mgt_Unit!$B$5:$B$1018, MATCH(C1258, Mgt_Unit!$C$5:$C$1018, 0)), "")</f>
        <v>jennifer.moore</v>
      </c>
      <c r="C1258" t="s">
        <v>820</v>
      </c>
      <c r="E1258" s="17" t="s">
        <v>1583</v>
      </c>
      <c r="F1258" s="89">
        <v>43244</v>
      </c>
      <c r="J1258" t="s">
        <v>1430</v>
      </c>
      <c r="K1258" s="120">
        <v>0.15</v>
      </c>
    </row>
    <row r="1259" spans="2:11" hidden="1" x14ac:dyDescent="0.25">
      <c r="B1259" s="28" t="str">
        <f>IF(ISNUMBER(MATCH(C1259, Mgt_Unit!$C$5:$C$1018, 0)), INDEX(Mgt_Unit!$B$5:$B$1018, MATCH(C1259, Mgt_Unit!$C$5:$C$1018, 0)), "")</f>
        <v>jennifer.moore</v>
      </c>
      <c r="C1259" t="s">
        <v>820</v>
      </c>
      <c r="E1259" s="17" t="s">
        <v>1583</v>
      </c>
      <c r="F1259" s="89">
        <v>43421</v>
      </c>
      <c r="J1259" t="s">
        <v>1431</v>
      </c>
      <c r="K1259" s="120">
        <v>0.15</v>
      </c>
    </row>
    <row r="1260" spans="2:11" hidden="1" x14ac:dyDescent="0.25">
      <c r="B1260" s="28" t="str">
        <f>IF(ISNUMBER(MATCH(C1260, Mgt_Unit!$C$5:$C$1018, 0)), INDEX(Mgt_Unit!$B$5:$B$1018, MATCH(C1260, Mgt_Unit!$C$5:$C$1018, 0)), "")</f>
        <v>jennifer.moore</v>
      </c>
      <c r="C1260" t="s">
        <v>821</v>
      </c>
      <c r="E1260" s="17" t="s">
        <v>1583</v>
      </c>
      <c r="F1260" s="89">
        <v>42475</v>
      </c>
      <c r="J1260" t="s">
        <v>1430</v>
      </c>
      <c r="K1260" s="120">
        <v>0.15</v>
      </c>
    </row>
    <row r="1261" spans="2:11" hidden="1" x14ac:dyDescent="0.25">
      <c r="B1261" s="28" t="str">
        <f>IF(ISNUMBER(MATCH(C1261, Mgt_Unit!$C$5:$C$1018, 0)), INDEX(Mgt_Unit!$B$5:$B$1018, MATCH(C1261, Mgt_Unit!$C$5:$C$1018, 0)), "")</f>
        <v>jennifer.moore</v>
      </c>
      <c r="C1261" t="s">
        <v>821</v>
      </c>
      <c r="E1261" s="17" t="s">
        <v>1583</v>
      </c>
      <c r="F1261" s="89">
        <v>42614</v>
      </c>
      <c r="J1261" t="s">
        <v>1430</v>
      </c>
      <c r="K1261" s="120">
        <v>0.15</v>
      </c>
    </row>
    <row r="1262" spans="2:11" hidden="1" x14ac:dyDescent="0.25">
      <c r="B1262" s="28" t="str">
        <f>IF(ISNUMBER(MATCH(C1262, Mgt_Unit!$C$5:$C$1018, 0)), INDEX(Mgt_Unit!$B$5:$B$1018, MATCH(C1262, Mgt_Unit!$C$5:$C$1018, 0)), "")</f>
        <v>jennifer.moore</v>
      </c>
      <c r="C1262" t="s">
        <v>821</v>
      </c>
      <c r="E1262" s="17" t="s">
        <v>1584</v>
      </c>
      <c r="F1262" s="89">
        <v>42644</v>
      </c>
      <c r="J1262" t="s">
        <v>1398</v>
      </c>
      <c r="K1262" s="120">
        <v>4</v>
      </c>
    </row>
    <row r="1263" spans="2:11" hidden="1" x14ac:dyDescent="0.25">
      <c r="B1263" s="28" t="str">
        <f>IF(ISNUMBER(MATCH(C1263, Mgt_Unit!$C$5:$C$1018, 0)), INDEX(Mgt_Unit!$B$5:$B$1018, MATCH(C1263, Mgt_Unit!$C$5:$C$1018, 0)), "")</f>
        <v>jennifer.moore</v>
      </c>
      <c r="C1263" t="s">
        <v>821</v>
      </c>
      <c r="E1263" s="17" t="s">
        <v>1583</v>
      </c>
      <c r="F1263" s="89">
        <v>42852</v>
      </c>
      <c r="J1263" t="s">
        <v>1430</v>
      </c>
      <c r="K1263" s="120">
        <v>0.15</v>
      </c>
    </row>
    <row r="1264" spans="2:11" hidden="1" x14ac:dyDescent="0.25">
      <c r="B1264" s="28" t="str">
        <f>IF(ISNUMBER(MATCH(C1264, Mgt_Unit!$C$5:$C$1018, 0)), INDEX(Mgt_Unit!$B$5:$B$1018, MATCH(C1264, Mgt_Unit!$C$5:$C$1018, 0)), "")</f>
        <v>jennifer.moore</v>
      </c>
      <c r="C1264" t="s">
        <v>821</v>
      </c>
      <c r="E1264" s="17" t="s">
        <v>1583</v>
      </c>
      <c r="F1264" s="89">
        <v>42926</v>
      </c>
      <c r="J1264" t="s">
        <v>1431</v>
      </c>
      <c r="K1264" s="120">
        <v>0.15</v>
      </c>
    </row>
    <row r="1265" spans="2:11" hidden="1" x14ac:dyDescent="0.25">
      <c r="B1265" s="28" t="str">
        <f>IF(ISNUMBER(MATCH(C1265, Mgt_Unit!$C$5:$C$1018, 0)), INDEX(Mgt_Unit!$B$5:$B$1018, MATCH(C1265, Mgt_Unit!$C$5:$C$1018, 0)), "")</f>
        <v>jennifer.moore</v>
      </c>
      <c r="C1265" t="s">
        <v>821</v>
      </c>
      <c r="E1265" s="17" t="s">
        <v>1583</v>
      </c>
      <c r="F1265" s="89">
        <v>42979</v>
      </c>
      <c r="J1265" t="s">
        <v>1430</v>
      </c>
      <c r="K1265" s="120">
        <v>0.15</v>
      </c>
    </row>
    <row r="1266" spans="2:11" hidden="1" x14ac:dyDescent="0.25">
      <c r="B1266" s="28" t="str">
        <f>IF(ISNUMBER(MATCH(C1266, Mgt_Unit!$C$5:$C$1018, 0)), INDEX(Mgt_Unit!$B$5:$B$1018, MATCH(C1266, Mgt_Unit!$C$5:$C$1018, 0)), "")</f>
        <v>jennifer.moore</v>
      </c>
      <c r="C1266" t="s">
        <v>821</v>
      </c>
      <c r="E1266" s="17" t="s">
        <v>1584</v>
      </c>
      <c r="F1266" s="89">
        <v>43241</v>
      </c>
      <c r="J1266" t="s">
        <v>1353</v>
      </c>
      <c r="K1266" s="120">
        <v>2.4</v>
      </c>
    </row>
    <row r="1267" spans="2:11" hidden="1" x14ac:dyDescent="0.25">
      <c r="B1267" s="28" t="str">
        <f>IF(ISNUMBER(MATCH(C1267, Mgt_Unit!$C$5:$C$1018, 0)), INDEX(Mgt_Unit!$B$5:$B$1018, MATCH(C1267, Mgt_Unit!$C$5:$C$1018, 0)), "")</f>
        <v>jennifer.moore</v>
      </c>
      <c r="C1267" t="s">
        <v>821</v>
      </c>
      <c r="E1267" s="17" t="s">
        <v>1583</v>
      </c>
      <c r="F1267" s="89">
        <v>43244</v>
      </c>
      <c r="J1267" t="s">
        <v>1430</v>
      </c>
      <c r="K1267" s="120">
        <v>0.15</v>
      </c>
    </row>
    <row r="1268" spans="2:11" hidden="1" x14ac:dyDescent="0.25">
      <c r="B1268" s="28" t="str">
        <f>IF(ISNUMBER(MATCH(C1268, Mgt_Unit!$C$5:$C$1018, 0)), INDEX(Mgt_Unit!$B$5:$B$1018, MATCH(C1268, Mgt_Unit!$C$5:$C$1018, 0)), "")</f>
        <v>jennifer.moore</v>
      </c>
      <c r="C1268" t="s">
        <v>821</v>
      </c>
      <c r="E1268" s="17" t="s">
        <v>1583</v>
      </c>
      <c r="F1268" s="89">
        <v>43421</v>
      </c>
      <c r="J1268" t="s">
        <v>1431</v>
      </c>
      <c r="K1268" s="120">
        <v>0.15</v>
      </c>
    </row>
    <row r="1269" spans="2:11" hidden="1" x14ac:dyDescent="0.25">
      <c r="B1269" s="28" t="str">
        <f>IF(ISNUMBER(MATCH(C1269, Mgt_Unit!$C$5:$C$1018, 0)), INDEX(Mgt_Unit!$B$5:$B$1018, MATCH(C1269, Mgt_Unit!$C$5:$C$1018, 0)), "")</f>
        <v>jennifer.moore</v>
      </c>
      <c r="C1269" t="s">
        <v>822</v>
      </c>
      <c r="E1269" s="17" t="s">
        <v>1583</v>
      </c>
      <c r="F1269" s="89">
        <v>42475</v>
      </c>
      <c r="J1269" t="s">
        <v>1430</v>
      </c>
      <c r="K1269" s="120">
        <v>0.15</v>
      </c>
    </row>
    <row r="1270" spans="2:11" hidden="1" x14ac:dyDescent="0.25">
      <c r="B1270" s="28" t="str">
        <f>IF(ISNUMBER(MATCH(C1270, Mgt_Unit!$C$5:$C$1018, 0)), INDEX(Mgt_Unit!$B$5:$B$1018, MATCH(C1270, Mgt_Unit!$C$5:$C$1018, 0)), "")</f>
        <v>jennifer.moore</v>
      </c>
      <c r="C1270" t="s">
        <v>822</v>
      </c>
      <c r="E1270" s="17" t="s">
        <v>1583</v>
      </c>
      <c r="F1270" s="89">
        <v>42614</v>
      </c>
      <c r="J1270" t="s">
        <v>1430</v>
      </c>
      <c r="K1270" s="120">
        <v>0.15</v>
      </c>
    </row>
    <row r="1271" spans="2:11" hidden="1" x14ac:dyDescent="0.25">
      <c r="B1271" s="28" t="str">
        <f>IF(ISNUMBER(MATCH(C1271, Mgt_Unit!$C$5:$C$1018, 0)), INDEX(Mgt_Unit!$B$5:$B$1018, MATCH(C1271, Mgt_Unit!$C$5:$C$1018, 0)), "")</f>
        <v>jennifer.moore</v>
      </c>
      <c r="C1271" t="s">
        <v>822</v>
      </c>
      <c r="E1271" s="17" t="s">
        <v>1584</v>
      </c>
      <c r="F1271" s="89">
        <v>42644</v>
      </c>
      <c r="J1271" t="s">
        <v>1398</v>
      </c>
      <c r="K1271" s="120">
        <v>4</v>
      </c>
    </row>
    <row r="1272" spans="2:11" hidden="1" x14ac:dyDescent="0.25">
      <c r="B1272" s="28" t="str">
        <f>IF(ISNUMBER(MATCH(C1272, Mgt_Unit!$C$5:$C$1018, 0)), INDEX(Mgt_Unit!$B$5:$B$1018, MATCH(C1272, Mgt_Unit!$C$5:$C$1018, 0)), "")</f>
        <v>jennifer.moore</v>
      </c>
      <c r="C1272" t="s">
        <v>822</v>
      </c>
      <c r="E1272" s="17" t="s">
        <v>1583</v>
      </c>
      <c r="F1272" s="89">
        <v>42852</v>
      </c>
      <c r="J1272" t="s">
        <v>1430</v>
      </c>
      <c r="K1272" s="120">
        <v>0.15</v>
      </c>
    </row>
    <row r="1273" spans="2:11" hidden="1" x14ac:dyDescent="0.25">
      <c r="B1273" s="28" t="str">
        <f>IF(ISNUMBER(MATCH(C1273, Mgt_Unit!$C$5:$C$1018, 0)), INDEX(Mgt_Unit!$B$5:$B$1018, MATCH(C1273, Mgt_Unit!$C$5:$C$1018, 0)), "")</f>
        <v>jennifer.moore</v>
      </c>
      <c r="C1273" t="s">
        <v>822</v>
      </c>
      <c r="E1273" s="17" t="s">
        <v>1583</v>
      </c>
      <c r="F1273" s="89">
        <v>42926</v>
      </c>
      <c r="J1273" t="s">
        <v>1431</v>
      </c>
      <c r="K1273" s="120">
        <v>0.15</v>
      </c>
    </row>
    <row r="1274" spans="2:11" hidden="1" x14ac:dyDescent="0.25">
      <c r="B1274" s="28" t="str">
        <f>IF(ISNUMBER(MATCH(C1274, Mgt_Unit!$C$5:$C$1018, 0)), INDEX(Mgt_Unit!$B$5:$B$1018, MATCH(C1274, Mgt_Unit!$C$5:$C$1018, 0)), "")</f>
        <v>jennifer.moore</v>
      </c>
      <c r="C1274" t="s">
        <v>822</v>
      </c>
      <c r="E1274" s="17" t="s">
        <v>1583</v>
      </c>
      <c r="F1274" s="89">
        <v>42979</v>
      </c>
      <c r="J1274" t="s">
        <v>1430</v>
      </c>
      <c r="K1274" s="120">
        <v>0.15</v>
      </c>
    </row>
    <row r="1275" spans="2:11" hidden="1" x14ac:dyDescent="0.25">
      <c r="B1275" s="28" t="str">
        <f>IF(ISNUMBER(MATCH(C1275, Mgt_Unit!$C$5:$C$1018, 0)), INDEX(Mgt_Unit!$B$5:$B$1018, MATCH(C1275, Mgt_Unit!$C$5:$C$1018, 0)), "")</f>
        <v>jennifer.moore</v>
      </c>
      <c r="C1275" t="s">
        <v>822</v>
      </c>
      <c r="E1275" s="17" t="s">
        <v>1584</v>
      </c>
      <c r="F1275" s="89">
        <v>43241</v>
      </c>
      <c r="J1275" t="s">
        <v>1353</v>
      </c>
      <c r="K1275" s="120">
        <v>2.4</v>
      </c>
    </row>
    <row r="1276" spans="2:11" hidden="1" x14ac:dyDescent="0.25">
      <c r="B1276" s="28" t="str">
        <f>IF(ISNUMBER(MATCH(C1276, Mgt_Unit!$C$5:$C$1018, 0)), INDEX(Mgt_Unit!$B$5:$B$1018, MATCH(C1276, Mgt_Unit!$C$5:$C$1018, 0)), "")</f>
        <v>jennifer.moore</v>
      </c>
      <c r="C1276" t="s">
        <v>822</v>
      </c>
      <c r="E1276" s="17" t="s">
        <v>1583</v>
      </c>
      <c r="F1276" s="89">
        <v>43244</v>
      </c>
      <c r="J1276" t="s">
        <v>1430</v>
      </c>
      <c r="K1276" s="120">
        <v>0.15</v>
      </c>
    </row>
    <row r="1277" spans="2:11" hidden="1" x14ac:dyDescent="0.25">
      <c r="B1277" s="28" t="str">
        <f>IF(ISNUMBER(MATCH(C1277, Mgt_Unit!$C$5:$C$1018, 0)), INDEX(Mgt_Unit!$B$5:$B$1018, MATCH(C1277, Mgt_Unit!$C$5:$C$1018, 0)), "")</f>
        <v>jennifer.moore</v>
      </c>
      <c r="C1277" t="s">
        <v>822</v>
      </c>
      <c r="E1277" s="17" t="s">
        <v>1583</v>
      </c>
      <c r="F1277" s="89">
        <v>43421</v>
      </c>
      <c r="J1277" t="s">
        <v>1431</v>
      </c>
      <c r="K1277" s="120">
        <v>0.15</v>
      </c>
    </row>
    <row r="1278" spans="2:11" hidden="1" x14ac:dyDescent="0.25">
      <c r="B1278" s="28" t="str">
        <f>IF(ISNUMBER(MATCH(C1278, Mgt_Unit!$C$5:$C$1018, 0)), INDEX(Mgt_Unit!$B$5:$B$1018, MATCH(C1278, Mgt_Unit!$C$5:$C$1018, 0)), "")</f>
        <v>jennifer.moore</v>
      </c>
      <c r="C1278" t="s">
        <v>823</v>
      </c>
      <c r="E1278" s="17" t="s">
        <v>1583</v>
      </c>
      <c r="F1278" s="89">
        <v>42840</v>
      </c>
      <c r="J1278" t="s">
        <v>1430</v>
      </c>
      <c r="K1278" s="120">
        <v>0.15</v>
      </c>
    </row>
    <row r="1279" spans="2:11" hidden="1" x14ac:dyDescent="0.25">
      <c r="B1279" s="28" t="str">
        <f>IF(ISNUMBER(MATCH(C1279, Mgt_Unit!$C$5:$C$1018, 0)), INDEX(Mgt_Unit!$B$5:$B$1018, MATCH(C1279, Mgt_Unit!$C$5:$C$1018, 0)), "")</f>
        <v>jennifer.moore</v>
      </c>
      <c r="C1279" t="s">
        <v>823</v>
      </c>
      <c r="E1279" s="17" t="s">
        <v>1583</v>
      </c>
      <c r="F1279" s="89">
        <v>42979</v>
      </c>
      <c r="J1279" t="s">
        <v>1430</v>
      </c>
      <c r="K1279" s="120">
        <v>0.15</v>
      </c>
    </row>
    <row r="1280" spans="2:11" hidden="1" x14ac:dyDescent="0.25">
      <c r="B1280" s="28" t="str">
        <f>IF(ISNUMBER(MATCH(C1280, Mgt_Unit!$C$5:$C$1018, 0)), INDEX(Mgt_Unit!$B$5:$B$1018, MATCH(C1280, Mgt_Unit!$C$5:$C$1018, 0)), "")</f>
        <v>jennifer.moore</v>
      </c>
      <c r="C1280" t="s">
        <v>823</v>
      </c>
      <c r="E1280" s="17" t="s">
        <v>1584</v>
      </c>
      <c r="F1280" s="89">
        <v>43009</v>
      </c>
      <c r="J1280" t="s">
        <v>1398</v>
      </c>
      <c r="K1280" s="120">
        <v>4</v>
      </c>
    </row>
    <row r="1281" spans="2:11" hidden="1" x14ac:dyDescent="0.25">
      <c r="B1281" s="28" t="str">
        <f>IF(ISNUMBER(MATCH(C1281, Mgt_Unit!$C$5:$C$1018, 0)), INDEX(Mgt_Unit!$B$5:$B$1018, MATCH(C1281, Mgt_Unit!$C$5:$C$1018, 0)), "")</f>
        <v>jennifer.moore</v>
      </c>
      <c r="C1281" t="s">
        <v>823</v>
      </c>
      <c r="E1281" s="17" t="s">
        <v>1583</v>
      </c>
      <c r="F1281" s="89">
        <v>43217</v>
      </c>
      <c r="J1281" t="s">
        <v>1430</v>
      </c>
      <c r="K1281" s="120">
        <v>0.15</v>
      </c>
    </row>
    <row r="1282" spans="2:11" hidden="1" x14ac:dyDescent="0.25">
      <c r="B1282" s="28" t="str">
        <f>IF(ISNUMBER(MATCH(C1282, Mgt_Unit!$C$5:$C$1018, 0)), INDEX(Mgt_Unit!$B$5:$B$1018, MATCH(C1282, Mgt_Unit!$C$5:$C$1018, 0)), "")</f>
        <v>jennifer.moore</v>
      </c>
      <c r="C1282" t="s">
        <v>823</v>
      </c>
      <c r="E1282" s="17" t="s">
        <v>1583</v>
      </c>
      <c r="F1282" s="89">
        <v>43291</v>
      </c>
      <c r="J1282" t="s">
        <v>1431</v>
      </c>
      <c r="K1282" s="120">
        <v>0.15</v>
      </c>
    </row>
    <row r="1283" spans="2:11" hidden="1" x14ac:dyDescent="0.25">
      <c r="B1283" s="28" t="str">
        <f>IF(ISNUMBER(MATCH(C1283, Mgt_Unit!$C$5:$C$1018, 0)), INDEX(Mgt_Unit!$B$5:$B$1018, MATCH(C1283, Mgt_Unit!$C$5:$C$1018, 0)), "")</f>
        <v>jennifer.moore</v>
      </c>
      <c r="C1283" t="s">
        <v>823</v>
      </c>
      <c r="E1283" s="17" t="s">
        <v>1583</v>
      </c>
      <c r="F1283" s="89">
        <v>43317</v>
      </c>
      <c r="J1283" t="s">
        <v>1430</v>
      </c>
      <c r="K1283" s="120">
        <v>0.15</v>
      </c>
    </row>
    <row r="1284" spans="2:11" hidden="1" x14ac:dyDescent="0.25">
      <c r="B1284" s="28" t="str">
        <f>IF(ISNUMBER(MATCH(C1284, Mgt_Unit!$C$5:$C$1018, 0)), INDEX(Mgt_Unit!$B$5:$B$1018, MATCH(C1284, Mgt_Unit!$C$5:$C$1018, 0)), "")</f>
        <v>jennifer.moore</v>
      </c>
      <c r="C1284" t="s">
        <v>824</v>
      </c>
      <c r="E1284" s="17" t="s">
        <v>1583</v>
      </c>
      <c r="F1284" s="89">
        <v>42840</v>
      </c>
      <c r="J1284" t="s">
        <v>1430</v>
      </c>
      <c r="K1284" s="120">
        <v>0.15</v>
      </c>
    </row>
    <row r="1285" spans="2:11" hidden="1" x14ac:dyDescent="0.25">
      <c r="B1285" s="28" t="str">
        <f>IF(ISNUMBER(MATCH(C1285, Mgt_Unit!$C$5:$C$1018, 0)), INDEX(Mgt_Unit!$B$5:$B$1018, MATCH(C1285, Mgt_Unit!$C$5:$C$1018, 0)), "")</f>
        <v>jennifer.moore</v>
      </c>
      <c r="C1285" t="s">
        <v>824</v>
      </c>
      <c r="E1285" s="17" t="s">
        <v>1583</v>
      </c>
      <c r="F1285" s="89">
        <v>42979</v>
      </c>
      <c r="J1285" t="s">
        <v>1430</v>
      </c>
      <c r="K1285" s="120">
        <v>0.15</v>
      </c>
    </row>
    <row r="1286" spans="2:11" hidden="1" x14ac:dyDescent="0.25">
      <c r="B1286" s="28" t="str">
        <f>IF(ISNUMBER(MATCH(C1286, Mgt_Unit!$C$5:$C$1018, 0)), INDEX(Mgt_Unit!$B$5:$B$1018, MATCH(C1286, Mgt_Unit!$C$5:$C$1018, 0)), "")</f>
        <v>jennifer.moore</v>
      </c>
      <c r="C1286" t="s">
        <v>824</v>
      </c>
      <c r="E1286" s="17" t="s">
        <v>1584</v>
      </c>
      <c r="F1286" s="89">
        <v>43009</v>
      </c>
      <c r="J1286" t="s">
        <v>1398</v>
      </c>
      <c r="K1286" s="120">
        <v>4</v>
      </c>
    </row>
    <row r="1287" spans="2:11" hidden="1" x14ac:dyDescent="0.25">
      <c r="B1287" s="28" t="str">
        <f>IF(ISNUMBER(MATCH(C1287, Mgt_Unit!$C$5:$C$1018, 0)), INDEX(Mgt_Unit!$B$5:$B$1018, MATCH(C1287, Mgt_Unit!$C$5:$C$1018, 0)), "")</f>
        <v>jennifer.moore</v>
      </c>
      <c r="C1287" t="s">
        <v>824</v>
      </c>
      <c r="E1287" s="17" t="s">
        <v>1583</v>
      </c>
      <c r="F1287" s="89">
        <v>43217</v>
      </c>
      <c r="J1287" t="s">
        <v>1430</v>
      </c>
      <c r="K1287" s="120">
        <v>0.15</v>
      </c>
    </row>
    <row r="1288" spans="2:11" hidden="1" x14ac:dyDescent="0.25">
      <c r="B1288" s="28" t="str">
        <f>IF(ISNUMBER(MATCH(C1288, Mgt_Unit!$C$5:$C$1018, 0)), INDEX(Mgt_Unit!$B$5:$B$1018, MATCH(C1288, Mgt_Unit!$C$5:$C$1018, 0)), "")</f>
        <v>jennifer.moore</v>
      </c>
      <c r="C1288" t="s">
        <v>824</v>
      </c>
      <c r="E1288" s="17" t="s">
        <v>1583</v>
      </c>
      <c r="F1288" s="89">
        <v>43291</v>
      </c>
      <c r="J1288" t="s">
        <v>1431</v>
      </c>
      <c r="K1288" s="120">
        <v>0.15</v>
      </c>
    </row>
    <row r="1289" spans="2:11" hidden="1" x14ac:dyDescent="0.25">
      <c r="B1289" s="28" t="str">
        <f>IF(ISNUMBER(MATCH(C1289, Mgt_Unit!$C$5:$C$1018, 0)), INDEX(Mgt_Unit!$B$5:$B$1018, MATCH(C1289, Mgt_Unit!$C$5:$C$1018, 0)), "")</f>
        <v>jennifer.moore</v>
      </c>
      <c r="C1289" t="s">
        <v>824</v>
      </c>
      <c r="E1289" s="17" t="s">
        <v>1583</v>
      </c>
      <c r="F1289" s="89">
        <v>43317</v>
      </c>
      <c r="J1289" t="s">
        <v>1430</v>
      </c>
      <c r="K1289" s="120">
        <v>0.15</v>
      </c>
    </row>
    <row r="1290" spans="2:11" hidden="1" x14ac:dyDescent="0.25">
      <c r="B1290" s="28" t="str">
        <f>IF(ISNUMBER(MATCH(C1290, Mgt_Unit!$C$5:$C$1018, 0)), INDEX(Mgt_Unit!$B$5:$B$1018, MATCH(C1290, Mgt_Unit!$C$5:$C$1018, 0)), "")</f>
        <v>jennifer.moore</v>
      </c>
      <c r="C1290" t="s">
        <v>825</v>
      </c>
      <c r="E1290" s="17" t="s">
        <v>1583</v>
      </c>
      <c r="F1290" s="89">
        <v>42840</v>
      </c>
      <c r="J1290" t="s">
        <v>1430</v>
      </c>
      <c r="K1290" s="120">
        <v>0.15</v>
      </c>
    </row>
    <row r="1291" spans="2:11" hidden="1" x14ac:dyDescent="0.25">
      <c r="B1291" s="28" t="str">
        <f>IF(ISNUMBER(MATCH(C1291, Mgt_Unit!$C$5:$C$1018, 0)), INDEX(Mgt_Unit!$B$5:$B$1018, MATCH(C1291, Mgt_Unit!$C$5:$C$1018, 0)), "")</f>
        <v>jennifer.moore</v>
      </c>
      <c r="C1291" t="s">
        <v>825</v>
      </c>
      <c r="E1291" s="17" t="s">
        <v>1583</v>
      </c>
      <c r="F1291" s="89">
        <v>42979</v>
      </c>
      <c r="J1291" t="s">
        <v>1430</v>
      </c>
      <c r="K1291" s="120">
        <v>0.15</v>
      </c>
    </row>
    <row r="1292" spans="2:11" hidden="1" x14ac:dyDescent="0.25">
      <c r="B1292" s="28" t="str">
        <f>IF(ISNUMBER(MATCH(C1292, Mgt_Unit!$C$5:$C$1018, 0)), INDEX(Mgt_Unit!$B$5:$B$1018, MATCH(C1292, Mgt_Unit!$C$5:$C$1018, 0)), "")</f>
        <v>jennifer.moore</v>
      </c>
      <c r="C1292" t="s">
        <v>825</v>
      </c>
      <c r="E1292" s="17" t="s">
        <v>1584</v>
      </c>
      <c r="F1292" s="89">
        <v>43009</v>
      </c>
      <c r="J1292" t="s">
        <v>1398</v>
      </c>
      <c r="K1292" s="120">
        <v>4</v>
      </c>
    </row>
    <row r="1293" spans="2:11" hidden="1" x14ac:dyDescent="0.25">
      <c r="B1293" s="28" t="str">
        <f>IF(ISNUMBER(MATCH(C1293, Mgt_Unit!$C$5:$C$1018, 0)), INDEX(Mgt_Unit!$B$5:$B$1018, MATCH(C1293, Mgt_Unit!$C$5:$C$1018, 0)), "")</f>
        <v>jennifer.moore</v>
      </c>
      <c r="C1293" t="s">
        <v>825</v>
      </c>
      <c r="E1293" s="17" t="s">
        <v>1583</v>
      </c>
      <c r="F1293" s="89">
        <v>43217</v>
      </c>
      <c r="J1293" t="s">
        <v>1430</v>
      </c>
      <c r="K1293" s="120">
        <v>0.15</v>
      </c>
    </row>
    <row r="1294" spans="2:11" hidden="1" x14ac:dyDescent="0.25">
      <c r="B1294" s="28" t="str">
        <f>IF(ISNUMBER(MATCH(C1294, Mgt_Unit!$C$5:$C$1018, 0)), INDEX(Mgt_Unit!$B$5:$B$1018, MATCH(C1294, Mgt_Unit!$C$5:$C$1018, 0)), "")</f>
        <v>jennifer.moore</v>
      </c>
      <c r="C1294" t="s">
        <v>825</v>
      </c>
      <c r="E1294" s="17" t="s">
        <v>1583</v>
      </c>
      <c r="F1294" s="89">
        <v>43291</v>
      </c>
      <c r="J1294" t="s">
        <v>1431</v>
      </c>
      <c r="K1294" s="120">
        <v>0.15</v>
      </c>
    </row>
    <row r="1295" spans="2:11" hidden="1" x14ac:dyDescent="0.25">
      <c r="B1295" s="28" t="str">
        <f>IF(ISNUMBER(MATCH(C1295, Mgt_Unit!$C$5:$C$1018, 0)), INDEX(Mgt_Unit!$B$5:$B$1018, MATCH(C1295, Mgt_Unit!$C$5:$C$1018, 0)), "")</f>
        <v>jennifer.moore</v>
      </c>
      <c r="C1295" t="s">
        <v>825</v>
      </c>
      <c r="E1295" s="17" t="s">
        <v>1583</v>
      </c>
      <c r="F1295" s="89">
        <v>43317</v>
      </c>
      <c r="J1295" t="s">
        <v>1430</v>
      </c>
      <c r="K1295" s="120">
        <v>0.15</v>
      </c>
    </row>
    <row r="1296" spans="2:11" hidden="1" x14ac:dyDescent="0.25">
      <c r="B1296" s="28" t="str">
        <f>IF(ISNUMBER(MATCH(C1296, Mgt_Unit!$C$5:$C$1018, 0)), INDEX(Mgt_Unit!$B$5:$B$1018, MATCH(C1296, Mgt_Unit!$C$5:$C$1018, 0)), "")</f>
        <v>jennifer.moore</v>
      </c>
      <c r="C1296" t="s">
        <v>826</v>
      </c>
      <c r="E1296" s="17" t="s">
        <v>1583</v>
      </c>
      <c r="F1296" s="89">
        <v>42148</v>
      </c>
      <c r="J1296" t="s">
        <v>1430</v>
      </c>
      <c r="K1296" s="120">
        <v>0.15</v>
      </c>
    </row>
    <row r="1297" spans="2:11" hidden="1" x14ac:dyDescent="0.25">
      <c r="B1297" s="28" t="str">
        <f>IF(ISNUMBER(MATCH(C1297, Mgt_Unit!$C$5:$C$1018, 0)), INDEX(Mgt_Unit!$B$5:$B$1018, MATCH(C1297, Mgt_Unit!$C$5:$C$1018, 0)), "")</f>
        <v>jennifer.moore</v>
      </c>
      <c r="C1297" t="s">
        <v>826</v>
      </c>
      <c r="E1297" s="17" t="s">
        <v>1584</v>
      </c>
      <c r="F1297" s="89">
        <v>42165</v>
      </c>
      <c r="J1297" t="s">
        <v>1398</v>
      </c>
      <c r="K1297" s="120">
        <v>4</v>
      </c>
    </row>
    <row r="1298" spans="2:11" hidden="1" x14ac:dyDescent="0.25">
      <c r="B1298" s="28" t="str">
        <f>IF(ISNUMBER(MATCH(C1298, Mgt_Unit!$C$5:$C$1018, 0)), INDEX(Mgt_Unit!$B$5:$B$1018, MATCH(C1298, Mgt_Unit!$C$5:$C$1018, 0)), "")</f>
        <v>jennifer.moore</v>
      </c>
      <c r="C1298" t="s">
        <v>826</v>
      </c>
      <c r="E1298" s="17" t="s">
        <v>1583</v>
      </c>
      <c r="F1298" s="89">
        <v>42190</v>
      </c>
      <c r="J1298" t="s">
        <v>1430</v>
      </c>
      <c r="K1298" s="120">
        <v>0.15</v>
      </c>
    </row>
    <row r="1299" spans="2:11" hidden="1" x14ac:dyDescent="0.25">
      <c r="B1299" s="28" t="str">
        <f>IF(ISNUMBER(MATCH(C1299, Mgt_Unit!$C$5:$C$1018, 0)), INDEX(Mgt_Unit!$B$5:$B$1018, MATCH(C1299, Mgt_Unit!$C$5:$C$1018, 0)), "")</f>
        <v>jennifer.moore</v>
      </c>
      <c r="C1299" t="s">
        <v>826</v>
      </c>
      <c r="E1299" s="17" t="s">
        <v>1583</v>
      </c>
      <c r="F1299" s="89">
        <v>42250</v>
      </c>
      <c r="J1299" t="s">
        <v>1431</v>
      </c>
      <c r="K1299" s="120">
        <v>0.15</v>
      </c>
    </row>
    <row r="1300" spans="2:11" hidden="1" x14ac:dyDescent="0.25">
      <c r="B1300" s="28" t="str">
        <f>IF(ISNUMBER(MATCH(C1300, Mgt_Unit!$C$5:$C$1018, 0)), INDEX(Mgt_Unit!$B$5:$B$1018, MATCH(C1300, Mgt_Unit!$C$5:$C$1018, 0)), "")</f>
        <v>jennifer.moore</v>
      </c>
      <c r="C1300" t="s">
        <v>826</v>
      </c>
      <c r="E1300" s="17" t="s">
        <v>1583</v>
      </c>
      <c r="F1300" s="89">
        <v>42278</v>
      </c>
      <c r="J1300" t="s">
        <v>1398</v>
      </c>
      <c r="K1300" s="120">
        <v>4</v>
      </c>
    </row>
    <row r="1301" spans="2:11" hidden="1" x14ac:dyDescent="0.25">
      <c r="B1301" s="28" t="str">
        <f>IF(ISNUMBER(MATCH(C1301, Mgt_Unit!$C$5:$C$1018, 0)), INDEX(Mgt_Unit!$B$5:$B$1018, MATCH(C1301, Mgt_Unit!$C$5:$C$1018, 0)), "")</f>
        <v>jennifer.moore</v>
      </c>
      <c r="C1301" t="s">
        <v>826</v>
      </c>
      <c r="E1301" s="17" t="s">
        <v>1583</v>
      </c>
      <c r="F1301" s="89">
        <v>42487</v>
      </c>
      <c r="J1301" t="s">
        <v>1430</v>
      </c>
      <c r="K1301" s="120">
        <v>0.15</v>
      </c>
    </row>
    <row r="1302" spans="2:11" hidden="1" x14ac:dyDescent="0.25">
      <c r="B1302" s="28" t="str">
        <f>IF(ISNUMBER(MATCH(C1302, Mgt_Unit!$C$5:$C$1018, 0)), INDEX(Mgt_Unit!$B$5:$B$1018, MATCH(C1302, Mgt_Unit!$C$5:$C$1018, 0)), "")</f>
        <v>jennifer.moore</v>
      </c>
      <c r="C1302" t="s">
        <v>826</v>
      </c>
      <c r="E1302" s="17" t="s">
        <v>1583</v>
      </c>
      <c r="F1302" s="89">
        <v>42561</v>
      </c>
      <c r="J1302" t="s">
        <v>1431</v>
      </c>
      <c r="K1302" s="120">
        <v>0.15</v>
      </c>
    </row>
    <row r="1303" spans="2:11" hidden="1" x14ac:dyDescent="0.25">
      <c r="B1303" s="28" t="str">
        <f>IF(ISNUMBER(MATCH(C1303, Mgt_Unit!$C$5:$C$1018, 0)), INDEX(Mgt_Unit!$B$5:$B$1018, MATCH(C1303, Mgt_Unit!$C$5:$C$1018, 0)), "")</f>
        <v>jennifer.moore</v>
      </c>
      <c r="C1303" t="s">
        <v>826</v>
      </c>
      <c r="E1303" s="17" t="s">
        <v>1584</v>
      </c>
      <c r="F1303" s="89">
        <v>42876</v>
      </c>
      <c r="J1303" t="s">
        <v>1353</v>
      </c>
      <c r="K1303" s="120">
        <v>2.4</v>
      </c>
    </row>
    <row r="1304" spans="2:11" hidden="1" x14ac:dyDescent="0.25">
      <c r="B1304" s="28" t="str">
        <f>IF(ISNUMBER(MATCH(C1304, Mgt_Unit!$C$5:$C$1018, 0)), INDEX(Mgt_Unit!$B$5:$B$1018, MATCH(C1304, Mgt_Unit!$C$5:$C$1018, 0)), "")</f>
        <v>jennifer.moore</v>
      </c>
      <c r="C1304" t="s">
        <v>826</v>
      </c>
      <c r="E1304" s="17" t="s">
        <v>1583</v>
      </c>
      <c r="F1304" s="89">
        <v>42879</v>
      </c>
      <c r="J1304" t="s">
        <v>1430</v>
      </c>
      <c r="K1304" s="120">
        <v>0.15</v>
      </c>
    </row>
    <row r="1305" spans="2:11" hidden="1" x14ac:dyDescent="0.25">
      <c r="B1305" s="28" t="str">
        <f>IF(ISNUMBER(MATCH(C1305, Mgt_Unit!$C$5:$C$1018, 0)), INDEX(Mgt_Unit!$B$5:$B$1018, MATCH(C1305, Mgt_Unit!$C$5:$C$1018, 0)), "")</f>
        <v>jennifer.moore</v>
      </c>
      <c r="C1305" t="s">
        <v>826</v>
      </c>
      <c r="E1305" s="17" t="s">
        <v>1583</v>
      </c>
      <c r="F1305" s="89">
        <v>43056</v>
      </c>
      <c r="J1305" t="s">
        <v>1431</v>
      </c>
      <c r="K1305" s="120">
        <v>0.15</v>
      </c>
    </row>
    <row r="1306" spans="2:11" hidden="1" x14ac:dyDescent="0.25">
      <c r="B1306" s="28" t="str">
        <f>IF(ISNUMBER(MATCH(C1306, Mgt_Unit!$C$5:$C$1018, 0)), INDEX(Mgt_Unit!$B$5:$B$1018, MATCH(C1306, Mgt_Unit!$C$5:$C$1018, 0)), "")</f>
        <v>jennifer.moore</v>
      </c>
      <c r="C1306" t="s">
        <v>826</v>
      </c>
      <c r="E1306" s="17" t="s">
        <v>1583</v>
      </c>
      <c r="F1306" s="89">
        <v>43244</v>
      </c>
      <c r="J1306" t="s">
        <v>1430</v>
      </c>
      <c r="K1306" s="120">
        <v>0.15</v>
      </c>
    </row>
    <row r="1307" spans="2:11" hidden="1" x14ac:dyDescent="0.25">
      <c r="B1307" s="28" t="str">
        <f>IF(ISNUMBER(MATCH(C1307, Mgt_Unit!$C$5:$C$1018, 0)), INDEX(Mgt_Unit!$B$5:$B$1018, MATCH(C1307, Mgt_Unit!$C$5:$C$1018, 0)), "")</f>
        <v>jennifer.moore</v>
      </c>
      <c r="C1307" t="s">
        <v>826</v>
      </c>
      <c r="E1307" s="17" t="s">
        <v>1584</v>
      </c>
      <c r="F1307" s="89">
        <v>43261</v>
      </c>
      <c r="J1307" t="s">
        <v>1398</v>
      </c>
      <c r="K1307" s="120">
        <v>4</v>
      </c>
    </row>
    <row r="1308" spans="2:11" hidden="1" x14ac:dyDescent="0.25">
      <c r="B1308" s="28" t="str">
        <f>IF(ISNUMBER(MATCH(C1308, Mgt_Unit!$C$5:$C$1018, 0)), INDEX(Mgt_Unit!$B$5:$B$1018, MATCH(C1308, Mgt_Unit!$C$5:$C$1018, 0)), "")</f>
        <v>jennifer.moore</v>
      </c>
      <c r="C1308" t="s">
        <v>826</v>
      </c>
      <c r="E1308" s="17" t="s">
        <v>1583</v>
      </c>
      <c r="F1308" s="89">
        <v>43317</v>
      </c>
      <c r="J1308" t="s">
        <v>1430</v>
      </c>
      <c r="K1308" s="120">
        <v>0.15</v>
      </c>
    </row>
    <row r="1309" spans="2:11" hidden="1" x14ac:dyDescent="0.25">
      <c r="B1309" s="28" t="str">
        <f>IF(ISNUMBER(MATCH(C1309, Mgt_Unit!$C$5:$C$1018, 0)), INDEX(Mgt_Unit!$B$5:$B$1018, MATCH(C1309, Mgt_Unit!$C$5:$C$1018, 0)), "")</f>
        <v>jennifer.moore</v>
      </c>
      <c r="C1309" t="s">
        <v>826</v>
      </c>
      <c r="E1309" s="17" t="s">
        <v>1583</v>
      </c>
      <c r="F1309" s="89">
        <v>43346</v>
      </c>
      <c r="J1309" t="s">
        <v>1431</v>
      </c>
      <c r="K1309" s="120">
        <v>0.15</v>
      </c>
    </row>
    <row r="1310" spans="2:11" hidden="1" x14ac:dyDescent="0.25">
      <c r="B1310" s="28" t="str">
        <f>IF(ISNUMBER(MATCH(C1310, Mgt_Unit!$C$5:$C$1018, 0)), INDEX(Mgt_Unit!$B$5:$B$1018, MATCH(C1310, Mgt_Unit!$C$5:$C$1018, 0)), "")</f>
        <v>jennifer.moore</v>
      </c>
      <c r="C1310" t="s">
        <v>827</v>
      </c>
      <c r="E1310" s="17" t="s">
        <v>1583</v>
      </c>
      <c r="F1310" s="89">
        <v>42148</v>
      </c>
      <c r="J1310" t="s">
        <v>1430</v>
      </c>
      <c r="K1310" s="120">
        <v>0.15</v>
      </c>
    </row>
    <row r="1311" spans="2:11" hidden="1" x14ac:dyDescent="0.25">
      <c r="B1311" s="28" t="str">
        <f>IF(ISNUMBER(MATCH(C1311, Mgt_Unit!$C$5:$C$1018, 0)), INDEX(Mgt_Unit!$B$5:$B$1018, MATCH(C1311, Mgt_Unit!$C$5:$C$1018, 0)), "")</f>
        <v>jennifer.moore</v>
      </c>
      <c r="C1311" t="s">
        <v>827</v>
      </c>
      <c r="E1311" s="17" t="s">
        <v>1584</v>
      </c>
      <c r="F1311" s="89">
        <v>42165</v>
      </c>
      <c r="J1311" t="s">
        <v>1398</v>
      </c>
      <c r="K1311" s="120">
        <v>4</v>
      </c>
    </row>
    <row r="1312" spans="2:11" hidden="1" x14ac:dyDescent="0.25">
      <c r="B1312" s="28" t="str">
        <f>IF(ISNUMBER(MATCH(C1312, Mgt_Unit!$C$5:$C$1018, 0)), INDEX(Mgt_Unit!$B$5:$B$1018, MATCH(C1312, Mgt_Unit!$C$5:$C$1018, 0)), "")</f>
        <v>jennifer.moore</v>
      </c>
      <c r="C1312" t="s">
        <v>827</v>
      </c>
      <c r="E1312" s="17" t="s">
        <v>1583</v>
      </c>
      <c r="F1312" s="89">
        <v>42190</v>
      </c>
      <c r="J1312" t="s">
        <v>1430</v>
      </c>
      <c r="K1312" s="120">
        <v>0.15</v>
      </c>
    </row>
    <row r="1313" spans="2:11" hidden="1" x14ac:dyDescent="0.25">
      <c r="B1313" s="28" t="str">
        <f>IF(ISNUMBER(MATCH(C1313, Mgt_Unit!$C$5:$C$1018, 0)), INDEX(Mgt_Unit!$B$5:$B$1018, MATCH(C1313, Mgt_Unit!$C$5:$C$1018, 0)), "")</f>
        <v>jennifer.moore</v>
      </c>
      <c r="C1313" t="s">
        <v>827</v>
      </c>
      <c r="E1313" s="17" t="s">
        <v>1583</v>
      </c>
      <c r="F1313" s="89">
        <v>42250</v>
      </c>
      <c r="J1313" t="s">
        <v>1431</v>
      </c>
      <c r="K1313" s="120">
        <v>0.15</v>
      </c>
    </row>
    <row r="1314" spans="2:11" hidden="1" x14ac:dyDescent="0.25">
      <c r="B1314" s="28" t="str">
        <f>IF(ISNUMBER(MATCH(C1314, Mgt_Unit!$C$5:$C$1018, 0)), INDEX(Mgt_Unit!$B$5:$B$1018, MATCH(C1314, Mgt_Unit!$C$5:$C$1018, 0)), "")</f>
        <v>jennifer.moore</v>
      </c>
      <c r="C1314" t="s">
        <v>827</v>
      </c>
      <c r="E1314" s="17" t="s">
        <v>1583</v>
      </c>
      <c r="F1314" s="89">
        <v>42278</v>
      </c>
      <c r="J1314" t="s">
        <v>1398</v>
      </c>
      <c r="K1314" s="120">
        <v>4</v>
      </c>
    </row>
    <row r="1315" spans="2:11" hidden="1" x14ac:dyDescent="0.25">
      <c r="B1315" s="28" t="str">
        <f>IF(ISNUMBER(MATCH(C1315, Mgt_Unit!$C$5:$C$1018, 0)), INDEX(Mgt_Unit!$B$5:$B$1018, MATCH(C1315, Mgt_Unit!$C$5:$C$1018, 0)), "")</f>
        <v>jennifer.moore</v>
      </c>
      <c r="C1315" t="s">
        <v>827</v>
      </c>
      <c r="E1315" s="17" t="s">
        <v>1583</v>
      </c>
      <c r="F1315" s="89">
        <v>42487</v>
      </c>
      <c r="J1315" t="s">
        <v>1430</v>
      </c>
      <c r="K1315" s="120">
        <v>0.15</v>
      </c>
    </row>
    <row r="1316" spans="2:11" hidden="1" x14ac:dyDescent="0.25">
      <c r="B1316" s="28" t="str">
        <f>IF(ISNUMBER(MATCH(C1316, Mgt_Unit!$C$5:$C$1018, 0)), INDEX(Mgt_Unit!$B$5:$B$1018, MATCH(C1316, Mgt_Unit!$C$5:$C$1018, 0)), "")</f>
        <v>jennifer.moore</v>
      </c>
      <c r="C1316" t="s">
        <v>827</v>
      </c>
      <c r="E1316" s="17" t="s">
        <v>1583</v>
      </c>
      <c r="F1316" s="89">
        <v>42561</v>
      </c>
      <c r="J1316" t="s">
        <v>1431</v>
      </c>
      <c r="K1316" s="120">
        <v>0.15</v>
      </c>
    </row>
    <row r="1317" spans="2:11" hidden="1" x14ac:dyDescent="0.25">
      <c r="B1317" s="28" t="str">
        <f>IF(ISNUMBER(MATCH(C1317, Mgt_Unit!$C$5:$C$1018, 0)), INDEX(Mgt_Unit!$B$5:$B$1018, MATCH(C1317, Mgt_Unit!$C$5:$C$1018, 0)), "")</f>
        <v>jennifer.moore</v>
      </c>
      <c r="C1317" t="s">
        <v>827</v>
      </c>
      <c r="E1317" s="17" t="s">
        <v>1584</v>
      </c>
      <c r="F1317" s="89">
        <v>42876</v>
      </c>
      <c r="J1317" t="s">
        <v>1353</v>
      </c>
      <c r="K1317" s="120">
        <v>2.4</v>
      </c>
    </row>
    <row r="1318" spans="2:11" hidden="1" x14ac:dyDescent="0.25">
      <c r="B1318" s="28" t="str">
        <f>IF(ISNUMBER(MATCH(C1318, Mgt_Unit!$C$5:$C$1018, 0)), INDEX(Mgt_Unit!$B$5:$B$1018, MATCH(C1318, Mgt_Unit!$C$5:$C$1018, 0)), "")</f>
        <v>jennifer.moore</v>
      </c>
      <c r="C1318" t="s">
        <v>827</v>
      </c>
      <c r="E1318" s="17" t="s">
        <v>1583</v>
      </c>
      <c r="F1318" s="89">
        <v>42879</v>
      </c>
      <c r="J1318" t="s">
        <v>1430</v>
      </c>
      <c r="K1318" s="120">
        <v>0.15</v>
      </c>
    </row>
    <row r="1319" spans="2:11" hidden="1" x14ac:dyDescent="0.25">
      <c r="B1319" s="28" t="str">
        <f>IF(ISNUMBER(MATCH(C1319, Mgt_Unit!$C$5:$C$1018, 0)), INDEX(Mgt_Unit!$B$5:$B$1018, MATCH(C1319, Mgt_Unit!$C$5:$C$1018, 0)), "")</f>
        <v>jennifer.moore</v>
      </c>
      <c r="C1319" t="s">
        <v>827</v>
      </c>
      <c r="E1319" s="17" t="s">
        <v>1583</v>
      </c>
      <c r="F1319" s="89">
        <v>43056</v>
      </c>
      <c r="J1319" t="s">
        <v>1431</v>
      </c>
      <c r="K1319" s="120">
        <v>0.15</v>
      </c>
    </row>
    <row r="1320" spans="2:11" hidden="1" x14ac:dyDescent="0.25">
      <c r="B1320" s="28" t="str">
        <f>IF(ISNUMBER(MATCH(C1320, Mgt_Unit!$C$5:$C$1018, 0)), INDEX(Mgt_Unit!$B$5:$B$1018, MATCH(C1320, Mgt_Unit!$C$5:$C$1018, 0)), "")</f>
        <v>jennifer.moore</v>
      </c>
      <c r="C1320" t="s">
        <v>827</v>
      </c>
      <c r="E1320" s="17" t="s">
        <v>1583</v>
      </c>
      <c r="F1320" s="89">
        <v>43244</v>
      </c>
      <c r="J1320" t="s">
        <v>1430</v>
      </c>
      <c r="K1320" s="120">
        <v>0.15</v>
      </c>
    </row>
    <row r="1321" spans="2:11" hidden="1" x14ac:dyDescent="0.25">
      <c r="B1321" s="28" t="str">
        <f>IF(ISNUMBER(MATCH(C1321, Mgt_Unit!$C$5:$C$1018, 0)), INDEX(Mgt_Unit!$B$5:$B$1018, MATCH(C1321, Mgt_Unit!$C$5:$C$1018, 0)), "")</f>
        <v>jennifer.moore</v>
      </c>
      <c r="C1321" t="s">
        <v>827</v>
      </c>
      <c r="E1321" s="17" t="s">
        <v>1584</v>
      </c>
      <c r="F1321" s="89">
        <v>43261</v>
      </c>
      <c r="J1321" t="s">
        <v>1398</v>
      </c>
      <c r="K1321" s="120">
        <v>4</v>
      </c>
    </row>
    <row r="1322" spans="2:11" hidden="1" x14ac:dyDescent="0.25">
      <c r="B1322" s="28" t="str">
        <f>IF(ISNUMBER(MATCH(C1322, Mgt_Unit!$C$5:$C$1018, 0)), INDEX(Mgt_Unit!$B$5:$B$1018, MATCH(C1322, Mgt_Unit!$C$5:$C$1018, 0)), "")</f>
        <v>jennifer.moore</v>
      </c>
      <c r="C1322" t="s">
        <v>827</v>
      </c>
      <c r="E1322" s="17" t="s">
        <v>1583</v>
      </c>
      <c r="F1322" s="89">
        <v>43317</v>
      </c>
      <c r="J1322" t="s">
        <v>1430</v>
      </c>
      <c r="K1322" s="120">
        <v>0.15</v>
      </c>
    </row>
    <row r="1323" spans="2:11" hidden="1" x14ac:dyDescent="0.25">
      <c r="B1323" s="28" t="str">
        <f>IF(ISNUMBER(MATCH(C1323, Mgt_Unit!$C$5:$C$1018, 0)), INDEX(Mgt_Unit!$B$5:$B$1018, MATCH(C1323, Mgt_Unit!$C$5:$C$1018, 0)), "")</f>
        <v>jennifer.moore</v>
      </c>
      <c r="C1323" t="s">
        <v>827</v>
      </c>
      <c r="E1323" s="17" t="s">
        <v>1583</v>
      </c>
      <c r="F1323" s="89">
        <v>43346</v>
      </c>
      <c r="J1323" t="s">
        <v>1431</v>
      </c>
      <c r="K1323" s="120">
        <v>0.15</v>
      </c>
    </row>
    <row r="1324" spans="2:11" hidden="1" x14ac:dyDescent="0.25">
      <c r="B1324" s="28" t="str">
        <f>IF(ISNUMBER(MATCH(C1324, Mgt_Unit!$C$5:$C$1018, 0)), INDEX(Mgt_Unit!$B$5:$B$1018, MATCH(C1324, Mgt_Unit!$C$5:$C$1018, 0)), "")</f>
        <v>jennifer.moore</v>
      </c>
      <c r="C1324" t="s">
        <v>828</v>
      </c>
      <c r="E1324" s="17" t="s">
        <v>1583</v>
      </c>
      <c r="F1324" s="89">
        <v>42148</v>
      </c>
      <c r="J1324" t="s">
        <v>1430</v>
      </c>
      <c r="K1324" s="120">
        <v>0.15</v>
      </c>
    </row>
    <row r="1325" spans="2:11" hidden="1" x14ac:dyDescent="0.25">
      <c r="B1325" s="28" t="str">
        <f>IF(ISNUMBER(MATCH(C1325, Mgt_Unit!$C$5:$C$1018, 0)), INDEX(Mgt_Unit!$B$5:$B$1018, MATCH(C1325, Mgt_Unit!$C$5:$C$1018, 0)), "")</f>
        <v>jennifer.moore</v>
      </c>
      <c r="C1325" t="s">
        <v>828</v>
      </c>
      <c r="E1325" s="17" t="s">
        <v>1584</v>
      </c>
      <c r="F1325" s="89">
        <v>42165</v>
      </c>
      <c r="J1325" t="s">
        <v>1398</v>
      </c>
      <c r="K1325" s="120">
        <v>4</v>
      </c>
    </row>
    <row r="1326" spans="2:11" hidden="1" x14ac:dyDescent="0.25">
      <c r="B1326" s="28" t="str">
        <f>IF(ISNUMBER(MATCH(C1326, Mgt_Unit!$C$5:$C$1018, 0)), INDEX(Mgt_Unit!$B$5:$B$1018, MATCH(C1326, Mgt_Unit!$C$5:$C$1018, 0)), "")</f>
        <v>jennifer.moore</v>
      </c>
      <c r="C1326" t="s">
        <v>828</v>
      </c>
      <c r="E1326" s="17" t="s">
        <v>1583</v>
      </c>
      <c r="F1326" s="89">
        <v>42190</v>
      </c>
      <c r="J1326" t="s">
        <v>1430</v>
      </c>
      <c r="K1326" s="120">
        <v>0.15</v>
      </c>
    </row>
    <row r="1327" spans="2:11" hidden="1" x14ac:dyDescent="0.25">
      <c r="B1327" s="28" t="str">
        <f>IF(ISNUMBER(MATCH(C1327, Mgt_Unit!$C$5:$C$1018, 0)), INDEX(Mgt_Unit!$B$5:$B$1018, MATCH(C1327, Mgt_Unit!$C$5:$C$1018, 0)), "")</f>
        <v>jennifer.moore</v>
      </c>
      <c r="C1327" t="s">
        <v>828</v>
      </c>
      <c r="E1327" s="17" t="s">
        <v>1583</v>
      </c>
      <c r="F1327" s="89">
        <v>42250</v>
      </c>
      <c r="J1327" t="s">
        <v>1431</v>
      </c>
      <c r="K1327" s="120">
        <v>0.15</v>
      </c>
    </row>
    <row r="1328" spans="2:11" hidden="1" x14ac:dyDescent="0.25">
      <c r="B1328" s="28" t="str">
        <f>IF(ISNUMBER(MATCH(C1328, Mgt_Unit!$C$5:$C$1018, 0)), INDEX(Mgt_Unit!$B$5:$B$1018, MATCH(C1328, Mgt_Unit!$C$5:$C$1018, 0)), "")</f>
        <v>jennifer.moore</v>
      </c>
      <c r="C1328" t="s">
        <v>828</v>
      </c>
      <c r="E1328" s="17" t="s">
        <v>1583</v>
      </c>
      <c r="F1328" s="89">
        <v>42278</v>
      </c>
      <c r="J1328" t="s">
        <v>1398</v>
      </c>
      <c r="K1328" s="120">
        <v>4</v>
      </c>
    </row>
    <row r="1329" spans="2:11" hidden="1" x14ac:dyDescent="0.25">
      <c r="B1329" s="28" t="str">
        <f>IF(ISNUMBER(MATCH(C1329, Mgt_Unit!$C$5:$C$1018, 0)), INDEX(Mgt_Unit!$B$5:$B$1018, MATCH(C1329, Mgt_Unit!$C$5:$C$1018, 0)), "")</f>
        <v>jennifer.moore</v>
      </c>
      <c r="C1329" t="s">
        <v>828</v>
      </c>
      <c r="E1329" s="17" t="s">
        <v>1583</v>
      </c>
      <c r="F1329" s="89">
        <v>42487</v>
      </c>
      <c r="J1329" t="s">
        <v>1430</v>
      </c>
      <c r="K1329" s="120">
        <v>0.15</v>
      </c>
    </row>
    <row r="1330" spans="2:11" hidden="1" x14ac:dyDescent="0.25">
      <c r="B1330" s="28" t="str">
        <f>IF(ISNUMBER(MATCH(C1330, Mgt_Unit!$C$5:$C$1018, 0)), INDEX(Mgt_Unit!$B$5:$B$1018, MATCH(C1330, Mgt_Unit!$C$5:$C$1018, 0)), "")</f>
        <v>jennifer.moore</v>
      </c>
      <c r="C1330" t="s">
        <v>828</v>
      </c>
      <c r="E1330" s="17" t="s">
        <v>1583</v>
      </c>
      <c r="F1330" s="89">
        <v>42561</v>
      </c>
      <c r="J1330" t="s">
        <v>1431</v>
      </c>
      <c r="K1330" s="120">
        <v>0.15</v>
      </c>
    </row>
    <row r="1331" spans="2:11" hidden="1" x14ac:dyDescent="0.25">
      <c r="B1331" s="28" t="str">
        <f>IF(ISNUMBER(MATCH(C1331, Mgt_Unit!$C$5:$C$1018, 0)), INDEX(Mgt_Unit!$B$5:$B$1018, MATCH(C1331, Mgt_Unit!$C$5:$C$1018, 0)), "")</f>
        <v>jennifer.moore</v>
      </c>
      <c r="C1331" t="s">
        <v>828</v>
      </c>
      <c r="E1331" s="17" t="s">
        <v>1584</v>
      </c>
      <c r="F1331" s="89">
        <v>42876</v>
      </c>
      <c r="J1331" t="s">
        <v>1353</v>
      </c>
      <c r="K1331" s="120">
        <v>2.4</v>
      </c>
    </row>
    <row r="1332" spans="2:11" hidden="1" x14ac:dyDescent="0.25">
      <c r="B1332" s="28" t="str">
        <f>IF(ISNUMBER(MATCH(C1332, Mgt_Unit!$C$5:$C$1018, 0)), INDEX(Mgt_Unit!$B$5:$B$1018, MATCH(C1332, Mgt_Unit!$C$5:$C$1018, 0)), "")</f>
        <v>jennifer.moore</v>
      </c>
      <c r="C1332" t="s">
        <v>828</v>
      </c>
      <c r="E1332" s="17" t="s">
        <v>1583</v>
      </c>
      <c r="F1332" s="89">
        <v>42879</v>
      </c>
      <c r="J1332" t="s">
        <v>1430</v>
      </c>
      <c r="K1332" s="120">
        <v>0.15</v>
      </c>
    </row>
    <row r="1333" spans="2:11" hidden="1" x14ac:dyDescent="0.25">
      <c r="B1333" s="28" t="str">
        <f>IF(ISNUMBER(MATCH(C1333, Mgt_Unit!$C$5:$C$1018, 0)), INDEX(Mgt_Unit!$B$5:$B$1018, MATCH(C1333, Mgt_Unit!$C$5:$C$1018, 0)), "")</f>
        <v>jennifer.moore</v>
      </c>
      <c r="C1333" t="s">
        <v>828</v>
      </c>
      <c r="E1333" s="17" t="s">
        <v>1583</v>
      </c>
      <c r="F1333" s="89">
        <v>43056</v>
      </c>
      <c r="J1333" t="s">
        <v>1431</v>
      </c>
      <c r="K1333" s="120">
        <v>0.15</v>
      </c>
    </row>
    <row r="1334" spans="2:11" hidden="1" x14ac:dyDescent="0.25">
      <c r="B1334" s="28" t="str">
        <f>IF(ISNUMBER(MATCH(C1334, Mgt_Unit!$C$5:$C$1018, 0)), INDEX(Mgt_Unit!$B$5:$B$1018, MATCH(C1334, Mgt_Unit!$C$5:$C$1018, 0)), "")</f>
        <v>jennifer.moore</v>
      </c>
      <c r="C1334" t="s">
        <v>828</v>
      </c>
      <c r="E1334" s="17" t="s">
        <v>1583</v>
      </c>
      <c r="F1334" s="89">
        <v>43244</v>
      </c>
      <c r="J1334" t="s">
        <v>1430</v>
      </c>
      <c r="K1334" s="120">
        <v>0.15</v>
      </c>
    </row>
    <row r="1335" spans="2:11" hidden="1" x14ac:dyDescent="0.25">
      <c r="B1335" s="28" t="str">
        <f>IF(ISNUMBER(MATCH(C1335, Mgt_Unit!$C$5:$C$1018, 0)), INDEX(Mgt_Unit!$B$5:$B$1018, MATCH(C1335, Mgt_Unit!$C$5:$C$1018, 0)), "")</f>
        <v>jennifer.moore</v>
      </c>
      <c r="C1335" t="s">
        <v>828</v>
      </c>
      <c r="E1335" s="17" t="s">
        <v>1584</v>
      </c>
      <c r="F1335" s="89">
        <v>43261</v>
      </c>
      <c r="J1335" t="s">
        <v>1398</v>
      </c>
      <c r="K1335" s="120">
        <v>4</v>
      </c>
    </row>
    <row r="1336" spans="2:11" hidden="1" x14ac:dyDescent="0.25">
      <c r="B1336" s="28" t="str">
        <f>IF(ISNUMBER(MATCH(C1336, Mgt_Unit!$C$5:$C$1018, 0)), INDEX(Mgt_Unit!$B$5:$B$1018, MATCH(C1336, Mgt_Unit!$C$5:$C$1018, 0)), "")</f>
        <v>jennifer.moore</v>
      </c>
      <c r="C1336" t="s">
        <v>828</v>
      </c>
      <c r="E1336" s="17" t="s">
        <v>1583</v>
      </c>
      <c r="F1336" s="89">
        <v>43317</v>
      </c>
      <c r="J1336" t="s">
        <v>1430</v>
      </c>
      <c r="K1336" s="120">
        <v>0.15</v>
      </c>
    </row>
    <row r="1337" spans="2:11" hidden="1" x14ac:dyDescent="0.25">
      <c r="B1337" s="28" t="str">
        <f>IF(ISNUMBER(MATCH(C1337, Mgt_Unit!$C$5:$C$1018, 0)), INDEX(Mgt_Unit!$B$5:$B$1018, MATCH(C1337, Mgt_Unit!$C$5:$C$1018, 0)), "")</f>
        <v>jennifer.moore</v>
      </c>
      <c r="C1337" t="s">
        <v>828</v>
      </c>
      <c r="E1337" s="17" t="s">
        <v>1583</v>
      </c>
      <c r="F1337" s="89">
        <v>43346</v>
      </c>
      <c r="J1337" t="s">
        <v>1431</v>
      </c>
      <c r="K1337" s="120">
        <v>0.15</v>
      </c>
    </row>
    <row r="1338" spans="2:11" hidden="1" x14ac:dyDescent="0.25">
      <c r="B1338" s="28" t="str">
        <f>IF(ISNUMBER(MATCH(C1338, Mgt_Unit!$C$5:$C$1018, 0)), INDEX(Mgt_Unit!$B$5:$B$1018, MATCH(C1338, Mgt_Unit!$C$5:$C$1018, 0)), "")</f>
        <v>jennifer.moore</v>
      </c>
      <c r="C1338" t="s">
        <v>829</v>
      </c>
      <c r="E1338" s="17" t="s">
        <v>1583</v>
      </c>
      <c r="F1338" s="89">
        <v>42475</v>
      </c>
      <c r="J1338" t="s">
        <v>1430</v>
      </c>
      <c r="K1338" s="120">
        <v>0.15</v>
      </c>
    </row>
    <row r="1339" spans="2:11" hidden="1" x14ac:dyDescent="0.25">
      <c r="B1339" s="28" t="str">
        <f>IF(ISNUMBER(MATCH(C1339, Mgt_Unit!$C$5:$C$1018, 0)), INDEX(Mgt_Unit!$B$5:$B$1018, MATCH(C1339, Mgt_Unit!$C$5:$C$1018, 0)), "")</f>
        <v>jennifer.moore</v>
      </c>
      <c r="C1339" t="s">
        <v>829</v>
      </c>
      <c r="E1339" s="17" t="s">
        <v>1583</v>
      </c>
      <c r="F1339" s="89">
        <v>42614</v>
      </c>
      <c r="J1339" t="s">
        <v>1430</v>
      </c>
      <c r="K1339" s="120">
        <v>0.15</v>
      </c>
    </row>
    <row r="1340" spans="2:11" hidden="1" x14ac:dyDescent="0.25">
      <c r="B1340" s="28" t="str">
        <f>IF(ISNUMBER(MATCH(C1340, Mgt_Unit!$C$5:$C$1018, 0)), INDEX(Mgt_Unit!$B$5:$B$1018, MATCH(C1340, Mgt_Unit!$C$5:$C$1018, 0)), "")</f>
        <v>jennifer.moore</v>
      </c>
      <c r="C1340" t="s">
        <v>829</v>
      </c>
      <c r="E1340" s="17" t="s">
        <v>1584</v>
      </c>
      <c r="F1340" s="89">
        <v>42644</v>
      </c>
      <c r="J1340" t="s">
        <v>1398</v>
      </c>
      <c r="K1340" s="120">
        <v>4</v>
      </c>
    </row>
    <row r="1341" spans="2:11" hidden="1" x14ac:dyDescent="0.25">
      <c r="B1341" s="28" t="str">
        <f>IF(ISNUMBER(MATCH(C1341, Mgt_Unit!$C$5:$C$1018, 0)), INDEX(Mgt_Unit!$B$5:$B$1018, MATCH(C1341, Mgt_Unit!$C$5:$C$1018, 0)), "")</f>
        <v>jennifer.moore</v>
      </c>
      <c r="C1341" t="s">
        <v>829</v>
      </c>
      <c r="E1341" s="17" t="s">
        <v>1583</v>
      </c>
      <c r="F1341" s="89">
        <v>42852</v>
      </c>
      <c r="J1341" t="s">
        <v>1430</v>
      </c>
      <c r="K1341" s="120">
        <v>0.15</v>
      </c>
    </row>
    <row r="1342" spans="2:11" hidden="1" x14ac:dyDescent="0.25">
      <c r="B1342" s="28" t="str">
        <f>IF(ISNUMBER(MATCH(C1342, Mgt_Unit!$C$5:$C$1018, 0)), INDEX(Mgt_Unit!$B$5:$B$1018, MATCH(C1342, Mgt_Unit!$C$5:$C$1018, 0)), "")</f>
        <v>jennifer.moore</v>
      </c>
      <c r="C1342" t="s">
        <v>829</v>
      </c>
      <c r="E1342" s="17" t="s">
        <v>1583</v>
      </c>
      <c r="F1342" s="89">
        <v>42926</v>
      </c>
      <c r="J1342" t="s">
        <v>1431</v>
      </c>
      <c r="K1342" s="120">
        <v>0.15</v>
      </c>
    </row>
    <row r="1343" spans="2:11" hidden="1" x14ac:dyDescent="0.25">
      <c r="B1343" s="28" t="str">
        <f>IF(ISNUMBER(MATCH(C1343, Mgt_Unit!$C$5:$C$1018, 0)), INDEX(Mgt_Unit!$B$5:$B$1018, MATCH(C1343, Mgt_Unit!$C$5:$C$1018, 0)), "")</f>
        <v>jennifer.moore</v>
      </c>
      <c r="C1343" t="s">
        <v>829</v>
      </c>
      <c r="E1343" s="17" t="s">
        <v>1584</v>
      </c>
      <c r="F1343" s="89">
        <v>43241</v>
      </c>
      <c r="J1343" t="s">
        <v>1432</v>
      </c>
      <c r="K1343" s="120">
        <v>2.4</v>
      </c>
    </row>
    <row r="1344" spans="2:11" hidden="1" x14ac:dyDescent="0.25">
      <c r="B1344" s="28" t="str">
        <f>IF(ISNUMBER(MATCH(C1344, Mgt_Unit!$C$5:$C$1018, 0)), INDEX(Mgt_Unit!$B$5:$B$1018, MATCH(C1344, Mgt_Unit!$C$5:$C$1018, 0)), "")</f>
        <v>jennifer.moore</v>
      </c>
      <c r="C1344" t="s">
        <v>829</v>
      </c>
      <c r="E1344" s="17" t="s">
        <v>1583</v>
      </c>
      <c r="F1344" s="89">
        <v>43241</v>
      </c>
      <c r="J1344" t="s">
        <v>1430</v>
      </c>
      <c r="K1344" s="120">
        <v>0.15</v>
      </c>
    </row>
    <row r="1345" spans="2:11" hidden="1" x14ac:dyDescent="0.25">
      <c r="B1345" s="28" t="str">
        <f>IF(ISNUMBER(MATCH(C1345, Mgt_Unit!$C$5:$C$1018, 0)), INDEX(Mgt_Unit!$B$5:$B$1018, MATCH(C1345, Mgt_Unit!$C$5:$C$1018, 0)), "")</f>
        <v>jennifer.moore</v>
      </c>
      <c r="C1345" t="s">
        <v>829</v>
      </c>
      <c r="E1345" s="17" t="s">
        <v>1431</v>
      </c>
      <c r="F1345" s="89">
        <v>43244</v>
      </c>
      <c r="J1345" t="s">
        <v>1433</v>
      </c>
      <c r="K1345" s="120">
        <v>0.15</v>
      </c>
    </row>
    <row r="1346" spans="2:11" hidden="1" x14ac:dyDescent="0.25">
      <c r="B1346" s="28" t="str">
        <f>IF(ISNUMBER(MATCH(C1346, Mgt_Unit!$C$5:$C$1018, 0)), INDEX(Mgt_Unit!$B$5:$B$1018, MATCH(C1346, Mgt_Unit!$C$5:$C$1018, 0)), "")</f>
        <v>jennifer.moore</v>
      </c>
      <c r="C1346" t="s">
        <v>830</v>
      </c>
      <c r="E1346" s="17" t="s">
        <v>1583</v>
      </c>
      <c r="F1346" s="89">
        <v>42475</v>
      </c>
      <c r="J1346" t="s">
        <v>1430</v>
      </c>
      <c r="K1346" s="120">
        <v>0.15</v>
      </c>
    </row>
    <row r="1347" spans="2:11" hidden="1" x14ac:dyDescent="0.25">
      <c r="B1347" s="28" t="str">
        <f>IF(ISNUMBER(MATCH(C1347, Mgt_Unit!$C$5:$C$1018, 0)), INDEX(Mgt_Unit!$B$5:$B$1018, MATCH(C1347, Mgt_Unit!$C$5:$C$1018, 0)), "")</f>
        <v>jennifer.moore</v>
      </c>
      <c r="C1347" t="s">
        <v>830</v>
      </c>
      <c r="E1347" s="17" t="s">
        <v>1584</v>
      </c>
      <c r="F1347" s="89">
        <v>42644</v>
      </c>
      <c r="J1347" t="s">
        <v>1398</v>
      </c>
      <c r="K1347" s="120">
        <v>4</v>
      </c>
    </row>
    <row r="1348" spans="2:11" hidden="1" x14ac:dyDescent="0.25">
      <c r="B1348" s="28" t="str">
        <f>IF(ISNUMBER(MATCH(C1348, Mgt_Unit!$C$5:$C$1018, 0)), INDEX(Mgt_Unit!$B$5:$B$1018, MATCH(C1348, Mgt_Unit!$C$5:$C$1018, 0)), "")</f>
        <v>jennifer.moore</v>
      </c>
      <c r="C1348" t="s">
        <v>830</v>
      </c>
      <c r="E1348" s="17" t="s">
        <v>1583</v>
      </c>
      <c r="F1348" s="89">
        <v>42852</v>
      </c>
      <c r="J1348" t="s">
        <v>1430</v>
      </c>
      <c r="K1348" s="120">
        <v>0.15</v>
      </c>
    </row>
    <row r="1349" spans="2:11" hidden="1" x14ac:dyDescent="0.25">
      <c r="B1349" s="28" t="str">
        <f>IF(ISNUMBER(MATCH(C1349, Mgt_Unit!$C$5:$C$1018, 0)), INDEX(Mgt_Unit!$B$5:$B$1018, MATCH(C1349, Mgt_Unit!$C$5:$C$1018, 0)), "")</f>
        <v>jennifer.moore</v>
      </c>
      <c r="C1349" t="s">
        <v>830</v>
      </c>
      <c r="E1349" s="17" t="s">
        <v>1583</v>
      </c>
      <c r="F1349" s="89">
        <v>42926</v>
      </c>
      <c r="J1349" t="s">
        <v>1431</v>
      </c>
      <c r="K1349" s="120">
        <v>0.15</v>
      </c>
    </row>
    <row r="1350" spans="2:11" hidden="1" x14ac:dyDescent="0.25">
      <c r="B1350" s="28" t="str">
        <f>IF(ISNUMBER(MATCH(C1350, Mgt_Unit!$C$5:$C$1018, 0)), INDEX(Mgt_Unit!$B$5:$B$1018, MATCH(C1350, Mgt_Unit!$C$5:$C$1018, 0)), "")</f>
        <v>jennifer.moore</v>
      </c>
      <c r="C1350" t="s">
        <v>830</v>
      </c>
      <c r="E1350" s="17" t="s">
        <v>1583</v>
      </c>
      <c r="F1350" s="89">
        <v>42979</v>
      </c>
      <c r="J1350" t="s">
        <v>1430</v>
      </c>
      <c r="K1350" s="120">
        <v>0.15</v>
      </c>
    </row>
    <row r="1351" spans="2:11" hidden="1" x14ac:dyDescent="0.25">
      <c r="B1351" s="28" t="str">
        <f>IF(ISNUMBER(MATCH(C1351, Mgt_Unit!$C$5:$C$1018, 0)), INDEX(Mgt_Unit!$B$5:$B$1018, MATCH(C1351, Mgt_Unit!$C$5:$C$1018, 0)), "")</f>
        <v>jennifer.moore</v>
      </c>
      <c r="C1351" t="s">
        <v>830</v>
      </c>
      <c r="E1351" s="17" t="s">
        <v>1584</v>
      </c>
      <c r="F1351" s="89">
        <v>43241</v>
      </c>
      <c r="J1351" t="s">
        <v>1353</v>
      </c>
      <c r="K1351" s="120">
        <v>2.4</v>
      </c>
    </row>
    <row r="1352" spans="2:11" hidden="1" x14ac:dyDescent="0.25">
      <c r="B1352" s="28" t="str">
        <f>IF(ISNUMBER(MATCH(C1352, Mgt_Unit!$C$5:$C$1018, 0)), INDEX(Mgt_Unit!$B$5:$B$1018, MATCH(C1352, Mgt_Unit!$C$5:$C$1018, 0)), "")</f>
        <v>jennifer.moore</v>
      </c>
      <c r="C1352" t="s">
        <v>830</v>
      </c>
      <c r="E1352" s="17" t="s">
        <v>1583</v>
      </c>
      <c r="F1352" s="89">
        <v>43244</v>
      </c>
      <c r="J1352" t="s">
        <v>1430</v>
      </c>
      <c r="K1352" s="120">
        <v>0.15</v>
      </c>
    </row>
    <row r="1353" spans="2:11" hidden="1" x14ac:dyDescent="0.25">
      <c r="B1353" s="28" t="str">
        <f>IF(ISNUMBER(MATCH(C1353, Mgt_Unit!$C$5:$C$1018, 0)), INDEX(Mgt_Unit!$B$5:$B$1018, MATCH(C1353, Mgt_Unit!$C$5:$C$1018, 0)), "")</f>
        <v>jennifer.moore</v>
      </c>
      <c r="C1353" t="s">
        <v>830</v>
      </c>
      <c r="E1353" s="17" t="s">
        <v>1583</v>
      </c>
      <c r="F1353" s="89">
        <v>43421</v>
      </c>
      <c r="J1353" t="s">
        <v>1431</v>
      </c>
      <c r="K1353" s="120">
        <v>0.15</v>
      </c>
    </row>
    <row r="1354" spans="2:11" hidden="1" x14ac:dyDescent="0.25">
      <c r="B1354" s="28" t="str">
        <f>IF(ISNUMBER(MATCH(C1354, Mgt_Unit!$C$5:$C$1018, 0)), INDEX(Mgt_Unit!$B$5:$B$1018, MATCH(C1354, Mgt_Unit!$C$5:$C$1018, 0)), "")</f>
        <v>jennifer.moore</v>
      </c>
      <c r="C1354" t="s">
        <v>831</v>
      </c>
      <c r="E1354" s="17" t="s">
        <v>1583</v>
      </c>
      <c r="F1354" s="89">
        <v>42475</v>
      </c>
      <c r="J1354" t="s">
        <v>1430</v>
      </c>
      <c r="K1354" s="120">
        <v>0.15</v>
      </c>
    </row>
    <row r="1355" spans="2:11" hidden="1" x14ac:dyDescent="0.25">
      <c r="B1355" s="28" t="str">
        <f>IF(ISNUMBER(MATCH(C1355, Mgt_Unit!$C$5:$C$1018, 0)), INDEX(Mgt_Unit!$B$5:$B$1018, MATCH(C1355, Mgt_Unit!$C$5:$C$1018, 0)), "")</f>
        <v>jennifer.moore</v>
      </c>
      <c r="C1355" t="s">
        <v>831</v>
      </c>
      <c r="E1355" s="17" t="s">
        <v>1583</v>
      </c>
      <c r="F1355" s="89">
        <v>42614</v>
      </c>
      <c r="J1355" t="s">
        <v>1430</v>
      </c>
      <c r="K1355" s="120">
        <v>0.15</v>
      </c>
    </row>
    <row r="1356" spans="2:11" hidden="1" x14ac:dyDescent="0.25">
      <c r="B1356" s="28" t="str">
        <f>IF(ISNUMBER(MATCH(C1356, Mgt_Unit!$C$5:$C$1018, 0)), INDEX(Mgt_Unit!$B$5:$B$1018, MATCH(C1356, Mgt_Unit!$C$5:$C$1018, 0)), "")</f>
        <v>jennifer.moore</v>
      </c>
      <c r="C1356" t="s">
        <v>831</v>
      </c>
      <c r="E1356" s="17" t="s">
        <v>1584</v>
      </c>
      <c r="F1356" s="89">
        <v>42644</v>
      </c>
      <c r="J1356" t="s">
        <v>1398</v>
      </c>
      <c r="K1356" s="120">
        <v>4</v>
      </c>
    </row>
    <row r="1357" spans="2:11" hidden="1" x14ac:dyDescent="0.25">
      <c r="B1357" s="28" t="str">
        <f>IF(ISNUMBER(MATCH(C1357, Mgt_Unit!$C$5:$C$1018, 0)), INDEX(Mgt_Unit!$B$5:$B$1018, MATCH(C1357, Mgt_Unit!$C$5:$C$1018, 0)), "")</f>
        <v>jennifer.moore</v>
      </c>
      <c r="C1357" t="s">
        <v>831</v>
      </c>
      <c r="E1357" s="17" t="s">
        <v>1583</v>
      </c>
      <c r="F1357" s="89">
        <v>42852</v>
      </c>
      <c r="J1357" t="s">
        <v>1430</v>
      </c>
      <c r="K1357" s="120">
        <v>0.15</v>
      </c>
    </row>
    <row r="1358" spans="2:11" hidden="1" x14ac:dyDescent="0.25">
      <c r="B1358" s="28" t="str">
        <f>IF(ISNUMBER(MATCH(C1358, Mgt_Unit!$C$5:$C$1018, 0)), INDEX(Mgt_Unit!$B$5:$B$1018, MATCH(C1358, Mgt_Unit!$C$5:$C$1018, 0)), "")</f>
        <v>jennifer.moore</v>
      </c>
      <c r="C1358" t="s">
        <v>831</v>
      </c>
      <c r="E1358" s="17" t="s">
        <v>1583</v>
      </c>
      <c r="F1358" s="89">
        <v>42926</v>
      </c>
      <c r="J1358" t="s">
        <v>1431</v>
      </c>
      <c r="K1358" s="120">
        <v>0.15</v>
      </c>
    </row>
    <row r="1359" spans="2:11" hidden="1" x14ac:dyDescent="0.25">
      <c r="B1359" s="28" t="str">
        <f>IF(ISNUMBER(MATCH(C1359, Mgt_Unit!$C$5:$C$1018, 0)), INDEX(Mgt_Unit!$B$5:$B$1018, MATCH(C1359, Mgt_Unit!$C$5:$C$1018, 0)), "")</f>
        <v>jennifer.moore</v>
      </c>
      <c r="C1359" t="s">
        <v>831</v>
      </c>
      <c r="E1359" s="17" t="s">
        <v>1583</v>
      </c>
      <c r="F1359" s="89">
        <v>42979</v>
      </c>
      <c r="J1359" t="s">
        <v>1430</v>
      </c>
      <c r="K1359" s="120">
        <v>0.15</v>
      </c>
    </row>
    <row r="1360" spans="2:11" hidden="1" x14ac:dyDescent="0.25">
      <c r="B1360" s="28" t="str">
        <f>IF(ISNUMBER(MATCH(C1360, Mgt_Unit!$C$5:$C$1018, 0)), INDEX(Mgt_Unit!$B$5:$B$1018, MATCH(C1360, Mgt_Unit!$C$5:$C$1018, 0)), "")</f>
        <v>jennifer.moore</v>
      </c>
      <c r="C1360" t="s">
        <v>831</v>
      </c>
      <c r="E1360" s="17" t="s">
        <v>1584</v>
      </c>
      <c r="F1360" s="89">
        <v>43241</v>
      </c>
      <c r="J1360" t="s">
        <v>1353</v>
      </c>
      <c r="K1360" s="120">
        <v>2.4</v>
      </c>
    </row>
    <row r="1361" spans="2:11" hidden="1" x14ac:dyDescent="0.25">
      <c r="B1361" s="28" t="str">
        <f>IF(ISNUMBER(MATCH(C1361, Mgt_Unit!$C$5:$C$1018, 0)), INDEX(Mgt_Unit!$B$5:$B$1018, MATCH(C1361, Mgt_Unit!$C$5:$C$1018, 0)), "")</f>
        <v>jennifer.moore</v>
      </c>
      <c r="C1361" t="s">
        <v>831</v>
      </c>
      <c r="E1361" s="17" t="s">
        <v>1583</v>
      </c>
      <c r="F1361" s="89">
        <v>43244</v>
      </c>
      <c r="J1361" t="s">
        <v>1430</v>
      </c>
      <c r="K1361" s="120">
        <v>0.15</v>
      </c>
    </row>
    <row r="1362" spans="2:11" hidden="1" x14ac:dyDescent="0.25">
      <c r="B1362" s="28" t="str">
        <f>IF(ISNUMBER(MATCH(C1362, Mgt_Unit!$C$5:$C$1018, 0)), INDEX(Mgt_Unit!$B$5:$B$1018, MATCH(C1362, Mgt_Unit!$C$5:$C$1018, 0)), "")</f>
        <v>jennifer.moore</v>
      </c>
      <c r="C1362" t="s">
        <v>831</v>
      </c>
      <c r="E1362" s="17" t="s">
        <v>1583</v>
      </c>
      <c r="F1362" s="89">
        <v>43421</v>
      </c>
      <c r="J1362" t="s">
        <v>1431</v>
      </c>
      <c r="K1362" s="120">
        <v>0.15</v>
      </c>
    </row>
    <row r="1363" spans="2:11" hidden="1" x14ac:dyDescent="0.25">
      <c r="B1363" s="28" t="str">
        <f>IF(ISNUMBER(MATCH(C1363, Mgt_Unit!$C$5:$C$1018, 0)), INDEX(Mgt_Unit!$B$5:$B$1018, MATCH(C1363, Mgt_Unit!$C$5:$C$1018, 0)), "")</f>
        <v>jennifer.moore</v>
      </c>
      <c r="C1363" t="s">
        <v>832</v>
      </c>
      <c r="E1363" s="17" t="s">
        <v>1583</v>
      </c>
      <c r="F1363" s="89">
        <v>42840</v>
      </c>
      <c r="J1363" t="s">
        <v>1430</v>
      </c>
      <c r="K1363" s="120">
        <v>0.15</v>
      </c>
    </row>
    <row r="1364" spans="2:11" hidden="1" x14ac:dyDescent="0.25">
      <c r="B1364" s="28" t="str">
        <f>IF(ISNUMBER(MATCH(C1364, Mgt_Unit!$C$5:$C$1018, 0)), INDEX(Mgt_Unit!$B$5:$B$1018, MATCH(C1364, Mgt_Unit!$C$5:$C$1018, 0)), "")</f>
        <v>jennifer.moore</v>
      </c>
      <c r="C1364" t="s">
        <v>832</v>
      </c>
      <c r="E1364" s="17" t="s">
        <v>1583</v>
      </c>
      <c r="F1364" s="89">
        <v>42979</v>
      </c>
      <c r="J1364" t="s">
        <v>1430</v>
      </c>
      <c r="K1364" s="120">
        <v>0.15</v>
      </c>
    </row>
    <row r="1365" spans="2:11" hidden="1" x14ac:dyDescent="0.25">
      <c r="B1365" s="28" t="str">
        <f>IF(ISNUMBER(MATCH(C1365, Mgt_Unit!$C$5:$C$1018, 0)), INDEX(Mgt_Unit!$B$5:$B$1018, MATCH(C1365, Mgt_Unit!$C$5:$C$1018, 0)), "")</f>
        <v>jennifer.moore</v>
      </c>
      <c r="C1365" t="s">
        <v>832</v>
      </c>
      <c r="E1365" s="17" t="s">
        <v>1584</v>
      </c>
      <c r="F1365" s="89">
        <v>43009</v>
      </c>
      <c r="J1365" t="s">
        <v>1398</v>
      </c>
      <c r="K1365" s="120">
        <v>4</v>
      </c>
    </row>
    <row r="1366" spans="2:11" hidden="1" x14ac:dyDescent="0.25">
      <c r="B1366" s="28" t="str">
        <f>IF(ISNUMBER(MATCH(C1366, Mgt_Unit!$C$5:$C$1018, 0)), INDEX(Mgt_Unit!$B$5:$B$1018, MATCH(C1366, Mgt_Unit!$C$5:$C$1018, 0)), "")</f>
        <v>jennifer.moore</v>
      </c>
      <c r="C1366" t="s">
        <v>832</v>
      </c>
      <c r="E1366" s="17" t="s">
        <v>1583</v>
      </c>
      <c r="F1366" s="89">
        <v>43217</v>
      </c>
      <c r="J1366" t="s">
        <v>1430</v>
      </c>
      <c r="K1366" s="120">
        <v>0.15</v>
      </c>
    </row>
    <row r="1367" spans="2:11" hidden="1" x14ac:dyDescent="0.25">
      <c r="B1367" s="28" t="str">
        <f>IF(ISNUMBER(MATCH(C1367, Mgt_Unit!$C$5:$C$1018, 0)), INDEX(Mgt_Unit!$B$5:$B$1018, MATCH(C1367, Mgt_Unit!$C$5:$C$1018, 0)), "")</f>
        <v>jennifer.moore</v>
      </c>
      <c r="C1367" t="s">
        <v>832</v>
      </c>
      <c r="E1367" s="17" t="s">
        <v>1583</v>
      </c>
      <c r="F1367" s="89">
        <v>43291</v>
      </c>
      <c r="J1367" t="s">
        <v>1431</v>
      </c>
      <c r="K1367" s="120">
        <v>0.15</v>
      </c>
    </row>
    <row r="1368" spans="2:11" hidden="1" x14ac:dyDescent="0.25">
      <c r="B1368" s="28" t="str">
        <f>IF(ISNUMBER(MATCH(C1368, Mgt_Unit!$C$5:$C$1018, 0)), INDEX(Mgt_Unit!$B$5:$B$1018, MATCH(C1368, Mgt_Unit!$C$5:$C$1018, 0)), "")</f>
        <v>jennifer.moore</v>
      </c>
      <c r="C1368" t="s">
        <v>832</v>
      </c>
      <c r="E1368" s="17" t="s">
        <v>1583</v>
      </c>
      <c r="F1368" s="89">
        <v>43317</v>
      </c>
      <c r="J1368" t="s">
        <v>1430</v>
      </c>
      <c r="K1368" s="120">
        <v>0.15</v>
      </c>
    </row>
    <row r="1369" spans="2:11" hidden="1" x14ac:dyDescent="0.25">
      <c r="B1369" s="28" t="str">
        <f>IF(ISNUMBER(MATCH(C1369, Mgt_Unit!$C$5:$C$1018, 0)), INDEX(Mgt_Unit!$B$5:$B$1018, MATCH(C1369, Mgt_Unit!$C$5:$C$1018, 0)), "")</f>
        <v>jennifer.moore</v>
      </c>
      <c r="C1369" t="s">
        <v>833</v>
      </c>
      <c r="E1369" s="17" t="s">
        <v>1583</v>
      </c>
      <c r="F1369" s="89">
        <v>42840</v>
      </c>
      <c r="J1369" t="s">
        <v>1430</v>
      </c>
      <c r="K1369" s="120">
        <v>0.15</v>
      </c>
    </row>
    <row r="1370" spans="2:11" hidden="1" x14ac:dyDescent="0.25">
      <c r="B1370" s="28" t="str">
        <f>IF(ISNUMBER(MATCH(C1370, Mgt_Unit!$C$5:$C$1018, 0)), INDEX(Mgt_Unit!$B$5:$B$1018, MATCH(C1370, Mgt_Unit!$C$5:$C$1018, 0)), "")</f>
        <v>jennifer.moore</v>
      </c>
      <c r="C1370" t="s">
        <v>833</v>
      </c>
      <c r="E1370" s="17" t="s">
        <v>1583</v>
      </c>
      <c r="F1370" s="89">
        <v>42979</v>
      </c>
      <c r="J1370" t="s">
        <v>1430</v>
      </c>
      <c r="K1370" s="120">
        <v>0.15</v>
      </c>
    </row>
    <row r="1371" spans="2:11" hidden="1" x14ac:dyDescent="0.25">
      <c r="B1371" s="28" t="str">
        <f>IF(ISNUMBER(MATCH(C1371, Mgt_Unit!$C$5:$C$1018, 0)), INDEX(Mgt_Unit!$B$5:$B$1018, MATCH(C1371, Mgt_Unit!$C$5:$C$1018, 0)), "")</f>
        <v>jennifer.moore</v>
      </c>
      <c r="C1371" t="s">
        <v>833</v>
      </c>
      <c r="E1371" s="17" t="s">
        <v>1584</v>
      </c>
      <c r="F1371" s="89">
        <v>43009</v>
      </c>
      <c r="J1371" t="s">
        <v>1398</v>
      </c>
      <c r="K1371" s="120">
        <v>4</v>
      </c>
    </row>
    <row r="1372" spans="2:11" hidden="1" x14ac:dyDescent="0.25">
      <c r="B1372" s="28" t="str">
        <f>IF(ISNUMBER(MATCH(C1372, Mgt_Unit!$C$5:$C$1018, 0)), INDEX(Mgt_Unit!$B$5:$B$1018, MATCH(C1372, Mgt_Unit!$C$5:$C$1018, 0)), "")</f>
        <v>jennifer.moore</v>
      </c>
      <c r="C1372" t="s">
        <v>833</v>
      </c>
      <c r="E1372" s="17" t="s">
        <v>1583</v>
      </c>
      <c r="F1372" s="89">
        <v>43217</v>
      </c>
      <c r="J1372" t="s">
        <v>1430</v>
      </c>
      <c r="K1372" s="120">
        <v>0.15</v>
      </c>
    </row>
    <row r="1373" spans="2:11" hidden="1" x14ac:dyDescent="0.25">
      <c r="B1373" s="28" t="str">
        <f>IF(ISNUMBER(MATCH(C1373, Mgt_Unit!$C$5:$C$1018, 0)), INDEX(Mgt_Unit!$B$5:$B$1018, MATCH(C1373, Mgt_Unit!$C$5:$C$1018, 0)), "")</f>
        <v>jennifer.moore</v>
      </c>
      <c r="C1373" t="s">
        <v>833</v>
      </c>
      <c r="E1373" s="17" t="s">
        <v>1583</v>
      </c>
      <c r="F1373" s="89">
        <v>43291</v>
      </c>
      <c r="J1373" t="s">
        <v>1431</v>
      </c>
      <c r="K1373" s="120">
        <v>0.15</v>
      </c>
    </row>
    <row r="1374" spans="2:11" hidden="1" x14ac:dyDescent="0.25">
      <c r="B1374" s="28" t="str">
        <f>IF(ISNUMBER(MATCH(C1374, Mgt_Unit!$C$5:$C$1018, 0)), INDEX(Mgt_Unit!$B$5:$B$1018, MATCH(C1374, Mgt_Unit!$C$5:$C$1018, 0)), "")</f>
        <v>jennifer.moore</v>
      </c>
      <c r="C1374" t="s">
        <v>833</v>
      </c>
      <c r="E1374" s="17" t="s">
        <v>1583</v>
      </c>
      <c r="F1374" s="89">
        <v>43317</v>
      </c>
      <c r="J1374" t="s">
        <v>1430</v>
      </c>
      <c r="K1374" s="120">
        <v>0.15</v>
      </c>
    </row>
    <row r="1375" spans="2:11" hidden="1" x14ac:dyDescent="0.25">
      <c r="B1375" s="28" t="str">
        <f>IF(ISNUMBER(MATCH(C1375, Mgt_Unit!$C$5:$C$1018, 0)), INDEX(Mgt_Unit!$B$5:$B$1018, MATCH(C1375, Mgt_Unit!$C$5:$C$1018, 0)), "")</f>
        <v>jennifer.moore</v>
      </c>
      <c r="C1375" t="s">
        <v>834</v>
      </c>
      <c r="E1375" s="17" t="s">
        <v>1583</v>
      </c>
      <c r="F1375" s="89">
        <v>42840</v>
      </c>
      <c r="J1375" t="s">
        <v>1430</v>
      </c>
      <c r="K1375" s="120">
        <v>0.15</v>
      </c>
    </row>
    <row r="1376" spans="2:11" hidden="1" x14ac:dyDescent="0.25">
      <c r="B1376" s="28" t="str">
        <f>IF(ISNUMBER(MATCH(C1376, Mgt_Unit!$C$5:$C$1018, 0)), INDEX(Mgt_Unit!$B$5:$B$1018, MATCH(C1376, Mgt_Unit!$C$5:$C$1018, 0)), "")</f>
        <v>jennifer.moore</v>
      </c>
      <c r="C1376" t="s">
        <v>834</v>
      </c>
      <c r="E1376" s="17" t="s">
        <v>1583</v>
      </c>
      <c r="F1376" s="89">
        <v>42979</v>
      </c>
      <c r="J1376" t="s">
        <v>1430</v>
      </c>
      <c r="K1376" s="120">
        <v>0.15</v>
      </c>
    </row>
    <row r="1377" spans="2:11" hidden="1" x14ac:dyDescent="0.25">
      <c r="B1377" s="28" t="str">
        <f>IF(ISNUMBER(MATCH(C1377, Mgt_Unit!$C$5:$C$1018, 0)), INDEX(Mgt_Unit!$B$5:$B$1018, MATCH(C1377, Mgt_Unit!$C$5:$C$1018, 0)), "")</f>
        <v>jennifer.moore</v>
      </c>
      <c r="C1377" t="s">
        <v>834</v>
      </c>
      <c r="E1377" s="17" t="s">
        <v>1584</v>
      </c>
      <c r="F1377" s="89">
        <v>43009</v>
      </c>
      <c r="J1377" t="s">
        <v>1398</v>
      </c>
      <c r="K1377" s="120">
        <v>4</v>
      </c>
    </row>
    <row r="1378" spans="2:11" hidden="1" x14ac:dyDescent="0.25">
      <c r="B1378" s="28" t="str">
        <f>IF(ISNUMBER(MATCH(C1378, Mgt_Unit!$C$5:$C$1018, 0)), INDEX(Mgt_Unit!$B$5:$B$1018, MATCH(C1378, Mgt_Unit!$C$5:$C$1018, 0)), "")</f>
        <v>jennifer.moore</v>
      </c>
      <c r="C1378" t="s">
        <v>834</v>
      </c>
      <c r="E1378" s="17" t="s">
        <v>1583</v>
      </c>
      <c r="F1378" s="89">
        <v>43217</v>
      </c>
      <c r="J1378" t="s">
        <v>1430</v>
      </c>
      <c r="K1378" s="120">
        <v>0.15</v>
      </c>
    </row>
    <row r="1379" spans="2:11" hidden="1" x14ac:dyDescent="0.25">
      <c r="B1379" s="28" t="str">
        <f>IF(ISNUMBER(MATCH(C1379, Mgt_Unit!$C$5:$C$1018, 0)), INDEX(Mgt_Unit!$B$5:$B$1018, MATCH(C1379, Mgt_Unit!$C$5:$C$1018, 0)), "")</f>
        <v>jennifer.moore</v>
      </c>
      <c r="C1379" t="s">
        <v>834</v>
      </c>
      <c r="E1379" s="17" t="s">
        <v>1583</v>
      </c>
      <c r="F1379" s="89">
        <v>43291</v>
      </c>
      <c r="J1379" t="s">
        <v>1431</v>
      </c>
      <c r="K1379" s="120">
        <v>0.15</v>
      </c>
    </row>
    <row r="1380" spans="2:11" hidden="1" x14ac:dyDescent="0.25">
      <c r="B1380" s="28" t="str">
        <f>IF(ISNUMBER(MATCH(C1380, Mgt_Unit!$C$5:$C$1018, 0)), INDEX(Mgt_Unit!$B$5:$B$1018, MATCH(C1380, Mgt_Unit!$C$5:$C$1018, 0)), "")</f>
        <v>jennifer.moore</v>
      </c>
      <c r="C1380" t="s">
        <v>834</v>
      </c>
      <c r="E1380" s="17" t="s">
        <v>1583</v>
      </c>
      <c r="F1380" s="89">
        <v>43317</v>
      </c>
      <c r="J1380" t="s">
        <v>1430</v>
      </c>
      <c r="K1380" s="120">
        <v>0.15</v>
      </c>
    </row>
    <row r="1381" spans="2:11" hidden="1" x14ac:dyDescent="0.25">
      <c r="B1381" s="28" t="str">
        <f>IF(ISNUMBER(MATCH(C1381, Mgt_Unit!$C$5:$C$1018, 0)), INDEX(Mgt_Unit!$B$5:$B$1018, MATCH(C1381, Mgt_Unit!$C$5:$C$1018, 0)), "")</f>
        <v>jennifer.moore</v>
      </c>
      <c r="C1381" t="s">
        <v>835</v>
      </c>
      <c r="E1381" s="17" t="s">
        <v>1584</v>
      </c>
      <c r="F1381" s="89">
        <v>42638</v>
      </c>
      <c r="J1381" t="s">
        <v>1434</v>
      </c>
      <c r="K1381" s="120">
        <v>4</v>
      </c>
    </row>
    <row r="1382" spans="2:11" hidden="1" x14ac:dyDescent="0.25">
      <c r="B1382" s="28" t="str">
        <f>IF(ISNUMBER(MATCH(C1382, Mgt_Unit!$C$5:$C$1018, 0)), INDEX(Mgt_Unit!$B$5:$B$1018, MATCH(C1382, Mgt_Unit!$C$5:$C$1018, 0)), "")</f>
        <v>jennifer.moore</v>
      </c>
      <c r="C1382" t="s">
        <v>835</v>
      </c>
      <c r="E1382" s="17" t="s">
        <v>1583</v>
      </c>
      <c r="F1382" s="89">
        <v>42931</v>
      </c>
      <c r="J1382" t="s">
        <v>1431</v>
      </c>
      <c r="K1382" s="120">
        <v>0.15</v>
      </c>
    </row>
    <row r="1383" spans="2:11" hidden="1" x14ac:dyDescent="0.25">
      <c r="B1383" s="28" t="str">
        <f>IF(ISNUMBER(MATCH(C1383, Mgt_Unit!$C$5:$C$1018, 0)), INDEX(Mgt_Unit!$B$5:$B$1018, MATCH(C1383, Mgt_Unit!$C$5:$C$1018, 0)), "")</f>
        <v>jennifer.moore</v>
      </c>
      <c r="C1383" t="s">
        <v>835</v>
      </c>
      <c r="E1383" s="17" t="s">
        <v>1584</v>
      </c>
      <c r="F1383" s="89">
        <v>43235</v>
      </c>
      <c r="J1383" t="s">
        <v>1435</v>
      </c>
      <c r="K1383" s="120">
        <v>0.78</v>
      </c>
    </row>
    <row r="1384" spans="2:11" hidden="1" x14ac:dyDescent="0.25">
      <c r="B1384" s="28" t="str">
        <f>IF(ISNUMBER(MATCH(C1384, Mgt_Unit!$C$5:$C$1018, 0)), INDEX(Mgt_Unit!$B$5:$B$1018, MATCH(C1384, Mgt_Unit!$C$5:$C$1018, 0)), "")</f>
        <v>jennifer.moore</v>
      </c>
      <c r="C1384" t="s">
        <v>835</v>
      </c>
      <c r="E1384" s="17" t="s">
        <v>1583</v>
      </c>
      <c r="F1384" s="89">
        <v>43374</v>
      </c>
      <c r="J1384" t="s">
        <v>1431</v>
      </c>
      <c r="K1384" s="120">
        <v>0.15</v>
      </c>
    </row>
    <row r="1385" spans="2:11" hidden="1" x14ac:dyDescent="0.25">
      <c r="B1385" s="28" t="str">
        <f>IF(ISNUMBER(MATCH(C1385, Mgt_Unit!$C$5:$C$1018, 0)), INDEX(Mgt_Unit!$B$5:$B$1018, MATCH(C1385, Mgt_Unit!$C$5:$C$1018, 0)), "")</f>
        <v>jennifer.moore</v>
      </c>
      <c r="C1385" t="s">
        <v>836</v>
      </c>
      <c r="E1385" s="17" t="s">
        <v>1584</v>
      </c>
      <c r="F1385" s="89">
        <v>42638</v>
      </c>
      <c r="J1385" t="s">
        <v>1434</v>
      </c>
      <c r="K1385" s="120">
        <v>4</v>
      </c>
    </row>
    <row r="1386" spans="2:11" hidden="1" x14ac:dyDescent="0.25">
      <c r="B1386" s="28" t="str">
        <f>IF(ISNUMBER(MATCH(C1386, Mgt_Unit!$C$5:$C$1018, 0)), INDEX(Mgt_Unit!$B$5:$B$1018, MATCH(C1386, Mgt_Unit!$C$5:$C$1018, 0)), "")</f>
        <v>jennifer.moore</v>
      </c>
      <c r="C1386" t="s">
        <v>836</v>
      </c>
      <c r="E1386" s="17" t="s">
        <v>1583</v>
      </c>
      <c r="F1386" s="89">
        <v>42931</v>
      </c>
      <c r="J1386" t="s">
        <v>1431</v>
      </c>
      <c r="K1386" s="120">
        <v>0.15</v>
      </c>
    </row>
    <row r="1387" spans="2:11" hidden="1" x14ac:dyDescent="0.25">
      <c r="B1387" s="28" t="str">
        <f>IF(ISNUMBER(MATCH(C1387, Mgt_Unit!$C$5:$C$1018, 0)), INDEX(Mgt_Unit!$B$5:$B$1018, MATCH(C1387, Mgt_Unit!$C$5:$C$1018, 0)), "")</f>
        <v>jennifer.moore</v>
      </c>
      <c r="C1387" t="s">
        <v>836</v>
      </c>
      <c r="E1387" s="17" t="s">
        <v>1584</v>
      </c>
      <c r="F1387" s="89">
        <v>43235</v>
      </c>
      <c r="J1387" t="s">
        <v>1435</v>
      </c>
      <c r="K1387" s="120">
        <v>0.78</v>
      </c>
    </row>
    <row r="1388" spans="2:11" hidden="1" x14ac:dyDescent="0.25">
      <c r="B1388" s="28" t="str">
        <f>IF(ISNUMBER(MATCH(C1388, Mgt_Unit!$C$5:$C$1018, 0)), INDEX(Mgt_Unit!$B$5:$B$1018, MATCH(C1388, Mgt_Unit!$C$5:$C$1018, 0)), "")</f>
        <v>jennifer.moore</v>
      </c>
      <c r="C1388" t="s">
        <v>836</v>
      </c>
      <c r="E1388" s="17" t="s">
        <v>1583</v>
      </c>
      <c r="F1388" s="89">
        <v>43374</v>
      </c>
      <c r="J1388" t="s">
        <v>1431</v>
      </c>
      <c r="K1388" s="120">
        <v>0.15</v>
      </c>
    </row>
    <row r="1389" spans="2:11" hidden="1" x14ac:dyDescent="0.25">
      <c r="B1389" s="28" t="str">
        <f>IF(ISNUMBER(MATCH(C1389, Mgt_Unit!$C$5:$C$1018, 0)), INDEX(Mgt_Unit!$B$5:$B$1018, MATCH(C1389, Mgt_Unit!$C$5:$C$1018, 0)), "")</f>
        <v>jennifer.moore</v>
      </c>
      <c r="C1389" t="s">
        <v>837</v>
      </c>
      <c r="E1389" s="17" t="s">
        <v>1584</v>
      </c>
      <c r="F1389" s="89">
        <v>43003</v>
      </c>
      <c r="J1389" t="s">
        <v>1434</v>
      </c>
      <c r="K1389" s="120">
        <v>4</v>
      </c>
    </row>
    <row r="1390" spans="2:11" hidden="1" x14ac:dyDescent="0.25">
      <c r="B1390" s="28" t="str">
        <f>IF(ISNUMBER(MATCH(C1390, Mgt_Unit!$C$5:$C$1018, 0)), INDEX(Mgt_Unit!$B$5:$B$1018, MATCH(C1390, Mgt_Unit!$C$5:$C$1018, 0)), "")</f>
        <v>jennifer.moore</v>
      </c>
      <c r="C1390" t="s">
        <v>837</v>
      </c>
      <c r="E1390" s="17" t="s">
        <v>1583</v>
      </c>
      <c r="F1390" s="89">
        <v>43296</v>
      </c>
      <c r="J1390" t="s">
        <v>1431</v>
      </c>
      <c r="K1390" s="120">
        <v>0.15</v>
      </c>
    </row>
    <row r="1391" spans="2:11" hidden="1" x14ac:dyDescent="0.25">
      <c r="B1391" s="28" t="str">
        <f>IF(ISNUMBER(MATCH(C1391, Mgt_Unit!$C$5:$C$1018, 0)), INDEX(Mgt_Unit!$B$5:$B$1018, MATCH(C1391, Mgt_Unit!$C$5:$C$1018, 0)), "")</f>
        <v>jennifer.moore</v>
      </c>
      <c r="C1391" t="s">
        <v>838</v>
      </c>
      <c r="E1391" s="17" t="s">
        <v>1584</v>
      </c>
      <c r="F1391" s="89">
        <v>43003</v>
      </c>
      <c r="J1391" t="s">
        <v>1434</v>
      </c>
      <c r="K1391" s="120">
        <v>4</v>
      </c>
    </row>
    <row r="1392" spans="2:11" hidden="1" x14ac:dyDescent="0.25">
      <c r="B1392" s="28" t="str">
        <f>IF(ISNUMBER(MATCH(C1392, Mgt_Unit!$C$5:$C$1018, 0)), INDEX(Mgt_Unit!$B$5:$B$1018, MATCH(C1392, Mgt_Unit!$C$5:$C$1018, 0)), "")</f>
        <v>jennifer.moore</v>
      </c>
      <c r="C1392" t="s">
        <v>838</v>
      </c>
      <c r="E1392" s="17" t="s">
        <v>1583</v>
      </c>
      <c r="F1392" s="89">
        <v>43296</v>
      </c>
      <c r="J1392" t="s">
        <v>1431</v>
      </c>
      <c r="K1392" s="120">
        <v>0.15</v>
      </c>
    </row>
    <row r="1393" spans="2:11" hidden="1" x14ac:dyDescent="0.25">
      <c r="B1393" s="28" t="str">
        <f>IF(ISNUMBER(MATCH(C1393, Mgt_Unit!$C$5:$C$1018, 0)), INDEX(Mgt_Unit!$B$5:$B$1018, MATCH(C1393, Mgt_Unit!$C$5:$C$1018, 0)), "")</f>
        <v>jennifer.moore</v>
      </c>
      <c r="C1393" t="s">
        <v>839</v>
      </c>
      <c r="E1393" s="17" t="s">
        <v>1583</v>
      </c>
      <c r="F1393" s="89">
        <v>43184</v>
      </c>
      <c r="J1393" t="s">
        <v>1436</v>
      </c>
      <c r="K1393" s="120">
        <v>42</v>
      </c>
    </row>
    <row r="1394" spans="2:11" hidden="1" x14ac:dyDescent="0.25">
      <c r="B1394" s="28" t="str">
        <f>IF(ISNUMBER(MATCH(C1394, Mgt_Unit!$C$5:$C$1018, 0)), INDEX(Mgt_Unit!$B$5:$B$1018, MATCH(C1394, Mgt_Unit!$C$5:$C$1018, 0)), "")</f>
        <v>jennifer.moore</v>
      </c>
      <c r="C1394" t="s">
        <v>839</v>
      </c>
      <c r="E1394" s="17" t="s">
        <v>1583</v>
      </c>
      <c r="F1394" s="89">
        <v>43196</v>
      </c>
      <c r="J1394" t="s">
        <v>1396</v>
      </c>
      <c r="K1394" s="120">
        <v>37</v>
      </c>
    </row>
    <row r="1395" spans="2:11" hidden="1" x14ac:dyDescent="0.25">
      <c r="B1395" s="28" t="str">
        <f>IF(ISNUMBER(MATCH(C1395, Mgt_Unit!$C$5:$C$1018, 0)), INDEX(Mgt_Unit!$B$5:$B$1018, MATCH(C1395, Mgt_Unit!$C$5:$C$1018, 0)), "")</f>
        <v>jennifer.moore</v>
      </c>
      <c r="C1395" t="s">
        <v>839</v>
      </c>
      <c r="E1395" s="17" t="s">
        <v>1584</v>
      </c>
      <c r="F1395" s="89">
        <v>43220</v>
      </c>
      <c r="J1395" t="s">
        <v>1355</v>
      </c>
      <c r="K1395" s="120">
        <v>6.3</v>
      </c>
    </row>
    <row r="1396" spans="2:11" hidden="1" x14ac:dyDescent="0.25">
      <c r="B1396" s="28" t="str">
        <f>IF(ISNUMBER(MATCH(C1396, Mgt_Unit!$C$5:$C$1018, 0)), INDEX(Mgt_Unit!$B$5:$B$1018, MATCH(C1396, Mgt_Unit!$C$5:$C$1018, 0)), "")</f>
        <v>jennifer.moore</v>
      </c>
      <c r="C1396" t="s">
        <v>839</v>
      </c>
      <c r="E1396" s="17" t="s">
        <v>1584</v>
      </c>
      <c r="F1396" s="89">
        <v>43615</v>
      </c>
      <c r="J1396" t="s">
        <v>1355</v>
      </c>
      <c r="K1396" s="120">
        <v>6.3</v>
      </c>
    </row>
    <row r="1397" spans="2:11" hidden="1" x14ac:dyDescent="0.25">
      <c r="B1397" s="28" t="str">
        <f>IF(ISNUMBER(MATCH(C1397, Mgt_Unit!$C$5:$C$1018, 0)), INDEX(Mgt_Unit!$B$5:$B$1018, MATCH(C1397, Mgt_Unit!$C$5:$C$1018, 0)), "")</f>
        <v>jennifer.moore</v>
      </c>
      <c r="C1397" t="s">
        <v>840</v>
      </c>
      <c r="E1397" s="17" t="s">
        <v>1583</v>
      </c>
      <c r="F1397" s="89">
        <v>43184</v>
      </c>
      <c r="J1397" t="s">
        <v>1436</v>
      </c>
      <c r="K1397" s="120">
        <v>42</v>
      </c>
    </row>
    <row r="1398" spans="2:11" hidden="1" x14ac:dyDescent="0.25">
      <c r="B1398" s="28" t="str">
        <f>IF(ISNUMBER(MATCH(C1398, Mgt_Unit!$C$5:$C$1018, 0)), INDEX(Mgt_Unit!$B$5:$B$1018, MATCH(C1398, Mgt_Unit!$C$5:$C$1018, 0)), "")</f>
        <v>jennifer.moore</v>
      </c>
      <c r="C1398" t="s">
        <v>840</v>
      </c>
      <c r="E1398" s="17" t="s">
        <v>1583</v>
      </c>
      <c r="F1398" s="89">
        <v>43196</v>
      </c>
      <c r="J1398" t="s">
        <v>1396</v>
      </c>
      <c r="K1398" s="120">
        <v>37</v>
      </c>
    </row>
    <row r="1399" spans="2:11" hidden="1" x14ac:dyDescent="0.25">
      <c r="B1399" s="28" t="str">
        <f>IF(ISNUMBER(MATCH(C1399, Mgt_Unit!$C$5:$C$1018, 0)), INDEX(Mgt_Unit!$B$5:$B$1018, MATCH(C1399, Mgt_Unit!$C$5:$C$1018, 0)), "")</f>
        <v>jennifer.moore</v>
      </c>
      <c r="C1399" t="s">
        <v>840</v>
      </c>
      <c r="E1399" s="17" t="s">
        <v>1584</v>
      </c>
      <c r="F1399" s="89">
        <v>43220</v>
      </c>
      <c r="J1399" t="s">
        <v>1355</v>
      </c>
      <c r="K1399" s="120">
        <v>6.3</v>
      </c>
    </row>
    <row r="1400" spans="2:11" hidden="1" x14ac:dyDescent="0.25">
      <c r="B1400" s="28" t="str">
        <f>IF(ISNUMBER(MATCH(C1400, Mgt_Unit!$C$5:$C$1018, 0)), INDEX(Mgt_Unit!$B$5:$B$1018, MATCH(C1400, Mgt_Unit!$C$5:$C$1018, 0)), "")</f>
        <v>jennifer.moore</v>
      </c>
      <c r="C1400" t="s">
        <v>840</v>
      </c>
      <c r="E1400" s="17" t="s">
        <v>1584</v>
      </c>
      <c r="F1400" s="89">
        <v>43615</v>
      </c>
      <c r="J1400" t="s">
        <v>1355</v>
      </c>
      <c r="K1400" s="120">
        <v>6.3</v>
      </c>
    </row>
    <row r="1401" spans="2:11" hidden="1" x14ac:dyDescent="0.25">
      <c r="B1401" s="28" t="str">
        <f>IF(ISNUMBER(MATCH(C1401, Mgt_Unit!$C$5:$C$1018, 0)), INDEX(Mgt_Unit!$B$5:$B$1018, MATCH(C1401, Mgt_Unit!$C$5:$C$1018, 0)), "")</f>
        <v>jennifer.moore</v>
      </c>
      <c r="C1401" t="s">
        <v>841</v>
      </c>
      <c r="E1401" s="17" t="s">
        <v>1583</v>
      </c>
      <c r="F1401" s="89">
        <v>42489</v>
      </c>
      <c r="J1401" t="s">
        <v>1400</v>
      </c>
      <c r="K1401" s="120">
        <v>4.9000000000000004</v>
      </c>
    </row>
    <row r="1402" spans="2:11" hidden="1" x14ac:dyDescent="0.25">
      <c r="B1402" s="28" t="str">
        <f>IF(ISNUMBER(MATCH(C1402, Mgt_Unit!$C$5:$C$1018, 0)), INDEX(Mgt_Unit!$B$5:$B$1018, MATCH(C1402, Mgt_Unit!$C$5:$C$1018, 0)), "")</f>
        <v>jennifer.moore</v>
      </c>
      <c r="C1402" t="s">
        <v>841</v>
      </c>
      <c r="E1402" s="17" t="s">
        <v>1583</v>
      </c>
      <c r="F1402" s="89">
        <v>42504</v>
      </c>
      <c r="J1402" t="s">
        <v>1400</v>
      </c>
      <c r="K1402" s="120">
        <v>4.9000000000000004</v>
      </c>
    </row>
    <row r="1403" spans="2:11" hidden="1" x14ac:dyDescent="0.25">
      <c r="B1403" s="28" t="str">
        <f>IF(ISNUMBER(MATCH(C1403, Mgt_Unit!$C$5:$C$1018, 0)), INDEX(Mgt_Unit!$B$5:$B$1018, MATCH(C1403, Mgt_Unit!$C$5:$C$1018, 0)), "")</f>
        <v>jennifer.moore</v>
      </c>
      <c r="C1403" t="s">
        <v>841</v>
      </c>
      <c r="E1403" s="17" t="s">
        <v>1584</v>
      </c>
      <c r="F1403" s="89">
        <v>42505</v>
      </c>
      <c r="J1403" t="s">
        <v>1401</v>
      </c>
      <c r="K1403" s="120">
        <v>4.9000000000000004</v>
      </c>
    </row>
    <row r="1404" spans="2:11" hidden="1" x14ac:dyDescent="0.25">
      <c r="B1404" s="28" t="str">
        <f>IF(ISNUMBER(MATCH(C1404, Mgt_Unit!$C$5:$C$1018, 0)), INDEX(Mgt_Unit!$B$5:$B$1018, MATCH(C1404, Mgt_Unit!$C$5:$C$1018, 0)), "")</f>
        <v>jennifer.moore</v>
      </c>
      <c r="C1404" t="s">
        <v>841</v>
      </c>
      <c r="E1404" s="17" t="s">
        <v>1583</v>
      </c>
      <c r="F1404" s="89">
        <v>42673</v>
      </c>
      <c r="J1404" t="s">
        <v>1403</v>
      </c>
      <c r="K1404" s="120">
        <v>19</v>
      </c>
    </row>
    <row r="1405" spans="2:11" hidden="1" x14ac:dyDescent="0.25">
      <c r="B1405" s="28" t="str">
        <f>IF(ISNUMBER(MATCH(C1405, Mgt_Unit!$C$5:$C$1018, 0)), INDEX(Mgt_Unit!$B$5:$B$1018, MATCH(C1405, Mgt_Unit!$C$5:$C$1018, 0)), "")</f>
        <v>jennifer.moore</v>
      </c>
      <c r="C1405" t="s">
        <v>841</v>
      </c>
      <c r="E1405" s="17" t="s">
        <v>1585</v>
      </c>
      <c r="F1405" s="89">
        <v>42689</v>
      </c>
      <c r="J1405" t="s">
        <v>1398</v>
      </c>
      <c r="K1405" s="120">
        <v>4</v>
      </c>
    </row>
    <row r="1406" spans="2:11" hidden="1" x14ac:dyDescent="0.25">
      <c r="B1406" s="28" t="str">
        <f>IF(ISNUMBER(MATCH(C1406, Mgt_Unit!$C$5:$C$1018, 0)), INDEX(Mgt_Unit!$B$5:$B$1018, MATCH(C1406, Mgt_Unit!$C$5:$C$1018, 0)), "")</f>
        <v>jennifer.moore</v>
      </c>
      <c r="C1406" t="s">
        <v>841</v>
      </c>
      <c r="E1406" s="17" t="s">
        <v>1584</v>
      </c>
      <c r="F1406" s="89">
        <v>42855</v>
      </c>
      <c r="J1406" t="s">
        <v>1401</v>
      </c>
      <c r="K1406" s="120">
        <v>4.9000000000000004</v>
      </c>
    </row>
    <row r="1407" spans="2:11" hidden="1" x14ac:dyDescent="0.25">
      <c r="B1407" s="28" t="str">
        <f>IF(ISNUMBER(MATCH(C1407, Mgt_Unit!$C$5:$C$1018, 0)), INDEX(Mgt_Unit!$B$5:$B$1018, MATCH(C1407, Mgt_Unit!$C$5:$C$1018, 0)), "")</f>
        <v>jennifer.moore</v>
      </c>
      <c r="C1407" t="s">
        <v>841</v>
      </c>
      <c r="E1407" s="17" t="s">
        <v>1585</v>
      </c>
      <c r="F1407" s="89">
        <v>43054</v>
      </c>
      <c r="J1407" t="s">
        <v>1398</v>
      </c>
      <c r="K1407" s="120">
        <v>4</v>
      </c>
    </row>
    <row r="1408" spans="2:11" hidden="1" x14ac:dyDescent="0.25">
      <c r="B1408" s="28" t="str">
        <f>IF(ISNUMBER(MATCH(C1408, Mgt_Unit!$C$5:$C$1018, 0)), INDEX(Mgt_Unit!$B$5:$B$1018, MATCH(C1408, Mgt_Unit!$C$5:$C$1018, 0)), "")</f>
        <v>jennifer.moore</v>
      </c>
      <c r="C1408" t="s">
        <v>841</v>
      </c>
      <c r="E1408" s="17" t="s">
        <v>1584</v>
      </c>
      <c r="F1408" s="89">
        <v>43174</v>
      </c>
      <c r="J1408" t="s">
        <v>1398</v>
      </c>
      <c r="K1408" s="120">
        <v>4</v>
      </c>
    </row>
    <row r="1409" spans="2:11" hidden="1" x14ac:dyDescent="0.25">
      <c r="B1409" s="28" t="str">
        <f>IF(ISNUMBER(MATCH(C1409, Mgt_Unit!$C$5:$C$1018, 0)), INDEX(Mgt_Unit!$B$5:$B$1018, MATCH(C1409, Mgt_Unit!$C$5:$C$1018, 0)), "")</f>
        <v>jennifer.moore</v>
      </c>
      <c r="C1409" t="s">
        <v>841</v>
      </c>
      <c r="E1409" s="17" t="s">
        <v>1585</v>
      </c>
      <c r="F1409" s="89">
        <v>43374</v>
      </c>
      <c r="J1409" t="s">
        <v>1398</v>
      </c>
      <c r="K1409" s="120">
        <v>4</v>
      </c>
    </row>
    <row r="1410" spans="2:11" hidden="1" x14ac:dyDescent="0.25">
      <c r="B1410" s="28" t="str">
        <f>IF(ISNUMBER(MATCH(C1410, Mgt_Unit!$C$5:$C$1018, 0)), INDEX(Mgt_Unit!$B$5:$B$1018, MATCH(C1410, Mgt_Unit!$C$5:$C$1018, 0)), "")</f>
        <v>jennifer.moore</v>
      </c>
      <c r="C1410" t="s">
        <v>842</v>
      </c>
      <c r="E1410" s="17" t="s">
        <v>1583</v>
      </c>
      <c r="F1410" s="89">
        <v>42489</v>
      </c>
      <c r="J1410" t="s">
        <v>1400</v>
      </c>
      <c r="K1410" s="120">
        <v>4.9000000000000004</v>
      </c>
    </row>
    <row r="1411" spans="2:11" hidden="1" x14ac:dyDescent="0.25">
      <c r="B1411" s="28" t="str">
        <f>IF(ISNUMBER(MATCH(C1411, Mgt_Unit!$C$5:$C$1018, 0)), INDEX(Mgt_Unit!$B$5:$B$1018, MATCH(C1411, Mgt_Unit!$C$5:$C$1018, 0)), "")</f>
        <v>jennifer.moore</v>
      </c>
      <c r="C1411" t="s">
        <v>842</v>
      </c>
      <c r="E1411" s="17" t="s">
        <v>1583</v>
      </c>
      <c r="F1411" s="89">
        <v>42504</v>
      </c>
      <c r="J1411" t="s">
        <v>1400</v>
      </c>
      <c r="K1411" s="120">
        <v>4.9000000000000004</v>
      </c>
    </row>
    <row r="1412" spans="2:11" hidden="1" x14ac:dyDescent="0.25">
      <c r="B1412" s="28" t="str">
        <f>IF(ISNUMBER(MATCH(C1412, Mgt_Unit!$C$5:$C$1018, 0)), INDEX(Mgt_Unit!$B$5:$B$1018, MATCH(C1412, Mgt_Unit!$C$5:$C$1018, 0)), "")</f>
        <v>jennifer.moore</v>
      </c>
      <c r="C1412" t="s">
        <v>842</v>
      </c>
      <c r="E1412" s="17" t="s">
        <v>1584</v>
      </c>
      <c r="F1412" s="89">
        <v>42505</v>
      </c>
      <c r="J1412" t="s">
        <v>1401</v>
      </c>
      <c r="K1412" s="120">
        <v>4.9000000000000004</v>
      </c>
    </row>
    <row r="1413" spans="2:11" hidden="1" x14ac:dyDescent="0.25">
      <c r="B1413" s="28" t="str">
        <f>IF(ISNUMBER(MATCH(C1413, Mgt_Unit!$C$5:$C$1018, 0)), INDEX(Mgt_Unit!$B$5:$B$1018, MATCH(C1413, Mgt_Unit!$C$5:$C$1018, 0)), "")</f>
        <v>jennifer.moore</v>
      </c>
      <c r="C1413" t="s">
        <v>842</v>
      </c>
      <c r="E1413" s="17" t="s">
        <v>1583</v>
      </c>
      <c r="F1413" s="89">
        <v>42673</v>
      </c>
      <c r="J1413" t="s">
        <v>1403</v>
      </c>
      <c r="K1413" s="120">
        <v>19</v>
      </c>
    </row>
    <row r="1414" spans="2:11" hidden="1" x14ac:dyDescent="0.25">
      <c r="B1414" s="28" t="str">
        <f>IF(ISNUMBER(MATCH(C1414, Mgt_Unit!$C$5:$C$1018, 0)), INDEX(Mgt_Unit!$B$5:$B$1018, MATCH(C1414, Mgt_Unit!$C$5:$C$1018, 0)), "")</f>
        <v>jennifer.moore</v>
      </c>
      <c r="C1414" t="s">
        <v>842</v>
      </c>
      <c r="E1414" s="17" t="s">
        <v>1585</v>
      </c>
      <c r="F1414" s="89">
        <v>42689</v>
      </c>
      <c r="J1414" t="s">
        <v>1398</v>
      </c>
      <c r="K1414" s="120">
        <v>4</v>
      </c>
    </row>
    <row r="1415" spans="2:11" hidden="1" x14ac:dyDescent="0.25">
      <c r="B1415" s="28" t="str">
        <f>IF(ISNUMBER(MATCH(C1415, Mgt_Unit!$C$5:$C$1018, 0)), INDEX(Mgt_Unit!$B$5:$B$1018, MATCH(C1415, Mgt_Unit!$C$5:$C$1018, 0)), "")</f>
        <v>jennifer.moore</v>
      </c>
      <c r="C1415" t="s">
        <v>842</v>
      </c>
      <c r="E1415" s="17" t="s">
        <v>1584</v>
      </c>
      <c r="F1415" s="89">
        <v>42855</v>
      </c>
      <c r="J1415" t="s">
        <v>1401</v>
      </c>
      <c r="K1415" s="120">
        <v>4.9000000000000004</v>
      </c>
    </row>
    <row r="1416" spans="2:11" hidden="1" x14ac:dyDescent="0.25">
      <c r="B1416" s="28" t="str">
        <f>IF(ISNUMBER(MATCH(C1416, Mgt_Unit!$C$5:$C$1018, 0)), INDEX(Mgt_Unit!$B$5:$B$1018, MATCH(C1416, Mgt_Unit!$C$5:$C$1018, 0)), "")</f>
        <v>jennifer.moore</v>
      </c>
      <c r="C1416" t="s">
        <v>842</v>
      </c>
      <c r="E1416" s="17" t="s">
        <v>1585</v>
      </c>
      <c r="F1416" s="89">
        <v>43054</v>
      </c>
      <c r="J1416" t="s">
        <v>1398</v>
      </c>
      <c r="K1416" s="120">
        <v>4</v>
      </c>
    </row>
    <row r="1417" spans="2:11" hidden="1" x14ac:dyDescent="0.25">
      <c r="B1417" s="28" t="str">
        <f>IF(ISNUMBER(MATCH(C1417, Mgt_Unit!$C$5:$C$1018, 0)), INDEX(Mgt_Unit!$B$5:$B$1018, MATCH(C1417, Mgt_Unit!$C$5:$C$1018, 0)), "")</f>
        <v>jennifer.moore</v>
      </c>
      <c r="C1417" t="s">
        <v>842</v>
      </c>
      <c r="E1417" s="17" t="s">
        <v>1584</v>
      </c>
      <c r="F1417" s="89">
        <v>43174</v>
      </c>
      <c r="J1417" t="s">
        <v>1398</v>
      </c>
      <c r="K1417" s="120">
        <v>4</v>
      </c>
    </row>
    <row r="1418" spans="2:11" hidden="1" x14ac:dyDescent="0.25">
      <c r="B1418" s="28" t="str">
        <f>IF(ISNUMBER(MATCH(C1418, Mgt_Unit!$C$5:$C$1018, 0)), INDEX(Mgt_Unit!$B$5:$B$1018, MATCH(C1418, Mgt_Unit!$C$5:$C$1018, 0)), "")</f>
        <v>jennifer.moore</v>
      </c>
      <c r="C1418" t="s">
        <v>842</v>
      </c>
      <c r="E1418" s="17" t="s">
        <v>1585</v>
      </c>
      <c r="F1418" s="89">
        <v>43784</v>
      </c>
      <c r="J1418" t="s">
        <v>1398</v>
      </c>
      <c r="K1418" s="120">
        <v>4</v>
      </c>
    </row>
    <row r="1419" spans="2:11" hidden="1" x14ac:dyDescent="0.25">
      <c r="B1419" s="28" t="str">
        <f>IF(ISNUMBER(MATCH(C1419, Mgt_Unit!$C$5:$C$1018, 0)), INDEX(Mgt_Unit!$B$5:$B$1018, MATCH(C1419, Mgt_Unit!$C$5:$C$1018, 0)), "")</f>
        <v>jennifer.moore</v>
      </c>
      <c r="C1419" t="s">
        <v>843</v>
      </c>
      <c r="E1419" s="17" t="s">
        <v>1583</v>
      </c>
      <c r="F1419" s="89">
        <v>42472</v>
      </c>
      <c r="J1419" t="s">
        <v>1400</v>
      </c>
      <c r="K1419" s="120">
        <v>4.9000000000000004</v>
      </c>
    </row>
    <row r="1420" spans="2:11" hidden="1" x14ac:dyDescent="0.25">
      <c r="B1420" s="28" t="str">
        <f>IF(ISNUMBER(MATCH(C1420, Mgt_Unit!$C$5:$C$1018, 0)), INDEX(Mgt_Unit!$B$5:$B$1018, MATCH(C1420, Mgt_Unit!$C$5:$C$1018, 0)), "")</f>
        <v>jennifer.moore</v>
      </c>
      <c r="C1420" t="s">
        <v>843</v>
      </c>
      <c r="E1420" s="17" t="s">
        <v>1584</v>
      </c>
      <c r="F1420" s="89">
        <v>42481</v>
      </c>
      <c r="J1420" t="s">
        <v>1437</v>
      </c>
      <c r="K1420" s="120">
        <v>2.4</v>
      </c>
    </row>
    <row r="1421" spans="2:11" hidden="1" x14ac:dyDescent="0.25">
      <c r="B1421" s="28" t="str">
        <f>IF(ISNUMBER(MATCH(C1421, Mgt_Unit!$C$5:$C$1018, 0)), INDEX(Mgt_Unit!$B$5:$B$1018, MATCH(C1421, Mgt_Unit!$C$5:$C$1018, 0)), "")</f>
        <v>jennifer.moore</v>
      </c>
      <c r="C1421" t="s">
        <v>843</v>
      </c>
      <c r="E1421" s="17" t="s">
        <v>1583</v>
      </c>
      <c r="F1421" s="89">
        <v>42643</v>
      </c>
      <c r="J1421" t="s">
        <v>1437</v>
      </c>
      <c r="K1421" s="120">
        <v>0.15</v>
      </c>
    </row>
    <row r="1422" spans="2:11" hidden="1" x14ac:dyDescent="0.25">
      <c r="B1422" s="28" t="str">
        <f>IF(ISNUMBER(MATCH(C1422, Mgt_Unit!$C$5:$C$1018, 0)), INDEX(Mgt_Unit!$B$5:$B$1018, MATCH(C1422, Mgt_Unit!$C$5:$C$1018, 0)), "")</f>
        <v>jennifer.moore</v>
      </c>
      <c r="C1422" t="s">
        <v>843</v>
      </c>
      <c r="E1422" s="17" t="s">
        <v>1583</v>
      </c>
      <c r="F1422" s="89">
        <v>42660</v>
      </c>
      <c r="J1422" t="s">
        <v>1437</v>
      </c>
      <c r="K1422" s="120">
        <v>0.15</v>
      </c>
    </row>
    <row r="1423" spans="2:11" hidden="1" x14ac:dyDescent="0.25">
      <c r="B1423" s="28" t="str">
        <f>IF(ISNUMBER(MATCH(C1423, Mgt_Unit!$C$5:$C$1018, 0)), INDEX(Mgt_Unit!$B$5:$B$1018, MATCH(C1423, Mgt_Unit!$C$5:$C$1018, 0)), "")</f>
        <v>jennifer.moore</v>
      </c>
      <c r="C1423" t="s">
        <v>843</v>
      </c>
      <c r="E1423" s="17" t="s">
        <v>1585</v>
      </c>
      <c r="F1423" s="89">
        <v>42702</v>
      </c>
      <c r="J1423" t="s">
        <v>1438</v>
      </c>
      <c r="K1423" s="120">
        <v>14</v>
      </c>
    </row>
    <row r="1424" spans="2:11" hidden="1" x14ac:dyDescent="0.25">
      <c r="B1424" s="28" t="str">
        <f>IF(ISNUMBER(MATCH(C1424, Mgt_Unit!$C$5:$C$1018, 0)), INDEX(Mgt_Unit!$B$5:$B$1018, MATCH(C1424, Mgt_Unit!$C$5:$C$1018, 0)), "")</f>
        <v>jennifer.moore</v>
      </c>
      <c r="C1424" t="s">
        <v>843</v>
      </c>
      <c r="E1424" s="17" t="s">
        <v>1585</v>
      </c>
      <c r="F1424" s="89">
        <v>42815</v>
      </c>
      <c r="J1424" t="s">
        <v>1439</v>
      </c>
      <c r="K1424" s="120">
        <v>14</v>
      </c>
    </row>
    <row r="1425" spans="2:11" hidden="1" x14ac:dyDescent="0.25">
      <c r="B1425" s="28" t="str">
        <f>IF(ISNUMBER(MATCH(C1425, Mgt_Unit!$C$5:$C$1018, 0)), INDEX(Mgt_Unit!$B$5:$B$1018, MATCH(C1425, Mgt_Unit!$C$5:$C$1018, 0)), "")</f>
        <v>jennifer.moore</v>
      </c>
      <c r="C1425" t="s">
        <v>843</v>
      </c>
      <c r="E1425" s="17" t="s">
        <v>1583</v>
      </c>
      <c r="F1425" s="89">
        <v>42915</v>
      </c>
      <c r="J1425" t="s">
        <v>1439</v>
      </c>
      <c r="K1425" s="120">
        <v>0.15</v>
      </c>
    </row>
    <row r="1426" spans="2:11" hidden="1" x14ac:dyDescent="0.25">
      <c r="B1426" s="28" t="str">
        <f>IF(ISNUMBER(MATCH(C1426, Mgt_Unit!$C$5:$C$1018, 0)), INDEX(Mgt_Unit!$B$5:$B$1018, MATCH(C1426, Mgt_Unit!$C$5:$C$1018, 0)), "")</f>
        <v>jennifer.moore</v>
      </c>
      <c r="C1426" t="s">
        <v>843</v>
      </c>
      <c r="E1426" s="17" t="s">
        <v>1583</v>
      </c>
      <c r="F1426" s="89">
        <v>42956</v>
      </c>
      <c r="J1426" t="s">
        <v>1439</v>
      </c>
      <c r="K1426" s="120">
        <v>0.15</v>
      </c>
    </row>
    <row r="1427" spans="2:11" hidden="1" x14ac:dyDescent="0.25">
      <c r="B1427" s="28" t="str">
        <f>IF(ISNUMBER(MATCH(C1427, Mgt_Unit!$C$5:$C$1018, 0)), INDEX(Mgt_Unit!$B$5:$B$1018, MATCH(C1427, Mgt_Unit!$C$5:$C$1018, 0)), "")</f>
        <v>jennifer.moore</v>
      </c>
      <c r="C1427" t="s">
        <v>843</v>
      </c>
      <c r="E1427" s="17" t="s">
        <v>1585</v>
      </c>
      <c r="F1427" s="89">
        <v>43075</v>
      </c>
      <c r="J1427" t="s">
        <v>1438</v>
      </c>
      <c r="K1427" s="120">
        <v>14</v>
      </c>
    </row>
    <row r="1428" spans="2:11" hidden="1" x14ac:dyDescent="0.25">
      <c r="B1428" s="28" t="str">
        <f>IF(ISNUMBER(MATCH(C1428, Mgt_Unit!$C$5:$C$1018, 0)), INDEX(Mgt_Unit!$B$5:$B$1018, MATCH(C1428, Mgt_Unit!$C$5:$C$1018, 0)), "")</f>
        <v>jennifer.moore</v>
      </c>
      <c r="C1428" t="s">
        <v>843</v>
      </c>
      <c r="E1428" s="17" t="s">
        <v>1583</v>
      </c>
      <c r="F1428" s="89">
        <v>43224</v>
      </c>
      <c r="J1428" t="s">
        <v>1439</v>
      </c>
      <c r="K1428" s="120">
        <v>0.15</v>
      </c>
    </row>
    <row r="1429" spans="2:11" hidden="1" x14ac:dyDescent="0.25">
      <c r="B1429" s="28" t="str">
        <f>IF(ISNUMBER(MATCH(C1429, Mgt_Unit!$C$5:$C$1018, 0)), INDEX(Mgt_Unit!$B$5:$B$1018, MATCH(C1429, Mgt_Unit!$C$5:$C$1018, 0)), "")</f>
        <v>jennifer.moore</v>
      </c>
      <c r="C1429" t="s">
        <v>843</v>
      </c>
      <c r="E1429" s="17" t="s">
        <v>1585</v>
      </c>
      <c r="F1429" s="89">
        <v>43441</v>
      </c>
      <c r="J1429" t="s">
        <v>1438</v>
      </c>
      <c r="K1429" s="120">
        <v>14</v>
      </c>
    </row>
    <row r="1430" spans="2:11" hidden="1" x14ac:dyDescent="0.25">
      <c r="B1430" s="28" t="str">
        <f>IF(ISNUMBER(MATCH(C1430, Mgt_Unit!$C$5:$C$1018, 0)), INDEX(Mgt_Unit!$B$5:$B$1018, MATCH(C1430, Mgt_Unit!$C$5:$C$1018, 0)), "")</f>
        <v>jennifer.moore</v>
      </c>
      <c r="C1430" t="s">
        <v>843</v>
      </c>
      <c r="E1430" s="17" t="s">
        <v>1584</v>
      </c>
      <c r="F1430" s="89">
        <v>43594</v>
      </c>
      <c r="J1430" t="s">
        <v>1440</v>
      </c>
      <c r="K1430" s="120">
        <v>2.4</v>
      </c>
    </row>
    <row r="1431" spans="2:11" hidden="1" x14ac:dyDescent="0.25">
      <c r="B1431" s="28" t="str">
        <f>IF(ISNUMBER(MATCH(C1431, Mgt_Unit!$C$5:$C$1018, 0)), INDEX(Mgt_Unit!$B$5:$B$1018, MATCH(C1431, Mgt_Unit!$C$5:$C$1018, 0)), "")</f>
        <v>jennifer.moore</v>
      </c>
      <c r="C1431" t="s">
        <v>843</v>
      </c>
      <c r="E1431" s="17" t="s">
        <v>1583</v>
      </c>
      <c r="F1431" s="89">
        <v>43759</v>
      </c>
      <c r="J1431" t="s">
        <v>1440</v>
      </c>
      <c r="K1431" s="120">
        <v>19</v>
      </c>
    </row>
    <row r="1432" spans="2:11" hidden="1" x14ac:dyDescent="0.25">
      <c r="B1432" s="28" t="str">
        <f>IF(ISNUMBER(MATCH(C1432, Mgt_Unit!$C$5:$C$1018, 0)), INDEX(Mgt_Unit!$B$5:$B$1018, MATCH(C1432, Mgt_Unit!$C$5:$C$1018, 0)), "")</f>
        <v>jennifer.moore</v>
      </c>
      <c r="C1432" t="s">
        <v>843</v>
      </c>
      <c r="E1432" s="17" t="s">
        <v>1585</v>
      </c>
      <c r="F1432" s="89">
        <v>43770</v>
      </c>
      <c r="J1432" t="s">
        <v>1438</v>
      </c>
      <c r="K1432" s="120">
        <v>14</v>
      </c>
    </row>
    <row r="1433" spans="2:11" hidden="1" x14ac:dyDescent="0.25">
      <c r="B1433" s="28" t="str">
        <f>IF(ISNUMBER(MATCH(C1433, Mgt_Unit!$C$5:$C$1018, 0)), INDEX(Mgt_Unit!$B$5:$B$1018, MATCH(C1433, Mgt_Unit!$C$5:$C$1018, 0)), "")</f>
        <v>jennifer.moore</v>
      </c>
      <c r="C1433" t="s">
        <v>844</v>
      </c>
      <c r="E1433" s="17" t="s">
        <v>1584</v>
      </c>
      <c r="F1433" s="89">
        <v>42853</v>
      </c>
      <c r="J1433" t="s">
        <v>1437</v>
      </c>
      <c r="K1433" s="120">
        <v>2.4</v>
      </c>
    </row>
    <row r="1434" spans="2:11" hidden="1" x14ac:dyDescent="0.25">
      <c r="B1434" s="28" t="str">
        <f>IF(ISNUMBER(MATCH(C1434, Mgt_Unit!$C$5:$C$1018, 0)), INDEX(Mgt_Unit!$B$5:$B$1018, MATCH(C1434, Mgt_Unit!$C$5:$C$1018, 0)), "")</f>
        <v>jennifer.moore</v>
      </c>
      <c r="C1434" t="s">
        <v>844</v>
      </c>
      <c r="E1434" s="17" t="s">
        <v>1583</v>
      </c>
      <c r="F1434" s="89">
        <v>42863</v>
      </c>
      <c r="J1434" t="s">
        <v>1441</v>
      </c>
      <c r="K1434" s="120">
        <v>17</v>
      </c>
    </row>
    <row r="1435" spans="2:11" hidden="1" x14ac:dyDescent="0.25">
      <c r="B1435" s="28" t="str">
        <f>IF(ISNUMBER(MATCH(C1435, Mgt_Unit!$C$5:$C$1018, 0)), INDEX(Mgt_Unit!$B$5:$B$1018, MATCH(C1435, Mgt_Unit!$C$5:$C$1018, 0)), "")</f>
        <v>jennifer.moore</v>
      </c>
      <c r="C1435" t="s">
        <v>844</v>
      </c>
      <c r="E1435" s="17" t="s">
        <v>1583</v>
      </c>
      <c r="F1435" s="89">
        <v>43025</v>
      </c>
      <c r="J1435" t="s">
        <v>1437</v>
      </c>
      <c r="K1435" s="120">
        <v>0.15</v>
      </c>
    </row>
    <row r="1436" spans="2:11" hidden="1" x14ac:dyDescent="0.25">
      <c r="B1436" s="28" t="str">
        <f>IF(ISNUMBER(MATCH(C1436, Mgt_Unit!$C$5:$C$1018, 0)), INDEX(Mgt_Unit!$B$5:$B$1018, MATCH(C1436, Mgt_Unit!$C$5:$C$1018, 0)), "")</f>
        <v>jennifer.moore</v>
      </c>
      <c r="C1436" t="s">
        <v>844</v>
      </c>
      <c r="E1436" s="17" t="s">
        <v>1585</v>
      </c>
      <c r="F1436" s="89">
        <v>43073</v>
      </c>
      <c r="J1436" t="s">
        <v>1438</v>
      </c>
      <c r="K1436" s="120">
        <v>14</v>
      </c>
    </row>
    <row r="1437" spans="2:11" hidden="1" x14ac:dyDescent="0.25">
      <c r="B1437" s="28" t="str">
        <f>IF(ISNUMBER(MATCH(C1437, Mgt_Unit!$C$5:$C$1018, 0)), INDEX(Mgt_Unit!$B$5:$B$1018, MATCH(C1437, Mgt_Unit!$C$5:$C$1018, 0)), "")</f>
        <v>jennifer.moore</v>
      </c>
      <c r="C1437" t="s">
        <v>844</v>
      </c>
      <c r="E1437" s="17" t="s">
        <v>1584</v>
      </c>
      <c r="F1437" s="89">
        <v>43217</v>
      </c>
      <c r="J1437" t="s">
        <v>1437</v>
      </c>
      <c r="K1437" s="120">
        <v>2.4</v>
      </c>
    </row>
    <row r="1438" spans="2:11" hidden="1" x14ac:dyDescent="0.25">
      <c r="B1438" s="28" t="str">
        <f>IF(ISNUMBER(MATCH(C1438, Mgt_Unit!$C$5:$C$1018, 0)), INDEX(Mgt_Unit!$B$5:$B$1018, MATCH(C1438, Mgt_Unit!$C$5:$C$1018, 0)), "")</f>
        <v>jennifer.moore</v>
      </c>
      <c r="C1438" t="s">
        <v>844</v>
      </c>
      <c r="E1438" s="17" t="s">
        <v>1583</v>
      </c>
      <c r="F1438" s="89">
        <v>43381</v>
      </c>
      <c r="J1438" t="s">
        <v>1437</v>
      </c>
      <c r="K1438" s="120">
        <v>0.15</v>
      </c>
    </row>
    <row r="1439" spans="2:11" hidden="1" x14ac:dyDescent="0.25">
      <c r="B1439" s="28" t="str">
        <f>IF(ISNUMBER(MATCH(C1439, Mgt_Unit!$C$5:$C$1018, 0)), INDEX(Mgt_Unit!$B$5:$B$1018, MATCH(C1439, Mgt_Unit!$C$5:$C$1018, 0)), "")</f>
        <v>jennifer.moore</v>
      </c>
      <c r="C1439" t="s">
        <v>844</v>
      </c>
      <c r="E1439" s="17" t="s">
        <v>1583</v>
      </c>
      <c r="F1439" s="89">
        <v>43409</v>
      </c>
      <c r="J1439" t="s">
        <v>1437</v>
      </c>
      <c r="K1439" s="120">
        <v>0.15</v>
      </c>
    </row>
    <row r="1440" spans="2:11" hidden="1" x14ac:dyDescent="0.25">
      <c r="B1440" s="28" t="str">
        <f>IF(ISNUMBER(MATCH(C1440, Mgt_Unit!$C$5:$C$1018, 0)), INDEX(Mgt_Unit!$B$5:$B$1018, MATCH(C1440, Mgt_Unit!$C$5:$C$1018, 0)), "")</f>
        <v>jennifer.moore</v>
      </c>
      <c r="C1440" t="s">
        <v>844</v>
      </c>
      <c r="E1440" s="17" t="s">
        <v>1585</v>
      </c>
      <c r="F1440" s="89">
        <v>43441</v>
      </c>
      <c r="J1440" t="s">
        <v>1438</v>
      </c>
      <c r="K1440" s="120">
        <v>14</v>
      </c>
    </row>
    <row r="1441" spans="2:11" hidden="1" x14ac:dyDescent="0.25">
      <c r="B1441" s="28" t="str">
        <f>IF(ISNUMBER(MATCH(C1441, Mgt_Unit!$C$5:$C$1018, 0)), INDEX(Mgt_Unit!$B$5:$B$1018, MATCH(C1441, Mgt_Unit!$C$5:$C$1018, 0)), "")</f>
        <v>jennifer.moore</v>
      </c>
      <c r="C1441" t="s">
        <v>844</v>
      </c>
      <c r="E1441" s="17" t="s">
        <v>1583</v>
      </c>
      <c r="F1441" s="89">
        <v>43584</v>
      </c>
      <c r="J1441" t="s">
        <v>1400</v>
      </c>
      <c r="K1441" s="120">
        <v>4.9000000000000004</v>
      </c>
    </row>
    <row r="1442" spans="2:11" hidden="1" x14ac:dyDescent="0.25">
      <c r="B1442" s="28" t="str">
        <f>IF(ISNUMBER(MATCH(C1442, Mgt_Unit!$C$5:$C$1018, 0)), INDEX(Mgt_Unit!$B$5:$B$1018, MATCH(C1442, Mgt_Unit!$C$5:$C$1018, 0)), "")</f>
        <v>jennifer.moore</v>
      </c>
      <c r="C1442" t="s">
        <v>844</v>
      </c>
      <c r="E1442" s="17" t="s">
        <v>1584</v>
      </c>
      <c r="F1442" s="89">
        <v>43594</v>
      </c>
      <c r="J1442" t="s">
        <v>1440</v>
      </c>
      <c r="K1442" s="120">
        <v>2.4</v>
      </c>
    </row>
    <row r="1443" spans="2:11" hidden="1" x14ac:dyDescent="0.25">
      <c r="B1443" s="28" t="str">
        <f>IF(ISNUMBER(MATCH(C1443, Mgt_Unit!$C$5:$C$1018, 0)), INDEX(Mgt_Unit!$B$5:$B$1018, MATCH(C1443, Mgt_Unit!$C$5:$C$1018, 0)), "")</f>
        <v>jennifer.moore</v>
      </c>
      <c r="C1443" t="s">
        <v>844</v>
      </c>
      <c r="E1443" s="17" t="s">
        <v>1583</v>
      </c>
      <c r="F1443" s="89">
        <v>43759</v>
      </c>
      <c r="J1443" t="s">
        <v>1440</v>
      </c>
      <c r="K1443" s="120">
        <v>19</v>
      </c>
    </row>
    <row r="1444" spans="2:11" hidden="1" x14ac:dyDescent="0.25">
      <c r="B1444" s="28" t="str">
        <f>IF(ISNUMBER(MATCH(C1444, Mgt_Unit!$C$5:$C$1018, 0)), INDEX(Mgt_Unit!$B$5:$B$1018, MATCH(C1444, Mgt_Unit!$C$5:$C$1018, 0)), "")</f>
        <v>jennifer.moore</v>
      </c>
      <c r="C1444" t="s">
        <v>844</v>
      </c>
      <c r="E1444" s="17" t="s">
        <v>1585</v>
      </c>
      <c r="F1444" s="89">
        <v>43770</v>
      </c>
      <c r="J1444" t="s">
        <v>1438</v>
      </c>
      <c r="K1444" s="120">
        <v>14</v>
      </c>
    </row>
    <row r="1445" spans="2:11" hidden="1" x14ac:dyDescent="0.25">
      <c r="B1445" s="28" t="str">
        <f>IF(ISNUMBER(MATCH(C1445, Mgt_Unit!$C$5:$C$1018, 0)), INDEX(Mgt_Unit!$B$5:$B$1018, MATCH(C1445, Mgt_Unit!$C$5:$C$1018, 0)), "")</f>
        <v>jennifer.moore</v>
      </c>
      <c r="C1445" t="s">
        <v>845</v>
      </c>
      <c r="E1445" s="17" t="s">
        <v>1583</v>
      </c>
      <c r="F1445" s="89">
        <v>42441</v>
      </c>
      <c r="J1445" t="s">
        <v>1442</v>
      </c>
      <c r="K1445" s="120">
        <v>46</v>
      </c>
    </row>
    <row r="1446" spans="2:11" hidden="1" x14ac:dyDescent="0.25">
      <c r="B1446" s="28" t="str">
        <f>IF(ISNUMBER(MATCH(C1446, Mgt_Unit!$C$5:$C$1018, 0)), INDEX(Mgt_Unit!$B$5:$B$1018, MATCH(C1446, Mgt_Unit!$C$5:$C$1018, 0)), "")</f>
        <v>jennifer.moore</v>
      </c>
      <c r="C1446" t="s">
        <v>845</v>
      </c>
      <c r="E1446" s="17" t="s">
        <v>1584</v>
      </c>
      <c r="F1446" s="89">
        <v>42448</v>
      </c>
      <c r="J1446" t="s">
        <v>1443</v>
      </c>
      <c r="K1446" s="120">
        <v>4</v>
      </c>
    </row>
    <row r="1447" spans="2:11" hidden="1" x14ac:dyDescent="0.25">
      <c r="B1447" s="28" t="str">
        <f>IF(ISNUMBER(MATCH(C1447, Mgt_Unit!$C$5:$C$1018, 0)), INDEX(Mgt_Unit!$B$5:$B$1018, MATCH(C1447, Mgt_Unit!$C$5:$C$1018, 0)), "")</f>
        <v>jennifer.moore</v>
      </c>
      <c r="C1447" t="s">
        <v>845</v>
      </c>
      <c r="E1447" s="17" t="s">
        <v>1583</v>
      </c>
      <c r="F1447" s="89">
        <v>42622</v>
      </c>
      <c r="J1447" t="s">
        <v>1444</v>
      </c>
      <c r="K1447" s="120">
        <v>20</v>
      </c>
    </row>
    <row r="1448" spans="2:11" hidden="1" x14ac:dyDescent="0.25">
      <c r="B1448" s="28" t="str">
        <f>IF(ISNUMBER(MATCH(C1448, Mgt_Unit!$C$5:$C$1018, 0)), INDEX(Mgt_Unit!$B$5:$B$1018, MATCH(C1448, Mgt_Unit!$C$5:$C$1018, 0)), "")</f>
        <v>jennifer.moore</v>
      </c>
      <c r="C1448" t="s">
        <v>845</v>
      </c>
      <c r="E1448" s="17" t="s">
        <v>1583</v>
      </c>
      <c r="F1448" s="89">
        <v>42648</v>
      </c>
      <c r="J1448" t="s">
        <v>1444</v>
      </c>
      <c r="K1448" s="120">
        <v>20</v>
      </c>
    </row>
    <row r="1449" spans="2:11" hidden="1" x14ac:dyDescent="0.25">
      <c r="B1449" s="28" t="str">
        <f>IF(ISNUMBER(MATCH(C1449, Mgt_Unit!$C$5:$C$1018, 0)), INDEX(Mgt_Unit!$B$5:$B$1018, MATCH(C1449, Mgt_Unit!$C$5:$C$1018, 0)), "")</f>
        <v>jennifer.moore</v>
      </c>
      <c r="C1449" t="s">
        <v>845</v>
      </c>
      <c r="E1449" s="17" t="s">
        <v>1583</v>
      </c>
      <c r="F1449" s="89">
        <v>42678</v>
      </c>
      <c r="J1449" t="s">
        <v>1444</v>
      </c>
      <c r="K1449" s="120">
        <v>20</v>
      </c>
    </row>
    <row r="1450" spans="2:11" hidden="1" x14ac:dyDescent="0.25">
      <c r="B1450" s="28" t="str">
        <f>IF(ISNUMBER(MATCH(C1450, Mgt_Unit!$C$5:$C$1018, 0)), INDEX(Mgt_Unit!$B$5:$B$1018, MATCH(C1450, Mgt_Unit!$C$5:$C$1018, 0)), "")</f>
        <v>jennifer.moore</v>
      </c>
      <c r="C1450" t="s">
        <v>845</v>
      </c>
      <c r="E1450" s="17" t="s">
        <v>1583</v>
      </c>
      <c r="F1450" s="89">
        <v>42678</v>
      </c>
      <c r="J1450" t="s">
        <v>1445</v>
      </c>
      <c r="K1450" s="120">
        <v>30</v>
      </c>
    </row>
    <row r="1451" spans="2:11" hidden="1" x14ac:dyDescent="0.25">
      <c r="B1451" s="28" t="str">
        <f>IF(ISNUMBER(MATCH(C1451, Mgt_Unit!$C$5:$C$1018, 0)), INDEX(Mgt_Unit!$B$5:$B$1018, MATCH(C1451, Mgt_Unit!$C$5:$C$1018, 0)), "")</f>
        <v>jennifer.moore</v>
      </c>
      <c r="C1451" t="s">
        <v>845</v>
      </c>
      <c r="E1451" s="17" t="s">
        <v>1583</v>
      </c>
      <c r="F1451" s="89">
        <v>42787</v>
      </c>
      <c r="J1451" t="s">
        <v>1444</v>
      </c>
      <c r="K1451" s="120">
        <v>20</v>
      </c>
    </row>
    <row r="1452" spans="2:11" hidden="1" x14ac:dyDescent="0.25">
      <c r="B1452" s="28" t="str">
        <f>IF(ISNUMBER(MATCH(C1452, Mgt_Unit!$C$5:$C$1018, 0)), INDEX(Mgt_Unit!$B$5:$B$1018, MATCH(C1452, Mgt_Unit!$C$5:$C$1018, 0)), "")</f>
        <v>jennifer.moore</v>
      </c>
      <c r="C1452" t="s">
        <v>845</v>
      </c>
      <c r="E1452" s="17" t="s">
        <v>1583</v>
      </c>
      <c r="F1452" s="89">
        <v>42822</v>
      </c>
      <c r="J1452" t="s">
        <v>1445</v>
      </c>
      <c r="K1452" s="120">
        <v>30</v>
      </c>
    </row>
    <row r="1453" spans="2:11" hidden="1" x14ac:dyDescent="0.25">
      <c r="B1453" s="28" t="str">
        <f>IF(ISNUMBER(MATCH(C1453, Mgt_Unit!$C$5:$C$1018, 0)), INDEX(Mgt_Unit!$B$5:$B$1018, MATCH(C1453, Mgt_Unit!$C$5:$C$1018, 0)), "")</f>
        <v>jennifer.moore</v>
      </c>
      <c r="C1453" t="s">
        <v>845</v>
      </c>
      <c r="E1453" s="17" t="s">
        <v>1583</v>
      </c>
      <c r="F1453" s="89">
        <v>42836</v>
      </c>
      <c r="J1453" t="s">
        <v>1442</v>
      </c>
      <c r="K1453" s="120">
        <v>46</v>
      </c>
    </row>
    <row r="1454" spans="2:11" hidden="1" x14ac:dyDescent="0.25">
      <c r="B1454" s="28" t="str">
        <f>IF(ISNUMBER(MATCH(C1454, Mgt_Unit!$C$5:$C$1018, 0)), INDEX(Mgt_Unit!$B$5:$B$1018, MATCH(C1454, Mgt_Unit!$C$5:$C$1018, 0)), "")</f>
        <v>jennifer.moore</v>
      </c>
      <c r="C1454" t="s">
        <v>845</v>
      </c>
      <c r="E1454" s="17" t="s">
        <v>1583</v>
      </c>
      <c r="F1454" s="89">
        <v>42836</v>
      </c>
      <c r="J1454" t="s">
        <v>1445</v>
      </c>
      <c r="K1454" s="120">
        <v>30</v>
      </c>
    </row>
    <row r="1455" spans="2:11" hidden="1" x14ac:dyDescent="0.25">
      <c r="B1455" s="28" t="str">
        <f>IF(ISNUMBER(MATCH(C1455, Mgt_Unit!$C$5:$C$1018, 0)), INDEX(Mgt_Unit!$B$5:$B$1018, MATCH(C1455, Mgt_Unit!$C$5:$C$1018, 0)), "")</f>
        <v>jennifer.moore</v>
      </c>
      <c r="C1455" t="s">
        <v>845</v>
      </c>
      <c r="E1455" s="17" t="s">
        <v>1584</v>
      </c>
      <c r="F1455" s="89">
        <v>42888</v>
      </c>
      <c r="J1455" t="s">
        <v>1443</v>
      </c>
      <c r="K1455" s="120">
        <v>4</v>
      </c>
    </row>
    <row r="1456" spans="2:11" hidden="1" x14ac:dyDescent="0.25">
      <c r="B1456" s="28" t="str">
        <f>IF(ISNUMBER(MATCH(C1456, Mgt_Unit!$C$5:$C$1018, 0)), INDEX(Mgt_Unit!$B$5:$B$1018, MATCH(C1456, Mgt_Unit!$C$5:$C$1018, 0)), "")</f>
        <v>jennifer.moore</v>
      </c>
      <c r="C1456" t="s">
        <v>845</v>
      </c>
      <c r="E1456" s="17" t="s">
        <v>1583</v>
      </c>
      <c r="F1456" s="89">
        <v>43041</v>
      </c>
      <c r="J1456" t="s">
        <v>1444</v>
      </c>
      <c r="K1456" s="120">
        <v>20</v>
      </c>
    </row>
    <row r="1457" spans="2:11" hidden="1" x14ac:dyDescent="0.25">
      <c r="B1457" s="28" t="str">
        <f>IF(ISNUMBER(MATCH(C1457, Mgt_Unit!$C$5:$C$1018, 0)), INDEX(Mgt_Unit!$B$5:$B$1018, MATCH(C1457, Mgt_Unit!$C$5:$C$1018, 0)), "")</f>
        <v>jennifer.moore</v>
      </c>
      <c r="C1457" t="s">
        <v>845</v>
      </c>
      <c r="E1457" s="17" t="s">
        <v>1585</v>
      </c>
      <c r="F1457" s="89">
        <v>43070</v>
      </c>
      <c r="J1457" t="s">
        <v>1355</v>
      </c>
      <c r="K1457" s="120">
        <v>6.3</v>
      </c>
    </row>
    <row r="1458" spans="2:11" hidden="1" x14ac:dyDescent="0.25">
      <c r="B1458" s="28" t="str">
        <f>IF(ISNUMBER(MATCH(C1458, Mgt_Unit!$C$5:$C$1018, 0)), INDEX(Mgt_Unit!$B$5:$B$1018, MATCH(C1458, Mgt_Unit!$C$5:$C$1018, 0)), "")</f>
        <v>jennifer.moore</v>
      </c>
      <c r="C1458" t="s">
        <v>845</v>
      </c>
      <c r="E1458" s="17" t="s">
        <v>1583</v>
      </c>
      <c r="F1458" s="89">
        <v>43070</v>
      </c>
      <c r="J1458" t="s">
        <v>1444</v>
      </c>
      <c r="K1458" s="120">
        <v>20</v>
      </c>
    </row>
    <row r="1459" spans="2:11" hidden="1" x14ac:dyDescent="0.25">
      <c r="B1459" s="28" t="str">
        <f>IF(ISNUMBER(MATCH(C1459, Mgt_Unit!$C$5:$C$1018, 0)), INDEX(Mgt_Unit!$B$5:$B$1018, MATCH(C1459, Mgt_Unit!$C$5:$C$1018, 0)), "")</f>
        <v>jennifer.moore</v>
      </c>
      <c r="C1459" t="s">
        <v>845</v>
      </c>
      <c r="E1459" s="17" t="s">
        <v>1583</v>
      </c>
      <c r="F1459" s="89">
        <v>43187</v>
      </c>
      <c r="J1459" t="s">
        <v>1444</v>
      </c>
      <c r="K1459" s="120">
        <v>20</v>
      </c>
    </row>
    <row r="1460" spans="2:11" hidden="1" x14ac:dyDescent="0.25">
      <c r="B1460" s="28" t="str">
        <f>IF(ISNUMBER(MATCH(C1460, Mgt_Unit!$C$5:$C$1018, 0)), INDEX(Mgt_Unit!$B$5:$B$1018, MATCH(C1460, Mgt_Unit!$C$5:$C$1018, 0)), "")</f>
        <v>jennifer.moore</v>
      </c>
      <c r="C1460" t="s">
        <v>845</v>
      </c>
      <c r="E1460" s="17" t="s">
        <v>1583</v>
      </c>
      <c r="F1460" s="89">
        <v>43187</v>
      </c>
      <c r="J1460" t="s">
        <v>1444</v>
      </c>
      <c r="K1460" s="120">
        <v>20</v>
      </c>
    </row>
    <row r="1461" spans="2:11" hidden="1" x14ac:dyDescent="0.25">
      <c r="B1461" s="28" t="str">
        <f>IF(ISNUMBER(MATCH(C1461, Mgt_Unit!$C$5:$C$1018, 0)), INDEX(Mgt_Unit!$B$5:$B$1018, MATCH(C1461, Mgt_Unit!$C$5:$C$1018, 0)), "")</f>
        <v>jennifer.moore</v>
      </c>
      <c r="C1461" t="s">
        <v>845</v>
      </c>
      <c r="E1461" s="17" t="s">
        <v>1583</v>
      </c>
      <c r="F1461" s="89">
        <v>43201</v>
      </c>
      <c r="J1461" t="s">
        <v>1445</v>
      </c>
      <c r="K1461" s="120">
        <v>30</v>
      </c>
    </row>
    <row r="1462" spans="2:11" hidden="1" x14ac:dyDescent="0.25">
      <c r="B1462" s="28" t="str">
        <f>IF(ISNUMBER(MATCH(C1462, Mgt_Unit!$C$5:$C$1018, 0)), INDEX(Mgt_Unit!$B$5:$B$1018, MATCH(C1462, Mgt_Unit!$C$5:$C$1018, 0)), "")</f>
        <v>jennifer.moore</v>
      </c>
      <c r="C1462" t="s">
        <v>845</v>
      </c>
      <c r="E1462" s="17" t="s">
        <v>1583</v>
      </c>
      <c r="F1462" s="89">
        <v>43215</v>
      </c>
      <c r="J1462" t="s">
        <v>1442</v>
      </c>
      <c r="K1462" s="120">
        <v>46</v>
      </c>
    </row>
    <row r="1463" spans="2:11" hidden="1" x14ac:dyDescent="0.25">
      <c r="B1463" s="28" t="str">
        <f>IF(ISNUMBER(MATCH(C1463, Mgt_Unit!$C$5:$C$1018, 0)), INDEX(Mgt_Unit!$B$5:$B$1018, MATCH(C1463, Mgt_Unit!$C$5:$C$1018, 0)), "")</f>
        <v>jennifer.moore</v>
      </c>
      <c r="C1463" t="s">
        <v>845</v>
      </c>
      <c r="E1463" s="17" t="s">
        <v>1584</v>
      </c>
      <c r="F1463" s="89">
        <v>43223</v>
      </c>
      <c r="J1463" t="s">
        <v>1443</v>
      </c>
      <c r="K1463" s="120">
        <v>4</v>
      </c>
    </row>
    <row r="1464" spans="2:11" hidden="1" x14ac:dyDescent="0.25">
      <c r="B1464" s="28" t="str">
        <f>IF(ISNUMBER(MATCH(C1464, Mgt_Unit!$C$5:$C$1018, 0)), INDEX(Mgt_Unit!$B$5:$B$1018, MATCH(C1464, Mgt_Unit!$C$5:$C$1018, 0)), "")</f>
        <v>jennifer.moore</v>
      </c>
      <c r="C1464" t="s">
        <v>845</v>
      </c>
      <c r="E1464" s="17" t="s">
        <v>1583</v>
      </c>
      <c r="F1464" s="89">
        <v>43432</v>
      </c>
      <c r="J1464" t="s">
        <v>1444</v>
      </c>
      <c r="K1464" s="120">
        <v>20</v>
      </c>
    </row>
    <row r="1465" spans="2:11" hidden="1" x14ac:dyDescent="0.25">
      <c r="B1465" s="28" t="str">
        <f>IF(ISNUMBER(MATCH(C1465, Mgt_Unit!$C$5:$C$1018, 0)), INDEX(Mgt_Unit!$B$5:$B$1018, MATCH(C1465, Mgt_Unit!$C$5:$C$1018, 0)), "")</f>
        <v>jennifer.moore</v>
      </c>
      <c r="C1465" t="s">
        <v>845</v>
      </c>
      <c r="E1465" s="17" t="s">
        <v>1583</v>
      </c>
      <c r="F1465" s="89">
        <v>43432</v>
      </c>
      <c r="J1465" t="s">
        <v>1444</v>
      </c>
      <c r="K1465" s="120">
        <v>20</v>
      </c>
    </row>
    <row r="1466" spans="2:11" hidden="1" x14ac:dyDescent="0.25">
      <c r="B1466" s="28" t="str">
        <f>IF(ISNUMBER(MATCH(C1466, Mgt_Unit!$C$5:$C$1018, 0)), INDEX(Mgt_Unit!$B$5:$B$1018, MATCH(C1466, Mgt_Unit!$C$5:$C$1018, 0)), "")</f>
        <v>jennifer.moore</v>
      </c>
      <c r="C1466" t="s">
        <v>845</v>
      </c>
      <c r="E1466" s="17" t="s">
        <v>1585</v>
      </c>
      <c r="F1466" s="89">
        <v>43433</v>
      </c>
      <c r="J1466" t="s">
        <v>1355</v>
      </c>
      <c r="K1466" s="120">
        <v>6.3</v>
      </c>
    </row>
    <row r="1467" spans="2:11" hidden="1" x14ac:dyDescent="0.25">
      <c r="B1467" s="28" t="str">
        <f>IF(ISNUMBER(MATCH(C1467, Mgt_Unit!$C$5:$C$1018, 0)), INDEX(Mgt_Unit!$B$5:$B$1018, MATCH(C1467, Mgt_Unit!$C$5:$C$1018, 0)), "")</f>
        <v>jennifer.moore</v>
      </c>
      <c r="C1467" t="s">
        <v>845</v>
      </c>
      <c r="E1467" s="17" t="s">
        <v>1583</v>
      </c>
      <c r="F1467" s="89">
        <v>43541</v>
      </c>
      <c r="J1467" t="s">
        <v>1445</v>
      </c>
      <c r="K1467" s="120">
        <v>30</v>
      </c>
    </row>
    <row r="1468" spans="2:11" hidden="1" x14ac:dyDescent="0.25">
      <c r="B1468" s="28" t="str">
        <f>IF(ISNUMBER(MATCH(C1468, Mgt_Unit!$C$5:$C$1018, 0)), INDEX(Mgt_Unit!$B$5:$B$1018, MATCH(C1468, Mgt_Unit!$C$5:$C$1018, 0)), "")</f>
        <v>jennifer.moore</v>
      </c>
      <c r="C1468" t="s">
        <v>845</v>
      </c>
      <c r="E1468" s="17" t="s">
        <v>1583</v>
      </c>
      <c r="F1468" s="89">
        <v>43573</v>
      </c>
      <c r="J1468" t="s">
        <v>1445</v>
      </c>
      <c r="K1468" s="120">
        <v>30</v>
      </c>
    </row>
    <row r="1469" spans="2:11" hidden="1" x14ac:dyDescent="0.25">
      <c r="B1469" s="28" t="str">
        <f>IF(ISNUMBER(MATCH(C1469, Mgt_Unit!$C$5:$C$1018, 0)), INDEX(Mgt_Unit!$B$5:$B$1018, MATCH(C1469, Mgt_Unit!$C$5:$C$1018, 0)), "")</f>
        <v>jennifer.moore</v>
      </c>
      <c r="C1469" t="s">
        <v>845</v>
      </c>
      <c r="E1469" s="17" t="s">
        <v>1583</v>
      </c>
      <c r="F1469" s="89">
        <v>43593</v>
      </c>
      <c r="J1469" t="s">
        <v>1402</v>
      </c>
      <c r="K1469" s="120">
        <v>65</v>
      </c>
    </row>
    <row r="1470" spans="2:11" hidden="1" x14ac:dyDescent="0.25">
      <c r="B1470" s="28" t="str">
        <f>IF(ISNUMBER(MATCH(C1470, Mgt_Unit!$C$5:$C$1018, 0)), INDEX(Mgt_Unit!$B$5:$B$1018, MATCH(C1470, Mgt_Unit!$C$5:$C$1018, 0)), "")</f>
        <v>jennifer.moore</v>
      </c>
      <c r="C1470" t="s">
        <v>845</v>
      </c>
      <c r="E1470" s="17" t="s">
        <v>1584</v>
      </c>
      <c r="F1470" s="89">
        <v>43600</v>
      </c>
      <c r="J1470" t="s">
        <v>1443</v>
      </c>
      <c r="K1470" s="120">
        <v>4</v>
      </c>
    </row>
    <row r="1471" spans="2:11" hidden="1" x14ac:dyDescent="0.25">
      <c r="B1471" s="28" t="str">
        <f>IF(ISNUMBER(MATCH(C1471, Mgt_Unit!$C$5:$C$1018, 0)), INDEX(Mgt_Unit!$B$5:$B$1018, MATCH(C1471, Mgt_Unit!$C$5:$C$1018, 0)), "")</f>
        <v>jennifer.moore</v>
      </c>
      <c r="C1471" t="s">
        <v>845</v>
      </c>
      <c r="E1471" s="17" t="s">
        <v>1583</v>
      </c>
      <c r="F1471" s="89">
        <v>43743</v>
      </c>
      <c r="J1471" t="s">
        <v>1403</v>
      </c>
      <c r="K1471" s="120">
        <v>19</v>
      </c>
    </row>
    <row r="1472" spans="2:11" hidden="1" x14ac:dyDescent="0.25">
      <c r="B1472" s="28" t="str">
        <f>IF(ISNUMBER(MATCH(C1472, Mgt_Unit!$C$5:$C$1018, 0)), INDEX(Mgt_Unit!$B$5:$B$1018, MATCH(C1472, Mgt_Unit!$C$5:$C$1018, 0)), "")</f>
        <v>jennifer.moore</v>
      </c>
      <c r="C1472" t="s">
        <v>845</v>
      </c>
      <c r="E1472" s="17" t="s">
        <v>1583</v>
      </c>
      <c r="F1472" s="89">
        <v>43746</v>
      </c>
      <c r="J1472" t="s">
        <v>1444</v>
      </c>
      <c r="K1472" s="120">
        <v>20</v>
      </c>
    </row>
    <row r="1473" spans="2:11" hidden="1" x14ac:dyDescent="0.25">
      <c r="B1473" s="28" t="str">
        <f>IF(ISNUMBER(MATCH(C1473, Mgt_Unit!$C$5:$C$1018, 0)), INDEX(Mgt_Unit!$B$5:$B$1018, MATCH(C1473, Mgt_Unit!$C$5:$C$1018, 0)), "")</f>
        <v>jennifer.moore</v>
      </c>
      <c r="C1473" t="s">
        <v>845</v>
      </c>
      <c r="E1473" s="17" t="s">
        <v>1583</v>
      </c>
      <c r="F1473" s="89">
        <v>43757</v>
      </c>
      <c r="J1473" t="s">
        <v>1444</v>
      </c>
      <c r="K1473" s="120">
        <v>20</v>
      </c>
    </row>
    <row r="1474" spans="2:11" hidden="1" x14ac:dyDescent="0.25">
      <c r="B1474" s="28" t="str">
        <f>IF(ISNUMBER(MATCH(C1474, Mgt_Unit!$C$5:$C$1018, 0)), INDEX(Mgt_Unit!$B$5:$B$1018, MATCH(C1474, Mgt_Unit!$C$5:$C$1018, 0)), "")</f>
        <v>jennifer.moore</v>
      </c>
      <c r="C1474" t="s">
        <v>845</v>
      </c>
      <c r="E1474" s="17" t="s">
        <v>1585</v>
      </c>
      <c r="F1474" s="89">
        <v>43760</v>
      </c>
      <c r="J1474" t="s">
        <v>1355</v>
      </c>
      <c r="K1474" s="120">
        <v>6.3</v>
      </c>
    </row>
    <row r="1475" spans="2:11" hidden="1" x14ac:dyDescent="0.25">
      <c r="B1475" s="28" t="str">
        <f>IF(ISNUMBER(MATCH(C1475, Mgt_Unit!$C$5:$C$1018, 0)), INDEX(Mgt_Unit!$B$5:$B$1018, MATCH(C1475, Mgt_Unit!$C$5:$C$1018, 0)), "")</f>
        <v>jennifer.moore</v>
      </c>
      <c r="C1475" t="s">
        <v>846</v>
      </c>
      <c r="E1475" s="17" t="s">
        <v>1583</v>
      </c>
      <c r="F1475" s="89">
        <v>42441</v>
      </c>
      <c r="J1475" t="s">
        <v>1446</v>
      </c>
      <c r="K1475" s="120">
        <v>6</v>
      </c>
    </row>
    <row r="1476" spans="2:11" hidden="1" x14ac:dyDescent="0.25">
      <c r="B1476" s="28" t="str">
        <f>IF(ISNUMBER(MATCH(C1476, Mgt_Unit!$C$5:$C$1018, 0)), INDEX(Mgt_Unit!$B$5:$B$1018, MATCH(C1476, Mgt_Unit!$C$5:$C$1018, 0)), "")</f>
        <v>jennifer.moore</v>
      </c>
      <c r="C1476" t="s">
        <v>846</v>
      </c>
      <c r="E1476" s="17" t="s">
        <v>1584</v>
      </c>
      <c r="F1476" s="89">
        <v>42448</v>
      </c>
      <c r="J1476" t="s">
        <v>1443</v>
      </c>
      <c r="K1476" s="120">
        <v>4</v>
      </c>
    </row>
    <row r="1477" spans="2:11" hidden="1" x14ac:dyDescent="0.25">
      <c r="B1477" s="28" t="str">
        <f>IF(ISNUMBER(MATCH(C1477, Mgt_Unit!$C$5:$C$1018, 0)), INDEX(Mgt_Unit!$B$5:$B$1018, MATCH(C1477, Mgt_Unit!$C$5:$C$1018, 0)), "")</f>
        <v>jennifer.moore</v>
      </c>
      <c r="C1477" t="s">
        <v>846</v>
      </c>
      <c r="E1477" s="17" t="s">
        <v>1583</v>
      </c>
      <c r="F1477" s="89">
        <v>42622</v>
      </c>
      <c r="J1477" t="s">
        <v>1444</v>
      </c>
      <c r="K1477" s="120">
        <v>20</v>
      </c>
    </row>
    <row r="1478" spans="2:11" hidden="1" x14ac:dyDescent="0.25">
      <c r="B1478" s="28" t="str">
        <f>IF(ISNUMBER(MATCH(C1478, Mgt_Unit!$C$5:$C$1018, 0)), INDEX(Mgt_Unit!$B$5:$B$1018, MATCH(C1478, Mgt_Unit!$C$5:$C$1018, 0)), "")</f>
        <v>jennifer.moore</v>
      </c>
      <c r="C1478" t="s">
        <v>846</v>
      </c>
      <c r="E1478" s="17" t="s">
        <v>1583</v>
      </c>
      <c r="F1478" s="89">
        <v>42648</v>
      </c>
      <c r="J1478" t="s">
        <v>1444</v>
      </c>
      <c r="K1478" s="120">
        <v>20</v>
      </c>
    </row>
    <row r="1479" spans="2:11" hidden="1" x14ac:dyDescent="0.25">
      <c r="B1479" s="28" t="str">
        <f>IF(ISNUMBER(MATCH(C1479, Mgt_Unit!$C$5:$C$1018, 0)), INDEX(Mgt_Unit!$B$5:$B$1018, MATCH(C1479, Mgt_Unit!$C$5:$C$1018, 0)), "")</f>
        <v>jennifer.moore</v>
      </c>
      <c r="C1479" t="s">
        <v>846</v>
      </c>
      <c r="E1479" s="17" t="s">
        <v>1583</v>
      </c>
      <c r="F1479" s="89">
        <v>42678</v>
      </c>
      <c r="J1479" t="s">
        <v>1444</v>
      </c>
      <c r="K1479" s="120">
        <v>20</v>
      </c>
    </row>
    <row r="1480" spans="2:11" hidden="1" x14ac:dyDescent="0.25">
      <c r="B1480" s="28" t="str">
        <f>IF(ISNUMBER(MATCH(C1480, Mgt_Unit!$C$5:$C$1018, 0)), INDEX(Mgt_Unit!$B$5:$B$1018, MATCH(C1480, Mgt_Unit!$C$5:$C$1018, 0)), "")</f>
        <v>jennifer.moore</v>
      </c>
      <c r="C1480" t="s">
        <v>846</v>
      </c>
      <c r="E1480" s="17" t="s">
        <v>1583</v>
      </c>
      <c r="F1480" s="89">
        <v>42887</v>
      </c>
      <c r="J1480" t="s">
        <v>1446</v>
      </c>
      <c r="K1480" s="120">
        <v>6</v>
      </c>
    </row>
    <row r="1481" spans="2:11" hidden="1" x14ac:dyDescent="0.25">
      <c r="B1481" s="28" t="str">
        <f>IF(ISNUMBER(MATCH(C1481, Mgt_Unit!$C$5:$C$1018, 0)), INDEX(Mgt_Unit!$B$5:$B$1018, MATCH(C1481, Mgt_Unit!$C$5:$C$1018, 0)), "")</f>
        <v>jennifer.moore</v>
      </c>
      <c r="C1481" t="s">
        <v>846</v>
      </c>
      <c r="E1481" s="17" t="s">
        <v>1584</v>
      </c>
      <c r="F1481" s="89">
        <v>42888</v>
      </c>
      <c r="J1481" t="s">
        <v>1443</v>
      </c>
      <c r="K1481" s="120">
        <v>4</v>
      </c>
    </row>
    <row r="1482" spans="2:11" hidden="1" x14ac:dyDescent="0.25">
      <c r="B1482" s="28" t="str">
        <f>IF(ISNUMBER(MATCH(C1482, Mgt_Unit!$C$5:$C$1018, 0)), INDEX(Mgt_Unit!$B$5:$B$1018, MATCH(C1482, Mgt_Unit!$C$5:$C$1018, 0)), "")</f>
        <v>jennifer.moore</v>
      </c>
      <c r="C1482" t="s">
        <v>846</v>
      </c>
      <c r="E1482" s="17" t="s">
        <v>1583</v>
      </c>
      <c r="F1482" s="89">
        <v>43041</v>
      </c>
      <c r="J1482" t="s">
        <v>1444</v>
      </c>
      <c r="K1482" s="120">
        <v>20</v>
      </c>
    </row>
    <row r="1483" spans="2:11" hidden="1" x14ac:dyDescent="0.25">
      <c r="B1483" s="28" t="str">
        <f>IF(ISNUMBER(MATCH(C1483, Mgt_Unit!$C$5:$C$1018, 0)), INDEX(Mgt_Unit!$B$5:$B$1018, MATCH(C1483, Mgt_Unit!$C$5:$C$1018, 0)), "")</f>
        <v>jennifer.moore</v>
      </c>
      <c r="C1483" t="s">
        <v>846</v>
      </c>
      <c r="E1483" s="17" t="s">
        <v>1585</v>
      </c>
      <c r="F1483" s="89">
        <v>43070</v>
      </c>
      <c r="J1483" t="s">
        <v>1355</v>
      </c>
      <c r="K1483" s="120">
        <v>6.3</v>
      </c>
    </row>
    <row r="1484" spans="2:11" hidden="1" x14ac:dyDescent="0.25">
      <c r="B1484" s="28" t="str">
        <f>IF(ISNUMBER(MATCH(C1484, Mgt_Unit!$C$5:$C$1018, 0)), INDEX(Mgt_Unit!$B$5:$B$1018, MATCH(C1484, Mgt_Unit!$C$5:$C$1018, 0)), "")</f>
        <v>jennifer.moore</v>
      </c>
      <c r="C1484" t="s">
        <v>846</v>
      </c>
      <c r="E1484" s="17" t="s">
        <v>1583</v>
      </c>
      <c r="F1484" s="89">
        <v>43070</v>
      </c>
      <c r="J1484" t="s">
        <v>1444</v>
      </c>
      <c r="K1484" s="120">
        <v>20</v>
      </c>
    </row>
    <row r="1485" spans="2:11" hidden="1" x14ac:dyDescent="0.25">
      <c r="B1485" s="28" t="str">
        <f>IF(ISNUMBER(MATCH(C1485, Mgt_Unit!$C$5:$C$1018, 0)), INDEX(Mgt_Unit!$B$5:$B$1018, MATCH(C1485, Mgt_Unit!$C$5:$C$1018, 0)), "")</f>
        <v>jennifer.moore</v>
      </c>
      <c r="C1485" t="s">
        <v>846</v>
      </c>
      <c r="E1485" s="17" t="s">
        <v>1583</v>
      </c>
      <c r="F1485" s="89">
        <v>43215</v>
      </c>
      <c r="J1485" t="s">
        <v>1446</v>
      </c>
      <c r="K1485" s="120">
        <v>6</v>
      </c>
    </row>
    <row r="1486" spans="2:11" hidden="1" x14ac:dyDescent="0.25">
      <c r="B1486" s="28" t="str">
        <f>IF(ISNUMBER(MATCH(C1486, Mgt_Unit!$C$5:$C$1018, 0)), INDEX(Mgt_Unit!$B$5:$B$1018, MATCH(C1486, Mgt_Unit!$C$5:$C$1018, 0)), "")</f>
        <v>jennifer.moore</v>
      </c>
      <c r="C1486" t="s">
        <v>846</v>
      </c>
      <c r="E1486" s="17" t="s">
        <v>1584</v>
      </c>
      <c r="F1486" s="89">
        <v>43223</v>
      </c>
      <c r="J1486" t="s">
        <v>1443</v>
      </c>
      <c r="K1486" s="120">
        <v>4</v>
      </c>
    </row>
    <row r="1487" spans="2:11" hidden="1" x14ac:dyDescent="0.25">
      <c r="B1487" s="28" t="str">
        <f>IF(ISNUMBER(MATCH(C1487, Mgt_Unit!$C$5:$C$1018, 0)), INDEX(Mgt_Unit!$B$5:$B$1018, MATCH(C1487, Mgt_Unit!$C$5:$C$1018, 0)), "")</f>
        <v>jennifer.moore</v>
      </c>
      <c r="C1487" t="s">
        <v>846</v>
      </c>
      <c r="E1487" s="17" t="s">
        <v>1583</v>
      </c>
      <c r="F1487" s="89">
        <v>43432</v>
      </c>
      <c r="J1487" t="s">
        <v>1444</v>
      </c>
      <c r="K1487" s="120">
        <v>20</v>
      </c>
    </row>
    <row r="1488" spans="2:11" hidden="1" x14ac:dyDescent="0.25">
      <c r="B1488" s="28" t="str">
        <f>IF(ISNUMBER(MATCH(C1488, Mgt_Unit!$C$5:$C$1018, 0)), INDEX(Mgt_Unit!$B$5:$B$1018, MATCH(C1488, Mgt_Unit!$C$5:$C$1018, 0)), "")</f>
        <v>jennifer.moore</v>
      </c>
      <c r="C1488" t="s">
        <v>846</v>
      </c>
      <c r="E1488" s="17" t="s">
        <v>1583</v>
      </c>
      <c r="F1488" s="89">
        <v>43432</v>
      </c>
      <c r="J1488" t="s">
        <v>1444</v>
      </c>
      <c r="K1488" s="120">
        <v>20</v>
      </c>
    </row>
    <row r="1489" spans="2:11" hidden="1" x14ac:dyDescent="0.25">
      <c r="B1489" s="28" t="str">
        <f>IF(ISNUMBER(MATCH(C1489, Mgt_Unit!$C$5:$C$1018, 0)), INDEX(Mgt_Unit!$B$5:$B$1018, MATCH(C1489, Mgt_Unit!$C$5:$C$1018, 0)), "")</f>
        <v>jennifer.moore</v>
      </c>
      <c r="C1489" t="s">
        <v>846</v>
      </c>
      <c r="E1489" s="17" t="s">
        <v>1585</v>
      </c>
      <c r="F1489" s="89">
        <v>43433</v>
      </c>
      <c r="J1489" t="s">
        <v>1355</v>
      </c>
      <c r="K1489" s="120">
        <v>6.3</v>
      </c>
    </row>
    <row r="1490" spans="2:11" hidden="1" x14ac:dyDescent="0.25">
      <c r="B1490" s="28" t="str">
        <f>IF(ISNUMBER(MATCH(C1490, Mgt_Unit!$C$5:$C$1018, 0)), INDEX(Mgt_Unit!$B$5:$B$1018, MATCH(C1490, Mgt_Unit!$C$5:$C$1018, 0)), "")</f>
        <v>jennifer.moore</v>
      </c>
      <c r="C1490" t="s">
        <v>846</v>
      </c>
      <c r="E1490" s="17" t="s">
        <v>1584</v>
      </c>
      <c r="F1490" s="89">
        <v>43600</v>
      </c>
      <c r="J1490" t="s">
        <v>1443</v>
      </c>
      <c r="K1490" s="120">
        <v>4</v>
      </c>
    </row>
    <row r="1491" spans="2:11" hidden="1" x14ac:dyDescent="0.25">
      <c r="B1491" s="28" t="str">
        <f>IF(ISNUMBER(MATCH(C1491, Mgt_Unit!$C$5:$C$1018, 0)), INDEX(Mgt_Unit!$B$5:$B$1018, MATCH(C1491, Mgt_Unit!$C$5:$C$1018, 0)), "")</f>
        <v>jennifer.moore</v>
      </c>
      <c r="C1491" t="s">
        <v>846</v>
      </c>
      <c r="E1491" s="17" t="s">
        <v>1583</v>
      </c>
      <c r="F1491" s="89">
        <v>43743</v>
      </c>
      <c r="J1491" t="s">
        <v>1403</v>
      </c>
      <c r="K1491" s="120">
        <v>19</v>
      </c>
    </row>
    <row r="1492" spans="2:11" hidden="1" x14ac:dyDescent="0.25">
      <c r="B1492" s="28" t="str">
        <f>IF(ISNUMBER(MATCH(C1492, Mgt_Unit!$C$5:$C$1018, 0)), INDEX(Mgt_Unit!$B$5:$B$1018, MATCH(C1492, Mgt_Unit!$C$5:$C$1018, 0)), "")</f>
        <v>jennifer.moore</v>
      </c>
      <c r="C1492" t="s">
        <v>846</v>
      </c>
      <c r="E1492" s="17" t="s">
        <v>1583</v>
      </c>
      <c r="F1492" s="89">
        <v>43746</v>
      </c>
      <c r="J1492" t="s">
        <v>1444</v>
      </c>
      <c r="K1492" s="120">
        <v>20</v>
      </c>
    </row>
    <row r="1493" spans="2:11" hidden="1" x14ac:dyDescent="0.25">
      <c r="B1493" s="28" t="str">
        <f>IF(ISNUMBER(MATCH(C1493, Mgt_Unit!$C$5:$C$1018, 0)), INDEX(Mgt_Unit!$B$5:$B$1018, MATCH(C1493, Mgt_Unit!$C$5:$C$1018, 0)), "")</f>
        <v>jennifer.moore</v>
      </c>
      <c r="C1493" t="s">
        <v>846</v>
      </c>
      <c r="E1493" s="17" t="s">
        <v>1583</v>
      </c>
      <c r="F1493" s="89">
        <v>43757</v>
      </c>
      <c r="J1493" t="s">
        <v>1444</v>
      </c>
      <c r="K1493" s="120">
        <v>20</v>
      </c>
    </row>
    <row r="1494" spans="2:11" hidden="1" x14ac:dyDescent="0.25">
      <c r="B1494" s="28" t="str">
        <f>IF(ISNUMBER(MATCH(C1494, Mgt_Unit!$C$5:$C$1018, 0)), INDEX(Mgt_Unit!$B$5:$B$1018, MATCH(C1494, Mgt_Unit!$C$5:$C$1018, 0)), "")</f>
        <v>jennifer.moore</v>
      </c>
      <c r="C1494" t="s">
        <v>846</v>
      </c>
      <c r="E1494" s="17" t="s">
        <v>1585</v>
      </c>
      <c r="F1494" s="89">
        <v>43760</v>
      </c>
      <c r="J1494" t="s">
        <v>1355</v>
      </c>
      <c r="K1494" s="120">
        <v>6.3</v>
      </c>
    </row>
    <row r="1495" spans="2:11" hidden="1" x14ac:dyDescent="0.25">
      <c r="B1495" s="28" t="str">
        <f>IF(ISNUMBER(MATCH(C1495, Mgt_Unit!$C$5:$C$1018, 0)), INDEX(Mgt_Unit!$B$5:$B$1018, MATCH(C1495, Mgt_Unit!$C$5:$C$1018, 0)), "")</f>
        <v>jennifer.moore</v>
      </c>
      <c r="C1495" t="s">
        <v>847</v>
      </c>
      <c r="E1495" s="17" t="s">
        <v>1584</v>
      </c>
      <c r="F1495" s="89">
        <v>42861</v>
      </c>
      <c r="J1495" t="s">
        <v>1398</v>
      </c>
      <c r="K1495" s="120">
        <v>4</v>
      </c>
    </row>
    <row r="1496" spans="2:11" hidden="1" x14ac:dyDescent="0.25">
      <c r="B1496" s="28" t="str">
        <f>IF(ISNUMBER(MATCH(C1496, Mgt_Unit!$C$5:$C$1018, 0)), INDEX(Mgt_Unit!$B$5:$B$1018, MATCH(C1496, Mgt_Unit!$C$5:$C$1018, 0)), "")</f>
        <v>jennifer.moore</v>
      </c>
      <c r="C1496" t="s">
        <v>847</v>
      </c>
      <c r="E1496" s="17" t="s">
        <v>1584</v>
      </c>
      <c r="F1496" s="89">
        <v>43226</v>
      </c>
      <c r="J1496" t="s">
        <v>1398</v>
      </c>
      <c r="K1496" s="120">
        <v>4</v>
      </c>
    </row>
    <row r="1497" spans="2:11" hidden="1" x14ac:dyDescent="0.25">
      <c r="B1497" s="28" t="str">
        <f>IF(ISNUMBER(MATCH(C1497, Mgt_Unit!$C$5:$C$1018, 0)), INDEX(Mgt_Unit!$B$5:$B$1018, MATCH(C1497, Mgt_Unit!$C$5:$C$1018, 0)), "")</f>
        <v>jennifer.moore</v>
      </c>
      <c r="C1497" t="s">
        <v>848</v>
      </c>
      <c r="E1497" s="17" t="s">
        <v>1584</v>
      </c>
      <c r="F1497" s="89">
        <v>42861</v>
      </c>
      <c r="J1497" t="s">
        <v>1398</v>
      </c>
      <c r="K1497" s="120">
        <v>4</v>
      </c>
    </row>
    <row r="1498" spans="2:11" hidden="1" x14ac:dyDescent="0.25">
      <c r="B1498" s="28" t="str">
        <f>IF(ISNUMBER(MATCH(C1498, Mgt_Unit!$C$5:$C$1018, 0)), INDEX(Mgt_Unit!$B$5:$B$1018, MATCH(C1498, Mgt_Unit!$C$5:$C$1018, 0)), "")</f>
        <v>jennifer.moore</v>
      </c>
      <c r="C1498" t="s">
        <v>848</v>
      </c>
      <c r="E1498" s="17" t="s">
        <v>1584</v>
      </c>
      <c r="F1498" s="89">
        <v>43226</v>
      </c>
      <c r="J1498" t="s">
        <v>1398</v>
      </c>
      <c r="K1498" s="120">
        <v>4</v>
      </c>
    </row>
    <row r="1499" spans="2:11" hidden="1" x14ac:dyDescent="0.25">
      <c r="B1499" s="28" t="str">
        <f>IF(ISNUMBER(MATCH(C1499, Mgt_Unit!$C$5:$C$1018, 0)), INDEX(Mgt_Unit!$B$5:$B$1018, MATCH(C1499, Mgt_Unit!$C$5:$C$1018, 0)), "")</f>
        <v>jennifer.moore</v>
      </c>
      <c r="C1499" t="s">
        <v>849</v>
      </c>
      <c r="E1499" s="17" t="s">
        <v>1584</v>
      </c>
      <c r="F1499" s="89">
        <v>43235</v>
      </c>
      <c r="J1499" t="s">
        <v>1398</v>
      </c>
      <c r="K1499" s="120">
        <v>4</v>
      </c>
    </row>
    <row r="1500" spans="2:11" hidden="1" x14ac:dyDescent="0.25">
      <c r="B1500" s="28" t="str">
        <f>IF(ISNUMBER(MATCH(C1500, Mgt_Unit!$C$5:$C$1018, 0)), INDEX(Mgt_Unit!$B$5:$B$1018, MATCH(C1500, Mgt_Unit!$C$5:$C$1018, 0)), "")</f>
        <v>jennifer.moore</v>
      </c>
      <c r="C1500" t="s">
        <v>850</v>
      </c>
      <c r="E1500" s="17" t="s">
        <v>1584</v>
      </c>
      <c r="F1500" s="89">
        <v>43235</v>
      </c>
      <c r="J1500" t="s">
        <v>1398</v>
      </c>
      <c r="K1500" s="120">
        <v>4</v>
      </c>
    </row>
    <row r="1501" spans="2:11" hidden="1" x14ac:dyDescent="0.25">
      <c r="B1501" s="28" t="str">
        <f>IF(ISNUMBER(MATCH(C1501, Mgt_Unit!$C$5:$C$1018, 0)), INDEX(Mgt_Unit!$B$5:$B$1018, MATCH(C1501, Mgt_Unit!$C$5:$C$1018, 0)), "")</f>
        <v>jennifer.moore</v>
      </c>
      <c r="C1501" t="s">
        <v>851</v>
      </c>
      <c r="E1501" s="17" t="s">
        <v>1584</v>
      </c>
      <c r="F1501" s="89">
        <v>42870</v>
      </c>
      <c r="J1501" t="s">
        <v>1398</v>
      </c>
      <c r="K1501" s="120">
        <v>4</v>
      </c>
    </row>
    <row r="1502" spans="2:11" hidden="1" x14ac:dyDescent="0.25">
      <c r="B1502" s="28" t="str">
        <f>IF(ISNUMBER(MATCH(C1502, Mgt_Unit!$C$5:$C$1018, 0)), INDEX(Mgt_Unit!$B$5:$B$1018, MATCH(C1502, Mgt_Unit!$C$5:$C$1018, 0)), "")</f>
        <v>jennifer.moore</v>
      </c>
      <c r="C1502" t="s">
        <v>851</v>
      </c>
      <c r="E1502" s="17" t="s">
        <v>1584</v>
      </c>
      <c r="F1502" s="89">
        <v>43237</v>
      </c>
      <c r="J1502" t="s">
        <v>1398</v>
      </c>
      <c r="K1502" s="120">
        <v>4</v>
      </c>
    </row>
    <row r="1503" spans="2:11" hidden="1" x14ac:dyDescent="0.25">
      <c r="B1503" s="28" t="str">
        <f>IF(ISNUMBER(MATCH(C1503, Mgt_Unit!$C$5:$C$1018, 0)), INDEX(Mgt_Unit!$B$5:$B$1018, MATCH(C1503, Mgt_Unit!$C$5:$C$1018, 0)), "")</f>
        <v>jennifer.moore</v>
      </c>
      <c r="C1503" t="s">
        <v>852</v>
      </c>
      <c r="E1503" s="17" t="s">
        <v>1584</v>
      </c>
      <c r="F1503" s="89">
        <v>42885</v>
      </c>
      <c r="J1503" t="s">
        <v>1398</v>
      </c>
      <c r="K1503" s="120">
        <v>4</v>
      </c>
    </row>
    <row r="1504" spans="2:11" hidden="1" x14ac:dyDescent="0.25">
      <c r="B1504" s="28" t="str">
        <f>IF(ISNUMBER(MATCH(C1504, Mgt_Unit!$C$5:$C$1018, 0)), INDEX(Mgt_Unit!$B$5:$B$1018, MATCH(C1504, Mgt_Unit!$C$5:$C$1018, 0)), "")</f>
        <v>jennifer.moore</v>
      </c>
      <c r="C1504" t="s">
        <v>852</v>
      </c>
      <c r="E1504" s="17" t="s">
        <v>1584</v>
      </c>
      <c r="F1504" s="89">
        <v>43237</v>
      </c>
      <c r="J1504" t="s">
        <v>1398</v>
      </c>
      <c r="K1504" s="120">
        <v>4</v>
      </c>
    </row>
    <row r="1505" spans="2:11" hidden="1" x14ac:dyDescent="0.25">
      <c r="B1505" s="28" t="str">
        <f>IF(ISNUMBER(MATCH(C1505, Mgt_Unit!$C$5:$C$1018, 0)), INDEX(Mgt_Unit!$B$5:$B$1018, MATCH(C1505, Mgt_Unit!$C$5:$C$1018, 0)), "")</f>
        <v>jennifer.moore</v>
      </c>
      <c r="C1505" t="s">
        <v>853</v>
      </c>
      <c r="E1505" s="17" t="s">
        <v>1583</v>
      </c>
      <c r="F1505" s="89">
        <v>42864</v>
      </c>
      <c r="J1505" t="s">
        <v>1447</v>
      </c>
      <c r="K1505" s="120">
        <v>37.6</v>
      </c>
    </row>
    <row r="1506" spans="2:11" hidden="1" x14ac:dyDescent="0.25">
      <c r="B1506" s="28" t="str">
        <f>IF(ISNUMBER(MATCH(C1506, Mgt_Unit!$C$5:$C$1018, 0)), INDEX(Mgt_Unit!$B$5:$B$1018, MATCH(C1506, Mgt_Unit!$C$5:$C$1018, 0)), "")</f>
        <v>jennifer.moore</v>
      </c>
      <c r="C1506" t="s">
        <v>853</v>
      </c>
      <c r="E1506" s="17" t="s">
        <v>1584</v>
      </c>
      <c r="F1506" s="89">
        <v>42864</v>
      </c>
      <c r="J1506" t="s">
        <v>1355</v>
      </c>
      <c r="K1506" s="120">
        <v>6.3</v>
      </c>
    </row>
    <row r="1507" spans="2:11" hidden="1" x14ac:dyDescent="0.25">
      <c r="B1507" s="28" t="str">
        <f>IF(ISNUMBER(MATCH(C1507, Mgt_Unit!$C$5:$C$1018, 0)), INDEX(Mgt_Unit!$B$5:$B$1018, MATCH(C1507, Mgt_Unit!$C$5:$C$1018, 0)), "")</f>
        <v>jennifer.moore</v>
      </c>
      <c r="C1507" t="s">
        <v>853</v>
      </c>
      <c r="E1507" s="17" t="s">
        <v>1583</v>
      </c>
      <c r="F1507" s="89">
        <v>43041</v>
      </c>
      <c r="J1507" t="s">
        <v>1436</v>
      </c>
      <c r="K1507" s="120">
        <v>42</v>
      </c>
    </row>
    <row r="1508" spans="2:11" hidden="1" x14ac:dyDescent="0.25">
      <c r="B1508" s="28" t="str">
        <f>IF(ISNUMBER(MATCH(C1508, Mgt_Unit!$C$5:$C$1018, 0)), INDEX(Mgt_Unit!$B$5:$B$1018, MATCH(C1508, Mgt_Unit!$C$5:$C$1018, 0)), "")</f>
        <v>jennifer.moore</v>
      </c>
      <c r="C1508" t="s">
        <v>853</v>
      </c>
      <c r="E1508" s="17" t="s">
        <v>1583</v>
      </c>
      <c r="F1508" s="89">
        <v>43236</v>
      </c>
      <c r="J1508" t="s">
        <v>1413</v>
      </c>
      <c r="K1508" s="120">
        <v>31</v>
      </c>
    </row>
    <row r="1509" spans="2:11" hidden="1" x14ac:dyDescent="0.25">
      <c r="B1509" s="28" t="str">
        <f>IF(ISNUMBER(MATCH(C1509, Mgt_Unit!$C$5:$C$1018, 0)), INDEX(Mgt_Unit!$B$5:$B$1018, MATCH(C1509, Mgt_Unit!$C$5:$C$1018, 0)), "")</f>
        <v>jennifer.moore</v>
      </c>
      <c r="C1509" t="s">
        <v>853</v>
      </c>
      <c r="E1509" s="17" t="s">
        <v>1584</v>
      </c>
      <c r="F1509" s="89">
        <v>43237</v>
      </c>
      <c r="J1509" t="s">
        <v>1355</v>
      </c>
      <c r="K1509" s="120">
        <v>6.3</v>
      </c>
    </row>
    <row r="1510" spans="2:11" hidden="1" x14ac:dyDescent="0.25">
      <c r="B1510" s="28" t="str">
        <f>IF(ISNUMBER(MATCH(C1510, Mgt_Unit!$C$5:$C$1018, 0)), INDEX(Mgt_Unit!$B$5:$B$1018, MATCH(C1510, Mgt_Unit!$C$5:$C$1018, 0)), "")</f>
        <v>jennifer.moore</v>
      </c>
      <c r="C1510" t="s">
        <v>854</v>
      </c>
      <c r="E1510" s="17" t="s">
        <v>1583</v>
      </c>
      <c r="F1510" s="89">
        <v>42495</v>
      </c>
      <c r="J1510" t="s">
        <v>1447</v>
      </c>
      <c r="K1510" s="120">
        <v>37.6</v>
      </c>
    </row>
    <row r="1511" spans="2:11" hidden="1" x14ac:dyDescent="0.25">
      <c r="B1511" s="28" t="str">
        <f>IF(ISNUMBER(MATCH(C1511, Mgt_Unit!$C$5:$C$1018, 0)), INDEX(Mgt_Unit!$B$5:$B$1018, MATCH(C1511, Mgt_Unit!$C$5:$C$1018, 0)), "")</f>
        <v>jennifer.moore</v>
      </c>
      <c r="C1511" t="s">
        <v>854</v>
      </c>
      <c r="E1511" s="17" t="s">
        <v>1584</v>
      </c>
      <c r="F1511" s="89">
        <v>42496</v>
      </c>
      <c r="J1511" t="s">
        <v>1355</v>
      </c>
      <c r="K1511" s="120">
        <v>6.3</v>
      </c>
    </row>
    <row r="1512" spans="2:11" hidden="1" x14ac:dyDescent="0.25">
      <c r="B1512" s="28" t="str">
        <f>IF(ISNUMBER(MATCH(C1512, Mgt_Unit!$C$5:$C$1018, 0)), INDEX(Mgt_Unit!$B$5:$B$1018, MATCH(C1512, Mgt_Unit!$C$5:$C$1018, 0)), "")</f>
        <v>jennifer.moore</v>
      </c>
      <c r="C1512" t="s">
        <v>854</v>
      </c>
      <c r="E1512" s="17" t="s">
        <v>1583</v>
      </c>
      <c r="F1512" s="89">
        <v>42671</v>
      </c>
      <c r="J1512" t="s">
        <v>1436</v>
      </c>
      <c r="K1512" s="120">
        <v>42</v>
      </c>
    </row>
    <row r="1513" spans="2:11" hidden="1" x14ac:dyDescent="0.25">
      <c r="B1513" s="28" t="str">
        <f>IF(ISNUMBER(MATCH(C1513, Mgt_Unit!$C$5:$C$1018, 0)), INDEX(Mgt_Unit!$B$5:$B$1018, MATCH(C1513, Mgt_Unit!$C$5:$C$1018, 0)), "")</f>
        <v>jennifer.moore</v>
      </c>
      <c r="C1513" t="s">
        <v>854</v>
      </c>
      <c r="E1513" s="17" t="s">
        <v>1584</v>
      </c>
      <c r="F1513" s="89">
        <v>42871</v>
      </c>
      <c r="J1513" t="s">
        <v>1355</v>
      </c>
      <c r="K1513" s="120">
        <v>6.3</v>
      </c>
    </row>
    <row r="1514" spans="2:11" hidden="1" x14ac:dyDescent="0.25">
      <c r="B1514" s="28" t="str">
        <f>IF(ISNUMBER(MATCH(C1514, Mgt_Unit!$C$5:$C$1018, 0)), INDEX(Mgt_Unit!$B$5:$B$1018, MATCH(C1514, Mgt_Unit!$C$5:$C$1018, 0)), "")</f>
        <v>jennifer.moore</v>
      </c>
      <c r="C1514" t="s">
        <v>854</v>
      </c>
      <c r="E1514" s="17" t="s">
        <v>1583</v>
      </c>
      <c r="F1514" s="89">
        <v>42871</v>
      </c>
      <c r="J1514" t="s">
        <v>1413</v>
      </c>
      <c r="K1514" s="120">
        <v>31</v>
      </c>
    </row>
    <row r="1515" spans="2:11" hidden="1" x14ac:dyDescent="0.25">
      <c r="B1515" s="28" t="str">
        <f>IF(ISNUMBER(MATCH(C1515, Mgt_Unit!$C$5:$C$1018, 0)), INDEX(Mgt_Unit!$B$5:$B$1018, MATCH(C1515, Mgt_Unit!$C$5:$C$1018, 0)), "")</f>
        <v>jennifer.moore</v>
      </c>
      <c r="C1515" t="s">
        <v>854</v>
      </c>
      <c r="E1515" s="17" t="s">
        <v>1583</v>
      </c>
      <c r="F1515" s="89">
        <v>43214</v>
      </c>
      <c r="J1515" t="s">
        <v>1448</v>
      </c>
      <c r="K1515" s="120">
        <v>30</v>
      </c>
    </row>
    <row r="1516" spans="2:11" hidden="1" x14ac:dyDescent="0.25">
      <c r="B1516" s="28" t="str">
        <f>IF(ISNUMBER(MATCH(C1516, Mgt_Unit!$C$5:$C$1018, 0)), INDEX(Mgt_Unit!$B$5:$B$1018, MATCH(C1516, Mgt_Unit!$C$5:$C$1018, 0)), "")</f>
        <v>jennifer.moore</v>
      </c>
      <c r="C1516" t="s">
        <v>854</v>
      </c>
      <c r="E1516" s="17" t="s">
        <v>1583</v>
      </c>
      <c r="F1516" s="89">
        <v>43214</v>
      </c>
      <c r="J1516" t="s">
        <v>1449</v>
      </c>
      <c r="K1516" s="120">
        <v>36</v>
      </c>
    </row>
    <row r="1517" spans="2:11" hidden="1" x14ac:dyDescent="0.25">
      <c r="B1517" s="28" t="str">
        <f>IF(ISNUMBER(MATCH(C1517, Mgt_Unit!$C$5:$C$1018, 0)), INDEX(Mgt_Unit!$B$5:$B$1018, MATCH(C1517, Mgt_Unit!$C$5:$C$1018, 0)), "")</f>
        <v>jennifer.moore</v>
      </c>
      <c r="C1517" t="s">
        <v>854</v>
      </c>
      <c r="E1517" s="17" t="s">
        <v>1584</v>
      </c>
      <c r="F1517" s="89">
        <v>43214</v>
      </c>
      <c r="J1517" t="s">
        <v>1355</v>
      </c>
      <c r="K1517" s="120">
        <v>6.3</v>
      </c>
    </row>
    <row r="1518" spans="2:11" hidden="1" x14ac:dyDescent="0.25">
      <c r="B1518" s="28" t="str">
        <f>IF(ISNUMBER(MATCH(C1518, Mgt_Unit!$C$5:$C$1018, 0)), INDEX(Mgt_Unit!$B$5:$B$1018, MATCH(C1518, Mgt_Unit!$C$5:$C$1018, 0)), "")</f>
        <v>jennifer.moore</v>
      </c>
      <c r="C1518" t="s">
        <v>854</v>
      </c>
      <c r="E1518" s="17" t="s">
        <v>1583</v>
      </c>
      <c r="F1518" s="89">
        <v>43430</v>
      </c>
      <c r="J1518" t="s">
        <v>1402</v>
      </c>
      <c r="K1518" s="120">
        <v>65</v>
      </c>
    </row>
    <row r="1519" spans="2:11" hidden="1" x14ac:dyDescent="0.25">
      <c r="B1519" s="28" t="str">
        <f>IF(ISNUMBER(MATCH(C1519, Mgt_Unit!$C$5:$C$1018, 0)), INDEX(Mgt_Unit!$B$5:$B$1018, MATCH(C1519, Mgt_Unit!$C$5:$C$1018, 0)), "")</f>
        <v>jennifer.moore</v>
      </c>
      <c r="C1519" t="s">
        <v>855</v>
      </c>
      <c r="E1519" s="17" t="s">
        <v>1583</v>
      </c>
      <c r="F1519" s="89">
        <v>42143</v>
      </c>
      <c r="J1519" t="s">
        <v>1447</v>
      </c>
      <c r="K1519" s="120">
        <v>37.6</v>
      </c>
    </row>
    <row r="1520" spans="2:11" hidden="1" x14ac:dyDescent="0.25">
      <c r="B1520" s="28" t="str">
        <f>IF(ISNUMBER(MATCH(C1520, Mgt_Unit!$C$5:$C$1018, 0)), INDEX(Mgt_Unit!$B$5:$B$1018, MATCH(C1520, Mgt_Unit!$C$5:$C$1018, 0)), "")</f>
        <v>jennifer.moore</v>
      </c>
      <c r="C1520" t="s">
        <v>855</v>
      </c>
      <c r="E1520" s="17" t="s">
        <v>1584</v>
      </c>
      <c r="F1520" s="89">
        <v>42143</v>
      </c>
      <c r="J1520" t="s">
        <v>1355</v>
      </c>
      <c r="K1520" s="120">
        <v>6.3</v>
      </c>
    </row>
    <row r="1521" spans="2:11" hidden="1" x14ac:dyDescent="0.25">
      <c r="B1521" s="28" t="str">
        <f>IF(ISNUMBER(MATCH(C1521, Mgt_Unit!$C$5:$C$1018, 0)), INDEX(Mgt_Unit!$B$5:$B$1018, MATCH(C1521, Mgt_Unit!$C$5:$C$1018, 0)), "")</f>
        <v>jennifer.moore</v>
      </c>
      <c r="C1521" t="s">
        <v>855</v>
      </c>
      <c r="E1521" s="17" t="s">
        <v>1583</v>
      </c>
      <c r="F1521" s="89">
        <v>42314</v>
      </c>
      <c r="J1521" t="s">
        <v>1436</v>
      </c>
      <c r="K1521" s="120">
        <v>42</v>
      </c>
    </row>
    <row r="1522" spans="2:11" hidden="1" x14ac:dyDescent="0.25">
      <c r="B1522" s="28" t="str">
        <f>IF(ISNUMBER(MATCH(C1522, Mgt_Unit!$C$5:$C$1018, 0)), INDEX(Mgt_Unit!$B$5:$B$1018, MATCH(C1522, Mgt_Unit!$C$5:$C$1018, 0)), "")</f>
        <v>jennifer.moore</v>
      </c>
      <c r="C1522" t="s">
        <v>855</v>
      </c>
      <c r="E1522" s="17" t="s">
        <v>1583</v>
      </c>
      <c r="F1522" s="89">
        <v>42486</v>
      </c>
      <c r="J1522" t="s">
        <v>1413</v>
      </c>
      <c r="K1522" s="120">
        <v>31</v>
      </c>
    </row>
    <row r="1523" spans="2:11" hidden="1" x14ac:dyDescent="0.25">
      <c r="B1523" s="28" t="str">
        <f>IF(ISNUMBER(MATCH(C1523, Mgt_Unit!$C$5:$C$1018, 0)), INDEX(Mgt_Unit!$B$5:$B$1018, MATCH(C1523, Mgt_Unit!$C$5:$C$1018, 0)), "")</f>
        <v>jennifer.moore</v>
      </c>
      <c r="C1523" t="s">
        <v>855</v>
      </c>
      <c r="E1523" s="17" t="s">
        <v>1584</v>
      </c>
      <c r="F1523" s="89">
        <v>42510</v>
      </c>
      <c r="J1523" t="s">
        <v>1355</v>
      </c>
      <c r="K1523" s="120">
        <v>6.3</v>
      </c>
    </row>
    <row r="1524" spans="2:11" hidden="1" x14ac:dyDescent="0.25">
      <c r="B1524" s="28" t="str">
        <f>IF(ISNUMBER(MATCH(C1524, Mgt_Unit!$C$5:$C$1018, 0)), INDEX(Mgt_Unit!$B$5:$B$1018, MATCH(C1524, Mgt_Unit!$C$5:$C$1018, 0)), "")</f>
        <v>jennifer.moore</v>
      </c>
      <c r="C1524" t="s">
        <v>855</v>
      </c>
      <c r="E1524" s="17" t="s">
        <v>1583</v>
      </c>
      <c r="F1524" s="89">
        <v>42510</v>
      </c>
      <c r="J1524" t="s">
        <v>1413</v>
      </c>
      <c r="K1524" s="120">
        <v>31</v>
      </c>
    </row>
    <row r="1525" spans="2:11" hidden="1" x14ac:dyDescent="0.25">
      <c r="B1525" s="28" t="str">
        <f>IF(ISNUMBER(MATCH(C1525, Mgt_Unit!$C$5:$C$1018, 0)), INDEX(Mgt_Unit!$B$5:$B$1018, MATCH(C1525, Mgt_Unit!$C$5:$C$1018, 0)), "")</f>
        <v>jennifer.moore</v>
      </c>
      <c r="C1525" t="s">
        <v>855</v>
      </c>
      <c r="E1525" s="17" t="s">
        <v>1583</v>
      </c>
      <c r="F1525" s="89">
        <v>42836</v>
      </c>
      <c r="J1525" t="s">
        <v>1448</v>
      </c>
      <c r="K1525" s="120">
        <v>30</v>
      </c>
    </row>
    <row r="1526" spans="2:11" hidden="1" x14ac:dyDescent="0.25">
      <c r="B1526" s="28" t="str">
        <f>IF(ISNUMBER(MATCH(C1526, Mgt_Unit!$C$5:$C$1018, 0)), INDEX(Mgt_Unit!$B$5:$B$1018, MATCH(C1526, Mgt_Unit!$C$5:$C$1018, 0)), "")</f>
        <v>jennifer.moore</v>
      </c>
      <c r="C1526" t="s">
        <v>855</v>
      </c>
      <c r="E1526" s="17" t="s">
        <v>1583</v>
      </c>
      <c r="F1526" s="89">
        <v>42837</v>
      </c>
      <c r="J1526" t="s">
        <v>1449</v>
      </c>
      <c r="K1526" s="120">
        <v>36</v>
      </c>
    </row>
    <row r="1527" spans="2:11" hidden="1" x14ac:dyDescent="0.25">
      <c r="B1527" s="28" t="str">
        <f>IF(ISNUMBER(MATCH(C1527, Mgt_Unit!$C$5:$C$1018, 0)), INDEX(Mgt_Unit!$B$5:$B$1018, MATCH(C1527, Mgt_Unit!$C$5:$C$1018, 0)), "")</f>
        <v>jennifer.moore</v>
      </c>
      <c r="C1527" t="s">
        <v>855</v>
      </c>
      <c r="E1527" s="17" t="s">
        <v>1584</v>
      </c>
      <c r="F1527" s="89">
        <v>42837</v>
      </c>
      <c r="J1527" t="s">
        <v>1355</v>
      </c>
      <c r="K1527" s="120">
        <v>6.3</v>
      </c>
    </row>
    <row r="1528" spans="2:11" hidden="1" x14ac:dyDescent="0.25">
      <c r="B1528" s="28" t="str">
        <f>IF(ISNUMBER(MATCH(C1528, Mgt_Unit!$C$5:$C$1018, 0)), INDEX(Mgt_Unit!$B$5:$B$1018, MATCH(C1528, Mgt_Unit!$C$5:$C$1018, 0)), "")</f>
        <v>jennifer.moore</v>
      </c>
      <c r="C1528" t="s">
        <v>855</v>
      </c>
      <c r="E1528" s="17" t="s">
        <v>1583</v>
      </c>
      <c r="F1528" s="89">
        <v>42837</v>
      </c>
      <c r="J1528" t="s">
        <v>1355</v>
      </c>
      <c r="K1528" s="120">
        <v>6.3</v>
      </c>
    </row>
    <row r="1529" spans="2:11" hidden="1" x14ac:dyDescent="0.25">
      <c r="B1529" s="28" t="str">
        <f>IF(ISNUMBER(MATCH(C1529, Mgt_Unit!$C$5:$C$1018, 0)), INDEX(Mgt_Unit!$B$5:$B$1018, MATCH(C1529, Mgt_Unit!$C$5:$C$1018, 0)), "")</f>
        <v>jennifer.moore</v>
      </c>
      <c r="C1529" t="s">
        <v>855</v>
      </c>
      <c r="E1529" s="17" t="s">
        <v>1583</v>
      </c>
      <c r="F1529" s="89">
        <v>43430</v>
      </c>
      <c r="J1529" t="s">
        <v>1402</v>
      </c>
      <c r="K1529" s="120">
        <v>65</v>
      </c>
    </row>
    <row r="1530" spans="2:11" hidden="1" x14ac:dyDescent="0.25">
      <c r="B1530" s="28" t="str">
        <f>IF(ISNUMBER(MATCH(C1530, Mgt_Unit!$C$5:$C$1018, 0)), INDEX(Mgt_Unit!$B$5:$B$1018, MATCH(C1530, Mgt_Unit!$C$5:$C$1018, 0)), "")</f>
        <v>jennifer.moore</v>
      </c>
      <c r="C1530" t="s">
        <v>856</v>
      </c>
      <c r="E1530" s="17" t="s">
        <v>1584</v>
      </c>
      <c r="F1530" s="89">
        <v>42094</v>
      </c>
      <c r="J1530" t="s">
        <v>1450</v>
      </c>
      <c r="K1530" s="120">
        <v>4</v>
      </c>
    </row>
    <row r="1531" spans="2:11" hidden="1" x14ac:dyDescent="0.25">
      <c r="B1531" s="28" t="str">
        <f>IF(ISNUMBER(MATCH(C1531, Mgt_Unit!$C$5:$C$1018, 0)), INDEX(Mgt_Unit!$B$5:$B$1018, MATCH(C1531, Mgt_Unit!$C$5:$C$1018, 0)), "")</f>
        <v>jennifer.moore</v>
      </c>
      <c r="C1531" t="s">
        <v>856</v>
      </c>
      <c r="E1531" s="17" t="s">
        <v>1583</v>
      </c>
      <c r="F1531" s="89">
        <v>42094</v>
      </c>
      <c r="J1531" t="s">
        <v>1411</v>
      </c>
      <c r="K1531" s="120">
        <v>24</v>
      </c>
    </row>
    <row r="1532" spans="2:11" hidden="1" x14ac:dyDescent="0.25">
      <c r="B1532" s="28" t="str">
        <f>IF(ISNUMBER(MATCH(C1532, Mgt_Unit!$C$5:$C$1018, 0)), INDEX(Mgt_Unit!$B$5:$B$1018, MATCH(C1532, Mgt_Unit!$C$5:$C$1018, 0)), "")</f>
        <v>jennifer.moore</v>
      </c>
      <c r="C1532" t="s">
        <v>856</v>
      </c>
      <c r="E1532" s="17" t="s">
        <v>1583</v>
      </c>
      <c r="F1532" s="89">
        <v>42300</v>
      </c>
      <c r="J1532" t="s">
        <v>1399</v>
      </c>
      <c r="K1532" s="120">
        <v>0.2</v>
      </c>
    </row>
    <row r="1533" spans="2:11" hidden="1" x14ac:dyDescent="0.25">
      <c r="B1533" s="28" t="str">
        <f>IF(ISNUMBER(MATCH(C1533, Mgt_Unit!$C$5:$C$1018, 0)), INDEX(Mgt_Unit!$B$5:$B$1018, MATCH(C1533, Mgt_Unit!$C$5:$C$1018, 0)), "")</f>
        <v>jennifer.moore</v>
      </c>
      <c r="C1533" t="s">
        <v>856</v>
      </c>
      <c r="E1533" s="17" t="s">
        <v>1583</v>
      </c>
      <c r="F1533" s="89">
        <v>42300</v>
      </c>
      <c r="J1533" t="s">
        <v>1451</v>
      </c>
      <c r="K1533" s="120">
        <v>81</v>
      </c>
    </row>
    <row r="1534" spans="2:11" hidden="1" x14ac:dyDescent="0.25">
      <c r="B1534" s="28" t="str">
        <f>IF(ISNUMBER(MATCH(C1534, Mgt_Unit!$C$5:$C$1018, 0)), INDEX(Mgt_Unit!$B$5:$B$1018, MATCH(C1534, Mgt_Unit!$C$5:$C$1018, 0)), "")</f>
        <v>jennifer.moore</v>
      </c>
      <c r="C1534" t="s">
        <v>856</v>
      </c>
      <c r="E1534" s="17" t="s">
        <v>1583</v>
      </c>
      <c r="F1534" s="89">
        <v>42480</v>
      </c>
      <c r="J1534" t="s">
        <v>1411</v>
      </c>
      <c r="K1534" s="120">
        <v>24</v>
      </c>
    </row>
    <row r="1535" spans="2:11" hidden="1" x14ac:dyDescent="0.25">
      <c r="B1535" s="28" t="str">
        <f>IF(ISNUMBER(MATCH(C1535, Mgt_Unit!$C$5:$C$1018, 0)), INDEX(Mgt_Unit!$B$5:$B$1018, MATCH(C1535, Mgt_Unit!$C$5:$C$1018, 0)), "")</f>
        <v>jennifer.moore</v>
      </c>
      <c r="C1535" t="s">
        <v>856</v>
      </c>
      <c r="E1535" s="17" t="s">
        <v>1584</v>
      </c>
      <c r="F1535" s="89">
        <v>42499</v>
      </c>
      <c r="J1535" t="s">
        <v>1450</v>
      </c>
      <c r="K1535" s="120">
        <v>4</v>
      </c>
    </row>
    <row r="1536" spans="2:11" hidden="1" x14ac:dyDescent="0.25">
      <c r="B1536" s="28" t="str">
        <f>IF(ISNUMBER(MATCH(C1536, Mgt_Unit!$C$5:$C$1018, 0)), INDEX(Mgt_Unit!$B$5:$B$1018, MATCH(C1536, Mgt_Unit!$C$5:$C$1018, 0)), "")</f>
        <v>jennifer.moore</v>
      </c>
      <c r="C1536" t="s">
        <v>856</v>
      </c>
      <c r="E1536" s="17" t="s">
        <v>1583</v>
      </c>
      <c r="F1536" s="89">
        <v>42683</v>
      </c>
      <c r="J1536" t="s">
        <v>1452</v>
      </c>
      <c r="K1536" s="120">
        <v>47</v>
      </c>
    </row>
    <row r="1537" spans="2:11" hidden="1" x14ac:dyDescent="0.25">
      <c r="B1537" s="28" t="str">
        <f>IF(ISNUMBER(MATCH(C1537, Mgt_Unit!$C$5:$C$1018, 0)), INDEX(Mgt_Unit!$B$5:$B$1018, MATCH(C1537, Mgt_Unit!$C$5:$C$1018, 0)), "")</f>
        <v>jennifer.moore</v>
      </c>
      <c r="C1537" t="s">
        <v>856</v>
      </c>
      <c r="E1537" s="17" t="s">
        <v>1583</v>
      </c>
      <c r="F1537" s="89">
        <v>42690</v>
      </c>
      <c r="J1537" t="s">
        <v>1399</v>
      </c>
      <c r="K1537" s="120">
        <v>0.2</v>
      </c>
    </row>
    <row r="1538" spans="2:11" hidden="1" x14ac:dyDescent="0.25">
      <c r="B1538" s="28" t="str">
        <f>IF(ISNUMBER(MATCH(C1538, Mgt_Unit!$C$5:$C$1018, 0)), INDEX(Mgt_Unit!$B$5:$B$1018, MATCH(C1538, Mgt_Unit!$C$5:$C$1018, 0)), "")</f>
        <v>jennifer.moore</v>
      </c>
      <c r="C1538" t="s">
        <v>856</v>
      </c>
      <c r="E1538" s="17" t="s">
        <v>1583</v>
      </c>
      <c r="F1538" s="89">
        <v>42690</v>
      </c>
      <c r="J1538" t="s">
        <v>1396</v>
      </c>
      <c r="K1538" s="120">
        <v>37</v>
      </c>
    </row>
    <row r="1539" spans="2:11" hidden="1" x14ac:dyDescent="0.25">
      <c r="B1539" s="28" t="str">
        <f>IF(ISNUMBER(MATCH(C1539, Mgt_Unit!$C$5:$C$1018, 0)), INDEX(Mgt_Unit!$B$5:$B$1018, MATCH(C1539, Mgt_Unit!$C$5:$C$1018, 0)), "")</f>
        <v>jennifer.moore</v>
      </c>
      <c r="C1539" t="s">
        <v>856</v>
      </c>
      <c r="E1539" s="17" t="s">
        <v>1583</v>
      </c>
      <c r="F1539" s="89">
        <v>42826</v>
      </c>
      <c r="J1539" t="s">
        <v>1411</v>
      </c>
      <c r="K1539" s="120">
        <v>24</v>
      </c>
    </row>
    <row r="1540" spans="2:11" hidden="1" x14ac:dyDescent="0.25">
      <c r="B1540" s="28" t="str">
        <f>IF(ISNUMBER(MATCH(C1540, Mgt_Unit!$C$5:$C$1018, 0)), INDEX(Mgt_Unit!$B$5:$B$1018, MATCH(C1540, Mgt_Unit!$C$5:$C$1018, 0)), "")</f>
        <v>jennifer.moore</v>
      </c>
      <c r="C1540" t="s">
        <v>856</v>
      </c>
      <c r="E1540" s="17" t="s">
        <v>1583</v>
      </c>
      <c r="F1540" s="89">
        <v>43018</v>
      </c>
      <c r="J1540" t="s">
        <v>1399</v>
      </c>
      <c r="K1540" s="120">
        <v>0.2</v>
      </c>
    </row>
    <row r="1541" spans="2:11" hidden="1" x14ac:dyDescent="0.25">
      <c r="B1541" s="28" t="str">
        <f>IF(ISNUMBER(MATCH(C1541, Mgt_Unit!$C$5:$C$1018, 0)), INDEX(Mgt_Unit!$B$5:$B$1018, MATCH(C1541, Mgt_Unit!$C$5:$C$1018, 0)), "")</f>
        <v>jennifer.moore</v>
      </c>
      <c r="C1541" t="s">
        <v>856</v>
      </c>
      <c r="E1541" s="17" t="s">
        <v>1583</v>
      </c>
      <c r="F1541" s="89">
        <v>43018</v>
      </c>
      <c r="J1541" t="s">
        <v>1451</v>
      </c>
      <c r="K1541" s="120">
        <v>81</v>
      </c>
    </row>
    <row r="1542" spans="2:11" hidden="1" x14ac:dyDescent="0.25">
      <c r="B1542" s="28" t="str">
        <f>IF(ISNUMBER(MATCH(C1542, Mgt_Unit!$C$5:$C$1018, 0)), INDEX(Mgt_Unit!$B$5:$B$1018, MATCH(C1542, Mgt_Unit!$C$5:$C$1018, 0)), "")</f>
        <v>jennifer.moore</v>
      </c>
      <c r="C1542" t="s">
        <v>856</v>
      </c>
      <c r="E1542" s="17" t="s">
        <v>1583</v>
      </c>
      <c r="F1542" s="89">
        <v>43208</v>
      </c>
      <c r="J1542" t="s">
        <v>1411</v>
      </c>
      <c r="K1542" s="120">
        <v>24</v>
      </c>
    </row>
    <row r="1543" spans="2:11" hidden="1" x14ac:dyDescent="0.25">
      <c r="B1543" s="28" t="str">
        <f>IF(ISNUMBER(MATCH(C1543, Mgt_Unit!$C$5:$C$1018, 0)), INDEX(Mgt_Unit!$B$5:$B$1018, MATCH(C1543, Mgt_Unit!$C$5:$C$1018, 0)), "")</f>
        <v>jennifer.moore</v>
      </c>
      <c r="C1543" t="s">
        <v>856</v>
      </c>
      <c r="E1543" s="17" t="s">
        <v>1584</v>
      </c>
      <c r="F1543" s="89">
        <v>43219</v>
      </c>
      <c r="J1543" t="s">
        <v>1453</v>
      </c>
      <c r="K1543" s="120">
        <v>26</v>
      </c>
    </row>
    <row r="1544" spans="2:11" hidden="1" x14ac:dyDescent="0.25">
      <c r="B1544" s="28" t="str">
        <f>IF(ISNUMBER(MATCH(C1544, Mgt_Unit!$C$5:$C$1018, 0)), INDEX(Mgt_Unit!$B$5:$B$1018, MATCH(C1544, Mgt_Unit!$C$5:$C$1018, 0)), "")</f>
        <v>jennifer.moore</v>
      </c>
      <c r="C1544" t="s">
        <v>856</v>
      </c>
      <c r="E1544" s="17" t="s">
        <v>1583</v>
      </c>
      <c r="F1544" s="89">
        <v>43245</v>
      </c>
      <c r="J1544" t="s">
        <v>1454</v>
      </c>
      <c r="K1544" s="120">
        <v>6.6</v>
      </c>
    </row>
    <row r="1545" spans="2:11" hidden="1" x14ac:dyDescent="0.25">
      <c r="B1545" s="28" t="str">
        <f>IF(ISNUMBER(MATCH(C1545, Mgt_Unit!$C$5:$C$1018, 0)), INDEX(Mgt_Unit!$B$5:$B$1018, MATCH(C1545, Mgt_Unit!$C$5:$C$1018, 0)), "")</f>
        <v>jennifer.moore</v>
      </c>
      <c r="C1545" t="s">
        <v>856</v>
      </c>
      <c r="E1545" s="17" t="s">
        <v>1583</v>
      </c>
      <c r="F1545" s="89">
        <v>43400</v>
      </c>
      <c r="J1545" t="s">
        <v>1455</v>
      </c>
      <c r="K1545" s="120">
        <v>47</v>
      </c>
    </row>
    <row r="1546" spans="2:11" hidden="1" x14ac:dyDescent="0.25">
      <c r="B1546" s="28" t="str">
        <f>IF(ISNUMBER(MATCH(C1546, Mgt_Unit!$C$5:$C$1018, 0)), INDEX(Mgt_Unit!$B$5:$B$1018, MATCH(C1546, Mgt_Unit!$C$5:$C$1018, 0)), "")</f>
        <v>jennifer.moore</v>
      </c>
      <c r="C1546" t="s">
        <v>856</v>
      </c>
      <c r="E1546" s="17" t="s">
        <v>1583</v>
      </c>
      <c r="F1546" s="89">
        <v>43414</v>
      </c>
      <c r="J1546" t="s">
        <v>1396</v>
      </c>
      <c r="K1546" s="120">
        <v>37</v>
      </c>
    </row>
    <row r="1547" spans="2:11" hidden="1" x14ac:dyDescent="0.25">
      <c r="B1547" s="28" t="str">
        <f>IF(ISNUMBER(MATCH(C1547, Mgt_Unit!$C$5:$C$1018, 0)), INDEX(Mgt_Unit!$B$5:$B$1018, MATCH(C1547, Mgt_Unit!$C$5:$C$1018, 0)), "")</f>
        <v>jennifer.moore</v>
      </c>
      <c r="C1547" t="s">
        <v>856</v>
      </c>
      <c r="E1547" s="17" t="s">
        <v>1583</v>
      </c>
      <c r="F1547" s="89">
        <v>43414</v>
      </c>
      <c r="J1547" t="s">
        <v>1399</v>
      </c>
      <c r="K1547" s="120">
        <v>0.2</v>
      </c>
    </row>
    <row r="1548" spans="2:11" hidden="1" x14ac:dyDescent="0.25">
      <c r="B1548" s="28" t="str">
        <f>IF(ISNUMBER(MATCH(C1548, Mgt_Unit!$C$5:$C$1018, 0)), INDEX(Mgt_Unit!$B$5:$B$1018, MATCH(C1548, Mgt_Unit!$C$5:$C$1018, 0)), "")</f>
        <v>jennifer.moore</v>
      </c>
      <c r="C1548" t="s">
        <v>857</v>
      </c>
      <c r="E1548" s="17" t="s">
        <v>1583</v>
      </c>
      <c r="F1548" s="89">
        <v>42094</v>
      </c>
      <c r="J1548" t="s">
        <v>1411</v>
      </c>
      <c r="K1548" s="120">
        <v>24</v>
      </c>
    </row>
    <row r="1549" spans="2:11" hidden="1" x14ac:dyDescent="0.25">
      <c r="B1549" s="28" t="str">
        <f>IF(ISNUMBER(MATCH(C1549, Mgt_Unit!$C$5:$C$1018, 0)), INDEX(Mgt_Unit!$B$5:$B$1018, MATCH(C1549, Mgt_Unit!$C$5:$C$1018, 0)), "")</f>
        <v>jennifer.moore</v>
      </c>
      <c r="C1549" t="s">
        <v>857</v>
      </c>
      <c r="E1549" s="17" t="s">
        <v>1584</v>
      </c>
      <c r="F1549" s="89">
        <v>42094</v>
      </c>
      <c r="J1549" t="s">
        <v>1450</v>
      </c>
      <c r="K1549" s="120">
        <v>4</v>
      </c>
    </row>
    <row r="1550" spans="2:11" hidden="1" x14ac:dyDescent="0.25">
      <c r="B1550" s="28" t="str">
        <f>IF(ISNUMBER(MATCH(C1550, Mgt_Unit!$C$5:$C$1018, 0)), INDEX(Mgt_Unit!$B$5:$B$1018, MATCH(C1550, Mgt_Unit!$C$5:$C$1018, 0)), "")</f>
        <v>jennifer.moore</v>
      </c>
      <c r="C1550" t="s">
        <v>857</v>
      </c>
      <c r="E1550" s="17" t="s">
        <v>1583</v>
      </c>
      <c r="F1550" s="89">
        <v>42300</v>
      </c>
      <c r="J1550" t="s">
        <v>1399</v>
      </c>
      <c r="K1550" s="120">
        <v>0.2</v>
      </c>
    </row>
    <row r="1551" spans="2:11" hidden="1" x14ac:dyDescent="0.25">
      <c r="B1551" s="28" t="str">
        <f>IF(ISNUMBER(MATCH(C1551, Mgt_Unit!$C$5:$C$1018, 0)), INDEX(Mgt_Unit!$B$5:$B$1018, MATCH(C1551, Mgt_Unit!$C$5:$C$1018, 0)), "")</f>
        <v>jennifer.moore</v>
      </c>
      <c r="C1551" t="s">
        <v>857</v>
      </c>
      <c r="E1551" s="17" t="s">
        <v>1583</v>
      </c>
      <c r="F1551" s="89">
        <v>42300</v>
      </c>
      <c r="J1551" t="s">
        <v>1451</v>
      </c>
      <c r="K1551" s="120">
        <v>81</v>
      </c>
    </row>
    <row r="1552" spans="2:11" hidden="1" x14ac:dyDescent="0.25">
      <c r="B1552" s="28" t="str">
        <f>IF(ISNUMBER(MATCH(C1552, Mgt_Unit!$C$5:$C$1018, 0)), INDEX(Mgt_Unit!$B$5:$B$1018, MATCH(C1552, Mgt_Unit!$C$5:$C$1018, 0)), "")</f>
        <v>jennifer.moore</v>
      </c>
      <c r="C1552" t="s">
        <v>857</v>
      </c>
      <c r="E1552" s="17" t="s">
        <v>1583</v>
      </c>
      <c r="F1552" s="89">
        <v>42480</v>
      </c>
      <c r="J1552" t="s">
        <v>1411</v>
      </c>
      <c r="K1552" s="120">
        <v>24</v>
      </c>
    </row>
    <row r="1553" spans="2:11" hidden="1" x14ac:dyDescent="0.25">
      <c r="B1553" s="28" t="str">
        <f>IF(ISNUMBER(MATCH(C1553, Mgt_Unit!$C$5:$C$1018, 0)), INDEX(Mgt_Unit!$B$5:$B$1018, MATCH(C1553, Mgt_Unit!$C$5:$C$1018, 0)), "")</f>
        <v>jennifer.moore</v>
      </c>
      <c r="C1553" t="s">
        <v>857</v>
      </c>
      <c r="E1553" s="17" t="s">
        <v>1584</v>
      </c>
      <c r="F1553" s="89">
        <v>42499</v>
      </c>
      <c r="J1553" t="s">
        <v>1450</v>
      </c>
      <c r="K1553" s="120">
        <v>4</v>
      </c>
    </row>
    <row r="1554" spans="2:11" hidden="1" x14ac:dyDescent="0.25">
      <c r="B1554" s="28" t="str">
        <f>IF(ISNUMBER(MATCH(C1554, Mgt_Unit!$C$5:$C$1018, 0)), INDEX(Mgt_Unit!$B$5:$B$1018, MATCH(C1554, Mgt_Unit!$C$5:$C$1018, 0)), "")</f>
        <v>jennifer.moore</v>
      </c>
      <c r="C1554" t="s">
        <v>857</v>
      </c>
      <c r="E1554" s="17" t="s">
        <v>1583</v>
      </c>
      <c r="F1554" s="89">
        <v>42683</v>
      </c>
      <c r="J1554" t="s">
        <v>1452</v>
      </c>
      <c r="K1554" s="120">
        <v>47</v>
      </c>
    </row>
    <row r="1555" spans="2:11" hidden="1" x14ac:dyDescent="0.25">
      <c r="B1555" s="28" t="str">
        <f>IF(ISNUMBER(MATCH(C1555, Mgt_Unit!$C$5:$C$1018, 0)), INDEX(Mgt_Unit!$B$5:$B$1018, MATCH(C1555, Mgt_Unit!$C$5:$C$1018, 0)), "")</f>
        <v>jennifer.moore</v>
      </c>
      <c r="C1555" t="s">
        <v>857</v>
      </c>
      <c r="E1555" s="17" t="s">
        <v>1583</v>
      </c>
      <c r="F1555" s="89">
        <v>42690</v>
      </c>
      <c r="J1555" t="s">
        <v>1396</v>
      </c>
      <c r="K1555" s="120">
        <v>37</v>
      </c>
    </row>
    <row r="1556" spans="2:11" hidden="1" x14ac:dyDescent="0.25">
      <c r="B1556" s="28" t="str">
        <f>IF(ISNUMBER(MATCH(C1556, Mgt_Unit!$C$5:$C$1018, 0)), INDEX(Mgt_Unit!$B$5:$B$1018, MATCH(C1556, Mgt_Unit!$C$5:$C$1018, 0)), "")</f>
        <v>jennifer.moore</v>
      </c>
      <c r="C1556" t="s">
        <v>857</v>
      </c>
      <c r="E1556" s="17" t="s">
        <v>1583</v>
      </c>
      <c r="F1556" s="89">
        <v>42690</v>
      </c>
      <c r="J1556" t="s">
        <v>1399</v>
      </c>
      <c r="K1556" s="120">
        <v>0.2</v>
      </c>
    </row>
    <row r="1557" spans="2:11" hidden="1" x14ac:dyDescent="0.25">
      <c r="B1557" s="28" t="str">
        <f>IF(ISNUMBER(MATCH(C1557, Mgt_Unit!$C$5:$C$1018, 0)), INDEX(Mgt_Unit!$B$5:$B$1018, MATCH(C1557, Mgt_Unit!$C$5:$C$1018, 0)), "")</f>
        <v>jennifer.moore</v>
      </c>
      <c r="C1557" t="s">
        <v>857</v>
      </c>
      <c r="E1557" s="17" t="s">
        <v>1583</v>
      </c>
      <c r="F1557" s="89">
        <v>42826</v>
      </c>
      <c r="J1557" t="s">
        <v>1411</v>
      </c>
      <c r="K1557" s="120">
        <v>24</v>
      </c>
    </row>
    <row r="1558" spans="2:11" hidden="1" x14ac:dyDescent="0.25">
      <c r="B1558" s="28" t="str">
        <f>IF(ISNUMBER(MATCH(C1558, Mgt_Unit!$C$5:$C$1018, 0)), INDEX(Mgt_Unit!$B$5:$B$1018, MATCH(C1558, Mgt_Unit!$C$5:$C$1018, 0)), "")</f>
        <v>jennifer.moore</v>
      </c>
      <c r="C1558" t="s">
        <v>857</v>
      </c>
      <c r="E1558" s="17" t="s">
        <v>1583</v>
      </c>
      <c r="F1558" s="89">
        <v>43018</v>
      </c>
      <c r="J1558" t="s">
        <v>1399</v>
      </c>
      <c r="K1558" s="120">
        <v>0.2</v>
      </c>
    </row>
    <row r="1559" spans="2:11" hidden="1" x14ac:dyDescent="0.25">
      <c r="B1559" s="28" t="str">
        <f>IF(ISNUMBER(MATCH(C1559, Mgt_Unit!$C$5:$C$1018, 0)), INDEX(Mgt_Unit!$B$5:$B$1018, MATCH(C1559, Mgt_Unit!$C$5:$C$1018, 0)), "")</f>
        <v>jennifer.moore</v>
      </c>
      <c r="C1559" t="s">
        <v>857</v>
      </c>
      <c r="E1559" s="17" t="s">
        <v>1583</v>
      </c>
      <c r="F1559" s="89">
        <v>43018</v>
      </c>
      <c r="J1559" t="s">
        <v>1451</v>
      </c>
      <c r="K1559" s="120">
        <v>81</v>
      </c>
    </row>
    <row r="1560" spans="2:11" hidden="1" x14ac:dyDescent="0.25">
      <c r="B1560" s="28" t="str">
        <f>IF(ISNUMBER(MATCH(C1560, Mgt_Unit!$C$5:$C$1018, 0)), INDEX(Mgt_Unit!$B$5:$B$1018, MATCH(C1560, Mgt_Unit!$C$5:$C$1018, 0)), "")</f>
        <v>jennifer.moore</v>
      </c>
      <c r="C1560" t="s">
        <v>857</v>
      </c>
      <c r="E1560" s="17" t="s">
        <v>1583</v>
      </c>
      <c r="F1560" s="89">
        <v>43208</v>
      </c>
      <c r="J1560" t="s">
        <v>1411</v>
      </c>
      <c r="K1560" s="120">
        <v>24</v>
      </c>
    </row>
    <row r="1561" spans="2:11" hidden="1" x14ac:dyDescent="0.25">
      <c r="B1561" s="28" t="str">
        <f>IF(ISNUMBER(MATCH(C1561, Mgt_Unit!$C$5:$C$1018, 0)), INDEX(Mgt_Unit!$B$5:$B$1018, MATCH(C1561, Mgt_Unit!$C$5:$C$1018, 0)), "")</f>
        <v>jennifer.moore</v>
      </c>
      <c r="C1561" t="s">
        <v>857</v>
      </c>
      <c r="E1561" s="17" t="s">
        <v>1584</v>
      </c>
      <c r="F1561" s="89">
        <v>43219</v>
      </c>
      <c r="J1561" t="s">
        <v>1453</v>
      </c>
      <c r="K1561" s="120">
        <v>26</v>
      </c>
    </row>
    <row r="1562" spans="2:11" hidden="1" x14ac:dyDescent="0.25">
      <c r="B1562" s="28" t="str">
        <f>IF(ISNUMBER(MATCH(C1562, Mgt_Unit!$C$5:$C$1018, 0)), INDEX(Mgt_Unit!$B$5:$B$1018, MATCH(C1562, Mgt_Unit!$C$5:$C$1018, 0)), "")</f>
        <v>jennifer.moore</v>
      </c>
      <c r="C1562" t="s">
        <v>857</v>
      </c>
      <c r="E1562" s="17" t="s">
        <v>1583</v>
      </c>
      <c r="F1562" s="89">
        <v>43245</v>
      </c>
      <c r="J1562" t="s">
        <v>1454</v>
      </c>
      <c r="K1562" s="120">
        <v>6.6</v>
      </c>
    </row>
    <row r="1563" spans="2:11" hidden="1" x14ac:dyDescent="0.25">
      <c r="B1563" s="28" t="str">
        <f>IF(ISNUMBER(MATCH(C1563, Mgt_Unit!$C$5:$C$1018, 0)), INDEX(Mgt_Unit!$B$5:$B$1018, MATCH(C1563, Mgt_Unit!$C$5:$C$1018, 0)), "")</f>
        <v>jennifer.moore</v>
      </c>
      <c r="C1563" t="s">
        <v>857</v>
      </c>
      <c r="E1563" s="17" t="s">
        <v>1583</v>
      </c>
      <c r="F1563" s="89">
        <v>43400</v>
      </c>
      <c r="J1563" t="s">
        <v>1455</v>
      </c>
      <c r="K1563" s="120">
        <v>47</v>
      </c>
    </row>
    <row r="1564" spans="2:11" hidden="1" x14ac:dyDescent="0.25">
      <c r="B1564" s="28" t="str">
        <f>IF(ISNUMBER(MATCH(C1564, Mgt_Unit!$C$5:$C$1018, 0)), INDEX(Mgt_Unit!$B$5:$B$1018, MATCH(C1564, Mgt_Unit!$C$5:$C$1018, 0)), "")</f>
        <v>jennifer.moore</v>
      </c>
      <c r="C1564" t="s">
        <v>857</v>
      </c>
      <c r="E1564" s="17" t="s">
        <v>1583</v>
      </c>
      <c r="F1564" s="89">
        <v>43414</v>
      </c>
      <c r="J1564" t="s">
        <v>1399</v>
      </c>
      <c r="K1564" s="120">
        <v>0.2</v>
      </c>
    </row>
    <row r="1565" spans="2:11" hidden="1" x14ac:dyDescent="0.25">
      <c r="B1565" s="28" t="str">
        <f>IF(ISNUMBER(MATCH(C1565, Mgt_Unit!$C$5:$C$1018, 0)), INDEX(Mgt_Unit!$B$5:$B$1018, MATCH(C1565, Mgt_Unit!$C$5:$C$1018, 0)), "")</f>
        <v>jennifer.moore</v>
      </c>
      <c r="C1565" t="s">
        <v>857</v>
      </c>
      <c r="E1565" s="17" t="s">
        <v>1583</v>
      </c>
      <c r="F1565" s="89">
        <v>43414</v>
      </c>
      <c r="J1565" t="s">
        <v>1396</v>
      </c>
      <c r="K1565" s="120">
        <v>37</v>
      </c>
    </row>
    <row r="1566" spans="2:11" hidden="1" x14ac:dyDescent="0.25">
      <c r="B1566" s="28" t="str">
        <f>IF(ISNUMBER(MATCH(C1566, Mgt_Unit!$C$5:$C$1018, 0)), INDEX(Mgt_Unit!$B$5:$B$1018, MATCH(C1566, Mgt_Unit!$C$5:$C$1018, 0)), "")</f>
        <v>jennifer.moore</v>
      </c>
      <c r="C1566" t="s">
        <v>858</v>
      </c>
      <c r="E1566" s="17" t="s">
        <v>1583</v>
      </c>
      <c r="F1566" s="89">
        <v>42094</v>
      </c>
      <c r="J1566" t="s">
        <v>1411</v>
      </c>
      <c r="K1566" s="120">
        <v>24</v>
      </c>
    </row>
    <row r="1567" spans="2:11" hidden="1" x14ac:dyDescent="0.25">
      <c r="B1567" s="28" t="str">
        <f>IF(ISNUMBER(MATCH(C1567, Mgt_Unit!$C$5:$C$1018, 0)), INDEX(Mgt_Unit!$B$5:$B$1018, MATCH(C1567, Mgt_Unit!$C$5:$C$1018, 0)), "")</f>
        <v>jennifer.moore</v>
      </c>
      <c r="C1567" t="s">
        <v>858</v>
      </c>
      <c r="E1567" s="17" t="s">
        <v>1584</v>
      </c>
      <c r="F1567" s="89">
        <v>42094</v>
      </c>
      <c r="J1567" t="s">
        <v>1450</v>
      </c>
      <c r="K1567" s="120">
        <v>4</v>
      </c>
    </row>
    <row r="1568" spans="2:11" hidden="1" x14ac:dyDescent="0.25">
      <c r="B1568" s="28" t="str">
        <f>IF(ISNUMBER(MATCH(C1568, Mgt_Unit!$C$5:$C$1018, 0)), INDEX(Mgt_Unit!$B$5:$B$1018, MATCH(C1568, Mgt_Unit!$C$5:$C$1018, 0)), "")</f>
        <v>jennifer.moore</v>
      </c>
      <c r="C1568" t="s">
        <v>858</v>
      </c>
      <c r="E1568" s="17" t="s">
        <v>1583</v>
      </c>
      <c r="F1568" s="89">
        <v>42300</v>
      </c>
      <c r="J1568" t="s">
        <v>1451</v>
      </c>
      <c r="K1568" s="120">
        <v>81</v>
      </c>
    </row>
    <row r="1569" spans="2:11" hidden="1" x14ac:dyDescent="0.25">
      <c r="B1569" s="28" t="str">
        <f>IF(ISNUMBER(MATCH(C1569, Mgt_Unit!$C$5:$C$1018, 0)), INDEX(Mgt_Unit!$B$5:$B$1018, MATCH(C1569, Mgt_Unit!$C$5:$C$1018, 0)), "")</f>
        <v>jennifer.moore</v>
      </c>
      <c r="C1569" t="s">
        <v>858</v>
      </c>
      <c r="E1569" s="17" t="s">
        <v>1583</v>
      </c>
      <c r="F1569" s="89">
        <v>42480</v>
      </c>
      <c r="J1569" t="s">
        <v>1411</v>
      </c>
      <c r="K1569" s="120">
        <v>24</v>
      </c>
    </row>
    <row r="1570" spans="2:11" hidden="1" x14ac:dyDescent="0.25">
      <c r="B1570" s="28" t="str">
        <f>IF(ISNUMBER(MATCH(C1570, Mgt_Unit!$C$5:$C$1018, 0)), INDEX(Mgt_Unit!$B$5:$B$1018, MATCH(C1570, Mgt_Unit!$C$5:$C$1018, 0)), "")</f>
        <v>jennifer.moore</v>
      </c>
      <c r="C1570" t="s">
        <v>858</v>
      </c>
      <c r="E1570" s="17" t="s">
        <v>1584</v>
      </c>
      <c r="F1570" s="89">
        <v>42499</v>
      </c>
      <c r="J1570" t="s">
        <v>1450</v>
      </c>
      <c r="K1570" s="120">
        <v>4</v>
      </c>
    </row>
    <row r="1571" spans="2:11" hidden="1" x14ac:dyDescent="0.25">
      <c r="B1571" s="28" t="str">
        <f>IF(ISNUMBER(MATCH(C1571, Mgt_Unit!$C$5:$C$1018, 0)), INDEX(Mgt_Unit!$B$5:$B$1018, MATCH(C1571, Mgt_Unit!$C$5:$C$1018, 0)), "")</f>
        <v>jennifer.moore</v>
      </c>
      <c r="C1571" t="s">
        <v>858</v>
      </c>
      <c r="E1571" s="17" t="s">
        <v>1583</v>
      </c>
      <c r="F1571" s="89">
        <v>42683</v>
      </c>
      <c r="J1571" t="s">
        <v>1452</v>
      </c>
      <c r="K1571" s="120">
        <v>47</v>
      </c>
    </row>
    <row r="1572" spans="2:11" hidden="1" x14ac:dyDescent="0.25">
      <c r="B1572" s="28" t="str">
        <f>IF(ISNUMBER(MATCH(C1572, Mgt_Unit!$C$5:$C$1018, 0)), INDEX(Mgt_Unit!$B$5:$B$1018, MATCH(C1572, Mgt_Unit!$C$5:$C$1018, 0)), "")</f>
        <v>jennifer.moore</v>
      </c>
      <c r="C1572" t="s">
        <v>858</v>
      </c>
      <c r="E1572" s="17" t="s">
        <v>1583</v>
      </c>
      <c r="F1572" s="89">
        <v>42690</v>
      </c>
      <c r="J1572" t="s">
        <v>1396</v>
      </c>
      <c r="K1572" s="120">
        <v>37</v>
      </c>
    </row>
    <row r="1573" spans="2:11" hidden="1" x14ac:dyDescent="0.25">
      <c r="B1573" s="28" t="str">
        <f>IF(ISNUMBER(MATCH(C1573, Mgt_Unit!$C$5:$C$1018, 0)), INDEX(Mgt_Unit!$B$5:$B$1018, MATCH(C1573, Mgt_Unit!$C$5:$C$1018, 0)), "")</f>
        <v>jennifer.moore</v>
      </c>
      <c r="C1573" t="s">
        <v>858</v>
      </c>
      <c r="E1573" s="17" t="s">
        <v>1583</v>
      </c>
      <c r="F1573" s="89">
        <v>42826</v>
      </c>
      <c r="J1573" t="s">
        <v>1411</v>
      </c>
      <c r="K1573" s="120">
        <v>24</v>
      </c>
    </row>
    <row r="1574" spans="2:11" hidden="1" x14ac:dyDescent="0.25">
      <c r="B1574" s="28" t="str">
        <f>IF(ISNUMBER(MATCH(C1574, Mgt_Unit!$C$5:$C$1018, 0)), INDEX(Mgt_Unit!$B$5:$B$1018, MATCH(C1574, Mgt_Unit!$C$5:$C$1018, 0)), "")</f>
        <v>jennifer.moore</v>
      </c>
      <c r="C1574" t="s">
        <v>858</v>
      </c>
      <c r="E1574" s="17" t="s">
        <v>1583</v>
      </c>
      <c r="F1574" s="89">
        <v>43018</v>
      </c>
      <c r="J1574" t="s">
        <v>1451</v>
      </c>
      <c r="K1574" s="120">
        <v>81</v>
      </c>
    </row>
    <row r="1575" spans="2:11" hidden="1" x14ac:dyDescent="0.25">
      <c r="B1575" s="28" t="str">
        <f>IF(ISNUMBER(MATCH(C1575, Mgt_Unit!$C$5:$C$1018, 0)), INDEX(Mgt_Unit!$B$5:$B$1018, MATCH(C1575, Mgt_Unit!$C$5:$C$1018, 0)), "")</f>
        <v>jennifer.moore</v>
      </c>
      <c r="C1575" t="s">
        <v>858</v>
      </c>
      <c r="E1575" s="17" t="s">
        <v>1583</v>
      </c>
      <c r="F1575" s="89">
        <v>43208</v>
      </c>
      <c r="J1575" t="s">
        <v>1411</v>
      </c>
      <c r="K1575" s="120">
        <v>24</v>
      </c>
    </row>
    <row r="1576" spans="2:11" hidden="1" x14ac:dyDescent="0.25">
      <c r="B1576" s="28" t="str">
        <f>IF(ISNUMBER(MATCH(C1576, Mgt_Unit!$C$5:$C$1018, 0)), INDEX(Mgt_Unit!$B$5:$B$1018, MATCH(C1576, Mgt_Unit!$C$5:$C$1018, 0)), "")</f>
        <v>jennifer.moore</v>
      </c>
      <c r="C1576" t="s">
        <v>858</v>
      </c>
      <c r="E1576" s="17" t="s">
        <v>1584</v>
      </c>
      <c r="F1576" s="89">
        <v>43219</v>
      </c>
      <c r="J1576" t="s">
        <v>1453</v>
      </c>
      <c r="K1576" s="120">
        <v>26</v>
      </c>
    </row>
    <row r="1577" spans="2:11" hidden="1" x14ac:dyDescent="0.25">
      <c r="B1577" s="28" t="str">
        <f>IF(ISNUMBER(MATCH(C1577, Mgt_Unit!$C$5:$C$1018, 0)), INDEX(Mgt_Unit!$B$5:$B$1018, MATCH(C1577, Mgt_Unit!$C$5:$C$1018, 0)), "")</f>
        <v>jennifer.moore</v>
      </c>
      <c r="C1577" t="s">
        <v>858</v>
      </c>
      <c r="E1577" s="17" t="s">
        <v>1583</v>
      </c>
      <c r="F1577" s="89">
        <v>43245</v>
      </c>
      <c r="J1577" t="s">
        <v>1454</v>
      </c>
      <c r="K1577" s="120">
        <v>6.6</v>
      </c>
    </row>
    <row r="1578" spans="2:11" hidden="1" x14ac:dyDescent="0.25">
      <c r="B1578" s="28" t="str">
        <f>IF(ISNUMBER(MATCH(C1578, Mgt_Unit!$C$5:$C$1018, 0)), INDEX(Mgt_Unit!$B$5:$B$1018, MATCH(C1578, Mgt_Unit!$C$5:$C$1018, 0)), "")</f>
        <v>jennifer.moore</v>
      </c>
      <c r="C1578" t="s">
        <v>858</v>
      </c>
      <c r="E1578" s="17" t="s">
        <v>1583</v>
      </c>
      <c r="F1578" s="89">
        <v>43400</v>
      </c>
      <c r="J1578" t="s">
        <v>1455</v>
      </c>
      <c r="K1578" s="120">
        <v>47</v>
      </c>
    </row>
    <row r="1579" spans="2:11" hidden="1" x14ac:dyDescent="0.25">
      <c r="B1579" s="28" t="str">
        <f>IF(ISNUMBER(MATCH(C1579, Mgt_Unit!$C$5:$C$1018, 0)), INDEX(Mgt_Unit!$B$5:$B$1018, MATCH(C1579, Mgt_Unit!$C$5:$C$1018, 0)), "")</f>
        <v>jennifer.moore</v>
      </c>
      <c r="C1579" t="s">
        <v>858</v>
      </c>
      <c r="E1579" s="17" t="s">
        <v>1583</v>
      </c>
      <c r="F1579" s="89">
        <v>43414</v>
      </c>
      <c r="J1579" t="s">
        <v>1396</v>
      </c>
      <c r="K1579" s="120">
        <v>37</v>
      </c>
    </row>
    <row r="1580" spans="2:11" hidden="1" x14ac:dyDescent="0.25">
      <c r="B1580" s="28" t="str">
        <f>IF(ISNUMBER(MATCH(C1580, Mgt_Unit!$C$5:$C$1018, 0)), INDEX(Mgt_Unit!$B$5:$B$1018, MATCH(C1580, Mgt_Unit!$C$5:$C$1018, 0)), "")</f>
        <v>jennifer.moore</v>
      </c>
      <c r="C1580" t="s">
        <v>859</v>
      </c>
      <c r="E1580" s="17" t="s">
        <v>1583</v>
      </c>
      <c r="F1580" s="89">
        <v>42094</v>
      </c>
      <c r="J1580" t="s">
        <v>1411</v>
      </c>
      <c r="K1580" s="120">
        <v>24</v>
      </c>
    </row>
    <row r="1581" spans="2:11" hidden="1" x14ac:dyDescent="0.25">
      <c r="B1581" s="28" t="str">
        <f>IF(ISNUMBER(MATCH(C1581, Mgt_Unit!$C$5:$C$1018, 0)), INDEX(Mgt_Unit!$B$5:$B$1018, MATCH(C1581, Mgt_Unit!$C$5:$C$1018, 0)), "")</f>
        <v>jennifer.moore</v>
      </c>
      <c r="C1581" t="s">
        <v>859</v>
      </c>
      <c r="E1581" s="17" t="s">
        <v>1584</v>
      </c>
      <c r="F1581" s="89">
        <v>42094</v>
      </c>
      <c r="J1581" t="s">
        <v>1450</v>
      </c>
      <c r="K1581" s="120">
        <v>4</v>
      </c>
    </row>
    <row r="1582" spans="2:11" hidden="1" x14ac:dyDescent="0.25">
      <c r="B1582" s="28" t="str">
        <f>IF(ISNUMBER(MATCH(C1582, Mgt_Unit!$C$5:$C$1018, 0)), INDEX(Mgt_Unit!$B$5:$B$1018, MATCH(C1582, Mgt_Unit!$C$5:$C$1018, 0)), "")</f>
        <v>jennifer.moore</v>
      </c>
      <c r="C1582" t="s">
        <v>859</v>
      </c>
      <c r="E1582" s="17" t="s">
        <v>1583</v>
      </c>
      <c r="F1582" s="89">
        <v>42300</v>
      </c>
      <c r="J1582" t="s">
        <v>1451</v>
      </c>
      <c r="K1582" s="120">
        <v>81</v>
      </c>
    </row>
    <row r="1583" spans="2:11" hidden="1" x14ac:dyDescent="0.25">
      <c r="B1583" s="28" t="str">
        <f>IF(ISNUMBER(MATCH(C1583, Mgt_Unit!$C$5:$C$1018, 0)), INDEX(Mgt_Unit!$B$5:$B$1018, MATCH(C1583, Mgt_Unit!$C$5:$C$1018, 0)), "")</f>
        <v>jennifer.moore</v>
      </c>
      <c r="C1583" t="s">
        <v>859</v>
      </c>
      <c r="E1583" s="17" t="s">
        <v>1583</v>
      </c>
      <c r="F1583" s="89">
        <v>42480</v>
      </c>
      <c r="J1583" t="s">
        <v>1411</v>
      </c>
      <c r="K1583" s="120">
        <v>24</v>
      </c>
    </row>
    <row r="1584" spans="2:11" hidden="1" x14ac:dyDescent="0.25">
      <c r="B1584" s="28" t="str">
        <f>IF(ISNUMBER(MATCH(C1584, Mgt_Unit!$C$5:$C$1018, 0)), INDEX(Mgt_Unit!$B$5:$B$1018, MATCH(C1584, Mgt_Unit!$C$5:$C$1018, 0)), "")</f>
        <v>jennifer.moore</v>
      </c>
      <c r="C1584" t="s">
        <v>859</v>
      </c>
      <c r="E1584" s="17" t="s">
        <v>1584</v>
      </c>
      <c r="F1584" s="89">
        <v>42499</v>
      </c>
      <c r="J1584" t="s">
        <v>1450</v>
      </c>
      <c r="K1584" s="120">
        <v>4</v>
      </c>
    </row>
    <row r="1585" spans="2:11" hidden="1" x14ac:dyDescent="0.25">
      <c r="B1585" s="28" t="str">
        <f>IF(ISNUMBER(MATCH(C1585, Mgt_Unit!$C$5:$C$1018, 0)), INDEX(Mgt_Unit!$B$5:$B$1018, MATCH(C1585, Mgt_Unit!$C$5:$C$1018, 0)), "")</f>
        <v>jennifer.moore</v>
      </c>
      <c r="C1585" t="s">
        <v>859</v>
      </c>
      <c r="E1585" s="17" t="s">
        <v>1583</v>
      </c>
      <c r="F1585" s="89">
        <v>42683</v>
      </c>
      <c r="J1585" t="s">
        <v>1452</v>
      </c>
      <c r="K1585" s="120">
        <v>47</v>
      </c>
    </row>
    <row r="1586" spans="2:11" hidden="1" x14ac:dyDescent="0.25">
      <c r="B1586" s="28" t="str">
        <f>IF(ISNUMBER(MATCH(C1586, Mgt_Unit!$C$5:$C$1018, 0)), INDEX(Mgt_Unit!$B$5:$B$1018, MATCH(C1586, Mgt_Unit!$C$5:$C$1018, 0)), "")</f>
        <v>jennifer.moore</v>
      </c>
      <c r="C1586" t="s">
        <v>859</v>
      </c>
      <c r="E1586" s="17" t="s">
        <v>1583</v>
      </c>
      <c r="F1586" s="89">
        <v>42680</v>
      </c>
      <c r="J1586" t="s">
        <v>1396</v>
      </c>
      <c r="K1586" s="120">
        <v>37</v>
      </c>
    </row>
    <row r="1587" spans="2:11" hidden="1" x14ac:dyDescent="0.25">
      <c r="B1587" s="28" t="str">
        <f>IF(ISNUMBER(MATCH(C1587, Mgt_Unit!$C$5:$C$1018, 0)), INDEX(Mgt_Unit!$B$5:$B$1018, MATCH(C1587, Mgt_Unit!$C$5:$C$1018, 0)), "")</f>
        <v>jennifer.moore</v>
      </c>
      <c r="C1587" t="s">
        <v>859</v>
      </c>
      <c r="E1587" s="17" t="s">
        <v>1583</v>
      </c>
      <c r="F1587" s="89">
        <v>42826</v>
      </c>
      <c r="J1587" t="s">
        <v>1411</v>
      </c>
      <c r="K1587" s="120">
        <v>24</v>
      </c>
    </row>
    <row r="1588" spans="2:11" hidden="1" x14ac:dyDescent="0.25">
      <c r="B1588" s="28" t="str">
        <f>IF(ISNUMBER(MATCH(C1588, Mgt_Unit!$C$5:$C$1018, 0)), INDEX(Mgt_Unit!$B$5:$B$1018, MATCH(C1588, Mgt_Unit!$C$5:$C$1018, 0)), "")</f>
        <v>jennifer.moore</v>
      </c>
      <c r="C1588" t="s">
        <v>859</v>
      </c>
      <c r="E1588" s="17" t="s">
        <v>1583</v>
      </c>
      <c r="F1588" s="89">
        <v>43018</v>
      </c>
      <c r="J1588" t="s">
        <v>1451</v>
      </c>
      <c r="K1588" s="120">
        <v>81</v>
      </c>
    </row>
    <row r="1589" spans="2:11" hidden="1" x14ac:dyDescent="0.25">
      <c r="B1589" s="28" t="str">
        <f>IF(ISNUMBER(MATCH(C1589, Mgt_Unit!$C$5:$C$1018, 0)), INDEX(Mgt_Unit!$B$5:$B$1018, MATCH(C1589, Mgt_Unit!$C$5:$C$1018, 0)), "")</f>
        <v>jennifer.moore</v>
      </c>
      <c r="C1589" t="s">
        <v>859</v>
      </c>
      <c r="E1589" s="17" t="s">
        <v>1583</v>
      </c>
      <c r="F1589" s="89">
        <v>43208</v>
      </c>
      <c r="J1589" t="s">
        <v>1411</v>
      </c>
      <c r="K1589" s="120">
        <v>24</v>
      </c>
    </row>
    <row r="1590" spans="2:11" hidden="1" x14ac:dyDescent="0.25">
      <c r="B1590" s="28" t="str">
        <f>IF(ISNUMBER(MATCH(C1590, Mgt_Unit!$C$5:$C$1018, 0)), INDEX(Mgt_Unit!$B$5:$B$1018, MATCH(C1590, Mgt_Unit!$C$5:$C$1018, 0)), "")</f>
        <v>jennifer.moore</v>
      </c>
      <c r="C1590" t="s">
        <v>859</v>
      </c>
      <c r="E1590" s="17" t="s">
        <v>1584</v>
      </c>
      <c r="F1590" s="89">
        <v>43219</v>
      </c>
      <c r="J1590" t="s">
        <v>1453</v>
      </c>
      <c r="K1590" s="120">
        <v>26</v>
      </c>
    </row>
    <row r="1591" spans="2:11" hidden="1" x14ac:dyDescent="0.25">
      <c r="B1591" s="28" t="str">
        <f>IF(ISNUMBER(MATCH(C1591, Mgt_Unit!$C$5:$C$1018, 0)), INDEX(Mgt_Unit!$B$5:$B$1018, MATCH(C1591, Mgt_Unit!$C$5:$C$1018, 0)), "")</f>
        <v>jennifer.moore</v>
      </c>
      <c r="C1591" t="s">
        <v>859</v>
      </c>
      <c r="E1591" s="17" t="s">
        <v>1583</v>
      </c>
      <c r="F1591" s="89">
        <v>43245</v>
      </c>
      <c r="J1591" t="s">
        <v>1454</v>
      </c>
      <c r="K1591" s="120">
        <v>6.6</v>
      </c>
    </row>
    <row r="1592" spans="2:11" hidden="1" x14ac:dyDescent="0.25">
      <c r="B1592" s="28" t="str">
        <f>IF(ISNUMBER(MATCH(C1592, Mgt_Unit!$C$5:$C$1018, 0)), INDEX(Mgt_Unit!$B$5:$B$1018, MATCH(C1592, Mgt_Unit!$C$5:$C$1018, 0)), "")</f>
        <v>jennifer.moore</v>
      </c>
      <c r="C1592" t="s">
        <v>859</v>
      </c>
      <c r="E1592" s="17" t="s">
        <v>1583</v>
      </c>
      <c r="F1592" s="89">
        <v>43400</v>
      </c>
      <c r="J1592" t="s">
        <v>1455</v>
      </c>
      <c r="K1592" s="120">
        <v>47</v>
      </c>
    </row>
    <row r="1593" spans="2:11" hidden="1" x14ac:dyDescent="0.25">
      <c r="B1593" s="28" t="str">
        <f>IF(ISNUMBER(MATCH(C1593, Mgt_Unit!$C$5:$C$1018, 0)), INDEX(Mgt_Unit!$B$5:$B$1018, MATCH(C1593, Mgt_Unit!$C$5:$C$1018, 0)), "")</f>
        <v>jennifer.moore</v>
      </c>
      <c r="C1593" t="s">
        <v>859</v>
      </c>
      <c r="E1593" s="17" t="s">
        <v>1583</v>
      </c>
      <c r="F1593" s="89">
        <v>43414</v>
      </c>
      <c r="J1593" t="s">
        <v>1396</v>
      </c>
      <c r="K1593" s="120">
        <v>37</v>
      </c>
    </row>
    <row r="1594" spans="2:11" hidden="1" x14ac:dyDescent="0.25">
      <c r="B1594" s="28" t="str">
        <f>IF(ISNUMBER(MATCH(C1594, Mgt_Unit!$C$5:$C$1018, 0)), INDEX(Mgt_Unit!$B$5:$B$1018, MATCH(C1594, Mgt_Unit!$C$5:$C$1018, 0)), "")</f>
        <v>jennifer.moore</v>
      </c>
      <c r="C1594" t="s">
        <v>860</v>
      </c>
      <c r="E1594" s="17" t="s">
        <v>1583</v>
      </c>
      <c r="F1594" s="89">
        <v>43585</v>
      </c>
      <c r="J1594" t="s">
        <v>1396</v>
      </c>
      <c r="K1594" s="120">
        <v>37</v>
      </c>
    </row>
    <row r="1595" spans="2:11" hidden="1" x14ac:dyDescent="0.25">
      <c r="B1595" s="28" t="str">
        <f>IF(ISNUMBER(MATCH(C1595, Mgt_Unit!$C$5:$C$1018, 0)), INDEX(Mgt_Unit!$B$5:$B$1018, MATCH(C1595, Mgt_Unit!$C$5:$C$1018, 0)), "")</f>
        <v>jennifer.moore</v>
      </c>
      <c r="C1595" t="s">
        <v>860</v>
      </c>
      <c r="E1595" s="17" t="s">
        <v>1583</v>
      </c>
      <c r="F1595" s="89">
        <v>43585</v>
      </c>
      <c r="J1595" t="s">
        <v>1445</v>
      </c>
      <c r="K1595" s="120">
        <v>30</v>
      </c>
    </row>
    <row r="1596" spans="2:11" hidden="1" x14ac:dyDescent="0.25">
      <c r="B1596" s="28" t="str">
        <f>IF(ISNUMBER(MATCH(C1596, Mgt_Unit!$C$5:$C$1018, 0)), INDEX(Mgt_Unit!$B$5:$B$1018, MATCH(C1596, Mgt_Unit!$C$5:$C$1018, 0)), "")</f>
        <v>jennifer.moore</v>
      </c>
      <c r="C1596" t="s">
        <v>860</v>
      </c>
      <c r="E1596" s="17" t="s">
        <v>1584</v>
      </c>
      <c r="F1596" s="89">
        <v>43586</v>
      </c>
      <c r="J1596" t="s">
        <v>1355</v>
      </c>
      <c r="K1596" s="120">
        <v>6.3</v>
      </c>
    </row>
    <row r="1597" spans="2:11" hidden="1" x14ac:dyDescent="0.25">
      <c r="B1597" s="28" t="str">
        <f>IF(ISNUMBER(MATCH(C1597, Mgt_Unit!$C$5:$C$1018, 0)), INDEX(Mgt_Unit!$B$5:$B$1018, MATCH(C1597, Mgt_Unit!$C$5:$C$1018, 0)), "")</f>
        <v>jennifer.moore</v>
      </c>
      <c r="C1597" t="s">
        <v>860</v>
      </c>
      <c r="E1597" s="17" t="s">
        <v>1583</v>
      </c>
      <c r="F1597" s="89">
        <v>43763</v>
      </c>
      <c r="J1597" t="s">
        <v>1436</v>
      </c>
      <c r="K1597" s="120">
        <v>42</v>
      </c>
    </row>
    <row r="1598" spans="2:11" hidden="1" x14ac:dyDescent="0.25">
      <c r="B1598" s="28" t="str">
        <f>IF(ISNUMBER(MATCH(C1598, Mgt_Unit!$C$5:$C$1018, 0)), INDEX(Mgt_Unit!$B$5:$B$1018, MATCH(C1598, Mgt_Unit!$C$5:$C$1018, 0)), "")</f>
        <v>jennifer.moore</v>
      </c>
      <c r="C1598" t="s">
        <v>861</v>
      </c>
      <c r="E1598" s="17" t="s">
        <v>1583</v>
      </c>
      <c r="F1598" s="89">
        <v>43585</v>
      </c>
      <c r="J1598" t="s">
        <v>1445</v>
      </c>
      <c r="K1598" s="120">
        <v>30</v>
      </c>
    </row>
    <row r="1599" spans="2:11" hidden="1" x14ac:dyDescent="0.25">
      <c r="B1599" s="28" t="str">
        <f>IF(ISNUMBER(MATCH(C1599, Mgt_Unit!$C$5:$C$1018, 0)), INDEX(Mgt_Unit!$B$5:$B$1018, MATCH(C1599, Mgt_Unit!$C$5:$C$1018, 0)), "")</f>
        <v>jennifer.moore</v>
      </c>
      <c r="C1599" t="s">
        <v>861</v>
      </c>
      <c r="E1599" s="17" t="s">
        <v>1583</v>
      </c>
      <c r="F1599" s="89">
        <v>43585</v>
      </c>
      <c r="J1599" t="s">
        <v>1396</v>
      </c>
      <c r="K1599" s="120">
        <v>37</v>
      </c>
    </row>
    <row r="1600" spans="2:11" hidden="1" x14ac:dyDescent="0.25">
      <c r="B1600" s="28" t="str">
        <f>IF(ISNUMBER(MATCH(C1600, Mgt_Unit!$C$5:$C$1018, 0)), INDEX(Mgt_Unit!$B$5:$B$1018, MATCH(C1600, Mgt_Unit!$C$5:$C$1018, 0)), "")</f>
        <v>jennifer.moore</v>
      </c>
      <c r="C1600" t="s">
        <v>861</v>
      </c>
      <c r="E1600" s="17" t="s">
        <v>1584</v>
      </c>
      <c r="F1600" s="89">
        <v>43586</v>
      </c>
      <c r="J1600" t="s">
        <v>1355</v>
      </c>
      <c r="K1600" s="120">
        <v>6.3</v>
      </c>
    </row>
    <row r="1601" spans="2:11" hidden="1" x14ac:dyDescent="0.25">
      <c r="B1601" s="28" t="str">
        <f>IF(ISNUMBER(MATCH(C1601, Mgt_Unit!$C$5:$C$1018, 0)), INDEX(Mgt_Unit!$B$5:$B$1018, MATCH(C1601, Mgt_Unit!$C$5:$C$1018, 0)), "")</f>
        <v>jennifer.moore</v>
      </c>
      <c r="C1601" t="s">
        <v>861</v>
      </c>
      <c r="E1601" s="17" t="s">
        <v>1583</v>
      </c>
      <c r="F1601" s="89">
        <v>43763</v>
      </c>
      <c r="J1601" t="s">
        <v>1436</v>
      </c>
      <c r="K1601" s="120">
        <v>42</v>
      </c>
    </row>
    <row r="1602" spans="2:11" hidden="1" x14ac:dyDescent="0.25">
      <c r="B1602" s="28" t="str">
        <f>IF(ISNUMBER(MATCH(C1602, Mgt_Unit!$C$5:$C$1018, 0)), INDEX(Mgt_Unit!$B$5:$B$1018, MATCH(C1602, Mgt_Unit!$C$5:$C$1018, 0)), "")</f>
        <v>jennifer.moore</v>
      </c>
      <c r="C1602" t="s">
        <v>861</v>
      </c>
      <c r="E1602" s="17" t="s">
        <v>1583</v>
      </c>
      <c r="F1602" s="89">
        <v>43951</v>
      </c>
      <c r="J1602" t="s">
        <v>1396</v>
      </c>
      <c r="K1602" s="120">
        <v>37</v>
      </c>
    </row>
    <row r="1603" spans="2:11" hidden="1" x14ac:dyDescent="0.25">
      <c r="B1603" s="28" t="str">
        <f>IF(ISNUMBER(MATCH(C1603, Mgt_Unit!$C$5:$C$1018, 0)), INDEX(Mgt_Unit!$B$5:$B$1018, MATCH(C1603, Mgt_Unit!$C$5:$C$1018, 0)), "")</f>
        <v>jennifer.moore</v>
      </c>
      <c r="C1603" t="s">
        <v>861</v>
      </c>
      <c r="E1603" s="17" t="s">
        <v>1583</v>
      </c>
      <c r="F1603" s="89">
        <v>43951</v>
      </c>
      <c r="J1603" t="s">
        <v>1445</v>
      </c>
      <c r="K1603" s="120">
        <v>30</v>
      </c>
    </row>
    <row r="1604" spans="2:11" hidden="1" x14ac:dyDescent="0.25">
      <c r="B1604" s="28" t="str">
        <f>IF(ISNUMBER(MATCH(C1604, Mgt_Unit!$C$5:$C$1018, 0)), INDEX(Mgt_Unit!$B$5:$B$1018, MATCH(C1604, Mgt_Unit!$C$5:$C$1018, 0)), "")</f>
        <v>jennifer.moore</v>
      </c>
      <c r="C1604" t="s">
        <v>861</v>
      </c>
      <c r="E1604" s="17" t="s">
        <v>1584</v>
      </c>
      <c r="F1604" s="89">
        <v>43952</v>
      </c>
      <c r="J1604" t="s">
        <v>1355</v>
      </c>
      <c r="K1604" s="120">
        <v>6.3</v>
      </c>
    </row>
    <row r="1605" spans="2:11" hidden="1" x14ac:dyDescent="0.25">
      <c r="B1605" s="28" t="str">
        <f>IF(ISNUMBER(MATCH(C1605, Mgt_Unit!$C$5:$C$1018, 0)), INDEX(Mgt_Unit!$B$5:$B$1018, MATCH(C1605, Mgt_Unit!$C$5:$C$1018, 0)), "")</f>
        <v>jennifer.moore</v>
      </c>
      <c r="C1605" t="s">
        <v>861</v>
      </c>
      <c r="E1605" s="17" t="s">
        <v>1583</v>
      </c>
      <c r="F1605" s="89">
        <v>44129</v>
      </c>
      <c r="J1605" t="s">
        <v>1436</v>
      </c>
      <c r="K1605" s="120">
        <v>42</v>
      </c>
    </row>
    <row r="1606" spans="2:11" hidden="1" x14ac:dyDescent="0.25">
      <c r="B1606" s="28" t="str">
        <f>IF(ISNUMBER(MATCH(C1606, Mgt_Unit!$C$5:$C$1018, 0)), INDEX(Mgt_Unit!$B$5:$B$1018, MATCH(C1606, Mgt_Unit!$C$5:$C$1018, 0)), "")</f>
        <v>jennifer.moore</v>
      </c>
      <c r="C1606" t="s">
        <v>862</v>
      </c>
      <c r="E1606" s="17" t="s">
        <v>1583</v>
      </c>
      <c r="F1606" s="89">
        <v>43585</v>
      </c>
      <c r="J1606" t="s">
        <v>1396</v>
      </c>
      <c r="K1606" s="120">
        <v>37</v>
      </c>
    </row>
    <row r="1607" spans="2:11" hidden="1" x14ac:dyDescent="0.25">
      <c r="B1607" s="28" t="str">
        <f>IF(ISNUMBER(MATCH(C1607, Mgt_Unit!$C$5:$C$1018, 0)), INDEX(Mgt_Unit!$B$5:$B$1018, MATCH(C1607, Mgt_Unit!$C$5:$C$1018, 0)), "")</f>
        <v>jennifer.moore</v>
      </c>
      <c r="C1607" t="s">
        <v>862</v>
      </c>
      <c r="E1607" s="17" t="s">
        <v>1583</v>
      </c>
      <c r="F1607" s="89">
        <v>43585</v>
      </c>
      <c r="J1607" t="s">
        <v>1445</v>
      </c>
      <c r="K1607" s="120">
        <v>30</v>
      </c>
    </row>
    <row r="1608" spans="2:11" hidden="1" x14ac:dyDescent="0.25">
      <c r="B1608" s="28" t="str">
        <f>IF(ISNUMBER(MATCH(C1608, Mgt_Unit!$C$5:$C$1018, 0)), INDEX(Mgt_Unit!$B$5:$B$1018, MATCH(C1608, Mgt_Unit!$C$5:$C$1018, 0)), "")</f>
        <v>jennifer.moore</v>
      </c>
      <c r="C1608" t="s">
        <v>862</v>
      </c>
      <c r="E1608" s="17" t="s">
        <v>1584</v>
      </c>
      <c r="F1608" s="89">
        <v>43586</v>
      </c>
      <c r="J1608" t="s">
        <v>1355</v>
      </c>
      <c r="K1608" s="120">
        <v>6.3</v>
      </c>
    </row>
    <row r="1609" spans="2:11" hidden="1" x14ac:dyDescent="0.25">
      <c r="B1609" s="28" t="str">
        <f>IF(ISNUMBER(MATCH(C1609, Mgt_Unit!$C$5:$C$1018, 0)), INDEX(Mgt_Unit!$B$5:$B$1018, MATCH(C1609, Mgt_Unit!$C$5:$C$1018, 0)), "")</f>
        <v>jennifer.moore</v>
      </c>
      <c r="C1609" t="s">
        <v>862</v>
      </c>
      <c r="E1609" s="17" t="s">
        <v>1583</v>
      </c>
      <c r="F1609" s="89">
        <v>43763</v>
      </c>
      <c r="J1609" t="s">
        <v>1436</v>
      </c>
      <c r="K1609" s="120">
        <v>42</v>
      </c>
    </row>
    <row r="1610" spans="2:11" hidden="1" x14ac:dyDescent="0.25">
      <c r="B1610" s="28" t="str">
        <f>IF(ISNUMBER(MATCH(C1610, Mgt_Unit!$C$5:$C$1018, 0)), INDEX(Mgt_Unit!$B$5:$B$1018, MATCH(C1610, Mgt_Unit!$C$5:$C$1018, 0)), "")</f>
        <v>jennifer.moore</v>
      </c>
      <c r="C1610" t="s">
        <v>863</v>
      </c>
      <c r="E1610" s="17" t="s">
        <v>1583</v>
      </c>
      <c r="F1610" s="89">
        <v>43585</v>
      </c>
      <c r="J1610" t="s">
        <v>1396</v>
      </c>
      <c r="K1610" s="120">
        <v>37</v>
      </c>
    </row>
    <row r="1611" spans="2:11" hidden="1" x14ac:dyDescent="0.25">
      <c r="B1611" s="28" t="str">
        <f>IF(ISNUMBER(MATCH(C1611, Mgt_Unit!$C$5:$C$1018, 0)), INDEX(Mgt_Unit!$B$5:$B$1018, MATCH(C1611, Mgt_Unit!$C$5:$C$1018, 0)), "")</f>
        <v>jennifer.moore</v>
      </c>
      <c r="C1611" t="s">
        <v>863</v>
      </c>
      <c r="E1611" s="17" t="s">
        <v>1583</v>
      </c>
      <c r="F1611" s="89">
        <v>43585</v>
      </c>
      <c r="J1611" t="s">
        <v>1445</v>
      </c>
      <c r="K1611" s="120">
        <v>30</v>
      </c>
    </row>
    <row r="1612" spans="2:11" hidden="1" x14ac:dyDescent="0.25">
      <c r="B1612" s="28" t="str">
        <f>IF(ISNUMBER(MATCH(C1612, Mgt_Unit!$C$5:$C$1018, 0)), INDEX(Mgt_Unit!$B$5:$B$1018, MATCH(C1612, Mgt_Unit!$C$5:$C$1018, 0)), "")</f>
        <v>jennifer.moore</v>
      </c>
      <c r="C1612" t="s">
        <v>863</v>
      </c>
      <c r="E1612" s="17" t="s">
        <v>1584</v>
      </c>
      <c r="F1612" s="89">
        <v>43586</v>
      </c>
      <c r="J1612" t="s">
        <v>1355</v>
      </c>
      <c r="K1612" s="120">
        <v>6.3</v>
      </c>
    </row>
    <row r="1613" spans="2:11" hidden="1" x14ac:dyDescent="0.25">
      <c r="B1613" s="28" t="str">
        <f>IF(ISNUMBER(MATCH(C1613, Mgt_Unit!$C$5:$C$1018, 0)), INDEX(Mgt_Unit!$B$5:$B$1018, MATCH(C1613, Mgt_Unit!$C$5:$C$1018, 0)), "")</f>
        <v>jennifer.moore</v>
      </c>
      <c r="C1613" t="s">
        <v>863</v>
      </c>
      <c r="E1613" s="17" t="s">
        <v>1583</v>
      </c>
      <c r="F1613" s="89">
        <v>43783</v>
      </c>
      <c r="J1613" t="s">
        <v>1402</v>
      </c>
      <c r="K1613" s="120">
        <v>65</v>
      </c>
    </row>
    <row r="1614" spans="2:11" hidden="1" x14ac:dyDescent="0.25">
      <c r="B1614" s="28" t="str">
        <f>IF(ISNUMBER(MATCH(C1614, Mgt_Unit!$C$5:$C$1018, 0)), INDEX(Mgt_Unit!$B$5:$B$1018, MATCH(C1614, Mgt_Unit!$C$5:$C$1018, 0)), "")</f>
        <v>jennifer.moore</v>
      </c>
      <c r="C1614" t="s">
        <v>864</v>
      </c>
      <c r="E1614" s="17" t="s">
        <v>1583</v>
      </c>
      <c r="F1614" s="89">
        <v>43585</v>
      </c>
      <c r="J1614" t="s">
        <v>1445</v>
      </c>
      <c r="K1614" s="120">
        <v>30</v>
      </c>
    </row>
    <row r="1615" spans="2:11" hidden="1" x14ac:dyDescent="0.25">
      <c r="B1615" s="28" t="str">
        <f>IF(ISNUMBER(MATCH(C1615, Mgt_Unit!$C$5:$C$1018, 0)), INDEX(Mgt_Unit!$B$5:$B$1018, MATCH(C1615, Mgt_Unit!$C$5:$C$1018, 0)), "")</f>
        <v>jennifer.moore</v>
      </c>
      <c r="C1615" t="s">
        <v>864</v>
      </c>
      <c r="E1615" s="17" t="s">
        <v>1583</v>
      </c>
      <c r="F1615" s="89">
        <v>43585</v>
      </c>
      <c r="J1615" t="s">
        <v>1396</v>
      </c>
      <c r="K1615" s="120">
        <v>37</v>
      </c>
    </row>
    <row r="1616" spans="2:11" hidden="1" x14ac:dyDescent="0.25">
      <c r="B1616" s="28" t="str">
        <f>IF(ISNUMBER(MATCH(C1616, Mgt_Unit!$C$5:$C$1018, 0)), INDEX(Mgt_Unit!$B$5:$B$1018, MATCH(C1616, Mgt_Unit!$C$5:$C$1018, 0)), "")</f>
        <v>jennifer.moore</v>
      </c>
      <c r="C1616" t="s">
        <v>864</v>
      </c>
      <c r="E1616" s="17" t="s">
        <v>1584</v>
      </c>
      <c r="F1616" s="89">
        <v>43586</v>
      </c>
      <c r="J1616" t="s">
        <v>1355</v>
      </c>
      <c r="K1616" s="120">
        <v>6.3</v>
      </c>
    </row>
    <row r="1617" spans="2:11" hidden="1" x14ac:dyDescent="0.25">
      <c r="B1617" s="28" t="str">
        <f>IF(ISNUMBER(MATCH(C1617, Mgt_Unit!$C$5:$C$1018, 0)), INDEX(Mgt_Unit!$B$5:$B$1018, MATCH(C1617, Mgt_Unit!$C$5:$C$1018, 0)), "")</f>
        <v>jennifer.moore</v>
      </c>
      <c r="C1617" t="s">
        <v>864</v>
      </c>
      <c r="E1617" s="17" t="s">
        <v>1583</v>
      </c>
      <c r="F1617" s="89">
        <v>43783</v>
      </c>
      <c r="J1617" t="s">
        <v>1402</v>
      </c>
      <c r="K1617" s="120">
        <v>65</v>
      </c>
    </row>
    <row r="1618" spans="2:11" hidden="1" x14ac:dyDescent="0.25">
      <c r="B1618" s="28" t="str">
        <f>IF(ISNUMBER(MATCH(C1618, Mgt_Unit!$C$5:$C$1018, 0)), INDEX(Mgt_Unit!$B$5:$B$1018, MATCH(C1618, Mgt_Unit!$C$5:$C$1018, 0)), "")</f>
        <v>jennifer.moore</v>
      </c>
      <c r="C1618" t="s">
        <v>864</v>
      </c>
      <c r="E1618" s="17" t="s">
        <v>1583</v>
      </c>
      <c r="F1618" s="89">
        <v>43951</v>
      </c>
      <c r="J1618" t="s">
        <v>1396</v>
      </c>
      <c r="K1618" s="120">
        <v>37</v>
      </c>
    </row>
    <row r="1619" spans="2:11" hidden="1" x14ac:dyDescent="0.25">
      <c r="B1619" s="28" t="str">
        <f>IF(ISNUMBER(MATCH(C1619, Mgt_Unit!$C$5:$C$1018, 0)), INDEX(Mgt_Unit!$B$5:$B$1018, MATCH(C1619, Mgt_Unit!$C$5:$C$1018, 0)), "")</f>
        <v>jennifer.moore</v>
      </c>
      <c r="C1619" t="s">
        <v>864</v>
      </c>
      <c r="E1619" s="17" t="s">
        <v>1583</v>
      </c>
      <c r="F1619" s="89">
        <v>43951</v>
      </c>
      <c r="J1619" t="s">
        <v>1445</v>
      </c>
      <c r="K1619" s="120">
        <v>30</v>
      </c>
    </row>
    <row r="1620" spans="2:11" hidden="1" x14ac:dyDescent="0.25">
      <c r="B1620" s="28" t="str">
        <f>IF(ISNUMBER(MATCH(C1620, Mgt_Unit!$C$5:$C$1018, 0)), INDEX(Mgt_Unit!$B$5:$B$1018, MATCH(C1620, Mgt_Unit!$C$5:$C$1018, 0)), "")</f>
        <v>jennifer.moore</v>
      </c>
      <c r="C1620" t="s">
        <v>864</v>
      </c>
      <c r="E1620" s="17" t="s">
        <v>1584</v>
      </c>
      <c r="F1620" s="89">
        <v>43952</v>
      </c>
      <c r="J1620" t="s">
        <v>1355</v>
      </c>
      <c r="K1620" s="120">
        <v>6.3</v>
      </c>
    </row>
    <row r="1621" spans="2:11" hidden="1" x14ac:dyDescent="0.25">
      <c r="B1621" s="28" t="str">
        <f>IF(ISNUMBER(MATCH(C1621, Mgt_Unit!$C$5:$C$1018, 0)), INDEX(Mgt_Unit!$B$5:$B$1018, MATCH(C1621, Mgt_Unit!$C$5:$C$1018, 0)), "")</f>
        <v>jennifer.moore</v>
      </c>
      <c r="C1621" t="s">
        <v>864</v>
      </c>
      <c r="E1621" s="17" t="s">
        <v>1583</v>
      </c>
      <c r="F1621" s="89">
        <v>44149</v>
      </c>
      <c r="J1621" t="s">
        <v>1402</v>
      </c>
      <c r="K1621" s="120">
        <v>65</v>
      </c>
    </row>
    <row r="1622" spans="2:11" hidden="1" x14ac:dyDescent="0.25">
      <c r="B1622" s="28" t="str">
        <f>IF(ISNUMBER(MATCH(C1622, Mgt_Unit!$C$5:$C$1018, 0)), INDEX(Mgt_Unit!$B$5:$B$1018, MATCH(C1622, Mgt_Unit!$C$5:$C$1018, 0)), "")</f>
        <v>jennifer.moore</v>
      </c>
      <c r="C1622" t="s">
        <v>865</v>
      </c>
      <c r="E1622" s="17" t="s">
        <v>1583</v>
      </c>
      <c r="F1622" s="89">
        <v>43585</v>
      </c>
      <c r="J1622" t="s">
        <v>1396</v>
      </c>
      <c r="K1622" s="120">
        <v>37</v>
      </c>
    </row>
    <row r="1623" spans="2:11" hidden="1" x14ac:dyDescent="0.25">
      <c r="B1623" s="28" t="str">
        <f>IF(ISNUMBER(MATCH(C1623, Mgt_Unit!$C$5:$C$1018, 0)), INDEX(Mgt_Unit!$B$5:$B$1018, MATCH(C1623, Mgt_Unit!$C$5:$C$1018, 0)), "")</f>
        <v>jennifer.moore</v>
      </c>
      <c r="C1623" t="s">
        <v>865</v>
      </c>
      <c r="E1623" s="17" t="s">
        <v>1583</v>
      </c>
      <c r="F1623" s="89">
        <v>43585</v>
      </c>
      <c r="J1623" t="s">
        <v>1445</v>
      </c>
      <c r="K1623" s="120">
        <v>30</v>
      </c>
    </row>
    <row r="1624" spans="2:11" hidden="1" x14ac:dyDescent="0.25">
      <c r="B1624" s="28" t="str">
        <f>IF(ISNUMBER(MATCH(C1624, Mgt_Unit!$C$5:$C$1018, 0)), INDEX(Mgt_Unit!$B$5:$B$1018, MATCH(C1624, Mgt_Unit!$C$5:$C$1018, 0)), "")</f>
        <v>jennifer.moore</v>
      </c>
      <c r="C1624" t="s">
        <v>865</v>
      </c>
      <c r="E1624" s="17" t="s">
        <v>1584</v>
      </c>
      <c r="F1624" s="89">
        <v>43586</v>
      </c>
      <c r="J1624" t="s">
        <v>1355</v>
      </c>
      <c r="K1624" s="120">
        <v>6.3</v>
      </c>
    </row>
    <row r="1625" spans="2:11" hidden="1" x14ac:dyDescent="0.25">
      <c r="B1625" s="28" t="str">
        <f>IF(ISNUMBER(MATCH(C1625, Mgt_Unit!$C$5:$C$1018, 0)), INDEX(Mgt_Unit!$B$5:$B$1018, MATCH(C1625, Mgt_Unit!$C$5:$C$1018, 0)), "")</f>
        <v>jennifer.moore</v>
      </c>
      <c r="C1625" t="s">
        <v>865</v>
      </c>
      <c r="E1625" s="17" t="s">
        <v>1583</v>
      </c>
      <c r="F1625" s="89">
        <v>43783</v>
      </c>
      <c r="J1625" t="s">
        <v>1402</v>
      </c>
      <c r="K1625" s="120">
        <v>65</v>
      </c>
    </row>
    <row r="1626" spans="2:11" hidden="1" x14ac:dyDescent="0.25">
      <c r="B1626" s="28" t="str">
        <f>IF(ISNUMBER(MATCH(C1626, Mgt_Unit!$C$5:$C$1018, 0)), INDEX(Mgt_Unit!$B$5:$B$1018, MATCH(C1626, Mgt_Unit!$C$5:$C$1018, 0)), "")</f>
        <v>jennifer.moore</v>
      </c>
      <c r="C1626" t="s">
        <v>866</v>
      </c>
      <c r="E1626" s="17" t="s">
        <v>1584</v>
      </c>
      <c r="F1626" s="89">
        <v>43586</v>
      </c>
      <c r="J1626" t="s">
        <v>1355</v>
      </c>
      <c r="K1626" s="120">
        <v>6.3</v>
      </c>
    </row>
    <row r="1627" spans="2:11" hidden="1" x14ac:dyDescent="0.25">
      <c r="B1627" s="28" t="str">
        <f>IF(ISNUMBER(MATCH(C1627, Mgt_Unit!$C$5:$C$1018, 0)), INDEX(Mgt_Unit!$B$5:$B$1018, MATCH(C1627, Mgt_Unit!$C$5:$C$1018, 0)), "")</f>
        <v>jennifer.moore</v>
      </c>
      <c r="C1627" t="s">
        <v>866</v>
      </c>
      <c r="E1627" s="17" t="s">
        <v>1583</v>
      </c>
      <c r="F1627" s="89">
        <v>43586</v>
      </c>
      <c r="J1627" t="s">
        <v>1456</v>
      </c>
      <c r="K1627" s="120">
        <v>8.6</v>
      </c>
    </row>
    <row r="1628" spans="2:11" hidden="1" x14ac:dyDescent="0.25">
      <c r="B1628" s="28" t="str">
        <f>IF(ISNUMBER(MATCH(C1628, Mgt_Unit!$C$5:$C$1018, 0)), INDEX(Mgt_Unit!$B$5:$B$1018, MATCH(C1628, Mgt_Unit!$C$5:$C$1018, 0)), "")</f>
        <v>jennifer.moore</v>
      </c>
      <c r="C1628" t="s">
        <v>867</v>
      </c>
      <c r="E1628" s="17" t="s">
        <v>1584</v>
      </c>
      <c r="F1628" s="89">
        <v>43586</v>
      </c>
      <c r="J1628" t="s">
        <v>1355</v>
      </c>
      <c r="K1628" s="120">
        <v>6.3</v>
      </c>
    </row>
    <row r="1629" spans="2:11" hidden="1" x14ac:dyDescent="0.25">
      <c r="B1629" s="28" t="str">
        <f>IF(ISNUMBER(MATCH(C1629, Mgt_Unit!$C$5:$C$1018, 0)), INDEX(Mgt_Unit!$B$5:$B$1018, MATCH(C1629, Mgt_Unit!$C$5:$C$1018, 0)), "")</f>
        <v>jennifer.moore</v>
      </c>
      <c r="C1629" t="s">
        <v>867</v>
      </c>
      <c r="E1629" s="17" t="s">
        <v>1583</v>
      </c>
      <c r="F1629" s="89">
        <v>43586</v>
      </c>
      <c r="J1629" t="s">
        <v>1456</v>
      </c>
      <c r="K1629" s="120">
        <v>8.6</v>
      </c>
    </row>
    <row r="1630" spans="2:11" hidden="1" x14ac:dyDescent="0.25">
      <c r="B1630" s="28" t="str">
        <f>IF(ISNUMBER(MATCH(C1630, Mgt_Unit!$C$5:$C$1018, 0)), INDEX(Mgt_Unit!$B$5:$B$1018, MATCH(C1630, Mgt_Unit!$C$5:$C$1018, 0)), "")</f>
        <v>jennifer.moore</v>
      </c>
      <c r="C1630" t="s">
        <v>867</v>
      </c>
      <c r="E1630" s="17" t="s">
        <v>1583</v>
      </c>
      <c r="F1630" s="89">
        <v>43952</v>
      </c>
      <c r="J1630" t="s">
        <v>1456</v>
      </c>
      <c r="K1630" s="120">
        <v>8.6</v>
      </c>
    </row>
    <row r="1631" spans="2:11" hidden="1" x14ac:dyDescent="0.25">
      <c r="B1631" s="28" t="str">
        <f>IF(ISNUMBER(MATCH(C1631, Mgt_Unit!$C$5:$C$1018, 0)), INDEX(Mgt_Unit!$B$5:$B$1018, MATCH(C1631, Mgt_Unit!$C$5:$C$1018, 0)), "")</f>
        <v>jennifer.moore</v>
      </c>
      <c r="C1631" t="s">
        <v>867</v>
      </c>
      <c r="E1631" s="17" t="s">
        <v>1584</v>
      </c>
      <c r="F1631" s="89">
        <v>43952</v>
      </c>
      <c r="J1631" t="s">
        <v>1355</v>
      </c>
      <c r="K1631" s="120">
        <v>6.3</v>
      </c>
    </row>
    <row r="1632" spans="2:11" hidden="1" x14ac:dyDescent="0.25">
      <c r="B1632" s="28" t="str">
        <f>IF(ISNUMBER(MATCH(C1632, Mgt_Unit!$C$5:$C$1018, 0)), INDEX(Mgt_Unit!$B$5:$B$1018, MATCH(C1632, Mgt_Unit!$C$5:$C$1018, 0)), "")</f>
        <v>jennifer.moore</v>
      </c>
      <c r="C1632" t="s">
        <v>868</v>
      </c>
      <c r="E1632" s="17" t="s">
        <v>1583</v>
      </c>
      <c r="F1632" s="89">
        <v>43586</v>
      </c>
      <c r="J1632" t="s">
        <v>1456</v>
      </c>
      <c r="K1632" s="120">
        <v>8.6</v>
      </c>
    </row>
    <row r="1633" spans="2:11" hidden="1" x14ac:dyDescent="0.25">
      <c r="B1633" s="28" t="str">
        <f>IF(ISNUMBER(MATCH(C1633, Mgt_Unit!$C$5:$C$1018, 0)), INDEX(Mgt_Unit!$B$5:$B$1018, MATCH(C1633, Mgt_Unit!$C$5:$C$1018, 0)), "")</f>
        <v>jennifer.moore</v>
      </c>
      <c r="C1633" t="s">
        <v>868</v>
      </c>
      <c r="E1633" s="17" t="s">
        <v>1584</v>
      </c>
      <c r="F1633" s="89">
        <v>43586</v>
      </c>
      <c r="J1633" t="s">
        <v>1355</v>
      </c>
      <c r="K1633" s="120">
        <v>6.3</v>
      </c>
    </row>
    <row r="1634" spans="2:11" hidden="1" x14ac:dyDescent="0.25">
      <c r="B1634" s="28" t="str">
        <f>IF(ISNUMBER(MATCH(C1634, Mgt_Unit!$C$5:$C$1018, 0)), INDEX(Mgt_Unit!$B$5:$B$1018, MATCH(C1634, Mgt_Unit!$C$5:$C$1018, 0)), "")</f>
        <v>jennifer.moore</v>
      </c>
      <c r="C1634" t="s">
        <v>869</v>
      </c>
      <c r="E1634" s="17" t="s">
        <v>1584</v>
      </c>
      <c r="F1634" s="89">
        <v>42502</v>
      </c>
      <c r="J1634" t="s">
        <v>1353</v>
      </c>
      <c r="K1634" s="120">
        <v>2.4</v>
      </c>
    </row>
    <row r="1635" spans="2:11" hidden="1" x14ac:dyDescent="0.25">
      <c r="B1635" s="28" t="str">
        <f>IF(ISNUMBER(MATCH(C1635, Mgt_Unit!$C$5:$C$1018, 0)), INDEX(Mgt_Unit!$B$5:$B$1018, MATCH(C1635, Mgt_Unit!$C$5:$C$1018, 0)), "")</f>
        <v>jennifer.moore</v>
      </c>
      <c r="C1635" t="s">
        <v>869</v>
      </c>
      <c r="E1635" s="17" t="s">
        <v>1583</v>
      </c>
      <c r="F1635" s="89">
        <v>42664</v>
      </c>
      <c r="J1635" t="s">
        <v>1394</v>
      </c>
      <c r="K1635" s="120">
        <v>0.15</v>
      </c>
    </row>
    <row r="1636" spans="2:11" hidden="1" x14ac:dyDescent="0.25">
      <c r="B1636" s="28" t="str">
        <f>IF(ISNUMBER(MATCH(C1636, Mgt_Unit!$C$5:$C$1018, 0)), INDEX(Mgt_Unit!$B$5:$B$1018, MATCH(C1636, Mgt_Unit!$C$5:$C$1018, 0)), "")</f>
        <v>jennifer.moore</v>
      </c>
      <c r="C1636" t="s">
        <v>869</v>
      </c>
      <c r="E1636" s="17" t="s">
        <v>1584</v>
      </c>
      <c r="F1636" s="89">
        <v>42871</v>
      </c>
      <c r="J1636" t="s">
        <v>1353</v>
      </c>
      <c r="K1636" s="120">
        <v>2.4</v>
      </c>
    </row>
    <row r="1637" spans="2:11" hidden="1" x14ac:dyDescent="0.25">
      <c r="B1637" s="28" t="str">
        <f>IF(ISNUMBER(MATCH(C1637, Mgt_Unit!$C$5:$C$1018, 0)), INDEX(Mgt_Unit!$B$5:$B$1018, MATCH(C1637, Mgt_Unit!$C$5:$C$1018, 0)), "")</f>
        <v>jennifer.moore</v>
      </c>
      <c r="C1637" t="s">
        <v>869</v>
      </c>
      <c r="E1637" s="17" t="s">
        <v>1583</v>
      </c>
      <c r="F1637" s="89">
        <v>43020</v>
      </c>
      <c r="J1637" t="s">
        <v>1171</v>
      </c>
      <c r="K1637" s="120">
        <v>0.15</v>
      </c>
    </row>
    <row r="1638" spans="2:11" hidden="1" x14ac:dyDescent="0.25">
      <c r="B1638" s="28" t="str">
        <f>IF(ISNUMBER(MATCH(C1638, Mgt_Unit!$C$5:$C$1018, 0)), INDEX(Mgt_Unit!$B$5:$B$1018, MATCH(C1638, Mgt_Unit!$C$5:$C$1018, 0)), "")</f>
        <v>jennifer.moore</v>
      </c>
      <c r="C1638" t="s">
        <v>869</v>
      </c>
      <c r="E1638" s="17" t="s">
        <v>1584</v>
      </c>
      <c r="F1638" s="89">
        <v>43020</v>
      </c>
      <c r="J1638" t="s">
        <v>1398</v>
      </c>
      <c r="K1638" s="120">
        <v>4</v>
      </c>
    </row>
    <row r="1639" spans="2:11" hidden="1" x14ac:dyDescent="0.25">
      <c r="B1639" s="28" t="str">
        <f>IF(ISNUMBER(MATCH(C1639, Mgt_Unit!$C$5:$C$1018, 0)), INDEX(Mgt_Unit!$B$5:$B$1018, MATCH(C1639, Mgt_Unit!$C$5:$C$1018, 0)), "")</f>
        <v>jennifer.moore</v>
      </c>
      <c r="C1639" t="s">
        <v>869</v>
      </c>
      <c r="E1639" s="17" t="s">
        <v>1583</v>
      </c>
      <c r="F1639" s="89">
        <v>43269</v>
      </c>
      <c r="J1639" t="s">
        <v>1457</v>
      </c>
      <c r="K1639" s="120">
        <v>0.15</v>
      </c>
    </row>
    <row r="1640" spans="2:11" hidden="1" x14ac:dyDescent="0.25">
      <c r="B1640" s="28" t="str">
        <f>IF(ISNUMBER(MATCH(C1640, Mgt_Unit!$C$5:$C$1018, 0)), INDEX(Mgt_Unit!$B$5:$B$1018, MATCH(C1640, Mgt_Unit!$C$5:$C$1018, 0)), "")</f>
        <v>jennifer.moore</v>
      </c>
      <c r="C1640" t="s">
        <v>870</v>
      </c>
      <c r="E1640" s="17" t="s">
        <v>1584</v>
      </c>
      <c r="F1640" s="89">
        <v>42502</v>
      </c>
      <c r="J1640" t="s">
        <v>1353</v>
      </c>
      <c r="K1640" s="120">
        <v>2.4</v>
      </c>
    </row>
    <row r="1641" spans="2:11" hidden="1" x14ac:dyDescent="0.25">
      <c r="B1641" s="28" t="str">
        <f>IF(ISNUMBER(MATCH(C1641, Mgt_Unit!$C$5:$C$1018, 0)), INDEX(Mgt_Unit!$B$5:$B$1018, MATCH(C1641, Mgt_Unit!$C$5:$C$1018, 0)), "")</f>
        <v>jennifer.moore</v>
      </c>
      <c r="C1641" t="s">
        <v>870</v>
      </c>
      <c r="E1641" s="17" t="s">
        <v>1583</v>
      </c>
      <c r="F1641" s="89">
        <v>42664</v>
      </c>
      <c r="J1641" t="s">
        <v>1394</v>
      </c>
      <c r="K1641" s="120">
        <v>0.15</v>
      </c>
    </row>
    <row r="1642" spans="2:11" hidden="1" x14ac:dyDescent="0.25">
      <c r="B1642" s="28" t="str">
        <f>IF(ISNUMBER(MATCH(C1642, Mgt_Unit!$C$5:$C$1018, 0)), INDEX(Mgt_Unit!$B$5:$B$1018, MATCH(C1642, Mgt_Unit!$C$5:$C$1018, 0)), "")</f>
        <v>jennifer.moore</v>
      </c>
      <c r="C1642" t="s">
        <v>870</v>
      </c>
      <c r="E1642" s="17" t="s">
        <v>1584</v>
      </c>
      <c r="F1642" s="89">
        <v>42871</v>
      </c>
      <c r="J1642" t="s">
        <v>1353</v>
      </c>
      <c r="K1642" s="120">
        <v>2.4</v>
      </c>
    </row>
    <row r="1643" spans="2:11" hidden="1" x14ac:dyDescent="0.25">
      <c r="B1643" s="28" t="str">
        <f>IF(ISNUMBER(MATCH(C1643, Mgt_Unit!$C$5:$C$1018, 0)), INDEX(Mgt_Unit!$B$5:$B$1018, MATCH(C1643, Mgt_Unit!$C$5:$C$1018, 0)), "")</f>
        <v>jennifer.moore</v>
      </c>
      <c r="C1643" t="s">
        <v>870</v>
      </c>
      <c r="E1643" s="17" t="s">
        <v>1583</v>
      </c>
      <c r="F1643" s="89">
        <v>43020</v>
      </c>
      <c r="J1643" t="s">
        <v>1171</v>
      </c>
      <c r="K1643" s="120">
        <v>0.15</v>
      </c>
    </row>
    <row r="1644" spans="2:11" hidden="1" x14ac:dyDescent="0.25">
      <c r="B1644" s="28" t="str">
        <f>IF(ISNUMBER(MATCH(C1644, Mgt_Unit!$C$5:$C$1018, 0)), INDEX(Mgt_Unit!$B$5:$B$1018, MATCH(C1644, Mgt_Unit!$C$5:$C$1018, 0)), "")</f>
        <v>jennifer.moore</v>
      </c>
      <c r="C1644" t="s">
        <v>870</v>
      </c>
      <c r="E1644" s="17" t="s">
        <v>1584</v>
      </c>
      <c r="F1644" s="89">
        <v>43020</v>
      </c>
      <c r="J1644" t="s">
        <v>1398</v>
      </c>
      <c r="K1644" s="120">
        <v>4</v>
      </c>
    </row>
    <row r="1645" spans="2:11" hidden="1" x14ac:dyDescent="0.25">
      <c r="B1645" s="28" t="str">
        <f>IF(ISNUMBER(MATCH(C1645, Mgt_Unit!$C$5:$C$1018, 0)), INDEX(Mgt_Unit!$B$5:$B$1018, MATCH(C1645, Mgt_Unit!$C$5:$C$1018, 0)), "")</f>
        <v>jennifer.moore</v>
      </c>
      <c r="C1645" t="s">
        <v>870</v>
      </c>
      <c r="E1645" s="17" t="s">
        <v>1583</v>
      </c>
      <c r="F1645" s="89">
        <v>43269</v>
      </c>
      <c r="J1645" t="s">
        <v>1457</v>
      </c>
      <c r="K1645" s="120">
        <v>0.15</v>
      </c>
    </row>
    <row r="1646" spans="2:11" hidden="1" x14ac:dyDescent="0.25">
      <c r="B1646" s="28" t="str">
        <f>IF(ISNUMBER(MATCH(C1646, Mgt_Unit!$C$5:$C$1018, 0)), INDEX(Mgt_Unit!$B$5:$B$1018, MATCH(C1646, Mgt_Unit!$C$5:$C$1018, 0)), "")</f>
        <v>jennifer.moore</v>
      </c>
      <c r="C1646" t="s">
        <v>871</v>
      </c>
      <c r="E1646" s="17" t="s">
        <v>1584</v>
      </c>
      <c r="F1646" s="89">
        <v>42502</v>
      </c>
      <c r="J1646" t="s">
        <v>1353</v>
      </c>
      <c r="K1646" s="120">
        <v>2.4</v>
      </c>
    </row>
    <row r="1647" spans="2:11" hidden="1" x14ac:dyDescent="0.25">
      <c r="B1647" s="28" t="str">
        <f>IF(ISNUMBER(MATCH(C1647, Mgt_Unit!$C$5:$C$1018, 0)), INDEX(Mgt_Unit!$B$5:$B$1018, MATCH(C1647, Mgt_Unit!$C$5:$C$1018, 0)), "")</f>
        <v>jennifer.moore</v>
      </c>
      <c r="C1647" t="s">
        <v>871</v>
      </c>
      <c r="E1647" s="17" t="s">
        <v>1583</v>
      </c>
      <c r="F1647" s="89">
        <v>42664</v>
      </c>
      <c r="J1647" t="s">
        <v>1394</v>
      </c>
      <c r="K1647" s="120">
        <v>0.15</v>
      </c>
    </row>
    <row r="1648" spans="2:11" hidden="1" x14ac:dyDescent="0.25">
      <c r="B1648" s="28" t="str">
        <f>IF(ISNUMBER(MATCH(C1648, Mgt_Unit!$C$5:$C$1018, 0)), INDEX(Mgt_Unit!$B$5:$B$1018, MATCH(C1648, Mgt_Unit!$C$5:$C$1018, 0)), "")</f>
        <v>jennifer.moore</v>
      </c>
      <c r="C1648" t="s">
        <v>871</v>
      </c>
      <c r="E1648" s="17" t="s">
        <v>1584</v>
      </c>
      <c r="F1648" s="89">
        <v>42871</v>
      </c>
      <c r="J1648" t="s">
        <v>1353</v>
      </c>
      <c r="K1648" s="120">
        <v>2.4</v>
      </c>
    </row>
    <row r="1649" spans="2:11" hidden="1" x14ac:dyDescent="0.25">
      <c r="B1649" s="28" t="str">
        <f>IF(ISNUMBER(MATCH(C1649, Mgt_Unit!$C$5:$C$1018, 0)), INDEX(Mgt_Unit!$B$5:$B$1018, MATCH(C1649, Mgt_Unit!$C$5:$C$1018, 0)), "")</f>
        <v>jennifer.moore</v>
      </c>
      <c r="C1649" t="s">
        <v>871</v>
      </c>
      <c r="E1649" s="17" t="s">
        <v>1583</v>
      </c>
      <c r="F1649" s="89">
        <v>43020</v>
      </c>
      <c r="J1649" t="s">
        <v>1171</v>
      </c>
      <c r="K1649" s="120">
        <v>0.15</v>
      </c>
    </row>
    <row r="1650" spans="2:11" hidden="1" x14ac:dyDescent="0.25">
      <c r="B1650" s="28" t="str">
        <f>IF(ISNUMBER(MATCH(C1650, Mgt_Unit!$C$5:$C$1018, 0)), INDEX(Mgt_Unit!$B$5:$B$1018, MATCH(C1650, Mgt_Unit!$C$5:$C$1018, 0)), "")</f>
        <v>jennifer.moore</v>
      </c>
      <c r="C1650" t="s">
        <v>871</v>
      </c>
      <c r="E1650" s="17" t="s">
        <v>1584</v>
      </c>
      <c r="F1650" s="89">
        <v>43020</v>
      </c>
      <c r="J1650" t="s">
        <v>1398</v>
      </c>
      <c r="K1650" s="120">
        <v>4</v>
      </c>
    </row>
    <row r="1651" spans="2:11" hidden="1" x14ac:dyDescent="0.25">
      <c r="B1651" s="28" t="str">
        <f>IF(ISNUMBER(MATCH(C1651, Mgt_Unit!$C$5:$C$1018, 0)), INDEX(Mgt_Unit!$B$5:$B$1018, MATCH(C1651, Mgt_Unit!$C$5:$C$1018, 0)), "")</f>
        <v>jennifer.moore</v>
      </c>
      <c r="C1651" t="s">
        <v>871</v>
      </c>
      <c r="E1651" s="17" t="s">
        <v>1583</v>
      </c>
      <c r="F1651" s="89">
        <v>43269</v>
      </c>
      <c r="J1651" t="s">
        <v>1457</v>
      </c>
      <c r="K1651" s="120">
        <v>0.15</v>
      </c>
    </row>
    <row r="1652" spans="2:11" hidden="1" x14ac:dyDescent="0.25">
      <c r="B1652" s="28" t="str">
        <f>IF(ISNUMBER(MATCH(C1652, Mgt_Unit!$C$5:$C$1018, 0)), INDEX(Mgt_Unit!$B$5:$B$1018, MATCH(C1652, Mgt_Unit!$C$5:$C$1018, 0)), "")</f>
        <v>jennifer.moore</v>
      </c>
      <c r="C1652" t="s">
        <v>871</v>
      </c>
      <c r="E1652" s="17" t="s">
        <v>1584</v>
      </c>
      <c r="F1652" s="89">
        <v>43278</v>
      </c>
      <c r="J1652" t="s">
        <v>1398</v>
      </c>
      <c r="K1652" s="120">
        <v>2.4</v>
      </c>
    </row>
    <row r="1653" spans="2:11" hidden="1" x14ac:dyDescent="0.25">
      <c r="B1653" s="28" t="str">
        <f>IF(ISNUMBER(MATCH(C1653, Mgt_Unit!$C$5:$C$1018, 0)), INDEX(Mgt_Unit!$B$5:$B$1018, MATCH(C1653, Mgt_Unit!$C$5:$C$1018, 0)), "")</f>
        <v>jennifer.moore</v>
      </c>
      <c r="C1653" t="s">
        <v>871</v>
      </c>
      <c r="E1653" s="17" t="s">
        <v>1583</v>
      </c>
      <c r="F1653" s="89">
        <v>43404</v>
      </c>
      <c r="J1653" t="s">
        <v>1171</v>
      </c>
      <c r="K1653" s="120">
        <v>0.15</v>
      </c>
    </row>
    <row r="1654" spans="2:11" hidden="1" x14ac:dyDescent="0.25">
      <c r="B1654" s="28" t="str">
        <f>IF(ISNUMBER(MATCH(C1654, Mgt_Unit!$C$5:$C$1018, 0)), INDEX(Mgt_Unit!$B$5:$B$1018, MATCH(C1654, Mgt_Unit!$C$5:$C$1018, 0)), "")</f>
        <v>jennifer.moore</v>
      </c>
      <c r="C1654" t="s">
        <v>872</v>
      </c>
      <c r="E1654" s="17" t="s">
        <v>1584</v>
      </c>
      <c r="F1654" s="89">
        <v>42502</v>
      </c>
      <c r="J1654" t="s">
        <v>1353</v>
      </c>
      <c r="K1654" s="120">
        <v>2.4</v>
      </c>
    </row>
    <row r="1655" spans="2:11" hidden="1" x14ac:dyDescent="0.25">
      <c r="B1655" s="28" t="str">
        <f>IF(ISNUMBER(MATCH(C1655, Mgt_Unit!$C$5:$C$1018, 0)), INDEX(Mgt_Unit!$B$5:$B$1018, MATCH(C1655, Mgt_Unit!$C$5:$C$1018, 0)), "")</f>
        <v>jennifer.moore</v>
      </c>
      <c r="C1655" t="s">
        <v>872</v>
      </c>
      <c r="E1655" s="17" t="s">
        <v>1583</v>
      </c>
      <c r="F1655" s="89">
        <v>42664</v>
      </c>
      <c r="J1655" t="s">
        <v>1394</v>
      </c>
      <c r="K1655" s="120">
        <v>0.15</v>
      </c>
    </row>
    <row r="1656" spans="2:11" hidden="1" x14ac:dyDescent="0.25">
      <c r="B1656" s="28" t="str">
        <f>IF(ISNUMBER(MATCH(C1656, Mgt_Unit!$C$5:$C$1018, 0)), INDEX(Mgt_Unit!$B$5:$B$1018, MATCH(C1656, Mgt_Unit!$C$5:$C$1018, 0)), "")</f>
        <v>jennifer.moore</v>
      </c>
      <c r="C1656" t="s">
        <v>872</v>
      </c>
      <c r="E1656" s="17" t="s">
        <v>1584</v>
      </c>
      <c r="F1656" s="89">
        <v>42871</v>
      </c>
      <c r="J1656" t="s">
        <v>1353</v>
      </c>
      <c r="K1656" s="120">
        <v>2.4</v>
      </c>
    </row>
    <row r="1657" spans="2:11" hidden="1" x14ac:dyDescent="0.25">
      <c r="B1657" s="28" t="str">
        <f>IF(ISNUMBER(MATCH(C1657, Mgt_Unit!$C$5:$C$1018, 0)), INDEX(Mgt_Unit!$B$5:$B$1018, MATCH(C1657, Mgt_Unit!$C$5:$C$1018, 0)), "")</f>
        <v>jennifer.moore</v>
      </c>
      <c r="C1657" t="s">
        <v>872</v>
      </c>
      <c r="E1657" s="17" t="s">
        <v>1584</v>
      </c>
      <c r="F1657" s="89">
        <v>43020</v>
      </c>
      <c r="J1657" t="s">
        <v>1398</v>
      </c>
      <c r="K1657" s="120">
        <v>4</v>
      </c>
    </row>
    <row r="1658" spans="2:11" hidden="1" x14ac:dyDescent="0.25">
      <c r="B1658" s="28" t="str">
        <f>IF(ISNUMBER(MATCH(C1658, Mgt_Unit!$C$5:$C$1018, 0)), INDEX(Mgt_Unit!$B$5:$B$1018, MATCH(C1658, Mgt_Unit!$C$5:$C$1018, 0)), "")</f>
        <v>jennifer.moore</v>
      </c>
      <c r="C1658" t="s">
        <v>872</v>
      </c>
      <c r="E1658" s="17" t="s">
        <v>1583</v>
      </c>
      <c r="F1658" s="89">
        <v>43020</v>
      </c>
      <c r="J1658" t="s">
        <v>1171</v>
      </c>
      <c r="K1658" s="120">
        <v>0.15</v>
      </c>
    </row>
    <row r="1659" spans="2:11" hidden="1" x14ac:dyDescent="0.25">
      <c r="B1659" s="28" t="str">
        <f>IF(ISNUMBER(MATCH(C1659, Mgt_Unit!$C$5:$C$1018, 0)), INDEX(Mgt_Unit!$B$5:$B$1018, MATCH(C1659, Mgt_Unit!$C$5:$C$1018, 0)), "")</f>
        <v>jennifer.moore</v>
      </c>
      <c r="C1659" t="s">
        <v>872</v>
      </c>
      <c r="E1659" s="17" t="s">
        <v>1583</v>
      </c>
      <c r="F1659" s="89">
        <v>43269</v>
      </c>
      <c r="J1659" t="s">
        <v>1457</v>
      </c>
      <c r="K1659" s="120">
        <v>0.15</v>
      </c>
    </row>
    <row r="1660" spans="2:11" hidden="1" x14ac:dyDescent="0.25">
      <c r="B1660" s="28" t="str">
        <f>IF(ISNUMBER(MATCH(C1660, Mgt_Unit!$C$5:$C$1018, 0)), INDEX(Mgt_Unit!$B$5:$B$1018, MATCH(C1660, Mgt_Unit!$C$5:$C$1018, 0)), "")</f>
        <v>jennifer.moore</v>
      </c>
      <c r="C1660" t="s">
        <v>872</v>
      </c>
      <c r="E1660" s="17" t="s">
        <v>1584</v>
      </c>
      <c r="F1660" s="89">
        <v>43278</v>
      </c>
      <c r="J1660" t="s">
        <v>1398</v>
      </c>
      <c r="K1660" s="120">
        <v>4</v>
      </c>
    </row>
    <row r="1661" spans="2:11" hidden="1" x14ac:dyDescent="0.25">
      <c r="B1661" s="28" t="str">
        <f>IF(ISNUMBER(MATCH(C1661, Mgt_Unit!$C$5:$C$1018, 0)), INDEX(Mgt_Unit!$B$5:$B$1018, MATCH(C1661, Mgt_Unit!$C$5:$C$1018, 0)), "")</f>
        <v>jennifer.moore</v>
      </c>
      <c r="C1661" t="s">
        <v>872</v>
      </c>
      <c r="E1661" s="17" t="s">
        <v>1583</v>
      </c>
      <c r="F1661" s="89">
        <v>43404</v>
      </c>
      <c r="J1661" t="s">
        <v>1171</v>
      </c>
      <c r="K1661" s="120">
        <v>0.15</v>
      </c>
    </row>
    <row r="1662" spans="2:11" hidden="1" x14ac:dyDescent="0.25">
      <c r="B1662" s="28" t="str">
        <f>IF(ISNUMBER(MATCH(C1662, Mgt_Unit!$C$5:$C$1018, 0)), INDEX(Mgt_Unit!$B$5:$B$1018, MATCH(C1662, Mgt_Unit!$C$5:$C$1018, 0)), "")</f>
        <v>jennifer.moore</v>
      </c>
      <c r="C1662" t="s">
        <v>873</v>
      </c>
      <c r="E1662" s="17" t="s">
        <v>1584</v>
      </c>
      <c r="F1662" s="89">
        <v>42502</v>
      </c>
      <c r="J1662" t="s">
        <v>1353</v>
      </c>
      <c r="K1662" s="120">
        <v>2.4</v>
      </c>
    </row>
    <row r="1663" spans="2:11" hidden="1" x14ac:dyDescent="0.25">
      <c r="B1663" s="28" t="str">
        <f>IF(ISNUMBER(MATCH(C1663, Mgt_Unit!$C$5:$C$1018, 0)), INDEX(Mgt_Unit!$B$5:$B$1018, MATCH(C1663, Mgt_Unit!$C$5:$C$1018, 0)), "")</f>
        <v>jennifer.moore</v>
      </c>
      <c r="C1663" t="s">
        <v>873</v>
      </c>
      <c r="E1663" s="17" t="s">
        <v>1583</v>
      </c>
      <c r="F1663" s="89">
        <v>42664</v>
      </c>
      <c r="J1663" t="s">
        <v>1394</v>
      </c>
      <c r="K1663" s="120">
        <v>0.15</v>
      </c>
    </row>
    <row r="1664" spans="2:11" hidden="1" x14ac:dyDescent="0.25">
      <c r="B1664" s="28" t="str">
        <f>IF(ISNUMBER(MATCH(C1664, Mgt_Unit!$C$5:$C$1018, 0)), INDEX(Mgt_Unit!$B$5:$B$1018, MATCH(C1664, Mgt_Unit!$C$5:$C$1018, 0)), "")</f>
        <v>jennifer.moore</v>
      </c>
      <c r="C1664" t="s">
        <v>873</v>
      </c>
      <c r="E1664" s="17" t="s">
        <v>1584</v>
      </c>
      <c r="F1664" s="89">
        <v>42871</v>
      </c>
      <c r="J1664" t="s">
        <v>1353</v>
      </c>
      <c r="K1664" s="120">
        <v>2.4</v>
      </c>
    </row>
    <row r="1665" spans="2:11" hidden="1" x14ac:dyDescent="0.25">
      <c r="B1665" s="28" t="str">
        <f>IF(ISNUMBER(MATCH(C1665, Mgt_Unit!$C$5:$C$1018, 0)), INDEX(Mgt_Unit!$B$5:$B$1018, MATCH(C1665, Mgt_Unit!$C$5:$C$1018, 0)), "")</f>
        <v>jennifer.moore</v>
      </c>
      <c r="C1665" t="s">
        <v>873</v>
      </c>
      <c r="E1665" s="17" t="s">
        <v>1583</v>
      </c>
      <c r="F1665" s="89">
        <v>43020</v>
      </c>
      <c r="J1665" t="s">
        <v>1171</v>
      </c>
      <c r="K1665" s="120">
        <v>0.15</v>
      </c>
    </row>
    <row r="1666" spans="2:11" hidden="1" x14ac:dyDescent="0.25">
      <c r="B1666" s="28" t="str">
        <f>IF(ISNUMBER(MATCH(C1666, Mgt_Unit!$C$5:$C$1018, 0)), INDEX(Mgt_Unit!$B$5:$B$1018, MATCH(C1666, Mgt_Unit!$C$5:$C$1018, 0)), "")</f>
        <v>jennifer.moore</v>
      </c>
      <c r="C1666" t="s">
        <v>873</v>
      </c>
      <c r="E1666" s="17" t="s">
        <v>1584</v>
      </c>
      <c r="F1666" s="89">
        <v>43020</v>
      </c>
      <c r="J1666" t="s">
        <v>1398</v>
      </c>
      <c r="K1666" s="120">
        <v>4</v>
      </c>
    </row>
    <row r="1667" spans="2:11" hidden="1" x14ac:dyDescent="0.25">
      <c r="B1667" s="28" t="str">
        <f>IF(ISNUMBER(MATCH(C1667, Mgt_Unit!$C$5:$C$1018, 0)), INDEX(Mgt_Unit!$B$5:$B$1018, MATCH(C1667, Mgt_Unit!$C$5:$C$1018, 0)), "")</f>
        <v>jennifer.moore</v>
      </c>
      <c r="C1667" t="s">
        <v>873</v>
      </c>
      <c r="E1667" s="17" t="s">
        <v>1583</v>
      </c>
      <c r="F1667" s="89">
        <v>43269</v>
      </c>
      <c r="J1667" t="s">
        <v>1457</v>
      </c>
      <c r="K1667" s="120">
        <v>0.15</v>
      </c>
    </row>
    <row r="1668" spans="2:11" hidden="1" x14ac:dyDescent="0.25">
      <c r="B1668" s="28" t="str">
        <f>IF(ISNUMBER(MATCH(C1668, Mgt_Unit!$C$5:$C$1018, 0)), INDEX(Mgt_Unit!$B$5:$B$1018, MATCH(C1668, Mgt_Unit!$C$5:$C$1018, 0)), "")</f>
        <v>jennifer.moore</v>
      </c>
      <c r="C1668" t="s">
        <v>873</v>
      </c>
      <c r="E1668" s="17" t="s">
        <v>1585</v>
      </c>
      <c r="F1668" s="89">
        <v>43322</v>
      </c>
      <c r="J1668" t="s">
        <v>1398</v>
      </c>
      <c r="K1668" s="120">
        <v>4</v>
      </c>
    </row>
    <row r="1669" spans="2:11" hidden="1" x14ac:dyDescent="0.25">
      <c r="B1669" s="28" t="str">
        <f>IF(ISNUMBER(MATCH(C1669, Mgt_Unit!$C$5:$C$1018, 0)), INDEX(Mgt_Unit!$B$5:$B$1018, MATCH(C1669, Mgt_Unit!$C$5:$C$1018, 0)), "")</f>
        <v>jennifer.moore</v>
      </c>
      <c r="C1669" t="s">
        <v>874</v>
      </c>
      <c r="E1669" s="17" t="s">
        <v>1584</v>
      </c>
      <c r="F1669" s="89">
        <v>42502</v>
      </c>
      <c r="J1669" t="s">
        <v>1353</v>
      </c>
      <c r="K1669" s="120">
        <v>2.4</v>
      </c>
    </row>
    <row r="1670" spans="2:11" hidden="1" x14ac:dyDescent="0.25">
      <c r="B1670" s="28" t="str">
        <f>IF(ISNUMBER(MATCH(C1670, Mgt_Unit!$C$5:$C$1018, 0)), INDEX(Mgt_Unit!$B$5:$B$1018, MATCH(C1670, Mgt_Unit!$C$5:$C$1018, 0)), "")</f>
        <v>jennifer.moore</v>
      </c>
      <c r="C1670" t="s">
        <v>874</v>
      </c>
      <c r="E1670" s="17" t="s">
        <v>1583</v>
      </c>
      <c r="F1670" s="89">
        <v>42664</v>
      </c>
      <c r="J1670" t="s">
        <v>1394</v>
      </c>
      <c r="K1670" s="120">
        <v>0.15</v>
      </c>
    </row>
    <row r="1671" spans="2:11" hidden="1" x14ac:dyDescent="0.25">
      <c r="B1671" s="28" t="str">
        <f>IF(ISNUMBER(MATCH(C1671, Mgt_Unit!$C$5:$C$1018, 0)), INDEX(Mgt_Unit!$B$5:$B$1018, MATCH(C1671, Mgt_Unit!$C$5:$C$1018, 0)), "")</f>
        <v>jennifer.moore</v>
      </c>
      <c r="C1671" t="s">
        <v>874</v>
      </c>
      <c r="E1671" s="17" t="s">
        <v>1584</v>
      </c>
      <c r="F1671" s="89">
        <v>42871</v>
      </c>
      <c r="J1671" t="s">
        <v>1353</v>
      </c>
      <c r="K1671" s="120">
        <v>2.4</v>
      </c>
    </row>
    <row r="1672" spans="2:11" hidden="1" x14ac:dyDescent="0.25">
      <c r="B1672" s="28" t="str">
        <f>IF(ISNUMBER(MATCH(C1672, Mgt_Unit!$C$5:$C$1018, 0)), INDEX(Mgt_Unit!$B$5:$B$1018, MATCH(C1672, Mgt_Unit!$C$5:$C$1018, 0)), "")</f>
        <v>jennifer.moore</v>
      </c>
      <c r="C1672" t="s">
        <v>874</v>
      </c>
      <c r="E1672" s="17" t="s">
        <v>1583</v>
      </c>
      <c r="F1672" s="89">
        <v>43020</v>
      </c>
      <c r="J1672" t="s">
        <v>1171</v>
      </c>
      <c r="K1672" s="120">
        <v>0.15</v>
      </c>
    </row>
    <row r="1673" spans="2:11" hidden="1" x14ac:dyDescent="0.25">
      <c r="B1673" s="28" t="str">
        <f>IF(ISNUMBER(MATCH(C1673, Mgt_Unit!$C$5:$C$1018, 0)), INDEX(Mgt_Unit!$B$5:$B$1018, MATCH(C1673, Mgt_Unit!$C$5:$C$1018, 0)), "")</f>
        <v>jennifer.moore</v>
      </c>
      <c r="C1673" t="s">
        <v>874</v>
      </c>
      <c r="E1673" s="17" t="s">
        <v>1584</v>
      </c>
      <c r="F1673" s="89">
        <v>43020</v>
      </c>
      <c r="J1673" t="s">
        <v>1398</v>
      </c>
      <c r="K1673" s="120">
        <v>4</v>
      </c>
    </row>
    <row r="1674" spans="2:11" hidden="1" x14ac:dyDescent="0.25">
      <c r="B1674" s="28" t="str">
        <f>IF(ISNUMBER(MATCH(C1674, Mgt_Unit!$C$5:$C$1018, 0)), INDEX(Mgt_Unit!$B$5:$B$1018, MATCH(C1674, Mgt_Unit!$C$5:$C$1018, 0)), "")</f>
        <v>jennifer.moore</v>
      </c>
      <c r="C1674" t="s">
        <v>874</v>
      </c>
      <c r="E1674" s="17" t="s">
        <v>1583</v>
      </c>
      <c r="F1674" s="89">
        <v>43269</v>
      </c>
      <c r="J1674" t="s">
        <v>1457</v>
      </c>
      <c r="K1674" s="120">
        <v>0.15</v>
      </c>
    </row>
    <row r="1675" spans="2:11" hidden="1" x14ac:dyDescent="0.25">
      <c r="B1675" s="28" t="str">
        <f>IF(ISNUMBER(MATCH(C1675, Mgt_Unit!$C$5:$C$1018, 0)), INDEX(Mgt_Unit!$B$5:$B$1018, MATCH(C1675, Mgt_Unit!$C$5:$C$1018, 0)), "")</f>
        <v>jennifer.moore</v>
      </c>
      <c r="C1675" t="s">
        <v>874</v>
      </c>
      <c r="E1675" s="17" t="s">
        <v>1585</v>
      </c>
      <c r="F1675" s="89">
        <v>43322</v>
      </c>
      <c r="J1675" t="s">
        <v>1398</v>
      </c>
      <c r="K1675" s="120">
        <v>4</v>
      </c>
    </row>
    <row r="1676" spans="2:11" hidden="1" x14ac:dyDescent="0.25">
      <c r="B1676" s="28" t="str">
        <f>IF(ISNUMBER(MATCH(C1676, Mgt_Unit!$C$5:$C$1018, 0)), INDEX(Mgt_Unit!$B$5:$B$1018, MATCH(C1676, Mgt_Unit!$C$5:$C$1018, 0)), "")</f>
        <v>jennifer.moore</v>
      </c>
      <c r="C1676" t="s">
        <v>875</v>
      </c>
      <c r="E1676" s="17" t="s">
        <v>1583</v>
      </c>
      <c r="F1676" s="89">
        <v>42156</v>
      </c>
      <c r="J1676" t="s">
        <v>1458</v>
      </c>
      <c r="K1676" s="120">
        <v>7.8</v>
      </c>
    </row>
    <row r="1677" spans="2:11" hidden="1" x14ac:dyDescent="0.25">
      <c r="B1677" s="28" t="str">
        <f>IF(ISNUMBER(MATCH(C1677, Mgt_Unit!$C$5:$C$1018, 0)), INDEX(Mgt_Unit!$B$5:$B$1018, MATCH(C1677, Mgt_Unit!$C$5:$C$1018, 0)), "")</f>
        <v>jennifer.moore</v>
      </c>
      <c r="C1677" t="s">
        <v>875</v>
      </c>
      <c r="E1677" s="17" t="s">
        <v>1583</v>
      </c>
      <c r="F1677" s="89">
        <v>42186</v>
      </c>
      <c r="J1677" t="s">
        <v>1458</v>
      </c>
      <c r="K1677" s="120">
        <v>7.8</v>
      </c>
    </row>
    <row r="1678" spans="2:11" hidden="1" x14ac:dyDescent="0.25">
      <c r="B1678" s="28" t="str">
        <f>IF(ISNUMBER(MATCH(C1678, Mgt_Unit!$C$5:$C$1018, 0)), INDEX(Mgt_Unit!$B$5:$B$1018, MATCH(C1678, Mgt_Unit!$C$5:$C$1018, 0)), "")</f>
        <v>jennifer.moore</v>
      </c>
      <c r="C1678" t="s">
        <v>875</v>
      </c>
      <c r="E1678" s="17" t="s">
        <v>1583</v>
      </c>
      <c r="F1678" s="89">
        <v>42231</v>
      </c>
      <c r="J1678" t="s">
        <v>1458</v>
      </c>
      <c r="K1678" s="120">
        <v>7.8</v>
      </c>
    </row>
    <row r="1679" spans="2:11" hidden="1" x14ac:dyDescent="0.25">
      <c r="B1679" s="28" t="str">
        <f>IF(ISNUMBER(MATCH(C1679, Mgt_Unit!$C$5:$C$1018, 0)), INDEX(Mgt_Unit!$B$5:$B$1018, MATCH(C1679, Mgt_Unit!$C$5:$C$1018, 0)), "")</f>
        <v>jennifer.moore</v>
      </c>
      <c r="C1679" t="s">
        <v>875</v>
      </c>
      <c r="E1679" s="17" t="s">
        <v>1583</v>
      </c>
      <c r="F1679" s="89">
        <v>42255</v>
      </c>
      <c r="J1679" t="s">
        <v>1458</v>
      </c>
      <c r="K1679" s="120">
        <v>7.8</v>
      </c>
    </row>
    <row r="1680" spans="2:11" hidden="1" x14ac:dyDescent="0.25">
      <c r="B1680" s="28" t="str">
        <f>IF(ISNUMBER(MATCH(C1680, Mgt_Unit!$C$5:$C$1018, 0)), INDEX(Mgt_Unit!$B$5:$B$1018, MATCH(C1680, Mgt_Unit!$C$5:$C$1018, 0)), "")</f>
        <v>jennifer.moore</v>
      </c>
      <c r="C1680" t="s">
        <v>875</v>
      </c>
      <c r="E1680" s="17" t="s">
        <v>1584</v>
      </c>
      <c r="F1680" s="89">
        <v>42275</v>
      </c>
      <c r="J1680" t="s">
        <v>1459</v>
      </c>
      <c r="K1680" s="120">
        <v>21</v>
      </c>
    </row>
    <row r="1681" spans="2:11" hidden="1" x14ac:dyDescent="0.25">
      <c r="B1681" s="28" t="str">
        <f>IF(ISNUMBER(MATCH(C1681, Mgt_Unit!$C$5:$C$1018, 0)), INDEX(Mgt_Unit!$B$5:$B$1018, MATCH(C1681, Mgt_Unit!$C$5:$C$1018, 0)), "")</f>
        <v>jennifer.moore</v>
      </c>
      <c r="C1681" t="s">
        <v>875</v>
      </c>
      <c r="E1681" s="17" t="s">
        <v>1583</v>
      </c>
      <c r="F1681" s="89">
        <v>42430</v>
      </c>
      <c r="J1681" t="s">
        <v>1460</v>
      </c>
      <c r="K1681" s="120">
        <v>0.15</v>
      </c>
    </row>
    <row r="1682" spans="2:11" hidden="1" x14ac:dyDescent="0.25">
      <c r="B1682" s="28" t="str">
        <f>IF(ISNUMBER(MATCH(C1682, Mgt_Unit!$C$5:$C$1018, 0)), INDEX(Mgt_Unit!$B$5:$B$1018, MATCH(C1682, Mgt_Unit!$C$5:$C$1018, 0)), "")</f>
        <v>jennifer.moore</v>
      </c>
      <c r="C1682" t="s">
        <v>875</v>
      </c>
      <c r="E1682" s="17" t="s">
        <v>1583</v>
      </c>
      <c r="F1682" s="89">
        <v>42449</v>
      </c>
      <c r="J1682" t="s">
        <v>1460</v>
      </c>
      <c r="K1682" s="120">
        <v>0.15</v>
      </c>
    </row>
    <row r="1683" spans="2:11" hidden="1" x14ac:dyDescent="0.25">
      <c r="B1683" s="28" t="str">
        <f>IF(ISNUMBER(MATCH(C1683, Mgt_Unit!$C$5:$C$1018, 0)), INDEX(Mgt_Unit!$B$5:$B$1018, MATCH(C1683, Mgt_Unit!$C$5:$C$1018, 0)), "")</f>
        <v>jennifer.moore</v>
      </c>
      <c r="C1683" t="s">
        <v>875</v>
      </c>
      <c r="E1683" s="17" t="s">
        <v>1583</v>
      </c>
      <c r="F1683" s="89">
        <v>42550</v>
      </c>
      <c r="J1683" t="s">
        <v>1431</v>
      </c>
      <c r="K1683" s="120">
        <v>0.15</v>
      </c>
    </row>
    <row r="1684" spans="2:11" hidden="1" x14ac:dyDescent="0.25">
      <c r="B1684" s="28" t="str">
        <f>IF(ISNUMBER(MATCH(C1684, Mgt_Unit!$C$5:$C$1018, 0)), INDEX(Mgt_Unit!$B$5:$B$1018, MATCH(C1684, Mgt_Unit!$C$5:$C$1018, 0)), "")</f>
        <v>jennifer.moore</v>
      </c>
      <c r="C1684" t="s">
        <v>875</v>
      </c>
      <c r="E1684" s="17" t="s">
        <v>1583</v>
      </c>
      <c r="F1684" s="89">
        <v>42582</v>
      </c>
      <c r="J1684" t="s">
        <v>1458</v>
      </c>
      <c r="K1684" s="120">
        <v>7.8</v>
      </c>
    </row>
    <row r="1685" spans="2:11" hidden="1" x14ac:dyDescent="0.25">
      <c r="B1685" s="28" t="str">
        <f>IF(ISNUMBER(MATCH(C1685, Mgt_Unit!$C$5:$C$1018, 0)), INDEX(Mgt_Unit!$B$5:$B$1018, MATCH(C1685, Mgt_Unit!$C$5:$C$1018, 0)), "")</f>
        <v>jennifer.moore</v>
      </c>
      <c r="C1685" t="s">
        <v>875</v>
      </c>
      <c r="E1685" s="17" t="s">
        <v>1583</v>
      </c>
      <c r="F1685" s="89">
        <v>42605</v>
      </c>
      <c r="J1685" t="s">
        <v>1458</v>
      </c>
      <c r="K1685" s="120">
        <v>7.8</v>
      </c>
    </row>
    <row r="1686" spans="2:11" hidden="1" x14ac:dyDescent="0.25">
      <c r="B1686" s="28" t="str">
        <f>IF(ISNUMBER(MATCH(C1686, Mgt_Unit!$C$5:$C$1018, 0)), INDEX(Mgt_Unit!$B$5:$B$1018, MATCH(C1686, Mgt_Unit!$C$5:$C$1018, 0)), "")</f>
        <v>jennifer.moore</v>
      </c>
      <c r="C1686" t="s">
        <v>875</v>
      </c>
      <c r="E1686" s="17" t="s">
        <v>1583</v>
      </c>
      <c r="F1686" s="89">
        <v>42640</v>
      </c>
      <c r="J1686" t="s">
        <v>1458</v>
      </c>
      <c r="K1686" s="120">
        <v>7.8</v>
      </c>
    </row>
    <row r="1687" spans="2:11" hidden="1" x14ac:dyDescent="0.25">
      <c r="B1687" s="28" t="str">
        <f>IF(ISNUMBER(MATCH(C1687, Mgt_Unit!$C$5:$C$1018, 0)), INDEX(Mgt_Unit!$B$5:$B$1018, MATCH(C1687, Mgt_Unit!$C$5:$C$1018, 0)), "")</f>
        <v>jennifer.moore</v>
      </c>
      <c r="C1687" t="s">
        <v>875</v>
      </c>
      <c r="E1687" s="17" t="s">
        <v>1583</v>
      </c>
      <c r="F1687" s="89">
        <v>42795</v>
      </c>
      <c r="J1687" t="s">
        <v>1460</v>
      </c>
      <c r="K1687" s="120">
        <v>0.15</v>
      </c>
    </row>
    <row r="1688" spans="2:11" hidden="1" x14ac:dyDescent="0.25">
      <c r="B1688" s="28" t="str">
        <f>IF(ISNUMBER(MATCH(C1688, Mgt_Unit!$C$5:$C$1018, 0)), INDEX(Mgt_Unit!$B$5:$B$1018, MATCH(C1688, Mgt_Unit!$C$5:$C$1018, 0)), "")</f>
        <v>jennifer.moore</v>
      </c>
      <c r="C1688" t="s">
        <v>875</v>
      </c>
      <c r="E1688" s="17" t="s">
        <v>1583</v>
      </c>
      <c r="F1688" s="89">
        <v>42875</v>
      </c>
      <c r="J1688" t="s">
        <v>1458</v>
      </c>
      <c r="K1688" s="120">
        <v>7.8</v>
      </c>
    </row>
    <row r="1689" spans="2:11" hidden="1" x14ac:dyDescent="0.25">
      <c r="B1689" s="28" t="str">
        <f>IF(ISNUMBER(MATCH(C1689, Mgt_Unit!$C$5:$C$1018, 0)), INDEX(Mgt_Unit!$B$5:$B$1018, MATCH(C1689, Mgt_Unit!$C$5:$C$1018, 0)), "")</f>
        <v>jennifer.moore</v>
      </c>
      <c r="C1689" t="s">
        <v>875</v>
      </c>
      <c r="E1689" s="17" t="s">
        <v>1584</v>
      </c>
      <c r="F1689" s="89">
        <v>42889</v>
      </c>
      <c r="J1689" t="s">
        <v>1443</v>
      </c>
      <c r="K1689" s="120">
        <v>4</v>
      </c>
    </row>
    <row r="1690" spans="2:11" hidden="1" x14ac:dyDescent="0.25">
      <c r="B1690" s="28" t="str">
        <f>IF(ISNUMBER(MATCH(C1690, Mgt_Unit!$C$5:$C$1018, 0)), INDEX(Mgt_Unit!$B$5:$B$1018, MATCH(C1690, Mgt_Unit!$C$5:$C$1018, 0)), "")</f>
        <v>jennifer.moore</v>
      </c>
      <c r="C1690" t="s">
        <v>875</v>
      </c>
      <c r="E1690" s="17" t="s">
        <v>1583</v>
      </c>
      <c r="F1690" s="89">
        <v>42892</v>
      </c>
      <c r="J1690" t="s">
        <v>1409</v>
      </c>
      <c r="K1690" s="120">
        <v>0.15</v>
      </c>
    </row>
    <row r="1691" spans="2:11" hidden="1" x14ac:dyDescent="0.25">
      <c r="B1691" s="28" t="str">
        <f>IF(ISNUMBER(MATCH(C1691, Mgt_Unit!$C$5:$C$1018, 0)), INDEX(Mgt_Unit!$B$5:$B$1018, MATCH(C1691, Mgt_Unit!$C$5:$C$1018, 0)), "")</f>
        <v>jennifer.moore</v>
      </c>
      <c r="C1691" t="s">
        <v>875</v>
      </c>
      <c r="E1691" s="17" t="s">
        <v>1583</v>
      </c>
      <c r="F1691" s="89">
        <v>43033</v>
      </c>
      <c r="J1691" t="s">
        <v>1431</v>
      </c>
      <c r="K1691" s="120">
        <v>0.15</v>
      </c>
    </row>
    <row r="1692" spans="2:11" hidden="1" x14ac:dyDescent="0.25">
      <c r="B1692" s="28" t="str">
        <f>IF(ISNUMBER(MATCH(C1692, Mgt_Unit!$C$5:$C$1018, 0)), INDEX(Mgt_Unit!$B$5:$B$1018, MATCH(C1692, Mgt_Unit!$C$5:$C$1018, 0)), "")</f>
        <v>jennifer.moore</v>
      </c>
      <c r="C1692" t="s">
        <v>876</v>
      </c>
      <c r="E1692" s="17" t="s">
        <v>1583</v>
      </c>
      <c r="F1692" s="89">
        <v>42085</v>
      </c>
      <c r="J1692" t="s">
        <v>1461</v>
      </c>
      <c r="K1692" s="120">
        <v>0.15</v>
      </c>
    </row>
    <row r="1693" spans="2:11" hidden="1" x14ac:dyDescent="0.25">
      <c r="B1693" s="28" t="str">
        <f>IF(ISNUMBER(MATCH(C1693, Mgt_Unit!$C$5:$C$1018, 0)), INDEX(Mgt_Unit!$B$5:$B$1018, MATCH(C1693, Mgt_Unit!$C$5:$C$1018, 0)), "")</f>
        <v>jennifer.moore</v>
      </c>
      <c r="C1693" t="s">
        <v>876</v>
      </c>
      <c r="E1693" s="17" t="s">
        <v>1583</v>
      </c>
      <c r="F1693" s="89">
        <v>42170</v>
      </c>
      <c r="J1693" t="s">
        <v>1461</v>
      </c>
      <c r="K1693" s="120">
        <v>0.15</v>
      </c>
    </row>
    <row r="1694" spans="2:11" hidden="1" x14ac:dyDescent="0.25">
      <c r="B1694" s="28" t="str">
        <f>IF(ISNUMBER(MATCH(C1694, Mgt_Unit!$C$5:$C$1018, 0)), INDEX(Mgt_Unit!$B$5:$B$1018, MATCH(C1694, Mgt_Unit!$C$5:$C$1018, 0)), "")</f>
        <v>jennifer.moore</v>
      </c>
      <c r="C1694" t="s">
        <v>876</v>
      </c>
      <c r="E1694" s="17" t="s">
        <v>1583</v>
      </c>
      <c r="F1694" s="89">
        <v>42201</v>
      </c>
      <c r="J1694" t="s">
        <v>1461</v>
      </c>
      <c r="K1694" s="120">
        <v>0.15</v>
      </c>
    </row>
    <row r="1695" spans="2:11" hidden="1" x14ac:dyDescent="0.25">
      <c r="B1695" s="28" t="str">
        <f>IF(ISNUMBER(MATCH(C1695, Mgt_Unit!$C$5:$C$1018, 0)), INDEX(Mgt_Unit!$B$5:$B$1018, MATCH(C1695, Mgt_Unit!$C$5:$C$1018, 0)), "")</f>
        <v>jennifer.moore</v>
      </c>
      <c r="C1695" t="s">
        <v>876</v>
      </c>
      <c r="E1695" s="17" t="s">
        <v>1583</v>
      </c>
      <c r="F1695" s="89">
        <v>42245</v>
      </c>
      <c r="J1695" t="s">
        <v>1461</v>
      </c>
      <c r="K1695" s="120">
        <v>0.15</v>
      </c>
    </row>
    <row r="1696" spans="2:11" hidden="1" x14ac:dyDescent="0.25">
      <c r="B1696" s="28" t="str">
        <f>IF(ISNUMBER(MATCH(C1696, Mgt_Unit!$C$5:$C$1018, 0)), INDEX(Mgt_Unit!$B$5:$B$1018, MATCH(C1696, Mgt_Unit!$C$5:$C$1018, 0)), "")</f>
        <v>jennifer.moore</v>
      </c>
      <c r="C1696" t="s">
        <v>876</v>
      </c>
      <c r="E1696" s="17" t="s">
        <v>1584</v>
      </c>
      <c r="F1696" s="89">
        <v>42275</v>
      </c>
      <c r="J1696" t="s">
        <v>1398</v>
      </c>
      <c r="K1696" s="120">
        <v>4</v>
      </c>
    </row>
    <row r="1697" spans="2:11" hidden="1" x14ac:dyDescent="0.25">
      <c r="B1697" s="28" t="str">
        <f>IF(ISNUMBER(MATCH(C1697, Mgt_Unit!$C$5:$C$1018, 0)), INDEX(Mgt_Unit!$B$5:$B$1018, MATCH(C1697, Mgt_Unit!$C$5:$C$1018, 0)), "")</f>
        <v>jennifer.moore</v>
      </c>
      <c r="C1697" t="s">
        <v>876</v>
      </c>
      <c r="E1697" s="17" t="s">
        <v>1583</v>
      </c>
      <c r="F1697" s="89">
        <v>42430</v>
      </c>
      <c r="J1697" t="s">
        <v>1460</v>
      </c>
      <c r="K1697" s="120">
        <v>0.15</v>
      </c>
    </row>
    <row r="1698" spans="2:11" hidden="1" x14ac:dyDescent="0.25">
      <c r="B1698" s="28" t="str">
        <f>IF(ISNUMBER(MATCH(C1698, Mgt_Unit!$C$5:$C$1018, 0)), INDEX(Mgt_Unit!$B$5:$B$1018, MATCH(C1698, Mgt_Unit!$C$5:$C$1018, 0)), "")</f>
        <v>jennifer.moore</v>
      </c>
      <c r="C1698" t="s">
        <v>876</v>
      </c>
      <c r="E1698" s="17" t="s">
        <v>1583</v>
      </c>
      <c r="F1698" s="89">
        <v>42449</v>
      </c>
      <c r="J1698" t="s">
        <v>1460</v>
      </c>
      <c r="K1698" s="120">
        <v>0.15</v>
      </c>
    </row>
    <row r="1699" spans="2:11" hidden="1" x14ac:dyDescent="0.25">
      <c r="B1699" s="28" t="str">
        <f>IF(ISNUMBER(MATCH(C1699, Mgt_Unit!$C$5:$C$1018, 0)), INDEX(Mgt_Unit!$B$5:$B$1018, MATCH(C1699, Mgt_Unit!$C$5:$C$1018, 0)), "")</f>
        <v>jennifer.moore</v>
      </c>
      <c r="C1699" t="s">
        <v>876</v>
      </c>
      <c r="E1699" s="17" t="s">
        <v>1583</v>
      </c>
      <c r="F1699" s="89">
        <v>42550</v>
      </c>
      <c r="J1699" t="s">
        <v>1431</v>
      </c>
      <c r="K1699" s="120">
        <v>0.15</v>
      </c>
    </row>
    <row r="1700" spans="2:11" hidden="1" x14ac:dyDescent="0.25">
      <c r="B1700" s="28" t="str">
        <f>IF(ISNUMBER(MATCH(C1700, Mgt_Unit!$C$5:$C$1018, 0)), INDEX(Mgt_Unit!$B$5:$B$1018, MATCH(C1700, Mgt_Unit!$C$5:$C$1018, 0)), "")</f>
        <v>jennifer.moore</v>
      </c>
      <c r="C1700" t="s">
        <v>876</v>
      </c>
      <c r="E1700" s="17" t="s">
        <v>1583</v>
      </c>
      <c r="F1700" s="89">
        <v>42581</v>
      </c>
      <c r="J1700" t="s">
        <v>1461</v>
      </c>
      <c r="K1700" s="120">
        <v>0.15</v>
      </c>
    </row>
    <row r="1701" spans="2:11" hidden="1" x14ac:dyDescent="0.25">
      <c r="B1701" s="28" t="str">
        <f>IF(ISNUMBER(MATCH(C1701, Mgt_Unit!$C$5:$C$1018, 0)), INDEX(Mgt_Unit!$B$5:$B$1018, MATCH(C1701, Mgt_Unit!$C$5:$C$1018, 0)), "")</f>
        <v>jennifer.moore</v>
      </c>
      <c r="C1701" t="s">
        <v>876</v>
      </c>
      <c r="E1701" s="17" t="s">
        <v>1583</v>
      </c>
      <c r="F1701" s="89">
        <v>42597</v>
      </c>
      <c r="J1701" t="s">
        <v>1461</v>
      </c>
      <c r="K1701" s="120">
        <v>0.15</v>
      </c>
    </row>
    <row r="1702" spans="2:11" hidden="1" x14ac:dyDescent="0.25">
      <c r="B1702" s="28" t="str">
        <f>IF(ISNUMBER(MATCH(C1702, Mgt_Unit!$C$5:$C$1018, 0)), INDEX(Mgt_Unit!$B$5:$B$1018, MATCH(C1702, Mgt_Unit!$C$5:$C$1018, 0)), "")</f>
        <v>jennifer.moore</v>
      </c>
      <c r="C1702" t="s">
        <v>876</v>
      </c>
      <c r="E1702" s="17" t="s">
        <v>1583</v>
      </c>
      <c r="F1702" s="89">
        <v>42614</v>
      </c>
      <c r="J1702" t="s">
        <v>1461</v>
      </c>
      <c r="K1702" s="120">
        <v>0.15</v>
      </c>
    </row>
    <row r="1703" spans="2:11" hidden="1" x14ac:dyDescent="0.25">
      <c r="B1703" s="28" t="str">
        <f>IF(ISNUMBER(MATCH(C1703, Mgt_Unit!$C$5:$C$1018, 0)), INDEX(Mgt_Unit!$B$5:$B$1018, MATCH(C1703, Mgt_Unit!$C$5:$C$1018, 0)), "")</f>
        <v>jennifer.moore</v>
      </c>
      <c r="C1703" t="s">
        <v>876</v>
      </c>
      <c r="E1703" s="17" t="s">
        <v>1583</v>
      </c>
      <c r="F1703" s="89">
        <v>42795</v>
      </c>
      <c r="J1703" t="s">
        <v>1460</v>
      </c>
      <c r="K1703" s="120">
        <v>0.15</v>
      </c>
    </row>
    <row r="1704" spans="2:11" hidden="1" x14ac:dyDescent="0.25">
      <c r="B1704" s="28" t="str">
        <f>IF(ISNUMBER(MATCH(C1704, Mgt_Unit!$C$5:$C$1018, 0)), INDEX(Mgt_Unit!$B$5:$B$1018, MATCH(C1704, Mgt_Unit!$C$5:$C$1018, 0)), "")</f>
        <v>jennifer.moore</v>
      </c>
      <c r="C1704" t="s">
        <v>876</v>
      </c>
      <c r="E1704" s="17" t="s">
        <v>1583</v>
      </c>
      <c r="F1704" s="89">
        <v>42809</v>
      </c>
      <c r="J1704" t="s">
        <v>1461</v>
      </c>
      <c r="K1704" s="120">
        <v>0.15</v>
      </c>
    </row>
    <row r="1705" spans="2:11" hidden="1" x14ac:dyDescent="0.25">
      <c r="B1705" s="28" t="str">
        <f>IF(ISNUMBER(MATCH(C1705, Mgt_Unit!$C$5:$C$1018, 0)), INDEX(Mgt_Unit!$B$5:$B$1018, MATCH(C1705, Mgt_Unit!$C$5:$C$1018, 0)), "")</f>
        <v>jennifer.moore</v>
      </c>
      <c r="C1705" t="s">
        <v>876</v>
      </c>
      <c r="E1705" s="17" t="s">
        <v>1583</v>
      </c>
      <c r="F1705" s="89">
        <v>42867</v>
      </c>
      <c r="J1705" t="s">
        <v>1461</v>
      </c>
      <c r="K1705" s="120">
        <v>0.15</v>
      </c>
    </row>
    <row r="1706" spans="2:11" hidden="1" x14ac:dyDescent="0.25">
      <c r="B1706" s="28" t="str">
        <f>IF(ISNUMBER(MATCH(C1706, Mgt_Unit!$C$5:$C$1018, 0)), INDEX(Mgt_Unit!$B$5:$B$1018, MATCH(C1706, Mgt_Unit!$C$5:$C$1018, 0)), "")</f>
        <v>jennifer.moore</v>
      </c>
      <c r="C1706" t="s">
        <v>876</v>
      </c>
      <c r="E1706" s="17" t="s">
        <v>1584</v>
      </c>
      <c r="F1706" s="89">
        <v>42889</v>
      </c>
      <c r="J1706" t="s">
        <v>1443</v>
      </c>
      <c r="K1706" s="120">
        <v>4</v>
      </c>
    </row>
    <row r="1707" spans="2:11" hidden="1" x14ac:dyDescent="0.25">
      <c r="B1707" s="28" t="str">
        <f>IF(ISNUMBER(MATCH(C1707, Mgt_Unit!$C$5:$C$1018, 0)), INDEX(Mgt_Unit!$B$5:$B$1018, MATCH(C1707, Mgt_Unit!$C$5:$C$1018, 0)), "")</f>
        <v>jennifer.moore</v>
      </c>
      <c r="C1707" t="s">
        <v>876</v>
      </c>
      <c r="E1707" s="17" t="s">
        <v>1583</v>
      </c>
      <c r="F1707" s="89">
        <v>42892</v>
      </c>
      <c r="J1707" t="s">
        <v>1409</v>
      </c>
      <c r="K1707" s="120">
        <v>0.15</v>
      </c>
    </row>
    <row r="1708" spans="2:11" hidden="1" x14ac:dyDescent="0.25">
      <c r="B1708" s="28" t="str">
        <f>IF(ISNUMBER(MATCH(C1708, Mgt_Unit!$C$5:$C$1018, 0)), INDEX(Mgt_Unit!$B$5:$B$1018, MATCH(C1708, Mgt_Unit!$C$5:$C$1018, 0)), "")</f>
        <v>jennifer.moore</v>
      </c>
      <c r="C1708" t="s">
        <v>876</v>
      </c>
      <c r="E1708" s="17" t="s">
        <v>1583</v>
      </c>
      <c r="F1708" s="89">
        <v>43033</v>
      </c>
      <c r="J1708" t="s">
        <v>1431</v>
      </c>
      <c r="K1708" s="120">
        <v>0.15</v>
      </c>
    </row>
    <row r="1709" spans="2:11" hidden="1" x14ac:dyDescent="0.25">
      <c r="B1709" s="28" t="str">
        <f>IF(ISNUMBER(MATCH(C1709, Mgt_Unit!$C$5:$C$1018, 0)), INDEX(Mgt_Unit!$B$5:$B$1018, MATCH(C1709, Mgt_Unit!$C$5:$C$1018, 0)), "")</f>
        <v>jennifer.moore</v>
      </c>
      <c r="C1709" t="s">
        <v>877</v>
      </c>
      <c r="E1709" s="17" t="s">
        <v>1583</v>
      </c>
      <c r="F1709" s="89">
        <v>42156</v>
      </c>
      <c r="J1709" t="s">
        <v>1458</v>
      </c>
      <c r="K1709" s="120">
        <v>7.8</v>
      </c>
    </row>
    <row r="1710" spans="2:11" hidden="1" x14ac:dyDescent="0.25">
      <c r="B1710" s="28" t="str">
        <f>IF(ISNUMBER(MATCH(C1710, Mgt_Unit!$C$5:$C$1018, 0)), INDEX(Mgt_Unit!$B$5:$B$1018, MATCH(C1710, Mgt_Unit!$C$5:$C$1018, 0)), "")</f>
        <v>jennifer.moore</v>
      </c>
      <c r="C1710" t="s">
        <v>877</v>
      </c>
      <c r="E1710" s="17" t="s">
        <v>1583</v>
      </c>
      <c r="F1710" s="89">
        <v>42186</v>
      </c>
      <c r="J1710" t="s">
        <v>1458</v>
      </c>
      <c r="K1710" s="120">
        <v>7.8</v>
      </c>
    </row>
    <row r="1711" spans="2:11" hidden="1" x14ac:dyDescent="0.25">
      <c r="B1711" s="28" t="str">
        <f>IF(ISNUMBER(MATCH(C1711, Mgt_Unit!$C$5:$C$1018, 0)), INDEX(Mgt_Unit!$B$5:$B$1018, MATCH(C1711, Mgt_Unit!$C$5:$C$1018, 0)), "")</f>
        <v>jennifer.moore</v>
      </c>
      <c r="C1711" t="s">
        <v>877</v>
      </c>
      <c r="E1711" s="17" t="s">
        <v>1583</v>
      </c>
      <c r="F1711" s="89">
        <v>42231</v>
      </c>
      <c r="J1711" t="s">
        <v>1458</v>
      </c>
      <c r="K1711" s="120">
        <v>7.8</v>
      </c>
    </row>
    <row r="1712" spans="2:11" hidden="1" x14ac:dyDescent="0.25">
      <c r="B1712" s="28" t="str">
        <f>IF(ISNUMBER(MATCH(C1712, Mgt_Unit!$C$5:$C$1018, 0)), INDEX(Mgt_Unit!$B$5:$B$1018, MATCH(C1712, Mgt_Unit!$C$5:$C$1018, 0)), "")</f>
        <v>jennifer.moore</v>
      </c>
      <c r="C1712" t="s">
        <v>877</v>
      </c>
      <c r="E1712" s="17" t="s">
        <v>1583</v>
      </c>
      <c r="F1712" s="89">
        <v>42255</v>
      </c>
      <c r="J1712" t="s">
        <v>1458</v>
      </c>
      <c r="K1712" s="120">
        <v>7.8</v>
      </c>
    </row>
    <row r="1713" spans="2:11" hidden="1" x14ac:dyDescent="0.25">
      <c r="B1713" s="28" t="str">
        <f>IF(ISNUMBER(MATCH(C1713, Mgt_Unit!$C$5:$C$1018, 0)), INDEX(Mgt_Unit!$B$5:$B$1018, MATCH(C1713, Mgt_Unit!$C$5:$C$1018, 0)), "")</f>
        <v>jennifer.moore</v>
      </c>
      <c r="C1713" t="s">
        <v>877</v>
      </c>
      <c r="E1713" s="17" t="s">
        <v>1584</v>
      </c>
      <c r="F1713" s="89">
        <v>42275</v>
      </c>
      <c r="J1713" t="s">
        <v>1459</v>
      </c>
      <c r="K1713" s="120">
        <v>21</v>
      </c>
    </row>
    <row r="1714" spans="2:11" hidden="1" x14ac:dyDescent="0.25">
      <c r="B1714" s="28" t="str">
        <f>IF(ISNUMBER(MATCH(C1714, Mgt_Unit!$C$5:$C$1018, 0)), INDEX(Mgt_Unit!$B$5:$B$1018, MATCH(C1714, Mgt_Unit!$C$5:$C$1018, 0)), "")</f>
        <v>jennifer.moore</v>
      </c>
      <c r="C1714" t="s">
        <v>877</v>
      </c>
      <c r="E1714" s="17" t="s">
        <v>1583</v>
      </c>
      <c r="F1714" s="89">
        <v>42430</v>
      </c>
      <c r="J1714" t="s">
        <v>1460</v>
      </c>
      <c r="K1714" s="120">
        <v>0.15</v>
      </c>
    </row>
    <row r="1715" spans="2:11" hidden="1" x14ac:dyDescent="0.25">
      <c r="B1715" s="28" t="str">
        <f>IF(ISNUMBER(MATCH(C1715, Mgt_Unit!$C$5:$C$1018, 0)), INDEX(Mgt_Unit!$B$5:$B$1018, MATCH(C1715, Mgt_Unit!$C$5:$C$1018, 0)), "")</f>
        <v>jennifer.moore</v>
      </c>
      <c r="C1715" t="s">
        <v>877</v>
      </c>
      <c r="E1715" s="17" t="s">
        <v>1583</v>
      </c>
      <c r="F1715" s="89">
        <v>42449</v>
      </c>
      <c r="J1715" t="s">
        <v>1460</v>
      </c>
      <c r="K1715" s="120">
        <v>0.15</v>
      </c>
    </row>
    <row r="1716" spans="2:11" hidden="1" x14ac:dyDescent="0.25">
      <c r="B1716" s="28" t="str">
        <f>IF(ISNUMBER(MATCH(C1716, Mgt_Unit!$C$5:$C$1018, 0)), INDEX(Mgt_Unit!$B$5:$B$1018, MATCH(C1716, Mgt_Unit!$C$5:$C$1018, 0)), "")</f>
        <v>jennifer.moore</v>
      </c>
      <c r="C1716" t="s">
        <v>877</v>
      </c>
      <c r="E1716" s="17" t="s">
        <v>1583</v>
      </c>
      <c r="F1716" s="89">
        <v>42550</v>
      </c>
      <c r="J1716" t="s">
        <v>1431</v>
      </c>
      <c r="K1716" s="120">
        <v>0.15</v>
      </c>
    </row>
    <row r="1717" spans="2:11" hidden="1" x14ac:dyDescent="0.25">
      <c r="B1717" s="28" t="str">
        <f>IF(ISNUMBER(MATCH(C1717, Mgt_Unit!$C$5:$C$1018, 0)), INDEX(Mgt_Unit!$B$5:$B$1018, MATCH(C1717, Mgt_Unit!$C$5:$C$1018, 0)), "")</f>
        <v>jennifer.moore</v>
      </c>
      <c r="C1717" t="s">
        <v>877</v>
      </c>
      <c r="E1717" s="17" t="s">
        <v>1583</v>
      </c>
      <c r="F1717" s="89">
        <v>42581</v>
      </c>
      <c r="J1717" t="s">
        <v>1461</v>
      </c>
      <c r="K1717" s="120">
        <v>0.15</v>
      </c>
    </row>
    <row r="1718" spans="2:11" hidden="1" x14ac:dyDescent="0.25">
      <c r="B1718" s="28" t="str">
        <f>IF(ISNUMBER(MATCH(C1718, Mgt_Unit!$C$5:$C$1018, 0)), INDEX(Mgt_Unit!$B$5:$B$1018, MATCH(C1718, Mgt_Unit!$C$5:$C$1018, 0)), "")</f>
        <v>jennifer.moore</v>
      </c>
      <c r="C1718" t="s">
        <v>877</v>
      </c>
      <c r="E1718" s="17" t="s">
        <v>1583</v>
      </c>
      <c r="F1718" s="89">
        <v>42597</v>
      </c>
      <c r="J1718" t="s">
        <v>1461</v>
      </c>
      <c r="K1718" s="120">
        <v>0.15</v>
      </c>
    </row>
    <row r="1719" spans="2:11" hidden="1" x14ac:dyDescent="0.25">
      <c r="B1719" s="28" t="str">
        <f>IF(ISNUMBER(MATCH(C1719, Mgt_Unit!$C$5:$C$1018, 0)), INDEX(Mgt_Unit!$B$5:$B$1018, MATCH(C1719, Mgt_Unit!$C$5:$C$1018, 0)), "")</f>
        <v>jennifer.moore</v>
      </c>
      <c r="C1719" t="s">
        <v>877</v>
      </c>
      <c r="E1719" s="17" t="s">
        <v>1583</v>
      </c>
      <c r="F1719" s="89">
        <v>42614</v>
      </c>
      <c r="J1719" t="s">
        <v>1461</v>
      </c>
      <c r="K1719" s="120">
        <v>0.15</v>
      </c>
    </row>
    <row r="1720" spans="2:11" hidden="1" x14ac:dyDescent="0.25">
      <c r="B1720" s="28" t="str">
        <f>IF(ISNUMBER(MATCH(C1720, Mgt_Unit!$C$5:$C$1018, 0)), INDEX(Mgt_Unit!$B$5:$B$1018, MATCH(C1720, Mgt_Unit!$C$5:$C$1018, 0)), "")</f>
        <v>jennifer.moore</v>
      </c>
      <c r="C1720" t="s">
        <v>877</v>
      </c>
      <c r="E1720" s="17" t="s">
        <v>1583</v>
      </c>
      <c r="F1720" s="89">
        <v>42795</v>
      </c>
      <c r="J1720" t="s">
        <v>1460</v>
      </c>
      <c r="K1720" s="120">
        <v>0.15</v>
      </c>
    </row>
    <row r="1721" spans="2:11" hidden="1" x14ac:dyDescent="0.25">
      <c r="B1721" s="28" t="str">
        <f>IF(ISNUMBER(MATCH(C1721, Mgt_Unit!$C$5:$C$1018, 0)), INDEX(Mgt_Unit!$B$5:$B$1018, MATCH(C1721, Mgt_Unit!$C$5:$C$1018, 0)), "")</f>
        <v>jennifer.moore</v>
      </c>
      <c r="C1721" t="s">
        <v>877</v>
      </c>
      <c r="E1721" s="17" t="s">
        <v>1583</v>
      </c>
      <c r="F1721" s="89">
        <v>42809</v>
      </c>
      <c r="J1721" t="s">
        <v>1461</v>
      </c>
      <c r="K1721" s="120">
        <v>0.15</v>
      </c>
    </row>
    <row r="1722" spans="2:11" hidden="1" x14ac:dyDescent="0.25">
      <c r="B1722" s="28" t="str">
        <f>IF(ISNUMBER(MATCH(C1722, Mgt_Unit!$C$5:$C$1018, 0)), INDEX(Mgt_Unit!$B$5:$B$1018, MATCH(C1722, Mgt_Unit!$C$5:$C$1018, 0)), "")</f>
        <v>jennifer.moore</v>
      </c>
      <c r="C1722" t="s">
        <v>877</v>
      </c>
      <c r="E1722" s="17" t="s">
        <v>1583</v>
      </c>
      <c r="F1722" s="89">
        <v>42867</v>
      </c>
      <c r="J1722" t="s">
        <v>1461</v>
      </c>
      <c r="K1722" s="120">
        <v>0.15</v>
      </c>
    </row>
    <row r="1723" spans="2:11" hidden="1" x14ac:dyDescent="0.25">
      <c r="B1723" s="28" t="str">
        <f>IF(ISNUMBER(MATCH(C1723, Mgt_Unit!$C$5:$C$1018, 0)), INDEX(Mgt_Unit!$B$5:$B$1018, MATCH(C1723, Mgt_Unit!$C$5:$C$1018, 0)), "")</f>
        <v>jennifer.moore</v>
      </c>
      <c r="C1723" t="s">
        <v>877</v>
      </c>
      <c r="E1723" s="17" t="s">
        <v>1584</v>
      </c>
      <c r="F1723" s="89">
        <v>42889</v>
      </c>
      <c r="J1723" t="s">
        <v>1443</v>
      </c>
      <c r="K1723" s="120">
        <v>4</v>
      </c>
    </row>
    <row r="1724" spans="2:11" hidden="1" x14ac:dyDescent="0.25">
      <c r="B1724" s="28" t="str">
        <f>IF(ISNUMBER(MATCH(C1724, Mgt_Unit!$C$5:$C$1018, 0)), INDEX(Mgt_Unit!$B$5:$B$1018, MATCH(C1724, Mgt_Unit!$C$5:$C$1018, 0)), "")</f>
        <v>jennifer.moore</v>
      </c>
      <c r="C1724" t="s">
        <v>877</v>
      </c>
      <c r="E1724" s="17" t="s">
        <v>1583</v>
      </c>
      <c r="F1724" s="89">
        <v>42892</v>
      </c>
      <c r="J1724" t="s">
        <v>1409</v>
      </c>
      <c r="K1724" s="120">
        <v>0.15</v>
      </c>
    </row>
    <row r="1725" spans="2:11" hidden="1" x14ac:dyDescent="0.25">
      <c r="B1725" s="28" t="str">
        <f>IF(ISNUMBER(MATCH(C1725, Mgt_Unit!$C$5:$C$1018, 0)), INDEX(Mgt_Unit!$B$5:$B$1018, MATCH(C1725, Mgt_Unit!$C$5:$C$1018, 0)), "")</f>
        <v>jennifer.moore</v>
      </c>
      <c r="C1725" t="s">
        <v>877</v>
      </c>
      <c r="E1725" s="17" t="s">
        <v>1583</v>
      </c>
      <c r="F1725" s="89">
        <v>43033</v>
      </c>
      <c r="J1725" t="s">
        <v>1431</v>
      </c>
      <c r="K1725" s="120">
        <v>0.15</v>
      </c>
    </row>
    <row r="1726" spans="2:11" hidden="1" x14ac:dyDescent="0.25">
      <c r="B1726" s="28" t="str">
        <f>IF(ISNUMBER(MATCH(C1726, Mgt_Unit!$C$5:$C$1018, 0)), INDEX(Mgt_Unit!$B$5:$B$1018, MATCH(C1726, Mgt_Unit!$C$5:$C$1018, 0)), "")</f>
        <v>jennifer.moore</v>
      </c>
      <c r="C1726" t="s">
        <v>878</v>
      </c>
      <c r="E1726" s="17" t="s">
        <v>1584</v>
      </c>
      <c r="F1726" s="89">
        <v>43299</v>
      </c>
      <c r="J1726" t="s">
        <v>1355</v>
      </c>
      <c r="K1726" s="120">
        <v>6.3</v>
      </c>
    </row>
    <row r="1727" spans="2:11" hidden="1" x14ac:dyDescent="0.25">
      <c r="B1727" s="28" t="str">
        <f>IF(ISNUMBER(MATCH(C1727, Mgt_Unit!$C$5:$C$1018, 0)), INDEX(Mgt_Unit!$B$5:$B$1018, MATCH(C1727, Mgt_Unit!$C$5:$C$1018, 0)), "")</f>
        <v>jennifer.moore</v>
      </c>
      <c r="C1727" t="s">
        <v>878</v>
      </c>
      <c r="E1727" s="17" t="s">
        <v>1584</v>
      </c>
      <c r="F1727" s="89">
        <v>43620</v>
      </c>
      <c r="J1727" t="s">
        <v>1462</v>
      </c>
      <c r="K1727" s="120">
        <v>6.3</v>
      </c>
    </row>
    <row r="1728" spans="2:11" hidden="1" x14ac:dyDescent="0.25">
      <c r="B1728" s="28" t="str">
        <f>IF(ISNUMBER(MATCH(C1728, Mgt_Unit!$C$5:$C$1018, 0)), INDEX(Mgt_Unit!$B$5:$B$1018, MATCH(C1728, Mgt_Unit!$C$5:$C$1018, 0)), "")</f>
        <v>jennifer.moore</v>
      </c>
      <c r="C1728" t="s">
        <v>878</v>
      </c>
      <c r="E1728" s="17" t="s">
        <v>1583</v>
      </c>
      <c r="F1728" s="89">
        <v>43620</v>
      </c>
      <c r="J1728" t="s">
        <v>1436</v>
      </c>
      <c r="K1728" s="120">
        <v>42</v>
      </c>
    </row>
    <row r="1729" spans="2:11" hidden="1" x14ac:dyDescent="0.25">
      <c r="B1729" s="28" t="str">
        <f>IF(ISNUMBER(MATCH(C1729, Mgt_Unit!$C$5:$C$1018, 0)), INDEX(Mgt_Unit!$B$5:$B$1018, MATCH(C1729, Mgt_Unit!$C$5:$C$1018, 0)), "")</f>
        <v>jennifer.moore</v>
      </c>
      <c r="C1729" t="s">
        <v>878</v>
      </c>
      <c r="E1729" s="17" t="s">
        <v>1583</v>
      </c>
      <c r="F1729" s="89">
        <v>43620</v>
      </c>
      <c r="J1729" t="s">
        <v>1463</v>
      </c>
      <c r="K1729" s="120">
        <v>37</v>
      </c>
    </row>
    <row r="1730" spans="2:11" hidden="1" x14ac:dyDescent="0.25">
      <c r="B1730" s="28" t="str">
        <f>IF(ISNUMBER(MATCH(C1730, Mgt_Unit!$C$5:$C$1018, 0)), INDEX(Mgt_Unit!$B$5:$B$1018, MATCH(C1730, Mgt_Unit!$C$5:$C$1018, 0)), "")</f>
        <v>jennifer.moore</v>
      </c>
      <c r="C1730" t="s">
        <v>878</v>
      </c>
      <c r="E1730" s="116" t="s">
        <v>1583</v>
      </c>
      <c r="F1730" s="89">
        <v>43769</v>
      </c>
      <c r="J1730" t="s">
        <v>1436</v>
      </c>
      <c r="K1730" s="120">
        <v>42</v>
      </c>
    </row>
    <row r="1731" spans="2:11" hidden="1" x14ac:dyDescent="0.25">
      <c r="B1731" s="28" t="str">
        <f>IF(ISNUMBER(MATCH(C1731, Mgt_Unit!$C$5:$C$1018, 0)), INDEX(Mgt_Unit!$B$5:$B$1018, MATCH(C1731, Mgt_Unit!$C$5:$C$1018, 0)), "")</f>
        <v>jennifer.moore</v>
      </c>
      <c r="C1731" t="s">
        <v>878</v>
      </c>
      <c r="E1731" s="116" t="s">
        <v>1583</v>
      </c>
      <c r="F1731" s="89">
        <v>43769</v>
      </c>
      <c r="J1731" t="s">
        <v>1463</v>
      </c>
      <c r="K1731" s="120">
        <v>37</v>
      </c>
    </row>
    <row r="1732" spans="2:11" hidden="1" x14ac:dyDescent="0.25">
      <c r="B1732" s="28" t="str">
        <f>IF(ISNUMBER(MATCH(C1732, Mgt_Unit!$C$5:$C$1018, 0)), INDEX(Mgt_Unit!$B$5:$B$1018, MATCH(C1732, Mgt_Unit!$C$5:$C$1018, 0)), "")</f>
        <v>jennifer.moore</v>
      </c>
      <c r="C1732" t="s">
        <v>878</v>
      </c>
      <c r="E1732" s="17" t="s">
        <v>1584</v>
      </c>
      <c r="F1732" s="89">
        <v>43769</v>
      </c>
      <c r="J1732" t="s">
        <v>1462</v>
      </c>
      <c r="K1732" s="120">
        <v>6.3</v>
      </c>
    </row>
    <row r="1733" spans="2:11" hidden="1" x14ac:dyDescent="0.25">
      <c r="B1733" s="28" t="str">
        <f>IF(ISNUMBER(MATCH(C1733, Mgt_Unit!$C$5:$C$1018, 0)), INDEX(Mgt_Unit!$B$5:$B$1018, MATCH(C1733, Mgt_Unit!$C$5:$C$1018, 0)), "")</f>
        <v>jennifer.moore</v>
      </c>
      <c r="C1733" t="s">
        <v>879</v>
      </c>
      <c r="E1733" s="17" t="s">
        <v>1584</v>
      </c>
      <c r="F1733" s="89">
        <v>43299</v>
      </c>
      <c r="J1733" t="s">
        <v>1355</v>
      </c>
      <c r="K1733" s="120">
        <v>6.3</v>
      </c>
    </row>
    <row r="1734" spans="2:11" hidden="1" x14ac:dyDescent="0.25">
      <c r="B1734" s="28" t="str">
        <f>IF(ISNUMBER(MATCH(C1734, Mgt_Unit!$C$5:$C$1018, 0)), INDEX(Mgt_Unit!$B$5:$B$1018, MATCH(C1734, Mgt_Unit!$C$5:$C$1018, 0)), "")</f>
        <v>jennifer.moore</v>
      </c>
      <c r="C1734" t="s">
        <v>879</v>
      </c>
      <c r="E1734" s="17" t="s">
        <v>1584</v>
      </c>
      <c r="F1734" s="89">
        <v>43620</v>
      </c>
      <c r="J1734" t="s">
        <v>1462</v>
      </c>
      <c r="K1734" s="120">
        <v>6.3</v>
      </c>
    </row>
    <row r="1735" spans="2:11" hidden="1" x14ac:dyDescent="0.25">
      <c r="B1735" s="28" t="str">
        <f>IF(ISNUMBER(MATCH(C1735, Mgt_Unit!$C$5:$C$1018, 0)), INDEX(Mgt_Unit!$B$5:$B$1018, MATCH(C1735, Mgt_Unit!$C$5:$C$1018, 0)), "")</f>
        <v>jennifer.moore</v>
      </c>
      <c r="C1735" t="s">
        <v>879</v>
      </c>
      <c r="E1735" s="17" t="s">
        <v>1584</v>
      </c>
      <c r="F1735" s="89">
        <v>43769</v>
      </c>
      <c r="J1735" t="s">
        <v>1355</v>
      </c>
      <c r="K1735" s="120">
        <v>6.3</v>
      </c>
    </row>
    <row r="1736" spans="2:11" hidden="1" x14ac:dyDescent="0.25">
      <c r="B1736" s="28" t="str">
        <f>IF(ISNUMBER(MATCH(C1736, Mgt_Unit!$C$5:$C$1018, 0)), INDEX(Mgt_Unit!$B$5:$B$1018, MATCH(C1736, Mgt_Unit!$C$5:$C$1018, 0)), "")</f>
        <v>jennifer.moore</v>
      </c>
      <c r="C1736" t="s">
        <v>880</v>
      </c>
      <c r="E1736" s="17" t="s">
        <v>1586</v>
      </c>
      <c r="F1736" s="89">
        <v>43590</v>
      </c>
      <c r="J1736" t="s">
        <v>1355</v>
      </c>
      <c r="K1736" s="120">
        <v>6.3</v>
      </c>
    </row>
    <row r="1737" spans="2:11" hidden="1" x14ac:dyDescent="0.25">
      <c r="B1737" s="28" t="str">
        <f>IF(ISNUMBER(MATCH(C1737, Mgt_Unit!$C$5:$C$1018, 0)), INDEX(Mgt_Unit!$B$5:$B$1018, MATCH(C1737, Mgt_Unit!$C$5:$C$1018, 0)), "")</f>
        <v>jennifer.moore</v>
      </c>
      <c r="C1737" t="s">
        <v>881</v>
      </c>
      <c r="E1737" s="17" t="s">
        <v>1584</v>
      </c>
      <c r="F1737" s="89">
        <v>43590</v>
      </c>
      <c r="J1737" t="s">
        <v>1355</v>
      </c>
      <c r="K1737" s="120">
        <v>6.3</v>
      </c>
    </row>
    <row r="1738" spans="2:11" hidden="1" x14ac:dyDescent="0.25">
      <c r="B1738" s="28" t="str">
        <f>IF(ISNUMBER(MATCH(C1738, Mgt_Unit!$C$5:$C$1018, 0)), INDEX(Mgt_Unit!$B$5:$B$1018, MATCH(C1738, Mgt_Unit!$C$5:$C$1018, 0)), "")</f>
        <v>jennifer.moore</v>
      </c>
      <c r="C1738" t="s">
        <v>882</v>
      </c>
      <c r="E1738" s="17" t="s">
        <v>1584</v>
      </c>
      <c r="F1738" s="89">
        <v>43590</v>
      </c>
      <c r="J1738" t="s">
        <v>1355</v>
      </c>
      <c r="K1738" s="120">
        <v>6.3</v>
      </c>
    </row>
    <row r="1739" spans="2:11" hidden="1" x14ac:dyDescent="0.25">
      <c r="B1739" s="28" t="str">
        <f>IF(ISNUMBER(MATCH(C1739, Mgt_Unit!$C$5:$C$1018, 0)), INDEX(Mgt_Unit!$B$5:$B$1018, MATCH(C1739, Mgt_Unit!$C$5:$C$1018, 0)), "")</f>
        <v>jennifer.moore</v>
      </c>
      <c r="C1739" t="s">
        <v>882</v>
      </c>
      <c r="E1739" s="17" t="s">
        <v>1584</v>
      </c>
      <c r="F1739" s="89">
        <v>43981</v>
      </c>
      <c r="J1739" t="s">
        <v>1355</v>
      </c>
      <c r="K1739" s="120">
        <v>6.3</v>
      </c>
    </row>
    <row r="1740" spans="2:11" hidden="1" x14ac:dyDescent="0.25">
      <c r="B1740" s="28" t="str">
        <f>IF(ISNUMBER(MATCH(C1740, Mgt_Unit!$C$5:$C$1018, 0)), INDEX(Mgt_Unit!$B$5:$B$1018, MATCH(C1740, Mgt_Unit!$C$5:$C$1018, 0)), "")</f>
        <v>jennifer.moore</v>
      </c>
      <c r="C1740" t="s">
        <v>882</v>
      </c>
      <c r="E1740" s="17" t="s">
        <v>1584</v>
      </c>
      <c r="F1740" s="89">
        <v>44346</v>
      </c>
      <c r="J1740" t="s">
        <v>1355</v>
      </c>
      <c r="K1740" s="120">
        <v>6.3</v>
      </c>
    </row>
    <row r="1741" spans="2:11" hidden="1" x14ac:dyDescent="0.25">
      <c r="B1741" s="28" t="str">
        <f>IF(ISNUMBER(MATCH(C1741, Mgt_Unit!$C$5:$C$1018, 0)), INDEX(Mgt_Unit!$B$5:$B$1018, MATCH(C1741, Mgt_Unit!$C$5:$C$1018, 0)), "")</f>
        <v>jennifer.moore</v>
      </c>
      <c r="C1741" t="s">
        <v>883</v>
      </c>
      <c r="E1741" s="17" t="s">
        <v>1584</v>
      </c>
      <c r="F1741" s="89">
        <v>43590</v>
      </c>
      <c r="J1741" t="s">
        <v>1355</v>
      </c>
      <c r="K1741" s="120">
        <v>6.3</v>
      </c>
    </row>
    <row r="1742" spans="2:11" hidden="1" x14ac:dyDescent="0.25">
      <c r="B1742" s="28" t="str">
        <f>IF(ISNUMBER(MATCH(C1742, Mgt_Unit!$C$5:$C$1018, 0)), INDEX(Mgt_Unit!$B$5:$B$1018, MATCH(C1742, Mgt_Unit!$C$5:$C$1018, 0)), "")</f>
        <v>jennifer.moore</v>
      </c>
      <c r="C1742" t="s">
        <v>884</v>
      </c>
      <c r="E1742" s="17" t="s">
        <v>1584</v>
      </c>
      <c r="F1742" s="89">
        <v>43590</v>
      </c>
      <c r="J1742" t="s">
        <v>1355</v>
      </c>
      <c r="K1742" s="120">
        <v>6.3</v>
      </c>
    </row>
    <row r="1743" spans="2:11" hidden="1" x14ac:dyDescent="0.25">
      <c r="B1743" s="28" t="str">
        <f>IF(ISNUMBER(MATCH(C1743, Mgt_Unit!$C$5:$C$1018, 0)), INDEX(Mgt_Unit!$B$5:$B$1018, MATCH(C1743, Mgt_Unit!$C$5:$C$1018, 0)), "")</f>
        <v>jennifer.moore</v>
      </c>
      <c r="C1743" t="s">
        <v>884</v>
      </c>
      <c r="E1743" s="17" t="s">
        <v>1584</v>
      </c>
      <c r="F1743" s="89">
        <v>43743</v>
      </c>
      <c r="J1743" t="s">
        <v>1355</v>
      </c>
      <c r="K1743" s="120">
        <v>6.3</v>
      </c>
    </row>
    <row r="1744" spans="2:11" hidden="1" x14ac:dyDescent="0.25">
      <c r="B1744" s="28" t="str">
        <f>IF(ISNUMBER(MATCH(C1744, Mgt_Unit!$C$5:$C$1018, 0)), INDEX(Mgt_Unit!$B$5:$B$1018, MATCH(C1744, Mgt_Unit!$C$5:$C$1018, 0)), "")</f>
        <v>jennifer.moore</v>
      </c>
      <c r="C1744" t="s">
        <v>884</v>
      </c>
      <c r="E1744" s="17" t="s">
        <v>1584</v>
      </c>
      <c r="F1744" s="89">
        <v>44017</v>
      </c>
      <c r="J1744" t="s">
        <v>1355</v>
      </c>
      <c r="K1744" s="120">
        <v>6.3</v>
      </c>
    </row>
    <row r="1745" spans="2:11" hidden="1" x14ac:dyDescent="0.25">
      <c r="B1745" s="28" t="str">
        <f>IF(ISNUMBER(MATCH(C1745, Mgt_Unit!$C$5:$C$1018, 0)), INDEX(Mgt_Unit!$B$5:$B$1018, MATCH(C1745, Mgt_Unit!$C$5:$C$1018, 0)), "")</f>
        <v>jennifer.moore</v>
      </c>
      <c r="C1745" t="s">
        <v>885</v>
      </c>
      <c r="E1745" s="17" t="s">
        <v>1584</v>
      </c>
      <c r="F1745" s="89">
        <v>43590</v>
      </c>
      <c r="J1745" t="s">
        <v>1355</v>
      </c>
      <c r="K1745" s="120">
        <v>6.3</v>
      </c>
    </row>
    <row r="1746" spans="2:11" hidden="1" x14ac:dyDescent="0.25">
      <c r="B1746" s="28" t="str">
        <f>IF(ISNUMBER(MATCH(C1746, Mgt_Unit!$C$5:$C$1018, 0)), INDEX(Mgt_Unit!$B$5:$B$1018, MATCH(C1746, Mgt_Unit!$C$5:$C$1018, 0)), "")</f>
        <v>jennifer.moore</v>
      </c>
      <c r="C1746" t="s">
        <v>885</v>
      </c>
      <c r="E1746" s="17" t="s">
        <v>1584</v>
      </c>
      <c r="F1746" s="89">
        <v>43743</v>
      </c>
      <c r="J1746" t="s">
        <v>1355</v>
      </c>
      <c r="K1746" s="120">
        <v>6.3</v>
      </c>
    </row>
    <row r="1747" spans="2:11" hidden="1" x14ac:dyDescent="0.25">
      <c r="B1747" s="28" t="str">
        <f>IF(ISNUMBER(MATCH(C1747, Mgt_Unit!$C$5:$C$1018, 0)), INDEX(Mgt_Unit!$B$5:$B$1018, MATCH(C1747, Mgt_Unit!$C$5:$C$1018, 0)), "")</f>
        <v>jennifer.moore</v>
      </c>
      <c r="C1747" t="s">
        <v>885</v>
      </c>
      <c r="E1747" s="17" t="s">
        <v>1584</v>
      </c>
      <c r="F1747" s="89">
        <v>44017</v>
      </c>
      <c r="J1747" t="s">
        <v>1355</v>
      </c>
      <c r="K1747" s="120">
        <v>6.3</v>
      </c>
    </row>
    <row r="1748" spans="2:11" hidden="1" x14ac:dyDescent="0.25">
      <c r="B1748" s="28" t="str">
        <f>IF(ISNUMBER(MATCH(C1748, Mgt_Unit!$C$5:$C$1018, 0)), INDEX(Mgt_Unit!$B$5:$B$1018, MATCH(C1748, Mgt_Unit!$C$5:$C$1018, 0)), "")</f>
        <v>jennifer.moore</v>
      </c>
      <c r="C1748" t="s">
        <v>886</v>
      </c>
      <c r="E1748" s="17" t="s">
        <v>1584</v>
      </c>
      <c r="F1748" s="89">
        <v>43221</v>
      </c>
      <c r="J1748" t="s">
        <v>1355</v>
      </c>
      <c r="K1748" s="120">
        <v>6.3</v>
      </c>
    </row>
    <row r="1749" spans="2:11" hidden="1" x14ac:dyDescent="0.25">
      <c r="B1749" s="28" t="str">
        <f>IF(ISNUMBER(MATCH(C1749, Mgt_Unit!$C$5:$C$1018, 0)), INDEX(Mgt_Unit!$B$5:$B$1018, MATCH(C1749, Mgt_Unit!$C$5:$C$1018, 0)), "")</f>
        <v>jennifer.moore</v>
      </c>
      <c r="C1749" t="s">
        <v>886</v>
      </c>
      <c r="E1749" s="17" t="s">
        <v>1585</v>
      </c>
      <c r="F1749" s="89">
        <v>43378</v>
      </c>
      <c r="J1749" t="s">
        <v>1355</v>
      </c>
      <c r="K1749" s="120">
        <v>6.3</v>
      </c>
    </row>
    <row r="1750" spans="2:11" hidden="1" x14ac:dyDescent="0.25">
      <c r="B1750" s="28" t="str">
        <f>IF(ISNUMBER(MATCH(C1750, Mgt_Unit!$C$5:$C$1018, 0)), INDEX(Mgt_Unit!$B$5:$B$1018, MATCH(C1750, Mgt_Unit!$C$5:$C$1018, 0)), "")</f>
        <v>jennifer.moore</v>
      </c>
      <c r="C1750" t="s">
        <v>887</v>
      </c>
      <c r="E1750" s="17" t="s">
        <v>1584</v>
      </c>
      <c r="F1750" s="89">
        <v>43221</v>
      </c>
      <c r="J1750" t="s">
        <v>1355</v>
      </c>
      <c r="K1750" s="120">
        <v>6.3</v>
      </c>
    </row>
    <row r="1751" spans="2:11" hidden="1" x14ac:dyDescent="0.25">
      <c r="B1751" s="28" t="str">
        <f>IF(ISNUMBER(MATCH(C1751, Mgt_Unit!$C$5:$C$1018, 0)), INDEX(Mgt_Unit!$B$5:$B$1018, MATCH(C1751, Mgt_Unit!$C$5:$C$1018, 0)), "")</f>
        <v>jennifer.moore</v>
      </c>
      <c r="C1751" t="s">
        <v>887</v>
      </c>
      <c r="E1751" s="17" t="s">
        <v>1585</v>
      </c>
      <c r="F1751" s="89">
        <v>43378</v>
      </c>
      <c r="J1751" t="s">
        <v>1355</v>
      </c>
      <c r="K1751" s="120">
        <v>6.3</v>
      </c>
    </row>
    <row r="1752" spans="2:11" hidden="1" x14ac:dyDescent="0.25">
      <c r="B1752" s="28" t="str">
        <f>IF(ISNUMBER(MATCH(C1752, Mgt_Unit!$C$5:$C$1018, 0)), INDEX(Mgt_Unit!$B$5:$B$1018, MATCH(C1752, Mgt_Unit!$C$5:$C$1018, 0)), "")</f>
        <v>jennifer.moore</v>
      </c>
      <c r="C1752" t="s">
        <v>888</v>
      </c>
      <c r="E1752" s="17" t="s">
        <v>1583</v>
      </c>
      <c r="F1752" s="89">
        <v>43220</v>
      </c>
      <c r="J1752" t="s">
        <v>1402</v>
      </c>
      <c r="K1752" s="120">
        <v>65</v>
      </c>
    </row>
    <row r="1753" spans="2:11" hidden="1" x14ac:dyDescent="0.25">
      <c r="B1753" s="28" t="str">
        <f>IF(ISNUMBER(MATCH(C1753, Mgt_Unit!$C$5:$C$1018, 0)), INDEX(Mgt_Unit!$B$5:$B$1018, MATCH(C1753, Mgt_Unit!$C$5:$C$1018, 0)), "")</f>
        <v>jennifer.moore</v>
      </c>
      <c r="C1753" t="s">
        <v>888</v>
      </c>
      <c r="E1753" s="17" t="s">
        <v>1583</v>
      </c>
      <c r="F1753" s="89">
        <v>43220</v>
      </c>
      <c r="J1753" t="s">
        <v>1464</v>
      </c>
      <c r="K1753" s="120">
        <v>33</v>
      </c>
    </row>
    <row r="1754" spans="2:11" hidden="1" x14ac:dyDescent="0.25">
      <c r="B1754" s="28" t="str">
        <f>IF(ISNUMBER(MATCH(C1754, Mgt_Unit!$C$5:$C$1018, 0)), INDEX(Mgt_Unit!$B$5:$B$1018, MATCH(C1754, Mgt_Unit!$C$5:$C$1018, 0)), "")</f>
        <v>jennifer.moore</v>
      </c>
      <c r="C1754" t="s">
        <v>888</v>
      </c>
      <c r="E1754" s="17" t="s">
        <v>1584</v>
      </c>
      <c r="F1754" s="89">
        <v>43221</v>
      </c>
      <c r="J1754" t="s">
        <v>1355</v>
      </c>
      <c r="K1754" s="120">
        <v>6.3</v>
      </c>
    </row>
    <row r="1755" spans="2:11" hidden="1" x14ac:dyDescent="0.25">
      <c r="B1755" s="28" t="str">
        <f>IF(ISNUMBER(MATCH(C1755, Mgt_Unit!$C$5:$C$1018, 0)), INDEX(Mgt_Unit!$B$5:$B$1018, MATCH(C1755, Mgt_Unit!$C$5:$C$1018, 0)), "")</f>
        <v>jennifer.moore</v>
      </c>
      <c r="C1755" t="s">
        <v>888</v>
      </c>
      <c r="E1755" s="17" t="s">
        <v>1585</v>
      </c>
      <c r="F1755" s="89">
        <v>43378</v>
      </c>
      <c r="J1755" t="s">
        <v>1355</v>
      </c>
      <c r="K1755" s="120">
        <v>6.3</v>
      </c>
    </row>
    <row r="1756" spans="2:11" hidden="1" x14ac:dyDescent="0.25">
      <c r="B1756" s="28" t="str">
        <f>IF(ISNUMBER(MATCH(C1756, Mgt_Unit!$C$5:$C$1018, 0)), INDEX(Mgt_Unit!$B$5:$B$1018, MATCH(C1756, Mgt_Unit!$C$5:$C$1018, 0)), "")</f>
        <v>jennifer.moore</v>
      </c>
      <c r="C1756" t="s">
        <v>889</v>
      </c>
      <c r="E1756" s="17" t="s">
        <v>1583</v>
      </c>
      <c r="F1756" s="89">
        <v>43220</v>
      </c>
      <c r="J1756" t="s">
        <v>1402</v>
      </c>
      <c r="K1756" s="120">
        <v>65</v>
      </c>
    </row>
    <row r="1757" spans="2:11" hidden="1" x14ac:dyDescent="0.25">
      <c r="B1757" s="28" t="str">
        <f>IF(ISNUMBER(MATCH(C1757, Mgt_Unit!$C$5:$C$1018, 0)), INDEX(Mgt_Unit!$B$5:$B$1018, MATCH(C1757, Mgt_Unit!$C$5:$C$1018, 0)), "")</f>
        <v>jennifer.moore</v>
      </c>
      <c r="C1757" t="s">
        <v>889</v>
      </c>
      <c r="E1757" s="17" t="s">
        <v>1583</v>
      </c>
      <c r="F1757" s="89">
        <v>43220</v>
      </c>
      <c r="J1757" t="s">
        <v>1464</v>
      </c>
      <c r="K1757" s="120">
        <v>33</v>
      </c>
    </row>
    <row r="1758" spans="2:11" hidden="1" x14ac:dyDescent="0.25">
      <c r="B1758" s="28" t="str">
        <f>IF(ISNUMBER(MATCH(C1758, Mgt_Unit!$C$5:$C$1018, 0)), INDEX(Mgt_Unit!$B$5:$B$1018, MATCH(C1758, Mgt_Unit!$C$5:$C$1018, 0)), "")</f>
        <v>jennifer.moore</v>
      </c>
      <c r="C1758" t="s">
        <v>889</v>
      </c>
      <c r="E1758" s="17" t="s">
        <v>1584</v>
      </c>
      <c r="F1758" s="89">
        <v>43221</v>
      </c>
      <c r="J1758" t="s">
        <v>1355</v>
      </c>
      <c r="K1758" s="120">
        <v>6.3</v>
      </c>
    </row>
    <row r="1759" spans="2:11" hidden="1" x14ac:dyDescent="0.25">
      <c r="B1759" s="28" t="str">
        <f>IF(ISNUMBER(MATCH(C1759, Mgt_Unit!$C$5:$C$1018, 0)), INDEX(Mgt_Unit!$B$5:$B$1018, MATCH(C1759, Mgt_Unit!$C$5:$C$1018, 0)), "")</f>
        <v>jennifer.moore</v>
      </c>
      <c r="C1759" t="s">
        <v>889</v>
      </c>
      <c r="E1759" s="17" t="s">
        <v>1585</v>
      </c>
      <c r="F1759" s="89">
        <v>43378</v>
      </c>
      <c r="J1759" t="s">
        <v>1355</v>
      </c>
      <c r="K1759" s="120">
        <v>6.3</v>
      </c>
    </row>
    <row r="1760" spans="2:11" hidden="1" x14ac:dyDescent="0.25">
      <c r="B1760" s="28" t="str">
        <f>IF(ISNUMBER(MATCH(C1760, Mgt_Unit!$C$5:$C$1018, 0)), INDEX(Mgt_Unit!$B$5:$B$1018, MATCH(C1760, Mgt_Unit!$C$5:$C$1018, 0)), "")</f>
        <v>jennifer.moore</v>
      </c>
      <c r="C1760" t="s">
        <v>890</v>
      </c>
      <c r="E1760" s="17" t="s">
        <v>1583</v>
      </c>
      <c r="F1760" s="89">
        <v>42191</v>
      </c>
      <c r="J1760" t="s">
        <v>1465</v>
      </c>
      <c r="K1760" s="120">
        <v>18</v>
      </c>
    </row>
    <row r="1761" spans="2:11" hidden="1" x14ac:dyDescent="0.25">
      <c r="B1761" s="28" t="str">
        <f>IF(ISNUMBER(MATCH(C1761, Mgt_Unit!$C$5:$C$1018, 0)), INDEX(Mgt_Unit!$B$5:$B$1018, MATCH(C1761, Mgt_Unit!$C$5:$C$1018, 0)), "")</f>
        <v>jennifer.moore</v>
      </c>
      <c r="C1761" t="s">
        <v>890</v>
      </c>
      <c r="E1761" s="17" t="s">
        <v>1583</v>
      </c>
      <c r="F1761" s="89">
        <v>42200</v>
      </c>
      <c r="J1761" t="s">
        <v>1466</v>
      </c>
      <c r="K1761" s="120">
        <v>15</v>
      </c>
    </row>
    <row r="1762" spans="2:11" hidden="1" x14ac:dyDescent="0.25">
      <c r="B1762" s="28" t="str">
        <f>IF(ISNUMBER(MATCH(C1762, Mgt_Unit!$C$5:$C$1018, 0)), INDEX(Mgt_Unit!$B$5:$B$1018, MATCH(C1762, Mgt_Unit!$C$5:$C$1018, 0)), "")</f>
        <v>jennifer.moore</v>
      </c>
      <c r="C1762" t="s">
        <v>890</v>
      </c>
      <c r="E1762" s="17" t="s">
        <v>1583</v>
      </c>
      <c r="F1762" s="89">
        <v>42209</v>
      </c>
      <c r="J1762" t="s">
        <v>1466</v>
      </c>
      <c r="K1762" s="120">
        <v>15</v>
      </c>
    </row>
    <row r="1763" spans="2:11" hidden="1" x14ac:dyDescent="0.25">
      <c r="B1763" s="28" t="str">
        <f>IF(ISNUMBER(MATCH(C1763, Mgt_Unit!$C$5:$C$1018, 0)), INDEX(Mgt_Unit!$B$5:$B$1018, MATCH(C1763, Mgt_Unit!$C$5:$C$1018, 0)), "")</f>
        <v>jennifer.moore</v>
      </c>
      <c r="C1763" t="s">
        <v>890</v>
      </c>
      <c r="E1763" s="17" t="s">
        <v>1583</v>
      </c>
      <c r="F1763" s="89">
        <v>42262</v>
      </c>
      <c r="J1763" t="s">
        <v>1352</v>
      </c>
      <c r="K1763" s="120">
        <v>37</v>
      </c>
    </row>
    <row r="1764" spans="2:11" hidden="1" x14ac:dyDescent="0.25">
      <c r="B1764" s="28" t="str">
        <f>IF(ISNUMBER(MATCH(C1764, Mgt_Unit!$C$5:$C$1018, 0)), INDEX(Mgt_Unit!$B$5:$B$1018, MATCH(C1764, Mgt_Unit!$C$5:$C$1018, 0)), "")</f>
        <v>jennifer.moore</v>
      </c>
      <c r="C1764" t="s">
        <v>890</v>
      </c>
      <c r="E1764" s="17" t="s">
        <v>1585</v>
      </c>
      <c r="F1764" s="89">
        <v>42262</v>
      </c>
      <c r="J1764" t="s">
        <v>1450</v>
      </c>
      <c r="K1764" s="120">
        <v>6.3</v>
      </c>
    </row>
    <row r="1765" spans="2:11" hidden="1" x14ac:dyDescent="0.25">
      <c r="B1765" s="28" t="str">
        <f>IF(ISNUMBER(MATCH(C1765, Mgt_Unit!$C$5:$C$1018, 0)), INDEX(Mgt_Unit!$B$5:$B$1018, MATCH(C1765, Mgt_Unit!$C$5:$C$1018, 0)), "")</f>
        <v>jennifer.moore</v>
      </c>
      <c r="C1765" t="s">
        <v>890</v>
      </c>
      <c r="E1765" s="17" t="s">
        <v>1583</v>
      </c>
      <c r="F1765" s="89">
        <v>42515</v>
      </c>
      <c r="J1765" t="s">
        <v>1465</v>
      </c>
      <c r="K1765" s="120">
        <v>18</v>
      </c>
    </row>
    <row r="1766" spans="2:11" hidden="1" x14ac:dyDescent="0.25">
      <c r="B1766" s="28" t="str">
        <f>IF(ISNUMBER(MATCH(C1766, Mgt_Unit!$C$5:$C$1018, 0)), INDEX(Mgt_Unit!$B$5:$B$1018, MATCH(C1766, Mgt_Unit!$C$5:$C$1018, 0)), "")</f>
        <v>jennifer.moore</v>
      </c>
      <c r="C1766" t="s">
        <v>890</v>
      </c>
      <c r="E1766" s="17" t="s">
        <v>1583</v>
      </c>
      <c r="F1766" s="89">
        <v>42530</v>
      </c>
      <c r="J1766" t="s">
        <v>1465</v>
      </c>
      <c r="K1766" s="120">
        <v>18</v>
      </c>
    </row>
    <row r="1767" spans="2:11" hidden="1" x14ac:dyDescent="0.25">
      <c r="B1767" s="28" t="str">
        <f>IF(ISNUMBER(MATCH(C1767, Mgt_Unit!$C$5:$C$1018, 0)), INDEX(Mgt_Unit!$B$5:$B$1018, MATCH(C1767, Mgt_Unit!$C$5:$C$1018, 0)), "")</f>
        <v>jennifer.moore</v>
      </c>
      <c r="C1767" t="s">
        <v>890</v>
      </c>
      <c r="E1767" s="17" t="s">
        <v>1584</v>
      </c>
      <c r="F1767" s="89">
        <v>42531</v>
      </c>
      <c r="J1767" t="s">
        <v>1467</v>
      </c>
      <c r="K1767" s="120">
        <v>14</v>
      </c>
    </row>
    <row r="1768" spans="2:11" hidden="1" x14ac:dyDescent="0.25">
      <c r="B1768" s="28" t="str">
        <f>IF(ISNUMBER(MATCH(C1768, Mgt_Unit!$C$5:$C$1018, 0)), INDEX(Mgt_Unit!$B$5:$B$1018, MATCH(C1768, Mgt_Unit!$C$5:$C$1018, 0)), "")</f>
        <v>jennifer.moore</v>
      </c>
      <c r="C1768" t="s">
        <v>890</v>
      </c>
      <c r="E1768" s="17" t="s">
        <v>1583</v>
      </c>
      <c r="F1768" s="89">
        <v>42548</v>
      </c>
      <c r="J1768" t="s">
        <v>1466</v>
      </c>
      <c r="K1768" s="120">
        <v>15</v>
      </c>
    </row>
    <row r="1769" spans="2:11" hidden="1" x14ac:dyDescent="0.25">
      <c r="B1769" s="28" t="str">
        <f>IF(ISNUMBER(MATCH(C1769, Mgt_Unit!$C$5:$C$1018, 0)), INDEX(Mgt_Unit!$B$5:$B$1018, MATCH(C1769, Mgt_Unit!$C$5:$C$1018, 0)), "")</f>
        <v>jennifer.moore</v>
      </c>
      <c r="C1769" t="s">
        <v>890</v>
      </c>
      <c r="E1769" s="17" t="s">
        <v>1583</v>
      </c>
      <c r="F1769" s="89">
        <v>42551</v>
      </c>
      <c r="J1769" t="s">
        <v>1466</v>
      </c>
      <c r="K1769" s="120">
        <v>15</v>
      </c>
    </row>
    <row r="1770" spans="2:11" hidden="1" x14ac:dyDescent="0.25">
      <c r="B1770" s="28" t="str">
        <f>IF(ISNUMBER(MATCH(C1770, Mgt_Unit!$C$5:$C$1018, 0)), INDEX(Mgt_Unit!$B$5:$B$1018, MATCH(C1770, Mgt_Unit!$C$5:$C$1018, 0)), "")</f>
        <v>jennifer.moore</v>
      </c>
      <c r="C1770" t="s">
        <v>890</v>
      </c>
      <c r="E1770" s="17" t="s">
        <v>1583</v>
      </c>
      <c r="F1770" s="89">
        <v>42558</v>
      </c>
      <c r="J1770" t="s">
        <v>1466</v>
      </c>
      <c r="K1770" s="120">
        <v>15</v>
      </c>
    </row>
    <row r="1771" spans="2:11" hidden="1" x14ac:dyDescent="0.25">
      <c r="B1771" s="28" t="str">
        <f>IF(ISNUMBER(MATCH(C1771, Mgt_Unit!$C$5:$C$1018, 0)), INDEX(Mgt_Unit!$B$5:$B$1018, MATCH(C1771, Mgt_Unit!$C$5:$C$1018, 0)), "")</f>
        <v>jennifer.moore</v>
      </c>
      <c r="C1771" t="s">
        <v>890</v>
      </c>
      <c r="E1771" s="17" t="s">
        <v>1583</v>
      </c>
      <c r="F1771" s="89">
        <v>42605</v>
      </c>
      <c r="J1771" t="s">
        <v>1352</v>
      </c>
      <c r="K1771" s="120">
        <v>37</v>
      </c>
    </row>
    <row r="1772" spans="2:11" hidden="1" x14ac:dyDescent="0.25">
      <c r="B1772" s="28" t="str">
        <f>IF(ISNUMBER(MATCH(C1772, Mgt_Unit!$C$5:$C$1018, 0)), INDEX(Mgt_Unit!$B$5:$B$1018, MATCH(C1772, Mgt_Unit!$C$5:$C$1018, 0)), "")</f>
        <v>jennifer.moore</v>
      </c>
      <c r="C1772" t="s">
        <v>890</v>
      </c>
      <c r="E1772" s="17" t="s">
        <v>1585</v>
      </c>
      <c r="F1772" s="89">
        <v>42615</v>
      </c>
      <c r="J1772" t="s">
        <v>1450</v>
      </c>
      <c r="K1772" s="120">
        <v>6.3</v>
      </c>
    </row>
    <row r="1773" spans="2:11" hidden="1" x14ac:dyDescent="0.25">
      <c r="B1773" s="28" t="str">
        <f>IF(ISNUMBER(MATCH(C1773, Mgt_Unit!$C$5:$C$1018, 0)), INDEX(Mgt_Unit!$B$5:$B$1018, MATCH(C1773, Mgt_Unit!$C$5:$C$1018, 0)), "")</f>
        <v>jennifer.moore</v>
      </c>
      <c r="C1773" t="s">
        <v>890</v>
      </c>
      <c r="E1773" s="17" t="s">
        <v>1583</v>
      </c>
      <c r="F1773" s="89">
        <v>42895</v>
      </c>
      <c r="J1773" t="s">
        <v>1465</v>
      </c>
      <c r="K1773" s="120">
        <v>18</v>
      </c>
    </row>
    <row r="1774" spans="2:11" hidden="1" x14ac:dyDescent="0.25">
      <c r="B1774" s="28" t="str">
        <f>IF(ISNUMBER(MATCH(C1774, Mgt_Unit!$C$5:$C$1018, 0)), INDEX(Mgt_Unit!$B$5:$B$1018, MATCH(C1774, Mgt_Unit!$C$5:$C$1018, 0)), "")</f>
        <v>jennifer.moore</v>
      </c>
      <c r="C1774" t="s">
        <v>890</v>
      </c>
      <c r="E1774" s="17" t="s">
        <v>1583</v>
      </c>
      <c r="F1774" s="89">
        <v>42899</v>
      </c>
      <c r="J1774" t="s">
        <v>1465</v>
      </c>
      <c r="K1774" s="120">
        <v>18</v>
      </c>
    </row>
    <row r="1775" spans="2:11" hidden="1" x14ac:dyDescent="0.25">
      <c r="B1775" s="28" t="str">
        <f>IF(ISNUMBER(MATCH(C1775, Mgt_Unit!$C$5:$C$1018, 0)), INDEX(Mgt_Unit!$B$5:$B$1018, MATCH(C1775, Mgt_Unit!$C$5:$C$1018, 0)), "")</f>
        <v>jennifer.moore</v>
      </c>
      <c r="C1775" t="s">
        <v>890</v>
      </c>
      <c r="E1775" s="17" t="s">
        <v>1584</v>
      </c>
      <c r="F1775" s="89">
        <v>42899</v>
      </c>
      <c r="J1775" t="s">
        <v>1467</v>
      </c>
      <c r="K1775" s="120">
        <v>14</v>
      </c>
    </row>
    <row r="1776" spans="2:11" hidden="1" x14ac:dyDescent="0.25">
      <c r="B1776" s="28" t="str">
        <f>IF(ISNUMBER(MATCH(C1776, Mgt_Unit!$C$5:$C$1018, 0)), INDEX(Mgt_Unit!$B$5:$B$1018, MATCH(C1776, Mgt_Unit!$C$5:$C$1018, 0)), "")</f>
        <v>jennifer.moore</v>
      </c>
      <c r="C1776" t="s">
        <v>890</v>
      </c>
      <c r="E1776" s="17" t="s">
        <v>1583</v>
      </c>
      <c r="F1776" s="89">
        <v>42914</v>
      </c>
      <c r="J1776" t="s">
        <v>1466</v>
      </c>
      <c r="K1776" s="120">
        <v>15</v>
      </c>
    </row>
    <row r="1777" spans="2:11" hidden="1" x14ac:dyDescent="0.25">
      <c r="B1777" s="28" t="str">
        <f>IF(ISNUMBER(MATCH(C1777, Mgt_Unit!$C$5:$C$1018, 0)), INDEX(Mgt_Unit!$B$5:$B$1018, MATCH(C1777, Mgt_Unit!$C$5:$C$1018, 0)), "")</f>
        <v>jennifer.moore</v>
      </c>
      <c r="C1777" t="s">
        <v>890</v>
      </c>
      <c r="E1777" s="17" t="s">
        <v>1583</v>
      </c>
      <c r="F1777" s="89">
        <v>42919</v>
      </c>
      <c r="J1777" t="s">
        <v>1466</v>
      </c>
      <c r="K1777" s="120">
        <v>15</v>
      </c>
    </row>
    <row r="1778" spans="2:11" hidden="1" x14ac:dyDescent="0.25">
      <c r="B1778" s="28" t="str">
        <f>IF(ISNUMBER(MATCH(C1778, Mgt_Unit!$C$5:$C$1018, 0)), INDEX(Mgt_Unit!$B$5:$B$1018, MATCH(C1778, Mgt_Unit!$C$5:$C$1018, 0)), "")</f>
        <v>jennifer.moore</v>
      </c>
      <c r="C1778" t="s">
        <v>890</v>
      </c>
      <c r="E1778" s="17" t="s">
        <v>1583</v>
      </c>
      <c r="F1778" s="89">
        <v>42998</v>
      </c>
      <c r="J1778" t="s">
        <v>1352</v>
      </c>
      <c r="K1778" s="120">
        <v>37</v>
      </c>
    </row>
    <row r="1779" spans="2:11" hidden="1" x14ac:dyDescent="0.25">
      <c r="B1779" s="28" t="str">
        <f>IF(ISNUMBER(MATCH(C1779, Mgt_Unit!$C$5:$C$1018, 0)), INDEX(Mgt_Unit!$B$5:$B$1018, MATCH(C1779, Mgt_Unit!$C$5:$C$1018, 0)), "")</f>
        <v>jennifer.moore</v>
      </c>
      <c r="C1779" t="s">
        <v>890</v>
      </c>
      <c r="E1779" s="17" t="s">
        <v>1585</v>
      </c>
      <c r="F1779" s="89">
        <v>43000</v>
      </c>
      <c r="J1779" t="s">
        <v>1450</v>
      </c>
      <c r="K1779" s="120">
        <v>6.3</v>
      </c>
    </row>
    <row r="1780" spans="2:11" hidden="1" x14ac:dyDescent="0.25">
      <c r="B1780" s="28" t="str">
        <f>IF(ISNUMBER(MATCH(C1780, Mgt_Unit!$C$5:$C$1018, 0)), INDEX(Mgt_Unit!$B$5:$B$1018, MATCH(C1780, Mgt_Unit!$C$5:$C$1018, 0)), "")</f>
        <v>jennifer.moore</v>
      </c>
      <c r="C1780" t="s">
        <v>890</v>
      </c>
      <c r="E1780" s="17" t="s">
        <v>1583</v>
      </c>
      <c r="F1780" s="89">
        <v>43266</v>
      </c>
      <c r="J1780" t="s">
        <v>1356</v>
      </c>
      <c r="K1780" s="120">
        <v>15</v>
      </c>
    </row>
    <row r="1781" spans="2:11" hidden="1" x14ac:dyDescent="0.25">
      <c r="B1781" s="28" t="str">
        <f>IF(ISNUMBER(MATCH(C1781, Mgt_Unit!$C$5:$C$1018, 0)), INDEX(Mgt_Unit!$B$5:$B$1018, MATCH(C1781, Mgt_Unit!$C$5:$C$1018, 0)), "")</f>
        <v>jennifer.moore</v>
      </c>
      <c r="C1781" t="s">
        <v>890</v>
      </c>
      <c r="E1781" s="17" t="s">
        <v>1583</v>
      </c>
      <c r="F1781" s="89">
        <v>43266</v>
      </c>
      <c r="J1781" t="s">
        <v>1356</v>
      </c>
      <c r="K1781" s="120">
        <v>15</v>
      </c>
    </row>
    <row r="1782" spans="2:11" hidden="1" x14ac:dyDescent="0.25">
      <c r="B1782" s="28" t="str">
        <f>IF(ISNUMBER(MATCH(C1782, Mgt_Unit!$C$5:$C$1018, 0)), INDEX(Mgt_Unit!$B$5:$B$1018, MATCH(C1782, Mgt_Unit!$C$5:$C$1018, 0)), "")</f>
        <v>jennifer.moore</v>
      </c>
      <c r="C1782" t="s">
        <v>890</v>
      </c>
      <c r="E1782" s="17" t="s">
        <v>1583</v>
      </c>
      <c r="F1782" s="89">
        <v>43266</v>
      </c>
      <c r="J1782" t="s">
        <v>1465</v>
      </c>
      <c r="K1782" s="120">
        <v>18</v>
      </c>
    </row>
    <row r="1783" spans="2:11" hidden="1" x14ac:dyDescent="0.25">
      <c r="B1783" s="28" t="str">
        <f>IF(ISNUMBER(MATCH(C1783, Mgt_Unit!$C$5:$C$1018, 0)), INDEX(Mgt_Unit!$B$5:$B$1018, MATCH(C1783, Mgt_Unit!$C$5:$C$1018, 0)), "")</f>
        <v>jennifer.moore</v>
      </c>
      <c r="C1783" t="s">
        <v>890</v>
      </c>
      <c r="E1783" s="17" t="s">
        <v>1583</v>
      </c>
      <c r="F1783" s="89">
        <v>43266</v>
      </c>
      <c r="J1783" t="s">
        <v>1465</v>
      </c>
      <c r="K1783" s="120">
        <v>18</v>
      </c>
    </row>
    <row r="1784" spans="2:11" hidden="1" x14ac:dyDescent="0.25">
      <c r="B1784" s="28" t="str">
        <f>IF(ISNUMBER(MATCH(C1784, Mgt_Unit!$C$5:$C$1018, 0)), INDEX(Mgt_Unit!$B$5:$B$1018, MATCH(C1784, Mgt_Unit!$C$5:$C$1018, 0)), "")</f>
        <v>jennifer.moore</v>
      </c>
      <c r="C1784" t="s">
        <v>890</v>
      </c>
      <c r="E1784" s="17" t="s">
        <v>1584</v>
      </c>
      <c r="F1784" s="89">
        <v>43267</v>
      </c>
      <c r="J1784" t="s">
        <v>1467</v>
      </c>
      <c r="K1784" s="120">
        <v>14</v>
      </c>
    </row>
    <row r="1785" spans="2:11" hidden="1" x14ac:dyDescent="0.25">
      <c r="B1785" s="28" t="str">
        <f>IF(ISNUMBER(MATCH(C1785, Mgt_Unit!$C$5:$C$1018, 0)), INDEX(Mgt_Unit!$B$5:$B$1018, MATCH(C1785, Mgt_Unit!$C$5:$C$1018, 0)), "")</f>
        <v>jennifer.moore</v>
      </c>
      <c r="C1785" t="s">
        <v>890</v>
      </c>
      <c r="E1785" s="17" t="s">
        <v>1583</v>
      </c>
      <c r="F1785" s="89">
        <v>43277</v>
      </c>
      <c r="J1785" t="s">
        <v>1465</v>
      </c>
      <c r="K1785" s="120">
        <v>18</v>
      </c>
    </row>
    <row r="1786" spans="2:11" hidden="1" x14ac:dyDescent="0.25">
      <c r="B1786" s="28" t="str">
        <f>IF(ISNUMBER(MATCH(C1786, Mgt_Unit!$C$5:$C$1018, 0)), INDEX(Mgt_Unit!$B$5:$B$1018, MATCH(C1786, Mgt_Unit!$C$5:$C$1018, 0)), "")</f>
        <v>jennifer.moore</v>
      </c>
      <c r="C1786" t="s">
        <v>890</v>
      </c>
      <c r="E1786" s="17" t="s">
        <v>1583</v>
      </c>
      <c r="F1786" s="89">
        <v>43277</v>
      </c>
      <c r="J1786" t="s">
        <v>1466</v>
      </c>
      <c r="K1786" s="120">
        <v>15</v>
      </c>
    </row>
    <row r="1787" spans="2:11" hidden="1" x14ac:dyDescent="0.25">
      <c r="B1787" s="28" t="str">
        <f>IF(ISNUMBER(MATCH(C1787, Mgt_Unit!$C$5:$C$1018, 0)), INDEX(Mgt_Unit!$B$5:$B$1018, MATCH(C1787, Mgt_Unit!$C$5:$C$1018, 0)), "")</f>
        <v>jennifer.moore</v>
      </c>
      <c r="C1787" t="s">
        <v>890</v>
      </c>
      <c r="E1787" s="17" t="s">
        <v>1583</v>
      </c>
      <c r="F1787" s="89">
        <v>43284</v>
      </c>
      <c r="J1787" t="s">
        <v>1466</v>
      </c>
      <c r="K1787" s="120">
        <v>15</v>
      </c>
    </row>
    <row r="1788" spans="2:11" hidden="1" x14ac:dyDescent="0.25">
      <c r="B1788" s="28" t="str">
        <f>IF(ISNUMBER(MATCH(C1788, Mgt_Unit!$C$5:$C$1018, 0)), INDEX(Mgt_Unit!$B$5:$B$1018, MATCH(C1788, Mgt_Unit!$C$5:$C$1018, 0)), "")</f>
        <v>jennifer.moore</v>
      </c>
      <c r="C1788" t="s">
        <v>890</v>
      </c>
      <c r="E1788" s="17" t="s">
        <v>1583</v>
      </c>
      <c r="F1788" s="89">
        <v>43373</v>
      </c>
      <c r="J1788" t="s">
        <v>1352</v>
      </c>
      <c r="K1788" s="120">
        <v>37</v>
      </c>
    </row>
    <row r="1789" spans="2:11" hidden="1" x14ac:dyDescent="0.25">
      <c r="B1789" s="28" t="str">
        <f>IF(ISNUMBER(MATCH(C1789, Mgt_Unit!$C$5:$C$1018, 0)), INDEX(Mgt_Unit!$B$5:$B$1018, MATCH(C1789, Mgt_Unit!$C$5:$C$1018, 0)), "")</f>
        <v>jennifer.moore</v>
      </c>
      <c r="C1789" t="s">
        <v>890</v>
      </c>
      <c r="E1789" s="17" t="s">
        <v>1585</v>
      </c>
      <c r="F1789" s="89">
        <v>43374</v>
      </c>
      <c r="J1789" t="s">
        <v>1450</v>
      </c>
      <c r="K1789" s="120">
        <v>6.3</v>
      </c>
    </row>
    <row r="1790" spans="2:11" hidden="1" x14ac:dyDescent="0.25">
      <c r="B1790" s="28" t="str">
        <f>IF(ISNUMBER(MATCH(C1790, Mgt_Unit!$C$5:$C$1018, 0)), INDEX(Mgt_Unit!$B$5:$B$1018, MATCH(C1790, Mgt_Unit!$C$5:$C$1018, 0)), "")</f>
        <v>jennifer.moore</v>
      </c>
      <c r="C1790" t="s">
        <v>891</v>
      </c>
      <c r="E1790" s="17" t="s">
        <v>1583</v>
      </c>
      <c r="F1790" s="89">
        <v>42181</v>
      </c>
      <c r="J1790" t="s">
        <v>1465</v>
      </c>
      <c r="K1790" s="120">
        <v>18</v>
      </c>
    </row>
    <row r="1791" spans="2:11" hidden="1" x14ac:dyDescent="0.25">
      <c r="B1791" s="28" t="str">
        <f>IF(ISNUMBER(MATCH(C1791, Mgt_Unit!$C$5:$C$1018, 0)), INDEX(Mgt_Unit!$B$5:$B$1018, MATCH(C1791, Mgt_Unit!$C$5:$C$1018, 0)), "")</f>
        <v>jennifer.moore</v>
      </c>
      <c r="C1791" t="s">
        <v>891</v>
      </c>
      <c r="E1791" s="17" t="s">
        <v>1583</v>
      </c>
      <c r="F1791" s="89">
        <v>42191</v>
      </c>
      <c r="J1791" t="s">
        <v>1465</v>
      </c>
      <c r="K1791" s="120">
        <v>8.6999999999999993</v>
      </c>
    </row>
    <row r="1792" spans="2:11" hidden="1" x14ac:dyDescent="0.25">
      <c r="B1792" s="28" t="str">
        <f>IF(ISNUMBER(MATCH(C1792, Mgt_Unit!$C$5:$C$1018, 0)), INDEX(Mgt_Unit!$B$5:$B$1018, MATCH(C1792, Mgt_Unit!$C$5:$C$1018, 0)), "")</f>
        <v>jennifer.moore</v>
      </c>
      <c r="C1792" t="s">
        <v>891</v>
      </c>
      <c r="E1792" s="17" t="s">
        <v>1583</v>
      </c>
      <c r="F1792" s="89">
        <v>42200</v>
      </c>
      <c r="J1792" t="s">
        <v>1466</v>
      </c>
      <c r="K1792" s="120">
        <v>15</v>
      </c>
    </row>
    <row r="1793" spans="2:11" hidden="1" x14ac:dyDescent="0.25">
      <c r="B1793" s="28" t="str">
        <f>IF(ISNUMBER(MATCH(C1793, Mgt_Unit!$C$5:$C$1018, 0)), INDEX(Mgt_Unit!$B$5:$B$1018, MATCH(C1793, Mgt_Unit!$C$5:$C$1018, 0)), "")</f>
        <v>jennifer.moore</v>
      </c>
      <c r="C1793" t="s">
        <v>891</v>
      </c>
      <c r="E1793" s="17" t="s">
        <v>1583</v>
      </c>
      <c r="F1793" s="89">
        <v>42209</v>
      </c>
      <c r="J1793" t="s">
        <v>1466</v>
      </c>
      <c r="K1793" s="120">
        <v>15</v>
      </c>
    </row>
    <row r="1794" spans="2:11" hidden="1" x14ac:dyDescent="0.25">
      <c r="B1794" s="28" t="str">
        <f>IF(ISNUMBER(MATCH(C1794, Mgt_Unit!$C$5:$C$1018, 0)), INDEX(Mgt_Unit!$B$5:$B$1018, MATCH(C1794, Mgt_Unit!$C$5:$C$1018, 0)), "")</f>
        <v>jennifer.moore</v>
      </c>
      <c r="C1794" t="s">
        <v>891</v>
      </c>
      <c r="E1794" s="17" t="s">
        <v>1585</v>
      </c>
      <c r="F1794" s="89">
        <v>42262</v>
      </c>
      <c r="J1794" t="s">
        <v>1450</v>
      </c>
      <c r="K1794" s="120">
        <v>6.3</v>
      </c>
    </row>
    <row r="1795" spans="2:11" hidden="1" x14ac:dyDescent="0.25">
      <c r="B1795" s="28" t="str">
        <f>IF(ISNUMBER(MATCH(C1795, Mgt_Unit!$C$5:$C$1018, 0)), INDEX(Mgt_Unit!$B$5:$B$1018, MATCH(C1795, Mgt_Unit!$C$5:$C$1018, 0)), "")</f>
        <v>jennifer.moore</v>
      </c>
      <c r="C1795" t="s">
        <v>891</v>
      </c>
      <c r="E1795" s="17" t="s">
        <v>1583</v>
      </c>
      <c r="F1795" s="89">
        <v>42515</v>
      </c>
      <c r="J1795" t="s">
        <v>1465</v>
      </c>
      <c r="K1795" s="120">
        <v>18</v>
      </c>
    </row>
    <row r="1796" spans="2:11" hidden="1" x14ac:dyDescent="0.25">
      <c r="B1796" s="28" t="str">
        <f>IF(ISNUMBER(MATCH(C1796, Mgt_Unit!$C$5:$C$1018, 0)), INDEX(Mgt_Unit!$B$5:$B$1018, MATCH(C1796, Mgt_Unit!$C$5:$C$1018, 0)), "")</f>
        <v>jennifer.moore</v>
      </c>
      <c r="C1796" t="s">
        <v>891</v>
      </c>
      <c r="E1796" s="17" t="s">
        <v>1583</v>
      </c>
      <c r="F1796" s="89">
        <v>42530</v>
      </c>
      <c r="J1796" t="s">
        <v>1465</v>
      </c>
      <c r="K1796" s="120">
        <v>18</v>
      </c>
    </row>
    <row r="1797" spans="2:11" hidden="1" x14ac:dyDescent="0.25">
      <c r="B1797" s="28" t="str">
        <f>IF(ISNUMBER(MATCH(C1797, Mgt_Unit!$C$5:$C$1018, 0)), INDEX(Mgt_Unit!$B$5:$B$1018, MATCH(C1797, Mgt_Unit!$C$5:$C$1018, 0)), "")</f>
        <v>jennifer.moore</v>
      </c>
      <c r="C1797" t="s">
        <v>891</v>
      </c>
      <c r="E1797" s="17" t="s">
        <v>1584</v>
      </c>
      <c r="F1797" s="89">
        <v>42531</v>
      </c>
      <c r="J1797" t="s">
        <v>1467</v>
      </c>
      <c r="K1797" s="120">
        <v>14</v>
      </c>
    </row>
    <row r="1798" spans="2:11" hidden="1" x14ac:dyDescent="0.25">
      <c r="B1798" s="28" t="str">
        <f>IF(ISNUMBER(MATCH(C1798, Mgt_Unit!$C$5:$C$1018, 0)), INDEX(Mgt_Unit!$B$5:$B$1018, MATCH(C1798, Mgt_Unit!$C$5:$C$1018, 0)), "")</f>
        <v>jennifer.moore</v>
      </c>
      <c r="C1798" t="s">
        <v>891</v>
      </c>
      <c r="E1798" s="17" t="s">
        <v>1583</v>
      </c>
      <c r="F1798" s="89">
        <v>42548</v>
      </c>
      <c r="J1798" t="s">
        <v>1466</v>
      </c>
      <c r="K1798" s="120">
        <v>15</v>
      </c>
    </row>
    <row r="1799" spans="2:11" hidden="1" x14ac:dyDescent="0.25">
      <c r="B1799" s="28" t="str">
        <f>IF(ISNUMBER(MATCH(C1799, Mgt_Unit!$C$5:$C$1018, 0)), INDEX(Mgt_Unit!$B$5:$B$1018, MATCH(C1799, Mgt_Unit!$C$5:$C$1018, 0)), "")</f>
        <v>jennifer.moore</v>
      </c>
      <c r="C1799" t="s">
        <v>891</v>
      </c>
      <c r="E1799" s="17" t="s">
        <v>1583</v>
      </c>
      <c r="F1799" s="89">
        <v>42551</v>
      </c>
      <c r="J1799" t="s">
        <v>1466</v>
      </c>
      <c r="K1799" s="120">
        <v>15</v>
      </c>
    </row>
    <row r="1800" spans="2:11" hidden="1" x14ac:dyDescent="0.25">
      <c r="B1800" s="28" t="str">
        <f>IF(ISNUMBER(MATCH(C1800, Mgt_Unit!$C$5:$C$1018, 0)), INDEX(Mgt_Unit!$B$5:$B$1018, MATCH(C1800, Mgt_Unit!$C$5:$C$1018, 0)), "")</f>
        <v>jennifer.moore</v>
      </c>
      <c r="C1800" t="s">
        <v>891</v>
      </c>
      <c r="E1800" s="17" t="s">
        <v>1583</v>
      </c>
      <c r="F1800" s="89">
        <v>42558</v>
      </c>
      <c r="J1800" t="s">
        <v>1466</v>
      </c>
      <c r="K1800" s="120">
        <v>15</v>
      </c>
    </row>
    <row r="1801" spans="2:11" hidden="1" x14ac:dyDescent="0.25">
      <c r="B1801" s="28" t="str">
        <f>IF(ISNUMBER(MATCH(C1801, Mgt_Unit!$C$5:$C$1018, 0)), INDEX(Mgt_Unit!$B$5:$B$1018, MATCH(C1801, Mgt_Unit!$C$5:$C$1018, 0)), "")</f>
        <v>jennifer.moore</v>
      </c>
      <c r="C1801" t="s">
        <v>891</v>
      </c>
      <c r="E1801" s="17" t="s">
        <v>1583</v>
      </c>
      <c r="F1801" s="89">
        <v>42605</v>
      </c>
      <c r="J1801" t="s">
        <v>1352</v>
      </c>
      <c r="K1801" s="120">
        <v>37</v>
      </c>
    </row>
    <row r="1802" spans="2:11" hidden="1" x14ac:dyDescent="0.25">
      <c r="B1802" s="28" t="str">
        <f>IF(ISNUMBER(MATCH(C1802, Mgt_Unit!$C$5:$C$1018, 0)), INDEX(Mgt_Unit!$B$5:$B$1018, MATCH(C1802, Mgt_Unit!$C$5:$C$1018, 0)), "")</f>
        <v>jennifer.moore</v>
      </c>
      <c r="C1802" t="s">
        <v>891</v>
      </c>
      <c r="E1802" s="17" t="s">
        <v>1585</v>
      </c>
      <c r="F1802" s="89">
        <v>42615</v>
      </c>
      <c r="J1802" t="s">
        <v>1450</v>
      </c>
      <c r="K1802" s="120">
        <v>6.3</v>
      </c>
    </row>
    <row r="1803" spans="2:11" hidden="1" x14ac:dyDescent="0.25">
      <c r="B1803" s="28" t="str">
        <f>IF(ISNUMBER(MATCH(C1803, Mgt_Unit!$C$5:$C$1018, 0)), INDEX(Mgt_Unit!$B$5:$B$1018, MATCH(C1803, Mgt_Unit!$C$5:$C$1018, 0)), "")</f>
        <v>jennifer.moore</v>
      </c>
      <c r="C1803" t="s">
        <v>891</v>
      </c>
      <c r="E1803" s="17" t="s">
        <v>1583</v>
      </c>
      <c r="F1803" s="89">
        <v>42895</v>
      </c>
      <c r="J1803" t="s">
        <v>1465</v>
      </c>
      <c r="K1803" s="120">
        <v>8.6999999999999993</v>
      </c>
    </row>
    <row r="1804" spans="2:11" hidden="1" x14ac:dyDescent="0.25">
      <c r="B1804" s="28" t="str">
        <f>IF(ISNUMBER(MATCH(C1804, Mgt_Unit!$C$5:$C$1018, 0)), INDEX(Mgt_Unit!$B$5:$B$1018, MATCH(C1804, Mgt_Unit!$C$5:$C$1018, 0)), "")</f>
        <v>jennifer.moore</v>
      </c>
      <c r="C1804" t="s">
        <v>891</v>
      </c>
      <c r="E1804" s="17" t="s">
        <v>1584</v>
      </c>
      <c r="F1804" s="89">
        <v>42899</v>
      </c>
      <c r="J1804" t="s">
        <v>1467</v>
      </c>
      <c r="K1804" s="120">
        <v>14</v>
      </c>
    </row>
    <row r="1805" spans="2:11" hidden="1" x14ac:dyDescent="0.25">
      <c r="B1805" s="28" t="str">
        <f>IF(ISNUMBER(MATCH(C1805, Mgt_Unit!$C$5:$C$1018, 0)), INDEX(Mgt_Unit!$B$5:$B$1018, MATCH(C1805, Mgt_Unit!$C$5:$C$1018, 0)), "")</f>
        <v>jennifer.moore</v>
      </c>
      <c r="C1805" t="s">
        <v>891</v>
      </c>
      <c r="E1805" s="17" t="s">
        <v>1583</v>
      </c>
      <c r="F1805" s="89">
        <v>42899</v>
      </c>
      <c r="J1805" t="s">
        <v>1465</v>
      </c>
      <c r="K1805" s="120">
        <v>18</v>
      </c>
    </row>
    <row r="1806" spans="2:11" hidden="1" x14ac:dyDescent="0.25">
      <c r="B1806" s="28" t="str">
        <f>IF(ISNUMBER(MATCH(C1806, Mgt_Unit!$C$5:$C$1018, 0)), INDEX(Mgt_Unit!$B$5:$B$1018, MATCH(C1806, Mgt_Unit!$C$5:$C$1018, 0)), "")</f>
        <v>jennifer.moore</v>
      </c>
      <c r="C1806" t="s">
        <v>891</v>
      </c>
      <c r="E1806" s="17" t="s">
        <v>1583</v>
      </c>
      <c r="F1806" s="89">
        <v>42914</v>
      </c>
      <c r="J1806" t="s">
        <v>1466</v>
      </c>
      <c r="K1806" s="120">
        <v>15</v>
      </c>
    </row>
    <row r="1807" spans="2:11" hidden="1" x14ac:dyDescent="0.25">
      <c r="B1807" s="28" t="str">
        <f>IF(ISNUMBER(MATCH(C1807, Mgt_Unit!$C$5:$C$1018, 0)), INDEX(Mgt_Unit!$B$5:$B$1018, MATCH(C1807, Mgt_Unit!$C$5:$C$1018, 0)), "")</f>
        <v>jennifer.moore</v>
      </c>
      <c r="C1807" t="s">
        <v>891</v>
      </c>
      <c r="E1807" s="17" t="s">
        <v>1583</v>
      </c>
      <c r="F1807" s="89">
        <v>42919</v>
      </c>
      <c r="J1807" t="s">
        <v>1466</v>
      </c>
      <c r="K1807" s="120">
        <v>15</v>
      </c>
    </row>
    <row r="1808" spans="2:11" hidden="1" x14ac:dyDescent="0.25">
      <c r="B1808" s="28" t="str">
        <f>IF(ISNUMBER(MATCH(C1808, Mgt_Unit!$C$5:$C$1018, 0)), INDEX(Mgt_Unit!$B$5:$B$1018, MATCH(C1808, Mgt_Unit!$C$5:$C$1018, 0)), "")</f>
        <v>jennifer.moore</v>
      </c>
      <c r="C1808" t="s">
        <v>891</v>
      </c>
      <c r="E1808" s="17" t="s">
        <v>1583</v>
      </c>
      <c r="F1808" s="89">
        <v>42998</v>
      </c>
      <c r="J1808" t="s">
        <v>1352</v>
      </c>
      <c r="K1808" s="120">
        <v>37</v>
      </c>
    </row>
    <row r="1809" spans="2:11" hidden="1" x14ac:dyDescent="0.25">
      <c r="B1809" s="28" t="str">
        <f>IF(ISNUMBER(MATCH(C1809, Mgt_Unit!$C$5:$C$1018, 0)), INDEX(Mgt_Unit!$B$5:$B$1018, MATCH(C1809, Mgt_Unit!$C$5:$C$1018, 0)), "")</f>
        <v>jennifer.moore</v>
      </c>
      <c r="C1809" t="s">
        <v>891</v>
      </c>
      <c r="E1809" s="17" t="s">
        <v>1583</v>
      </c>
      <c r="F1809" s="89">
        <v>43266</v>
      </c>
      <c r="J1809" t="s">
        <v>1465</v>
      </c>
      <c r="K1809" s="120">
        <v>18</v>
      </c>
    </row>
    <row r="1810" spans="2:11" hidden="1" x14ac:dyDescent="0.25">
      <c r="B1810" s="28" t="str">
        <f>IF(ISNUMBER(MATCH(C1810, Mgt_Unit!$C$5:$C$1018, 0)), INDEX(Mgt_Unit!$B$5:$B$1018, MATCH(C1810, Mgt_Unit!$C$5:$C$1018, 0)), "")</f>
        <v>jennifer.moore</v>
      </c>
      <c r="C1810" t="s">
        <v>891</v>
      </c>
      <c r="E1810" s="17" t="s">
        <v>1583</v>
      </c>
      <c r="F1810" s="89">
        <v>43266</v>
      </c>
      <c r="J1810" t="s">
        <v>1356</v>
      </c>
      <c r="K1810" s="120">
        <v>15</v>
      </c>
    </row>
    <row r="1811" spans="2:11" hidden="1" x14ac:dyDescent="0.25">
      <c r="B1811" s="28" t="str">
        <f>IF(ISNUMBER(MATCH(C1811, Mgt_Unit!$C$5:$C$1018, 0)), INDEX(Mgt_Unit!$B$5:$B$1018, MATCH(C1811, Mgt_Unit!$C$5:$C$1018, 0)), "")</f>
        <v>jennifer.moore</v>
      </c>
      <c r="C1811" t="s">
        <v>891</v>
      </c>
      <c r="E1811" s="17" t="s">
        <v>1583</v>
      </c>
      <c r="F1811" s="89">
        <v>43266</v>
      </c>
      <c r="J1811" t="s">
        <v>1465</v>
      </c>
      <c r="K1811" s="120">
        <v>18</v>
      </c>
    </row>
    <row r="1812" spans="2:11" hidden="1" x14ac:dyDescent="0.25">
      <c r="B1812" s="28" t="str">
        <f>IF(ISNUMBER(MATCH(C1812, Mgt_Unit!$C$5:$C$1018, 0)), INDEX(Mgt_Unit!$B$5:$B$1018, MATCH(C1812, Mgt_Unit!$C$5:$C$1018, 0)), "")</f>
        <v>jennifer.moore</v>
      </c>
      <c r="C1812" t="s">
        <v>891</v>
      </c>
      <c r="E1812" s="17" t="s">
        <v>1583</v>
      </c>
      <c r="F1812" s="89">
        <v>43266</v>
      </c>
      <c r="J1812" t="s">
        <v>1356</v>
      </c>
      <c r="K1812" s="120">
        <v>15</v>
      </c>
    </row>
    <row r="1813" spans="2:11" hidden="1" x14ac:dyDescent="0.25">
      <c r="B1813" s="28" t="str">
        <f>IF(ISNUMBER(MATCH(C1813, Mgt_Unit!$C$5:$C$1018, 0)), INDEX(Mgt_Unit!$B$5:$B$1018, MATCH(C1813, Mgt_Unit!$C$5:$C$1018, 0)), "")</f>
        <v>jennifer.moore</v>
      </c>
      <c r="C1813" t="s">
        <v>891</v>
      </c>
      <c r="E1813" s="17" t="s">
        <v>1584</v>
      </c>
      <c r="F1813" s="89">
        <v>43277</v>
      </c>
      <c r="J1813" t="s">
        <v>1467</v>
      </c>
      <c r="K1813" s="120">
        <v>14</v>
      </c>
    </row>
    <row r="1814" spans="2:11" hidden="1" x14ac:dyDescent="0.25">
      <c r="B1814" s="28" t="str">
        <f>IF(ISNUMBER(MATCH(C1814, Mgt_Unit!$C$5:$C$1018, 0)), INDEX(Mgt_Unit!$B$5:$B$1018, MATCH(C1814, Mgt_Unit!$C$5:$C$1018, 0)), "")</f>
        <v>jennifer.moore</v>
      </c>
      <c r="C1814" t="s">
        <v>891</v>
      </c>
      <c r="E1814" s="17" t="s">
        <v>1583</v>
      </c>
      <c r="F1814" s="89">
        <v>43280</v>
      </c>
      <c r="J1814" t="s">
        <v>1466</v>
      </c>
      <c r="K1814" s="120">
        <v>15</v>
      </c>
    </row>
    <row r="1815" spans="2:11" hidden="1" x14ac:dyDescent="0.25">
      <c r="B1815" s="28" t="str">
        <f>IF(ISNUMBER(MATCH(C1815, Mgt_Unit!$C$5:$C$1018, 0)), INDEX(Mgt_Unit!$B$5:$B$1018, MATCH(C1815, Mgt_Unit!$C$5:$C$1018, 0)), "")</f>
        <v>jennifer.moore</v>
      </c>
      <c r="C1815" t="s">
        <v>891</v>
      </c>
      <c r="E1815" s="17" t="s">
        <v>1583</v>
      </c>
      <c r="F1815" s="89">
        <v>43284</v>
      </c>
      <c r="J1815" t="s">
        <v>1466</v>
      </c>
      <c r="K1815" s="120">
        <v>15</v>
      </c>
    </row>
    <row r="1816" spans="2:11" hidden="1" x14ac:dyDescent="0.25">
      <c r="B1816" s="28" t="str">
        <f>IF(ISNUMBER(MATCH(C1816, Mgt_Unit!$C$5:$C$1018, 0)), INDEX(Mgt_Unit!$B$5:$B$1018, MATCH(C1816, Mgt_Unit!$C$5:$C$1018, 0)), "")</f>
        <v>jennifer.moore</v>
      </c>
      <c r="C1816" t="s">
        <v>891</v>
      </c>
      <c r="E1816" s="17" t="s">
        <v>1583</v>
      </c>
      <c r="F1816" s="89">
        <v>43373</v>
      </c>
      <c r="J1816" t="s">
        <v>1352</v>
      </c>
      <c r="K1816" s="120">
        <v>37</v>
      </c>
    </row>
    <row r="1817" spans="2:11" hidden="1" x14ac:dyDescent="0.25">
      <c r="B1817" s="28" t="str">
        <f>IF(ISNUMBER(MATCH(C1817, Mgt_Unit!$C$5:$C$1018, 0)), INDEX(Mgt_Unit!$B$5:$B$1018, MATCH(C1817, Mgt_Unit!$C$5:$C$1018, 0)), "")</f>
        <v>jennifer.moore</v>
      </c>
      <c r="C1817" t="s">
        <v>891</v>
      </c>
      <c r="E1817" s="17" t="s">
        <v>1585</v>
      </c>
      <c r="F1817" s="89">
        <v>43374</v>
      </c>
      <c r="J1817" t="s">
        <v>1450</v>
      </c>
      <c r="K1817" s="120">
        <v>6.3</v>
      </c>
    </row>
    <row r="1818" spans="2:11" hidden="1" x14ac:dyDescent="0.25">
      <c r="B1818" s="28" t="str">
        <f>IF(ISNUMBER(MATCH(C1818, Mgt_Unit!$C$5:$C$1018, 0)), INDEX(Mgt_Unit!$B$5:$B$1018, MATCH(C1818, Mgt_Unit!$C$5:$C$1018, 0)), "")</f>
        <v>jennifer.moore</v>
      </c>
      <c r="C1818" t="s">
        <v>892</v>
      </c>
      <c r="E1818" s="17" t="s">
        <v>1583</v>
      </c>
      <c r="F1818" s="89">
        <v>42181</v>
      </c>
      <c r="J1818" t="s">
        <v>1468</v>
      </c>
      <c r="K1818" s="120">
        <v>4.9000000000000004</v>
      </c>
    </row>
    <row r="1819" spans="2:11" hidden="1" x14ac:dyDescent="0.25">
      <c r="B1819" s="28" t="str">
        <f>IF(ISNUMBER(MATCH(C1819, Mgt_Unit!$C$5:$C$1018, 0)), INDEX(Mgt_Unit!$B$5:$B$1018, MATCH(C1819, Mgt_Unit!$C$5:$C$1018, 0)), "")</f>
        <v>jennifer.moore</v>
      </c>
      <c r="C1819" t="s">
        <v>892</v>
      </c>
      <c r="E1819" s="17" t="s">
        <v>1583</v>
      </c>
      <c r="F1819" s="89">
        <v>42191</v>
      </c>
      <c r="J1819" t="s">
        <v>1468</v>
      </c>
      <c r="K1819" s="120">
        <v>4.9000000000000004</v>
      </c>
    </row>
    <row r="1820" spans="2:11" hidden="1" x14ac:dyDescent="0.25">
      <c r="B1820" s="28" t="str">
        <f>IF(ISNUMBER(MATCH(C1820, Mgt_Unit!$C$5:$C$1018, 0)), INDEX(Mgt_Unit!$B$5:$B$1018, MATCH(C1820, Mgt_Unit!$C$5:$C$1018, 0)), "")</f>
        <v>jennifer.moore</v>
      </c>
      <c r="C1820" t="s">
        <v>892</v>
      </c>
      <c r="E1820" s="17" t="s">
        <v>1583</v>
      </c>
      <c r="F1820" s="89">
        <v>42200</v>
      </c>
      <c r="J1820" t="s">
        <v>1466</v>
      </c>
      <c r="K1820" s="120">
        <v>15</v>
      </c>
    </row>
    <row r="1821" spans="2:11" hidden="1" x14ac:dyDescent="0.25">
      <c r="B1821" s="28" t="str">
        <f>IF(ISNUMBER(MATCH(C1821, Mgt_Unit!$C$5:$C$1018, 0)), INDEX(Mgt_Unit!$B$5:$B$1018, MATCH(C1821, Mgt_Unit!$C$5:$C$1018, 0)), "")</f>
        <v>jennifer.moore</v>
      </c>
      <c r="C1821" t="s">
        <v>892</v>
      </c>
      <c r="E1821" s="17" t="s">
        <v>1583</v>
      </c>
      <c r="F1821" s="89">
        <v>42209</v>
      </c>
      <c r="J1821" t="s">
        <v>1466</v>
      </c>
      <c r="K1821" s="120">
        <v>15</v>
      </c>
    </row>
    <row r="1822" spans="2:11" hidden="1" x14ac:dyDescent="0.25">
      <c r="B1822" s="28" t="str">
        <f>IF(ISNUMBER(MATCH(C1822, Mgt_Unit!$C$5:$C$1018, 0)), INDEX(Mgt_Unit!$B$5:$B$1018, MATCH(C1822, Mgt_Unit!$C$5:$C$1018, 0)), "")</f>
        <v>jennifer.moore</v>
      </c>
      <c r="C1822" t="s">
        <v>892</v>
      </c>
      <c r="E1822" s="17" t="s">
        <v>1583</v>
      </c>
      <c r="F1822" s="89">
        <v>42260</v>
      </c>
      <c r="J1822" t="s">
        <v>1352</v>
      </c>
      <c r="K1822" s="120">
        <v>37</v>
      </c>
    </row>
    <row r="1823" spans="2:11" hidden="1" x14ac:dyDescent="0.25">
      <c r="B1823" s="28" t="str">
        <f>IF(ISNUMBER(MATCH(C1823, Mgt_Unit!$C$5:$C$1018, 0)), INDEX(Mgt_Unit!$B$5:$B$1018, MATCH(C1823, Mgt_Unit!$C$5:$C$1018, 0)), "")</f>
        <v>jennifer.moore</v>
      </c>
      <c r="C1823" t="s">
        <v>892</v>
      </c>
      <c r="E1823" s="17" t="s">
        <v>1585</v>
      </c>
      <c r="F1823" s="89">
        <v>42261</v>
      </c>
      <c r="J1823" t="s">
        <v>1450</v>
      </c>
      <c r="K1823" s="120">
        <v>6.3</v>
      </c>
    </row>
    <row r="1824" spans="2:11" hidden="1" x14ac:dyDescent="0.25">
      <c r="B1824" s="28" t="str">
        <f>IF(ISNUMBER(MATCH(C1824, Mgt_Unit!$C$5:$C$1018, 0)), INDEX(Mgt_Unit!$B$5:$B$1018, MATCH(C1824, Mgt_Unit!$C$5:$C$1018, 0)), "")</f>
        <v>jennifer.moore</v>
      </c>
      <c r="C1824" t="s">
        <v>892</v>
      </c>
      <c r="E1824" s="17" t="s">
        <v>1583</v>
      </c>
      <c r="F1824" s="89">
        <v>42516</v>
      </c>
      <c r="J1824" t="s">
        <v>1468</v>
      </c>
      <c r="K1824" s="120">
        <v>4.9000000000000004</v>
      </c>
    </row>
    <row r="1825" spans="2:11" hidden="1" x14ac:dyDescent="0.25">
      <c r="B1825" s="28" t="str">
        <f>IF(ISNUMBER(MATCH(C1825, Mgt_Unit!$C$5:$C$1018, 0)), INDEX(Mgt_Unit!$B$5:$B$1018, MATCH(C1825, Mgt_Unit!$C$5:$C$1018, 0)), "")</f>
        <v>jennifer.moore</v>
      </c>
      <c r="C1825" t="s">
        <v>892</v>
      </c>
      <c r="E1825" s="17" t="s">
        <v>1583</v>
      </c>
      <c r="F1825" s="89">
        <v>42530</v>
      </c>
      <c r="J1825" t="s">
        <v>1468</v>
      </c>
      <c r="K1825" s="120">
        <v>4.9000000000000004</v>
      </c>
    </row>
    <row r="1826" spans="2:11" hidden="1" x14ac:dyDescent="0.25">
      <c r="B1826" s="28" t="str">
        <f>IF(ISNUMBER(MATCH(C1826, Mgt_Unit!$C$5:$C$1018, 0)), INDEX(Mgt_Unit!$B$5:$B$1018, MATCH(C1826, Mgt_Unit!$C$5:$C$1018, 0)), "")</f>
        <v>jennifer.moore</v>
      </c>
      <c r="C1826" t="s">
        <v>892</v>
      </c>
      <c r="E1826" s="17" t="s">
        <v>1584</v>
      </c>
      <c r="F1826" s="89">
        <v>42531</v>
      </c>
      <c r="J1826" t="s">
        <v>1467</v>
      </c>
      <c r="K1826" s="120">
        <v>14</v>
      </c>
    </row>
    <row r="1827" spans="2:11" hidden="1" x14ac:dyDescent="0.25">
      <c r="B1827" s="28" t="str">
        <f>IF(ISNUMBER(MATCH(C1827, Mgt_Unit!$C$5:$C$1018, 0)), INDEX(Mgt_Unit!$B$5:$B$1018, MATCH(C1827, Mgt_Unit!$C$5:$C$1018, 0)), "")</f>
        <v>jennifer.moore</v>
      </c>
      <c r="C1827" t="s">
        <v>892</v>
      </c>
      <c r="E1827" s="17" t="s">
        <v>1583</v>
      </c>
      <c r="F1827" s="89">
        <v>42542</v>
      </c>
      <c r="J1827" t="s">
        <v>1466</v>
      </c>
      <c r="K1827" s="120">
        <v>15</v>
      </c>
    </row>
    <row r="1828" spans="2:11" hidden="1" x14ac:dyDescent="0.25">
      <c r="B1828" s="28" t="str">
        <f>IF(ISNUMBER(MATCH(C1828, Mgt_Unit!$C$5:$C$1018, 0)), INDEX(Mgt_Unit!$B$5:$B$1018, MATCH(C1828, Mgt_Unit!$C$5:$C$1018, 0)), "")</f>
        <v>jennifer.moore</v>
      </c>
      <c r="C1828" t="s">
        <v>892</v>
      </c>
      <c r="E1828" s="17" t="s">
        <v>1583</v>
      </c>
      <c r="F1828" s="89">
        <v>42548</v>
      </c>
      <c r="J1828" t="s">
        <v>1466</v>
      </c>
      <c r="K1828" s="120">
        <v>15</v>
      </c>
    </row>
    <row r="1829" spans="2:11" hidden="1" x14ac:dyDescent="0.25">
      <c r="B1829" s="28" t="str">
        <f>IF(ISNUMBER(MATCH(C1829, Mgt_Unit!$C$5:$C$1018, 0)), INDEX(Mgt_Unit!$B$5:$B$1018, MATCH(C1829, Mgt_Unit!$C$5:$C$1018, 0)), "")</f>
        <v>jennifer.moore</v>
      </c>
      <c r="C1829" t="s">
        <v>892</v>
      </c>
      <c r="E1829" s="17" t="s">
        <v>1583</v>
      </c>
      <c r="F1829" s="89">
        <v>42551</v>
      </c>
      <c r="J1829" t="s">
        <v>1466</v>
      </c>
      <c r="K1829" s="120">
        <v>15</v>
      </c>
    </row>
    <row r="1830" spans="2:11" hidden="1" x14ac:dyDescent="0.25">
      <c r="B1830" s="28" t="str">
        <f>IF(ISNUMBER(MATCH(C1830, Mgt_Unit!$C$5:$C$1018, 0)), INDEX(Mgt_Unit!$B$5:$B$1018, MATCH(C1830, Mgt_Unit!$C$5:$C$1018, 0)), "")</f>
        <v>jennifer.moore</v>
      </c>
      <c r="C1830" t="s">
        <v>892</v>
      </c>
      <c r="E1830" s="17" t="s">
        <v>1583</v>
      </c>
      <c r="F1830" s="89">
        <v>42558</v>
      </c>
      <c r="J1830" t="s">
        <v>1466</v>
      </c>
      <c r="K1830" s="120">
        <v>15</v>
      </c>
    </row>
    <row r="1831" spans="2:11" hidden="1" x14ac:dyDescent="0.25">
      <c r="B1831" s="28" t="str">
        <f>IF(ISNUMBER(MATCH(C1831, Mgt_Unit!$C$5:$C$1018, 0)), INDEX(Mgt_Unit!$B$5:$B$1018, MATCH(C1831, Mgt_Unit!$C$5:$C$1018, 0)), "")</f>
        <v>jennifer.moore</v>
      </c>
      <c r="C1831" t="s">
        <v>892</v>
      </c>
      <c r="E1831" s="17" t="s">
        <v>1583</v>
      </c>
      <c r="F1831" s="89">
        <v>42605</v>
      </c>
      <c r="J1831" t="s">
        <v>1352</v>
      </c>
      <c r="K1831" s="120">
        <v>37</v>
      </c>
    </row>
    <row r="1832" spans="2:11" hidden="1" x14ac:dyDescent="0.25">
      <c r="B1832" s="28" t="str">
        <f>IF(ISNUMBER(MATCH(C1832, Mgt_Unit!$C$5:$C$1018, 0)), INDEX(Mgt_Unit!$B$5:$B$1018, MATCH(C1832, Mgt_Unit!$C$5:$C$1018, 0)), "")</f>
        <v>jennifer.moore</v>
      </c>
      <c r="C1832" t="s">
        <v>892</v>
      </c>
      <c r="E1832" s="17" t="s">
        <v>1585</v>
      </c>
      <c r="F1832" s="89">
        <v>42615</v>
      </c>
      <c r="J1832" t="s">
        <v>1450</v>
      </c>
      <c r="K1832" s="120">
        <v>6.3</v>
      </c>
    </row>
    <row r="1833" spans="2:11" hidden="1" x14ac:dyDescent="0.25">
      <c r="B1833" s="28" t="str">
        <f>IF(ISNUMBER(MATCH(C1833, Mgt_Unit!$C$5:$C$1018, 0)), INDEX(Mgt_Unit!$B$5:$B$1018, MATCH(C1833, Mgt_Unit!$C$5:$C$1018, 0)), "")</f>
        <v>jennifer.moore</v>
      </c>
      <c r="C1833" t="s">
        <v>892</v>
      </c>
      <c r="E1833" s="17" t="s">
        <v>1583</v>
      </c>
      <c r="F1833" s="89">
        <v>42895</v>
      </c>
      <c r="J1833" t="s">
        <v>1468</v>
      </c>
      <c r="K1833" s="120">
        <v>4.9000000000000004</v>
      </c>
    </row>
    <row r="1834" spans="2:11" hidden="1" x14ac:dyDescent="0.25">
      <c r="B1834" s="28" t="str">
        <f>IF(ISNUMBER(MATCH(C1834, Mgt_Unit!$C$5:$C$1018, 0)), INDEX(Mgt_Unit!$B$5:$B$1018, MATCH(C1834, Mgt_Unit!$C$5:$C$1018, 0)), "")</f>
        <v>jennifer.moore</v>
      </c>
      <c r="C1834" t="s">
        <v>892</v>
      </c>
      <c r="E1834" s="17" t="s">
        <v>1584</v>
      </c>
      <c r="F1834" s="89">
        <v>42899</v>
      </c>
      <c r="J1834" t="s">
        <v>1467</v>
      </c>
      <c r="K1834" s="120">
        <v>14</v>
      </c>
    </row>
    <row r="1835" spans="2:11" hidden="1" x14ac:dyDescent="0.25">
      <c r="B1835" s="28" t="str">
        <f>IF(ISNUMBER(MATCH(C1835, Mgt_Unit!$C$5:$C$1018, 0)), INDEX(Mgt_Unit!$B$5:$B$1018, MATCH(C1835, Mgt_Unit!$C$5:$C$1018, 0)), "")</f>
        <v>jennifer.moore</v>
      </c>
      <c r="C1835" t="s">
        <v>892</v>
      </c>
      <c r="E1835" s="17" t="s">
        <v>1583</v>
      </c>
      <c r="F1835" s="89">
        <v>42899</v>
      </c>
      <c r="J1835" t="s">
        <v>1468</v>
      </c>
      <c r="K1835" s="120">
        <v>4.9000000000000004</v>
      </c>
    </row>
    <row r="1836" spans="2:11" hidden="1" x14ac:dyDescent="0.25">
      <c r="B1836" s="28" t="str">
        <f>IF(ISNUMBER(MATCH(C1836, Mgt_Unit!$C$5:$C$1018, 0)), INDEX(Mgt_Unit!$B$5:$B$1018, MATCH(C1836, Mgt_Unit!$C$5:$C$1018, 0)), "")</f>
        <v>jennifer.moore</v>
      </c>
      <c r="C1836" t="s">
        <v>892</v>
      </c>
      <c r="E1836" s="17" t="s">
        <v>1583</v>
      </c>
      <c r="F1836" s="89">
        <v>42914</v>
      </c>
      <c r="J1836" t="s">
        <v>1466</v>
      </c>
      <c r="K1836" s="120">
        <v>15</v>
      </c>
    </row>
    <row r="1837" spans="2:11" hidden="1" x14ac:dyDescent="0.25">
      <c r="B1837" s="28" t="str">
        <f>IF(ISNUMBER(MATCH(C1837, Mgt_Unit!$C$5:$C$1018, 0)), INDEX(Mgt_Unit!$B$5:$B$1018, MATCH(C1837, Mgt_Unit!$C$5:$C$1018, 0)), "")</f>
        <v>jennifer.moore</v>
      </c>
      <c r="C1837" t="s">
        <v>892</v>
      </c>
      <c r="E1837" s="17" t="s">
        <v>1583</v>
      </c>
      <c r="F1837" s="89">
        <v>42919</v>
      </c>
      <c r="J1837" t="s">
        <v>1466</v>
      </c>
      <c r="K1837" s="120">
        <v>15</v>
      </c>
    </row>
    <row r="1838" spans="2:11" hidden="1" x14ac:dyDescent="0.25">
      <c r="B1838" s="28" t="str">
        <f>IF(ISNUMBER(MATCH(C1838, Mgt_Unit!$C$5:$C$1018, 0)), INDEX(Mgt_Unit!$B$5:$B$1018, MATCH(C1838, Mgt_Unit!$C$5:$C$1018, 0)), "")</f>
        <v>jennifer.moore</v>
      </c>
      <c r="C1838" t="s">
        <v>892</v>
      </c>
      <c r="E1838" s="17" t="s">
        <v>1583</v>
      </c>
      <c r="F1838" s="89">
        <v>42998</v>
      </c>
      <c r="J1838" t="s">
        <v>1352</v>
      </c>
      <c r="K1838" s="120">
        <v>37</v>
      </c>
    </row>
    <row r="1839" spans="2:11" hidden="1" x14ac:dyDescent="0.25">
      <c r="B1839" s="28" t="str">
        <f>IF(ISNUMBER(MATCH(C1839, Mgt_Unit!$C$5:$C$1018, 0)), INDEX(Mgt_Unit!$B$5:$B$1018, MATCH(C1839, Mgt_Unit!$C$5:$C$1018, 0)), "")</f>
        <v>jennifer.moore</v>
      </c>
      <c r="C1839" t="s">
        <v>892</v>
      </c>
      <c r="E1839" s="17" t="s">
        <v>1585</v>
      </c>
      <c r="F1839" s="89">
        <v>43000</v>
      </c>
      <c r="J1839" t="s">
        <v>1450</v>
      </c>
      <c r="K1839" s="120">
        <v>6.3</v>
      </c>
    </row>
    <row r="1840" spans="2:11" hidden="1" x14ac:dyDescent="0.25">
      <c r="B1840" s="28" t="str">
        <f>IF(ISNUMBER(MATCH(C1840, Mgt_Unit!$C$5:$C$1018, 0)), INDEX(Mgt_Unit!$B$5:$B$1018, MATCH(C1840, Mgt_Unit!$C$5:$C$1018, 0)), "")</f>
        <v>jennifer.moore</v>
      </c>
      <c r="C1840" t="s">
        <v>892</v>
      </c>
      <c r="E1840" s="17" t="s">
        <v>1583</v>
      </c>
      <c r="F1840" s="89">
        <v>43266</v>
      </c>
      <c r="J1840" t="s">
        <v>1468</v>
      </c>
      <c r="K1840" s="120">
        <v>4.9000000000000004</v>
      </c>
    </row>
    <row r="1841" spans="2:11" hidden="1" x14ac:dyDescent="0.25">
      <c r="B1841" s="28" t="str">
        <f>IF(ISNUMBER(MATCH(C1841, Mgt_Unit!$C$5:$C$1018, 0)), INDEX(Mgt_Unit!$B$5:$B$1018, MATCH(C1841, Mgt_Unit!$C$5:$C$1018, 0)), "")</f>
        <v>jennifer.moore</v>
      </c>
      <c r="C1841" t="s">
        <v>892</v>
      </c>
      <c r="E1841" s="17" t="s">
        <v>1583</v>
      </c>
      <c r="F1841" s="89">
        <v>43266</v>
      </c>
      <c r="J1841" t="s">
        <v>1468</v>
      </c>
      <c r="K1841" s="120">
        <v>4.9000000000000004</v>
      </c>
    </row>
    <row r="1842" spans="2:11" hidden="1" x14ac:dyDescent="0.25">
      <c r="B1842" s="28" t="str">
        <f>IF(ISNUMBER(MATCH(C1842, Mgt_Unit!$C$5:$C$1018, 0)), INDEX(Mgt_Unit!$B$5:$B$1018, MATCH(C1842, Mgt_Unit!$C$5:$C$1018, 0)), "")</f>
        <v>jennifer.moore</v>
      </c>
      <c r="C1842" t="s">
        <v>892</v>
      </c>
      <c r="E1842" s="17" t="s">
        <v>1584</v>
      </c>
      <c r="F1842" s="89">
        <v>43267</v>
      </c>
      <c r="J1842" t="s">
        <v>1467</v>
      </c>
      <c r="K1842" s="120">
        <v>14</v>
      </c>
    </row>
    <row r="1843" spans="2:11" hidden="1" x14ac:dyDescent="0.25">
      <c r="B1843" s="28" t="str">
        <f>IF(ISNUMBER(MATCH(C1843, Mgt_Unit!$C$5:$C$1018, 0)), INDEX(Mgt_Unit!$B$5:$B$1018, MATCH(C1843, Mgt_Unit!$C$5:$C$1018, 0)), "")</f>
        <v>jennifer.moore</v>
      </c>
      <c r="C1843" t="s">
        <v>892</v>
      </c>
      <c r="E1843" s="17" t="s">
        <v>1583</v>
      </c>
      <c r="F1843" s="89">
        <v>43277</v>
      </c>
      <c r="J1843" t="s">
        <v>1466</v>
      </c>
      <c r="K1843" s="120">
        <v>15</v>
      </c>
    </row>
    <row r="1844" spans="2:11" hidden="1" x14ac:dyDescent="0.25">
      <c r="B1844" s="28" t="str">
        <f>IF(ISNUMBER(MATCH(C1844, Mgt_Unit!$C$5:$C$1018, 0)), INDEX(Mgt_Unit!$B$5:$B$1018, MATCH(C1844, Mgt_Unit!$C$5:$C$1018, 0)), "")</f>
        <v>jennifer.moore</v>
      </c>
      <c r="C1844" t="s">
        <v>892</v>
      </c>
      <c r="E1844" s="17" t="s">
        <v>1583</v>
      </c>
      <c r="F1844" s="89">
        <v>43284</v>
      </c>
      <c r="J1844" t="s">
        <v>1466</v>
      </c>
      <c r="K1844" s="120">
        <v>15</v>
      </c>
    </row>
    <row r="1845" spans="2:11" hidden="1" x14ac:dyDescent="0.25">
      <c r="B1845" s="28" t="str">
        <f>IF(ISNUMBER(MATCH(C1845, Mgt_Unit!$C$5:$C$1018, 0)), INDEX(Mgt_Unit!$B$5:$B$1018, MATCH(C1845, Mgt_Unit!$C$5:$C$1018, 0)), "")</f>
        <v>jennifer.moore</v>
      </c>
      <c r="C1845" t="s">
        <v>892</v>
      </c>
      <c r="E1845" s="17" t="s">
        <v>1583</v>
      </c>
      <c r="F1845" s="89">
        <v>43285</v>
      </c>
      <c r="J1845" t="s">
        <v>1466</v>
      </c>
      <c r="K1845" s="120">
        <v>15</v>
      </c>
    </row>
    <row r="1846" spans="2:11" hidden="1" x14ac:dyDescent="0.25">
      <c r="B1846" s="28" t="str">
        <f>IF(ISNUMBER(MATCH(C1846, Mgt_Unit!$C$5:$C$1018, 0)), INDEX(Mgt_Unit!$B$5:$B$1018, MATCH(C1846, Mgt_Unit!$C$5:$C$1018, 0)), "")</f>
        <v>jennifer.moore</v>
      </c>
      <c r="C1846" t="s">
        <v>892</v>
      </c>
      <c r="E1846" s="17" t="s">
        <v>1583</v>
      </c>
      <c r="F1846" s="89">
        <v>43373</v>
      </c>
      <c r="J1846" t="s">
        <v>1352</v>
      </c>
      <c r="K1846" s="120">
        <v>37</v>
      </c>
    </row>
    <row r="1847" spans="2:11" hidden="1" x14ac:dyDescent="0.25">
      <c r="B1847" s="28" t="str">
        <f>IF(ISNUMBER(MATCH(C1847, Mgt_Unit!$C$5:$C$1018, 0)), INDEX(Mgt_Unit!$B$5:$B$1018, MATCH(C1847, Mgt_Unit!$C$5:$C$1018, 0)), "")</f>
        <v>jennifer.moore</v>
      </c>
      <c r="C1847" t="s">
        <v>892</v>
      </c>
      <c r="E1847" s="17" t="s">
        <v>1585</v>
      </c>
      <c r="F1847" s="89">
        <v>43374</v>
      </c>
      <c r="J1847" t="s">
        <v>1450</v>
      </c>
      <c r="K1847" s="120">
        <v>6.3</v>
      </c>
    </row>
    <row r="1848" spans="2:11" hidden="1" x14ac:dyDescent="0.25">
      <c r="B1848" s="28" t="str">
        <f>IF(ISNUMBER(MATCH(C1848, Mgt_Unit!$C$5:$C$1018, 0)), INDEX(Mgt_Unit!$B$5:$B$1018, MATCH(C1848, Mgt_Unit!$C$5:$C$1018, 0)), "")</f>
        <v>jennifer.moore</v>
      </c>
      <c r="C1848" t="s">
        <v>893</v>
      </c>
      <c r="E1848" s="17" t="s">
        <v>1583</v>
      </c>
      <c r="F1848" s="89">
        <v>42181</v>
      </c>
      <c r="J1848" t="s">
        <v>1468</v>
      </c>
      <c r="K1848" s="120">
        <v>4.9000000000000004</v>
      </c>
    </row>
    <row r="1849" spans="2:11" hidden="1" x14ac:dyDescent="0.25">
      <c r="B1849" s="28" t="str">
        <f>IF(ISNUMBER(MATCH(C1849, Mgt_Unit!$C$5:$C$1018, 0)), INDEX(Mgt_Unit!$B$5:$B$1018, MATCH(C1849, Mgt_Unit!$C$5:$C$1018, 0)), "")</f>
        <v>jennifer.moore</v>
      </c>
      <c r="C1849" t="s">
        <v>893</v>
      </c>
      <c r="E1849" s="17" t="s">
        <v>1583</v>
      </c>
      <c r="F1849" s="89">
        <v>42191</v>
      </c>
      <c r="J1849" t="s">
        <v>1468</v>
      </c>
      <c r="K1849" s="120">
        <v>4.9000000000000004</v>
      </c>
    </row>
    <row r="1850" spans="2:11" hidden="1" x14ac:dyDescent="0.25">
      <c r="B1850" s="28" t="str">
        <f>IF(ISNUMBER(MATCH(C1850, Mgt_Unit!$C$5:$C$1018, 0)), INDEX(Mgt_Unit!$B$5:$B$1018, MATCH(C1850, Mgt_Unit!$C$5:$C$1018, 0)), "")</f>
        <v>jennifer.moore</v>
      </c>
      <c r="C1850" t="s">
        <v>893</v>
      </c>
      <c r="E1850" s="17" t="s">
        <v>1583</v>
      </c>
      <c r="F1850" s="89">
        <v>42200</v>
      </c>
      <c r="J1850" t="s">
        <v>1466</v>
      </c>
      <c r="K1850" s="120">
        <v>15</v>
      </c>
    </row>
    <row r="1851" spans="2:11" hidden="1" x14ac:dyDescent="0.25">
      <c r="B1851" s="28" t="str">
        <f>IF(ISNUMBER(MATCH(C1851, Mgt_Unit!$C$5:$C$1018, 0)), INDEX(Mgt_Unit!$B$5:$B$1018, MATCH(C1851, Mgt_Unit!$C$5:$C$1018, 0)), "")</f>
        <v>jennifer.moore</v>
      </c>
      <c r="C1851" t="s">
        <v>893</v>
      </c>
      <c r="E1851" s="17" t="s">
        <v>1583</v>
      </c>
      <c r="F1851" s="89">
        <v>42209</v>
      </c>
      <c r="J1851" t="s">
        <v>1466</v>
      </c>
      <c r="K1851" s="120">
        <v>15</v>
      </c>
    </row>
    <row r="1852" spans="2:11" hidden="1" x14ac:dyDescent="0.25">
      <c r="B1852" s="28" t="str">
        <f>IF(ISNUMBER(MATCH(C1852, Mgt_Unit!$C$5:$C$1018, 0)), INDEX(Mgt_Unit!$B$5:$B$1018, MATCH(C1852, Mgt_Unit!$C$5:$C$1018, 0)), "")</f>
        <v>jennifer.moore</v>
      </c>
      <c r="C1852" t="s">
        <v>893</v>
      </c>
      <c r="E1852" s="17" t="s">
        <v>1583</v>
      </c>
      <c r="F1852" s="89">
        <v>42259</v>
      </c>
      <c r="J1852" t="s">
        <v>1352</v>
      </c>
      <c r="K1852" s="120">
        <v>37</v>
      </c>
    </row>
    <row r="1853" spans="2:11" hidden="1" x14ac:dyDescent="0.25">
      <c r="B1853" s="28" t="str">
        <f>IF(ISNUMBER(MATCH(C1853, Mgt_Unit!$C$5:$C$1018, 0)), INDEX(Mgt_Unit!$B$5:$B$1018, MATCH(C1853, Mgt_Unit!$C$5:$C$1018, 0)), "")</f>
        <v>jennifer.moore</v>
      </c>
      <c r="C1853" t="s">
        <v>893</v>
      </c>
      <c r="E1853" s="17" t="s">
        <v>1585</v>
      </c>
      <c r="F1853" s="89">
        <v>42260</v>
      </c>
      <c r="J1853" t="s">
        <v>1450</v>
      </c>
      <c r="K1853" s="120">
        <v>6.3</v>
      </c>
    </row>
    <row r="1854" spans="2:11" hidden="1" x14ac:dyDescent="0.25">
      <c r="B1854" s="28" t="str">
        <f>IF(ISNUMBER(MATCH(C1854, Mgt_Unit!$C$5:$C$1018, 0)), INDEX(Mgt_Unit!$B$5:$B$1018, MATCH(C1854, Mgt_Unit!$C$5:$C$1018, 0)), "")</f>
        <v>jennifer.moore</v>
      </c>
      <c r="C1854" t="s">
        <v>893</v>
      </c>
      <c r="E1854" s="17" t="s">
        <v>1583</v>
      </c>
      <c r="F1854" s="89">
        <v>42516</v>
      </c>
      <c r="J1854" t="s">
        <v>1468</v>
      </c>
      <c r="K1854" s="120">
        <v>4.9000000000000004</v>
      </c>
    </row>
    <row r="1855" spans="2:11" hidden="1" x14ac:dyDescent="0.25">
      <c r="B1855" s="28" t="str">
        <f>IF(ISNUMBER(MATCH(C1855, Mgt_Unit!$C$5:$C$1018, 0)), INDEX(Mgt_Unit!$B$5:$B$1018, MATCH(C1855, Mgt_Unit!$C$5:$C$1018, 0)), "")</f>
        <v>jennifer.moore</v>
      </c>
      <c r="C1855" t="s">
        <v>893</v>
      </c>
      <c r="E1855" s="17" t="s">
        <v>1584</v>
      </c>
      <c r="F1855" s="89">
        <v>42531</v>
      </c>
      <c r="J1855" t="s">
        <v>1467</v>
      </c>
      <c r="K1855" s="120">
        <v>14</v>
      </c>
    </row>
    <row r="1856" spans="2:11" hidden="1" x14ac:dyDescent="0.25">
      <c r="B1856" s="28" t="str">
        <f>IF(ISNUMBER(MATCH(C1856, Mgt_Unit!$C$5:$C$1018, 0)), INDEX(Mgt_Unit!$B$5:$B$1018, MATCH(C1856, Mgt_Unit!$C$5:$C$1018, 0)), "")</f>
        <v>jennifer.moore</v>
      </c>
      <c r="C1856" t="s">
        <v>893</v>
      </c>
      <c r="E1856" s="17" t="s">
        <v>1583</v>
      </c>
      <c r="F1856" s="89">
        <v>42542</v>
      </c>
      <c r="J1856" t="s">
        <v>1466</v>
      </c>
      <c r="K1856" s="120">
        <v>15</v>
      </c>
    </row>
    <row r="1857" spans="2:11" hidden="1" x14ac:dyDescent="0.25">
      <c r="B1857" s="28" t="str">
        <f>IF(ISNUMBER(MATCH(C1857, Mgt_Unit!$C$5:$C$1018, 0)), INDEX(Mgt_Unit!$B$5:$B$1018, MATCH(C1857, Mgt_Unit!$C$5:$C$1018, 0)), "")</f>
        <v>jennifer.moore</v>
      </c>
      <c r="C1857" t="s">
        <v>893</v>
      </c>
      <c r="E1857" s="17" t="s">
        <v>1583</v>
      </c>
      <c r="F1857" s="89">
        <v>42548</v>
      </c>
      <c r="J1857" t="s">
        <v>1466</v>
      </c>
      <c r="K1857" s="120">
        <v>15</v>
      </c>
    </row>
    <row r="1858" spans="2:11" hidden="1" x14ac:dyDescent="0.25">
      <c r="B1858" s="28" t="str">
        <f>IF(ISNUMBER(MATCH(C1858, Mgt_Unit!$C$5:$C$1018, 0)), INDEX(Mgt_Unit!$B$5:$B$1018, MATCH(C1858, Mgt_Unit!$C$5:$C$1018, 0)), "")</f>
        <v>jennifer.moore</v>
      </c>
      <c r="C1858" t="s">
        <v>893</v>
      </c>
      <c r="E1858" s="17" t="s">
        <v>1583</v>
      </c>
      <c r="F1858" s="89">
        <v>42551</v>
      </c>
      <c r="J1858" t="s">
        <v>1466</v>
      </c>
      <c r="K1858" s="120">
        <v>15</v>
      </c>
    </row>
    <row r="1859" spans="2:11" hidden="1" x14ac:dyDescent="0.25">
      <c r="B1859" s="28" t="str">
        <f>IF(ISNUMBER(MATCH(C1859, Mgt_Unit!$C$5:$C$1018, 0)), INDEX(Mgt_Unit!$B$5:$B$1018, MATCH(C1859, Mgt_Unit!$C$5:$C$1018, 0)), "")</f>
        <v>jennifer.moore</v>
      </c>
      <c r="C1859" t="s">
        <v>893</v>
      </c>
      <c r="E1859" s="17" t="s">
        <v>1583</v>
      </c>
      <c r="F1859" s="89">
        <v>42558</v>
      </c>
      <c r="J1859" t="s">
        <v>1466</v>
      </c>
      <c r="K1859" s="120">
        <v>15</v>
      </c>
    </row>
    <row r="1860" spans="2:11" hidden="1" x14ac:dyDescent="0.25">
      <c r="B1860" s="28" t="str">
        <f>IF(ISNUMBER(MATCH(C1860, Mgt_Unit!$C$5:$C$1018, 0)), INDEX(Mgt_Unit!$B$5:$B$1018, MATCH(C1860, Mgt_Unit!$C$5:$C$1018, 0)), "")</f>
        <v>jennifer.moore</v>
      </c>
      <c r="C1860" t="s">
        <v>893</v>
      </c>
      <c r="E1860" s="17" t="s">
        <v>1583</v>
      </c>
      <c r="F1860" s="89">
        <v>42605</v>
      </c>
      <c r="J1860" t="s">
        <v>1352</v>
      </c>
      <c r="K1860" s="120">
        <v>37</v>
      </c>
    </row>
    <row r="1861" spans="2:11" hidden="1" x14ac:dyDescent="0.25">
      <c r="B1861" s="28" t="str">
        <f>IF(ISNUMBER(MATCH(C1861, Mgt_Unit!$C$5:$C$1018, 0)), INDEX(Mgt_Unit!$B$5:$B$1018, MATCH(C1861, Mgt_Unit!$C$5:$C$1018, 0)), "")</f>
        <v>jennifer.moore</v>
      </c>
      <c r="C1861" t="s">
        <v>893</v>
      </c>
      <c r="E1861" s="17" t="s">
        <v>1585</v>
      </c>
      <c r="F1861" s="89">
        <v>42615</v>
      </c>
      <c r="J1861" t="s">
        <v>1450</v>
      </c>
      <c r="K1861" s="120">
        <v>6.3</v>
      </c>
    </row>
    <row r="1862" spans="2:11" hidden="1" x14ac:dyDescent="0.25">
      <c r="B1862" s="28" t="str">
        <f>IF(ISNUMBER(MATCH(C1862, Mgt_Unit!$C$5:$C$1018, 0)), INDEX(Mgt_Unit!$B$5:$B$1018, MATCH(C1862, Mgt_Unit!$C$5:$C$1018, 0)), "")</f>
        <v>jennifer.moore</v>
      </c>
      <c r="C1862" t="s">
        <v>893</v>
      </c>
      <c r="E1862" s="17" t="s">
        <v>1583</v>
      </c>
      <c r="F1862" s="89">
        <v>42895</v>
      </c>
      <c r="J1862" t="s">
        <v>1468</v>
      </c>
      <c r="K1862" s="120">
        <v>4.9000000000000004</v>
      </c>
    </row>
    <row r="1863" spans="2:11" hidden="1" x14ac:dyDescent="0.25">
      <c r="B1863" s="28" t="str">
        <f>IF(ISNUMBER(MATCH(C1863, Mgt_Unit!$C$5:$C$1018, 0)), INDEX(Mgt_Unit!$B$5:$B$1018, MATCH(C1863, Mgt_Unit!$C$5:$C$1018, 0)), "")</f>
        <v>jennifer.moore</v>
      </c>
      <c r="C1863" t="s">
        <v>893</v>
      </c>
      <c r="E1863" s="17" t="s">
        <v>1583</v>
      </c>
      <c r="F1863" s="89">
        <v>42899</v>
      </c>
      <c r="J1863" t="s">
        <v>1465</v>
      </c>
      <c r="K1863" s="120">
        <v>8.6999999999999993</v>
      </c>
    </row>
    <row r="1864" spans="2:11" hidden="1" x14ac:dyDescent="0.25">
      <c r="B1864" s="28" t="str">
        <f>IF(ISNUMBER(MATCH(C1864, Mgt_Unit!$C$5:$C$1018, 0)), INDEX(Mgt_Unit!$B$5:$B$1018, MATCH(C1864, Mgt_Unit!$C$5:$C$1018, 0)), "")</f>
        <v>jennifer.moore</v>
      </c>
      <c r="C1864" t="s">
        <v>893</v>
      </c>
      <c r="E1864" s="17" t="s">
        <v>1584</v>
      </c>
      <c r="F1864" s="89">
        <v>42899</v>
      </c>
      <c r="J1864" t="s">
        <v>1467</v>
      </c>
      <c r="K1864" s="120">
        <v>14</v>
      </c>
    </row>
    <row r="1865" spans="2:11" hidden="1" x14ac:dyDescent="0.25">
      <c r="B1865" s="28" t="str">
        <f>IF(ISNUMBER(MATCH(C1865, Mgt_Unit!$C$5:$C$1018, 0)), INDEX(Mgt_Unit!$B$5:$B$1018, MATCH(C1865, Mgt_Unit!$C$5:$C$1018, 0)), "")</f>
        <v>jennifer.moore</v>
      </c>
      <c r="C1865" t="s">
        <v>893</v>
      </c>
      <c r="E1865" s="17" t="s">
        <v>1583</v>
      </c>
      <c r="F1865" s="89">
        <v>42914</v>
      </c>
      <c r="J1865" t="s">
        <v>1466</v>
      </c>
      <c r="K1865" s="120">
        <v>15</v>
      </c>
    </row>
    <row r="1866" spans="2:11" hidden="1" x14ac:dyDescent="0.25">
      <c r="B1866" s="28" t="str">
        <f>IF(ISNUMBER(MATCH(C1866, Mgt_Unit!$C$5:$C$1018, 0)), INDEX(Mgt_Unit!$B$5:$B$1018, MATCH(C1866, Mgt_Unit!$C$5:$C$1018, 0)), "")</f>
        <v>jennifer.moore</v>
      </c>
      <c r="C1866" t="s">
        <v>893</v>
      </c>
      <c r="E1866" s="17" t="s">
        <v>1583</v>
      </c>
      <c r="F1866" s="89">
        <v>42919</v>
      </c>
      <c r="J1866" t="s">
        <v>1466</v>
      </c>
      <c r="K1866" s="120">
        <v>15</v>
      </c>
    </row>
    <row r="1867" spans="2:11" hidden="1" x14ac:dyDescent="0.25">
      <c r="B1867" s="28" t="str">
        <f>IF(ISNUMBER(MATCH(C1867, Mgt_Unit!$C$5:$C$1018, 0)), INDEX(Mgt_Unit!$B$5:$B$1018, MATCH(C1867, Mgt_Unit!$C$5:$C$1018, 0)), "")</f>
        <v>jennifer.moore</v>
      </c>
      <c r="C1867" t="s">
        <v>893</v>
      </c>
      <c r="E1867" s="17" t="s">
        <v>1583</v>
      </c>
      <c r="F1867" s="89">
        <v>42998</v>
      </c>
      <c r="J1867" t="s">
        <v>1352</v>
      </c>
      <c r="K1867" s="120">
        <v>37</v>
      </c>
    </row>
    <row r="1868" spans="2:11" hidden="1" x14ac:dyDescent="0.25">
      <c r="B1868" s="28" t="str">
        <f>IF(ISNUMBER(MATCH(C1868, Mgt_Unit!$C$5:$C$1018, 0)), INDEX(Mgt_Unit!$B$5:$B$1018, MATCH(C1868, Mgt_Unit!$C$5:$C$1018, 0)), "")</f>
        <v>jennifer.moore</v>
      </c>
      <c r="C1868" t="s">
        <v>893</v>
      </c>
      <c r="E1868" s="17" t="s">
        <v>1585</v>
      </c>
      <c r="F1868" s="89">
        <v>43000</v>
      </c>
      <c r="J1868" t="s">
        <v>1450</v>
      </c>
      <c r="K1868" s="120">
        <v>6.3</v>
      </c>
    </row>
    <row r="1869" spans="2:11" hidden="1" x14ac:dyDescent="0.25">
      <c r="B1869" s="28" t="str">
        <f>IF(ISNUMBER(MATCH(C1869, Mgt_Unit!$C$5:$C$1018, 0)), INDEX(Mgt_Unit!$B$5:$B$1018, MATCH(C1869, Mgt_Unit!$C$5:$C$1018, 0)), "")</f>
        <v>jennifer.moore</v>
      </c>
      <c r="C1869" t="s">
        <v>893</v>
      </c>
      <c r="E1869" s="17" t="s">
        <v>1583</v>
      </c>
      <c r="F1869" s="89">
        <v>43266</v>
      </c>
      <c r="J1869" t="s">
        <v>1468</v>
      </c>
      <c r="K1869" s="120">
        <v>4.9000000000000004</v>
      </c>
    </row>
    <row r="1870" spans="2:11" hidden="1" x14ac:dyDescent="0.25">
      <c r="B1870" s="28" t="str">
        <f>IF(ISNUMBER(MATCH(C1870, Mgt_Unit!$C$5:$C$1018, 0)), INDEX(Mgt_Unit!$B$5:$B$1018, MATCH(C1870, Mgt_Unit!$C$5:$C$1018, 0)), "")</f>
        <v>jennifer.moore</v>
      </c>
      <c r="C1870" t="s">
        <v>893</v>
      </c>
      <c r="E1870" s="17" t="s">
        <v>1583</v>
      </c>
      <c r="F1870" s="89">
        <v>43266</v>
      </c>
      <c r="J1870" t="s">
        <v>1468</v>
      </c>
      <c r="K1870" s="120">
        <v>4.9000000000000004</v>
      </c>
    </row>
    <row r="1871" spans="2:11" hidden="1" x14ac:dyDescent="0.25">
      <c r="B1871" s="28" t="str">
        <f>IF(ISNUMBER(MATCH(C1871, Mgt_Unit!$C$5:$C$1018, 0)), INDEX(Mgt_Unit!$B$5:$B$1018, MATCH(C1871, Mgt_Unit!$C$5:$C$1018, 0)), "")</f>
        <v>jennifer.moore</v>
      </c>
      <c r="C1871" t="s">
        <v>893</v>
      </c>
      <c r="E1871" s="17" t="s">
        <v>1584</v>
      </c>
      <c r="F1871" s="89">
        <v>43267</v>
      </c>
      <c r="J1871" t="s">
        <v>1467</v>
      </c>
      <c r="K1871" s="120">
        <v>14</v>
      </c>
    </row>
    <row r="1872" spans="2:11" hidden="1" x14ac:dyDescent="0.25">
      <c r="B1872" s="28" t="str">
        <f>IF(ISNUMBER(MATCH(C1872, Mgt_Unit!$C$5:$C$1018, 0)), INDEX(Mgt_Unit!$B$5:$B$1018, MATCH(C1872, Mgt_Unit!$C$5:$C$1018, 0)), "")</f>
        <v>jennifer.moore</v>
      </c>
      <c r="C1872" t="s">
        <v>893</v>
      </c>
      <c r="E1872" s="17" t="s">
        <v>1583</v>
      </c>
      <c r="F1872" s="89">
        <v>43277</v>
      </c>
      <c r="J1872" t="s">
        <v>1466</v>
      </c>
      <c r="K1872" s="120">
        <v>15</v>
      </c>
    </row>
    <row r="1873" spans="2:11" hidden="1" x14ac:dyDescent="0.25">
      <c r="B1873" s="28" t="str">
        <f>IF(ISNUMBER(MATCH(C1873, Mgt_Unit!$C$5:$C$1018, 0)), INDEX(Mgt_Unit!$B$5:$B$1018, MATCH(C1873, Mgt_Unit!$C$5:$C$1018, 0)), "")</f>
        <v>jennifer.moore</v>
      </c>
      <c r="C1873" t="s">
        <v>893</v>
      </c>
      <c r="E1873" s="17" t="s">
        <v>1583</v>
      </c>
      <c r="F1873" s="89">
        <v>43284</v>
      </c>
      <c r="J1873" t="s">
        <v>1466</v>
      </c>
      <c r="K1873" s="120">
        <v>15</v>
      </c>
    </row>
    <row r="1874" spans="2:11" hidden="1" x14ac:dyDescent="0.25">
      <c r="B1874" s="28" t="str">
        <f>IF(ISNUMBER(MATCH(C1874, Mgt_Unit!$C$5:$C$1018, 0)), INDEX(Mgt_Unit!$B$5:$B$1018, MATCH(C1874, Mgt_Unit!$C$5:$C$1018, 0)), "")</f>
        <v>jennifer.moore</v>
      </c>
      <c r="C1874" t="s">
        <v>893</v>
      </c>
      <c r="E1874" s="17" t="s">
        <v>1583</v>
      </c>
      <c r="F1874" s="89">
        <v>43285</v>
      </c>
      <c r="J1874" t="s">
        <v>1466</v>
      </c>
      <c r="K1874" s="120">
        <v>15</v>
      </c>
    </row>
    <row r="1875" spans="2:11" hidden="1" x14ac:dyDescent="0.25">
      <c r="B1875" s="28" t="str">
        <f>IF(ISNUMBER(MATCH(C1875, Mgt_Unit!$C$5:$C$1018, 0)), INDEX(Mgt_Unit!$B$5:$B$1018, MATCH(C1875, Mgt_Unit!$C$5:$C$1018, 0)), "")</f>
        <v>jennifer.moore</v>
      </c>
      <c r="C1875" t="s">
        <v>893</v>
      </c>
      <c r="E1875" s="17" t="s">
        <v>1583</v>
      </c>
      <c r="F1875" s="89">
        <v>43373</v>
      </c>
      <c r="J1875" t="s">
        <v>1352</v>
      </c>
      <c r="K1875" s="120">
        <v>37</v>
      </c>
    </row>
    <row r="1876" spans="2:11" hidden="1" x14ac:dyDescent="0.25">
      <c r="B1876" s="28" t="str">
        <f>IF(ISNUMBER(MATCH(C1876, Mgt_Unit!$C$5:$C$1018, 0)), INDEX(Mgt_Unit!$B$5:$B$1018, MATCH(C1876, Mgt_Unit!$C$5:$C$1018, 0)), "")</f>
        <v>jennifer.moore</v>
      </c>
      <c r="C1876" t="s">
        <v>893</v>
      </c>
      <c r="E1876" s="17" t="s">
        <v>1585</v>
      </c>
      <c r="F1876" s="89">
        <v>43374</v>
      </c>
      <c r="J1876" t="s">
        <v>1450</v>
      </c>
      <c r="K1876" s="120">
        <v>6.3</v>
      </c>
    </row>
    <row r="1877" spans="2:11" hidden="1" x14ac:dyDescent="0.25">
      <c r="B1877" s="28" t="str">
        <f>IF(ISNUMBER(MATCH(C1877, Mgt_Unit!$C$5:$C$1018, 0)), INDEX(Mgt_Unit!$B$5:$B$1018, MATCH(C1877, Mgt_Unit!$C$5:$C$1018, 0)), "")</f>
        <v>jennifer.moore</v>
      </c>
      <c r="C1877" t="s">
        <v>894</v>
      </c>
      <c r="E1877" s="17" t="s">
        <v>1583</v>
      </c>
      <c r="F1877" s="89">
        <v>42522</v>
      </c>
      <c r="J1877" t="s">
        <v>1402</v>
      </c>
      <c r="K1877" s="120">
        <v>65</v>
      </c>
    </row>
    <row r="1878" spans="2:11" hidden="1" x14ac:dyDescent="0.25">
      <c r="B1878" s="28" t="str">
        <f>IF(ISNUMBER(MATCH(C1878, Mgt_Unit!$C$5:$C$1018, 0)), INDEX(Mgt_Unit!$B$5:$B$1018, MATCH(C1878, Mgt_Unit!$C$5:$C$1018, 0)), "")</f>
        <v>jennifer.moore</v>
      </c>
      <c r="C1878" t="s">
        <v>894</v>
      </c>
      <c r="E1878" s="17" t="s">
        <v>1584</v>
      </c>
      <c r="F1878" s="89">
        <v>42523</v>
      </c>
      <c r="J1878" t="s">
        <v>1469</v>
      </c>
      <c r="K1878" s="120">
        <v>2.4</v>
      </c>
    </row>
    <row r="1879" spans="2:11" hidden="1" x14ac:dyDescent="0.25">
      <c r="B1879" s="28" t="str">
        <f>IF(ISNUMBER(MATCH(C1879, Mgt_Unit!$C$5:$C$1018, 0)), INDEX(Mgt_Unit!$B$5:$B$1018, MATCH(C1879, Mgt_Unit!$C$5:$C$1018, 0)), "")</f>
        <v>jennifer.moore</v>
      </c>
      <c r="C1879" t="s">
        <v>894</v>
      </c>
      <c r="E1879" s="17" t="s">
        <v>1583</v>
      </c>
      <c r="F1879" s="89">
        <v>42599</v>
      </c>
      <c r="J1879" t="s">
        <v>1352</v>
      </c>
      <c r="K1879" s="120">
        <v>15</v>
      </c>
    </row>
    <row r="1880" spans="2:11" hidden="1" x14ac:dyDescent="0.25">
      <c r="B1880" s="28" t="str">
        <f>IF(ISNUMBER(MATCH(C1880, Mgt_Unit!$C$5:$C$1018, 0)), INDEX(Mgt_Unit!$B$5:$B$1018, MATCH(C1880, Mgt_Unit!$C$5:$C$1018, 0)), "")</f>
        <v>jennifer.moore</v>
      </c>
      <c r="C1880" t="s">
        <v>894</v>
      </c>
      <c r="E1880" s="17" t="s">
        <v>1583</v>
      </c>
      <c r="F1880" s="89">
        <v>42887</v>
      </c>
      <c r="J1880" t="s">
        <v>1402</v>
      </c>
      <c r="K1880" s="120">
        <v>65</v>
      </c>
    </row>
    <row r="1881" spans="2:11" hidden="1" x14ac:dyDescent="0.25">
      <c r="B1881" s="28" t="str">
        <f>IF(ISNUMBER(MATCH(C1881, Mgt_Unit!$C$5:$C$1018, 0)), INDEX(Mgt_Unit!$B$5:$B$1018, MATCH(C1881, Mgt_Unit!$C$5:$C$1018, 0)), "")</f>
        <v>jennifer.moore</v>
      </c>
      <c r="C1881" t="s">
        <v>894</v>
      </c>
      <c r="E1881" s="17" t="s">
        <v>1584</v>
      </c>
      <c r="F1881" s="89">
        <v>42888</v>
      </c>
      <c r="J1881" t="s">
        <v>1469</v>
      </c>
      <c r="K1881" s="120">
        <v>2.4</v>
      </c>
    </row>
    <row r="1882" spans="2:11" hidden="1" x14ac:dyDescent="0.25">
      <c r="B1882" s="28" t="str">
        <f>IF(ISNUMBER(MATCH(C1882, Mgt_Unit!$C$5:$C$1018, 0)), INDEX(Mgt_Unit!$B$5:$B$1018, MATCH(C1882, Mgt_Unit!$C$5:$C$1018, 0)), "")</f>
        <v>jennifer.moore</v>
      </c>
      <c r="C1882" t="s">
        <v>894</v>
      </c>
      <c r="E1882" s="17" t="s">
        <v>1583</v>
      </c>
      <c r="F1882" s="89">
        <v>42996</v>
      </c>
      <c r="J1882" t="s">
        <v>1352</v>
      </c>
      <c r="K1882" s="120">
        <v>15</v>
      </c>
    </row>
    <row r="1883" spans="2:11" hidden="1" x14ac:dyDescent="0.25">
      <c r="B1883" s="28" t="str">
        <f>IF(ISNUMBER(MATCH(C1883, Mgt_Unit!$C$5:$C$1018, 0)), INDEX(Mgt_Unit!$B$5:$B$1018, MATCH(C1883, Mgt_Unit!$C$5:$C$1018, 0)), "")</f>
        <v>jennifer.moore</v>
      </c>
      <c r="C1883" t="s">
        <v>894</v>
      </c>
      <c r="E1883" s="17" t="s">
        <v>1583</v>
      </c>
      <c r="F1883" s="89">
        <v>43264</v>
      </c>
      <c r="J1883" t="s">
        <v>1402</v>
      </c>
      <c r="K1883" s="120">
        <v>65</v>
      </c>
    </row>
    <row r="1884" spans="2:11" hidden="1" x14ac:dyDescent="0.25">
      <c r="B1884" s="28" t="str">
        <f>IF(ISNUMBER(MATCH(C1884, Mgt_Unit!$C$5:$C$1018, 0)), INDEX(Mgt_Unit!$B$5:$B$1018, MATCH(C1884, Mgt_Unit!$C$5:$C$1018, 0)), "")</f>
        <v>jennifer.moore</v>
      </c>
      <c r="C1884" t="s">
        <v>894</v>
      </c>
      <c r="E1884" s="17" t="s">
        <v>1584</v>
      </c>
      <c r="F1884" s="89">
        <v>43265</v>
      </c>
      <c r="J1884" t="s">
        <v>1469</v>
      </c>
      <c r="K1884" s="120">
        <v>2.4</v>
      </c>
    </row>
    <row r="1885" spans="2:11" hidden="1" x14ac:dyDescent="0.25">
      <c r="B1885" s="28" t="str">
        <f>IF(ISNUMBER(MATCH(C1885, Mgt_Unit!$C$5:$C$1018, 0)), INDEX(Mgt_Unit!$B$5:$B$1018, MATCH(C1885, Mgt_Unit!$C$5:$C$1018, 0)), "")</f>
        <v>jennifer.moore</v>
      </c>
      <c r="C1885" t="s">
        <v>894</v>
      </c>
      <c r="E1885" s="17" t="s">
        <v>1583</v>
      </c>
      <c r="F1885" s="89">
        <v>43368</v>
      </c>
      <c r="J1885" t="s">
        <v>1352</v>
      </c>
      <c r="K1885" s="120">
        <v>15</v>
      </c>
    </row>
    <row r="1886" spans="2:11" hidden="1" x14ac:dyDescent="0.25">
      <c r="B1886" s="28" t="str">
        <f>IF(ISNUMBER(MATCH(C1886, Mgt_Unit!$C$5:$C$1018, 0)), INDEX(Mgt_Unit!$B$5:$B$1018, MATCH(C1886, Mgt_Unit!$C$5:$C$1018, 0)), "")</f>
        <v>jennifer.moore</v>
      </c>
      <c r="C1886" t="s">
        <v>895</v>
      </c>
      <c r="E1886" s="17" t="s">
        <v>1583</v>
      </c>
      <c r="F1886" s="89">
        <v>42522</v>
      </c>
      <c r="J1886" t="s">
        <v>1402</v>
      </c>
      <c r="K1886" s="120">
        <v>65</v>
      </c>
    </row>
    <row r="1887" spans="2:11" hidden="1" x14ac:dyDescent="0.25">
      <c r="B1887" s="28" t="str">
        <f>IF(ISNUMBER(MATCH(C1887, Mgt_Unit!$C$5:$C$1018, 0)), INDEX(Mgt_Unit!$B$5:$B$1018, MATCH(C1887, Mgt_Unit!$C$5:$C$1018, 0)), "")</f>
        <v>jennifer.moore</v>
      </c>
      <c r="C1887" t="s">
        <v>895</v>
      </c>
      <c r="E1887" s="17" t="s">
        <v>1584</v>
      </c>
      <c r="F1887" s="89">
        <v>42523</v>
      </c>
      <c r="J1887" t="s">
        <v>1469</v>
      </c>
      <c r="K1887" s="120">
        <v>2.4</v>
      </c>
    </row>
    <row r="1888" spans="2:11" hidden="1" x14ac:dyDescent="0.25">
      <c r="B1888" s="28" t="str">
        <f>IF(ISNUMBER(MATCH(C1888, Mgt_Unit!$C$5:$C$1018, 0)), INDEX(Mgt_Unit!$B$5:$B$1018, MATCH(C1888, Mgt_Unit!$C$5:$C$1018, 0)), "")</f>
        <v>jennifer.moore</v>
      </c>
      <c r="C1888" t="s">
        <v>895</v>
      </c>
      <c r="E1888" s="17" t="s">
        <v>1583</v>
      </c>
      <c r="F1888" s="89">
        <v>42599</v>
      </c>
      <c r="J1888" t="s">
        <v>1352</v>
      </c>
      <c r="K1888" s="120">
        <v>15</v>
      </c>
    </row>
    <row r="1889" spans="2:11" hidden="1" x14ac:dyDescent="0.25">
      <c r="B1889" s="28" t="str">
        <f>IF(ISNUMBER(MATCH(C1889, Mgt_Unit!$C$5:$C$1018, 0)), INDEX(Mgt_Unit!$B$5:$B$1018, MATCH(C1889, Mgt_Unit!$C$5:$C$1018, 0)), "")</f>
        <v>jennifer.moore</v>
      </c>
      <c r="C1889" t="s">
        <v>895</v>
      </c>
      <c r="E1889" s="17" t="s">
        <v>1585</v>
      </c>
      <c r="F1889" s="89">
        <v>42605</v>
      </c>
      <c r="J1889" t="s">
        <v>1469</v>
      </c>
      <c r="K1889" s="120">
        <v>2.4</v>
      </c>
    </row>
    <row r="1890" spans="2:11" hidden="1" x14ac:dyDescent="0.25">
      <c r="B1890" s="28" t="str">
        <f>IF(ISNUMBER(MATCH(C1890, Mgt_Unit!$C$5:$C$1018, 0)), INDEX(Mgt_Unit!$B$5:$B$1018, MATCH(C1890, Mgt_Unit!$C$5:$C$1018, 0)), "")</f>
        <v>jennifer.moore</v>
      </c>
      <c r="C1890" t="s">
        <v>895</v>
      </c>
      <c r="E1890" s="17" t="s">
        <v>1583</v>
      </c>
      <c r="F1890" s="89">
        <v>42887</v>
      </c>
      <c r="J1890" t="s">
        <v>1402</v>
      </c>
      <c r="K1890" s="120">
        <v>65</v>
      </c>
    </row>
    <row r="1891" spans="2:11" hidden="1" x14ac:dyDescent="0.25">
      <c r="B1891" s="28" t="str">
        <f>IF(ISNUMBER(MATCH(C1891, Mgt_Unit!$C$5:$C$1018, 0)), INDEX(Mgt_Unit!$B$5:$B$1018, MATCH(C1891, Mgt_Unit!$C$5:$C$1018, 0)), "")</f>
        <v>jennifer.moore</v>
      </c>
      <c r="C1891" t="s">
        <v>895</v>
      </c>
      <c r="E1891" s="17" t="s">
        <v>1584</v>
      </c>
      <c r="F1891" s="89">
        <v>42888</v>
      </c>
      <c r="J1891" t="s">
        <v>1469</v>
      </c>
      <c r="K1891" s="120">
        <v>2.4</v>
      </c>
    </row>
    <row r="1892" spans="2:11" hidden="1" x14ac:dyDescent="0.25">
      <c r="B1892" s="28" t="str">
        <f>IF(ISNUMBER(MATCH(C1892, Mgt_Unit!$C$5:$C$1018, 0)), INDEX(Mgt_Unit!$B$5:$B$1018, MATCH(C1892, Mgt_Unit!$C$5:$C$1018, 0)), "")</f>
        <v>jennifer.moore</v>
      </c>
      <c r="C1892" t="s">
        <v>895</v>
      </c>
      <c r="E1892" s="17" t="s">
        <v>1583</v>
      </c>
      <c r="F1892" s="89">
        <v>42996</v>
      </c>
      <c r="J1892" t="s">
        <v>1352</v>
      </c>
      <c r="K1892" s="120">
        <v>15</v>
      </c>
    </row>
    <row r="1893" spans="2:11" hidden="1" x14ac:dyDescent="0.25">
      <c r="B1893" s="28" t="str">
        <f>IF(ISNUMBER(MATCH(C1893, Mgt_Unit!$C$5:$C$1018, 0)), INDEX(Mgt_Unit!$B$5:$B$1018, MATCH(C1893, Mgt_Unit!$C$5:$C$1018, 0)), "")</f>
        <v>jennifer.moore</v>
      </c>
      <c r="C1893" t="s">
        <v>895</v>
      </c>
      <c r="E1893" s="17" t="s">
        <v>1585</v>
      </c>
      <c r="F1893" s="89">
        <v>43000</v>
      </c>
      <c r="J1893" t="s">
        <v>1469</v>
      </c>
      <c r="K1893" s="120">
        <v>2.4</v>
      </c>
    </row>
    <row r="1894" spans="2:11" hidden="1" x14ac:dyDescent="0.25">
      <c r="B1894" s="28" t="str">
        <f>IF(ISNUMBER(MATCH(C1894, Mgt_Unit!$C$5:$C$1018, 0)), INDEX(Mgt_Unit!$B$5:$B$1018, MATCH(C1894, Mgt_Unit!$C$5:$C$1018, 0)), "")</f>
        <v>jennifer.moore</v>
      </c>
      <c r="C1894" t="s">
        <v>895</v>
      </c>
      <c r="E1894" s="17" t="s">
        <v>1583</v>
      </c>
      <c r="F1894" s="89">
        <v>43264</v>
      </c>
      <c r="J1894" t="s">
        <v>1402</v>
      </c>
      <c r="K1894" s="120">
        <v>65</v>
      </c>
    </row>
    <row r="1895" spans="2:11" hidden="1" x14ac:dyDescent="0.25">
      <c r="B1895" s="28" t="str">
        <f>IF(ISNUMBER(MATCH(C1895, Mgt_Unit!$C$5:$C$1018, 0)), INDEX(Mgt_Unit!$B$5:$B$1018, MATCH(C1895, Mgt_Unit!$C$5:$C$1018, 0)), "")</f>
        <v>jennifer.moore</v>
      </c>
      <c r="C1895" t="s">
        <v>895</v>
      </c>
      <c r="E1895" s="17" t="s">
        <v>1584</v>
      </c>
      <c r="F1895" s="89">
        <v>43265</v>
      </c>
      <c r="J1895" t="s">
        <v>1469</v>
      </c>
      <c r="K1895" s="120">
        <v>2.4</v>
      </c>
    </row>
    <row r="1896" spans="2:11" hidden="1" x14ac:dyDescent="0.25">
      <c r="B1896" s="28" t="str">
        <f>IF(ISNUMBER(MATCH(C1896, Mgt_Unit!$C$5:$C$1018, 0)), INDEX(Mgt_Unit!$B$5:$B$1018, MATCH(C1896, Mgt_Unit!$C$5:$C$1018, 0)), "")</f>
        <v>jennifer.moore</v>
      </c>
      <c r="C1896" t="s">
        <v>895</v>
      </c>
      <c r="E1896" s="17" t="s">
        <v>1583</v>
      </c>
      <c r="F1896" s="89">
        <v>43368</v>
      </c>
      <c r="J1896" t="s">
        <v>1352</v>
      </c>
      <c r="K1896" s="120">
        <v>15</v>
      </c>
    </row>
    <row r="1897" spans="2:11" hidden="1" x14ac:dyDescent="0.25">
      <c r="B1897" s="28" t="str">
        <f>IF(ISNUMBER(MATCH(C1897, Mgt_Unit!$C$5:$C$1018, 0)), INDEX(Mgt_Unit!$B$5:$B$1018, MATCH(C1897, Mgt_Unit!$C$5:$C$1018, 0)), "")</f>
        <v>jennifer.moore</v>
      </c>
      <c r="C1897" t="s">
        <v>895</v>
      </c>
      <c r="E1897" s="17" t="s">
        <v>1585</v>
      </c>
      <c r="F1897" s="89">
        <v>43382</v>
      </c>
      <c r="J1897" t="s">
        <v>1469</v>
      </c>
      <c r="K1897" s="120">
        <v>2.4</v>
      </c>
    </row>
    <row r="1898" spans="2:11" hidden="1" x14ac:dyDescent="0.25">
      <c r="B1898" s="28" t="str">
        <f>IF(ISNUMBER(MATCH(C1898, Mgt_Unit!$C$5:$C$1018, 0)), INDEX(Mgt_Unit!$B$5:$B$1018, MATCH(C1898, Mgt_Unit!$C$5:$C$1018, 0)), "")</f>
        <v>jennifer.moore</v>
      </c>
      <c r="C1898" t="s">
        <v>896</v>
      </c>
      <c r="E1898" s="17" t="s">
        <v>1583</v>
      </c>
      <c r="F1898" s="89">
        <v>42522</v>
      </c>
      <c r="J1898" t="s">
        <v>1402</v>
      </c>
      <c r="K1898" s="120">
        <v>65</v>
      </c>
    </row>
    <row r="1899" spans="2:11" hidden="1" x14ac:dyDescent="0.25">
      <c r="B1899" s="28" t="str">
        <f>IF(ISNUMBER(MATCH(C1899, Mgt_Unit!$C$5:$C$1018, 0)), INDEX(Mgt_Unit!$B$5:$B$1018, MATCH(C1899, Mgt_Unit!$C$5:$C$1018, 0)), "")</f>
        <v>jennifer.moore</v>
      </c>
      <c r="C1899" t="s">
        <v>896</v>
      </c>
      <c r="E1899" s="17" t="s">
        <v>1584</v>
      </c>
      <c r="F1899" s="89">
        <v>42523</v>
      </c>
      <c r="J1899" t="s">
        <v>1469</v>
      </c>
      <c r="K1899" s="120">
        <v>2.4</v>
      </c>
    </row>
    <row r="1900" spans="2:11" hidden="1" x14ac:dyDescent="0.25">
      <c r="B1900" s="28" t="str">
        <f>IF(ISNUMBER(MATCH(C1900, Mgt_Unit!$C$5:$C$1018, 0)), INDEX(Mgt_Unit!$B$5:$B$1018, MATCH(C1900, Mgt_Unit!$C$5:$C$1018, 0)), "")</f>
        <v>jennifer.moore</v>
      </c>
      <c r="C1900" t="s">
        <v>896</v>
      </c>
      <c r="E1900" s="17" t="s">
        <v>1583</v>
      </c>
      <c r="F1900" s="89">
        <v>42599</v>
      </c>
      <c r="J1900" t="s">
        <v>1352</v>
      </c>
      <c r="K1900" s="120">
        <v>15</v>
      </c>
    </row>
    <row r="1901" spans="2:11" hidden="1" x14ac:dyDescent="0.25">
      <c r="B1901" s="28" t="str">
        <f>IF(ISNUMBER(MATCH(C1901, Mgt_Unit!$C$5:$C$1018, 0)), INDEX(Mgt_Unit!$B$5:$B$1018, MATCH(C1901, Mgt_Unit!$C$5:$C$1018, 0)), "")</f>
        <v>jennifer.moore</v>
      </c>
      <c r="C1901" t="s">
        <v>896</v>
      </c>
      <c r="E1901" s="17" t="s">
        <v>1585</v>
      </c>
      <c r="F1901" s="89">
        <v>42605</v>
      </c>
      <c r="J1901" t="s">
        <v>1469</v>
      </c>
      <c r="K1901" s="120">
        <v>2.4</v>
      </c>
    </row>
    <row r="1902" spans="2:11" hidden="1" x14ac:dyDescent="0.25">
      <c r="B1902" s="28" t="str">
        <f>IF(ISNUMBER(MATCH(C1902, Mgt_Unit!$C$5:$C$1018, 0)), INDEX(Mgt_Unit!$B$5:$B$1018, MATCH(C1902, Mgt_Unit!$C$5:$C$1018, 0)), "")</f>
        <v>jennifer.moore</v>
      </c>
      <c r="C1902" t="s">
        <v>896</v>
      </c>
      <c r="E1902" s="17" t="s">
        <v>1583</v>
      </c>
      <c r="F1902" s="89">
        <v>42887</v>
      </c>
      <c r="J1902" t="s">
        <v>1402</v>
      </c>
      <c r="K1902" s="120">
        <v>65</v>
      </c>
    </row>
    <row r="1903" spans="2:11" hidden="1" x14ac:dyDescent="0.25">
      <c r="B1903" s="28" t="str">
        <f>IF(ISNUMBER(MATCH(C1903, Mgt_Unit!$C$5:$C$1018, 0)), INDEX(Mgt_Unit!$B$5:$B$1018, MATCH(C1903, Mgt_Unit!$C$5:$C$1018, 0)), "")</f>
        <v>jennifer.moore</v>
      </c>
      <c r="C1903" t="s">
        <v>896</v>
      </c>
      <c r="E1903" s="17" t="s">
        <v>1584</v>
      </c>
      <c r="F1903" s="89">
        <v>42888</v>
      </c>
      <c r="J1903" t="s">
        <v>1469</v>
      </c>
      <c r="K1903" s="120">
        <v>2.4</v>
      </c>
    </row>
    <row r="1904" spans="2:11" hidden="1" x14ac:dyDescent="0.25">
      <c r="B1904" s="28" t="str">
        <f>IF(ISNUMBER(MATCH(C1904, Mgt_Unit!$C$5:$C$1018, 0)), INDEX(Mgt_Unit!$B$5:$B$1018, MATCH(C1904, Mgt_Unit!$C$5:$C$1018, 0)), "")</f>
        <v>jennifer.moore</v>
      </c>
      <c r="C1904" t="s">
        <v>896</v>
      </c>
      <c r="E1904" s="17" t="s">
        <v>1583</v>
      </c>
      <c r="F1904" s="89">
        <v>42996</v>
      </c>
      <c r="J1904" t="s">
        <v>1352</v>
      </c>
      <c r="K1904" s="120">
        <v>15</v>
      </c>
    </row>
    <row r="1905" spans="2:11" hidden="1" x14ac:dyDescent="0.25">
      <c r="B1905" s="28" t="str">
        <f>IF(ISNUMBER(MATCH(C1905, Mgt_Unit!$C$5:$C$1018, 0)), INDEX(Mgt_Unit!$B$5:$B$1018, MATCH(C1905, Mgt_Unit!$C$5:$C$1018, 0)), "")</f>
        <v>jennifer.moore</v>
      </c>
      <c r="C1905" t="s">
        <v>896</v>
      </c>
      <c r="E1905" s="17" t="s">
        <v>1585</v>
      </c>
      <c r="F1905" s="89">
        <v>43000</v>
      </c>
      <c r="J1905" t="s">
        <v>1469</v>
      </c>
      <c r="K1905" s="120">
        <v>2.4</v>
      </c>
    </row>
    <row r="1906" spans="2:11" hidden="1" x14ac:dyDescent="0.25">
      <c r="B1906" s="28" t="str">
        <f>IF(ISNUMBER(MATCH(C1906, Mgt_Unit!$C$5:$C$1018, 0)), INDEX(Mgt_Unit!$B$5:$B$1018, MATCH(C1906, Mgt_Unit!$C$5:$C$1018, 0)), "")</f>
        <v>jennifer.moore</v>
      </c>
      <c r="C1906" t="s">
        <v>896</v>
      </c>
      <c r="E1906" s="17" t="s">
        <v>1583</v>
      </c>
      <c r="F1906" s="89">
        <v>43264</v>
      </c>
      <c r="J1906" t="s">
        <v>1402</v>
      </c>
      <c r="K1906" s="120">
        <v>65</v>
      </c>
    </row>
    <row r="1907" spans="2:11" hidden="1" x14ac:dyDescent="0.25">
      <c r="B1907" s="28" t="str">
        <f>IF(ISNUMBER(MATCH(C1907, Mgt_Unit!$C$5:$C$1018, 0)), INDEX(Mgt_Unit!$B$5:$B$1018, MATCH(C1907, Mgt_Unit!$C$5:$C$1018, 0)), "")</f>
        <v>jennifer.moore</v>
      </c>
      <c r="C1907" t="s">
        <v>896</v>
      </c>
      <c r="E1907" s="17" t="s">
        <v>1584</v>
      </c>
      <c r="F1907" s="89">
        <v>43265</v>
      </c>
      <c r="J1907" t="s">
        <v>1469</v>
      </c>
      <c r="K1907" s="120">
        <v>2.4</v>
      </c>
    </row>
    <row r="1908" spans="2:11" hidden="1" x14ac:dyDescent="0.25">
      <c r="B1908" s="28" t="str">
        <f>IF(ISNUMBER(MATCH(C1908, Mgt_Unit!$C$5:$C$1018, 0)), INDEX(Mgt_Unit!$B$5:$B$1018, MATCH(C1908, Mgt_Unit!$C$5:$C$1018, 0)), "")</f>
        <v>jennifer.moore</v>
      </c>
      <c r="C1908" t="s">
        <v>896</v>
      </c>
      <c r="E1908" s="17" t="s">
        <v>1583</v>
      </c>
      <c r="F1908" s="89">
        <v>43368</v>
      </c>
      <c r="J1908" t="s">
        <v>1352</v>
      </c>
      <c r="K1908" s="120">
        <v>15</v>
      </c>
    </row>
    <row r="1909" spans="2:11" hidden="1" x14ac:dyDescent="0.25">
      <c r="B1909" s="28" t="str">
        <f>IF(ISNUMBER(MATCH(C1909, Mgt_Unit!$C$5:$C$1018, 0)), INDEX(Mgt_Unit!$B$5:$B$1018, MATCH(C1909, Mgt_Unit!$C$5:$C$1018, 0)), "")</f>
        <v>jennifer.moore</v>
      </c>
      <c r="C1909" t="s">
        <v>896</v>
      </c>
      <c r="E1909" s="17" t="s">
        <v>1585</v>
      </c>
      <c r="F1909" s="89">
        <v>43382</v>
      </c>
      <c r="J1909" t="s">
        <v>1469</v>
      </c>
      <c r="K1909" s="120">
        <v>2.4</v>
      </c>
    </row>
    <row r="1910" spans="2:11" hidden="1" x14ac:dyDescent="0.25">
      <c r="B1910" s="28" t="str">
        <f>IF(ISNUMBER(MATCH(C1910, Mgt_Unit!$C$5:$C$1018, 0)), INDEX(Mgt_Unit!$B$5:$B$1018, MATCH(C1910, Mgt_Unit!$C$5:$C$1018, 0)), "")</f>
        <v>jennifer.moore</v>
      </c>
      <c r="C1910" t="s">
        <v>897</v>
      </c>
      <c r="E1910" s="17" t="s">
        <v>1583</v>
      </c>
      <c r="F1910" s="89">
        <v>42522</v>
      </c>
      <c r="J1910" t="s">
        <v>1470</v>
      </c>
      <c r="K1910" s="120">
        <v>11</v>
      </c>
    </row>
    <row r="1911" spans="2:11" hidden="1" x14ac:dyDescent="0.25">
      <c r="B1911" s="28" t="str">
        <f>IF(ISNUMBER(MATCH(C1911, Mgt_Unit!$C$5:$C$1018, 0)), INDEX(Mgt_Unit!$B$5:$B$1018, MATCH(C1911, Mgt_Unit!$C$5:$C$1018, 0)), "")</f>
        <v>jennifer.moore</v>
      </c>
      <c r="C1911" t="s">
        <v>897</v>
      </c>
      <c r="E1911" s="17" t="s">
        <v>1584</v>
      </c>
      <c r="F1911" s="89">
        <v>42523</v>
      </c>
      <c r="J1911" t="s">
        <v>1469</v>
      </c>
      <c r="K1911" s="120">
        <v>2.4</v>
      </c>
    </row>
    <row r="1912" spans="2:11" hidden="1" x14ac:dyDescent="0.25">
      <c r="B1912" s="28" t="str">
        <f>IF(ISNUMBER(MATCH(C1912, Mgt_Unit!$C$5:$C$1018, 0)), INDEX(Mgt_Unit!$B$5:$B$1018, MATCH(C1912, Mgt_Unit!$C$5:$C$1018, 0)), "")</f>
        <v>jennifer.moore</v>
      </c>
      <c r="C1912" t="s">
        <v>897</v>
      </c>
      <c r="E1912" s="17" t="s">
        <v>1583</v>
      </c>
      <c r="F1912" s="89">
        <v>42599</v>
      </c>
      <c r="J1912" t="s">
        <v>1352</v>
      </c>
      <c r="K1912" s="120">
        <v>15</v>
      </c>
    </row>
    <row r="1913" spans="2:11" hidden="1" x14ac:dyDescent="0.25">
      <c r="B1913" s="28" t="str">
        <f>IF(ISNUMBER(MATCH(C1913, Mgt_Unit!$C$5:$C$1018, 0)), INDEX(Mgt_Unit!$B$5:$B$1018, MATCH(C1913, Mgt_Unit!$C$5:$C$1018, 0)), "")</f>
        <v>jennifer.moore</v>
      </c>
      <c r="C1913" t="s">
        <v>897</v>
      </c>
      <c r="E1913" s="17" t="s">
        <v>1584</v>
      </c>
      <c r="F1913" s="89">
        <v>42888</v>
      </c>
      <c r="J1913" t="s">
        <v>1469</v>
      </c>
      <c r="K1913" s="120">
        <v>2.4</v>
      </c>
    </row>
    <row r="1914" spans="2:11" hidden="1" x14ac:dyDescent="0.25">
      <c r="B1914" s="28" t="str">
        <f>IF(ISNUMBER(MATCH(C1914, Mgt_Unit!$C$5:$C$1018, 0)), INDEX(Mgt_Unit!$B$5:$B$1018, MATCH(C1914, Mgt_Unit!$C$5:$C$1018, 0)), "")</f>
        <v>jennifer.moore</v>
      </c>
      <c r="C1914" t="s">
        <v>897</v>
      </c>
      <c r="E1914" s="17" t="s">
        <v>1583</v>
      </c>
      <c r="F1914" s="89">
        <v>42996</v>
      </c>
      <c r="J1914" t="s">
        <v>1352</v>
      </c>
      <c r="K1914" s="120">
        <v>15</v>
      </c>
    </row>
    <row r="1915" spans="2:11" hidden="1" x14ac:dyDescent="0.25">
      <c r="B1915" s="28" t="str">
        <f>IF(ISNUMBER(MATCH(C1915, Mgt_Unit!$C$5:$C$1018, 0)), INDEX(Mgt_Unit!$B$5:$B$1018, MATCH(C1915, Mgt_Unit!$C$5:$C$1018, 0)), "")</f>
        <v>jennifer.moore</v>
      </c>
      <c r="C1915" t="s">
        <v>897</v>
      </c>
      <c r="E1915" s="17" t="s">
        <v>1583</v>
      </c>
      <c r="F1915" s="89">
        <v>43264</v>
      </c>
      <c r="J1915" t="s">
        <v>1470</v>
      </c>
      <c r="K1915" s="120">
        <v>11</v>
      </c>
    </row>
    <row r="1916" spans="2:11" hidden="1" x14ac:dyDescent="0.25">
      <c r="B1916" s="28" t="str">
        <f>IF(ISNUMBER(MATCH(C1916, Mgt_Unit!$C$5:$C$1018, 0)), INDEX(Mgt_Unit!$B$5:$B$1018, MATCH(C1916, Mgt_Unit!$C$5:$C$1018, 0)), "")</f>
        <v>jennifer.moore</v>
      </c>
      <c r="C1916" t="s">
        <v>897</v>
      </c>
      <c r="E1916" s="17" t="s">
        <v>1584</v>
      </c>
      <c r="F1916" s="89">
        <v>43265</v>
      </c>
      <c r="J1916" t="s">
        <v>1469</v>
      </c>
      <c r="K1916" s="120">
        <v>2.4</v>
      </c>
    </row>
    <row r="1917" spans="2:11" hidden="1" x14ac:dyDescent="0.25">
      <c r="B1917" s="28" t="str">
        <f>IF(ISNUMBER(MATCH(C1917, Mgt_Unit!$C$5:$C$1018, 0)), INDEX(Mgt_Unit!$B$5:$B$1018, MATCH(C1917, Mgt_Unit!$C$5:$C$1018, 0)), "")</f>
        <v>jennifer.moore</v>
      </c>
      <c r="C1917" t="s">
        <v>897</v>
      </c>
      <c r="E1917" s="17" t="s">
        <v>1583</v>
      </c>
      <c r="F1917" s="89">
        <v>43368</v>
      </c>
      <c r="J1917" t="s">
        <v>1352</v>
      </c>
      <c r="K1917" s="120">
        <v>15</v>
      </c>
    </row>
    <row r="1918" spans="2:11" hidden="1" x14ac:dyDescent="0.25">
      <c r="B1918" s="28" t="str">
        <f>IF(ISNUMBER(MATCH(C1918, Mgt_Unit!$C$5:$C$1018, 0)), INDEX(Mgt_Unit!$B$5:$B$1018, MATCH(C1918, Mgt_Unit!$C$5:$C$1018, 0)), "")</f>
        <v>jennifer.moore</v>
      </c>
      <c r="C1918" t="s">
        <v>898</v>
      </c>
      <c r="E1918" s="17" t="s">
        <v>1583</v>
      </c>
      <c r="F1918" s="89">
        <v>42522</v>
      </c>
      <c r="J1918" t="s">
        <v>1470</v>
      </c>
      <c r="K1918" s="120">
        <v>11</v>
      </c>
    </row>
    <row r="1919" spans="2:11" hidden="1" x14ac:dyDescent="0.25">
      <c r="B1919" s="28" t="str">
        <f>IF(ISNUMBER(MATCH(C1919, Mgt_Unit!$C$5:$C$1018, 0)), INDEX(Mgt_Unit!$B$5:$B$1018, MATCH(C1919, Mgt_Unit!$C$5:$C$1018, 0)), "")</f>
        <v>jennifer.moore</v>
      </c>
      <c r="C1919" t="s">
        <v>898</v>
      </c>
      <c r="E1919" s="17" t="s">
        <v>1584</v>
      </c>
      <c r="F1919" s="89">
        <v>42523</v>
      </c>
      <c r="J1919" t="s">
        <v>1469</v>
      </c>
      <c r="K1919" s="120">
        <v>2.4</v>
      </c>
    </row>
    <row r="1920" spans="2:11" hidden="1" x14ac:dyDescent="0.25">
      <c r="B1920" s="28" t="str">
        <f>IF(ISNUMBER(MATCH(C1920, Mgt_Unit!$C$5:$C$1018, 0)), INDEX(Mgt_Unit!$B$5:$B$1018, MATCH(C1920, Mgt_Unit!$C$5:$C$1018, 0)), "")</f>
        <v>jennifer.moore</v>
      </c>
      <c r="C1920" t="s">
        <v>898</v>
      </c>
      <c r="E1920" s="17" t="s">
        <v>1583</v>
      </c>
      <c r="F1920" s="89">
        <v>42599</v>
      </c>
      <c r="J1920" t="s">
        <v>1352</v>
      </c>
      <c r="K1920" s="120">
        <v>15</v>
      </c>
    </row>
    <row r="1921" spans="2:11" hidden="1" x14ac:dyDescent="0.25">
      <c r="B1921" s="28" t="str">
        <f>IF(ISNUMBER(MATCH(C1921, Mgt_Unit!$C$5:$C$1018, 0)), INDEX(Mgt_Unit!$B$5:$B$1018, MATCH(C1921, Mgt_Unit!$C$5:$C$1018, 0)), "")</f>
        <v>jennifer.moore</v>
      </c>
      <c r="C1921" t="s">
        <v>898</v>
      </c>
      <c r="E1921" s="17" t="s">
        <v>1585</v>
      </c>
      <c r="F1921" s="89">
        <v>42605</v>
      </c>
      <c r="J1921" t="s">
        <v>1469</v>
      </c>
      <c r="K1921" s="120">
        <v>2.4</v>
      </c>
    </row>
    <row r="1922" spans="2:11" hidden="1" x14ac:dyDescent="0.25">
      <c r="B1922" s="28" t="str">
        <f>IF(ISNUMBER(MATCH(C1922, Mgt_Unit!$C$5:$C$1018, 0)), INDEX(Mgt_Unit!$B$5:$B$1018, MATCH(C1922, Mgt_Unit!$C$5:$C$1018, 0)), "")</f>
        <v>jennifer.moore</v>
      </c>
      <c r="C1922" t="s">
        <v>898</v>
      </c>
      <c r="E1922" s="17" t="s">
        <v>1583</v>
      </c>
      <c r="F1922" s="89">
        <v>42887</v>
      </c>
      <c r="J1922" t="s">
        <v>1470</v>
      </c>
      <c r="K1922" s="120">
        <v>11</v>
      </c>
    </row>
    <row r="1923" spans="2:11" hidden="1" x14ac:dyDescent="0.25">
      <c r="B1923" s="28" t="str">
        <f>IF(ISNUMBER(MATCH(C1923, Mgt_Unit!$C$5:$C$1018, 0)), INDEX(Mgt_Unit!$B$5:$B$1018, MATCH(C1923, Mgt_Unit!$C$5:$C$1018, 0)), "")</f>
        <v>jennifer.moore</v>
      </c>
      <c r="C1923" t="s">
        <v>898</v>
      </c>
      <c r="E1923" s="17" t="s">
        <v>1584</v>
      </c>
      <c r="F1923" s="89">
        <v>42888</v>
      </c>
      <c r="J1923" t="s">
        <v>1469</v>
      </c>
      <c r="K1923" s="120">
        <v>2.4</v>
      </c>
    </row>
    <row r="1924" spans="2:11" hidden="1" x14ac:dyDescent="0.25">
      <c r="B1924" s="28" t="str">
        <f>IF(ISNUMBER(MATCH(C1924, Mgt_Unit!$C$5:$C$1018, 0)), INDEX(Mgt_Unit!$B$5:$B$1018, MATCH(C1924, Mgt_Unit!$C$5:$C$1018, 0)), "")</f>
        <v>jennifer.moore</v>
      </c>
      <c r="C1924" t="s">
        <v>898</v>
      </c>
      <c r="E1924" s="17" t="s">
        <v>1583</v>
      </c>
      <c r="F1924" s="89">
        <v>42996</v>
      </c>
      <c r="J1924" t="s">
        <v>1352</v>
      </c>
      <c r="K1924" s="120">
        <v>15</v>
      </c>
    </row>
    <row r="1925" spans="2:11" hidden="1" x14ac:dyDescent="0.25">
      <c r="B1925" s="28" t="str">
        <f>IF(ISNUMBER(MATCH(C1925, Mgt_Unit!$C$5:$C$1018, 0)), INDEX(Mgt_Unit!$B$5:$B$1018, MATCH(C1925, Mgt_Unit!$C$5:$C$1018, 0)), "")</f>
        <v>jennifer.moore</v>
      </c>
      <c r="C1925" t="s">
        <v>898</v>
      </c>
      <c r="E1925" s="17" t="s">
        <v>1585</v>
      </c>
      <c r="F1925" s="89">
        <v>43000</v>
      </c>
      <c r="J1925" t="s">
        <v>1469</v>
      </c>
      <c r="K1925" s="120">
        <v>2.4</v>
      </c>
    </row>
    <row r="1926" spans="2:11" hidden="1" x14ac:dyDescent="0.25">
      <c r="B1926" s="28" t="str">
        <f>IF(ISNUMBER(MATCH(C1926, Mgt_Unit!$C$5:$C$1018, 0)), INDEX(Mgt_Unit!$B$5:$B$1018, MATCH(C1926, Mgt_Unit!$C$5:$C$1018, 0)), "")</f>
        <v>jennifer.moore</v>
      </c>
      <c r="C1926" t="s">
        <v>898</v>
      </c>
      <c r="E1926" s="17" t="s">
        <v>1583</v>
      </c>
      <c r="F1926" s="89">
        <v>43264</v>
      </c>
      <c r="J1926" t="s">
        <v>1470</v>
      </c>
      <c r="K1926" s="120">
        <v>11</v>
      </c>
    </row>
    <row r="1927" spans="2:11" hidden="1" x14ac:dyDescent="0.25">
      <c r="B1927" s="28" t="str">
        <f>IF(ISNUMBER(MATCH(C1927, Mgt_Unit!$C$5:$C$1018, 0)), INDEX(Mgt_Unit!$B$5:$B$1018, MATCH(C1927, Mgt_Unit!$C$5:$C$1018, 0)), "")</f>
        <v>jennifer.moore</v>
      </c>
      <c r="C1927" t="s">
        <v>898</v>
      </c>
      <c r="E1927" s="17" t="s">
        <v>1584</v>
      </c>
      <c r="F1927" s="89">
        <v>43265</v>
      </c>
      <c r="J1927" t="s">
        <v>1469</v>
      </c>
      <c r="K1927" s="120">
        <v>2.4</v>
      </c>
    </row>
    <row r="1928" spans="2:11" hidden="1" x14ac:dyDescent="0.25">
      <c r="B1928" s="28" t="str">
        <f>IF(ISNUMBER(MATCH(C1928, Mgt_Unit!$C$5:$C$1018, 0)), INDEX(Mgt_Unit!$B$5:$B$1018, MATCH(C1928, Mgt_Unit!$C$5:$C$1018, 0)), "")</f>
        <v>jennifer.moore</v>
      </c>
      <c r="C1928" t="s">
        <v>898</v>
      </c>
      <c r="E1928" s="17" t="s">
        <v>1583</v>
      </c>
      <c r="F1928" s="89">
        <v>43368</v>
      </c>
      <c r="J1928" t="s">
        <v>1352</v>
      </c>
      <c r="K1928" s="120">
        <v>15</v>
      </c>
    </row>
    <row r="1929" spans="2:11" hidden="1" x14ac:dyDescent="0.25">
      <c r="B1929" s="28" t="str">
        <f>IF(ISNUMBER(MATCH(C1929, Mgt_Unit!$C$5:$C$1018, 0)), INDEX(Mgt_Unit!$B$5:$B$1018, MATCH(C1929, Mgt_Unit!$C$5:$C$1018, 0)), "")</f>
        <v>jennifer.moore</v>
      </c>
      <c r="C1929" t="s">
        <v>898</v>
      </c>
      <c r="E1929" s="17" t="s">
        <v>1585</v>
      </c>
      <c r="F1929" s="89">
        <v>43382</v>
      </c>
      <c r="J1929" t="s">
        <v>1469</v>
      </c>
      <c r="K1929" s="120">
        <v>2.4</v>
      </c>
    </row>
    <row r="1930" spans="2:11" hidden="1" x14ac:dyDescent="0.25">
      <c r="B1930" s="28" t="str">
        <f>IF(ISNUMBER(MATCH(C1930, Mgt_Unit!$C$5:$C$1018, 0)), INDEX(Mgt_Unit!$B$5:$B$1018, MATCH(C1930, Mgt_Unit!$C$5:$C$1018, 0)), "")</f>
        <v>jennifer.moore</v>
      </c>
      <c r="C1930" t="s">
        <v>899</v>
      </c>
      <c r="E1930" s="17" t="s">
        <v>1583</v>
      </c>
      <c r="F1930" s="89">
        <v>42522</v>
      </c>
      <c r="J1930" t="s">
        <v>1470</v>
      </c>
      <c r="K1930" s="120">
        <v>11</v>
      </c>
    </row>
    <row r="1931" spans="2:11" hidden="1" x14ac:dyDescent="0.25">
      <c r="B1931" s="28" t="str">
        <f>IF(ISNUMBER(MATCH(C1931, Mgt_Unit!$C$5:$C$1018, 0)), INDEX(Mgt_Unit!$B$5:$B$1018, MATCH(C1931, Mgt_Unit!$C$5:$C$1018, 0)), "")</f>
        <v>jennifer.moore</v>
      </c>
      <c r="C1931" t="s">
        <v>899</v>
      </c>
      <c r="E1931" s="17" t="s">
        <v>1584</v>
      </c>
      <c r="F1931" s="89">
        <v>42523</v>
      </c>
      <c r="J1931" t="s">
        <v>1469</v>
      </c>
      <c r="K1931" s="120">
        <v>2.4</v>
      </c>
    </row>
    <row r="1932" spans="2:11" hidden="1" x14ac:dyDescent="0.25">
      <c r="B1932" s="28" t="str">
        <f>IF(ISNUMBER(MATCH(C1932, Mgt_Unit!$C$5:$C$1018, 0)), INDEX(Mgt_Unit!$B$5:$B$1018, MATCH(C1932, Mgt_Unit!$C$5:$C$1018, 0)), "")</f>
        <v>jennifer.moore</v>
      </c>
      <c r="C1932" t="s">
        <v>899</v>
      </c>
      <c r="E1932" s="17" t="s">
        <v>1583</v>
      </c>
      <c r="F1932" s="89">
        <v>42599</v>
      </c>
      <c r="J1932" t="s">
        <v>1352</v>
      </c>
      <c r="K1932" s="120">
        <v>15</v>
      </c>
    </row>
    <row r="1933" spans="2:11" hidden="1" x14ac:dyDescent="0.25">
      <c r="B1933" s="28" t="str">
        <f>IF(ISNUMBER(MATCH(C1933, Mgt_Unit!$C$5:$C$1018, 0)), INDEX(Mgt_Unit!$B$5:$B$1018, MATCH(C1933, Mgt_Unit!$C$5:$C$1018, 0)), "")</f>
        <v>jennifer.moore</v>
      </c>
      <c r="C1933" t="s">
        <v>899</v>
      </c>
      <c r="E1933" s="17" t="s">
        <v>1585</v>
      </c>
      <c r="F1933" s="89">
        <v>42605</v>
      </c>
      <c r="J1933" t="s">
        <v>1469</v>
      </c>
      <c r="K1933" s="120">
        <v>2.4</v>
      </c>
    </row>
    <row r="1934" spans="2:11" hidden="1" x14ac:dyDescent="0.25">
      <c r="B1934" s="28" t="str">
        <f>IF(ISNUMBER(MATCH(C1934, Mgt_Unit!$C$5:$C$1018, 0)), INDEX(Mgt_Unit!$B$5:$B$1018, MATCH(C1934, Mgt_Unit!$C$5:$C$1018, 0)), "")</f>
        <v>jennifer.moore</v>
      </c>
      <c r="C1934" t="s">
        <v>899</v>
      </c>
      <c r="E1934" s="17" t="s">
        <v>1583</v>
      </c>
      <c r="F1934" s="89">
        <v>42887</v>
      </c>
      <c r="J1934" t="s">
        <v>1470</v>
      </c>
      <c r="K1934" s="120">
        <v>11</v>
      </c>
    </row>
    <row r="1935" spans="2:11" hidden="1" x14ac:dyDescent="0.25">
      <c r="B1935" s="28" t="str">
        <f>IF(ISNUMBER(MATCH(C1935, Mgt_Unit!$C$5:$C$1018, 0)), INDEX(Mgt_Unit!$B$5:$B$1018, MATCH(C1935, Mgt_Unit!$C$5:$C$1018, 0)), "")</f>
        <v>jennifer.moore</v>
      </c>
      <c r="C1935" t="s">
        <v>899</v>
      </c>
      <c r="E1935" s="17" t="s">
        <v>1584</v>
      </c>
      <c r="F1935" s="89">
        <v>42888</v>
      </c>
      <c r="J1935" t="s">
        <v>1469</v>
      </c>
      <c r="K1935" s="120">
        <v>2.4</v>
      </c>
    </row>
    <row r="1936" spans="2:11" hidden="1" x14ac:dyDescent="0.25">
      <c r="B1936" s="28" t="str">
        <f>IF(ISNUMBER(MATCH(C1936, Mgt_Unit!$C$5:$C$1018, 0)), INDEX(Mgt_Unit!$B$5:$B$1018, MATCH(C1936, Mgt_Unit!$C$5:$C$1018, 0)), "")</f>
        <v>jennifer.moore</v>
      </c>
      <c r="C1936" t="s">
        <v>899</v>
      </c>
      <c r="E1936" s="17" t="s">
        <v>1583</v>
      </c>
      <c r="F1936" s="89">
        <v>42996</v>
      </c>
      <c r="J1936" t="s">
        <v>1352</v>
      </c>
      <c r="K1936" s="120">
        <v>15</v>
      </c>
    </row>
    <row r="1937" spans="2:11" hidden="1" x14ac:dyDescent="0.25">
      <c r="B1937" s="28" t="str">
        <f>IF(ISNUMBER(MATCH(C1937, Mgt_Unit!$C$5:$C$1018, 0)), INDEX(Mgt_Unit!$B$5:$B$1018, MATCH(C1937, Mgt_Unit!$C$5:$C$1018, 0)), "")</f>
        <v>jennifer.moore</v>
      </c>
      <c r="C1937" t="s">
        <v>899</v>
      </c>
      <c r="E1937" s="17" t="s">
        <v>1585</v>
      </c>
      <c r="F1937" s="89">
        <v>43000</v>
      </c>
      <c r="J1937" t="s">
        <v>1469</v>
      </c>
      <c r="K1937" s="120">
        <v>2.4</v>
      </c>
    </row>
    <row r="1938" spans="2:11" hidden="1" x14ac:dyDescent="0.25">
      <c r="B1938" s="28" t="str">
        <f>IF(ISNUMBER(MATCH(C1938, Mgt_Unit!$C$5:$C$1018, 0)), INDEX(Mgt_Unit!$B$5:$B$1018, MATCH(C1938, Mgt_Unit!$C$5:$C$1018, 0)), "")</f>
        <v>jennifer.moore</v>
      </c>
      <c r="C1938" t="s">
        <v>899</v>
      </c>
      <c r="E1938" s="17" t="s">
        <v>1583</v>
      </c>
      <c r="F1938" s="89">
        <v>43264</v>
      </c>
      <c r="J1938" t="s">
        <v>1470</v>
      </c>
      <c r="K1938" s="120">
        <v>11</v>
      </c>
    </row>
    <row r="1939" spans="2:11" hidden="1" x14ac:dyDescent="0.25">
      <c r="B1939" s="28" t="str">
        <f>IF(ISNUMBER(MATCH(C1939, Mgt_Unit!$C$5:$C$1018, 0)), INDEX(Mgt_Unit!$B$5:$B$1018, MATCH(C1939, Mgt_Unit!$C$5:$C$1018, 0)), "")</f>
        <v>jennifer.moore</v>
      </c>
      <c r="C1939" t="s">
        <v>899</v>
      </c>
      <c r="E1939" s="17" t="s">
        <v>1584</v>
      </c>
      <c r="F1939" s="89">
        <v>43265</v>
      </c>
      <c r="J1939" t="s">
        <v>1469</v>
      </c>
      <c r="K1939" s="120">
        <v>2.4</v>
      </c>
    </row>
    <row r="1940" spans="2:11" hidden="1" x14ac:dyDescent="0.25">
      <c r="B1940" s="28" t="str">
        <f>IF(ISNUMBER(MATCH(C1940, Mgt_Unit!$C$5:$C$1018, 0)), INDEX(Mgt_Unit!$B$5:$B$1018, MATCH(C1940, Mgt_Unit!$C$5:$C$1018, 0)), "")</f>
        <v>jennifer.moore</v>
      </c>
      <c r="C1940" t="s">
        <v>899</v>
      </c>
      <c r="E1940" s="17" t="s">
        <v>1583</v>
      </c>
      <c r="F1940" s="89">
        <v>43368</v>
      </c>
      <c r="J1940" t="s">
        <v>1352</v>
      </c>
      <c r="K1940" s="120">
        <v>15</v>
      </c>
    </row>
    <row r="1941" spans="2:11" hidden="1" x14ac:dyDescent="0.25">
      <c r="B1941" s="28" t="str">
        <f>IF(ISNUMBER(MATCH(C1941, Mgt_Unit!$C$5:$C$1018, 0)), INDEX(Mgt_Unit!$B$5:$B$1018, MATCH(C1941, Mgt_Unit!$C$5:$C$1018, 0)), "")</f>
        <v>jennifer.moore</v>
      </c>
      <c r="C1941" t="s">
        <v>899</v>
      </c>
      <c r="E1941" s="17" t="s">
        <v>1585</v>
      </c>
      <c r="F1941" s="89">
        <v>43382</v>
      </c>
      <c r="J1941" t="s">
        <v>1469</v>
      </c>
      <c r="K1941" s="120">
        <v>2.4</v>
      </c>
    </row>
    <row r="1942" spans="2:11" hidden="1" x14ac:dyDescent="0.25">
      <c r="B1942" s="28" t="str">
        <f>IF(ISNUMBER(MATCH(C1942, Mgt_Unit!$C$5:$C$1018, 0)), INDEX(Mgt_Unit!$B$5:$B$1018, MATCH(C1942, Mgt_Unit!$C$5:$C$1018, 0)), "")</f>
        <v>jennifer.moore</v>
      </c>
      <c r="C1942" t="s">
        <v>900</v>
      </c>
      <c r="E1942" s="17" t="s">
        <v>1583</v>
      </c>
      <c r="F1942" s="89">
        <v>43216</v>
      </c>
      <c r="J1942" t="s">
        <v>1436</v>
      </c>
      <c r="K1942" s="120">
        <v>42</v>
      </c>
    </row>
    <row r="1943" spans="2:11" hidden="1" x14ac:dyDescent="0.25">
      <c r="B1943" s="28" t="str">
        <f>IF(ISNUMBER(MATCH(C1943, Mgt_Unit!$C$5:$C$1018, 0)), INDEX(Mgt_Unit!$B$5:$B$1018, MATCH(C1943, Mgt_Unit!$C$5:$C$1018, 0)), "")</f>
        <v>jennifer.moore</v>
      </c>
      <c r="C1943" t="s">
        <v>900</v>
      </c>
      <c r="E1943" s="17" t="s">
        <v>1583</v>
      </c>
      <c r="F1943" s="89">
        <v>43265</v>
      </c>
      <c r="J1943" t="s">
        <v>1471</v>
      </c>
      <c r="K1943" s="120">
        <v>22</v>
      </c>
    </row>
    <row r="1944" spans="2:11" hidden="1" x14ac:dyDescent="0.25">
      <c r="B1944" s="28" t="str">
        <f>IF(ISNUMBER(MATCH(C1944, Mgt_Unit!$C$5:$C$1018, 0)), INDEX(Mgt_Unit!$B$5:$B$1018, MATCH(C1944, Mgt_Unit!$C$5:$C$1018, 0)), "")</f>
        <v>jennifer.moore</v>
      </c>
      <c r="C1944" t="s">
        <v>900</v>
      </c>
      <c r="E1944" s="17" t="s">
        <v>1584</v>
      </c>
      <c r="F1944" s="89">
        <v>43266</v>
      </c>
      <c r="J1944" t="s">
        <v>1355</v>
      </c>
      <c r="K1944" s="120">
        <v>6.3</v>
      </c>
    </row>
    <row r="1945" spans="2:11" hidden="1" x14ac:dyDescent="0.25">
      <c r="B1945" s="28" t="str">
        <f>IF(ISNUMBER(MATCH(C1945, Mgt_Unit!$C$5:$C$1018, 0)), INDEX(Mgt_Unit!$B$5:$B$1018, MATCH(C1945, Mgt_Unit!$C$5:$C$1018, 0)), "")</f>
        <v>jennifer.moore</v>
      </c>
      <c r="C1945" t="s">
        <v>900</v>
      </c>
      <c r="E1945" s="17" t="s">
        <v>1583</v>
      </c>
      <c r="F1945" s="89">
        <v>43269</v>
      </c>
      <c r="J1945" t="s">
        <v>1441</v>
      </c>
      <c r="K1945" s="120">
        <v>17</v>
      </c>
    </row>
    <row r="1946" spans="2:11" hidden="1" x14ac:dyDescent="0.25">
      <c r="B1946" s="28" t="str">
        <f>IF(ISNUMBER(MATCH(C1946, Mgt_Unit!$C$5:$C$1018, 0)), INDEX(Mgt_Unit!$B$5:$B$1018, MATCH(C1946, Mgt_Unit!$C$5:$C$1018, 0)), "")</f>
        <v>jennifer.moore</v>
      </c>
      <c r="C1946" t="s">
        <v>900</v>
      </c>
      <c r="E1946" s="17" t="s">
        <v>1583</v>
      </c>
      <c r="F1946" s="89">
        <v>43277</v>
      </c>
      <c r="J1946" t="s">
        <v>1441</v>
      </c>
      <c r="K1946" s="120">
        <v>17</v>
      </c>
    </row>
    <row r="1947" spans="2:11" hidden="1" x14ac:dyDescent="0.25">
      <c r="B1947" s="28" t="str">
        <f>IF(ISNUMBER(MATCH(C1947, Mgt_Unit!$C$5:$C$1018, 0)), INDEX(Mgt_Unit!$B$5:$B$1018, MATCH(C1947, Mgt_Unit!$C$5:$C$1018, 0)), "")</f>
        <v>jennifer.moore</v>
      </c>
      <c r="C1947" t="s">
        <v>900</v>
      </c>
      <c r="E1947" s="17" t="s">
        <v>1583</v>
      </c>
      <c r="F1947" s="89">
        <v>43280</v>
      </c>
      <c r="J1947" t="s">
        <v>1441</v>
      </c>
      <c r="K1947" s="120">
        <v>17</v>
      </c>
    </row>
    <row r="1948" spans="2:11" hidden="1" x14ac:dyDescent="0.25">
      <c r="B1948" s="28" t="str">
        <f>IF(ISNUMBER(MATCH(C1948, Mgt_Unit!$C$5:$C$1018, 0)), INDEX(Mgt_Unit!$B$5:$B$1018, MATCH(C1948, Mgt_Unit!$C$5:$C$1018, 0)), "")</f>
        <v>jennifer.moore</v>
      </c>
      <c r="C1948" t="s">
        <v>900</v>
      </c>
      <c r="E1948" s="17" t="s">
        <v>1583</v>
      </c>
      <c r="F1948" s="89">
        <v>43284</v>
      </c>
      <c r="J1948" t="s">
        <v>1472</v>
      </c>
      <c r="K1948" s="120">
        <v>15</v>
      </c>
    </row>
    <row r="1949" spans="2:11" hidden="1" x14ac:dyDescent="0.25">
      <c r="B1949" s="28" t="str">
        <f>IF(ISNUMBER(MATCH(C1949, Mgt_Unit!$C$5:$C$1018, 0)), INDEX(Mgt_Unit!$B$5:$B$1018, MATCH(C1949, Mgt_Unit!$C$5:$C$1018, 0)), "")</f>
        <v>jennifer.moore</v>
      </c>
      <c r="C1949" t="s">
        <v>900</v>
      </c>
      <c r="E1949" s="17" t="s">
        <v>1583</v>
      </c>
      <c r="F1949" s="89">
        <v>43294</v>
      </c>
      <c r="J1949" t="s">
        <v>1472</v>
      </c>
      <c r="K1949" s="120">
        <v>15</v>
      </c>
    </row>
    <row r="1950" spans="2:11" hidden="1" x14ac:dyDescent="0.25">
      <c r="B1950" s="28" t="str">
        <f>IF(ISNUMBER(MATCH(C1950, Mgt_Unit!$C$5:$C$1018, 0)), INDEX(Mgt_Unit!$B$5:$B$1018, MATCH(C1950, Mgt_Unit!$C$5:$C$1018, 0)), "")</f>
        <v>jennifer.moore</v>
      </c>
      <c r="C1950" t="s">
        <v>900</v>
      </c>
      <c r="E1950" s="17" t="s">
        <v>1583</v>
      </c>
      <c r="F1950" s="89">
        <v>43300</v>
      </c>
      <c r="J1950" t="s">
        <v>1472</v>
      </c>
      <c r="K1950" s="120">
        <v>15</v>
      </c>
    </row>
    <row r="1951" spans="2:11" hidden="1" x14ac:dyDescent="0.25">
      <c r="B1951" s="28" t="str">
        <f>IF(ISNUMBER(MATCH(C1951, Mgt_Unit!$C$5:$C$1018, 0)), INDEX(Mgt_Unit!$B$5:$B$1018, MATCH(C1951, Mgt_Unit!$C$5:$C$1018, 0)), "")</f>
        <v>jennifer.moore</v>
      </c>
      <c r="C1951" t="s">
        <v>900</v>
      </c>
      <c r="E1951" s="17" t="s">
        <v>1583</v>
      </c>
      <c r="F1951" s="89">
        <v>43306</v>
      </c>
      <c r="J1951" t="s">
        <v>1472</v>
      </c>
      <c r="K1951" s="120">
        <v>15</v>
      </c>
    </row>
    <row r="1952" spans="2:11" hidden="1" x14ac:dyDescent="0.25">
      <c r="B1952" s="28" t="str">
        <f>IF(ISNUMBER(MATCH(C1952, Mgt_Unit!$C$5:$C$1018, 0)), INDEX(Mgt_Unit!$B$5:$B$1018, MATCH(C1952, Mgt_Unit!$C$5:$C$1018, 0)), "")</f>
        <v>jennifer.moore</v>
      </c>
      <c r="C1952" t="s">
        <v>901</v>
      </c>
      <c r="E1952" s="17" t="s">
        <v>1583</v>
      </c>
      <c r="F1952" s="89">
        <v>42851</v>
      </c>
      <c r="J1952" t="s">
        <v>1436</v>
      </c>
      <c r="K1952" s="120">
        <v>42</v>
      </c>
    </row>
    <row r="1953" spans="2:11" hidden="1" x14ac:dyDescent="0.25">
      <c r="B1953" s="28" t="str">
        <f>IF(ISNUMBER(MATCH(C1953, Mgt_Unit!$C$5:$C$1018, 0)), INDEX(Mgt_Unit!$B$5:$B$1018, MATCH(C1953, Mgt_Unit!$C$5:$C$1018, 0)), "")</f>
        <v>jennifer.moore</v>
      </c>
      <c r="C1953" t="s">
        <v>901</v>
      </c>
      <c r="E1953" s="17" t="s">
        <v>1583</v>
      </c>
      <c r="F1953" s="89">
        <v>42888</v>
      </c>
      <c r="J1953" t="s">
        <v>1471</v>
      </c>
      <c r="K1953" s="120">
        <v>22</v>
      </c>
    </row>
    <row r="1954" spans="2:11" hidden="1" x14ac:dyDescent="0.25">
      <c r="B1954" s="28" t="str">
        <f>IF(ISNUMBER(MATCH(C1954, Mgt_Unit!$C$5:$C$1018, 0)), INDEX(Mgt_Unit!$B$5:$B$1018, MATCH(C1954, Mgt_Unit!$C$5:$C$1018, 0)), "")</f>
        <v>jennifer.moore</v>
      </c>
      <c r="C1954" t="s">
        <v>901</v>
      </c>
      <c r="E1954" s="17" t="s">
        <v>1583</v>
      </c>
      <c r="F1954" s="89">
        <v>42891</v>
      </c>
      <c r="J1954" t="s">
        <v>1449</v>
      </c>
      <c r="K1954" s="120">
        <v>36</v>
      </c>
    </row>
    <row r="1955" spans="2:11" hidden="1" x14ac:dyDescent="0.25">
      <c r="B1955" s="28" t="str">
        <f>IF(ISNUMBER(MATCH(C1955, Mgt_Unit!$C$5:$C$1018, 0)), INDEX(Mgt_Unit!$B$5:$B$1018, MATCH(C1955, Mgt_Unit!$C$5:$C$1018, 0)), "")</f>
        <v>jennifer.moore</v>
      </c>
      <c r="C1955" t="s">
        <v>901</v>
      </c>
      <c r="E1955" s="17" t="s">
        <v>1584</v>
      </c>
      <c r="F1955" s="89">
        <v>42892</v>
      </c>
      <c r="J1955" t="s">
        <v>1355</v>
      </c>
      <c r="K1955" s="120">
        <v>6.3</v>
      </c>
    </row>
    <row r="1956" spans="2:11" hidden="1" x14ac:dyDescent="0.25">
      <c r="B1956" s="28" t="str">
        <f>IF(ISNUMBER(MATCH(C1956, Mgt_Unit!$C$5:$C$1018, 0)), INDEX(Mgt_Unit!$B$5:$B$1018, MATCH(C1956, Mgt_Unit!$C$5:$C$1018, 0)), "")</f>
        <v>jennifer.moore</v>
      </c>
      <c r="C1956" t="s">
        <v>901</v>
      </c>
      <c r="E1956" s="17" t="s">
        <v>1583</v>
      </c>
      <c r="F1956" s="89">
        <v>42900</v>
      </c>
      <c r="J1956" t="s">
        <v>1441</v>
      </c>
      <c r="K1956" s="120">
        <v>17</v>
      </c>
    </row>
    <row r="1957" spans="2:11" hidden="1" x14ac:dyDescent="0.25">
      <c r="B1957" s="28" t="str">
        <f>IF(ISNUMBER(MATCH(C1957, Mgt_Unit!$C$5:$C$1018, 0)), INDEX(Mgt_Unit!$B$5:$B$1018, MATCH(C1957, Mgt_Unit!$C$5:$C$1018, 0)), "")</f>
        <v>jennifer.moore</v>
      </c>
      <c r="C1957" t="s">
        <v>901</v>
      </c>
      <c r="E1957" s="17" t="s">
        <v>1583</v>
      </c>
      <c r="F1957" s="89">
        <v>42913</v>
      </c>
      <c r="J1957" t="s">
        <v>1441</v>
      </c>
      <c r="K1957" s="120">
        <v>17</v>
      </c>
    </row>
    <row r="1958" spans="2:11" hidden="1" x14ac:dyDescent="0.25">
      <c r="B1958" s="28" t="str">
        <f>IF(ISNUMBER(MATCH(C1958, Mgt_Unit!$C$5:$C$1018, 0)), INDEX(Mgt_Unit!$B$5:$B$1018, MATCH(C1958, Mgt_Unit!$C$5:$C$1018, 0)), "")</f>
        <v>jennifer.moore</v>
      </c>
      <c r="C1958" t="s">
        <v>901</v>
      </c>
      <c r="E1958" s="17" t="s">
        <v>1583</v>
      </c>
      <c r="F1958" s="89">
        <v>42914</v>
      </c>
      <c r="J1958" t="s">
        <v>1472</v>
      </c>
      <c r="K1958" s="120">
        <v>15</v>
      </c>
    </row>
    <row r="1959" spans="2:11" hidden="1" x14ac:dyDescent="0.25">
      <c r="B1959" s="28" t="str">
        <f>IF(ISNUMBER(MATCH(C1959, Mgt_Unit!$C$5:$C$1018, 0)), INDEX(Mgt_Unit!$B$5:$B$1018, MATCH(C1959, Mgt_Unit!$C$5:$C$1018, 0)), "")</f>
        <v>jennifer.moore</v>
      </c>
      <c r="C1959" t="s">
        <v>901</v>
      </c>
      <c r="E1959" s="17" t="s">
        <v>1583</v>
      </c>
      <c r="F1959" s="89">
        <v>42922</v>
      </c>
      <c r="J1959" t="s">
        <v>1472</v>
      </c>
      <c r="K1959" s="120">
        <v>15</v>
      </c>
    </row>
    <row r="1960" spans="2:11" hidden="1" x14ac:dyDescent="0.25">
      <c r="B1960" s="28" t="str">
        <f>IF(ISNUMBER(MATCH(C1960, Mgt_Unit!$C$5:$C$1018, 0)), INDEX(Mgt_Unit!$B$5:$B$1018, MATCH(C1960, Mgt_Unit!$C$5:$C$1018, 0)), "")</f>
        <v>jennifer.moore</v>
      </c>
      <c r="C1960" t="s">
        <v>901</v>
      </c>
      <c r="E1960" s="17" t="s">
        <v>1583</v>
      </c>
      <c r="F1960" s="89">
        <v>42933</v>
      </c>
      <c r="J1960" t="s">
        <v>1472</v>
      </c>
      <c r="K1960" s="120">
        <v>15</v>
      </c>
    </row>
    <row r="1961" spans="2:11" hidden="1" x14ac:dyDescent="0.25">
      <c r="B1961" s="28" t="str">
        <f>IF(ISNUMBER(MATCH(C1961, Mgt_Unit!$C$5:$C$1018, 0)), INDEX(Mgt_Unit!$B$5:$B$1018, MATCH(C1961, Mgt_Unit!$C$5:$C$1018, 0)), "")</f>
        <v>jennifer.moore</v>
      </c>
      <c r="C1961" t="s">
        <v>901</v>
      </c>
      <c r="E1961" s="17" t="s">
        <v>1583</v>
      </c>
      <c r="F1961" s="89">
        <v>43216</v>
      </c>
      <c r="J1961" t="s">
        <v>1436</v>
      </c>
      <c r="K1961" s="120">
        <v>42</v>
      </c>
    </row>
    <row r="1962" spans="2:11" hidden="1" x14ac:dyDescent="0.25">
      <c r="B1962" s="28" t="str">
        <f>IF(ISNUMBER(MATCH(C1962, Mgt_Unit!$C$5:$C$1018, 0)), INDEX(Mgt_Unit!$B$5:$B$1018, MATCH(C1962, Mgt_Unit!$C$5:$C$1018, 0)), "")</f>
        <v>jennifer.moore</v>
      </c>
      <c r="C1962" t="s">
        <v>901</v>
      </c>
      <c r="E1962" s="17" t="s">
        <v>1583</v>
      </c>
      <c r="F1962" s="89">
        <v>43265</v>
      </c>
      <c r="J1962" t="s">
        <v>1471</v>
      </c>
      <c r="K1962" s="120">
        <v>22</v>
      </c>
    </row>
    <row r="1963" spans="2:11" hidden="1" x14ac:dyDescent="0.25">
      <c r="B1963" s="28" t="str">
        <f>IF(ISNUMBER(MATCH(C1963, Mgt_Unit!$C$5:$C$1018, 0)), INDEX(Mgt_Unit!$B$5:$B$1018, MATCH(C1963, Mgt_Unit!$C$5:$C$1018, 0)), "")</f>
        <v>jennifer.moore</v>
      </c>
      <c r="C1963" t="s">
        <v>901</v>
      </c>
      <c r="E1963" s="17" t="s">
        <v>1584</v>
      </c>
      <c r="F1963" s="89">
        <v>43266</v>
      </c>
      <c r="J1963" t="s">
        <v>1355</v>
      </c>
      <c r="K1963" s="120">
        <v>6.3</v>
      </c>
    </row>
    <row r="1964" spans="2:11" hidden="1" x14ac:dyDescent="0.25">
      <c r="B1964" s="28" t="str">
        <f>IF(ISNUMBER(MATCH(C1964, Mgt_Unit!$C$5:$C$1018, 0)), INDEX(Mgt_Unit!$B$5:$B$1018, MATCH(C1964, Mgt_Unit!$C$5:$C$1018, 0)), "")</f>
        <v>jennifer.moore</v>
      </c>
      <c r="C1964" t="s">
        <v>901</v>
      </c>
      <c r="E1964" s="17" t="s">
        <v>1583</v>
      </c>
      <c r="F1964" s="89">
        <v>43269</v>
      </c>
      <c r="J1964" t="s">
        <v>1441</v>
      </c>
      <c r="K1964" s="120">
        <v>17</v>
      </c>
    </row>
    <row r="1965" spans="2:11" hidden="1" x14ac:dyDescent="0.25">
      <c r="B1965" s="28" t="str">
        <f>IF(ISNUMBER(MATCH(C1965, Mgt_Unit!$C$5:$C$1018, 0)), INDEX(Mgt_Unit!$B$5:$B$1018, MATCH(C1965, Mgt_Unit!$C$5:$C$1018, 0)), "")</f>
        <v>jennifer.moore</v>
      </c>
      <c r="C1965" t="s">
        <v>901</v>
      </c>
      <c r="E1965" s="17" t="s">
        <v>1583</v>
      </c>
      <c r="F1965" s="89">
        <v>43277</v>
      </c>
      <c r="J1965" t="s">
        <v>1441</v>
      </c>
      <c r="K1965" s="120">
        <v>17</v>
      </c>
    </row>
    <row r="1966" spans="2:11" hidden="1" x14ac:dyDescent="0.25">
      <c r="B1966" s="28" t="str">
        <f>IF(ISNUMBER(MATCH(C1966, Mgt_Unit!$C$5:$C$1018, 0)), INDEX(Mgt_Unit!$B$5:$B$1018, MATCH(C1966, Mgt_Unit!$C$5:$C$1018, 0)), "")</f>
        <v>jennifer.moore</v>
      </c>
      <c r="C1966" t="s">
        <v>901</v>
      </c>
      <c r="E1966" s="17" t="s">
        <v>1583</v>
      </c>
      <c r="F1966" s="89">
        <v>43280</v>
      </c>
      <c r="J1966" t="s">
        <v>1441</v>
      </c>
      <c r="K1966" s="120">
        <v>17</v>
      </c>
    </row>
    <row r="1967" spans="2:11" hidden="1" x14ac:dyDescent="0.25">
      <c r="B1967" s="28" t="str">
        <f>IF(ISNUMBER(MATCH(C1967, Mgt_Unit!$C$5:$C$1018, 0)), INDEX(Mgt_Unit!$B$5:$B$1018, MATCH(C1967, Mgt_Unit!$C$5:$C$1018, 0)), "")</f>
        <v>jennifer.moore</v>
      </c>
      <c r="C1967" t="s">
        <v>901</v>
      </c>
      <c r="E1967" s="17" t="s">
        <v>1583</v>
      </c>
      <c r="F1967" s="89">
        <v>43284</v>
      </c>
      <c r="J1967" t="s">
        <v>1441</v>
      </c>
      <c r="K1967" s="120">
        <v>17</v>
      </c>
    </row>
    <row r="1968" spans="2:11" hidden="1" x14ac:dyDescent="0.25">
      <c r="B1968" s="28" t="str">
        <f>IF(ISNUMBER(MATCH(C1968, Mgt_Unit!$C$5:$C$1018, 0)), INDEX(Mgt_Unit!$B$5:$B$1018, MATCH(C1968, Mgt_Unit!$C$5:$C$1018, 0)), "")</f>
        <v>jennifer.moore</v>
      </c>
      <c r="C1968" t="s">
        <v>901</v>
      </c>
      <c r="E1968" s="17" t="s">
        <v>1583</v>
      </c>
      <c r="F1968" s="89">
        <v>43284</v>
      </c>
      <c r="J1968" t="s">
        <v>1472</v>
      </c>
      <c r="K1968" s="120">
        <v>15</v>
      </c>
    </row>
    <row r="1969" spans="2:11" hidden="1" x14ac:dyDescent="0.25">
      <c r="B1969" s="28" t="str">
        <f>IF(ISNUMBER(MATCH(C1969, Mgt_Unit!$C$5:$C$1018, 0)), INDEX(Mgt_Unit!$B$5:$B$1018, MATCH(C1969, Mgt_Unit!$C$5:$C$1018, 0)), "")</f>
        <v>jennifer.moore</v>
      </c>
      <c r="C1969" t="s">
        <v>901</v>
      </c>
      <c r="E1969" s="17" t="s">
        <v>1583</v>
      </c>
      <c r="F1969" s="89">
        <v>43294</v>
      </c>
      <c r="J1969" t="s">
        <v>1472</v>
      </c>
      <c r="K1969" s="120">
        <v>15</v>
      </c>
    </row>
    <row r="1970" spans="2:11" hidden="1" x14ac:dyDescent="0.25">
      <c r="B1970" s="28" t="str">
        <f>IF(ISNUMBER(MATCH(C1970, Mgt_Unit!$C$5:$C$1018, 0)), INDEX(Mgt_Unit!$B$5:$B$1018, MATCH(C1970, Mgt_Unit!$C$5:$C$1018, 0)), "")</f>
        <v>jennifer.moore</v>
      </c>
      <c r="C1970" t="s">
        <v>901</v>
      </c>
      <c r="E1970" s="17" t="s">
        <v>1583</v>
      </c>
      <c r="F1970" s="89">
        <v>43300</v>
      </c>
      <c r="J1970" t="s">
        <v>1472</v>
      </c>
      <c r="K1970" s="120">
        <v>15</v>
      </c>
    </row>
    <row r="1971" spans="2:11" hidden="1" x14ac:dyDescent="0.25">
      <c r="B1971" s="28" t="str">
        <f>IF(ISNUMBER(MATCH(C1971, Mgt_Unit!$C$5:$C$1018, 0)), INDEX(Mgt_Unit!$B$5:$B$1018, MATCH(C1971, Mgt_Unit!$C$5:$C$1018, 0)), "")</f>
        <v>jennifer.moore</v>
      </c>
      <c r="C1971" t="s">
        <v>901</v>
      </c>
      <c r="E1971" s="17" t="s">
        <v>1583</v>
      </c>
      <c r="F1971" s="89">
        <v>43312</v>
      </c>
      <c r="J1971" t="s">
        <v>1472</v>
      </c>
      <c r="K1971" s="120">
        <v>15</v>
      </c>
    </row>
    <row r="1972" spans="2:11" hidden="1" x14ac:dyDescent="0.25">
      <c r="B1972" s="28" t="str">
        <f>IF(ISNUMBER(MATCH(C1972, Mgt_Unit!$C$5:$C$1018, 0)), INDEX(Mgt_Unit!$B$5:$B$1018, MATCH(C1972, Mgt_Unit!$C$5:$C$1018, 0)), "")</f>
        <v>jennifer.moore</v>
      </c>
      <c r="C1972" t="s">
        <v>902</v>
      </c>
      <c r="E1972" s="17" t="s">
        <v>1583</v>
      </c>
      <c r="F1972" s="89">
        <v>42489</v>
      </c>
      <c r="J1972" t="s">
        <v>1436</v>
      </c>
      <c r="K1972" s="120">
        <v>42</v>
      </c>
    </row>
    <row r="1973" spans="2:11" hidden="1" x14ac:dyDescent="0.25">
      <c r="B1973" s="28" t="str">
        <f>IF(ISNUMBER(MATCH(C1973, Mgt_Unit!$C$5:$C$1018, 0)), INDEX(Mgt_Unit!$B$5:$B$1018, MATCH(C1973, Mgt_Unit!$C$5:$C$1018, 0)), "")</f>
        <v>jennifer.moore</v>
      </c>
      <c r="C1973" t="s">
        <v>902</v>
      </c>
      <c r="E1973" s="17" t="s">
        <v>1583</v>
      </c>
      <c r="F1973" s="89">
        <v>42529</v>
      </c>
      <c r="J1973" t="s">
        <v>1471</v>
      </c>
      <c r="K1973" s="120">
        <v>22</v>
      </c>
    </row>
    <row r="1974" spans="2:11" hidden="1" x14ac:dyDescent="0.25">
      <c r="B1974" s="28" t="str">
        <f>IF(ISNUMBER(MATCH(C1974, Mgt_Unit!$C$5:$C$1018, 0)), INDEX(Mgt_Unit!$B$5:$B$1018, MATCH(C1974, Mgt_Unit!$C$5:$C$1018, 0)), "")</f>
        <v>jennifer.moore</v>
      </c>
      <c r="C1974" t="s">
        <v>902</v>
      </c>
      <c r="E1974" s="17" t="s">
        <v>1584</v>
      </c>
      <c r="F1974" s="89">
        <v>42530</v>
      </c>
      <c r="J1974" t="s">
        <v>1355</v>
      </c>
      <c r="K1974" s="120">
        <v>6.3</v>
      </c>
    </row>
    <row r="1975" spans="2:11" hidden="1" x14ac:dyDescent="0.25">
      <c r="B1975" s="28" t="str">
        <f>IF(ISNUMBER(MATCH(C1975, Mgt_Unit!$C$5:$C$1018, 0)), INDEX(Mgt_Unit!$B$5:$B$1018, MATCH(C1975, Mgt_Unit!$C$5:$C$1018, 0)), "")</f>
        <v>jennifer.moore</v>
      </c>
      <c r="C1975" t="s">
        <v>902</v>
      </c>
      <c r="E1975" s="17" t="s">
        <v>1583</v>
      </c>
      <c r="F1975" s="89">
        <v>42541</v>
      </c>
      <c r="J1975" t="s">
        <v>1441</v>
      </c>
      <c r="K1975" s="120">
        <v>17</v>
      </c>
    </row>
    <row r="1976" spans="2:11" hidden="1" x14ac:dyDescent="0.25">
      <c r="B1976" s="28" t="str">
        <f>IF(ISNUMBER(MATCH(C1976, Mgt_Unit!$C$5:$C$1018, 0)), INDEX(Mgt_Unit!$B$5:$B$1018, MATCH(C1976, Mgt_Unit!$C$5:$C$1018, 0)), "")</f>
        <v>jennifer.moore</v>
      </c>
      <c r="C1976" t="s">
        <v>902</v>
      </c>
      <c r="E1976" s="17" t="s">
        <v>1583</v>
      </c>
      <c r="F1976" s="89">
        <v>42549</v>
      </c>
      <c r="J1976" t="s">
        <v>1472</v>
      </c>
      <c r="K1976" s="120">
        <v>15</v>
      </c>
    </row>
    <row r="1977" spans="2:11" hidden="1" x14ac:dyDescent="0.25">
      <c r="B1977" s="28" t="str">
        <f>IF(ISNUMBER(MATCH(C1977, Mgt_Unit!$C$5:$C$1018, 0)), INDEX(Mgt_Unit!$B$5:$B$1018, MATCH(C1977, Mgt_Unit!$C$5:$C$1018, 0)), "")</f>
        <v>jennifer.moore</v>
      </c>
      <c r="C1977" t="s">
        <v>902</v>
      </c>
      <c r="E1977" s="17" t="s">
        <v>1583</v>
      </c>
      <c r="F1977" s="89">
        <v>42571</v>
      </c>
      <c r="J1977" t="s">
        <v>1472</v>
      </c>
      <c r="K1977" s="120">
        <v>15</v>
      </c>
    </row>
    <row r="1978" spans="2:11" hidden="1" x14ac:dyDescent="0.25">
      <c r="B1978" s="28" t="str">
        <f>IF(ISNUMBER(MATCH(C1978, Mgt_Unit!$C$5:$C$1018, 0)), INDEX(Mgt_Unit!$B$5:$B$1018, MATCH(C1978, Mgt_Unit!$C$5:$C$1018, 0)), "")</f>
        <v>jennifer.moore</v>
      </c>
      <c r="C1978" t="s">
        <v>902</v>
      </c>
      <c r="E1978" s="17" t="s">
        <v>1583</v>
      </c>
      <c r="F1978" s="89">
        <v>42851</v>
      </c>
      <c r="J1978" t="s">
        <v>1436</v>
      </c>
      <c r="K1978" s="120">
        <v>42</v>
      </c>
    </row>
    <row r="1979" spans="2:11" hidden="1" x14ac:dyDescent="0.25">
      <c r="B1979" s="28" t="str">
        <f>IF(ISNUMBER(MATCH(C1979, Mgt_Unit!$C$5:$C$1018, 0)), INDEX(Mgt_Unit!$B$5:$B$1018, MATCH(C1979, Mgt_Unit!$C$5:$C$1018, 0)), "")</f>
        <v>jennifer.moore</v>
      </c>
      <c r="C1979" t="s">
        <v>902</v>
      </c>
      <c r="E1979" s="17" t="s">
        <v>1583</v>
      </c>
      <c r="F1979" s="89">
        <v>42888</v>
      </c>
      <c r="J1979" t="s">
        <v>1471</v>
      </c>
      <c r="K1979" s="120">
        <v>22</v>
      </c>
    </row>
    <row r="1980" spans="2:11" hidden="1" x14ac:dyDescent="0.25">
      <c r="B1980" s="28" t="str">
        <f>IF(ISNUMBER(MATCH(C1980, Mgt_Unit!$C$5:$C$1018, 0)), INDEX(Mgt_Unit!$B$5:$B$1018, MATCH(C1980, Mgt_Unit!$C$5:$C$1018, 0)), "")</f>
        <v>jennifer.moore</v>
      </c>
      <c r="C1980" t="s">
        <v>902</v>
      </c>
      <c r="E1980" s="17" t="s">
        <v>1583</v>
      </c>
      <c r="F1980" s="89">
        <v>42891</v>
      </c>
      <c r="J1980" t="s">
        <v>1449</v>
      </c>
      <c r="K1980" s="120">
        <v>36</v>
      </c>
    </row>
    <row r="1981" spans="2:11" hidden="1" x14ac:dyDescent="0.25">
      <c r="B1981" s="28" t="str">
        <f>IF(ISNUMBER(MATCH(C1981, Mgt_Unit!$C$5:$C$1018, 0)), INDEX(Mgt_Unit!$B$5:$B$1018, MATCH(C1981, Mgt_Unit!$C$5:$C$1018, 0)), "")</f>
        <v>jennifer.moore</v>
      </c>
      <c r="C1981" t="s">
        <v>902</v>
      </c>
      <c r="E1981" s="17" t="s">
        <v>1584</v>
      </c>
      <c r="F1981" s="89">
        <v>42893</v>
      </c>
      <c r="J1981" t="s">
        <v>1355</v>
      </c>
      <c r="K1981" s="120">
        <v>6.3</v>
      </c>
    </row>
    <row r="1982" spans="2:11" hidden="1" x14ac:dyDescent="0.25">
      <c r="B1982" s="28" t="str">
        <f>IF(ISNUMBER(MATCH(C1982, Mgt_Unit!$C$5:$C$1018, 0)), INDEX(Mgt_Unit!$B$5:$B$1018, MATCH(C1982, Mgt_Unit!$C$5:$C$1018, 0)), "")</f>
        <v>jennifer.moore</v>
      </c>
      <c r="C1982" t="s">
        <v>902</v>
      </c>
      <c r="E1982" s="17" t="s">
        <v>1583</v>
      </c>
      <c r="F1982" s="89">
        <v>42900</v>
      </c>
      <c r="J1982" t="s">
        <v>1441</v>
      </c>
      <c r="K1982" s="120">
        <v>17</v>
      </c>
    </row>
    <row r="1983" spans="2:11" hidden="1" x14ac:dyDescent="0.25">
      <c r="B1983" s="28" t="str">
        <f>IF(ISNUMBER(MATCH(C1983, Mgt_Unit!$C$5:$C$1018, 0)), INDEX(Mgt_Unit!$B$5:$B$1018, MATCH(C1983, Mgt_Unit!$C$5:$C$1018, 0)), "")</f>
        <v>jennifer.moore</v>
      </c>
      <c r="C1983" t="s">
        <v>902</v>
      </c>
      <c r="E1983" s="17" t="s">
        <v>1583</v>
      </c>
      <c r="F1983" s="89">
        <v>42913</v>
      </c>
      <c r="J1983" t="s">
        <v>1441</v>
      </c>
      <c r="K1983" s="120">
        <v>17</v>
      </c>
    </row>
    <row r="1984" spans="2:11" hidden="1" x14ac:dyDescent="0.25">
      <c r="B1984" s="28" t="str">
        <f>IF(ISNUMBER(MATCH(C1984, Mgt_Unit!$C$5:$C$1018, 0)), INDEX(Mgt_Unit!$B$5:$B$1018, MATCH(C1984, Mgt_Unit!$C$5:$C$1018, 0)), "")</f>
        <v>jennifer.moore</v>
      </c>
      <c r="C1984" t="s">
        <v>902</v>
      </c>
      <c r="E1984" s="17" t="s">
        <v>1583</v>
      </c>
      <c r="F1984" s="89">
        <v>42914</v>
      </c>
      <c r="J1984" t="s">
        <v>1472</v>
      </c>
      <c r="K1984" s="120">
        <v>15</v>
      </c>
    </row>
    <row r="1985" spans="2:11" hidden="1" x14ac:dyDescent="0.25">
      <c r="B1985" s="28" t="str">
        <f>IF(ISNUMBER(MATCH(C1985, Mgt_Unit!$C$5:$C$1018, 0)), INDEX(Mgt_Unit!$B$5:$B$1018, MATCH(C1985, Mgt_Unit!$C$5:$C$1018, 0)), "")</f>
        <v>jennifer.moore</v>
      </c>
      <c r="C1985" t="s">
        <v>902</v>
      </c>
      <c r="E1985" s="17" t="s">
        <v>1583</v>
      </c>
      <c r="F1985" s="89">
        <v>42922</v>
      </c>
      <c r="J1985" t="s">
        <v>1472</v>
      </c>
      <c r="K1985" s="120">
        <v>15</v>
      </c>
    </row>
    <row r="1986" spans="2:11" hidden="1" x14ac:dyDescent="0.25">
      <c r="B1986" s="28" t="str">
        <f>IF(ISNUMBER(MATCH(C1986, Mgt_Unit!$C$5:$C$1018, 0)), INDEX(Mgt_Unit!$B$5:$B$1018, MATCH(C1986, Mgt_Unit!$C$5:$C$1018, 0)), "")</f>
        <v>jennifer.moore</v>
      </c>
      <c r="C1986" t="s">
        <v>902</v>
      </c>
      <c r="E1986" s="17" t="s">
        <v>1583</v>
      </c>
      <c r="F1986" s="89">
        <v>42933</v>
      </c>
      <c r="J1986" t="s">
        <v>1472</v>
      </c>
      <c r="K1986" s="120">
        <v>15</v>
      </c>
    </row>
    <row r="1987" spans="2:11" hidden="1" x14ac:dyDescent="0.25">
      <c r="B1987" s="28" t="str">
        <f>IF(ISNUMBER(MATCH(C1987, Mgt_Unit!$C$5:$C$1018, 0)), INDEX(Mgt_Unit!$B$5:$B$1018, MATCH(C1987, Mgt_Unit!$C$5:$C$1018, 0)), "")</f>
        <v>jennifer.moore</v>
      </c>
      <c r="C1987" t="s">
        <v>902</v>
      </c>
      <c r="E1987" s="17" t="s">
        <v>1583</v>
      </c>
      <c r="F1987" s="89">
        <v>43069</v>
      </c>
      <c r="J1987" t="s">
        <v>1436</v>
      </c>
      <c r="K1987" s="120">
        <v>42</v>
      </c>
    </row>
    <row r="1988" spans="2:11" hidden="1" x14ac:dyDescent="0.25">
      <c r="B1988" s="28" t="str">
        <f>IF(ISNUMBER(MATCH(C1988, Mgt_Unit!$C$5:$C$1018, 0)), INDEX(Mgt_Unit!$B$5:$B$1018, MATCH(C1988, Mgt_Unit!$C$5:$C$1018, 0)), "")</f>
        <v>jennifer.moore</v>
      </c>
      <c r="C1988" t="s">
        <v>902</v>
      </c>
      <c r="E1988" s="17" t="s">
        <v>1584</v>
      </c>
      <c r="F1988" s="89">
        <v>43070</v>
      </c>
      <c r="J1988" t="s">
        <v>1398</v>
      </c>
      <c r="K1988" s="120">
        <v>4</v>
      </c>
    </row>
    <row r="1989" spans="2:11" hidden="1" x14ac:dyDescent="0.25">
      <c r="B1989" s="28" t="str">
        <f>IF(ISNUMBER(MATCH(C1989, Mgt_Unit!$C$5:$C$1018, 0)), INDEX(Mgt_Unit!$B$5:$B$1018, MATCH(C1989, Mgt_Unit!$C$5:$C$1018, 0)), "")</f>
        <v>jennifer.moore</v>
      </c>
      <c r="C1989" t="s">
        <v>902</v>
      </c>
      <c r="E1989" s="17" t="s">
        <v>1583</v>
      </c>
      <c r="F1989" s="89">
        <v>43070</v>
      </c>
      <c r="J1989" t="s">
        <v>1448</v>
      </c>
      <c r="K1989" s="120">
        <v>30</v>
      </c>
    </row>
    <row r="1990" spans="2:11" hidden="1" x14ac:dyDescent="0.25">
      <c r="B1990" s="28" t="str">
        <f>IF(ISNUMBER(MATCH(C1990, Mgt_Unit!$C$5:$C$1018, 0)), INDEX(Mgt_Unit!$B$5:$B$1018, MATCH(C1990, Mgt_Unit!$C$5:$C$1018, 0)), "")</f>
        <v>jennifer.moore</v>
      </c>
      <c r="C1990" t="s">
        <v>902</v>
      </c>
      <c r="E1990" s="17" t="s">
        <v>1583</v>
      </c>
      <c r="F1990" s="89">
        <v>43357</v>
      </c>
      <c r="J1990" t="s">
        <v>1436</v>
      </c>
      <c r="K1990" s="120">
        <v>42</v>
      </c>
    </row>
    <row r="1991" spans="2:11" hidden="1" x14ac:dyDescent="0.25">
      <c r="B1991" s="28" t="str">
        <f>IF(ISNUMBER(MATCH(C1991, Mgt_Unit!$C$5:$C$1018, 0)), INDEX(Mgt_Unit!$B$5:$B$1018, MATCH(C1991, Mgt_Unit!$C$5:$C$1018, 0)), "")</f>
        <v>jennifer.moore</v>
      </c>
      <c r="C1991" t="s">
        <v>903</v>
      </c>
      <c r="E1991" s="17" t="s">
        <v>1583</v>
      </c>
      <c r="F1991" s="89">
        <v>43216</v>
      </c>
      <c r="J1991" t="s">
        <v>1436</v>
      </c>
      <c r="K1991" s="120">
        <v>42</v>
      </c>
    </row>
    <row r="1992" spans="2:11" hidden="1" x14ac:dyDescent="0.25">
      <c r="B1992" s="28" t="str">
        <f>IF(ISNUMBER(MATCH(C1992, Mgt_Unit!$C$5:$C$1018, 0)), INDEX(Mgt_Unit!$B$5:$B$1018, MATCH(C1992, Mgt_Unit!$C$5:$C$1018, 0)), "")</f>
        <v>jennifer.moore</v>
      </c>
      <c r="C1992" t="s">
        <v>903</v>
      </c>
      <c r="E1992" s="17" t="s">
        <v>1583</v>
      </c>
      <c r="F1992" s="89">
        <v>43265</v>
      </c>
      <c r="J1992" t="s">
        <v>1471</v>
      </c>
      <c r="K1992" s="120">
        <v>22</v>
      </c>
    </row>
    <row r="1993" spans="2:11" hidden="1" x14ac:dyDescent="0.25">
      <c r="B1993" s="28" t="str">
        <f>IF(ISNUMBER(MATCH(C1993, Mgt_Unit!$C$5:$C$1018, 0)), INDEX(Mgt_Unit!$B$5:$B$1018, MATCH(C1993, Mgt_Unit!$C$5:$C$1018, 0)), "")</f>
        <v>jennifer.moore</v>
      </c>
      <c r="C1993" t="s">
        <v>903</v>
      </c>
      <c r="E1993" s="17" t="s">
        <v>1584</v>
      </c>
      <c r="F1993" s="89">
        <v>43266</v>
      </c>
      <c r="J1993" t="s">
        <v>1355</v>
      </c>
      <c r="K1993" s="120">
        <v>6.3</v>
      </c>
    </row>
    <row r="1994" spans="2:11" hidden="1" x14ac:dyDescent="0.25">
      <c r="B1994" s="28" t="str">
        <f>IF(ISNUMBER(MATCH(C1994, Mgt_Unit!$C$5:$C$1018, 0)), INDEX(Mgt_Unit!$B$5:$B$1018, MATCH(C1994, Mgt_Unit!$C$5:$C$1018, 0)), "")</f>
        <v>jennifer.moore</v>
      </c>
      <c r="C1994" t="s">
        <v>903</v>
      </c>
      <c r="E1994" s="17" t="s">
        <v>1583</v>
      </c>
      <c r="F1994" s="89">
        <v>43269</v>
      </c>
      <c r="J1994" t="s">
        <v>1441</v>
      </c>
      <c r="K1994" s="120">
        <v>17</v>
      </c>
    </row>
    <row r="1995" spans="2:11" hidden="1" x14ac:dyDescent="0.25">
      <c r="B1995" s="28" t="str">
        <f>IF(ISNUMBER(MATCH(C1995, Mgt_Unit!$C$5:$C$1018, 0)), INDEX(Mgt_Unit!$B$5:$B$1018, MATCH(C1995, Mgt_Unit!$C$5:$C$1018, 0)), "")</f>
        <v>jennifer.moore</v>
      </c>
      <c r="C1995" t="s">
        <v>903</v>
      </c>
      <c r="E1995" s="17" t="s">
        <v>1583</v>
      </c>
      <c r="F1995" s="89">
        <v>43277</v>
      </c>
      <c r="J1995" t="s">
        <v>1441</v>
      </c>
      <c r="K1995" s="120">
        <v>17</v>
      </c>
    </row>
    <row r="1996" spans="2:11" hidden="1" x14ac:dyDescent="0.25">
      <c r="B1996" s="28" t="str">
        <f>IF(ISNUMBER(MATCH(C1996, Mgt_Unit!$C$5:$C$1018, 0)), INDEX(Mgt_Unit!$B$5:$B$1018, MATCH(C1996, Mgt_Unit!$C$5:$C$1018, 0)), "")</f>
        <v>jennifer.moore</v>
      </c>
      <c r="C1996" t="s">
        <v>903</v>
      </c>
      <c r="E1996" s="17" t="s">
        <v>1583</v>
      </c>
      <c r="F1996" s="89">
        <v>43280</v>
      </c>
      <c r="J1996" t="s">
        <v>1441</v>
      </c>
      <c r="K1996" s="120">
        <v>17</v>
      </c>
    </row>
    <row r="1997" spans="2:11" hidden="1" x14ac:dyDescent="0.25">
      <c r="B1997" s="28" t="str">
        <f>IF(ISNUMBER(MATCH(C1997, Mgt_Unit!$C$5:$C$1018, 0)), INDEX(Mgt_Unit!$B$5:$B$1018, MATCH(C1997, Mgt_Unit!$C$5:$C$1018, 0)), "")</f>
        <v>jennifer.moore</v>
      </c>
      <c r="C1997" t="s">
        <v>903</v>
      </c>
      <c r="E1997" s="17" t="s">
        <v>1583</v>
      </c>
      <c r="F1997" s="89">
        <v>43284</v>
      </c>
      <c r="J1997" t="s">
        <v>1472</v>
      </c>
      <c r="K1997" s="120">
        <v>15</v>
      </c>
    </row>
    <row r="1998" spans="2:11" hidden="1" x14ac:dyDescent="0.25">
      <c r="B1998" s="28" t="str">
        <f>IF(ISNUMBER(MATCH(C1998, Mgt_Unit!$C$5:$C$1018, 0)), INDEX(Mgt_Unit!$B$5:$B$1018, MATCH(C1998, Mgt_Unit!$C$5:$C$1018, 0)), "")</f>
        <v>jennifer.moore</v>
      </c>
      <c r="C1998" t="s">
        <v>903</v>
      </c>
      <c r="E1998" s="17" t="s">
        <v>1583</v>
      </c>
      <c r="F1998" s="89">
        <v>43294</v>
      </c>
      <c r="J1998" t="s">
        <v>1472</v>
      </c>
      <c r="K1998" s="120">
        <v>15</v>
      </c>
    </row>
    <row r="1999" spans="2:11" hidden="1" x14ac:dyDescent="0.25">
      <c r="B1999" s="28" t="str">
        <f>IF(ISNUMBER(MATCH(C1999, Mgt_Unit!$C$5:$C$1018, 0)), INDEX(Mgt_Unit!$B$5:$B$1018, MATCH(C1999, Mgt_Unit!$C$5:$C$1018, 0)), "")</f>
        <v>jennifer.moore</v>
      </c>
      <c r="C1999" t="s">
        <v>903</v>
      </c>
      <c r="E1999" s="17" t="s">
        <v>1583</v>
      </c>
      <c r="F1999" s="89">
        <v>43300</v>
      </c>
      <c r="J1999" t="s">
        <v>1472</v>
      </c>
      <c r="K1999" s="120">
        <v>15</v>
      </c>
    </row>
    <row r="2000" spans="2:11" hidden="1" x14ac:dyDescent="0.25">
      <c r="B2000" s="28" t="str">
        <f>IF(ISNUMBER(MATCH(C2000, Mgt_Unit!$C$5:$C$1018, 0)), INDEX(Mgt_Unit!$B$5:$B$1018, MATCH(C2000, Mgt_Unit!$C$5:$C$1018, 0)), "")</f>
        <v>jennifer.moore</v>
      </c>
      <c r="C2000" t="s">
        <v>903</v>
      </c>
      <c r="E2000" s="17" t="s">
        <v>1583</v>
      </c>
      <c r="F2000" s="89">
        <v>43306</v>
      </c>
      <c r="J2000" t="s">
        <v>1472</v>
      </c>
      <c r="K2000" s="120">
        <v>15</v>
      </c>
    </row>
    <row r="2001" spans="2:11" hidden="1" x14ac:dyDescent="0.25">
      <c r="B2001" s="28" t="str">
        <f>IF(ISNUMBER(MATCH(C2001, Mgt_Unit!$C$5:$C$1018, 0)), INDEX(Mgt_Unit!$B$5:$B$1018, MATCH(C2001, Mgt_Unit!$C$5:$C$1018, 0)), "")</f>
        <v>jennifer.moore</v>
      </c>
      <c r="C2001" t="s">
        <v>904</v>
      </c>
      <c r="E2001" s="17" t="s">
        <v>1583</v>
      </c>
      <c r="F2001" s="89">
        <v>42510</v>
      </c>
      <c r="J2001" t="s">
        <v>1436</v>
      </c>
      <c r="K2001" s="120">
        <v>42</v>
      </c>
    </row>
    <row r="2002" spans="2:11" hidden="1" x14ac:dyDescent="0.25">
      <c r="B2002" s="28" t="str">
        <f>IF(ISNUMBER(MATCH(C2002, Mgt_Unit!$C$5:$C$1018, 0)), INDEX(Mgt_Unit!$B$5:$B$1018, MATCH(C2002, Mgt_Unit!$C$5:$C$1018, 0)), "")</f>
        <v>jennifer.moore</v>
      </c>
      <c r="C2002" t="s">
        <v>904</v>
      </c>
      <c r="E2002" s="17" t="s">
        <v>1583</v>
      </c>
      <c r="F2002" s="89">
        <v>42529</v>
      </c>
      <c r="J2002" t="s">
        <v>1471</v>
      </c>
      <c r="K2002" s="120">
        <v>22</v>
      </c>
    </row>
    <row r="2003" spans="2:11" hidden="1" x14ac:dyDescent="0.25">
      <c r="B2003" s="28" t="str">
        <f>IF(ISNUMBER(MATCH(C2003, Mgt_Unit!$C$5:$C$1018, 0)), INDEX(Mgt_Unit!$B$5:$B$1018, MATCH(C2003, Mgt_Unit!$C$5:$C$1018, 0)), "")</f>
        <v>jennifer.moore</v>
      </c>
      <c r="C2003" t="s">
        <v>904</v>
      </c>
      <c r="E2003" s="17" t="s">
        <v>1584</v>
      </c>
      <c r="F2003" s="89">
        <v>42530</v>
      </c>
      <c r="J2003" t="s">
        <v>1355</v>
      </c>
      <c r="K2003" s="120">
        <v>6.3</v>
      </c>
    </row>
    <row r="2004" spans="2:11" hidden="1" x14ac:dyDescent="0.25">
      <c r="B2004" s="28" t="str">
        <f>IF(ISNUMBER(MATCH(C2004, Mgt_Unit!$C$5:$C$1018, 0)), INDEX(Mgt_Unit!$B$5:$B$1018, MATCH(C2004, Mgt_Unit!$C$5:$C$1018, 0)), "")</f>
        <v>jennifer.moore</v>
      </c>
      <c r="C2004" t="s">
        <v>904</v>
      </c>
      <c r="E2004" s="17" t="s">
        <v>1583</v>
      </c>
      <c r="F2004" s="89">
        <v>42541</v>
      </c>
      <c r="J2004" t="s">
        <v>1441</v>
      </c>
      <c r="K2004" s="120">
        <v>17</v>
      </c>
    </row>
    <row r="2005" spans="2:11" hidden="1" x14ac:dyDescent="0.25">
      <c r="B2005" s="28" t="str">
        <f>IF(ISNUMBER(MATCH(C2005, Mgt_Unit!$C$5:$C$1018, 0)), INDEX(Mgt_Unit!$B$5:$B$1018, MATCH(C2005, Mgt_Unit!$C$5:$C$1018, 0)), "")</f>
        <v>jennifer.moore</v>
      </c>
      <c r="C2005" t="s">
        <v>904</v>
      </c>
      <c r="E2005" s="17" t="s">
        <v>1583</v>
      </c>
      <c r="F2005" s="89">
        <v>42549</v>
      </c>
      <c r="J2005" t="s">
        <v>1472</v>
      </c>
      <c r="K2005" s="120">
        <v>15</v>
      </c>
    </row>
    <row r="2006" spans="2:11" hidden="1" x14ac:dyDescent="0.25">
      <c r="B2006" s="28" t="str">
        <f>IF(ISNUMBER(MATCH(C2006, Mgt_Unit!$C$5:$C$1018, 0)), INDEX(Mgt_Unit!$B$5:$B$1018, MATCH(C2006, Mgt_Unit!$C$5:$C$1018, 0)), "")</f>
        <v>jennifer.moore</v>
      </c>
      <c r="C2006" t="s">
        <v>904</v>
      </c>
      <c r="E2006" s="17" t="s">
        <v>1583</v>
      </c>
      <c r="F2006" s="89">
        <v>42571</v>
      </c>
      <c r="J2006" t="s">
        <v>1472</v>
      </c>
      <c r="K2006" s="120">
        <v>15</v>
      </c>
    </row>
    <row r="2007" spans="2:11" hidden="1" x14ac:dyDescent="0.25">
      <c r="B2007" s="28" t="str">
        <f>IF(ISNUMBER(MATCH(C2007, Mgt_Unit!$C$5:$C$1018, 0)), INDEX(Mgt_Unit!$B$5:$B$1018, MATCH(C2007, Mgt_Unit!$C$5:$C$1018, 0)), "")</f>
        <v>jennifer.moore</v>
      </c>
      <c r="C2007" t="s">
        <v>904</v>
      </c>
      <c r="E2007" s="17" t="s">
        <v>1583</v>
      </c>
      <c r="F2007" s="89">
        <v>42879</v>
      </c>
      <c r="J2007" t="s">
        <v>1436</v>
      </c>
      <c r="K2007" s="120">
        <v>42</v>
      </c>
    </row>
    <row r="2008" spans="2:11" hidden="1" x14ac:dyDescent="0.25">
      <c r="B2008" s="28" t="str">
        <f>IF(ISNUMBER(MATCH(C2008, Mgt_Unit!$C$5:$C$1018, 0)), INDEX(Mgt_Unit!$B$5:$B$1018, MATCH(C2008, Mgt_Unit!$C$5:$C$1018, 0)), "")</f>
        <v>jennifer.moore</v>
      </c>
      <c r="C2008" t="s">
        <v>904</v>
      </c>
      <c r="E2008" s="17" t="s">
        <v>1583</v>
      </c>
      <c r="F2008" s="89">
        <v>42888</v>
      </c>
      <c r="J2008" t="s">
        <v>1472</v>
      </c>
      <c r="K2008" s="120">
        <v>15</v>
      </c>
    </row>
    <row r="2009" spans="2:11" hidden="1" x14ac:dyDescent="0.25">
      <c r="B2009" s="28" t="str">
        <f>IF(ISNUMBER(MATCH(C2009, Mgt_Unit!$C$5:$C$1018, 0)), INDEX(Mgt_Unit!$B$5:$B$1018, MATCH(C2009, Mgt_Unit!$C$5:$C$1018, 0)), "")</f>
        <v>jennifer.moore</v>
      </c>
      <c r="C2009" t="s">
        <v>904</v>
      </c>
      <c r="E2009" s="17" t="s">
        <v>1583</v>
      </c>
      <c r="F2009" s="89">
        <v>42891</v>
      </c>
      <c r="J2009" t="s">
        <v>1449</v>
      </c>
      <c r="K2009" s="120">
        <v>36</v>
      </c>
    </row>
    <row r="2010" spans="2:11" hidden="1" x14ac:dyDescent="0.25">
      <c r="B2010" s="28" t="str">
        <f>IF(ISNUMBER(MATCH(C2010, Mgt_Unit!$C$5:$C$1018, 0)), INDEX(Mgt_Unit!$B$5:$B$1018, MATCH(C2010, Mgt_Unit!$C$5:$C$1018, 0)), "")</f>
        <v>jennifer.moore</v>
      </c>
      <c r="C2010" t="s">
        <v>904</v>
      </c>
      <c r="E2010" s="17" t="s">
        <v>1584</v>
      </c>
      <c r="F2010" s="89">
        <v>42893</v>
      </c>
      <c r="J2010" t="s">
        <v>1355</v>
      </c>
      <c r="K2010" s="120">
        <v>6.3</v>
      </c>
    </row>
    <row r="2011" spans="2:11" hidden="1" x14ac:dyDescent="0.25">
      <c r="B2011" s="28" t="str">
        <f>IF(ISNUMBER(MATCH(C2011, Mgt_Unit!$C$5:$C$1018, 0)), INDEX(Mgt_Unit!$B$5:$B$1018, MATCH(C2011, Mgt_Unit!$C$5:$C$1018, 0)), "")</f>
        <v>jennifer.moore</v>
      </c>
      <c r="C2011" t="s">
        <v>904</v>
      </c>
      <c r="E2011" s="17" t="s">
        <v>1583</v>
      </c>
      <c r="F2011" s="89">
        <v>42899</v>
      </c>
      <c r="J2011" t="s">
        <v>1441</v>
      </c>
      <c r="K2011" s="120">
        <v>17</v>
      </c>
    </row>
    <row r="2012" spans="2:11" hidden="1" x14ac:dyDescent="0.25">
      <c r="B2012" s="28" t="str">
        <f>IF(ISNUMBER(MATCH(C2012, Mgt_Unit!$C$5:$C$1018, 0)), INDEX(Mgt_Unit!$B$5:$B$1018, MATCH(C2012, Mgt_Unit!$C$5:$C$1018, 0)), "")</f>
        <v>jennifer.moore</v>
      </c>
      <c r="C2012" t="s">
        <v>904</v>
      </c>
      <c r="E2012" s="17" t="s">
        <v>1583</v>
      </c>
      <c r="F2012" s="89">
        <v>42900</v>
      </c>
      <c r="J2012" t="s">
        <v>1441</v>
      </c>
      <c r="K2012" s="120">
        <v>17</v>
      </c>
    </row>
    <row r="2013" spans="2:11" hidden="1" x14ac:dyDescent="0.25">
      <c r="B2013" s="28" t="str">
        <f>IF(ISNUMBER(MATCH(C2013, Mgt_Unit!$C$5:$C$1018, 0)), INDEX(Mgt_Unit!$B$5:$B$1018, MATCH(C2013, Mgt_Unit!$C$5:$C$1018, 0)), "")</f>
        <v>jennifer.moore</v>
      </c>
      <c r="C2013" t="s">
        <v>904</v>
      </c>
      <c r="E2013" s="17" t="s">
        <v>1583</v>
      </c>
      <c r="F2013" s="89">
        <v>42913</v>
      </c>
      <c r="J2013" t="s">
        <v>1441</v>
      </c>
      <c r="K2013" s="120">
        <v>17</v>
      </c>
    </row>
    <row r="2014" spans="2:11" hidden="1" x14ac:dyDescent="0.25">
      <c r="B2014" s="28" t="str">
        <f>IF(ISNUMBER(MATCH(C2014, Mgt_Unit!$C$5:$C$1018, 0)), INDEX(Mgt_Unit!$B$5:$B$1018, MATCH(C2014, Mgt_Unit!$C$5:$C$1018, 0)), "")</f>
        <v>jennifer.moore</v>
      </c>
      <c r="C2014" t="s">
        <v>904</v>
      </c>
      <c r="E2014" s="17" t="s">
        <v>1583</v>
      </c>
      <c r="F2014" s="89">
        <v>42914</v>
      </c>
      <c r="J2014" t="s">
        <v>1472</v>
      </c>
      <c r="K2014" s="120">
        <v>15</v>
      </c>
    </row>
    <row r="2015" spans="2:11" hidden="1" x14ac:dyDescent="0.25">
      <c r="B2015" s="28" t="str">
        <f>IF(ISNUMBER(MATCH(C2015, Mgt_Unit!$C$5:$C$1018, 0)), INDEX(Mgt_Unit!$B$5:$B$1018, MATCH(C2015, Mgt_Unit!$C$5:$C$1018, 0)), "")</f>
        <v>jennifer.moore</v>
      </c>
      <c r="C2015" t="s">
        <v>904</v>
      </c>
      <c r="E2015" s="17" t="s">
        <v>1583</v>
      </c>
      <c r="F2015" s="89">
        <v>42922</v>
      </c>
      <c r="J2015" t="s">
        <v>1472</v>
      </c>
      <c r="K2015" s="120">
        <v>15</v>
      </c>
    </row>
    <row r="2016" spans="2:11" hidden="1" x14ac:dyDescent="0.25">
      <c r="B2016" s="28" t="str">
        <f>IF(ISNUMBER(MATCH(C2016, Mgt_Unit!$C$5:$C$1018, 0)), INDEX(Mgt_Unit!$B$5:$B$1018, MATCH(C2016, Mgt_Unit!$C$5:$C$1018, 0)), "")</f>
        <v>jennifer.moore</v>
      </c>
      <c r="C2016" t="s">
        <v>904</v>
      </c>
      <c r="E2016" s="17" t="s">
        <v>1583</v>
      </c>
      <c r="F2016" s="89">
        <v>42933</v>
      </c>
      <c r="J2016" t="s">
        <v>1472</v>
      </c>
      <c r="K2016" s="120">
        <v>15</v>
      </c>
    </row>
    <row r="2017" spans="2:11" hidden="1" x14ac:dyDescent="0.25">
      <c r="B2017" s="28" t="str">
        <f>IF(ISNUMBER(MATCH(C2017, Mgt_Unit!$C$5:$C$1018, 0)), INDEX(Mgt_Unit!$B$5:$B$1018, MATCH(C2017, Mgt_Unit!$C$5:$C$1018, 0)), "")</f>
        <v>jennifer.moore</v>
      </c>
      <c r="C2017" t="s">
        <v>904</v>
      </c>
      <c r="E2017" s="17" t="s">
        <v>1583</v>
      </c>
      <c r="F2017" s="89">
        <v>43069</v>
      </c>
      <c r="J2017" t="s">
        <v>1436</v>
      </c>
      <c r="K2017" s="120">
        <v>42</v>
      </c>
    </row>
    <row r="2018" spans="2:11" hidden="1" x14ac:dyDescent="0.25">
      <c r="B2018" s="28" t="str">
        <f>IF(ISNUMBER(MATCH(C2018, Mgt_Unit!$C$5:$C$1018, 0)), INDEX(Mgt_Unit!$B$5:$B$1018, MATCH(C2018, Mgt_Unit!$C$5:$C$1018, 0)), "")</f>
        <v>jennifer.moore</v>
      </c>
      <c r="C2018" t="s">
        <v>904</v>
      </c>
      <c r="E2018" s="17" t="s">
        <v>1583</v>
      </c>
      <c r="F2018" s="89">
        <v>43070</v>
      </c>
      <c r="J2018" t="s">
        <v>1448</v>
      </c>
      <c r="K2018" s="120">
        <v>30</v>
      </c>
    </row>
    <row r="2019" spans="2:11" hidden="1" x14ac:dyDescent="0.25">
      <c r="B2019" s="28" t="str">
        <f>IF(ISNUMBER(MATCH(C2019, Mgt_Unit!$C$5:$C$1018, 0)), INDEX(Mgt_Unit!$B$5:$B$1018, MATCH(C2019, Mgt_Unit!$C$5:$C$1018, 0)), "")</f>
        <v>jennifer.moore</v>
      </c>
      <c r="C2019" t="s">
        <v>904</v>
      </c>
      <c r="E2019" s="17" t="s">
        <v>1584</v>
      </c>
      <c r="F2019" s="89">
        <v>43070</v>
      </c>
      <c r="J2019" t="s">
        <v>1398</v>
      </c>
      <c r="K2019" s="120">
        <v>4</v>
      </c>
    </row>
    <row r="2020" spans="2:11" hidden="1" x14ac:dyDescent="0.25">
      <c r="B2020" s="28" t="str">
        <f>IF(ISNUMBER(MATCH(C2020, Mgt_Unit!$C$5:$C$1018, 0)), INDEX(Mgt_Unit!$B$5:$B$1018, MATCH(C2020, Mgt_Unit!$C$5:$C$1018, 0)), "")</f>
        <v>jennifer.moore</v>
      </c>
      <c r="C2020" t="s">
        <v>905</v>
      </c>
      <c r="E2020" s="17" t="s">
        <v>1583</v>
      </c>
      <c r="F2020" s="89">
        <v>42510</v>
      </c>
      <c r="J2020" t="s">
        <v>1436</v>
      </c>
      <c r="K2020" s="120">
        <v>42</v>
      </c>
    </row>
    <row r="2021" spans="2:11" hidden="1" x14ac:dyDescent="0.25">
      <c r="B2021" s="28" t="str">
        <f>IF(ISNUMBER(MATCH(C2021, Mgt_Unit!$C$5:$C$1018, 0)), INDEX(Mgt_Unit!$B$5:$B$1018, MATCH(C2021, Mgt_Unit!$C$5:$C$1018, 0)), "")</f>
        <v>jennifer.moore</v>
      </c>
      <c r="C2021" t="s">
        <v>905</v>
      </c>
      <c r="E2021" s="17" t="s">
        <v>1583</v>
      </c>
      <c r="F2021" s="89">
        <v>42529</v>
      </c>
      <c r="J2021" t="s">
        <v>1471</v>
      </c>
      <c r="K2021" s="120">
        <v>22</v>
      </c>
    </row>
    <row r="2022" spans="2:11" hidden="1" x14ac:dyDescent="0.25">
      <c r="B2022" s="28" t="str">
        <f>IF(ISNUMBER(MATCH(C2022, Mgt_Unit!$C$5:$C$1018, 0)), INDEX(Mgt_Unit!$B$5:$B$1018, MATCH(C2022, Mgt_Unit!$C$5:$C$1018, 0)), "")</f>
        <v>jennifer.moore</v>
      </c>
      <c r="C2022" t="s">
        <v>905</v>
      </c>
      <c r="E2022" s="17" t="s">
        <v>1584</v>
      </c>
      <c r="F2022" s="89">
        <v>42530</v>
      </c>
      <c r="J2022" t="s">
        <v>1355</v>
      </c>
      <c r="K2022" s="120">
        <v>6.3</v>
      </c>
    </row>
    <row r="2023" spans="2:11" hidden="1" x14ac:dyDescent="0.25">
      <c r="B2023" s="28" t="str">
        <f>IF(ISNUMBER(MATCH(C2023, Mgt_Unit!$C$5:$C$1018, 0)), INDEX(Mgt_Unit!$B$5:$B$1018, MATCH(C2023, Mgt_Unit!$C$5:$C$1018, 0)), "")</f>
        <v>jennifer.moore</v>
      </c>
      <c r="C2023" t="s">
        <v>905</v>
      </c>
      <c r="E2023" s="17" t="s">
        <v>1583</v>
      </c>
      <c r="F2023" s="89">
        <v>42541</v>
      </c>
      <c r="J2023" t="s">
        <v>1441</v>
      </c>
      <c r="K2023" s="120">
        <v>17</v>
      </c>
    </row>
    <row r="2024" spans="2:11" hidden="1" x14ac:dyDescent="0.25">
      <c r="B2024" s="28" t="str">
        <f>IF(ISNUMBER(MATCH(C2024, Mgt_Unit!$C$5:$C$1018, 0)), INDEX(Mgt_Unit!$B$5:$B$1018, MATCH(C2024, Mgt_Unit!$C$5:$C$1018, 0)), "")</f>
        <v>jennifer.moore</v>
      </c>
      <c r="C2024" t="s">
        <v>905</v>
      </c>
      <c r="E2024" s="17" t="s">
        <v>1583</v>
      </c>
      <c r="F2024" s="89">
        <v>42571</v>
      </c>
      <c r="J2024" t="s">
        <v>1472</v>
      </c>
      <c r="K2024" s="120">
        <v>15</v>
      </c>
    </row>
    <row r="2025" spans="2:11" hidden="1" x14ac:dyDescent="0.25">
      <c r="B2025" s="28" t="str">
        <f>IF(ISNUMBER(MATCH(C2025, Mgt_Unit!$C$5:$C$1018, 0)), INDEX(Mgt_Unit!$B$5:$B$1018, MATCH(C2025, Mgt_Unit!$C$5:$C$1018, 0)), "")</f>
        <v>jennifer.moore</v>
      </c>
      <c r="C2025" t="s">
        <v>905</v>
      </c>
      <c r="E2025" s="17" t="s">
        <v>1585</v>
      </c>
      <c r="F2025" s="89">
        <v>42682</v>
      </c>
      <c r="J2025" t="s">
        <v>1398</v>
      </c>
      <c r="K2025" s="120">
        <v>4</v>
      </c>
    </row>
    <row r="2026" spans="2:11" hidden="1" x14ac:dyDescent="0.25">
      <c r="B2026" s="28" t="str">
        <f>IF(ISNUMBER(MATCH(C2026, Mgt_Unit!$C$5:$C$1018, 0)), INDEX(Mgt_Unit!$B$5:$B$1018, MATCH(C2026, Mgt_Unit!$C$5:$C$1018, 0)), "")</f>
        <v>jennifer.moore</v>
      </c>
      <c r="C2026" t="s">
        <v>905</v>
      </c>
      <c r="E2026" s="17" t="s">
        <v>1583</v>
      </c>
      <c r="F2026" s="89">
        <v>42879</v>
      </c>
      <c r="J2026" t="s">
        <v>1436</v>
      </c>
      <c r="K2026" s="120">
        <v>42</v>
      </c>
    </row>
    <row r="2027" spans="2:11" hidden="1" x14ac:dyDescent="0.25">
      <c r="B2027" s="28" t="str">
        <f>IF(ISNUMBER(MATCH(C2027, Mgt_Unit!$C$5:$C$1018, 0)), INDEX(Mgt_Unit!$B$5:$B$1018, MATCH(C2027, Mgt_Unit!$C$5:$C$1018, 0)), "")</f>
        <v>jennifer.moore</v>
      </c>
      <c r="C2027" t="s">
        <v>905</v>
      </c>
      <c r="E2027" s="17" t="s">
        <v>1583</v>
      </c>
      <c r="F2027" s="89">
        <v>42888</v>
      </c>
      <c r="J2027" t="s">
        <v>1471</v>
      </c>
      <c r="K2027" s="120">
        <v>22</v>
      </c>
    </row>
    <row r="2028" spans="2:11" hidden="1" x14ac:dyDescent="0.25">
      <c r="B2028" s="28" t="str">
        <f>IF(ISNUMBER(MATCH(C2028, Mgt_Unit!$C$5:$C$1018, 0)), INDEX(Mgt_Unit!$B$5:$B$1018, MATCH(C2028, Mgt_Unit!$C$5:$C$1018, 0)), "")</f>
        <v>jennifer.moore</v>
      </c>
      <c r="C2028" t="s">
        <v>905</v>
      </c>
      <c r="E2028" s="17" t="s">
        <v>1584</v>
      </c>
      <c r="F2028" s="89">
        <v>42893</v>
      </c>
      <c r="J2028" t="s">
        <v>1355</v>
      </c>
      <c r="K2028" s="120">
        <v>6.3</v>
      </c>
    </row>
    <row r="2029" spans="2:11" hidden="1" x14ac:dyDescent="0.25">
      <c r="B2029" s="28" t="str">
        <f>IF(ISNUMBER(MATCH(C2029, Mgt_Unit!$C$5:$C$1018, 0)), INDEX(Mgt_Unit!$B$5:$B$1018, MATCH(C2029, Mgt_Unit!$C$5:$C$1018, 0)), "")</f>
        <v>jennifer.moore</v>
      </c>
      <c r="C2029" t="s">
        <v>905</v>
      </c>
      <c r="E2029" s="17" t="s">
        <v>1583</v>
      </c>
      <c r="F2029" s="89">
        <v>42899</v>
      </c>
      <c r="J2029" t="s">
        <v>1441</v>
      </c>
      <c r="K2029" s="120">
        <v>17</v>
      </c>
    </row>
    <row r="2030" spans="2:11" hidden="1" x14ac:dyDescent="0.25">
      <c r="B2030" s="28" t="str">
        <f>IF(ISNUMBER(MATCH(C2030, Mgt_Unit!$C$5:$C$1018, 0)), INDEX(Mgt_Unit!$B$5:$B$1018, MATCH(C2030, Mgt_Unit!$C$5:$C$1018, 0)), "")</f>
        <v>jennifer.moore</v>
      </c>
      <c r="C2030" t="s">
        <v>905</v>
      </c>
      <c r="E2030" s="17" t="s">
        <v>1583</v>
      </c>
      <c r="F2030" s="89">
        <v>42900</v>
      </c>
      <c r="J2030" t="s">
        <v>1441</v>
      </c>
      <c r="K2030" s="120">
        <v>17</v>
      </c>
    </row>
    <row r="2031" spans="2:11" hidden="1" x14ac:dyDescent="0.25">
      <c r="B2031" s="28" t="str">
        <f>IF(ISNUMBER(MATCH(C2031, Mgt_Unit!$C$5:$C$1018, 0)), INDEX(Mgt_Unit!$B$5:$B$1018, MATCH(C2031, Mgt_Unit!$C$5:$C$1018, 0)), "")</f>
        <v>jennifer.moore</v>
      </c>
      <c r="C2031" t="s">
        <v>905</v>
      </c>
      <c r="E2031" s="17" t="s">
        <v>1583</v>
      </c>
      <c r="F2031" s="89">
        <v>42913</v>
      </c>
      <c r="J2031" t="s">
        <v>1441</v>
      </c>
      <c r="K2031" s="120">
        <v>17</v>
      </c>
    </row>
    <row r="2032" spans="2:11" hidden="1" x14ac:dyDescent="0.25">
      <c r="B2032" s="28" t="str">
        <f>IF(ISNUMBER(MATCH(C2032, Mgt_Unit!$C$5:$C$1018, 0)), INDEX(Mgt_Unit!$B$5:$B$1018, MATCH(C2032, Mgt_Unit!$C$5:$C$1018, 0)), "")</f>
        <v>jennifer.moore</v>
      </c>
      <c r="C2032" t="s">
        <v>905</v>
      </c>
      <c r="E2032" s="17" t="s">
        <v>1583</v>
      </c>
      <c r="F2032" s="89">
        <v>42914</v>
      </c>
      <c r="J2032" t="s">
        <v>1472</v>
      </c>
      <c r="K2032" s="120">
        <v>15</v>
      </c>
    </row>
    <row r="2033" spans="2:11" hidden="1" x14ac:dyDescent="0.25">
      <c r="B2033" s="28" t="str">
        <f>IF(ISNUMBER(MATCH(C2033, Mgt_Unit!$C$5:$C$1018, 0)), INDEX(Mgt_Unit!$B$5:$B$1018, MATCH(C2033, Mgt_Unit!$C$5:$C$1018, 0)), "")</f>
        <v>jennifer.moore</v>
      </c>
      <c r="C2033" t="s">
        <v>905</v>
      </c>
      <c r="E2033" s="17" t="s">
        <v>1583</v>
      </c>
      <c r="F2033" s="89">
        <v>42922</v>
      </c>
      <c r="J2033" t="s">
        <v>1472</v>
      </c>
      <c r="K2033" s="120">
        <v>15</v>
      </c>
    </row>
    <row r="2034" spans="2:11" hidden="1" x14ac:dyDescent="0.25">
      <c r="B2034" s="28" t="str">
        <f>IF(ISNUMBER(MATCH(C2034, Mgt_Unit!$C$5:$C$1018, 0)), INDEX(Mgt_Unit!$B$5:$B$1018, MATCH(C2034, Mgt_Unit!$C$5:$C$1018, 0)), "")</f>
        <v>jennifer.moore</v>
      </c>
      <c r="C2034" t="s">
        <v>905</v>
      </c>
      <c r="E2034" s="17" t="s">
        <v>1583</v>
      </c>
      <c r="F2034" s="89">
        <v>42933</v>
      </c>
      <c r="J2034" t="s">
        <v>1472</v>
      </c>
      <c r="K2034" s="120">
        <v>15</v>
      </c>
    </row>
    <row r="2035" spans="2:11" hidden="1" x14ac:dyDescent="0.25">
      <c r="B2035" s="28" t="str">
        <f>IF(ISNUMBER(MATCH(C2035, Mgt_Unit!$C$5:$C$1018, 0)), INDEX(Mgt_Unit!$B$5:$B$1018, MATCH(C2035, Mgt_Unit!$C$5:$C$1018, 0)), "")</f>
        <v>jennifer.moore</v>
      </c>
      <c r="C2035" t="s">
        <v>905</v>
      </c>
      <c r="E2035" s="17" t="s">
        <v>1583</v>
      </c>
      <c r="F2035" s="89">
        <v>43069</v>
      </c>
      <c r="J2035" t="s">
        <v>1436</v>
      </c>
      <c r="K2035" s="120">
        <v>42</v>
      </c>
    </row>
    <row r="2036" spans="2:11" hidden="1" x14ac:dyDescent="0.25">
      <c r="B2036" s="28" t="str">
        <f>IF(ISNUMBER(MATCH(C2036, Mgt_Unit!$C$5:$C$1018, 0)), INDEX(Mgt_Unit!$B$5:$B$1018, MATCH(C2036, Mgt_Unit!$C$5:$C$1018, 0)), "")</f>
        <v>jennifer.moore</v>
      </c>
      <c r="C2036" t="s">
        <v>905</v>
      </c>
      <c r="E2036" s="17" t="s">
        <v>1584</v>
      </c>
      <c r="F2036" s="89">
        <v>43071</v>
      </c>
      <c r="J2036" t="s">
        <v>1398</v>
      </c>
      <c r="K2036" s="120">
        <v>4</v>
      </c>
    </row>
    <row r="2037" spans="2:11" hidden="1" x14ac:dyDescent="0.25">
      <c r="B2037" s="28" t="str">
        <f>IF(ISNUMBER(MATCH(C2037, Mgt_Unit!$C$5:$C$1018, 0)), INDEX(Mgt_Unit!$B$5:$B$1018, MATCH(C2037, Mgt_Unit!$C$5:$C$1018, 0)), "")</f>
        <v>jennifer.moore</v>
      </c>
      <c r="C2037" t="s">
        <v>905</v>
      </c>
      <c r="E2037" s="17" t="s">
        <v>1583</v>
      </c>
      <c r="F2037" s="89">
        <v>43256</v>
      </c>
      <c r="J2037" t="s">
        <v>1449</v>
      </c>
      <c r="K2037" s="120">
        <v>36</v>
      </c>
    </row>
    <row r="2038" spans="2:11" hidden="1" x14ac:dyDescent="0.25">
      <c r="B2038" s="28" t="str">
        <f>IF(ISNUMBER(MATCH(C2038, Mgt_Unit!$C$5:$C$1018, 0)), INDEX(Mgt_Unit!$B$5:$B$1018, MATCH(C2038, Mgt_Unit!$C$5:$C$1018, 0)), "")</f>
        <v>jennifer.moore</v>
      </c>
      <c r="C2038" t="s">
        <v>1314</v>
      </c>
      <c r="E2038" s="17" t="s">
        <v>1583</v>
      </c>
      <c r="F2038" s="89">
        <v>43357</v>
      </c>
      <c r="J2038" t="s">
        <v>1436</v>
      </c>
      <c r="K2038" s="120">
        <v>42</v>
      </c>
    </row>
    <row r="2039" spans="2:11" hidden="1" x14ac:dyDescent="0.25">
      <c r="B2039" s="28" t="str">
        <f>IF(ISNUMBER(MATCH(C2039, Mgt_Unit!$C$5:$C$1018, 0)), INDEX(Mgt_Unit!$B$5:$B$1018, MATCH(C2039, Mgt_Unit!$C$5:$C$1018, 0)), "")</f>
        <v>jennifer.moore</v>
      </c>
      <c r="C2039" t="s">
        <v>1314</v>
      </c>
      <c r="E2039" s="17" t="s">
        <v>1583</v>
      </c>
      <c r="F2039" s="89">
        <v>43360</v>
      </c>
      <c r="J2039" t="s">
        <v>1448</v>
      </c>
      <c r="K2039" s="120">
        <v>30</v>
      </c>
    </row>
    <row r="2040" spans="2:11" hidden="1" x14ac:dyDescent="0.25">
      <c r="B2040" s="28" t="str">
        <f>IF(ISNUMBER(MATCH(C2040, Mgt_Unit!$C$5:$C$1018, 0)), INDEX(Mgt_Unit!$B$5:$B$1018, MATCH(C2040, Mgt_Unit!$C$5:$C$1018, 0)), "")</f>
        <v>jennifer.moore</v>
      </c>
      <c r="C2040" t="s">
        <v>1315</v>
      </c>
      <c r="E2040" s="17" t="s">
        <v>1583</v>
      </c>
      <c r="F2040" s="89">
        <v>43216</v>
      </c>
      <c r="J2040" t="s">
        <v>1436</v>
      </c>
      <c r="K2040" s="120">
        <v>42</v>
      </c>
    </row>
    <row r="2041" spans="2:11" hidden="1" x14ac:dyDescent="0.25">
      <c r="B2041" s="28" t="str">
        <f>IF(ISNUMBER(MATCH(C2041, Mgt_Unit!$C$5:$C$1018, 0)), INDEX(Mgt_Unit!$B$5:$B$1018, MATCH(C2041, Mgt_Unit!$C$5:$C$1018, 0)), "")</f>
        <v>jennifer.moore</v>
      </c>
      <c r="C2041" t="s">
        <v>1315</v>
      </c>
      <c r="E2041" s="17" t="s">
        <v>1583</v>
      </c>
      <c r="F2041" s="89">
        <v>43265</v>
      </c>
      <c r="J2041" t="s">
        <v>1471</v>
      </c>
      <c r="K2041" s="120">
        <v>22</v>
      </c>
    </row>
    <row r="2042" spans="2:11" hidden="1" x14ac:dyDescent="0.25">
      <c r="B2042" s="28" t="str">
        <f>IF(ISNUMBER(MATCH(C2042, Mgt_Unit!$C$5:$C$1018, 0)), INDEX(Mgt_Unit!$B$5:$B$1018, MATCH(C2042, Mgt_Unit!$C$5:$C$1018, 0)), "")</f>
        <v>jennifer.moore</v>
      </c>
      <c r="C2042" t="s">
        <v>1315</v>
      </c>
      <c r="E2042" s="17" t="s">
        <v>1583</v>
      </c>
      <c r="F2042" s="89">
        <v>43300</v>
      </c>
      <c r="J2042" t="s">
        <v>1471</v>
      </c>
      <c r="K2042" s="120">
        <v>22</v>
      </c>
    </row>
    <row r="2043" spans="2:11" hidden="1" x14ac:dyDescent="0.25">
      <c r="B2043" s="28" t="str">
        <f>IF(ISNUMBER(MATCH(C2043, Mgt_Unit!$C$5:$C$1018, 0)), INDEX(Mgt_Unit!$B$5:$B$1018, MATCH(C2043, Mgt_Unit!$C$5:$C$1018, 0)), "")</f>
        <v>jennifer.moore</v>
      </c>
      <c r="C2043" t="s">
        <v>1315</v>
      </c>
      <c r="E2043" s="17" t="s">
        <v>1583</v>
      </c>
      <c r="F2043" s="89">
        <v>43315</v>
      </c>
      <c r="J2043" t="s">
        <v>1471</v>
      </c>
      <c r="K2043" s="120">
        <v>22</v>
      </c>
    </row>
    <row r="2044" spans="2:11" hidden="1" x14ac:dyDescent="0.25">
      <c r="B2044" s="28" t="str">
        <f>IF(ISNUMBER(MATCH(C2044, Mgt_Unit!$C$5:$C$1018, 0)), INDEX(Mgt_Unit!$B$5:$B$1018, MATCH(C2044, Mgt_Unit!$C$5:$C$1018, 0)), "")</f>
        <v>jennifer.moore</v>
      </c>
      <c r="C2044" t="s">
        <v>1315</v>
      </c>
      <c r="E2044" s="17" t="s">
        <v>1583</v>
      </c>
      <c r="F2044" s="89">
        <v>43357</v>
      </c>
      <c r="J2044" t="s">
        <v>1436</v>
      </c>
      <c r="K2044" s="120">
        <v>42</v>
      </c>
    </row>
    <row r="2045" spans="2:11" hidden="1" x14ac:dyDescent="0.25">
      <c r="B2045" s="28" t="str">
        <f>IF(ISNUMBER(MATCH(C2045, Mgt_Unit!$C$5:$C$1018, 0)), INDEX(Mgt_Unit!$B$5:$B$1018, MATCH(C2045, Mgt_Unit!$C$5:$C$1018, 0)), "")</f>
        <v>jennifer.moore</v>
      </c>
      <c r="C2045" t="s">
        <v>1315</v>
      </c>
      <c r="E2045" s="17" t="s">
        <v>1583</v>
      </c>
      <c r="F2045" s="89">
        <v>43360</v>
      </c>
      <c r="J2045" t="s">
        <v>1448</v>
      </c>
      <c r="K2045" s="120">
        <v>30</v>
      </c>
    </row>
    <row r="2046" spans="2:11" hidden="1" x14ac:dyDescent="0.25">
      <c r="B2046" s="28" t="str">
        <f>IF(ISNUMBER(MATCH(C2046, Mgt_Unit!$C$5:$C$1018, 0)), INDEX(Mgt_Unit!$B$5:$B$1018, MATCH(C2046, Mgt_Unit!$C$5:$C$1018, 0)), "")</f>
        <v>jennifer.moore</v>
      </c>
      <c r="C2046" t="s">
        <v>906</v>
      </c>
      <c r="E2046" s="17" t="s">
        <v>1583</v>
      </c>
      <c r="F2046" s="89">
        <v>42452</v>
      </c>
      <c r="J2046" t="s">
        <v>1398</v>
      </c>
      <c r="K2046" s="120">
        <v>4</v>
      </c>
    </row>
    <row r="2047" spans="2:11" hidden="1" x14ac:dyDescent="0.25">
      <c r="B2047" s="28" t="str">
        <f>IF(ISNUMBER(MATCH(C2047, Mgt_Unit!$C$5:$C$1018, 0)), INDEX(Mgt_Unit!$B$5:$B$1018, MATCH(C2047, Mgt_Unit!$C$5:$C$1018, 0)), "")</f>
        <v>jennifer.moore</v>
      </c>
      <c r="C2047" t="s">
        <v>906</v>
      </c>
      <c r="E2047" s="17" t="s">
        <v>1583</v>
      </c>
      <c r="F2047" s="89">
        <v>42878</v>
      </c>
      <c r="J2047" t="s">
        <v>1436</v>
      </c>
      <c r="K2047" s="120">
        <v>42</v>
      </c>
    </row>
    <row r="2048" spans="2:11" hidden="1" x14ac:dyDescent="0.25">
      <c r="B2048" s="28" t="str">
        <f>IF(ISNUMBER(MATCH(C2048, Mgt_Unit!$C$5:$C$1018, 0)), INDEX(Mgt_Unit!$B$5:$B$1018, MATCH(C2048, Mgt_Unit!$C$5:$C$1018, 0)), "")</f>
        <v>jennifer.moore</v>
      </c>
      <c r="C2048" t="s">
        <v>906</v>
      </c>
      <c r="E2048" s="17" t="s">
        <v>1583</v>
      </c>
      <c r="F2048" s="89">
        <v>42887</v>
      </c>
      <c r="J2048" t="s">
        <v>1473</v>
      </c>
      <c r="K2048" s="120">
        <v>37</v>
      </c>
    </row>
    <row r="2049" spans="2:11" hidden="1" x14ac:dyDescent="0.25">
      <c r="B2049" s="28" t="str">
        <f>IF(ISNUMBER(MATCH(C2049, Mgt_Unit!$C$5:$C$1018, 0)), INDEX(Mgt_Unit!$B$5:$B$1018, MATCH(C2049, Mgt_Unit!$C$5:$C$1018, 0)), "")</f>
        <v>jennifer.moore</v>
      </c>
      <c r="C2049" t="s">
        <v>906</v>
      </c>
      <c r="E2049" s="17" t="s">
        <v>1583</v>
      </c>
      <c r="F2049" s="89">
        <v>42888</v>
      </c>
      <c r="J2049" t="s">
        <v>1471</v>
      </c>
      <c r="K2049" s="120">
        <v>22</v>
      </c>
    </row>
    <row r="2050" spans="2:11" hidden="1" x14ac:dyDescent="0.25">
      <c r="B2050" s="28" t="str">
        <f>IF(ISNUMBER(MATCH(C2050, Mgt_Unit!$C$5:$C$1018, 0)), INDEX(Mgt_Unit!$B$5:$B$1018, MATCH(C2050, Mgt_Unit!$C$5:$C$1018, 0)), "")</f>
        <v>jennifer.moore</v>
      </c>
      <c r="C2050" t="s">
        <v>906</v>
      </c>
      <c r="E2050" s="17" t="s">
        <v>1584</v>
      </c>
      <c r="F2050" s="89">
        <v>42889</v>
      </c>
      <c r="J2050" t="s">
        <v>1398</v>
      </c>
      <c r="K2050" s="120">
        <v>4</v>
      </c>
    </row>
    <row r="2051" spans="2:11" hidden="1" x14ac:dyDescent="0.25">
      <c r="B2051" s="28" t="str">
        <f>IF(ISNUMBER(MATCH(C2051, Mgt_Unit!$C$5:$C$1018, 0)), INDEX(Mgt_Unit!$B$5:$B$1018, MATCH(C2051, Mgt_Unit!$C$5:$C$1018, 0)), "")</f>
        <v>jennifer.moore</v>
      </c>
      <c r="C2051" t="s">
        <v>906</v>
      </c>
      <c r="E2051" s="17" t="s">
        <v>1583</v>
      </c>
      <c r="F2051" s="89">
        <v>42894</v>
      </c>
      <c r="J2051" t="s">
        <v>1441</v>
      </c>
      <c r="K2051" s="120">
        <v>17</v>
      </c>
    </row>
    <row r="2052" spans="2:11" hidden="1" x14ac:dyDescent="0.25">
      <c r="B2052" s="28" t="str">
        <f>IF(ISNUMBER(MATCH(C2052, Mgt_Unit!$C$5:$C$1018, 0)), INDEX(Mgt_Unit!$B$5:$B$1018, MATCH(C2052, Mgt_Unit!$C$5:$C$1018, 0)), "")</f>
        <v>jennifer.moore</v>
      </c>
      <c r="C2052" t="s">
        <v>906</v>
      </c>
      <c r="E2052" s="17" t="s">
        <v>1583</v>
      </c>
      <c r="F2052" s="89">
        <v>42898</v>
      </c>
      <c r="J2052" t="s">
        <v>1441</v>
      </c>
      <c r="K2052" s="120">
        <v>17</v>
      </c>
    </row>
    <row r="2053" spans="2:11" hidden="1" x14ac:dyDescent="0.25">
      <c r="B2053" s="28" t="str">
        <f>IF(ISNUMBER(MATCH(C2053, Mgt_Unit!$C$5:$C$1018, 0)), INDEX(Mgt_Unit!$B$5:$B$1018, MATCH(C2053, Mgt_Unit!$C$5:$C$1018, 0)), "")</f>
        <v>jennifer.moore</v>
      </c>
      <c r="C2053" t="s">
        <v>906</v>
      </c>
      <c r="E2053" s="17" t="s">
        <v>1583</v>
      </c>
      <c r="F2053" s="89">
        <v>42900</v>
      </c>
      <c r="J2053" t="s">
        <v>1441</v>
      </c>
      <c r="K2053" s="120">
        <v>17</v>
      </c>
    </row>
    <row r="2054" spans="2:11" hidden="1" x14ac:dyDescent="0.25">
      <c r="B2054" s="28" t="str">
        <f>IF(ISNUMBER(MATCH(C2054, Mgt_Unit!$C$5:$C$1018, 0)), INDEX(Mgt_Unit!$B$5:$B$1018, MATCH(C2054, Mgt_Unit!$C$5:$C$1018, 0)), "")</f>
        <v>jennifer.moore</v>
      </c>
      <c r="C2054" t="s">
        <v>906</v>
      </c>
      <c r="E2054" s="17" t="s">
        <v>1583</v>
      </c>
      <c r="F2054" s="89">
        <v>42914</v>
      </c>
      <c r="J2054" t="s">
        <v>1472</v>
      </c>
      <c r="K2054" s="120">
        <v>15</v>
      </c>
    </row>
    <row r="2055" spans="2:11" hidden="1" x14ac:dyDescent="0.25">
      <c r="B2055" s="28" t="str">
        <f>IF(ISNUMBER(MATCH(C2055, Mgt_Unit!$C$5:$C$1018, 0)), INDEX(Mgt_Unit!$B$5:$B$1018, MATCH(C2055, Mgt_Unit!$C$5:$C$1018, 0)), "")</f>
        <v>jennifer.moore</v>
      </c>
      <c r="C2055" t="s">
        <v>906</v>
      </c>
      <c r="E2055" s="17" t="s">
        <v>1583</v>
      </c>
      <c r="F2055" s="89">
        <v>42922</v>
      </c>
      <c r="J2055" t="s">
        <v>1472</v>
      </c>
      <c r="K2055" s="120">
        <v>15</v>
      </c>
    </row>
    <row r="2056" spans="2:11" hidden="1" x14ac:dyDescent="0.25">
      <c r="B2056" s="28" t="str">
        <f>IF(ISNUMBER(MATCH(C2056, Mgt_Unit!$C$5:$C$1018, 0)), INDEX(Mgt_Unit!$B$5:$B$1018, MATCH(C2056, Mgt_Unit!$C$5:$C$1018, 0)), "")</f>
        <v>jennifer.moore</v>
      </c>
      <c r="C2056" t="s">
        <v>906</v>
      </c>
      <c r="E2056" s="17" t="s">
        <v>1583</v>
      </c>
      <c r="F2056" s="89">
        <v>42933</v>
      </c>
      <c r="J2056" t="s">
        <v>1472</v>
      </c>
      <c r="K2056" s="120">
        <v>15</v>
      </c>
    </row>
    <row r="2057" spans="2:11" hidden="1" x14ac:dyDescent="0.25">
      <c r="B2057" s="28" t="str">
        <f>IF(ISNUMBER(MATCH(C2057, Mgt_Unit!$C$5:$C$1018, 0)), INDEX(Mgt_Unit!$B$5:$B$1018, MATCH(C2057, Mgt_Unit!$C$5:$C$1018, 0)), "")</f>
        <v>jennifer.moore</v>
      </c>
      <c r="C2057" t="s">
        <v>906</v>
      </c>
      <c r="E2057" s="17" t="s">
        <v>1583</v>
      </c>
      <c r="F2057" s="89">
        <v>43040</v>
      </c>
      <c r="J2057" t="s">
        <v>1398</v>
      </c>
      <c r="K2057" s="120">
        <v>4</v>
      </c>
    </row>
    <row r="2058" spans="2:11" hidden="1" x14ac:dyDescent="0.25">
      <c r="B2058" s="28" t="str">
        <f>IF(ISNUMBER(MATCH(C2058, Mgt_Unit!$C$5:$C$1018, 0)), INDEX(Mgt_Unit!$B$5:$B$1018, MATCH(C2058, Mgt_Unit!$C$5:$C$1018, 0)), "")</f>
        <v>jennifer.moore</v>
      </c>
      <c r="C2058" t="s">
        <v>906</v>
      </c>
      <c r="E2058" s="17" t="s">
        <v>1587</v>
      </c>
      <c r="F2058" s="89">
        <v>43228</v>
      </c>
      <c r="J2058" t="s">
        <v>1436</v>
      </c>
      <c r="K2058" s="120">
        <v>42</v>
      </c>
    </row>
    <row r="2059" spans="2:11" hidden="1" x14ac:dyDescent="0.25">
      <c r="B2059" s="28" t="str">
        <f>IF(ISNUMBER(MATCH(C2059, Mgt_Unit!$C$5:$C$1018, 0)), INDEX(Mgt_Unit!$B$5:$B$1018, MATCH(C2059, Mgt_Unit!$C$5:$C$1018, 0)), "")</f>
        <v>jennifer.moore</v>
      </c>
      <c r="C2059" t="s">
        <v>906</v>
      </c>
      <c r="E2059" s="17" t="s">
        <v>1583</v>
      </c>
      <c r="F2059" s="89">
        <v>43257</v>
      </c>
      <c r="J2059" t="s">
        <v>1471</v>
      </c>
      <c r="K2059" s="120">
        <v>22</v>
      </c>
    </row>
    <row r="2060" spans="2:11" hidden="1" x14ac:dyDescent="0.25">
      <c r="B2060" s="28" t="str">
        <f>IF(ISNUMBER(MATCH(C2060, Mgt_Unit!$C$5:$C$1018, 0)), INDEX(Mgt_Unit!$B$5:$B$1018, MATCH(C2060, Mgt_Unit!$C$5:$C$1018, 0)), "")</f>
        <v>jennifer.moore</v>
      </c>
      <c r="C2060" t="s">
        <v>906</v>
      </c>
      <c r="E2060" s="17" t="s">
        <v>1584</v>
      </c>
      <c r="F2060" s="89">
        <v>43265</v>
      </c>
      <c r="J2060" t="s">
        <v>1398</v>
      </c>
      <c r="K2060" s="120">
        <v>4</v>
      </c>
    </row>
    <row r="2061" spans="2:11" hidden="1" x14ac:dyDescent="0.25">
      <c r="B2061" s="28" t="str">
        <f>IF(ISNUMBER(MATCH(C2061, Mgt_Unit!$C$5:$C$1018, 0)), INDEX(Mgt_Unit!$B$5:$B$1018, MATCH(C2061, Mgt_Unit!$C$5:$C$1018, 0)), "")</f>
        <v>jennifer.moore</v>
      </c>
      <c r="C2061" t="s">
        <v>906</v>
      </c>
      <c r="E2061" s="17" t="s">
        <v>1583</v>
      </c>
      <c r="F2061" s="89">
        <v>43269</v>
      </c>
      <c r="J2061" t="s">
        <v>1441</v>
      </c>
      <c r="K2061" s="120">
        <v>17</v>
      </c>
    </row>
    <row r="2062" spans="2:11" hidden="1" x14ac:dyDescent="0.25">
      <c r="B2062" s="28" t="str">
        <f>IF(ISNUMBER(MATCH(C2062, Mgt_Unit!$C$5:$C$1018, 0)), INDEX(Mgt_Unit!$B$5:$B$1018, MATCH(C2062, Mgt_Unit!$C$5:$C$1018, 0)), "")</f>
        <v>jennifer.moore</v>
      </c>
      <c r="C2062" t="s">
        <v>906</v>
      </c>
      <c r="E2062" s="17" t="s">
        <v>1583</v>
      </c>
      <c r="F2062" s="89">
        <v>43277</v>
      </c>
      <c r="J2062" t="s">
        <v>1441</v>
      </c>
      <c r="K2062" s="120">
        <v>17</v>
      </c>
    </row>
    <row r="2063" spans="2:11" hidden="1" x14ac:dyDescent="0.25">
      <c r="B2063" s="28" t="str">
        <f>IF(ISNUMBER(MATCH(C2063, Mgt_Unit!$C$5:$C$1018, 0)), INDEX(Mgt_Unit!$B$5:$B$1018, MATCH(C2063, Mgt_Unit!$C$5:$C$1018, 0)), "")</f>
        <v>jennifer.moore</v>
      </c>
      <c r="C2063" t="s">
        <v>906</v>
      </c>
      <c r="E2063" s="17" t="s">
        <v>1583</v>
      </c>
      <c r="F2063" s="89">
        <v>43280</v>
      </c>
      <c r="J2063" t="s">
        <v>1441</v>
      </c>
      <c r="K2063" s="120">
        <v>17</v>
      </c>
    </row>
    <row r="2064" spans="2:11" hidden="1" x14ac:dyDescent="0.25">
      <c r="B2064" s="28" t="str">
        <f>IF(ISNUMBER(MATCH(C2064, Mgt_Unit!$C$5:$C$1018, 0)), INDEX(Mgt_Unit!$B$5:$B$1018, MATCH(C2064, Mgt_Unit!$C$5:$C$1018, 0)), "")</f>
        <v>jennifer.moore</v>
      </c>
      <c r="C2064" t="s">
        <v>906</v>
      </c>
      <c r="E2064" s="17" t="s">
        <v>1583</v>
      </c>
      <c r="F2064" s="89">
        <v>43294</v>
      </c>
      <c r="J2064" t="s">
        <v>1472</v>
      </c>
      <c r="K2064" s="120">
        <v>15</v>
      </c>
    </row>
    <row r="2065" spans="2:11" hidden="1" x14ac:dyDescent="0.25">
      <c r="B2065" s="28" t="str">
        <f>IF(ISNUMBER(MATCH(C2065, Mgt_Unit!$C$5:$C$1018, 0)), INDEX(Mgt_Unit!$B$5:$B$1018, MATCH(C2065, Mgt_Unit!$C$5:$C$1018, 0)), "")</f>
        <v>jennifer.moore</v>
      </c>
      <c r="C2065" t="s">
        <v>906</v>
      </c>
      <c r="E2065" s="17" t="s">
        <v>1583</v>
      </c>
      <c r="F2065" s="89">
        <v>43300</v>
      </c>
      <c r="J2065" t="s">
        <v>1472</v>
      </c>
      <c r="K2065" s="120">
        <v>15</v>
      </c>
    </row>
    <row r="2066" spans="2:11" hidden="1" x14ac:dyDescent="0.25">
      <c r="B2066" s="28" t="str">
        <f>IF(ISNUMBER(MATCH(C2066, Mgt_Unit!$C$5:$C$1018, 0)), INDEX(Mgt_Unit!$B$5:$B$1018, MATCH(C2066, Mgt_Unit!$C$5:$C$1018, 0)), "")</f>
        <v>jennifer.moore</v>
      </c>
      <c r="C2066" t="s">
        <v>906</v>
      </c>
      <c r="E2066" s="17" t="s">
        <v>1583</v>
      </c>
      <c r="F2066" s="89">
        <v>43312</v>
      </c>
      <c r="J2066" t="s">
        <v>1472</v>
      </c>
      <c r="K2066" s="120">
        <v>15</v>
      </c>
    </row>
    <row r="2067" spans="2:11" hidden="1" x14ac:dyDescent="0.25">
      <c r="B2067" s="28" t="str">
        <f>IF(ISNUMBER(MATCH(C2067, Mgt_Unit!$C$5:$C$1018, 0)), INDEX(Mgt_Unit!$B$5:$B$1018, MATCH(C2067, Mgt_Unit!$C$5:$C$1018, 0)), "")</f>
        <v>jennifer.moore</v>
      </c>
      <c r="C2067" t="s">
        <v>906</v>
      </c>
      <c r="E2067" s="17" t="s">
        <v>1583</v>
      </c>
      <c r="F2067" s="89">
        <v>43399</v>
      </c>
      <c r="J2067" t="s">
        <v>1436</v>
      </c>
      <c r="K2067" s="120">
        <v>42</v>
      </c>
    </row>
    <row r="2068" spans="2:11" hidden="1" x14ac:dyDescent="0.25">
      <c r="B2068" s="28" t="str">
        <f>IF(ISNUMBER(MATCH(C2068, Mgt_Unit!$C$5:$C$1018, 0)), INDEX(Mgt_Unit!$B$5:$B$1018, MATCH(C2068, Mgt_Unit!$C$5:$C$1018, 0)), "")</f>
        <v>jennifer.moore</v>
      </c>
      <c r="C2068" t="s">
        <v>906</v>
      </c>
      <c r="E2068" s="17" t="s">
        <v>1583</v>
      </c>
      <c r="F2068" s="89">
        <v>43400</v>
      </c>
      <c r="J2068" t="s">
        <v>1471</v>
      </c>
      <c r="K2068" s="120">
        <v>22</v>
      </c>
    </row>
    <row r="2069" spans="2:11" hidden="1" x14ac:dyDescent="0.25">
      <c r="B2069" s="28" t="str">
        <f>IF(ISNUMBER(MATCH(C2069, Mgt_Unit!$C$5:$C$1018, 0)), INDEX(Mgt_Unit!$B$5:$B$1018, MATCH(C2069, Mgt_Unit!$C$5:$C$1018, 0)), "")</f>
        <v>jennifer.moore</v>
      </c>
      <c r="C2069" t="s">
        <v>906</v>
      </c>
      <c r="E2069" s="17" t="s">
        <v>1584</v>
      </c>
      <c r="F2069" s="89">
        <v>43400</v>
      </c>
      <c r="J2069" t="s">
        <v>1398</v>
      </c>
      <c r="K2069" s="120">
        <v>4</v>
      </c>
    </row>
    <row r="2070" spans="2:11" hidden="1" x14ac:dyDescent="0.25">
      <c r="B2070" s="28" t="str">
        <f>IF(ISNUMBER(MATCH(C2070, Mgt_Unit!$C$5:$C$1018, 0)), INDEX(Mgt_Unit!$B$5:$B$1018, MATCH(C2070, Mgt_Unit!$C$5:$C$1018, 0)), "")</f>
        <v>jennifer.moore</v>
      </c>
      <c r="C2070" t="s">
        <v>907</v>
      </c>
      <c r="E2070" s="17" t="s">
        <v>1583</v>
      </c>
      <c r="F2070" s="89">
        <v>42843</v>
      </c>
      <c r="J2070" t="s">
        <v>1436</v>
      </c>
      <c r="K2070" s="120">
        <v>42</v>
      </c>
    </row>
    <row r="2071" spans="2:11" hidden="1" x14ac:dyDescent="0.25">
      <c r="B2071" s="28" t="str">
        <f>IF(ISNUMBER(MATCH(C2071, Mgt_Unit!$C$5:$C$1018, 0)), INDEX(Mgt_Unit!$B$5:$B$1018, MATCH(C2071, Mgt_Unit!$C$5:$C$1018, 0)), "")</f>
        <v>jennifer.moore</v>
      </c>
      <c r="C2071" t="s">
        <v>907</v>
      </c>
      <c r="E2071" s="17" t="s">
        <v>1583</v>
      </c>
      <c r="F2071" s="89">
        <v>42852</v>
      </c>
      <c r="J2071" t="s">
        <v>1471</v>
      </c>
      <c r="K2071" s="120">
        <v>22</v>
      </c>
    </row>
    <row r="2072" spans="2:11" hidden="1" x14ac:dyDescent="0.25">
      <c r="B2072" s="28" t="str">
        <f>IF(ISNUMBER(MATCH(C2072, Mgt_Unit!$C$5:$C$1018, 0)), INDEX(Mgt_Unit!$B$5:$B$1018, MATCH(C2072, Mgt_Unit!$C$5:$C$1018, 0)), "")</f>
        <v>jennifer.moore</v>
      </c>
      <c r="C2072" t="s">
        <v>907</v>
      </c>
      <c r="E2072" s="17" t="s">
        <v>1583</v>
      </c>
      <c r="F2072" s="89">
        <v>42870</v>
      </c>
      <c r="J2072" t="s">
        <v>1471</v>
      </c>
      <c r="K2072" s="120">
        <v>22</v>
      </c>
    </row>
    <row r="2073" spans="2:11" hidden="1" x14ac:dyDescent="0.25">
      <c r="B2073" s="28" t="str">
        <f>IF(ISNUMBER(MATCH(C2073, Mgt_Unit!$C$5:$C$1018, 0)), INDEX(Mgt_Unit!$B$5:$B$1018, MATCH(C2073, Mgt_Unit!$C$5:$C$1018, 0)), "")</f>
        <v>jennifer.moore</v>
      </c>
      <c r="C2073" t="s">
        <v>907</v>
      </c>
      <c r="E2073" s="17" t="s">
        <v>1584</v>
      </c>
      <c r="F2073" s="89">
        <v>42871</v>
      </c>
      <c r="J2073" t="s">
        <v>1355</v>
      </c>
      <c r="K2073" s="120">
        <v>6.3</v>
      </c>
    </row>
    <row r="2074" spans="2:11" hidden="1" x14ac:dyDescent="0.25">
      <c r="B2074" s="28" t="str">
        <f>IF(ISNUMBER(MATCH(C2074, Mgt_Unit!$C$5:$C$1018, 0)), INDEX(Mgt_Unit!$B$5:$B$1018, MATCH(C2074, Mgt_Unit!$C$5:$C$1018, 0)), "")</f>
        <v>jennifer.moore</v>
      </c>
      <c r="C2074" t="s">
        <v>907</v>
      </c>
      <c r="E2074" s="17" t="s">
        <v>1583</v>
      </c>
      <c r="F2074" s="89">
        <v>43071</v>
      </c>
      <c r="J2074" t="s">
        <v>1436</v>
      </c>
      <c r="K2074" s="120">
        <v>42</v>
      </c>
    </row>
    <row r="2075" spans="2:11" hidden="1" x14ac:dyDescent="0.25">
      <c r="B2075" s="28" t="str">
        <f>IF(ISNUMBER(MATCH(C2075, Mgt_Unit!$C$5:$C$1018, 0)), INDEX(Mgt_Unit!$B$5:$B$1018, MATCH(C2075, Mgt_Unit!$C$5:$C$1018, 0)), "")</f>
        <v>jennifer.moore</v>
      </c>
      <c r="C2075" t="s">
        <v>907</v>
      </c>
      <c r="E2075" s="17" t="s">
        <v>1583</v>
      </c>
      <c r="F2075" s="89">
        <v>43245</v>
      </c>
      <c r="J2075" t="s">
        <v>1471</v>
      </c>
      <c r="K2075" s="120">
        <v>22</v>
      </c>
    </row>
    <row r="2076" spans="2:11" hidden="1" x14ac:dyDescent="0.25">
      <c r="B2076" s="28" t="str">
        <f>IF(ISNUMBER(MATCH(C2076, Mgt_Unit!$C$5:$C$1018, 0)), INDEX(Mgt_Unit!$B$5:$B$1018, MATCH(C2076, Mgt_Unit!$C$5:$C$1018, 0)), "")</f>
        <v>jennifer.moore</v>
      </c>
      <c r="C2076" t="s">
        <v>907</v>
      </c>
      <c r="E2076" s="17" t="s">
        <v>1584</v>
      </c>
      <c r="F2076" s="89">
        <v>43247</v>
      </c>
      <c r="J2076" t="s">
        <v>1355</v>
      </c>
      <c r="K2076" s="120">
        <v>6.3</v>
      </c>
    </row>
    <row r="2077" spans="2:11" hidden="1" x14ac:dyDescent="0.25">
      <c r="B2077" s="28" t="str">
        <f>IF(ISNUMBER(MATCH(C2077, Mgt_Unit!$C$5:$C$1018, 0)), INDEX(Mgt_Unit!$B$5:$B$1018, MATCH(C2077, Mgt_Unit!$C$5:$C$1018, 0)), "")</f>
        <v>jennifer.moore</v>
      </c>
      <c r="C2077" t="s">
        <v>907</v>
      </c>
      <c r="E2077" s="17" t="s">
        <v>1583</v>
      </c>
      <c r="F2077" s="89">
        <v>43390</v>
      </c>
      <c r="J2077" t="s">
        <v>1436</v>
      </c>
      <c r="K2077" s="120">
        <v>42</v>
      </c>
    </row>
    <row r="2078" spans="2:11" hidden="1" x14ac:dyDescent="0.25">
      <c r="B2078" s="28" t="str">
        <f>IF(ISNUMBER(MATCH(C2078, Mgt_Unit!$C$5:$C$1018, 0)), INDEX(Mgt_Unit!$B$5:$B$1018, MATCH(C2078, Mgt_Unit!$C$5:$C$1018, 0)), "")</f>
        <v>jennifer.moore</v>
      </c>
      <c r="C2078" t="s">
        <v>907</v>
      </c>
      <c r="E2078" s="17" t="s">
        <v>1583</v>
      </c>
      <c r="F2078" s="89">
        <v>43391</v>
      </c>
      <c r="J2078" t="s">
        <v>1471</v>
      </c>
      <c r="K2078" s="120">
        <v>22</v>
      </c>
    </row>
    <row r="2079" spans="2:11" hidden="1" x14ac:dyDescent="0.25">
      <c r="B2079" s="28" t="str">
        <f>IF(ISNUMBER(MATCH(C2079, Mgt_Unit!$C$5:$C$1018, 0)), INDEX(Mgt_Unit!$B$5:$B$1018, MATCH(C2079, Mgt_Unit!$C$5:$C$1018, 0)), "")</f>
        <v>jennifer.moore</v>
      </c>
      <c r="C2079" t="s">
        <v>907</v>
      </c>
      <c r="E2079" s="17" t="s">
        <v>1584</v>
      </c>
      <c r="F2079" s="89">
        <v>43392</v>
      </c>
      <c r="J2079" t="s">
        <v>1398</v>
      </c>
      <c r="K2079" s="120">
        <v>4</v>
      </c>
    </row>
    <row r="2080" spans="2:11" hidden="1" x14ac:dyDescent="0.25">
      <c r="B2080" s="28" t="str">
        <f>IF(ISNUMBER(MATCH(C2080, Mgt_Unit!$C$5:$C$1018, 0)), INDEX(Mgt_Unit!$B$5:$B$1018, MATCH(C2080, Mgt_Unit!$C$5:$C$1018, 0)), "")</f>
        <v>jennifer.moore</v>
      </c>
      <c r="C2080" t="s">
        <v>908</v>
      </c>
      <c r="E2080" s="17" t="s">
        <v>1584</v>
      </c>
      <c r="F2080" s="89">
        <v>42870</v>
      </c>
      <c r="J2080" t="s">
        <v>1355</v>
      </c>
      <c r="K2080" s="120">
        <v>6.3</v>
      </c>
    </row>
    <row r="2081" spans="2:11" hidden="1" x14ac:dyDescent="0.25">
      <c r="B2081" s="28" t="str">
        <f>IF(ISNUMBER(MATCH(C2081, Mgt_Unit!$C$5:$C$1018, 0)), INDEX(Mgt_Unit!$B$5:$B$1018, MATCH(C2081, Mgt_Unit!$C$5:$C$1018, 0)), "")</f>
        <v>jennifer.moore</v>
      </c>
      <c r="C2081" t="s">
        <v>908</v>
      </c>
      <c r="E2081" s="17" t="s">
        <v>1584</v>
      </c>
      <c r="F2081" s="89">
        <v>43245</v>
      </c>
      <c r="J2081" t="s">
        <v>1355</v>
      </c>
      <c r="K2081" s="120">
        <v>6.3</v>
      </c>
    </row>
    <row r="2082" spans="2:11" hidden="1" x14ac:dyDescent="0.25">
      <c r="B2082" s="28" t="str">
        <f>IF(ISNUMBER(MATCH(C2082, Mgt_Unit!$C$5:$C$1018, 0)), INDEX(Mgt_Unit!$B$5:$B$1018, MATCH(C2082, Mgt_Unit!$C$5:$C$1018, 0)), "")</f>
        <v>jennifer.moore</v>
      </c>
      <c r="C2082" t="s">
        <v>908</v>
      </c>
      <c r="E2082" s="17" t="s">
        <v>1583</v>
      </c>
      <c r="F2082" s="89">
        <v>43383</v>
      </c>
      <c r="J2082" t="s">
        <v>1398</v>
      </c>
      <c r="K2082" s="120">
        <v>4</v>
      </c>
    </row>
    <row r="2083" spans="2:11" hidden="1" x14ac:dyDescent="0.25">
      <c r="B2083" s="28" t="str">
        <f>IF(ISNUMBER(MATCH(C2083, Mgt_Unit!$C$5:$C$1018, 0)), INDEX(Mgt_Unit!$B$5:$B$1018, MATCH(C2083, Mgt_Unit!$C$5:$C$1018, 0)), "")</f>
        <v>jennifer.moore</v>
      </c>
      <c r="C2083" t="s">
        <v>909</v>
      </c>
      <c r="E2083" s="17" t="s">
        <v>1585</v>
      </c>
      <c r="F2083" s="89">
        <v>42585</v>
      </c>
      <c r="J2083" t="s">
        <v>1398</v>
      </c>
      <c r="K2083" s="120">
        <v>4</v>
      </c>
    </row>
    <row r="2084" spans="2:11" hidden="1" x14ac:dyDescent="0.25">
      <c r="B2084" s="28" t="str">
        <f>IF(ISNUMBER(MATCH(C2084, Mgt_Unit!$C$5:$C$1018, 0)), INDEX(Mgt_Unit!$B$5:$B$1018, MATCH(C2084, Mgt_Unit!$C$5:$C$1018, 0)), "")</f>
        <v>jennifer.moore</v>
      </c>
      <c r="C2084" t="s">
        <v>909</v>
      </c>
      <c r="E2084" s="17" t="s">
        <v>1583</v>
      </c>
      <c r="F2084" s="89">
        <v>42868</v>
      </c>
      <c r="J2084" t="s">
        <v>1436</v>
      </c>
      <c r="K2084" s="120">
        <v>42</v>
      </c>
    </row>
    <row r="2085" spans="2:11" hidden="1" x14ac:dyDescent="0.25">
      <c r="B2085" s="28" t="str">
        <f>IF(ISNUMBER(MATCH(C2085, Mgt_Unit!$C$5:$C$1018, 0)), INDEX(Mgt_Unit!$B$5:$B$1018, MATCH(C2085, Mgt_Unit!$C$5:$C$1018, 0)), "")</f>
        <v>jennifer.moore</v>
      </c>
      <c r="C2085" t="s">
        <v>909</v>
      </c>
      <c r="E2085" s="17" t="s">
        <v>1583</v>
      </c>
      <c r="F2085" s="89">
        <v>42872</v>
      </c>
      <c r="J2085" t="s">
        <v>1473</v>
      </c>
      <c r="K2085" s="120">
        <v>37</v>
      </c>
    </row>
    <row r="2086" spans="2:11" hidden="1" x14ac:dyDescent="0.25">
      <c r="B2086" s="28" t="str">
        <f>IF(ISNUMBER(MATCH(C2086, Mgt_Unit!$C$5:$C$1018, 0)), INDEX(Mgt_Unit!$B$5:$B$1018, MATCH(C2086, Mgt_Unit!$C$5:$C$1018, 0)), "")</f>
        <v>jennifer.moore</v>
      </c>
      <c r="C2086" t="s">
        <v>909</v>
      </c>
      <c r="E2086" s="17" t="s">
        <v>1583</v>
      </c>
      <c r="F2086" s="89">
        <v>42873</v>
      </c>
      <c r="J2086" t="s">
        <v>1471</v>
      </c>
      <c r="K2086" s="120">
        <v>22</v>
      </c>
    </row>
    <row r="2087" spans="2:11" hidden="1" x14ac:dyDescent="0.25">
      <c r="B2087" s="28" t="str">
        <f>IF(ISNUMBER(MATCH(C2087, Mgt_Unit!$C$5:$C$1018, 0)), INDEX(Mgt_Unit!$B$5:$B$1018, MATCH(C2087, Mgt_Unit!$C$5:$C$1018, 0)), "")</f>
        <v>jennifer.moore</v>
      </c>
      <c r="C2087" t="s">
        <v>909</v>
      </c>
      <c r="E2087" s="17" t="s">
        <v>1584</v>
      </c>
      <c r="F2087" s="89">
        <v>42879</v>
      </c>
      <c r="J2087" t="s">
        <v>1355</v>
      </c>
      <c r="K2087" s="120">
        <v>6.3</v>
      </c>
    </row>
    <row r="2088" spans="2:11" hidden="1" x14ac:dyDescent="0.25">
      <c r="B2088" s="28" t="str">
        <f>IF(ISNUMBER(MATCH(C2088, Mgt_Unit!$C$5:$C$1018, 0)), INDEX(Mgt_Unit!$B$5:$B$1018, MATCH(C2088, Mgt_Unit!$C$5:$C$1018, 0)), "")</f>
        <v>jennifer.moore</v>
      </c>
      <c r="C2088" t="s">
        <v>909</v>
      </c>
      <c r="E2088" s="17" t="s">
        <v>1583</v>
      </c>
      <c r="F2088" s="89">
        <v>42914</v>
      </c>
      <c r="J2088" t="s">
        <v>1472</v>
      </c>
      <c r="K2088" s="120">
        <v>15</v>
      </c>
    </row>
    <row r="2089" spans="2:11" hidden="1" x14ac:dyDescent="0.25">
      <c r="B2089" s="28" t="str">
        <f>IF(ISNUMBER(MATCH(C2089, Mgt_Unit!$C$5:$C$1018, 0)), INDEX(Mgt_Unit!$B$5:$B$1018, MATCH(C2089, Mgt_Unit!$C$5:$C$1018, 0)), "")</f>
        <v>jennifer.moore</v>
      </c>
      <c r="C2089" t="s">
        <v>909</v>
      </c>
      <c r="E2089" s="17" t="s">
        <v>1583</v>
      </c>
      <c r="F2089" s="89">
        <v>42921</v>
      </c>
      <c r="J2089" t="s">
        <v>1472</v>
      </c>
      <c r="K2089" s="120">
        <v>15</v>
      </c>
    </row>
    <row r="2090" spans="2:11" hidden="1" x14ac:dyDescent="0.25">
      <c r="B2090" s="28" t="str">
        <f>IF(ISNUMBER(MATCH(C2090, Mgt_Unit!$C$5:$C$1018, 0)), INDEX(Mgt_Unit!$B$5:$B$1018, MATCH(C2090, Mgt_Unit!$C$5:$C$1018, 0)), "")</f>
        <v>jennifer.moore</v>
      </c>
      <c r="C2090" t="s">
        <v>909</v>
      </c>
      <c r="E2090" s="17" t="s">
        <v>1585</v>
      </c>
      <c r="F2090" s="89">
        <v>43047</v>
      </c>
      <c r="J2090" t="s">
        <v>1398</v>
      </c>
      <c r="K2090" s="120">
        <v>4</v>
      </c>
    </row>
    <row r="2091" spans="2:11" hidden="1" x14ac:dyDescent="0.25">
      <c r="B2091" s="28" t="str">
        <f>IF(ISNUMBER(MATCH(C2091, Mgt_Unit!$C$5:$C$1018, 0)), INDEX(Mgt_Unit!$B$5:$B$1018, MATCH(C2091, Mgt_Unit!$C$5:$C$1018, 0)), "")</f>
        <v>jennifer.moore</v>
      </c>
      <c r="C2091" t="s">
        <v>909</v>
      </c>
      <c r="E2091" s="17" t="s">
        <v>1583</v>
      </c>
      <c r="F2091" s="89">
        <v>43229</v>
      </c>
      <c r="J2091" t="s">
        <v>1436</v>
      </c>
      <c r="K2091" s="120">
        <v>42</v>
      </c>
    </row>
    <row r="2092" spans="2:11" hidden="1" x14ac:dyDescent="0.25">
      <c r="B2092" s="28" t="str">
        <f>IF(ISNUMBER(MATCH(C2092, Mgt_Unit!$C$5:$C$1018, 0)), INDEX(Mgt_Unit!$B$5:$B$1018, MATCH(C2092, Mgt_Unit!$C$5:$C$1018, 0)), "")</f>
        <v>jennifer.moore</v>
      </c>
      <c r="C2092" t="s">
        <v>909</v>
      </c>
      <c r="E2092" s="17" t="s">
        <v>1583</v>
      </c>
      <c r="F2092" s="89">
        <v>43249</v>
      </c>
      <c r="J2092" t="s">
        <v>1471</v>
      </c>
      <c r="K2092" s="120">
        <v>22</v>
      </c>
    </row>
    <row r="2093" spans="2:11" hidden="1" x14ac:dyDescent="0.25">
      <c r="B2093" s="28" t="str">
        <f>IF(ISNUMBER(MATCH(C2093, Mgt_Unit!$C$5:$C$1018, 0)), INDEX(Mgt_Unit!$B$5:$B$1018, MATCH(C2093, Mgt_Unit!$C$5:$C$1018, 0)), "")</f>
        <v>jennifer.moore</v>
      </c>
      <c r="C2093" t="s">
        <v>909</v>
      </c>
      <c r="E2093" s="17" t="s">
        <v>1584</v>
      </c>
      <c r="F2093" s="89">
        <v>43249</v>
      </c>
      <c r="J2093" t="s">
        <v>1355</v>
      </c>
      <c r="K2093" s="120">
        <v>6.3</v>
      </c>
    </row>
    <row r="2094" spans="2:11" hidden="1" x14ac:dyDescent="0.25">
      <c r="B2094" s="28" t="str">
        <f>IF(ISNUMBER(MATCH(C2094, Mgt_Unit!$C$5:$C$1018, 0)), INDEX(Mgt_Unit!$B$5:$B$1018, MATCH(C2094, Mgt_Unit!$C$5:$C$1018, 0)), "")</f>
        <v>jennifer.moore</v>
      </c>
      <c r="C2094" t="s">
        <v>909</v>
      </c>
      <c r="E2094" s="17" t="s">
        <v>1583</v>
      </c>
      <c r="F2094" s="89">
        <v>43392</v>
      </c>
      <c r="J2094" t="s">
        <v>1471</v>
      </c>
      <c r="K2094" s="120">
        <v>22</v>
      </c>
    </row>
    <row r="2095" spans="2:11" hidden="1" x14ac:dyDescent="0.25">
      <c r="B2095" s="28" t="str">
        <f>IF(ISNUMBER(MATCH(C2095, Mgt_Unit!$C$5:$C$1018, 0)), INDEX(Mgt_Unit!$B$5:$B$1018, MATCH(C2095, Mgt_Unit!$C$5:$C$1018, 0)), "")</f>
        <v>jennifer.moore</v>
      </c>
      <c r="C2095" t="s">
        <v>909</v>
      </c>
      <c r="E2095" s="17" t="s">
        <v>1583</v>
      </c>
      <c r="F2095" s="89">
        <v>43392</v>
      </c>
      <c r="J2095" t="s">
        <v>1436</v>
      </c>
      <c r="K2095" s="120">
        <v>42</v>
      </c>
    </row>
    <row r="2096" spans="2:11" hidden="1" x14ac:dyDescent="0.25">
      <c r="B2096" s="28" t="str">
        <f>IF(ISNUMBER(MATCH(C2096, Mgt_Unit!$C$5:$C$1018, 0)), INDEX(Mgt_Unit!$B$5:$B$1018, MATCH(C2096, Mgt_Unit!$C$5:$C$1018, 0)), "")</f>
        <v>jennifer.moore</v>
      </c>
      <c r="C2096" t="s">
        <v>909</v>
      </c>
      <c r="E2096" s="17" t="s">
        <v>1584</v>
      </c>
      <c r="F2096" s="89">
        <v>43399</v>
      </c>
      <c r="J2096" t="s">
        <v>1398</v>
      </c>
      <c r="K2096" s="120">
        <v>4</v>
      </c>
    </row>
    <row r="2097" spans="2:11" hidden="1" x14ac:dyDescent="0.25">
      <c r="B2097" s="28" t="str">
        <f>IF(ISNUMBER(MATCH(C2097, Mgt_Unit!$C$5:$C$1018, 0)), INDEX(Mgt_Unit!$B$5:$B$1018, MATCH(C2097, Mgt_Unit!$C$5:$C$1018, 0)), "")</f>
        <v>jennifer.moore</v>
      </c>
      <c r="C2097" t="s">
        <v>910</v>
      </c>
      <c r="E2097" s="17" t="s">
        <v>1584</v>
      </c>
      <c r="F2097" s="89">
        <v>42865</v>
      </c>
      <c r="J2097" t="s">
        <v>1355</v>
      </c>
      <c r="K2097" s="120">
        <v>6.3</v>
      </c>
    </row>
    <row r="2098" spans="2:11" hidden="1" x14ac:dyDescent="0.25">
      <c r="B2098" s="28" t="str">
        <f>IF(ISNUMBER(MATCH(C2098, Mgt_Unit!$C$5:$C$1018, 0)), INDEX(Mgt_Unit!$B$5:$B$1018, MATCH(C2098, Mgt_Unit!$C$5:$C$1018, 0)), "")</f>
        <v>jennifer.moore</v>
      </c>
      <c r="C2098" t="s">
        <v>910</v>
      </c>
      <c r="E2098" s="17" t="s">
        <v>1584</v>
      </c>
      <c r="F2098" s="89">
        <v>43246</v>
      </c>
      <c r="J2098" t="s">
        <v>1355</v>
      </c>
      <c r="K2098" s="120">
        <v>6.3</v>
      </c>
    </row>
    <row r="2099" spans="2:11" hidden="1" x14ac:dyDescent="0.25">
      <c r="B2099" s="28" t="str">
        <f>IF(ISNUMBER(MATCH(C2099, Mgt_Unit!$C$5:$C$1018, 0)), INDEX(Mgt_Unit!$B$5:$B$1018, MATCH(C2099, Mgt_Unit!$C$5:$C$1018, 0)), "")</f>
        <v>jennifer.moore</v>
      </c>
      <c r="C2099" t="s">
        <v>910</v>
      </c>
      <c r="E2099" s="17" t="s">
        <v>1584</v>
      </c>
      <c r="F2099" s="89">
        <v>43390</v>
      </c>
      <c r="J2099" t="s">
        <v>1398</v>
      </c>
      <c r="K2099" s="120">
        <v>4</v>
      </c>
    </row>
    <row r="2100" spans="2:11" hidden="1" x14ac:dyDescent="0.25">
      <c r="B2100" s="28" t="str">
        <f>IF(ISNUMBER(MATCH(C2100, Mgt_Unit!$C$5:$C$1018, 0)), INDEX(Mgt_Unit!$B$5:$B$1018, MATCH(C2100, Mgt_Unit!$C$5:$C$1018, 0)), "")</f>
        <v>jennifer.moore</v>
      </c>
      <c r="C2100" t="s">
        <v>911</v>
      </c>
      <c r="E2100" s="17" t="s">
        <v>1583</v>
      </c>
      <c r="F2100" s="89">
        <v>42846</v>
      </c>
      <c r="J2100" t="s">
        <v>1400</v>
      </c>
      <c r="K2100" s="120">
        <v>4.9000000000000004</v>
      </c>
    </row>
    <row r="2101" spans="2:11" hidden="1" x14ac:dyDescent="0.25">
      <c r="B2101" s="28" t="str">
        <f>IF(ISNUMBER(MATCH(C2101, Mgt_Unit!$C$5:$C$1018, 0)), INDEX(Mgt_Unit!$B$5:$B$1018, MATCH(C2101, Mgt_Unit!$C$5:$C$1018, 0)), "")</f>
        <v>jennifer.moore</v>
      </c>
      <c r="C2101" t="s">
        <v>911</v>
      </c>
      <c r="E2101" s="17" t="s">
        <v>1584</v>
      </c>
      <c r="F2101" s="89">
        <v>42864</v>
      </c>
      <c r="J2101" t="s">
        <v>1443</v>
      </c>
      <c r="K2101" s="120">
        <v>4</v>
      </c>
    </row>
    <row r="2102" spans="2:11" hidden="1" x14ac:dyDescent="0.25">
      <c r="B2102" s="28" t="str">
        <f>IF(ISNUMBER(MATCH(C2102, Mgt_Unit!$C$5:$C$1018, 0)), INDEX(Mgt_Unit!$B$5:$B$1018, MATCH(C2102, Mgt_Unit!$C$5:$C$1018, 0)), "")</f>
        <v>jennifer.moore</v>
      </c>
      <c r="C2102" t="s">
        <v>911</v>
      </c>
      <c r="E2102" s="17" t="s">
        <v>1585</v>
      </c>
      <c r="F2102" s="89">
        <v>43039</v>
      </c>
      <c r="J2102" t="s">
        <v>1443</v>
      </c>
      <c r="K2102" s="120">
        <v>4</v>
      </c>
    </row>
    <row r="2103" spans="2:11" hidden="1" x14ac:dyDescent="0.25">
      <c r="B2103" s="28" t="str">
        <f>IF(ISNUMBER(MATCH(C2103, Mgt_Unit!$C$5:$C$1018, 0)), INDEX(Mgt_Unit!$B$5:$B$1018, MATCH(C2103, Mgt_Unit!$C$5:$C$1018, 0)), "")</f>
        <v>jennifer.moore</v>
      </c>
      <c r="C2103" t="s">
        <v>911</v>
      </c>
      <c r="E2103" s="17" t="s">
        <v>1583</v>
      </c>
      <c r="F2103" s="89">
        <v>43207</v>
      </c>
      <c r="J2103" t="s">
        <v>1400</v>
      </c>
      <c r="K2103" s="120">
        <v>4.9000000000000004</v>
      </c>
    </row>
    <row r="2104" spans="2:11" hidden="1" x14ac:dyDescent="0.25">
      <c r="B2104" s="28" t="str">
        <f>IF(ISNUMBER(MATCH(C2104, Mgt_Unit!$C$5:$C$1018, 0)), INDEX(Mgt_Unit!$B$5:$B$1018, MATCH(C2104, Mgt_Unit!$C$5:$C$1018, 0)), "")</f>
        <v>jennifer.moore</v>
      </c>
      <c r="C2104" t="s">
        <v>911</v>
      </c>
      <c r="E2104" s="17" t="s">
        <v>1584</v>
      </c>
      <c r="F2104" s="89">
        <v>43222</v>
      </c>
      <c r="J2104" t="s">
        <v>1443</v>
      </c>
      <c r="K2104" s="120">
        <v>4</v>
      </c>
    </row>
    <row r="2105" spans="2:11" hidden="1" x14ac:dyDescent="0.25">
      <c r="B2105" s="28" t="str">
        <f>IF(ISNUMBER(MATCH(C2105, Mgt_Unit!$C$5:$C$1018, 0)), INDEX(Mgt_Unit!$B$5:$B$1018, MATCH(C2105, Mgt_Unit!$C$5:$C$1018, 0)), "")</f>
        <v>jennifer.moore</v>
      </c>
      <c r="C2105" t="s">
        <v>911</v>
      </c>
      <c r="E2105" s="17" t="s">
        <v>1585</v>
      </c>
      <c r="F2105" s="89">
        <v>43381</v>
      </c>
      <c r="J2105" t="s">
        <v>1443</v>
      </c>
      <c r="K2105" s="120">
        <v>4</v>
      </c>
    </row>
    <row r="2106" spans="2:11" hidden="1" x14ac:dyDescent="0.25">
      <c r="B2106" s="28" t="str">
        <f>IF(ISNUMBER(MATCH(C2106, Mgt_Unit!$C$5:$C$1018, 0)), INDEX(Mgt_Unit!$B$5:$B$1018, MATCH(C2106, Mgt_Unit!$C$5:$C$1018, 0)), "")</f>
        <v>jennifer.moore</v>
      </c>
      <c r="C2106" t="s">
        <v>912</v>
      </c>
      <c r="E2106" s="17" t="s">
        <v>1583</v>
      </c>
      <c r="F2106" s="89">
        <v>41751</v>
      </c>
      <c r="J2106" t="s">
        <v>1445</v>
      </c>
      <c r="K2106" s="120">
        <v>30</v>
      </c>
    </row>
    <row r="2107" spans="2:11" hidden="1" x14ac:dyDescent="0.25">
      <c r="B2107" s="28" t="str">
        <f>IF(ISNUMBER(MATCH(C2107, Mgt_Unit!$C$5:$C$1018, 0)), INDEX(Mgt_Unit!$B$5:$B$1018, MATCH(C2107, Mgt_Unit!$C$5:$C$1018, 0)), "")</f>
        <v>jennifer.moore</v>
      </c>
      <c r="C2107" t="s">
        <v>912</v>
      </c>
      <c r="E2107" s="17" t="s">
        <v>1584</v>
      </c>
      <c r="F2107" s="89">
        <v>41751</v>
      </c>
      <c r="J2107" t="s">
        <v>1443</v>
      </c>
      <c r="K2107" s="120">
        <v>4</v>
      </c>
    </row>
    <row r="2108" spans="2:11" hidden="1" x14ac:dyDescent="0.25">
      <c r="B2108" s="28" t="str">
        <f>IF(ISNUMBER(MATCH(C2108, Mgt_Unit!$C$5:$C$1018, 0)), INDEX(Mgt_Unit!$B$5:$B$1018, MATCH(C2108, Mgt_Unit!$C$5:$C$1018, 0)), "")</f>
        <v>jennifer.moore</v>
      </c>
      <c r="C2108" t="s">
        <v>912</v>
      </c>
      <c r="E2108" s="17" t="s">
        <v>1583</v>
      </c>
      <c r="F2108" s="89">
        <v>41942</v>
      </c>
      <c r="J2108" t="s">
        <v>1474</v>
      </c>
      <c r="K2108" s="120">
        <v>69</v>
      </c>
    </row>
    <row r="2109" spans="2:11" hidden="1" x14ac:dyDescent="0.25">
      <c r="B2109" s="28" t="str">
        <f>IF(ISNUMBER(MATCH(C2109, Mgt_Unit!$C$5:$C$1018, 0)), INDEX(Mgt_Unit!$B$5:$B$1018, MATCH(C2109, Mgt_Unit!$C$5:$C$1018, 0)), "")</f>
        <v>jennifer.moore</v>
      </c>
      <c r="C2109" t="s">
        <v>912</v>
      </c>
      <c r="E2109" s="17" t="s">
        <v>1583</v>
      </c>
      <c r="F2109" s="89">
        <v>42116</v>
      </c>
      <c r="J2109" t="s">
        <v>1445</v>
      </c>
      <c r="K2109" s="120">
        <v>30</v>
      </c>
    </row>
    <row r="2110" spans="2:11" hidden="1" x14ac:dyDescent="0.25">
      <c r="B2110" s="28" t="str">
        <f>IF(ISNUMBER(MATCH(C2110, Mgt_Unit!$C$5:$C$1018, 0)), INDEX(Mgt_Unit!$B$5:$B$1018, MATCH(C2110, Mgt_Unit!$C$5:$C$1018, 0)), "")</f>
        <v>jennifer.moore</v>
      </c>
      <c r="C2110" t="s">
        <v>912</v>
      </c>
      <c r="E2110" s="17" t="s">
        <v>1584</v>
      </c>
      <c r="F2110" s="89">
        <v>42116</v>
      </c>
      <c r="J2110" t="s">
        <v>1443</v>
      </c>
      <c r="K2110" s="120">
        <v>4</v>
      </c>
    </row>
    <row r="2111" spans="2:11" hidden="1" x14ac:dyDescent="0.25">
      <c r="B2111" s="28" t="str">
        <f>IF(ISNUMBER(MATCH(C2111, Mgt_Unit!$C$5:$C$1018, 0)), INDEX(Mgt_Unit!$B$5:$B$1018, MATCH(C2111, Mgt_Unit!$C$5:$C$1018, 0)), "")</f>
        <v>jennifer.moore</v>
      </c>
      <c r="C2111" t="s">
        <v>912</v>
      </c>
      <c r="E2111" s="17" t="s">
        <v>1583</v>
      </c>
      <c r="F2111" s="89">
        <v>42307</v>
      </c>
      <c r="J2111" t="s">
        <v>1474</v>
      </c>
      <c r="K2111" s="120">
        <v>69</v>
      </c>
    </row>
    <row r="2112" spans="2:11" hidden="1" x14ac:dyDescent="0.25">
      <c r="B2112" s="28" t="str">
        <f>IF(ISNUMBER(MATCH(C2112, Mgt_Unit!$C$5:$C$1018, 0)), INDEX(Mgt_Unit!$B$5:$B$1018, MATCH(C2112, Mgt_Unit!$C$5:$C$1018, 0)), "")</f>
        <v>jennifer.moore</v>
      </c>
      <c r="C2112" t="s">
        <v>912</v>
      </c>
      <c r="E2112" s="17" t="s">
        <v>1583</v>
      </c>
      <c r="F2112" s="89">
        <v>42475</v>
      </c>
      <c r="J2112" t="s">
        <v>1445</v>
      </c>
      <c r="K2112" s="120">
        <v>30</v>
      </c>
    </row>
    <row r="2113" spans="2:11" hidden="1" x14ac:dyDescent="0.25">
      <c r="B2113" s="28" t="str">
        <f>IF(ISNUMBER(MATCH(C2113, Mgt_Unit!$C$5:$C$1018, 0)), INDEX(Mgt_Unit!$B$5:$B$1018, MATCH(C2113, Mgt_Unit!$C$5:$C$1018, 0)), "")</f>
        <v>jennifer.moore</v>
      </c>
      <c r="C2113" t="s">
        <v>912</v>
      </c>
      <c r="E2113" s="17" t="s">
        <v>1583</v>
      </c>
      <c r="F2113" s="89">
        <v>42475</v>
      </c>
      <c r="J2113" t="s">
        <v>1449</v>
      </c>
      <c r="K2113" s="120">
        <v>36</v>
      </c>
    </row>
    <row r="2114" spans="2:11" hidden="1" x14ac:dyDescent="0.25">
      <c r="B2114" s="28" t="str">
        <f>IF(ISNUMBER(MATCH(C2114, Mgt_Unit!$C$5:$C$1018, 0)), INDEX(Mgt_Unit!$B$5:$B$1018, MATCH(C2114, Mgt_Unit!$C$5:$C$1018, 0)), "")</f>
        <v>jennifer.moore</v>
      </c>
      <c r="C2114" t="s">
        <v>912</v>
      </c>
      <c r="E2114" s="17" t="s">
        <v>1584</v>
      </c>
      <c r="F2114" s="89">
        <v>42475</v>
      </c>
      <c r="J2114" t="s">
        <v>1443</v>
      </c>
      <c r="K2114" s="120">
        <v>4</v>
      </c>
    </row>
    <row r="2115" spans="2:11" hidden="1" x14ac:dyDescent="0.25">
      <c r="B2115" s="28" t="str">
        <f>IF(ISNUMBER(MATCH(C2115, Mgt_Unit!$C$5:$C$1018, 0)), INDEX(Mgt_Unit!$B$5:$B$1018, MATCH(C2115, Mgt_Unit!$C$5:$C$1018, 0)), "")</f>
        <v>jennifer.moore</v>
      </c>
      <c r="C2115" t="s">
        <v>912</v>
      </c>
      <c r="E2115" s="17" t="s">
        <v>1583</v>
      </c>
      <c r="F2115" s="89">
        <v>43406</v>
      </c>
      <c r="J2115" t="s">
        <v>1474</v>
      </c>
      <c r="K2115" s="120">
        <v>69</v>
      </c>
    </row>
    <row r="2116" spans="2:11" hidden="1" x14ac:dyDescent="0.25">
      <c r="B2116" s="28" t="str">
        <f>IF(ISNUMBER(MATCH(C2116, Mgt_Unit!$C$5:$C$1018, 0)), INDEX(Mgt_Unit!$B$5:$B$1018, MATCH(C2116, Mgt_Unit!$C$5:$C$1018, 0)), "")</f>
        <v>jennifer.moore</v>
      </c>
      <c r="C2116" t="s">
        <v>913</v>
      </c>
      <c r="E2116" s="17" t="s">
        <v>1583</v>
      </c>
      <c r="F2116" s="89">
        <v>42850</v>
      </c>
      <c r="J2116" t="s">
        <v>1445</v>
      </c>
      <c r="K2116" s="120">
        <v>30</v>
      </c>
    </row>
    <row r="2117" spans="2:11" hidden="1" x14ac:dyDescent="0.25">
      <c r="B2117" s="28" t="str">
        <f>IF(ISNUMBER(MATCH(C2117, Mgt_Unit!$C$5:$C$1018, 0)), INDEX(Mgt_Unit!$B$5:$B$1018, MATCH(C2117, Mgt_Unit!$C$5:$C$1018, 0)), "")</f>
        <v>jennifer.moore</v>
      </c>
      <c r="C2117" t="s">
        <v>913</v>
      </c>
      <c r="E2117" s="17" t="s">
        <v>1584</v>
      </c>
      <c r="F2117" s="89">
        <v>42850</v>
      </c>
      <c r="J2117" t="s">
        <v>1443</v>
      </c>
      <c r="K2117" s="120">
        <v>4</v>
      </c>
    </row>
    <row r="2118" spans="2:11" hidden="1" x14ac:dyDescent="0.25">
      <c r="B2118" s="28" t="str">
        <f>IF(ISNUMBER(MATCH(C2118, Mgt_Unit!$C$5:$C$1018, 0)), INDEX(Mgt_Unit!$B$5:$B$1018, MATCH(C2118, Mgt_Unit!$C$5:$C$1018, 0)), "")</f>
        <v>jennifer.moore</v>
      </c>
      <c r="C2118" t="s">
        <v>913</v>
      </c>
      <c r="E2118" s="17" t="s">
        <v>1583</v>
      </c>
      <c r="F2118" s="89">
        <v>43041</v>
      </c>
      <c r="J2118" t="s">
        <v>1474</v>
      </c>
      <c r="K2118" s="120">
        <v>69</v>
      </c>
    </row>
    <row r="2119" spans="2:11" hidden="1" x14ac:dyDescent="0.25">
      <c r="B2119" s="28" t="str">
        <f>IF(ISNUMBER(MATCH(C2119, Mgt_Unit!$C$5:$C$1018, 0)), INDEX(Mgt_Unit!$B$5:$B$1018, MATCH(C2119, Mgt_Unit!$C$5:$C$1018, 0)), "")</f>
        <v>jennifer.moore</v>
      </c>
      <c r="C2119" t="s">
        <v>913</v>
      </c>
      <c r="E2119" s="17" t="s">
        <v>1584</v>
      </c>
      <c r="F2119" s="89">
        <v>43222</v>
      </c>
      <c r="J2119" t="s">
        <v>1443</v>
      </c>
      <c r="K2119" s="120">
        <v>4</v>
      </c>
    </row>
    <row r="2120" spans="2:11" hidden="1" x14ac:dyDescent="0.25">
      <c r="B2120" s="28" t="str">
        <f>IF(ISNUMBER(MATCH(C2120, Mgt_Unit!$C$5:$C$1018, 0)), INDEX(Mgt_Unit!$B$5:$B$1018, MATCH(C2120, Mgt_Unit!$C$5:$C$1018, 0)), "")</f>
        <v>jennifer.moore</v>
      </c>
      <c r="C2120" t="s">
        <v>913</v>
      </c>
      <c r="E2120" s="17" t="s">
        <v>1583</v>
      </c>
      <c r="F2120" s="89">
        <v>43222</v>
      </c>
      <c r="J2120" t="s">
        <v>1445</v>
      </c>
      <c r="K2120" s="120">
        <v>30</v>
      </c>
    </row>
    <row r="2121" spans="2:11" hidden="1" x14ac:dyDescent="0.25">
      <c r="B2121" s="28" t="str">
        <f>IF(ISNUMBER(MATCH(C2121, Mgt_Unit!$C$5:$C$1018, 0)), INDEX(Mgt_Unit!$B$5:$B$1018, MATCH(C2121, Mgt_Unit!$C$5:$C$1018, 0)), "")</f>
        <v>jennifer.moore</v>
      </c>
      <c r="C2121" t="s">
        <v>1322</v>
      </c>
      <c r="E2121" s="17" t="s">
        <v>1584</v>
      </c>
      <c r="F2121" s="89">
        <v>42867</v>
      </c>
      <c r="J2121" t="s">
        <v>1475</v>
      </c>
      <c r="K2121" s="120">
        <v>14</v>
      </c>
    </row>
    <row r="2122" spans="2:11" hidden="1" x14ac:dyDescent="0.25">
      <c r="B2122" s="28" t="str">
        <f>IF(ISNUMBER(MATCH(C2122, Mgt_Unit!$C$5:$C$1018, 0)), INDEX(Mgt_Unit!$B$5:$B$1018, MATCH(C2122, Mgt_Unit!$C$5:$C$1018, 0)), "")</f>
        <v>jennifer.moore</v>
      </c>
      <c r="C2122" t="s">
        <v>1322</v>
      </c>
      <c r="E2122" s="17" t="s">
        <v>1583</v>
      </c>
      <c r="F2122" s="89">
        <v>43041</v>
      </c>
      <c r="J2122" t="s">
        <v>1476</v>
      </c>
      <c r="K2122" s="120">
        <v>17</v>
      </c>
    </row>
    <row r="2123" spans="2:11" hidden="1" x14ac:dyDescent="0.25">
      <c r="B2123" s="28" t="str">
        <f>IF(ISNUMBER(MATCH(C2123, Mgt_Unit!$C$5:$C$1018, 0)), INDEX(Mgt_Unit!$B$5:$B$1018, MATCH(C2123, Mgt_Unit!$C$5:$C$1018, 0)), "")</f>
        <v>jennifer.moore</v>
      </c>
      <c r="C2123" t="s">
        <v>1322</v>
      </c>
      <c r="E2123" s="17" t="s">
        <v>1584</v>
      </c>
      <c r="F2123" s="89">
        <v>43252</v>
      </c>
      <c r="J2123" t="s">
        <v>1475</v>
      </c>
      <c r="K2123" s="120">
        <v>14</v>
      </c>
    </row>
    <row r="2124" spans="2:11" hidden="1" x14ac:dyDescent="0.25">
      <c r="B2124" s="28" t="str">
        <f>IF(ISNUMBER(MATCH(C2124, Mgt_Unit!$C$5:$C$1018, 0)), INDEX(Mgt_Unit!$B$5:$B$1018, MATCH(C2124, Mgt_Unit!$C$5:$C$1018, 0)), "")</f>
        <v>jennifer.moore</v>
      </c>
      <c r="C2124" t="s">
        <v>1322</v>
      </c>
      <c r="E2124" s="17" t="s">
        <v>1583</v>
      </c>
      <c r="F2124" s="89">
        <v>43418</v>
      </c>
      <c r="J2124" t="s">
        <v>1476</v>
      </c>
      <c r="K2124" s="120">
        <v>17</v>
      </c>
    </row>
    <row r="2125" spans="2:11" hidden="1" x14ac:dyDescent="0.25">
      <c r="B2125" s="28" t="str">
        <f>IF(ISNUMBER(MATCH(C2125, Mgt_Unit!$C$5:$C$1018, 0)), INDEX(Mgt_Unit!$B$5:$B$1018, MATCH(C2125, Mgt_Unit!$C$5:$C$1018, 0)), "")</f>
        <v>jennifer.moore</v>
      </c>
      <c r="C2125" t="s">
        <v>1319</v>
      </c>
      <c r="E2125" s="17" t="s">
        <v>1583</v>
      </c>
      <c r="F2125" s="89">
        <v>42866</v>
      </c>
      <c r="J2125" t="s">
        <v>1445</v>
      </c>
      <c r="K2125" s="120">
        <v>30</v>
      </c>
    </row>
    <row r="2126" spans="2:11" hidden="1" x14ac:dyDescent="0.25">
      <c r="B2126" s="28" t="str">
        <f>IF(ISNUMBER(MATCH(C2126, Mgt_Unit!$C$5:$C$1018, 0)), INDEX(Mgt_Unit!$B$5:$B$1018, MATCH(C2126, Mgt_Unit!$C$5:$C$1018, 0)), "")</f>
        <v>jennifer.moore</v>
      </c>
      <c r="C2126" t="s">
        <v>1319</v>
      </c>
      <c r="E2126" s="17" t="s">
        <v>1584</v>
      </c>
      <c r="F2126" s="89">
        <v>42867</v>
      </c>
      <c r="J2126" t="s">
        <v>1475</v>
      </c>
      <c r="K2126" s="120">
        <v>14</v>
      </c>
    </row>
    <row r="2127" spans="2:11" hidden="1" x14ac:dyDescent="0.25">
      <c r="B2127" s="28" t="str">
        <f>IF(ISNUMBER(MATCH(C2127, Mgt_Unit!$C$5:$C$1018, 0)), INDEX(Mgt_Unit!$B$5:$B$1018, MATCH(C2127, Mgt_Unit!$C$5:$C$1018, 0)), "")</f>
        <v>jennifer.moore</v>
      </c>
      <c r="C2127" t="s">
        <v>1319</v>
      </c>
      <c r="E2127" s="17" t="s">
        <v>1583</v>
      </c>
      <c r="F2127" s="89">
        <v>43046</v>
      </c>
      <c r="J2127" t="s">
        <v>1402</v>
      </c>
      <c r="K2127" s="120">
        <v>65</v>
      </c>
    </row>
    <row r="2128" spans="2:11" hidden="1" x14ac:dyDescent="0.25">
      <c r="B2128" s="28" t="str">
        <f>IF(ISNUMBER(MATCH(C2128, Mgt_Unit!$C$5:$C$1018, 0)), INDEX(Mgt_Unit!$B$5:$B$1018, MATCH(C2128, Mgt_Unit!$C$5:$C$1018, 0)), "")</f>
        <v>jennifer.moore</v>
      </c>
      <c r="C2128" t="s">
        <v>1319</v>
      </c>
      <c r="E2128" s="17" t="s">
        <v>1583</v>
      </c>
      <c r="F2128" s="89">
        <v>43251</v>
      </c>
      <c r="J2128" t="s">
        <v>1445</v>
      </c>
      <c r="K2128" s="120">
        <v>30</v>
      </c>
    </row>
    <row r="2129" spans="2:11" hidden="1" x14ac:dyDescent="0.25">
      <c r="B2129" s="28" t="str">
        <f>IF(ISNUMBER(MATCH(C2129, Mgt_Unit!$C$5:$C$1018, 0)), INDEX(Mgt_Unit!$B$5:$B$1018, MATCH(C2129, Mgt_Unit!$C$5:$C$1018, 0)), "")</f>
        <v>jennifer.moore</v>
      </c>
      <c r="C2129" t="s">
        <v>1319</v>
      </c>
      <c r="E2129" s="17" t="s">
        <v>1584</v>
      </c>
      <c r="F2129" s="89">
        <v>43252</v>
      </c>
      <c r="J2129" t="s">
        <v>1475</v>
      </c>
      <c r="K2129" s="120">
        <v>14</v>
      </c>
    </row>
    <row r="2130" spans="2:11" hidden="1" x14ac:dyDescent="0.25">
      <c r="B2130" s="28" t="str">
        <f>IF(ISNUMBER(MATCH(C2130, Mgt_Unit!$C$5:$C$1018, 0)), INDEX(Mgt_Unit!$B$5:$B$1018, MATCH(C2130, Mgt_Unit!$C$5:$C$1018, 0)), "")</f>
        <v>jennifer.moore</v>
      </c>
      <c r="C2130" t="s">
        <v>1319</v>
      </c>
      <c r="E2130" s="17" t="s">
        <v>1583</v>
      </c>
      <c r="F2130" s="89">
        <v>43411</v>
      </c>
      <c r="J2130" t="s">
        <v>1402</v>
      </c>
      <c r="K2130" s="120">
        <v>65</v>
      </c>
    </row>
    <row r="2131" spans="2:11" hidden="1" x14ac:dyDescent="0.25">
      <c r="B2131" s="28" t="str">
        <f>IF(ISNUMBER(MATCH(C2131, Mgt_Unit!$C$5:$C$1018, 0)), INDEX(Mgt_Unit!$B$5:$B$1018, MATCH(C2131, Mgt_Unit!$C$5:$C$1018, 0)), "")</f>
        <v>jennifer.moore</v>
      </c>
      <c r="C2131" t="s">
        <v>1320</v>
      </c>
      <c r="E2131" s="17" t="s">
        <v>1584</v>
      </c>
      <c r="F2131" s="89">
        <v>42867</v>
      </c>
      <c r="J2131" t="s">
        <v>1475</v>
      </c>
      <c r="K2131" s="120">
        <v>14</v>
      </c>
    </row>
    <row r="2132" spans="2:11" hidden="1" x14ac:dyDescent="0.25">
      <c r="B2132" s="28" t="str">
        <f>IF(ISNUMBER(MATCH(C2132, Mgt_Unit!$C$5:$C$1018, 0)), INDEX(Mgt_Unit!$B$5:$B$1018, MATCH(C2132, Mgt_Unit!$C$5:$C$1018, 0)), "")</f>
        <v>jennifer.moore</v>
      </c>
      <c r="C2132" t="s">
        <v>1320</v>
      </c>
      <c r="E2132" s="17" t="s">
        <v>1584</v>
      </c>
      <c r="F2132" s="89">
        <v>43252</v>
      </c>
      <c r="J2132" t="s">
        <v>1475</v>
      </c>
      <c r="K2132" s="120">
        <v>14</v>
      </c>
    </row>
    <row r="2133" spans="2:11" hidden="1" x14ac:dyDescent="0.25">
      <c r="B2133" s="28" t="str">
        <f>IF(ISNUMBER(MATCH(C2133, Mgt_Unit!$C$5:$C$1018, 0)), INDEX(Mgt_Unit!$B$5:$B$1018, MATCH(C2133, Mgt_Unit!$C$5:$C$1018, 0)), "")</f>
        <v>jennifer.moore</v>
      </c>
      <c r="C2133" t="s">
        <v>1321</v>
      </c>
      <c r="E2133" s="17" t="s">
        <v>1583</v>
      </c>
      <c r="F2133" s="89">
        <v>42866</v>
      </c>
      <c r="J2133" t="s">
        <v>1477</v>
      </c>
      <c r="K2133" s="120">
        <v>39</v>
      </c>
    </row>
    <row r="2134" spans="2:11" hidden="1" x14ac:dyDescent="0.25">
      <c r="B2134" s="28" t="str">
        <f>IF(ISNUMBER(MATCH(C2134, Mgt_Unit!$C$5:$C$1018, 0)), INDEX(Mgt_Unit!$B$5:$B$1018, MATCH(C2134, Mgt_Unit!$C$5:$C$1018, 0)), "")</f>
        <v>jennifer.moore</v>
      </c>
      <c r="C2134" t="s">
        <v>1321</v>
      </c>
      <c r="E2134" s="17" t="s">
        <v>1584</v>
      </c>
      <c r="F2134" s="89">
        <v>42867</v>
      </c>
      <c r="J2134" t="s">
        <v>1475</v>
      </c>
      <c r="K2134" s="120">
        <v>14</v>
      </c>
    </row>
    <row r="2135" spans="2:11" hidden="1" x14ac:dyDescent="0.25">
      <c r="B2135" s="28" t="str">
        <f>IF(ISNUMBER(MATCH(C2135, Mgt_Unit!$C$5:$C$1018, 0)), INDEX(Mgt_Unit!$B$5:$B$1018, MATCH(C2135, Mgt_Unit!$C$5:$C$1018, 0)), "")</f>
        <v>jennifer.moore</v>
      </c>
      <c r="C2135" t="s">
        <v>1321</v>
      </c>
      <c r="E2135" s="17" t="s">
        <v>1583</v>
      </c>
      <c r="F2135" s="89">
        <v>43251</v>
      </c>
      <c r="J2135" t="s">
        <v>1477</v>
      </c>
      <c r="K2135" s="120">
        <v>39</v>
      </c>
    </row>
    <row r="2136" spans="2:11" hidden="1" x14ac:dyDescent="0.25">
      <c r="B2136" s="28" t="str">
        <f>IF(ISNUMBER(MATCH(C2136, Mgt_Unit!$C$5:$C$1018, 0)), INDEX(Mgt_Unit!$B$5:$B$1018, MATCH(C2136, Mgt_Unit!$C$5:$C$1018, 0)), "")</f>
        <v>jennifer.moore</v>
      </c>
      <c r="C2136" t="s">
        <v>1321</v>
      </c>
      <c r="E2136" s="17" t="s">
        <v>1584</v>
      </c>
      <c r="F2136" s="89">
        <v>43252</v>
      </c>
      <c r="J2136" t="s">
        <v>1475</v>
      </c>
      <c r="K2136" s="120">
        <v>14</v>
      </c>
    </row>
    <row r="2137" spans="2:11" hidden="1" x14ac:dyDescent="0.25">
      <c r="B2137" s="28" t="str">
        <f>IF(ISNUMBER(MATCH(C2137, Mgt_Unit!$C$5:$C$1018, 0)), INDEX(Mgt_Unit!$B$5:$B$1018, MATCH(C2137, Mgt_Unit!$C$5:$C$1018, 0)), "")</f>
        <v>jennifer.moore</v>
      </c>
      <c r="C2137" t="s">
        <v>914</v>
      </c>
      <c r="E2137" s="17" t="s">
        <v>1583</v>
      </c>
      <c r="F2137" s="89">
        <v>42846</v>
      </c>
      <c r="J2137" t="s">
        <v>1400</v>
      </c>
      <c r="K2137" s="120">
        <v>4.9000000000000004</v>
      </c>
    </row>
    <row r="2138" spans="2:11" hidden="1" x14ac:dyDescent="0.25">
      <c r="B2138" s="28" t="str">
        <f>IF(ISNUMBER(MATCH(C2138, Mgt_Unit!$C$5:$C$1018, 0)), INDEX(Mgt_Unit!$B$5:$B$1018, MATCH(C2138, Mgt_Unit!$C$5:$C$1018, 0)), "")</f>
        <v>jennifer.moore</v>
      </c>
      <c r="C2138" t="s">
        <v>914</v>
      </c>
      <c r="E2138" s="17" t="s">
        <v>1584</v>
      </c>
      <c r="F2138" s="89">
        <v>42864</v>
      </c>
      <c r="J2138" t="s">
        <v>1443</v>
      </c>
      <c r="K2138" s="120">
        <v>4</v>
      </c>
    </row>
    <row r="2139" spans="2:11" hidden="1" x14ac:dyDescent="0.25">
      <c r="B2139" s="28" t="str">
        <f>IF(ISNUMBER(MATCH(C2139, Mgt_Unit!$C$5:$C$1018, 0)), INDEX(Mgt_Unit!$B$5:$B$1018, MATCH(C2139, Mgt_Unit!$C$5:$C$1018, 0)), "")</f>
        <v>jennifer.moore</v>
      </c>
      <c r="C2139" t="s">
        <v>914</v>
      </c>
      <c r="E2139" s="17" t="s">
        <v>1585</v>
      </c>
      <c r="F2139" s="89">
        <v>43039</v>
      </c>
      <c r="J2139" t="s">
        <v>1443</v>
      </c>
      <c r="K2139" s="120">
        <v>4</v>
      </c>
    </row>
    <row r="2140" spans="2:11" hidden="1" x14ac:dyDescent="0.25">
      <c r="B2140" s="28" t="str">
        <f>IF(ISNUMBER(MATCH(C2140, Mgt_Unit!$C$5:$C$1018, 0)), INDEX(Mgt_Unit!$B$5:$B$1018, MATCH(C2140, Mgt_Unit!$C$5:$C$1018, 0)), "")</f>
        <v>jennifer.moore</v>
      </c>
      <c r="C2140" t="s">
        <v>914</v>
      </c>
      <c r="E2140" s="17" t="s">
        <v>1583</v>
      </c>
      <c r="F2140" s="89">
        <v>43207</v>
      </c>
      <c r="J2140" t="s">
        <v>1400</v>
      </c>
      <c r="K2140" s="120">
        <v>4.9000000000000004</v>
      </c>
    </row>
    <row r="2141" spans="2:11" hidden="1" x14ac:dyDescent="0.25">
      <c r="B2141" s="28" t="str">
        <f>IF(ISNUMBER(MATCH(C2141, Mgt_Unit!$C$5:$C$1018, 0)), INDEX(Mgt_Unit!$B$5:$B$1018, MATCH(C2141, Mgt_Unit!$C$5:$C$1018, 0)), "")</f>
        <v>jennifer.moore</v>
      </c>
      <c r="C2141" t="s">
        <v>914</v>
      </c>
      <c r="E2141" s="17" t="s">
        <v>1584</v>
      </c>
      <c r="F2141" s="89">
        <v>43222</v>
      </c>
      <c r="J2141" t="s">
        <v>1443</v>
      </c>
      <c r="K2141" s="120">
        <v>4</v>
      </c>
    </row>
    <row r="2142" spans="2:11" hidden="1" x14ac:dyDescent="0.25">
      <c r="B2142" s="28" t="str">
        <f>IF(ISNUMBER(MATCH(C2142, Mgt_Unit!$C$5:$C$1018, 0)), INDEX(Mgt_Unit!$B$5:$B$1018, MATCH(C2142, Mgt_Unit!$C$5:$C$1018, 0)), "")</f>
        <v>jennifer.moore</v>
      </c>
      <c r="C2142" t="s">
        <v>914</v>
      </c>
      <c r="E2142" s="17" t="s">
        <v>1585</v>
      </c>
      <c r="F2142" s="89">
        <v>43381</v>
      </c>
      <c r="J2142" t="s">
        <v>1443</v>
      </c>
      <c r="K2142" s="120">
        <v>4</v>
      </c>
    </row>
    <row r="2143" spans="2:11" hidden="1" x14ac:dyDescent="0.25">
      <c r="B2143" s="28" t="str">
        <f>IF(ISNUMBER(MATCH(C2143, Mgt_Unit!$C$5:$C$1018, 0)), INDEX(Mgt_Unit!$B$5:$B$1018, MATCH(C2143, Mgt_Unit!$C$5:$C$1018, 0)), "")</f>
        <v>jennifer.moore</v>
      </c>
      <c r="C2143" t="s">
        <v>915</v>
      </c>
      <c r="E2143" s="17" t="s">
        <v>1583</v>
      </c>
      <c r="F2143" s="89">
        <v>41769</v>
      </c>
      <c r="J2143" t="s">
        <v>1445</v>
      </c>
      <c r="K2143" s="120">
        <v>30</v>
      </c>
    </row>
    <row r="2144" spans="2:11" hidden="1" x14ac:dyDescent="0.25">
      <c r="B2144" s="28" t="str">
        <f>IF(ISNUMBER(MATCH(C2144, Mgt_Unit!$C$5:$C$1018, 0)), INDEX(Mgt_Unit!$B$5:$B$1018, MATCH(C2144, Mgt_Unit!$C$5:$C$1018, 0)), "")</f>
        <v>jennifer.moore</v>
      </c>
      <c r="C2144" t="s">
        <v>915</v>
      </c>
      <c r="E2144" s="17" t="s">
        <v>1584</v>
      </c>
      <c r="F2144" s="89">
        <v>41769</v>
      </c>
      <c r="J2144" t="s">
        <v>1443</v>
      </c>
      <c r="K2144" s="120">
        <v>4</v>
      </c>
    </row>
    <row r="2145" spans="2:11" hidden="1" x14ac:dyDescent="0.25">
      <c r="B2145" s="28" t="str">
        <f>IF(ISNUMBER(MATCH(C2145, Mgt_Unit!$C$5:$C$1018, 0)), INDEX(Mgt_Unit!$B$5:$B$1018, MATCH(C2145, Mgt_Unit!$C$5:$C$1018, 0)), "")</f>
        <v>jennifer.moore</v>
      </c>
      <c r="C2145" t="s">
        <v>915</v>
      </c>
      <c r="E2145" s="17" t="s">
        <v>1583</v>
      </c>
      <c r="F2145" s="89">
        <v>41942</v>
      </c>
      <c r="J2145" t="s">
        <v>1474</v>
      </c>
      <c r="K2145" s="120">
        <v>69</v>
      </c>
    </row>
    <row r="2146" spans="2:11" hidden="1" x14ac:dyDescent="0.25">
      <c r="B2146" s="28" t="str">
        <f>IF(ISNUMBER(MATCH(C2146, Mgt_Unit!$C$5:$C$1018, 0)), INDEX(Mgt_Unit!$B$5:$B$1018, MATCH(C2146, Mgt_Unit!$C$5:$C$1018, 0)), "")</f>
        <v>jennifer.moore</v>
      </c>
      <c r="C2146" t="s">
        <v>915</v>
      </c>
      <c r="E2146" s="17" t="s">
        <v>1583</v>
      </c>
      <c r="F2146" s="89">
        <v>42116</v>
      </c>
      <c r="J2146" t="s">
        <v>1445</v>
      </c>
      <c r="K2146" s="120">
        <v>30</v>
      </c>
    </row>
    <row r="2147" spans="2:11" hidden="1" x14ac:dyDescent="0.25">
      <c r="B2147" s="28" t="str">
        <f>IF(ISNUMBER(MATCH(C2147, Mgt_Unit!$C$5:$C$1018, 0)), INDEX(Mgt_Unit!$B$5:$B$1018, MATCH(C2147, Mgt_Unit!$C$5:$C$1018, 0)), "")</f>
        <v>jennifer.moore</v>
      </c>
      <c r="C2147" t="s">
        <v>915</v>
      </c>
      <c r="E2147" s="17" t="s">
        <v>1584</v>
      </c>
      <c r="F2147" s="89">
        <v>42116</v>
      </c>
      <c r="J2147" t="s">
        <v>1443</v>
      </c>
      <c r="K2147" s="120">
        <v>4</v>
      </c>
    </row>
    <row r="2148" spans="2:11" hidden="1" x14ac:dyDescent="0.25">
      <c r="B2148" s="28" t="str">
        <f>IF(ISNUMBER(MATCH(C2148, Mgt_Unit!$C$5:$C$1018, 0)), INDEX(Mgt_Unit!$B$5:$B$1018, MATCH(C2148, Mgt_Unit!$C$5:$C$1018, 0)), "")</f>
        <v>jennifer.moore</v>
      </c>
      <c r="C2148" t="s">
        <v>915</v>
      </c>
      <c r="E2148" s="17" t="s">
        <v>1583</v>
      </c>
      <c r="F2148" s="89">
        <v>42307</v>
      </c>
      <c r="J2148" t="s">
        <v>1474</v>
      </c>
      <c r="K2148" s="120">
        <v>69</v>
      </c>
    </row>
    <row r="2149" spans="2:11" hidden="1" x14ac:dyDescent="0.25">
      <c r="B2149" s="28" t="str">
        <f>IF(ISNUMBER(MATCH(C2149, Mgt_Unit!$C$5:$C$1018, 0)), INDEX(Mgt_Unit!$B$5:$B$1018, MATCH(C2149, Mgt_Unit!$C$5:$C$1018, 0)), "")</f>
        <v>jennifer.moore</v>
      </c>
      <c r="C2149" t="s">
        <v>915</v>
      </c>
      <c r="E2149" s="17" t="s">
        <v>1583</v>
      </c>
      <c r="F2149" s="89">
        <v>42475</v>
      </c>
      <c r="J2149" t="s">
        <v>1445</v>
      </c>
      <c r="K2149" s="120">
        <v>30</v>
      </c>
    </row>
    <row r="2150" spans="2:11" hidden="1" x14ac:dyDescent="0.25">
      <c r="B2150" s="28" t="str">
        <f>IF(ISNUMBER(MATCH(C2150, Mgt_Unit!$C$5:$C$1018, 0)), INDEX(Mgt_Unit!$B$5:$B$1018, MATCH(C2150, Mgt_Unit!$C$5:$C$1018, 0)), "")</f>
        <v>jennifer.moore</v>
      </c>
      <c r="C2150" t="s">
        <v>915</v>
      </c>
      <c r="E2150" s="17" t="s">
        <v>1583</v>
      </c>
      <c r="F2150" s="89">
        <v>42475</v>
      </c>
      <c r="J2150" t="s">
        <v>1449</v>
      </c>
      <c r="K2150" s="120">
        <v>36</v>
      </c>
    </row>
    <row r="2151" spans="2:11" hidden="1" x14ac:dyDescent="0.25">
      <c r="B2151" s="28" t="str">
        <f>IF(ISNUMBER(MATCH(C2151, Mgt_Unit!$C$5:$C$1018, 0)), INDEX(Mgt_Unit!$B$5:$B$1018, MATCH(C2151, Mgt_Unit!$C$5:$C$1018, 0)), "")</f>
        <v>jennifer.moore</v>
      </c>
      <c r="C2151" t="s">
        <v>915</v>
      </c>
      <c r="E2151" s="17" t="s">
        <v>1584</v>
      </c>
      <c r="F2151" s="89">
        <v>42475</v>
      </c>
      <c r="J2151" t="s">
        <v>1443</v>
      </c>
      <c r="K2151" s="120">
        <v>4</v>
      </c>
    </row>
    <row r="2152" spans="2:11" hidden="1" x14ac:dyDescent="0.25">
      <c r="B2152" s="28" t="str">
        <f>IF(ISNUMBER(MATCH(C2152, Mgt_Unit!$C$5:$C$1018, 0)), INDEX(Mgt_Unit!$B$5:$B$1018, MATCH(C2152, Mgt_Unit!$C$5:$C$1018, 0)), "")</f>
        <v>jennifer.moore</v>
      </c>
      <c r="C2152" t="s">
        <v>915</v>
      </c>
      <c r="E2152" s="17" t="s">
        <v>1583</v>
      </c>
      <c r="F2152" s="89">
        <v>43406</v>
      </c>
      <c r="J2152" t="s">
        <v>1474</v>
      </c>
      <c r="K2152" s="120">
        <v>69</v>
      </c>
    </row>
    <row r="2153" spans="2:11" hidden="1" x14ac:dyDescent="0.25">
      <c r="B2153" s="28" t="str">
        <f>IF(ISNUMBER(MATCH(C2153, Mgt_Unit!$C$5:$C$1018, 0)), INDEX(Mgt_Unit!$B$5:$B$1018, MATCH(C2153, Mgt_Unit!$C$5:$C$1018, 0)), "")</f>
        <v>jennifer.moore</v>
      </c>
      <c r="C2153" t="s">
        <v>916</v>
      </c>
      <c r="E2153" s="17" t="s">
        <v>1583</v>
      </c>
      <c r="F2153" s="89">
        <v>42865</v>
      </c>
      <c r="J2153" t="s">
        <v>1445</v>
      </c>
      <c r="K2153" s="120">
        <v>30</v>
      </c>
    </row>
    <row r="2154" spans="2:11" hidden="1" x14ac:dyDescent="0.25">
      <c r="B2154" s="28" t="str">
        <f>IF(ISNUMBER(MATCH(C2154, Mgt_Unit!$C$5:$C$1018, 0)), INDEX(Mgt_Unit!$B$5:$B$1018, MATCH(C2154, Mgt_Unit!$C$5:$C$1018, 0)), "")</f>
        <v>jennifer.moore</v>
      </c>
      <c r="C2154" t="s">
        <v>916</v>
      </c>
      <c r="E2154" s="17" t="s">
        <v>1584</v>
      </c>
      <c r="F2154" s="89">
        <v>42866</v>
      </c>
      <c r="J2154" t="s">
        <v>1443</v>
      </c>
      <c r="K2154" s="120">
        <v>4</v>
      </c>
    </row>
    <row r="2155" spans="2:11" hidden="1" x14ac:dyDescent="0.25">
      <c r="B2155" s="28" t="str">
        <f>IF(ISNUMBER(MATCH(C2155, Mgt_Unit!$C$5:$C$1018, 0)), INDEX(Mgt_Unit!$B$5:$B$1018, MATCH(C2155, Mgt_Unit!$C$5:$C$1018, 0)), "")</f>
        <v>jennifer.moore</v>
      </c>
      <c r="C2155" t="s">
        <v>916</v>
      </c>
      <c r="E2155" s="17" t="s">
        <v>1583</v>
      </c>
      <c r="F2155" s="89">
        <v>43041</v>
      </c>
      <c r="J2155" t="s">
        <v>1474</v>
      </c>
      <c r="K2155" s="120">
        <v>69</v>
      </c>
    </row>
    <row r="2156" spans="2:11" hidden="1" x14ac:dyDescent="0.25">
      <c r="B2156" s="28" t="str">
        <f>IF(ISNUMBER(MATCH(C2156, Mgt_Unit!$C$5:$C$1018, 0)), INDEX(Mgt_Unit!$B$5:$B$1018, MATCH(C2156, Mgt_Unit!$C$5:$C$1018, 0)), "")</f>
        <v>jennifer.moore</v>
      </c>
      <c r="C2156" t="s">
        <v>916</v>
      </c>
      <c r="E2156" s="17" t="s">
        <v>1584</v>
      </c>
      <c r="F2156" s="89">
        <v>43222</v>
      </c>
      <c r="J2156" t="s">
        <v>1443</v>
      </c>
      <c r="K2156" s="120">
        <v>4</v>
      </c>
    </row>
    <row r="2157" spans="2:11" hidden="1" x14ac:dyDescent="0.25">
      <c r="B2157" s="28" t="str">
        <f>IF(ISNUMBER(MATCH(C2157, Mgt_Unit!$C$5:$C$1018, 0)), INDEX(Mgt_Unit!$B$5:$B$1018, MATCH(C2157, Mgt_Unit!$C$5:$C$1018, 0)), "")</f>
        <v>jennifer.moore</v>
      </c>
      <c r="C2157" t="s">
        <v>916</v>
      </c>
      <c r="E2157" s="17" t="s">
        <v>1583</v>
      </c>
      <c r="F2157" s="89">
        <v>43222</v>
      </c>
      <c r="J2157" t="s">
        <v>1445</v>
      </c>
      <c r="K2157" s="120">
        <v>30</v>
      </c>
    </row>
    <row r="2158" spans="2:11" hidden="1" x14ac:dyDescent="0.25">
      <c r="B2158" s="28" t="str">
        <f>IF(ISNUMBER(MATCH(C2158, Mgt_Unit!$C$5:$C$1018, 0)), INDEX(Mgt_Unit!$B$5:$B$1018, MATCH(C2158, Mgt_Unit!$C$5:$C$1018, 0)), "")</f>
        <v>jennifer.moore</v>
      </c>
      <c r="C2158" t="s">
        <v>1323</v>
      </c>
      <c r="E2158" s="17" t="s">
        <v>1583</v>
      </c>
      <c r="F2158" s="89">
        <v>37104</v>
      </c>
      <c r="J2158" t="s">
        <v>1355</v>
      </c>
      <c r="K2158" s="120">
        <v>6.3</v>
      </c>
    </row>
    <row r="2159" spans="2:11" hidden="1" x14ac:dyDescent="0.25">
      <c r="B2159" s="28" t="str">
        <f>IF(ISNUMBER(MATCH(C2159, Mgt_Unit!$C$5:$C$1018, 0)), INDEX(Mgt_Unit!$B$5:$B$1018, MATCH(C2159, Mgt_Unit!$C$5:$C$1018, 0)), "")</f>
        <v>jennifer.moore</v>
      </c>
      <c r="C2159" t="s">
        <v>917</v>
      </c>
      <c r="E2159" s="17" t="s">
        <v>1585</v>
      </c>
      <c r="F2159" s="89">
        <v>42233</v>
      </c>
      <c r="J2159" t="s">
        <v>1355</v>
      </c>
      <c r="K2159" s="120">
        <v>6.3</v>
      </c>
    </row>
    <row r="2160" spans="2:11" hidden="1" x14ac:dyDescent="0.25">
      <c r="B2160" s="28" t="str">
        <f>IF(ISNUMBER(MATCH(C2160, Mgt_Unit!$C$5:$C$1018, 0)), INDEX(Mgt_Unit!$B$5:$B$1018, MATCH(C2160, Mgt_Unit!$C$5:$C$1018, 0)), "")</f>
        <v>jennifer.moore</v>
      </c>
      <c r="C2160" t="s">
        <v>917</v>
      </c>
      <c r="E2160" s="17" t="s">
        <v>1584</v>
      </c>
      <c r="F2160" s="89">
        <v>42476</v>
      </c>
      <c r="J2160" t="s">
        <v>1443</v>
      </c>
      <c r="K2160" s="120">
        <v>4</v>
      </c>
    </row>
    <row r="2161" spans="2:11" hidden="1" x14ac:dyDescent="0.25">
      <c r="B2161" s="28" t="str">
        <f>IF(ISNUMBER(MATCH(C2161, Mgt_Unit!$C$5:$C$1018, 0)), INDEX(Mgt_Unit!$B$5:$B$1018, MATCH(C2161, Mgt_Unit!$C$5:$C$1018, 0)), "")</f>
        <v>jennifer.moore</v>
      </c>
      <c r="C2161" t="s">
        <v>917</v>
      </c>
      <c r="E2161" s="17" t="s">
        <v>1585</v>
      </c>
      <c r="F2161" s="89">
        <v>42646</v>
      </c>
      <c r="J2161" t="s">
        <v>1355</v>
      </c>
      <c r="K2161" s="120">
        <v>6.3</v>
      </c>
    </row>
    <row r="2162" spans="2:11" hidden="1" x14ac:dyDescent="0.25">
      <c r="B2162" s="28" t="str">
        <f>IF(ISNUMBER(MATCH(C2162, Mgt_Unit!$C$5:$C$1018, 0)), INDEX(Mgt_Unit!$B$5:$B$1018, MATCH(C2162, Mgt_Unit!$C$5:$C$1018, 0)), "")</f>
        <v>jennifer.moore</v>
      </c>
      <c r="C2162" t="s">
        <v>917</v>
      </c>
      <c r="E2162" s="17" t="s">
        <v>1584</v>
      </c>
      <c r="F2162" s="89">
        <v>42872</v>
      </c>
      <c r="J2162" t="s">
        <v>1443</v>
      </c>
      <c r="K2162" s="120">
        <v>4</v>
      </c>
    </row>
    <row r="2163" spans="2:11" hidden="1" x14ac:dyDescent="0.25">
      <c r="B2163" s="28" t="str">
        <f>IF(ISNUMBER(MATCH(C2163, Mgt_Unit!$C$5:$C$1018, 0)), INDEX(Mgt_Unit!$B$5:$B$1018, MATCH(C2163, Mgt_Unit!$C$5:$C$1018, 0)), "")</f>
        <v>jennifer.moore</v>
      </c>
      <c r="C2163" t="s">
        <v>917</v>
      </c>
      <c r="E2163" s="17" t="s">
        <v>1584</v>
      </c>
      <c r="F2163" s="89">
        <v>43038</v>
      </c>
      <c r="J2163" t="s">
        <v>1443</v>
      </c>
      <c r="K2163" s="120">
        <v>4</v>
      </c>
    </row>
    <row r="2164" spans="2:11" hidden="1" x14ac:dyDescent="0.25">
      <c r="B2164" s="28" t="str">
        <f>IF(ISNUMBER(MATCH(C2164, Mgt_Unit!$C$5:$C$1018, 0)), INDEX(Mgt_Unit!$B$5:$B$1018, MATCH(C2164, Mgt_Unit!$C$5:$C$1018, 0)), "")</f>
        <v>jennifer.moore</v>
      </c>
      <c r="C2164" t="s">
        <v>918</v>
      </c>
      <c r="E2164" s="17" t="s">
        <v>1583</v>
      </c>
      <c r="F2164" s="89">
        <v>42121</v>
      </c>
      <c r="J2164" t="s">
        <v>1396</v>
      </c>
      <c r="K2164" s="120">
        <v>37</v>
      </c>
    </row>
    <row r="2165" spans="2:11" hidden="1" x14ac:dyDescent="0.25">
      <c r="B2165" s="28" t="str">
        <f>IF(ISNUMBER(MATCH(C2165, Mgt_Unit!$C$5:$C$1018, 0)), INDEX(Mgt_Unit!$B$5:$B$1018, MATCH(C2165, Mgt_Unit!$C$5:$C$1018, 0)), "")</f>
        <v>jennifer.moore</v>
      </c>
      <c r="C2165" t="s">
        <v>918</v>
      </c>
      <c r="E2165" s="17" t="s">
        <v>1583</v>
      </c>
      <c r="F2165" s="89">
        <v>42121</v>
      </c>
      <c r="J2165" t="s">
        <v>1396</v>
      </c>
      <c r="K2165" s="120">
        <v>37</v>
      </c>
    </row>
    <row r="2166" spans="2:11" hidden="1" x14ac:dyDescent="0.25">
      <c r="B2166" s="28" t="str">
        <f>IF(ISNUMBER(MATCH(C2166, Mgt_Unit!$C$5:$C$1018, 0)), INDEX(Mgt_Unit!$B$5:$B$1018, MATCH(C2166, Mgt_Unit!$C$5:$C$1018, 0)), "")</f>
        <v>jennifer.moore</v>
      </c>
      <c r="C2166" t="s">
        <v>918</v>
      </c>
      <c r="E2166" s="17" t="s">
        <v>1583</v>
      </c>
      <c r="F2166" s="89">
        <v>42128</v>
      </c>
      <c r="J2166" t="s">
        <v>1396</v>
      </c>
      <c r="K2166" s="120">
        <v>37</v>
      </c>
    </row>
    <row r="2167" spans="2:11" hidden="1" x14ac:dyDescent="0.25">
      <c r="B2167" s="28" t="str">
        <f>IF(ISNUMBER(MATCH(C2167, Mgt_Unit!$C$5:$C$1018, 0)), INDEX(Mgt_Unit!$B$5:$B$1018, MATCH(C2167, Mgt_Unit!$C$5:$C$1018, 0)), "")</f>
        <v>jennifer.moore</v>
      </c>
      <c r="C2167" t="s">
        <v>918</v>
      </c>
      <c r="E2167" s="17" t="s">
        <v>1583</v>
      </c>
      <c r="F2167" s="89">
        <v>42128</v>
      </c>
      <c r="J2167" t="s">
        <v>1396</v>
      </c>
      <c r="K2167" s="120">
        <v>37</v>
      </c>
    </row>
    <row r="2168" spans="2:11" hidden="1" x14ac:dyDescent="0.25">
      <c r="B2168" s="28" t="str">
        <f>IF(ISNUMBER(MATCH(C2168, Mgt_Unit!$C$5:$C$1018, 0)), INDEX(Mgt_Unit!$B$5:$B$1018, MATCH(C2168, Mgt_Unit!$C$5:$C$1018, 0)), "")</f>
        <v>jennifer.moore</v>
      </c>
      <c r="C2168" t="s">
        <v>918</v>
      </c>
      <c r="E2168" s="17" t="s">
        <v>1584</v>
      </c>
      <c r="F2168" s="89">
        <v>42130</v>
      </c>
      <c r="J2168" t="s">
        <v>1443</v>
      </c>
      <c r="K2168" s="120">
        <v>4</v>
      </c>
    </row>
    <row r="2169" spans="2:11" hidden="1" x14ac:dyDescent="0.25">
      <c r="B2169" s="28" t="str">
        <f>IF(ISNUMBER(MATCH(C2169, Mgt_Unit!$C$5:$C$1018, 0)), INDEX(Mgt_Unit!$B$5:$B$1018, MATCH(C2169, Mgt_Unit!$C$5:$C$1018, 0)), "")</f>
        <v>jennifer.moore</v>
      </c>
      <c r="C2169" t="s">
        <v>918</v>
      </c>
      <c r="E2169" s="17" t="s">
        <v>1583</v>
      </c>
      <c r="F2169" s="89">
        <v>42453</v>
      </c>
      <c r="J2169" t="s">
        <v>1478</v>
      </c>
      <c r="K2169" s="120">
        <v>39</v>
      </c>
    </row>
    <row r="2170" spans="2:11" hidden="1" x14ac:dyDescent="0.25">
      <c r="B2170" s="28" t="str">
        <f>IF(ISNUMBER(MATCH(C2170, Mgt_Unit!$C$5:$C$1018, 0)), INDEX(Mgt_Unit!$B$5:$B$1018, MATCH(C2170, Mgt_Unit!$C$5:$C$1018, 0)), "")</f>
        <v>jennifer.moore</v>
      </c>
      <c r="C2170" t="s">
        <v>918</v>
      </c>
      <c r="E2170" s="17" t="s">
        <v>1584</v>
      </c>
      <c r="F2170" s="89">
        <v>42497</v>
      </c>
      <c r="J2170" t="s">
        <v>1443</v>
      </c>
      <c r="K2170" s="120">
        <v>4</v>
      </c>
    </row>
    <row r="2171" spans="2:11" hidden="1" x14ac:dyDescent="0.25">
      <c r="B2171" s="28" t="str">
        <f>IF(ISNUMBER(MATCH(C2171, Mgt_Unit!$C$5:$C$1018, 0)), INDEX(Mgt_Unit!$B$5:$B$1018, MATCH(C2171, Mgt_Unit!$C$5:$C$1018, 0)), "")</f>
        <v>jennifer.moore</v>
      </c>
      <c r="C2171" t="s">
        <v>919</v>
      </c>
      <c r="E2171" s="17" t="s">
        <v>1584</v>
      </c>
      <c r="F2171" s="89">
        <v>42130</v>
      </c>
      <c r="J2171" t="s">
        <v>1443</v>
      </c>
      <c r="K2171" s="120">
        <v>4</v>
      </c>
    </row>
    <row r="2172" spans="2:11" hidden="1" x14ac:dyDescent="0.25">
      <c r="B2172" s="28" t="str">
        <f>IF(ISNUMBER(MATCH(C2172, Mgt_Unit!$C$5:$C$1018, 0)), INDEX(Mgt_Unit!$B$5:$B$1018, MATCH(C2172, Mgt_Unit!$C$5:$C$1018, 0)), "")</f>
        <v>jennifer.moore</v>
      </c>
      <c r="C2172" t="s">
        <v>919</v>
      </c>
      <c r="E2172" s="17" t="s">
        <v>1584</v>
      </c>
      <c r="F2172" s="89">
        <v>42496</v>
      </c>
      <c r="J2172" t="s">
        <v>1443</v>
      </c>
      <c r="K2172" s="120">
        <v>4</v>
      </c>
    </row>
    <row r="2173" spans="2:11" hidden="1" x14ac:dyDescent="0.25">
      <c r="B2173" s="28" t="str">
        <f>IF(ISNUMBER(MATCH(C2173, Mgt_Unit!$C$5:$C$1018, 0)), INDEX(Mgt_Unit!$B$5:$B$1018, MATCH(C2173, Mgt_Unit!$C$5:$C$1018, 0)), "")</f>
        <v>jennifer.moore</v>
      </c>
      <c r="C2173" t="s">
        <v>920</v>
      </c>
      <c r="E2173" s="17" t="s">
        <v>1583</v>
      </c>
      <c r="F2173" s="89">
        <v>43023</v>
      </c>
      <c r="J2173" t="s">
        <v>1479</v>
      </c>
      <c r="K2173" s="120">
        <v>65</v>
      </c>
    </row>
    <row r="2174" spans="2:11" hidden="1" x14ac:dyDescent="0.25">
      <c r="B2174" s="28" t="str">
        <f>IF(ISNUMBER(MATCH(C2174, Mgt_Unit!$C$5:$C$1018, 0)), INDEX(Mgt_Unit!$B$5:$B$1018, MATCH(C2174, Mgt_Unit!$C$5:$C$1018, 0)), "")</f>
        <v>jennifer.moore</v>
      </c>
      <c r="C2174" t="s">
        <v>920</v>
      </c>
      <c r="E2174" s="17" t="s">
        <v>1583</v>
      </c>
      <c r="F2174" s="89">
        <v>43205</v>
      </c>
      <c r="J2174" t="s">
        <v>1463</v>
      </c>
      <c r="K2174" s="120">
        <v>37</v>
      </c>
    </row>
    <row r="2175" spans="2:11" hidden="1" x14ac:dyDescent="0.25">
      <c r="B2175" s="28" t="str">
        <f>IF(ISNUMBER(MATCH(C2175, Mgt_Unit!$C$5:$C$1018, 0)), INDEX(Mgt_Unit!$B$5:$B$1018, MATCH(C2175, Mgt_Unit!$C$5:$C$1018, 0)), "")</f>
        <v>jennifer.moore</v>
      </c>
      <c r="C2175" t="s">
        <v>920</v>
      </c>
      <c r="E2175" s="17" t="s">
        <v>1583</v>
      </c>
      <c r="F2175" s="89">
        <v>43205</v>
      </c>
      <c r="J2175" t="s">
        <v>1480</v>
      </c>
      <c r="K2175" s="120">
        <v>30</v>
      </c>
    </row>
    <row r="2176" spans="2:11" hidden="1" x14ac:dyDescent="0.25">
      <c r="B2176" s="28" t="str">
        <f>IF(ISNUMBER(MATCH(C2176, Mgt_Unit!$C$5:$C$1018, 0)), INDEX(Mgt_Unit!$B$5:$B$1018, MATCH(C2176, Mgt_Unit!$C$5:$C$1018, 0)), "")</f>
        <v>jennifer.moore</v>
      </c>
      <c r="C2176" t="s">
        <v>920</v>
      </c>
      <c r="E2176" s="17" t="s">
        <v>1583</v>
      </c>
      <c r="F2176" s="89">
        <v>43388</v>
      </c>
      <c r="J2176" t="s">
        <v>1479</v>
      </c>
      <c r="K2176" s="120">
        <v>65</v>
      </c>
    </row>
    <row r="2177" spans="2:11" hidden="1" x14ac:dyDescent="0.25">
      <c r="B2177" s="28" t="str">
        <f>IF(ISNUMBER(MATCH(C2177, Mgt_Unit!$C$5:$C$1018, 0)), INDEX(Mgt_Unit!$B$5:$B$1018, MATCH(C2177, Mgt_Unit!$C$5:$C$1018, 0)), "")</f>
        <v>jennifer.moore</v>
      </c>
      <c r="C2177" t="s">
        <v>920</v>
      </c>
      <c r="E2177" s="17" t="s">
        <v>1583</v>
      </c>
      <c r="F2177" s="89">
        <v>43586</v>
      </c>
      <c r="J2177" t="s">
        <v>1463</v>
      </c>
      <c r="K2177" s="120">
        <v>37</v>
      </c>
    </row>
    <row r="2178" spans="2:11" hidden="1" x14ac:dyDescent="0.25">
      <c r="B2178" s="28" t="str">
        <f>IF(ISNUMBER(MATCH(C2178, Mgt_Unit!$C$5:$C$1018, 0)), INDEX(Mgt_Unit!$B$5:$B$1018, MATCH(C2178, Mgt_Unit!$C$5:$C$1018, 0)), "")</f>
        <v>jennifer.moore</v>
      </c>
      <c r="C2178" t="s">
        <v>920</v>
      </c>
      <c r="E2178" s="17" t="s">
        <v>1583</v>
      </c>
      <c r="F2178" s="89">
        <v>43586</v>
      </c>
      <c r="J2178" t="s">
        <v>1480</v>
      </c>
      <c r="K2178" s="120">
        <v>30</v>
      </c>
    </row>
    <row r="2179" spans="2:11" hidden="1" x14ac:dyDescent="0.25">
      <c r="B2179" s="28" t="str">
        <f>IF(ISNUMBER(MATCH(C2179, Mgt_Unit!$C$5:$C$1018, 0)), INDEX(Mgt_Unit!$B$5:$B$1018, MATCH(C2179, Mgt_Unit!$C$5:$C$1018, 0)), "")</f>
        <v>jennifer.moore</v>
      </c>
      <c r="C2179" t="s">
        <v>920</v>
      </c>
      <c r="E2179" s="17" t="s">
        <v>1583</v>
      </c>
      <c r="F2179" s="89">
        <v>43744</v>
      </c>
      <c r="J2179" t="s">
        <v>1479</v>
      </c>
      <c r="K2179" s="120">
        <v>65</v>
      </c>
    </row>
    <row r="2180" spans="2:11" hidden="1" x14ac:dyDescent="0.25">
      <c r="B2180" s="28" t="str">
        <f>IF(ISNUMBER(MATCH(C2180, Mgt_Unit!$C$5:$C$1018, 0)), INDEX(Mgt_Unit!$B$5:$B$1018, MATCH(C2180, Mgt_Unit!$C$5:$C$1018, 0)), "")</f>
        <v>jennifer.moore</v>
      </c>
      <c r="C2180" t="s">
        <v>920</v>
      </c>
      <c r="E2180" s="17" t="s">
        <v>1583</v>
      </c>
      <c r="F2180" s="89">
        <v>43744</v>
      </c>
      <c r="J2180" t="s">
        <v>1463</v>
      </c>
      <c r="K2180" s="120">
        <v>37</v>
      </c>
    </row>
    <row r="2181" spans="2:11" hidden="1" x14ac:dyDescent="0.25">
      <c r="B2181" s="28" t="str">
        <f>IF(ISNUMBER(MATCH(C2181, Mgt_Unit!$C$5:$C$1018, 0)), INDEX(Mgt_Unit!$B$5:$B$1018, MATCH(C2181, Mgt_Unit!$C$5:$C$1018, 0)), "")</f>
        <v>jennifer.moore</v>
      </c>
      <c r="C2181" t="s">
        <v>920</v>
      </c>
      <c r="E2181" s="17" t="s">
        <v>1583</v>
      </c>
      <c r="F2181" s="89">
        <v>43744</v>
      </c>
      <c r="J2181" t="s">
        <v>1480</v>
      </c>
      <c r="K2181" s="120">
        <v>30</v>
      </c>
    </row>
    <row r="2182" spans="2:11" hidden="1" x14ac:dyDescent="0.25">
      <c r="B2182" s="28" t="str">
        <f>IF(ISNUMBER(MATCH(C2182, Mgt_Unit!$C$5:$C$1018, 0)), INDEX(Mgt_Unit!$B$5:$B$1018, MATCH(C2182, Mgt_Unit!$C$5:$C$1018, 0)), "")</f>
        <v>jennifer.moore</v>
      </c>
      <c r="C2182" t="s">
        <v>921</v>
      </c>
      <c r="E2182" s="17" t="s">
        <v>1583</v>
      </c>
      <c r="F2182" s="89">
        <v>43023</v>
      </c>
      <c r="J2182" t="s">
        <v>1479</v>
      </c>
      <c r="K2182" s="120">
        <v>65</v>
      </c>
    </row>
    <row r="2183" spans="2:11" hidden="1" x14ac:dyDescent="0.25">
      <c r="B2183" s="28" t="str">
        <f>IF(ISNUMBER(MATCH(C2183, Mgt_Unit!$C$5:$C$1018, 0)), INDEX(Mgt_Unit!$B$5:$B$1018, MATCH(C2183, Mgt_Unit!$C$5:$C$1018, 0)), "")</f>
        <v>jennifer.moore</v>
      </c>
      <c r="C2183" t="s">
        <v>921</v>
      </c>
      <c r="E2183" s="17" t="s">
        <v>1583</v>
      </c>
      <c r="F2183" s="89">
        <v>43205</v>
      </c>
      <c r="J2183" t="s">
        <v>1463</v>
      </c>
      <c r="K2183" s="120">
        <v>37</v>
      </c>
    </row>
    <row r="2184" spans="2:11" hidden="1" x14ac:dyDescent="0.25">
      <c r="B2184" s="28" t="str">
        <f>IF(ISNUMBER(MATCH(C2184, Mgt_Unit!$C$5:$C$1018, 0)), INDEX(Mgt_Unit!$B$5:$B$1018, MATCH(C2184, Mgt_Unit!$C$5:$C$1018, 0)), "")</f>
        <v>jennifer.moore</v>
      </c>
      <c r="C2184" t="s">
        <v>921</v>
      </c>
      <c r="E2184" s="17" t="s">
        <v>1583</v>
      </c>
      <c r="F2184" s="89">
        <v>43205</v>
      </c>
      <c r="J2184" t="s">
        <v>1480</v>
      </c>
      <c r="K2184" s="120">
        <v>30</v>
      </c>
    </row>
    <row r="2185" spans="2:11" hidden="1" x14ac:dyDescent="0.25">
      <c r="B2185" s="28" t="str">
        <f>IF(ISNUMBER(MATCH(C2185, Mgt_Unit!$C$5:$C$1018, 0)), INDEX(Mgt_Unit!$B$5:$B$1018, MATCH(C2185, Mgt_Unit!$C$5:$C$1018, 0)), "")</f>
        <v>jennifer.moore</v>
      </c>
      <c r="C2185" t="s">
        <v>921</v>
      </c>
      <c r="E2185" s="17" t="s">
        <v>1583</v>
      </c>
      <c r="F2185" s="89">
        <v>43388</v>
      </c>
      <c r="J2185" t="s">
        <v>1479</v>
      </c>
      <c r="K2185" s="120">
        <v>65</v>
      </c>
    </row>
    <row r="2186" spans="2:11" hidden="1" x14ac:dyDescent="0.25">
      <c r="B2186" s="28" t="str">
        <f>IF(ISNUMBER(MATCH(C2186, Mgt_Unit!$C$5:$C$1018, 0)), INDEX(Mgt_Unit!$B$5:$B$1018, MATCH(C2186, Mgt_Unit!$C$5:$C$1018, 0)), "")</f>
        <v>jennifer.moore</v>
      </c>
      <c r="C2186" t="s">
        <v>921</v>
      </c>
      <c r="E2186" s="17" t="s">
        <v>1583</v>
      </c>
      <c r="F2186" s="89">
        <v>43586</v>
      </c>
      <c r="J2186" t="s">
        <v>1463</v>
      </c>
      <c r="K2186" s="120">
        <v>37</v>
      </c>
    </row>
    <row r="2187" spans="2:11" hidden="1" x14ac:dyDescent="0.25">
      <c r="B2187" s="28" t="str">
        <f>IF(ISNUMBER(MATCH(C2187, Mgt_Unit!$C$5:$C$1018, 0)), INDEX(Mgt_Unit!$B$5:$B$1018, MATCH(C2187, Mgt_Unit!$C$5:$C$1018, 0)), "")</f>
        <v>jennifer.moore</v>
      </c>
      <c r="C2187" t="s">
        <v>921</v>
      </c>
      <c r="E2187" s="17" t="s">
        <v>1583</v>
      </c>
      <c r="F2187" s="89">
        <v>43586</v>
      </c>
      <c r="J2187" t="s">
        <v>1480</v>
      </c>
      <c r="K2187" s="120">
        <v>30</v>
      </c>
    </row>
    <row r="2188" spans="2:11" hidden="1" x14ac:dyDescent="0.25">
      <c r="B2188" s="28" t="str">
        <f>IF(ISNUMBER(MATCH(C2188, Mgt_Unit!$C$5:$C$1018, 0)), INDEX(Mgt_Unit!$B$5:$B$1018, MATCH(C2188, Mgt_Unit!$C$5:$C$1018, 0)), "")</f>
        <v>jennifer.moore</v>
      </c>
      <c r="C2188" t="s">
        <v>921</v>
      </c>
      <c r="E2188" s="17" t="s">
        <v>1583</v>
      </c>
      <c r="F2188" s="89">
        <v>43744</v>
      </c>
      <c r="J2188" t="s">
        <v>1479</v>
      </c>
      <c r="K2188" s="120">
        <v>65</v>
      </c>
    </row>
    <row r="2189" spans="2:11" hidden="1" x14ac:dyDescent="0.25">
      <c r="B2189" s="28" t="str">
        <f>IF(ISNUMBER(MATCH(C2189, Mgt_Unit!$C$5:$C$1018, 0)), INDEX(Mgt_Unit!$B$5:$B$1018, MATCH(C2189, Mgt_Unit!$C$5:$C$1018, 0)), "")</f>
        <v>jennifer.moore</v>
      </c>
      <c r="C2189" t="s">
        <v>921</v>
      </c>
      <c r="E2189" s="17" t="s">
        <v>1583</v>
      </c>
      <c r="F2189" s="89">
        <v>43744</v>
      </c>
      <c r="J2189" t="s">
        <v>1463</v>
      </c>
      <c r="K2189" s="120">
        <v>37</v>
      </c>
    </row>
    <row r="2190" spans="2:11" hidden="1" x14ac:dyDescent="0.25">
      <c r="B2190" s="28" t="str">
        <f>IF(ISNUMBER(MATCH(C2190, Mgt_Unit!$C$5:$C$1018, 0)), INDEX(Mgt_Unit!$B$5:$B$1018, MATCH(C2190, Mgt_Unit!$C$5:$C$1018, 0)), "")</f>
        <v>jennifer.moore</v>
      </c>
      <c r="C2190" t="s">
        <v>921</v>
      </c>
      <c r="E2190" s="17" t="s">
        <v>1583</v>
      </c>
      <c r="F2190" s="89">
        <v>43744</v>
      </c>
      <c r="J2190" t="s">
        <v>1480</v>
      </c>
      <c r="K2190" s="120">
        <v>30</v>
      </c>
    </row>
    <row r="2191" spans="2:11" hidden="1" x14ac:dyDescent="0.25">
      <c r="B2191" s="28" t="str">
        <f>IF(ISNUMBER(MATCH(C2191, Mgt_Unit!$C$5:$C$1018, 0)), INDEX(Mgt_Unit!$B$5:$B$1018, MATCH(C2191, Mgt_Unit!$C$5:$C$1018, 0)), "")</f>
        <v>jennifer.moore</v>
      </c>
      <c r="C2191" t="s">
        <v>922</v>
      </c>
      <c r="E2191" s="17" t="s">
        <v>1583</v>
      </c>
      <c r="F2191" s="89">
        <v>43023</v>
      </c>
      <c r="J2191" t="s">
        <v>1479</v>
      </c>
      <c r="K2191" s="120">
        <v>65</v>
      </c>
    </row>
    <row r="2192" spans="2:11" hidden="1" x14ac:dyDescent="0.25">
      <c r="B2192" s="28" t="str">
        <f>IF(ISNUMBER(MATCH(C2192, Mgt_Unit!$C$5:$C$1018, 0)), INDEX(Mgt_Unit!$B$5:$B$1018, MATCH(C2192, Mgt_Unit!$C$5:$C$1018, 0)), "")</f>
        <v>jennifer.moore</v>
      </c>
      <c r="C2192" t="s">
        <v>922</v>
      </c>
      <c r="E2192" s="17" t="s">
        <v>1583</v>
      </c>
      <c r="F2192" s="89">
        <v>43205</v>
      </c>
      <c r="J2192" t="s">
        <v>1463</v>
      </c>
      <c r="K2192" s="120">
        <v>37</v>
      </c>
    </row>
    <row r="2193" spans="2:11" hidden="1" x14ac:dyDescent="0.25">
      <c r="B2193" s="28" t="str">
        <f>IF(ISNUMBER(MATCH(C2193, Mgt_Unit!$C$5:$C$1018, 0)), INDEX(Mgt_Unit!$B$5:$B$1018, MATCH(C2193, Mgt_Unit!$C$5:$C$1018, 0)), "")</f>
        <v>jennifer.moore</v>
      </c>
      <c r="C2193" t="s">
        <v>922</v>
      </c>
      <c r="E2193" s="17" t="s">
        <v>1583</v>
      </c>
      <c r="F2193" s="89">
        <v>43205</v>
      </c>
      <c r="J2193" t="s">
        <v>1480</v>
      </c>
      <c r="K2193" s="120">
        <v>30</v>
      </c>
    </row>
    <row r="2194" spans="2:11" hidden="1" x14ac:dyDescent="0.25">
      <c r="B2194" s="28" t="str">
        <f>IF(ISNUMBER(MATCH(C2194, Mgt_Unit!$C$5:$C$1018, 0)), INDEX(Mgt_Unit!$B$5:$B$1018, MATCH(C2194, Mgt_Unit!$C$5:$C$1018, 0)), "")</f>
        <v>jennifer.moore</v>
      </c>
      <c r="C2194" t="s">
        <v>922</v>
      </c>
      <c r="E2194" s="17" t="s">
        <v>1583</v>
      </c>
      <c r="F2194" s="89">
        <v>43388</v>
      </c>
      <c r="J2194" t="s">
        <v>1479</v>
      </c>
      <c r="K2194" s="120">
        <v>65</v>
      </c>
    </row>
    <row r="2195" spans="2:11" hidden="1" x14ac:dyDescent="0.25">
      <c r="B2195" s="28" t="str">
        <f>IF(ISNUMBER(MATCH(C2195, Mgt_Unit!$C$5:$C$1018, 0)), INDEX(Mgt_Unit!$B$5:$B$1018, MATCH(C2195, Mgt_Unit!$C$5:$C$1018, 0)), "")</f>
        <v>jennifer.moore</v>
      </c>
      <c r="C2195" t="s">
        <v>922</v>
      </c>
      <c r="E2195" s="17" t="s">
        <v>1583</v>
      </c>
      <c r="F2195" s="89">
        <v>43586</v>
      </c>
      <c r="J2195" t="s">
        <v>1463</v>
      </c>
      <c r="K2195" s="120">
        <v>37</v>
      </c>
    </row>
    <row r="2196" spans="2:11" hidden="1" x14ac:dyDescent="0.25">
      <c r="B2196" s="28" t="str">
        <f>IF(ISNUMBER(MATCH(C2196, Mgt_Unit!$C$5:$C$1018, 0)), INDEX(Mgt_Unit!$B$5:$B$1018, MATCH(C2196, Mgt_Unit!$C$5:$C$1018, 0)), "")</f>
        <v>jennifer.moore</v>
      </c>
      <c r="C2196" t="s">
        <v>922</v>
      </c>
      <c r="E2196" s="17" t="s">
        <v>1583</v>
      </c>
      <c r="F2196" s="89">
        <v>43586</v>
      </c>
      <c r="J2196" t="s">
        <v>1480</v>
      </c>
      <c r="K2196" s="120">
        <v>30</v>
      </c>
    </row>
    <row r="2197" spans="2:11" hidden="1" x14ac:dyDescent="0.25">
      <c r="B2197" s="28" t="str">
        <f>IF(ISNUMBER(MATCH(C2197, Mgt_Unit!$C$5:$C$1018, 0)), INDEX(Mgt_Unit!$B$5:$B$1018, MATCH(C2197, Mgt_Unit!$C$5:$C$1018, 0)), "")</f>
        <v>jennifer.moore</v>
      </c>
      <c r="C2197" t="s">
        <v>922</v>
      </c>
      <c r="E2197" s="17" t="s">
        <v>1583</v>
      </c>
      <c r="F2197" s="89">
        <v>43744</v>
      </c>
      <c r="J2197" t="s">
        <v>1479</v>
      </c>
      <c r="K2197" s="120">
        <v>65</v>
      </c>
    </row>
    <row r="2198" spans="2:11" hidden="1" x14ac:dyDescent="0.25">
      <c r="B2198" s="28" t="str">
        <f>IF(ISNUMBER(MATCH(C2198, Mgt_Unit!$C$5:$C$1018, 0)), INDEX(Mgt_Unit!$B$5:$B$1018, MATCH(C2198, Mgt_Unit!$C$5:$C$1018, 0)), "")</f>
        <v>jennifer.moore</v>
      </c>
      <c r="C2198" t="s">
        <v>922</v>
      </c>
      <c r="E2198" s="17" t="s">
        <v>1583</v>
      </c>
      <c r="F2198" s="89">
        <v>43744</v>
      </c>
      <c r="J2198" t="s">
        <v>1463</v>
      </c>
      <c r="K2198" s="120">
        <v>37</v>
      </c>
    </row>
    <row r="2199" spans="2:11" hidden="1" x14ac:dyDescent="0.25">
      <c r="B2199" s="28" t="str">
        <f>IF(ISNUMBER(MATCH(C2199, Mgt_Unit!$C$5:$C$1018, 0)), INDEX(Mgt_Unit!$B$5:$B$1018, MATCH(C2199, Mgt_Unit!$C$5:$C$1018, 0)), "")</f>
        <v>jennifer.moore</v>
      </c>
      <c r="C2199" t="s">
        <v>922</v>
      </c>
      <c r="E2199" s="17" t="s">
        <v>1583</v>
      </c>
      <c r="F2199" s="89">
        <v>43744</v>
      </c>
      <c r="J2199" t="s">
        <v>1480</v>
      </c>
      <c r="K2199" s="120">
        <v>30</v>
      </c>
    </row>
    <row r="2200" spans="2:11" hidden="1" x14ac:dyDescent="0.25">
      <c r="B2200" s="28" t="str">
        <f>IF(ISNUMBER(MATCH(C2200, Mgt_Unit!$C$5:$C$1018, 0)), INDEX(Mgt_Unit!$B$5:$B$1018, MATCH(C2200, Mgt_Unit!$C$5:$C$1018, 0)), "")</f>
        <v>jennifer.moore</v>
      </c>
      <c r="C2200" t="s">
        <v>923</v>
      </c>
      <c r="E2200" s="17" t="s">
        <v>1583</v>
      </c>
      <c r="F2200" s="89">
        <v>43023</v>
      </c>
      <c r="J2200" t="s">
        <v>1479</v>
      </c>
      <c r="K2200" s="120">
        <v>65</v>
      </c>
    </row>
    <row r="2201" spans="2:11" hidden="1" x14ac:dyDescent="0.25">
      <c r="B2201" s="28" t="str">
        <f>IF(ISNUMBER(MATCH(C2201, Mgt_Unit!$C$5:$C$1018, 0)), INDEX(Mgt_Unit!$B$5:$B$1018, MATCH(C2201, Mgt_Unit!$C$5:$C$1018, 0)), "")</f>
        <v>jennifer.moore</v>
      </c>
      <c r="C2201" t="s">
        <v>923</v>
      </c>
      <c r="E2201" s="17" t="s">
        <v>1583</v>
      </c>
      <c r="F2201" s="89">
        <v>43205</v>
      </c>
      <c r="J2201" t="s">
        <v>1463</v>
      </c>
      <c r="K2201" s="120">
        <v>37</v>
      </c>
    </row>
    <row r="2202" spans="2:11" hidden="1" x14ac:dyDescent="0.25">
      <c r="B2202" s="28" t="str">
        <f>IF(ISNUMBER(MATCH(C2202, Mgt_Unit!$C$5:$C$1018, 0)), INDEX(Mgt_Unit!$B$5:$B$1018, MATCH(C2202, Mgt_Unit!$C$5:$C$1018, 0)), "")</f>
        <v>jennifer.moore</v>
      </c>
      <c r="C2202" t="s">
        <v>923</v>
      </c>
      <c r="E2202" s="17" t="s">
        <v>1583</v>
      </c>
      <c r="F2202" s="89">
        <v>43205</v>
      </c>
      <c r="J2202" t="s">
        <v>1480</v>
      </c>
      <c r="K2202" s="120">
        <v>30</v>
      </c>
    </row>
    <row r="2203" spans="2:11" hidden="1" x14ac:dyDescent="0.25">
      <c r="B2203" s="28" t="str">
        <f>IF(ISNUMBER(MATCH(C2203, Mgt_Unit!$C$5:$C$1018, 0)), INDEX(Mgt_Unit!$B$5:$B$1018, MATCH(C2203, Mgt_Unit!$C$5:$C$1018, 0)), "")</f>
        <v>jennifer.moore</v>
      </c>
      <c r="C2203" t="s">
        <v>923</v>
      </c>
      <c r="E2203" s="17" t="s">
        <v>1583</v>
      </c>
      <c r="F2203" s="89">
        <v>43388</v>
      </c>
      <c r="J2203" t="s">
        <v>1479</v>
      </c>
      <c r="K2203" s="120">
        <v>65</v>
      </c>
    </row>
    <row r="2204" spans="2:11" hidden="1" x14ac:dyDescent="0.25">
      <c r="B2204" s="28" t="str">
        <f>IF(ISNUMBER(MATCH(C2204, Mgt_Unit!$C$5:$C$1018, 0)), INDEX(Mgt_Unit!$B$5:$B$1018, MATCH(C2204, Mgt_Unit!$C$5:$C$1018, 0)), "")</f>
        <v>jennifer.moore</v>
      </c>
      <c r="C2204" t="s">
        <v>923</v>
      </c>
      <c r="E2204" s="17" t="s">
        <v>1583</v>
      </c>
      <c r="F2204" s="89">
        <v>43586</v>
      </c>
      <c r="J2204" t="s">
        <v>1463</v>
      </c>
      <c r="K2204" s="120">
        <v>37</v>
      </c>
    </row>
    <row r="2205" spans="2:11" hidden="1" x14ac:dyDescent="0.25">
      <c r="B2205" s="28" t="str">
        <f>IF(ISNUMBER(MATCH(C2205, Mgt_Unit!$C$5:$C$1018, 0)), INDEX(Mgt_Unit!$B$5:$B$1018, MATCH(C2205, Mgt_Unit!$C$5:$C$1018, 0)), "")</f>
        <v>jennifer.moore</v>
      </c>
      <c r="C2205" t="s">
        <v>923</v>
      </c>
      <c r="E2205" s="17" t="s">
        <v>1583</v>
      </c>
      <c r="F2205" s="89">
        <v>43586</v>
      </c>
      <c r="J2205" t="s">
        <v>1480</v>
      </c>
      <c r="K2205" s="120">
        <v>30</v>
      </c>
    </row>
    <row r="2206" spans="2:11" hidden="1" x14ac:dyDescent="0.25">
      <c r="B2206" s="28" t="str">
        <f>IF(ISNUMBER(MATCH(C2206, Mgt_Unit!$C$5:$C$1018, 0)), INDEX(Mgt_Unit!$B$5:$B$1018, MATCH(C2206, Mgt_Unit!$C$5:$C$1018, 0)), "")</f>
        <v>jennifer.moore</v>
      </c>
      <c r="C2206" t="s">
        <v>923</v>
      </c>
      <c r="E2206" s="17" t="s">
        <v>1583</v>
      </c>
      <c r="F2206" s="89">
        <v>43744</v>
      </c>
      <c r="J2206" t="s">
        <v>1479</v>
      </c>
      <c r="K2206" s="120">
        <v>65</v>
      </c>
    </row>
    <row r="2207" spans="2:11" hidden="1" x14ac:dyDescent="0.25">
      <c r="B2207" s="28" t="str">
        <f>IF(ISNUMBER(MATCH(C2207, Mgt_Unit!$C$5:$C$1018, 0)), INDEX(Mgt_Unit!$B$5:$B$1018, MATCH(C2207, Mgt_Unit!$C$5:$C$1018, 0)), "")</f>
        <v>jennifer.moore</v>
      </c>
      <c r="C2207" t="s">
        <v>923</v>
      </c>
      <c r="E2207" s="17" t="s">
        <v>1583</v>
      </c>
      <c r="F2207" s="89">
        <v>43744</v>
      </c>
      <c r="J2207" t="s">
        <v>1463</v>
      </c>
      <c r="K2207" s="120">
        <v>37</v>
      </c>
    </row>
    <row r="2208" spans="2:11" hidden="1" x14ac:dyDescent="0.25">
      <c r="B2208" s="28" t="str">
        <f>IF(ISNUMBER(MATCH(C2208, Mgt_Unit!$C$5:$C$1018, 0)), INDEX(Mgt_Unit!$B$5:$B$1018, MATCH(C2208, Mgt_Unit!$C$5:$C$1018, 0)), "")</f>
        <v>jennifer.moore</v>
      </c>
      <c r="C2208" t="s">
        <v>923</v>
      </c>
      <c r="E2208" s="17" t="s">
        <v>1583</v>
      </c>
      <c r="F2208" s="89">
        <v>43744</v>
      </c>
      <c r="J2208" t="s">
        <v>1480</v>
      </c>
      <c r="K2208" s="120">
        <v>30</v>
      </c>
    </row>
    <row r="2209" spans="2:11" hidden="1" x14ac:dyDescent="0.25">
      <c r="B2209" s="28" t="str">
        <f>IF(ISNUMBER(MATCH(C2209, Mgt_Unit!$C$5:$C$1018, 0)), INDEX(Mgt_Unit!$B$5:$B$1018, MATCH(C2209, Mgt_Unit!$C$5:$C$1018, 0)), "")</f>
        <v>jennifer.moore</v>
      </c>
      <c r="C2209" t="s">
        <v>924</v>
      </c>
      <c r="E2209" s="17" t="s">
        <v>1583</v>
      </c>
      <c r="F2209" s="89">
        <v>43023</v>
      </c>
      <c r="J2209" t="s">
        <v>1479</v>
      </c>
      <c r="K2209" s="120">
        <v>65</v>
      </c>
    </row>
    <row r="2210" spans="2:11" hidden="1" x14ac:dyDescent="0.25">
      <c r="B2210" s="28" t="str">
        <f>IF(ISNUMBER(MATCH(C2210, Mgt_Unit!$C$5:$C$1018, 0)), INDEX(Mgt_Unit!$B$5:$B$1018, MATCH(C2210, Mgt_Unit!$C$5:$C$1018, 0)), "")</f>
        <v>jennifer.moore</v>
      </c>
      <c r="C2210" t="s">
        <v>924</v>
      </c>
      <c r="E2210" s="17" t="s">
        <v>1583</v>
      </c>
      <c r="F2210" s="89">
        <v>43205</v>
      </c>
      <c r="J2210" t="s">
        <v>1463</v>
      </c>
      <c r="K2210" s="120">
        <v>37</v>
      </c>
    </row>
    <row r="2211" spans="2:11" hidden="1" x14ac:dyDescent="0.25">
      <c r="B2211" s="28" t="str">
        <f>IF(ISNUMBER(MATCH(C2211, Mgt_Unit!$C$5:$C$1018, 0)), INDEX(Mgt_Unit!$B$5:$B$1018, MATCH(C2211, Mgt_Unit!$C$5:$C$1018, 0)), "")</f>
        <v>jennifer.moore</v>
      </c>
      <c r="C2211" t="s">
        <v>924</v>
      </c>
      <c r="E2211" s="17" t="s">
        <v>1583</v>
      </c>
      <c r="F2211" s="89">
        <v>43205</v>
      </c>
      <c r="J2211" t="s">
        <v>1480</v>
      </c>
      <c r="K2211" s="120">
        <v>30</v>
      </c>
    </row>
    <row r="2212" spans="2:11" hidden="1" x14ac:dyDescent="0.25">
      <c r="B2212" s="28" t="str">
        <f>IF(ISNUMBER(MATCH(C2212, Mgt_Unit!$C$5:$C$1018, 0)), INDEX(Mgt_Unit!$B$5:$B$1018, MATCH(C2212, Mgt_Unit!$C$5:$C$1018, 0)), "")</f>
        <v>jennifer.moore</v>
      </c>
      <c r="C2212" t="s">
        <v>924</v>
      </c>
      <c r="E2212" s="17" t="s">
        <v>1583</v>
      </c>
      <c r="F2212" s="89">
        <v>43374</v>
      </c>
      <c r="J2212" t="s">
        <v>1479</v>
      </c>
      <c r="K2212" s="120">
        <v>65</v>
      </c>
    </row>
    <row r="2213" spans="2:11" hidden="1" x14ac:dyDescent="0.25">
      <c r="B2213" s="28" t="str">
        <f>IF(ISNUMBER(MATCH(C2213, Mgt_Unit!$C$5:$C$1018, 0)), INDEX(Mgt_Unit!$B$5:$B$1018, MATCH(C2213, Mgt_Unit!$C$5:$C$1018, 0)), "")</f>
        <v>jennifer.moore</v>
      </c>
      <c r="C2213" t="s">
        <v>924</v>
      </c>
      <c r="E2213" s="17" t="s">
        <v>1583</v>
      </c>
      <c r="F2213" s="89">
        <v>43374</v>
      </c>
      <c r="J2213" t="s">
        <v>1463</v>
      </c>
      <c r="K2213" s="120">
        <v>37</v>
      </c>
    </row>
    <row r="2214" spans="2:11" hidden="1" x14ac:dyDescent="0.25">
      <c r="B2214" s="28" t="str">
        <f>IF(ISNUMBER(MATCH(C2214, Mgt_Unit!$C$5:$C$1018, 0)), INDEX(Mgt_Unit!$B$5:$B$1018, MATCH(C2214, Mgt_Unit!$C$5:$C$1018, 0)), "")</f>
        <v>jennifer.moore</v>
      </c>
      <c r="C2214" t="s">
        <v>924</v>
      </c>
      <c r="E2214" s="17" t="s">
        <v>1583</v>
      </c>
      <c r="F2214" s="89">
        <v>43374</v>
      </c>
      <c r="J2214" t="s">
        <v>1480</v>
      </c>
      <c r="K2214" s="120">
        <v>30</v>
      </c>
    </row>
    <row r="2215" spans="2:11" hidden="1" x14ac:dyDescent="0.25">
      <c r="B2215" s="28" t="str">
        <f>IF(ISNUMBER(MATCH(C2215, Mgt_Unit!$C$5:$C$1018, 0)), INDEX(Mgt_Unit!$B$5:$B$1018, MATCH(C2215, Mgt_Unit!$C$5:$C$1018, 0)), "")</f>
        <v>jennifer.moore</v>
      </c>
      <c r="C2215" t="s">
        <v>925</v>
      </c>
      <c r="E2215" s="17" t="s">
        <v>1583</v>
      </c>
      <c r="F2215" s="89">
        <v>43023</v>
      </c>
      <c r="J2215" t="s">
        <v>1479</v>
      </c>
      <c r="K2215" s="120">
        <v>65</v>
      </c>
    </row>
    <row r="2216" spans="2:11" hidden="1" x14ac:dyDescent="0.25">
      <c r="B2216" s="28" t="str">
        <f>IF(ISNUMBER(MATCH(C2216, Mgt_Unit!$C$5:$C$1018, 0)), INDEX(Mgt_Unit!$B$5:$B$1018, MATCH(C2216, Mgt_Unit!$C$5:$C$1018, 0)), "")</f>
        <v>jennifer.moore</v>
      </c>
      <c r="C2216" t="s">
        <v>925</v>
      </c>
      <c r="E2216" s="17" t="s">
        <v>1583</v>
      </c>
      <c r="F2216" s="89">
        <v>43205</v>
      </c>
      <c r="J2216" t="s">
        <v>1463</v>
      </c>
      <c r="K2216" s="120">
        <v>37</v>
      </c>
    </row>
    <row r="2217" spans="2:11" hidden="1" x14ac:dyDescent="0.25">
      <c r="B2217" s="28" t="str">
        <f>IF(ISNUMBER(MATCH(C2217, Mgt_Unit!$C$5:$C$1018, 0)), INDEX(Mgt_Unit!$B$5:$B$1018, MATCH(C2217, Mgt_Unit!$C$5:$C$1018, 0)), "")</f>
        <v>jennifer.moore</v>
      </c>
      <c r="C2217" t="s">
        <v>925</v>
      </c>
      <c r="E2217" s="17" t="s">
        <v>1583</v>
      </c>
      <c r="F2217" s="89">
        <v>43205</v>
      </c>
      <c r="J2217" t="s">
        <v>1480</v>
      </c>
      <c r="K2217" s="120">
        <v>30</v>
      </c>
    </row>
    <row r="2218" spans="2:11" hidden="1" x14ac:dyDescent="0.25">
      <c r="B2218" s="28" t="str">
        <f>IF(ISNUMBER(MATCH(C2218, Mgt_Unit!$C$5:$C$1018, 0)), INDEX(Mgt_Unit!$B$5:$B$1018, MATCH(C2218, Mgt_Unit!$C$5:$C$1018, 0)), "")</f>
        <v>jennifer.moore</v>
      </c>
      <c r="C2218" t="s">
        <v>925</v>
      </c>
      <c r="E2218" s="17" t="s">
        <v>1583</v>
      </c>
      <c r="F2218" s="89">
        <v>43374</v>
      </c>
      <c r="J2218" t="s">
        <v>1479</v>
      </c>
      <c r="K2218" s="120">
        <v>65</v>
      </c>
    </row>
    <row r="2219" spans="2:11" hidden="1" x14ac:dyDescent="0.25">
      <c r="B2219" s="28" t="str">
        <f>IF(ISNUMBER(MATCH(C2219, Mgt_Unit!$C$5:$C$1018, 0)), INDEX(Mgt_Unit!$B$5:$B$1018, MATCH(C2219, Mgt_Unit!$C$5:$C$1018, 0)), "")</f>
        <v>jennifer.moore</v>
      </c>
      <c r="C2219" t="s">
        <v>925</v>
      </c>
      <c r="E2219" s="17" t="s">
        <v>1583</v>
      </c>
      <c r="F2219" s="89">
        <v>43374</v>
      </c>
      <c r="J2219" t="s">
        <v>1463</v>
      </c>
      <c r="K2219" s="120">
        <v>37</v>
      </c>
    </row>
    <row r="2220" spans="2:11" hidden="1" x14ac:dyDescent="0.25">
      <c r="B2220" s="28" t="str">
        <f>IF(ISNUMBER(MATCH(C2220, Mgt_Unit!$C$5:$C$1018, 0)), INDEX(Mgt_Unit!$B$5:$B$1018, MATCH(C2220, Mgt_Unit!$C$5:$C$1018, 0)), "")</f>
        <v>jennifer.moore</v>
      </c>
      <c r="C2220" t="s">
        <v>925</v>
      </c>
      <c r="E2220" s="17" t="s">
        <v>1583</v>
      </c>
      <c r="F2220" s="89">
        <v>43374</v>
      </c>
      <c r="J2220" t="s">
        <v>1480</v>
      </c>
      <c r="K2220" s="120">
        <v>30</v>
      </c>
    </row>
    <row r="2221" spans="2:11" hidden="1" x14ac:dyDescent="0.25">
      <c r="B2221" s="28" t="str">
        <f>IF(ISNUMBER(MATCH(C2221, Mgt_Unit!$C$5:$C$1018, 0)), INDEX(Mgt_Unit!$B$5:$B$1018, MATCH(C2221, Mgt_Unit!$C$5:$C$1018, 0)), "")</f>
        <v>jennifer.moore</v>
      </c>
      <c r="C2221" t="s">
        <v>926</v>
      </c>
      <c r="E2221" s="17" t="s">
        <v>1583</v>
      </c>
      <c r="F2221" s="89">
        <v>43023</v>
      </c>
      <c r="J2221" t="s">
        <v>1479</v>
      </c>
      <c r="K2221" s="120">
        <v>65</v>
      </c>
    </row>
    <row r="2222" spans="2:11" hidden="1" x14ac:dyDescent="0.25">
      <c r="B2222" s="28" t="str">
        <f>IF(ISNUMBER(MATCH(C2222, Mgt_Unit!$C$5:$C$1018, 0)), INDEX(Mgt_Unit!$B$5:$B$1018, MATCH(C2222, Mgt_Unit!$C$5:$C$1018, 0)), "")</f>
        <v>jennifer.moore</v>
      </c>
      <c r="C2222" t="s">
        <v>926</v>
      </c>
      <c r="E2222" s="17" t="s">
        <v>1583</v>
      </c>
      <c r="F2222" s="89">
        <v>43205</v>
      </c>
      <c r="J2222" t="s">
        <v>1463</v>
      </c>
      <c r="K2222" s="120">
        <v>37</v>
      </c>
    </row>
    <row r="2223" spans="2:11" hidden="1" x14ac:dyDescent="0.25">
      <c r="B2223" s="28" t="str">
        <f>IF(ISNUMBER(MATCH(C2223, Mgt_Unit!$C$5:$C$1018, 0)), INDEX(Mgt_Unit!$B$5:$B$1018, MATCH(C2223, Mgt_Unit!$C$5:$C$1018, 0)), "")</f>
        <v>jennifer.moore</v>
      </c>
      <c r="C2223" t="s">
        <v>926</v>
      </c>
      <c r="E2223" s="17" t="s">
        <v>1583</v>
      </c>
      <c r="F2223" s="89">
        <v>43205</v>
      </c>
      <c r="J2223" t="s">
        <v>1480</v>
      </c>
      <c r="K2223" s="120">
        <v>30</v>
      </c>
    </row>
    <row r="2224" spans="2:11" hidden="1" x14ac:dyDescent="0.25">
      <c r="B2224" s="28" t="str">
        <f>IF(ISNUMBER(MATCH(C2224, Mgt_Unit!$C$5:$C$1018, 0)), INDEX(Mgt_Unit!$B$5:$B$1018, MATCH(C2224, Mgt_Unit!$C$5:$C$1018, 0)), "")</f>
        <v>jennifer.moore</v>
      </c>
      <c r="C2224" t="s">
        <v>926</v>
      </c>
      <c r="E2224" s="17" t="s">
        <v>1583</v>
      </c>
      <c r="F2224" s="89">
        <v>43374</v>
      </c>
      <c r="J2224" t="s">
        <v>1479</v>
      </c>
      <c r="K2224" s="120">
        <v>65</v>
      </c>
    </row>
    <row r="2225" spans="2:11" hidden="1" x14ac:dyDescent="0.25">
      <c r="B2225" s="28" t="str">
        <f>IF(ISNUMBER(MATCH(C2225, Mgt_Unit!$C$5:$C$1018, 0)), INDEX(Mgt_Unit!$B$5:$B$1018, MATCH(C2225, Mgt_Unit!$C$5:$C$1018, 0)), "")</f>
        <v>jennifer.moore</v>
      </c>
      <c r="C2225" t="s">
        <v>926</v>
      </c>
      <c r="E2225" s="116" t="s">
        <v>1583</v>
      </c>
      <c r="F2225" s="89">
        <v>43374</v>
      </c>
      <c r="J2225" t="s">
        <v>1463</v>
      </c>
      <c r="K2225" s="120">
        <v>37</v>
      </c>
    </row>
    <row r="2226" spans="2:11" hidden="1" x14ac:dyDescent="0.25">
      <c r="B2226" s="28" t="str">
        <f>IF(ISNUMBER(MATCH(C2226, Mgt_Unit!$C$5:$C$1018, 0)), INDEX(Mgt_Unit!$B$5:$B$1018, MATCH(C2226, Mgt_Unit!$C$5:$C$1018, 0)), "")</f>
        <v>jennifer.moore</v>
      </c>
      <c r="C2226" t="s">
        <v>926</v>
      </c>
      <c r="E2226" s="116" t="s">
        <v>1583</v>
      </c>
      <c r="F2226" s="89">
        <v>43374</v>
      </c>
      <c r="J2226" t="s">
        <v>1480</v>
      </c>
      <c r="K2226" s="120">
        <v>30</v>
      </c>
    </row>
    <row r="2227" spans="2:11" hidden="1" x14ac:dyDescent="0.25">
      <c r="B2227" s="28" t="str">
        <f>IF(ISNUMBER(MATCH(C2227, Mgt_Unit!$C$5:$C$1018, 0)), INDEX(Mgt_Unit!$B$5:$B$1018, MATCH(C2227, Mgt_Unit!$C$5:$C$1018, 0)), "")</f>
        <v>jennifer.moore</v>
      </c>
      <c r="C2227" t="s">
        <v>927</v>
      </c>
      <c r="E2227" s="17" t="s">
        <v>1583</v>
      </c>
      <c r="F2227" s="89">
        <v>43205</v>
      </c>
      <c r="J2227" t="s">
        <v>1463</v>
      </c>
      <c r="K2227" s="120">
        <v>37</v>
      </c>
    </row>
    <row r="2228" spans="2:11" hidden="1" x14ac:dyDescent="0.25">
      <c r="B2228" s="28" t="str">
        <f>IF(ISNUMBER(MATCH(C2228, Mgt_Unit!$C$5:$C$1018, 0)), INDEX(Mgt_Unit!$B$5:$B$1018, MATCH(C2228, Mgt_Unit!$C$5:$C$1018, 0)), "")</f>
        <v>jennifer.moore</v>
      </c>
      <c r="C2228" t="s">
        <v>927</v>
      </c>
      <c r="E2228" s="17" t="s">
        <v>1583</v>
      </c>
      <c r="F2228" s="89">
        <v>43205</v>
      </c>
      <c r="J2228" t="s">
        <v>1480</v>
      </c>
      <c r="K2228" s="120">
        <v>30</v>
      </c>
    </row>
    <row r="2229" spans="2:11" hidden="1" x14ac:dyDescent="0.25">
      <c r="B2229" s="28" t="str">
        <f>IF(ISNUMBER(MATCH(C2229, Mgt_Unit!$C$5:$C$1018, 0)), INDEX(Mgt_Unit!$B$5:$B$1018, MATCH(C2229, Mgt_Unit!$C$5:$C$1018, 0)), "")</f>
        <v>jennifer.moore</v>
      </c>
      <c r="C2229" t="s">
        <v>927</v>
      </c>
      <c r="E2229" s="17" t="s">
        <v>1584</v>
      </c>
      <c r="F2229" s="89">
        <v>43220</v>
      </c>
      <c r="J2229" t="s">
        <v>1355</v>
      </c>
      <c r="K2229" s="120">
        <v>6.3</v>
      </c>
    </row>
    <row r="2230" spans="2:11" hidden="1" x14ac:dyDescent="0.25">
      <c r="B2230" s="28" t="str">
        <f>IF(ISNUMBER(MATCH(C2230, Mgt_Unit!$C$5:$C$1018, 0)), INDEX(Mgt_Unit!$B$5:$B$1018, MATCH(C2230, Mgt_Unit!$C$5:$C$1018, 0)), "")</f>
        <v>jennifer.moore</v>
      </c>
      <c r="C2230" t="s">
        <v>927</v>
      </c>
      <c r="E2230" s="17" t="s">
        <v>1583</v>
      </c>
      <c r="F2230" s="89">
        <v>43388</v>
      </c>
      <c r="J2230" t="s">
        <v>1479</v>
      </c>
      <c r="K2230" s="120">
        <v>65</v>
      </c>
    </row>
    <row r="2231" spans="2:11" hidden="1" x14ac:dyDescent="0.25">
      <c r="B2231" s="28" t="str">
        <f>IF(ISNUMBER(MATCH(C2231, Mgt_Unit!$C$5:$C$1018, 0)), INDEX(Mgt_Unit!$B$5:$B$1018, MATCH(C2231, Mgt_Unit!$C$5:$C$1018, 0)), "")</f>
        <v>jennifer.moore</v>
      </c>
      <c r="C2231" t="s">
        <v>928</v>
      </c>
      <c r="E2231" s="17" t="s">
        <v>1584</v>
      </c>
      <c r="F2231" s="89">
        <v>43220</v>
      </c>
      <c r="J2231" t="s">
        <v>1355</v>
      </c>
      <c r="K2231" s="120">
        <v>6.3</v>
      </c>
    </row>
    <row r="2232" spans="2:11" hidden="1" x14ac:dyDescent="0.25">
      <c r="B2232" s="28" t="str">
        <f>IF(ISNUMBER(MATCH(C2232, Mgt_Unit!$C$5:$C$1018, 0)), INDEX(Mgt_Unit!$B$5:$B$1018, MATCH(C2232, Mgt_Unit!$C$5:$C$1018, 0)), "")</f>
        <v>jennifer.moore</v>
      </c>
      <c r="C2232" t="s">
        <v>929</v>
      </c>
      <c r="E2232" s="17" t="s">
        <v>1583</v>
      </c>
      <c r="F2232" s="89">
        <v>43205</v>
      </c>
      <c r="J2232" t="s">
        <v>1463</v>
      </c>
      <c r="K2232" s="120">
        <v>37</v>
      </c>
    </row>
    <row r="2233" spans="2:11" hidden="1" x14ac:dyDescent="0.25">
      <c r="B2233" s="28" t="str">
        <f>IF(ISNUMBER(MATCH(C2233, Mgt_Unit!$C$5:$C$1018, 0)), INDEX(Mgt_Unit!$B$5:$B$1018, MATCH(C2233, Mgt_Unit!$C$5:$C$1018, 0)), "")</f>
        <v>jennifer.moore</v>
      </c>
      <c r="C2233" t="s">
        <v>929</v>
      </c>
      <c r="E2233" s="17" t="s">
        <v>1583</v>
      </c>
      <c r="F2233" s="89">
        <v>43205</v>
      </c>
      <c r="J2233" t="s">
        <v>1480</v>
      </c>
      <c r="K2233" s="120">
        <v>30</v>
      </c>
    </row>
    <row r="2234" spans="2:11" hidden="1" x14ac:dyDescent="0.25">
      <c r="B2234" s="28" t="str">
        <f>IF(ISNUMBER(MATCH(C2234, Mgt_Unit!$C$5:$C$1018, 0)), INDEX(Mgt_Unit!$B$5:$B$1018, MATCH(C2234, Mgt_Unit!$C$5:$C$1018, 0)), "")</f>
        <v>jennifer.moore</v>
      </c>
      <c r="C2234" t="s">
        <v>929</v>
      </c>
      <c r="E2234" s="17" t="s">
        <v>1584</v>
      </c>
      <c r="F2234" s="89">
        <v>43220</v>
      </c>
      <c r="J2234" t="s">
        <v>1355</v>
      </c>
      <c r="K2234" s="120">
        <v>6.3</v>
      </c>
    </row>
    <row r="2235" spans="2:11" hidden="1" x14ac:dyDescent="0.25">
      <c r="B2235" s="28" t="str">
        <f>IF(ISNUMBER(MATCH(C2235, Mgt_Unit!$C$5:$C$1018, 0)), INDEX(Mgt_Unit!$B$5:$B$1018, MATCH(C2235, Mgt_Unit!$C$5:$C$1018, 0)), "")</f>
        <v>jennifer.moore</v>
      </c>
      <c r="C2235" t="s">
        <v>929</v>
      </c>
      <c r="E2235" s="17" t="s">
        <v>1583</v>
      </c>
      <c r="F2235" s="89">
        <v>43388</v>
      </c>
      <c r="J2235" t="s">
        <v>1479</v>
      </c>
      <c r="K2235" s="120">
        <v>65</v>
      </c>
    </row>
    <row r="2236" spans="2:11" hidden="1" x14ac:dyDescent="0.25">
      <c r="B2236" s="28" t="str">
        <f>IF(ISNUMBER(MATCH(C2236, Mgt_Unit!$C$5:$C$1018, 0)), INDEX(Mgt_Unit!$B$5:$B$1018, MATCH(C2236, Mgt_Unit!$C$5:$C$1018, 0)), "")</f>
        <v>jennifer.moore</v>
      </c>
      <c r="C2236" t="s">
        <v>930</v>
      </c>
      <c r="E2236" s="17" t="s">
        <v>1583</v>
      </c>
      <c r="F2236" s="89">
        <v>43205</v>
      </c>
      <c r="J2236" t="s">
        <v>1463</v>
      </c>
      <c r="K2236" s="120">
        <v>37</v>
      </c>
    </row>
    <row r="2237" spans="2:11" hidden="1" x14ac:dyDescent="0.25">
      <c r="B2237" s="28" t="str">
        <f>IF(ISNUMBER(MATCH(C2237, Mgt_Unit!$C$5:$C$1018, 0)), INDEX(Mgt_Unit!$B$5:$B$1018, MATCH(C2237, Mgt_Unit!$C$5:$C$1018, 0)), "")</f>
        <v>jennifer.moore</v>
      </c>
      <c r="C2237" t="s">
        <v>930</v>
      </c>
      <c r="E2237" s="17" t="s">
        <v>1583</v>
      </c>
      <c r="F2237" s="89">
        <v>43205</v>
      </c>
      <c r="J2237" t="s">
        <v>1480</v>
      </c>
      <c r="K2237" s="120">
        <v>30</v>
      </c>
    </row>
    <row r="2238" spans="2:11" hidden="1" x14ac:dyDescent="0.25">
      <c r="B2238" s="28" t="str">
        <f>IF(ISNUMBER(MATCH(C2238, Mgt_Unit!$C$5:$C$1018, 0)), INDEX(Mgt_Unit!$B$5:$B$1018, MATCH(C2238, Mgt_Unit!$C$5:$C$1018, 0)), "")</f>
        <v>jennifer.moore</v>
      </c>
      <c r="C2238" t="s">
        <v>930</v>
      </c>
      <c r="E2238" s="17" t="s">
        <v>1584</v>
      </c>
      <c r="F2238" s="89">
        <v>43220</v>
      </c>
      <c r="J2238" t="s">
        <v>1355</v>
      </c>
      <c r="K2238" s="120">
        <v>6.3</v>
      </c>
    </row>
    <row r="2239" spans="2:11" hidden="1" x14ac:dyDescent="0.25">
      <c r="B2239" s="28" t="str">
        <f>IF(ISNUMBER(MATCH(C2239, Mgt_Unit!$C$5:$C$1018, 0)), INDEX(Mgt_Unit!$B$5:$B$1018, MATCH(C2239, Mgt_Unit!$C$5:$C$1018, 0)), "")</f>
        <v>jennifer.moore</v>
      </c>
      <c r="C2239" t="s">
        <v>930</v>
      </c>
      <c r="E2239" s="17" t="s">
        <v>1583</v>
      </c>
      <c r="F2239" s="89">
        <v>43388</v>
      </c>
      <c r="J2239" t="s">
        <v>1479</v>
      </c>
      <c r="K2239" s="120">
        <v>65</v>
      </c>
    </row>
    <row r="2240" spans="2:11" hidden="1" x14ac:dyDescent="0.25">
      <c r="B2240" s="28" t="str">
        <f>IF(ISNUMBER(MATCH(C2240, Mgt_Unit!$C$5:$C$1018, 0)), INDEX(Mgt_Unit!$B$5:$B$1018, MATCH(C2240, Mgt_Unit!$C$5:$C$1018, 0)), "")</f>
        <v>jennifer.moore</v>
      </c>
      <c r="C2240" t="s">
        <v>931</v>
      </c>
      <c r="E2240" s="17" t="s">
        <v>1583</v>
      </c>
      <c r="F2240" s="89">
        <v>38579</v>
      </c>
      <c r="J2240" t="s">
        <v>1479</v>
      </c>
      <c r="K2240" s="120">
        <v>65</v>
      </c>
    </row>
    <row r="2241" spans="2:11" hidden="1" x14ac:dyDescent="0.25">
      <c r="B2241" s="28" t="str">
        <f>IF(ISNUMBER(MATCH(C2241, Mgt_Unit!$C$5:$C$1018, 0)), INDEX(Mgt_Unit!$B$5:$B$1018, MATCH(C2241, Mgt_Unit!$C$5:$C$1018, 0)), "")</f>
        <v>jennifer.moore</v>
      </c>
      <c r="C2241" t="s">
        <v>932</v>
      </c>
      <c r="E2241" s="17" t="s">
        <v>1583</v>
      </c>
      <c r="F2241" s="89">
        <v>38579</v>
      </c>
      <c r="J2241" t="s">
        <v>1479</v>
      </c>
      <c r="K2241" s="120">
        <v>65</v>
      </c>
    </row>
    <row r="2242" spans="2:11" hidden="1" x14ac:dyDescent="0.25">
      <c r="B2242" s="28" t="str">
        <f>IF(ISNUMBER(MATCH(C2242, Mgt_Unit!$C$5:$C$1018, 0)), INDEX(Mgt_Unit!$B$5:$B$1018, MATCH(C2242, Mgt_Unit!$C$5:$C$1018, 0)), "")</f>
        <v>jennifer.moore</v>
      </c>
      <c r="C2242" t="s">
        <v>933</v>
      </c>
      <c r="E2242" s="17" t="s">
        <v>1583</v>
      </c>
      <c r="F2242" s="89">
        <v>43009</v>
      </c>
      <c r="J2242" t="s">
        <v>1479</v>
      </c>
      <c r="K2242" s="120">
        <v>65</v>
      </c>
    </row>
    <row r="2243" spans="2:11" hidden="1" x14ac:dyDescent="0.25">
      <c r="B2243" s="28" t="str">
        <f>IF(ISNUMBER(MATCH(C2243, Mgt_Unit!$C$5:$C$1018, 0)), INDEX(Mgt_Unit!$B$5:$B$1018, MATCH(C2243, Mgt_Unit!$C$5:$C$1018, 0)), "")</f>
        <v>jennifer.moore</v>
      </c>
      <c r="C2243" t="s">
        <v>933</v>
      </c>
      <c r="E2243" s="17" t="s">
        <v>1583</v>
      </c>
      <c r="F2243" s="89">
        <v>43009</v>
      </c>
      <c r="J2243" t="s">
        <v>1463</v>
      </c>
      <c r="K2243" s="120">
        <v>37</v>
      </c>
    </row>
    <row r="2244" spans="2:11" hidden="1" x14ac:dyDescent="0.25">
      <c r="B2244" s="28" t="str">
        <f>IF(ISNUMBER(MATCH(C2244, Mgt_Unit!$C$5:$C$1018, 0)), INDEX(Mgt_Unit!$B$5:$B$1018, MATCH(C2244, Mgt_Unit!$C$5:$C$1018, 0)), "")</f>
        <v>jennifer.moore</v>
      </c>
      <c r="C2244" t="s">
        <v>933</v>
      </c>
      <c r="E2244" s="17" t="s">
        <v>1583</v>
      </c>
      <c r="F2244" s="89">
        <v>43009</v>
      </c>
      <c r="J2244" t="s">
        <v>1480</v>
      </c>
      <c r="K2244" s="120">
        <v>30</v>
      </c>
    </row>
    <row r="2245" spans="2:11" hidden="1" x14ac:dyDescent="0.25">
      <c r="B2245" s="28" t="str">
        <f>IF(ISNUMBER(MATCH(C2245, Mgt_Unit!$C$5:$C$1018, 0)), INDEX(Mgt_Unit!$B$5:$B$1018, MATCH(C2245, Mgt_Unit!$C$5:$C$1018, 0)), "")</f>
        <v>jennifer.moore</v>
      </c>
      <c r="C2245" t="s">
        <v>933</v>
      </c>
      <c r="E2245" s="17" t="s">
        <v>1584</v>
      </c>
      <c r="F2245" s="89">
        <v>43013</v>
      </c>
      <c r="J2245" t="s">
        <v>1355</v>
      </c>
      <c r="K2245" s="120">
        <v>6.3</v>
      </c>
    </row>
    <row r="2246" spans="2:11" hidden="1" x14ac:dyDescent="0.25">
      <c r="B2246" s="28" t="str">
        <f>IF(ISNUMBER(MATCH(C2246, Mgt_Unit!$C$5:$C$1018, 0)), INDEX(Mgt_Unit!$B$5:$B$1018, MATCH(C2246, Mgt_Unit!$C$5:$C$1018, 0)), "")</f>
        <v>jennifer.moore</v>
      </c>
      <c r="C2246" t="s">
        <v>934</v>
      </c>
      <c r="E2246" s="17" t="s">
        <v>1583</v>
      </c>
      <c r="F2246" s="89">
        <v>43009</v>
      </c>
      <c r="J2246" t="s">
        <v>1479</v>
      </c>
      <c r="K2246" s="120">
        <v>65</v>
      </c>
    </row>
    <row r="2247" spans="2:11" hidden="1" x14ac:dyDescent="0.25">
      <c r="B2247" s="28" t="str">
        <f>IF(ISNUMBER(MATCH(C2247, Mgt_Unit!$C$5:$C$1018, 0)), INDEX(Mgt_Unit!$B$5:$B$1018, MATCH(C2247, Mgt_Unit!$C$5:$C$1018, 0)), "")</f>
        <v>jennifer.moore</v>
      </c>
      <c r="C2247" t="s">
        <v>934</v>
      </c>
      <c r="E2247" s="17" t="s">
        <v>1583</v>
      </c>
      <c r="F2247" s="89">
        <v>43009</v>
      </c>
      <c r="J2247" t="s">
        <v>1463</v>
      </c>
      <c r="K2247" s="120">
        <v>37</v>
      </c>
    </row>
    <row r="2248" spans="2:11" hidden="1" x14ac:dyDescent="0.25">
      <c r="B2248" s="28" t="str">
        <f>IF(ISNUMBER(MATCH(C2248, Mgt_Unit!$C$5:$C$1018, 0)), INDEX(Mgt_Unit!$B$5:$B$1018, MATCH(C2248, Mgt_Unit!$C$5:$C$1018, 0)), "")</f>
        <v>jennifer.moore</v>
      </c>
      <c r="C2248" t="s">
        <v>934</v>
      </c>
      <c r="E2248" s="17" t="s">
        <v>1583</v>
      </c>
      <c r="F2248" s="89">
        <v>43009</v>
      </c>
      <c r="J2248" t="s">
        <v>1480</v>
      </c>
      <c r="K2248" s="120">
        <v>30</v>
      </c>
    </row>
    <row r="2249" spans="2:11" hidden="1" x14ac:dyDescent="0.25">
      <c r="B2249" s="28" t="str">
        <f>IF(ISNUMBER(MATCH(C2249, Mgt_Unit!$C$5:$C$1018, 0)), INDEX(Mgt_Unit!$B$5:$B$1018, MATCH(C2249, Mgt_Unit!$C$5:$C$1018, 0)), "")</f>
        <v>jennifer.moore</v>
      </c>
      <c r="C2249" t="s">
        <v>934</v>
      </c>
      <c r="E2249" s="17" t="s">
        <v>1584</v>
      </c>
      <c r="F2249" s="89">
        <v>43013</v>
      </c>
      <c r="J2249" t="s">
        <v>1355</v>
      </c>
      <c r="K2249" s="120">
        <v>6.3</v>
      </c>
    </row>
    <row r="2250" spans="2:11" hidden="1" x14ac:dyDescent="0.25">
      <c r="B2250" s="28" t="str">
        <f>IF(ISNUMBER(MATCH(C2250, Mgt_Unit!$C$5:$C$1018, 0)), INDEX(Mgt_Unit!$B$5:$B$1018, MATCH(C2250, Mgt_Unit!$C$5:$C$1018, 0)), "")</f>
        <v>jennifer.moore</v>
      </c>
      <c r="C2250" t="s">
        <v>935</v>
      </c>
      <c r="E2250" s="17" t="s">
        <v>1583</v>
      </c>
      <c r="F2250" s="89">
        <v>43009</v>
      </c>
      <c r="J2250" t="s">
        <v>1479</v>
      </c>
      <c r="K2250" s="120">
        <v>65</v>
      </c>
    </row>
    <row r="2251" spans="2:11" hidden="1" x14ac:dyDescent="0.25">
      <c r="B2251" s="28" t="str">
        <f>IF(ISNUMBER(MATCH(C2251, Mgt_Unit!$C$5:$C$1018, 0)), INDEX(Mgt_Unit!$B$5:$B$1018, MATCH(C2251, Mgt_Unit!$C$5:$C$1018, 0)), "")</f>
        <v>jennifer.moore</v>
      </c>
      <c r="C2251" t="s">
        <v>935</v>
      </c>
      <c r="E2251" s="17" t="s">
        <v>1583</v>
      </c>
      <c r="F2251" s="89">
        <v>43009</v>
      </c>
      <c r="J2251" t="s">
        <v>1463</v>
      </c>
      <c r="K2251" s="120">
        <v>37</v>
      </c>
    </row>
    <row r="2252" spans="2:11" hidden="1" x14ac:dyDescent="0.25">
      <c r="B2252" s="28" t="str">
        <f>IF(ISNUMBER(MATCH(C2252, Mgt_Unit!$C$5:$C$1018, 0)), INDEX(Mgt_Unit!$B$5:$B$1018, MATCH(C2252, Mgt_Unit!$C$5:$C$1018, 0)), "")</f>
        <v>jennifer.moore</v>
      </c>
      <c r="C2252" t="s">
        <v>935</v>
      </c>
      <c r="E2252" s="17" t="s">
        <v>1583</v>
      </c>
      <c r="F2252" s="89">
        <v>43009</v>
      </c>
      <c r="J2252" t="s">
        <v>1480</v>
      </c>
      <c r="K2252" s="120">
        <v>30</v>
      </c>
    </row>
    <row r="2253" spans="2:11" hidden="1" x14ac:dyDescent="0.25">
      <c r="B2253" s="28" t="str">
        <f>IF(ISNUMBER(MATCH(C2253, Mgt_Unit!$C$5:$C$1018, 0)), INDEX(Mgt_Unit!$B$5:$B$1018, MATCH(C2253, Mgt_Unit!$C$5:$C$1018, 0)), "")</f>
        <v>jennifer.moore</v>
      </c>
      <c r="C2253" t="s">
        <v>935</v>
      </c>
      <c r="E2253" s="17" t="s">
        <v>1584</v>
      </c>
      <c r="F2253" s="89">
        <v>43013</v>
      </c>
      <c r="J2253" t="s">
        <v>1355</v>
      </c>
      <c r="K2253" s="120">
        <v>6.3</v>
      </c>
    </row>
    <row r="2254" spans="2:11" hidden="1" x14ac:dyDescent="0.25">
      <c r="B2254" s="28" t="str">
        <f>IF(ISNUMBER(MATCH(C2254, Mgt_Unit!$C$5:$C$1018, 0)), INDEX(Mgt_Unit!$B$5:$B$1018, MATCH(C2254, Mgt_Unit!$C$5:$C$1018, 0)), "")</f>
        <v>jennifer.moore</v>
      </c>
      <c r="C2254" t="s">
        <v>936</v>
      </c>
      <c r="E2254" s="17" t="s">
        <v>1583</v>
      </c>
      <c r="F2254" s="89">
        <v>42837</v>
      </c>
      <c r="J2254" t="s">
        <v>1396</v>
      </c>
      <c r="K2254" s="120">
        <v>37</v>
      </c>
    </row>
    <row r="2255" spans="2:11" hidden="1" x14ac:dyDescent="0.25">
      <c r="B2255" s="28" t="str">
        <f>IF(ISNUMBER(MATCH(C2255, Mgt_Unit!$C$5:$C$1018, 0)), INDEX(Mgt_Unit!$B$5:$B$1018, MATCH(C2255, Mgt_Unit!$C$5:$C$1018, 0)), "")</f>
        <v>jennifer.moore</v>
      </c>
      <c r="C2255" t="s">
        <v>936</v>
      </c>
      <c r="E2255" s="17" t="s">
        <v>1584</v>
      </c>
      <c r="F2255" s="89">
        <v>42846</v>
      </c>
      <c r="J2255" t="s">
        <v>1355</v>
      </c>
      <c r="K2255" s="120">
        <v>6.3</v>
      </c>
    </row>
    <row r="2256" spans="2:11" hidden="1" x14ac:dyDescent="0.25">
      <c r="B2256" s="28" t="str">
        <f>IF(ISNUMBER(MATCH(C2256, Mgt_Unit!$C$5:$C$1018, 0)), INDEX(Mgt_Unit!$B$5:$B$1018, MATCH(C2256, Mgt_Unit!$C$5:$C$1018, 0)), "")</f>
        <v>jennifer.moore</v>
      </c>
      <c r="C2256" t="s">
        <v>936</v>
      </c>
      <c r="E2256" s="17" t="s">
        <v>1583</v>
      </c>
      <c r="F2256" s="89">
        <v>43202</v>
      </c>
      <c r="J2256" t="s">
        <v>1396</v>
      </c>
      <c r="K2256" s="120">
        <v>37</v>
      </c>
    </row>
    <row r="2257" spans="2:11" hidden="1" x14ac:dyDescent="0.25">
      <c r="B2257" s="28" t="str">
        <f>IF(ISNUMBER(MATCH(C2257, Mgt_Unit!$C$5:$C$1018, 0)), INDEX(Mgt_Unit!$B$5:$B$1018, MATCH(C2257, Mgt_Unit!$C$5:$C$1018, 0)), "")</f>
        <v>jennifer.moore</v>
      </c>
      <c r="C2257" t="s">
        <v>936</v>
      </c>
      <c r="E2257" s="17" t="s">
        <v>1584</v>
      </c>
      <c r="F2257" s="89">
        <v>43237</v>
      </c>
      <c r="J2257" t="s">
        <v>1355</v>
      </c>
      <c r="K2257" s="120">
        <v>6.3</v>
      </c>
    </row>
    <row r="2258" spans="2:11" hidden="1" x14ac:dyDescent="0.25">
      <c r="B2258" s="28" t="str">
        <f>IF(ISNUMBER(MATCH(C2258, Mgt_Unit!$C$5:$C$1018, 0)), INDEX(Mgt_Unit!$B$5:$B$1018, MATCH(C2258, Mgt_Unit!$C$5:$C$1018, 0)), "")</f>
        <v>jennifer.moore</v>
      </c>
      <c r="C2258" t="s">
        <v>936</v>
      </c>
      <c r="E2258" s="17" t="s">
        <v>1583</v>
      </c>
      <c r="F2258" s="89">
        <v>43432</v>
      </c>
      <c r="J2258" t="s">
        <v>1396</v>
      </c>
      <c r="K2258" s="120">
        <v>37</v>
      </c>
    </row>
    <row r="2259" spans="2:11" hidden="1" x14ac:dyDescent="0.25">
      <c r="B2259" s="28" t="str">
        <f>IF(ISNUMBER(MATCH(C2259, Mgt_Unit!$C$5:$C$1018, 0)), INDEX(Mgt_Unit!$B$5:$B$1018, MATCH(C2259, Mgt_Unit!$C$5:$C$1018, 0)), "")</f>
        <v>jennifer.moore</v>
      </c>
      <c r="C2259" t="s">
        <v>936</v>
      </c>
      <c r="E2259" s="17" t="s">
        <v>1583</v>
      </c>
      <c r="F2259" s="89">
        <v>43440</v>
      </c>
      <c r="J2259" t="s">
        <v>1396</v>
      </c>
      <c r="K2259" s="120">
        <v>37</v>
      </c>
    </row>
    <row r="2260" spans="2:11" hidden="1" x14ac:dyDescent="0.25">
      <c r="B2260" s="28" t="str">
        <f>IF(ISNUMBER(MATCH(C2260, Mgt_Unit!$C$5:$C$1018, 0)), INDEX(Mgt_Unit!$B$5:$B$1018, MATCH(C2260, Mgt_Unit!$C$5:$C$1018, 0)), "")</f>
        <v>jennifer.moore</v>
      </c>
      <c r="C2260" t="s">
        <v>937</v>
      </c>
      <c r="E2260" s="17" t="s">
        <v>1584</v>
      </c>
      <c r="F2260" s="89">
        <v>42846</v>
      </c>
      <c r="J2260" t="s">
        <v>1355</v>
      </c>
      <c r="K2260" s="120">
        <v>6.3</v>
      </c>
    </row>
    <row r="2261" spans="2:11" hidden="1" x14ac:dyDescent="0.25">
      <c r="B2261" s="28" t="str">
        <f>IF(ISNUMBER(MATCH(C2261, Mgt_Unit!$C$5:$C$1018, 0)), INDEX(Mgt_Unit!$B$5:$B$1018, MATCH(C2261, Mgt_Unit!$C$5:$C$1018, 0)), "")</f>
        <v>jennifer.moore</v>
      </c>
      <c r="C2261" t="s">
        <v>937</v>
      </c>
      <c r="E2261" s="17" t="s">
        <v>1584</v>
      </c>
      <c r="F2261" s="89">
        <v>43237</v>
      </c>
      <c r="J2261" t="s">
        <v>1355</v>
      </c>
      <c r="K2261" s="120">
        <v>6.3</v>
      </c>
    </row>
    <row r="2262" spans="2:11" hidden="1" x14ac:dyDescent="0.25">
      <c r="B2262" s="28" t="str">
        <f>IF(ISNUMBER(MATCH(C2262, Mgt_Unit!$C$5:$C$1018, 0)), INDEX(Mgt_Unit!$B$5:$B$1018, MATCH(C2262, Mgt_Unit!$C$5:$C$1018, 0)), "")</f>
        <v>jennifer.moore</v>
      </c>
      <c r="C2262" t="s">
        <v>938</v>
      </c>
      <c r="E2262" s="17" t="s">
        <v>1583</v>
      </c>
      <c r="F2262" s="89">
        <v>42487</v>
      </c>
      <c r="J2262" t="s">
        <v>1396</v>
      </c>
      <c r="K2262" s="120">
        <v>37</v>
      </c>
    </row>
    <row r="2263" spans="2:11" hidden="1" x14ac:dyDescent="0.25">
      <c r="B2263" s="28" t="str">
        <f>IF(ISNUMBER(MATCH(C2263, Mgt_Unit!$C$5:$C$1018, 0)), INDEX(Mgt_Unit!$B$5:$B$1018, MATCH(C2263, Mgt_Unit!$C$5:$C$1018, 0)), "")</f>
        <v>jennifer.moore</v>
      </c>
      <c r="C2263" t="s">
        <v>938</v>
      </c>
      <c r="E2263" s="17" t="s">
        <v>1583</v>
      </c>
      <c r="F2263" s="89">
        <v>42488</v>
      </c>
      <c r="J2263" t="s">
        <v>1355</v>
      </c>
      <c r="K2263" s="120">
        <v>6.3</v>
      </c>
    </row>
    <row r="2264" spans="2:11" hidden="1" x14ac:dyDescent="0.25">
      <c r="B2264" s="28" t="str">
        <f>IF(ISNUMBER(MATCH(C2264, Mgt_Unit!$C$5:$C$1018, 0)), INDEX(Mgt_Unit!$B$5:$B$1018, MATCH(C2264, Mgt_Unit!$C$5:$C$1018, 0)), "")</f>
        <v>jennifer.moore</v>
      </c>
      <c r="C2264" t="s">
        <v>938</v>
      </c>
      <c r="E2264" s="17" t="s">
        <v>1583</v>
      </c>
      <c r="F2264" s="89">
        <v>42691</v>
      </c>
      <c r="J2264" t="s">
        <v>1436</v>
      </c>
      <c r="K2264" s="120">
        <v>42</v>
      </c>
    </row>
    <row r="2265" spans="2:11" hidden="1" x14ac:dyDescent="0.25">
      <c r="B2265" s="28" t="str">
        <f>IF(ISNUMBER(MATCH(C2265, Mgt_Unit!$C$5:$C$1018, 0)), INDEX(Mgt_Unit!$B$5:$B$1018, MATCH(C2265, Mgt_Unit!$C$5:$C$1018, 0)), "")</f>
        <v>jennifer.moore</v>
      </c>
      <c r="C2265" t="s">
        <v>938</v>
      </c>
      <c r="E2265" s="17" t="s">
        <v>1584</v>
      </c>
      <c r="F2265" s="89">
        <v>42866</v>
      </c>
      <c r="J2265" t="s">
        <v>1355</v>
      </c>
      <c r="K2265" s="120">
        <v>6.3</v>
      </c>
    </row>
    <row r="2266" spans="2:11" hidden="1" x14ac:dyDescent="0.25">
      <c r="B2266" s="28" t="str">
        <f>IF(ISNUMBER(MATCH(C2266, Mgt_Unit!$C$5:$C$1018, 0)), INDEX(Mgt_Unit!$B$5:$B$1018, MATCH(C2266, Mgt_Unit!$C$5:$C$1018, 0)), "")</f>
        <v>jennifer.moore</v>
      </c>
      <c r="C2266" t="s">
        <v>938</v>
      </c>
      <c r="E2266" s="17" t="s">
        <v>1583</v>
      </c>
      <c r="F2266" s="89">
        <v>43028</v>
      </c>
      <c r="J2266" t="s">
        <v>1436</v>
      </c>
      <c r="K2266" s="120">
        <v>42</v>
      </c>
    </row>
    <row r="2267" spans="2:11" hidden="1" x14ac:dyDescent="0.25">
      <c r="B2267" s="28" t="str">
        <f>IF(ISNUMBER(MATCH(C2267, Mgt_Unit!$C$5:$C$1018, 0)), INDEX(Mgt_Unit!$B$5:$B$1018, MATCH(C2267, Mgt_Unit!$C$5:$C$1018, 0)), "")</f>
        <v>jennifer.moore</v>
      </c>
      <c r="C2267" t="s">
        <v>938</v>
      </c>
      <c r="E2267" s="17" t="s">
        <v>1584</v>
      </c>
      <c r="F2267" s="89">
        <v>43028</v>
      </c>
      <c r="J2267" t="s">
        <v>1355</v>
      </c>
      <c r="K2267" s="120">
        <v>6.3</v>
      </c>
    </row>
    <row r="2268" spans="2:11" hidden="1" x14ac:dyDescent="0.25">
      <c r="B2268" s="28" t="str">
        <f>IF(ISNUMBER(MATCH(C2268, Mgt_Unit!$C$5:$C$1018, 0)), INDEX(Mgt_Unit!$B$5:$B$1018, MATCH(C2268, Mgt_Unit!$C$5:$C$1018, 0)), "")</f>
        <v>jennifer.moore</v>
      </c>
      <c r="C2268" t="s">
        <v>938</v>
      </c>
      <c r="E2268" s="17" t="s">
        <v>1583</v>
      </c>
      <c r="F2268" s="89">
        <v>43028</v>
      </c>
      <c r="J2268" t="s">
        <v>1463</v>
      </c>
      <c r="K2268" s="120">
        <v>37</v>
      </c>
    </row>
    <row r="2269" spans="2:11" hidden="1" x14ac:dyDescent="0.25">
      <c r="B2269" s="28" t="str">
        <f>IF(ISNUMBER(MATCH(C2269, Mgt_Unit!$C$5:$C$1018, 0)), INDEX(Mgt_Unit!$B$5:$B$1018, MATCH(C2269, Mgt_Unit!$C$5:$C$1018, 0)), "")</f>
        <v>jennifer.moore</v>
      </c>
      <c r="C2269" t="s">
        <v>939</v>
      </c>
      <c r="E2269" s="17" t="s">
        <v>1583</v>
      </c>
      <c r="F2269" s="89">
        <v>42488</v>
      </c>
      <c r="J2269" t="s">
        <v>1355</v>
      </c>
      <c r="K2269" s="120">
        <v>6.3</v>
      </c>
    </row>
    <row r="2270" spans="2:11" hidden="1" x14ac:dyDescent="0.25">
      <c r="B2270" s="28" t="str">
        <f>IF(ISNUMBER(MATCH(C2270, Mgt_Unit!$C$5:$C$1018, 0)), INDEX(Mgt_Unit!$B$5:$B$1018, MATCH(C2270, Mgt_Unit!$C$5:$C$1018, 0)), "")</f>
        <v>jennifer.moore</v>
      </c>
      <c r="C2270" t="s">
        <v>939</v>
      </c>
      <c r="E2270" s="17" t="s">
        <v>1584</v>
      </c>
      <c r="F2270" s="89">
        <v>42866</v>
      </c>
      <c r="J2270" t="s">
        <v>1355</v>
      </c>
      <c r="K2270" s="120">
        <v>6.3</v>
      </c>
    </row>
    <row r="2271" spans="2:11" hidden="1" x14ac:dyDescent="0.25">
      <c r="B2271" s="28" t="str">
        <f>IF(ISNUMBER(MATCH(C2271, Mgt_Unit!$C$5:$C$1018, 0)), INDEX(Mgt_Unit!$B$5:$B$1018, MATCH(C2271, Mgt_Unit!$C$5:$C$1018, 0)), "")</f>
        <v>jennifer.moore</v>
      </c>
      <c r="C2271" t="s">
        <v>939</v>
      </c>
      <c r="E2271" s="17" t="s">
        <v>1584</v>
      </c>
      <c r="F2271" s="89">
        <v>43028</v>
      </c>
      <c r="J2271" t="s">
        <v>1355</v>
      </c>
      <c r="K2271" s="120">
        <v>6.3</v>
      </c>
    </row>
    <row r="2272" spans="2:11" hidden="1" x14ac:dyDescent="0.25">
      <c r="B2272" s="28" t="str">
        <f>IF(ISNUMBER(MATCH(C2272, Mgt_Unit!$C$5:$C$1018, 0)), INDEX(Mgt_Unit!$B$5:$B$1018, MATCH(C2272, Mgt_Unit!$C$5:$C$1018, 0)), "")</f>
        <v>jennifer.moore</v>
      </c>
      <c r="C2272" t="s">
        <v>940</v>
      </c>
      <c r="E2272" s="17" t="s">
        <v>1583</v>
      </c>
      <c r="F2272" s="89">
        <v>42488</v>
      </c>
      <c r="J2272" t="s">
        <v>1355</v>
      </c>
      <c r="K2272" s="120">
        <v>6.3</v>
      </c>
    </row>
    <row r="2273" spans="2:11" hidden="1" x14ac:dyDescent="0.25">
      <c r="B2273" s="28" t="str">
        <f>IF(ISNUMBER(MATCH(C2273, Mgt_Unit!$C$5:$C$1018, 0)), INDEX(Mgt_Unit!$B$5:$B$1018, MATCH(C2273, Mgt_Unit!$C$5:$C$1018, 0)), "")</f>
        <v>jennifer.moore</v>
      </c>
      <c r="C2273" t="s">
        <v>940</v>
      </c>
      <c r="E2273" s="17" t="s">
        <v>1584</v>
      </c>
      <c r="F2273" s="89">
        <v>42866</v>
      </c>
      <c r="J2273" t="s">
        <v>1355</v>
      </c>
      <c r="K2273" s="120">
        <v>6.3</v>
      </c>
    </row>
    <row r="2274" spans="2:11" hidden="1" x14ac:dyDescent="0.25">
      <c r="B2274" s="28" t="str">
        <f>IF(ISNUMBER(MATCH(C2274, Mgt_Unit!$C$5:$C$1018, 0)), INDEX(Mgt_Unit!$B$5:$B$1018, MATCH(C2274, Mgt_Unit!$C$5:$C$1018, 0)), "")</f>
        <v>jennifer.moore</v>
      </c>
      <c r="C2274" t="s">
        <v>940</v>
      </c>
      <c r="E2274" s="17" t="s">
        <v>1584</v>
      </c>
      <c r="F2274" s="89">
        <v>43028</v>
      </c>
      <c r="J2274" t="s">
        <v>1355</v>
      </c>
      <c r="K2274" s="120">
        <v>6.3</v>
      </c>
    </row>
    <row r="2275" spans="2:11" hidden="1" x14ac:dyDescent="0.25">
      <c r="B2275" s="28" t="str">
        <f>IF(ISNUMBER(MATCH(C2275, Mgt_Unit!$C$5:$C$1018, 0)), INDEX(Mgt_Unit!$B$5:$B$1018, MATCH(C2275, Mgt_Unit!$C$5:$C$1018, 0)), "")</f>
        <v>jennifer.moore</v>
      </c>
      <c r="C2275" t="s">
        <v>940</v>
      </c>
      <c r="E2275" s="17" t="s">
        <v>1584</v>
      </c>
      <c r="F2275" s="89">
        <v>43278</v>
      </c>
      <c r="J2275" t="s">
        <v>1355</v>
      </c>
      <c r="K2275" s="120">
        <v>6.3</v>
      </c>
    </row>
    <row r="2276" spans="2:11" hidden="1" x14ac:dyDescent="0.25">
      <c r="B2276" s="28" t="str">
        <f>IF(ISNUMBER(MATCH(C2276, Mgt_Unit!$C$5:$C$1018, 0)), INDEX(Mgt_Unit!$B$5:$B$1018, MATCH(C2276, Mgt_Unit!$C$5:$C$1018, 0)), "")</f>
        <v>jennifer.moore</v>
      </c>
      <c r="C2276" t="s">
        <v>941</v>
      </c>
      <c r="E2276" s="17" t="s">
        <v>1583</v>
      </c>
      <c r="F2276" s="89">
        <v>43217</v>
      </c>
      <c r="J2276" t="s">
        <v>1477</v>
      </c>
      <c r="K2276" s="120">
        <v>39</v>
      </c>
    </row>
    <row r="2277" spans="2:11" hidden="1" x14ac:dyDescent="0.25">
      <c r="B2277" s="28" t="str">
        <f>IF(ISNUMBER(MATCH(C2277, Mgt_Unit!$C$5:$C$1018, 0)), INDEX(Mgt_Unit!$B$5:$B$1018, MATCH(C2277, Mgt_Unit!$C$5:$C$1018, 0)), "")</f>
        <v>jennifer.moore</v>
      </c>
      <c r="C2277" t="s">
        <v>941</v>
      </c>
      <c r="E2277" s="17" t="s">
        <v>1584</v>
      </c>
      <c r="F2277" s="89">
        <v>43218</v>
      </c>
      <c r="J2277" t="s">
        <v>1355</v>
      </c>
      <c r="K2277" s="120">
        <v>6.3</v>
      </c>
    </row>
    <row r="2278" spans="2:11" hidden="1" x14ac:dyDescent="0.25">
      <c r="B2278" s="28" t="str">
        <f>IF(ISNUMBER(MATCH(C2278, Mgt_Unit!$C$5:$C$1018, 0)), INDEX(Mgt_Unit!$B$5:$B$1018, MATCH(C2278, Mgt_Unit!$C$5:$C$1018, 0)), "")</f>
        <v>jennifer.moore</v>
      </c>
      <c r="C2278" t="s">
        <v>941</v>
      </c>
      <c r="E2278" s="17" t="s">
        <v>1584</v>
      </c>
      <c r="F2278" s="89">
        <v>43596</v>
      </c>
      <c r="J2278" t="s">
        <v>1355</v>
      </c>
      <c r="K2278" s="120">
        <v>6.3</v>
      </c>
    </row>
    <row r="2279" spans="2:11" hidden="1" x14ac:dyDescent="0.25">
      <c r="B2279" s="28" t="str">
        <f>IF(ISNUMBER(MATCH(C2279, Mgt_Unit!$C$5:$C$1018, 0)), INDEX(Mgt_Unit!$B$5:$B$1018, MATCH(C2279, Mgt_Unit!$C$5:$C$1018, 0)), "")</f>
        <v>jennifer.moore</v>
      </c>
      <c r="C2279" t="s">
        <v>941</v>
      </c>
      <c r="E2279" s="17" t="s">
        <v>1583</v>
      </c>
      <c r="F2279" s="89">
        <v>43786</v>
      </c>
      <c r="J2279" t="s">
        <v>1436</v>
      </c>
      <c r="K2279" s="120">
        <v>42</v>
      </c>
    </row>
    <row r="2280" spans="2:11" hidden="1" x14ac:dyDescent="0.25">
      <c r="B2280" s="28" t="str">
        <f>IF(ISNUMBER(MATCH(C2280, Mgt_Unit!$C$5:$C$1018, 0)), INDEX(Mgt_Unit!$B$5:$B$1018, MATCH(C2280, Mgt_Unit!$C$5:$C$1018, 0)), "")</f>
        <v>jennifer.moore</v>
      </c>
      <c r="C2280" t="s">
        <v>942</v>
      </c>
      <c r="E2280" s="17" t="s">
        <v>1583</v>
      </c>
      <c r="F2280" s="89">
        <v>43217</v>
      </c>
      <c r="J2280" t="s">
        <v>1477</v>
      </c>
      <c r="K2280" s="120">
        <v>39</v>
      </c>
    </row>
    <row r="2281" spans="2:11" hidden="1" x14ac:dyDescent="0.25">
      <c r="B2281" s="28" t="str">
        <f>IF(ISNUMBER(MATCH(C2281, Mgt_Unit!$C$5:$C$1018, 0)), INDEX(Mgt_Unit!$B$5:$B$1018, MATCH(C2281, Mgt_Unit!$C$5:$C$1018, 0)), "")</f>
        <v>jennifer.moore</v>
      </c>
      <c r="C2281" t="s">
        <v>942</v>
      </c>
      <c r="E2281" s="17" t="s">
        <v>1584</v>
      </c>
      <c r="F2281" s="89">
        <v>43218</v>
      </c>
      <c r="J2281" t="s">
        <v>1355</v>
      </c>
      <c r="K2281" s="120">
        <v>6.3</v>
      </c>
    </row>
    <row r="2282" spans="2:11" hidden="1" x14ac:dyDescent="0.25">
      <c r="B2282" s="28" t="str">
        <f>IF(ISNUMBER(MATCH(C2282, Mgt_Unit!$C$5:$C$1018, 0)), INDEX(Mgt_Unit!$B$5:$B$1018, MATCH(C2282, Mgt_Unit!$C$5:$C$1018, 0)), "")</f>
        <v>jennifer.moore</v>
      </c>
      <c r="C2282" t="s">
        <v>942</v>
      </c>
      <c r="E2282" s="17" t="s">
        <v>1584</v>
      </c>
      <c r="F2282" s="89">
        <v>43596</v>
      </c>
      <c r="J2282" t="s">
        <v>1355</v>
      </c>
      <c r="K2282" s="120">
        <v>6.3</v>
      </c>
    </row>
    <row r="2283" spans="2:11" hidden="1" x14ac:dyDescent="0.25">
      <c r="B2283" s="28" t="str">
        <f>IF(ISNUMBER(MATCH(C2283, Mgt_Unit!$C$5:$C$1018, 0)), INDEX(Mgt_Unit!$B$5:$B$1018, MATCH(C2283, Mgt_Unit!$C$5:$C$1018, 0)), "")</f>
        <v>jennifer.moore</v>
      </c>
      <c r="C2283" t="s">
        <v>942</v>
      </c>
      <c r="E2283" s="17" t="s">
        <v>1583</v>
      </c>
      <c r="F2283" s="89">
        <v>43786</v>
      </c>
      <c r="J2283" t="s">
        <v>1436</v>
      </c>
      <c r="K2283" s="120">
        <v>42</v>
      </c>
    </row>
    <row r="2284" spans="2:11" hidden="1" x14ac:dyDescent="0.25">
      <c r="B2284" s="28" t="str">
        <f>IF(ISNUMBER(MATCH(C2284, Mgt_Unit!$C$5:$C$1018, 0)), INDEX(Mgt_Unit!$B$5:$B$1018, MATCH(C2284, Mgt_Unit!$C$5:$C$1018, 0)), "")</f>
        <v>jennifer.moore</v>
      </c>
      <c r="C2284" t="s">
        <v>943</v>
      </c>
      <c r="E2284" s="17" t="s">
        <v>1584</v>
      </c>
      <c r="F2284" s="89">
        <v>43573</v>
      </c>
      <c r="J2284" t="s">
        <v>1398</v>
      </c>
      <c r="K2284" s="120">
        <v>4</v>
      </c>
    </row>
    <row r="2285" spans="2:11" hidden="1" x14ac:dyDescent="0.25">
      <c r="B2285" s="28" t="str">
        <f>IF(ISNUMBER(MATCH(C2285, Mgt_Unit!$C$5:$C$1018, 0)), INDEX(Mgt_Unit!$B$5:$B$1018, MATCH(C2285, Mgt_Unit!$C$5:$C$1018, 0)), "")</f>
        <v>jennifer.moore</v>
      </c>
      <c r="C2285" t="s">
        <v>943</v>
      </c>
      <c r="E2285" s="17" t="s">
        <v>1583</v>
      </c>
      <c r="F2285" s="89">
        <v>43692</v>
      </c>
      <c r="J2285" t="s">
        <v>1431</v>
      </c>
      <c r="K2285" s="120">
        <v>0.15</v>
      </c>
    </row>
    <row r="2286" spans="2:11" hidden="1" x14ac:dyDescent="0.25">
      <c r="B2286" s="28" t="str">
        <f>IF(ISNUMBER(MATCH(C2286, Mgt_Unit!$C$5:$C$1018, 0)), INDEX(Mgt_Unit!$B$5:$B$1018, MATCH(C2286, Mgt_Unit!$C$5:$C$1018, 0)), "")</f>
        <v>jennifer.moore</v>
      </c>
      <c r="C2286" t="s">
        <v>944</v>
      </c>
      <c r="E2286" s="17" t="s">
        <v>1584</v>
      </c>
      <c r="F2286" s="89">
        <v>43573</v>
      </c>
      <c r="J2286" t="s">
        <v>1398</v>
      </c>
      <c r="K2286" s="120">
        <v>4</v>
      </c>
    </row>
    <row r="2287" spans="2:11" hidden="1" x14ac:dyDescent="0.25">
      <c r="B2287" s="28" t="str">
        <f>IF(ISNUMBER(MATCH(C2287, Mgt_Unit!$C$5:$C$1018, 0)), INDEX(Mgt_Unit!$B$5:$B$1018, MATCH(C2287, Mgt_Unit!$C$5:$C$1018, 0)), "")</f>
        <v>jennifer.moore</v>
      </c>
      <c r="C2287" t="s">
        <v>944</v>
      </c>
      <c r="E2287" s="17" t="s">
        <v>1583</v>
      </c>
      <c r="F2287" s="89">
        <v>43692</v>
      </c>
      <c r="J2287" t="s">
        <v>1431</v>
      </c>
      <c r="K2287" s="120">
        <v>0.15</v>
      </c>
    </row>
    <row r="2288" spans="2:11" hidden="1" x14ac:dyDescent="0.25">
      <c r="B2288" s="28" t="str">
        <f>IF(ISNUMBER(MATCH(C2288, Mgt_Unit!$C$5:$C$1018, 0)), INDEX(Mgt_Unit!$B$5:$B$1018, MATCH(C2288, Mgt_Unit!$C$5:$C$1018, 0)), "")</f>
        <v>jennifer.moore</v>
      </c>
      <c r="C2288" t="s">
        <v>945</v>
      </c>
      <c r="E2288" s="17" t="s">
        <v>1584</v>
      </c>
      <c r="F2288" s="89">
        <v>43573</v>
      </c>
      <c r="J2288" t="s">
        <v>1398</v>
      </c>
      <c r="K2288" s="120">
        <v>4</v>
      </c>
    </row>
    <row r="2289" spans="2:11" hidden="1" x14ac:dyDescent="0.25">
      <c r="B2289" s="28" t="str">
        <f>IF(ISNUMBER(MATCH(C2289, Mgt_Unit!$C$5:$C$1018, 0)), INDEX(Mgt_Unit!$B$5:$B$1018, MATCH(C2289, Mgt_Unit!$C$5:$C$1018, 0)), "")</f>
        <v>jennifer.moore</v>
      </c>
      <c r="C2289" t="s">
        <v>945</v>
      </c>
      <c r="E2289" s="17" t="s">
        <v>1583</v>
      </c>
      <c r="F2289" s="89">
        <v>43692</v>
      </c>
      <c r="J2289" t="s">
        <v>1431</v>
      </c>
      <c r="K2289" s="120">
        <v>0.15</v>
      </c>
    </row>
    <row r="2290" spans="2:11" hidden="1" x14ac:dyDescent="0.25">
      <c r="B2290" s="28" t="str">
        <f>IF(ISNUMBER(MATCH(C2290, Mgt_Unit!$C$5:$C$1018, 0)), INDEX(Mgt_Unit!$B$5:$B$1018, MATCH(C2290, Mgt_Unit!$C$5:$C$1018, 0)), "")</f>
        <v>jennifer.moore</v>
      </c>
      <c r="C2290" t="s">
        <v>946</v>
      </c>
      <c r="E2290" s="17" t="s">
        <v>1584</v>
      </c>
      <c r="F2290" s="89">
        <v>43573</v>
      </c>
      <c r="J2290" t="s">
        <v>1398</v>
      </c>
      <c r="K2290" s="120">
        <v>4</v>
      </c>
    </row>
    <row r="2291" spans="2:11" hidden="1" x14ac:dyDescent="0.25">
      <c r="B2291" s="28" t="str">
        <f>IF(ISNUMBER(MATCH(C2291, Mgt_Unit!$C$5:$C$1018, 0)), INDEX(Mgt_Unit!$B$5:$B$1018, MATCH(C2291, Mgt_Unit!$C$5:$C$1018, 0)), "")</f>
        <v>jennifer.moore</v>
      </c>
      <c r="C2291" t="s">
        <v>946</v>
      </c>
      <c r="E2291" s="17" t="s">
        <v>1583</v>
      </c>
      <c r="F2291" s="89">
        <v>43692</v>
      </c>
      <c r="J2291" t="s">
        <v>1431</v>
      </c>
      <c r="K2291" s="120">
        <v>0.15</v>
      </c>
    </row>
    <row r="2292" spans="2:11" hidden="1" x14ac:dyDescent="0.25">
      <c r="B2292" s="28" t="str">
        <f>IF(ISNUMBER(MATCH(C2292, Mgt_Unit!$C$5:$C$1018, 0)), INDEX(Mgt_Unit!$B$5:$B$1018, MATCH(C2292, Mgt_Unit!$C$5:$C$1018, 0)), "")</f>
        <v>jennifer.moore</v>
      </c>
      <c r="C2292" t="s">
        <v>947</v>
      </c>
      <c r="E2292" s="17" t="s">
        <v>1583</v>
      </c>
      <c r="F2292" s="89">
        <v>43209</v>
      </c>
      <c r="J2292" t="s">
        <v>1445</v>
      </c>
      <c r="K2292" s="120">
        <v>30</v>
      </c>
    </row>
    <row r="2293" spans="2:11" hidden="1" x14ac:dyDescent="0.25">
      <c r="B2293" s="28" t="str">
        <f>IF(ISNUMBER(MATCH(C2293, Mgt_Unit!$C$5:$C$1018, 0)), INDEX(Mgt_Unit!$B$5:$B$1018, MATCH(C2293, Mgt_Unit!$C$5:$C$1018, 0)), "")</f>
        <v>jennifer.moore</v>
      </c>
      <c r="C2293" t="s">
        <v>947</v>
      </c>
      <c r="E2293" s="17" t="s">
        <v>1583</v>
      </c>
      <c r="F2293" s="89">
        <v>43209</v>
      </c>
      <c r="J2293" t="s">
        <v>1445</v>
      </c>
      <c r="K2293" s="120">
        <v>30</v>
      </c>
    </row>
    <row r="2294" spans="2:11" hidden="1" x14ac:dyDescent="0.25">
      <c r="B2294" s="28" t="str">
        <f>IF(ISNUMBER(MATCH(C2294, Mgt_Unit!$C$5:$C$1018, 0)), INDEX(Mgt_Unit!$B$5:$B$1018, MATCH(C2294, Mgt_Unit!$C$5:$C$1018, 0)), "")</f>
        <v>jennifer.moore</v>
      </c>
      <c r="C2294" t="s">
        <v>947</v>
      </c>
      <c r="E2294" s="17" t="s">
        <v>1584</v>
      </c>
      <c r="F2294" s="89">
        <v>43573</v>
      </c>
      <c r="J2294" t="s">
        <v>1398</v>
      </c>
      <c r="K2294" s="120">
        <v>4</v>
      </c>
    </row>
    <row r="2295" spans="2:11" hidden="1" x14ac:dyDescent="0.25">
      <c r="B2295" s="28" t="str">
        <f>IF(ISNUMBER(MATCH(C2295, Mgt_Unit!$C$5:$C$1018, 0)), INDEX(Mgt_Unit!$B$5:$B$1018, MATCH(C2295, Mgt_Unit!$C$5:$C$1018, 0)), "")</f>
        <v>jennifer.moore</v>
      </c>
      <c r="C2295" t="s">
        <v>947</v>
      </c>
      <c r="E2295" s="17" t="s">
        <v>1583</v>
      </c>
      <c r="F2295" s="89">
        <v>43574</v>
      </c>
      <c r="J2295" t="s">
        <v>1445</v>
      </c>
      <c r="K2295" s="120">
        <v>30</v>
      </c>
    </row>
    <row r="2296" spans="2:11" hidden="1" x14ac:dyDescent="0.25">
      <c r="B2296" s="28" t="str">
        <f>IF(ISNUMBER(MATCH(C2296, Mgt_Unit!$C$5:$C$1018, 0)), INDEX(Mgt_Unit!$B$5:$B$1018, MATCH(C2296, Mgt_Unit!$C$5:$C$1018, 0)), "")</f>
        <v>jennifer.moore</v>
      </c>
      <c r="C2296" t="s">
        <v>947</v>
      </c>
      <c r="E2296" s="17" t="s">
        <v>1583</v>
      </c>
      <c r="F2296" s="89">
        <v>43692</v>
      </c>
      <c r="J2296" t="s">
        <v>1431</v>
      </c>
      <c r="K2296" s="120">
        <v>0.15</v>
      </c>
    </row>
    <row r="2297" spans="2:11" hidden="1" x14ac:dyDescent="0.25">
      <c r="B2297" s="28" t="str">
        <f>IF(ISNUMBER(MATCH(C2297, Mgt_Unit!$C$5:$C$1018, 0)), INDEX(Mgt_Unit!$B$5:$B$1018, MATCH(C2297, Mgt_Unit!$C$5:$C$1018, 0)), "")</f>
        <v>jennifer.moore</v>
      </c>
      <c r="C2297" t="s">
        <v>948</v>
      </c>
      <c r="E2297" s="17" t="s">
        <v>1583</v>
      </c>
      <c r="F2297" s="89">
        <v>43209</v>
      </c>
      <c r="J2297" t="s">
        <v>1445</v>
      </c>
      <c r="K2297" s="120">
        <v>30</v>
      </c>
    </row>
    <row r="2298" spans="2:11" hidden="1" x14ac:dyDescent="0.25">
      <c r="B2298" s="28" t="str">
        <f>IF(ISNUMBER(MATCH(C2298, Mgt_Unit!$C$5:$C$1018, 0)), INDEX(Mgt_Unit!$B$5:$B$1018, MATCH(C2298, Mgt_Unit!$C$5:$C$1018, 0)), "")</f>
        <v>jennifer.moore</v>
      </c>
      <c r="C2298" t="s">
        <v>948</v>
      </c>
      <c r="E2298" s="17" t="s">
        <v>1583</v>
      </c>
      <c r="F2298" s="89">
        <v>43209</v>
      </c>
      <c r="J2298" t="s">
        <v>1445</v>
      </c>
      <c r="K2298" s="120">
        <v>30</v>
      </c>
    </row>
    <row r="2299" spans="2:11" hidden="1" x14ac:dyDescent="0.25">
      <c r="B2299" s="28" t="str">
        <f>IF(ISNUMBER(MATCH(C2299, Mgt_Unit!$C$5:$C$1018, 0)), INDEX(Mgt_Unit!$B$5:$B$1018, MATCH(C2299, Mgt_Unit!$C$5:$C$1018, 0)), "")</f>
        <v>jennifer.moore</v>
      </c>
      <c r="C2299" t="s">
        <v>948</v>
      </c>
      <c r="E2299" s="17" t="s">
        <v>1584</v>
      </c>
      <c r="F2299" s="89">
        <v>43573</v>
      </c>
      <c r="J2299" t="s">
        <v>1398</v>
      </c>
      <c r="K2299" s="120">
        <v>4</v>
      </c>
    </row>
    <row r="2300" spans="2:11" hidden="1" x14ac:dyDescent="0.25">
      <c r="B2300" s="28" t="str">
        <f>IF(ISNUMBER(MATCH(C2300, Mgt_Unit!$C$5:$C$1018, 0)), INDEX(Mgt_Unit!$B$5:$B$1018, MATCH(C2300, Mgt_Unit!$C$5:$C$1018, 0)), "")</f>
        <v>jennifer.moore</v>
      </c>
      <c r="C2300" t="s">
        <v>948</v>
      </c>
      <c r="E2300" s="17" t="s">
        <v>1583</v>
      </c>
      <c r="F2300" s="89">
        <v>43574</v>
      </c>
      <c r="J2300" t="s">
        <v>1445</v>
      </c>
      <c r="K2300" s="120">
        <v>30</v>
      </c>
    </row>
    <row r="2301" spans="2:11" hidden="1" x14ac:dyDescent="0.25">
      <c r="B2301" s="28" t="str">
        <f>IF(ISNUMBER(MATCH(C2301, Mgt_Unit!$C$5:$C$1018, 0)), INDEX(Mgt_Unit!$B$5:$B$1018, MATCH(C2301, Mgt_Unit!$C$5:$C$1018, 0)), "")</f>
        <v>jennifer.moore</v>
      </c>
      <c r="C2301" t="s">
        <v>948</v>
      </c>
      <c r="E2301" s="17" t="s">
        <v>1583</v>
      </c>
      <c r="F2301" s="89">
        <v>43692</v>
      </c>
      <c r="J2301" t="s">
        <v>1431</v>
      </c>
      <c r="K2301" s="120">
        <v>0.15</v>
      </c>
    </row>
    <row r="2302" spans="2:11" hidden="1" x14ac:dyDescent="0.25">
      <c r="B2302" s="28" t="str">
        <f>IF(ISNUMBER(MATCH(C2302, Mgt_Unit!$C$5:$C$1018, 0)), INDEX(Mgt_Unit!$B$5:$B$1018, MATCH(C2302, Mgt_Unit!$C$5:$C$1018, 0)), "")</f>
        <v>jennifer.moore</v>
      </c>
      <c r="C2302" t="s">
        <v>949</v>
      </c>
      <c r="E2302" s="17" t="s">
        <v>1584</v>
      </c>
      <c r="F2302" s="89">
        <v>43226</v>
      </c>
      <c r="J2302" t="s">
        <v>1398</v>
      </c>
      <c r="K2302" s="120">
        <v>4</v>
      </c>
    </row>
    <row r="2303" spans="2:11" hidden="1" x14ac:dyDescent="0.25">
      <c r="B2303" s="28" t="str">
        <f>IF(ISNUMBER(MATCH(C2303, Mgt_Unit!$C$5:$C$1018, 0)), INDEX(Mgt_Unit!$B$5:$B$1018, MATCH(C2303, Mgt_Unit!$C$5:$C$1018, 0)), "")</f>
        <v>jennifer.moore</v>
      </c>
      <c r="C2303" t="s">
        <v>949</v>
      </c>
      <c r="E2303" s="17" t="s">
        <v>1583</v>
      </c>
      <c r="F2303" s="89">
        <v>43307</v>
      </c>
      <c r="J2303" t="s">
        <v>1431</v>
      </c>
      <c r="K2303" s="120">
        <v>0.15</v>
      </c>
    </row>
    <row r="2304" spans="2:11" hidden="1" x14ac:dyDescent="0.25">
      <c r="B2304" s="28" t="str">
        <f>IF(ISNUMBER(MATCH(C2304, Mgt_Unit!$C$5:$C$1018, 0)), INDEX(Mgt_Unit!$B$5:$B$1018, MATCH(C2304, Mgt_Unit!$C$5:$C$1018, 0)), "")</f>
        <v>jennifer.moore</v>
      </c>
      <c r="C2304" t="s">
        <v>949</v>
      </c>
      <c r="E2304" s="17" t="s">
        <v>1584</v>
      </c>
      <c r="F2304" s="89">
        <v>43573</v>
      </c>
      <c r="J2304" t="s">
        <v>1398</v>
      </c>
      <c r="K2304" s="120">
        <v>4</v>
      </c>
    </row>
    <row r="2305" spans="2:11" hidden="1" x14ac:dyDescent="0.25">
      <c r="B2305" s="28" t="str">
        <f>IF(ISNUMBER(MATCH(C2305, Mgt_Unit!$C$5:$C$1018, 0)), INDEX(Mgt_Unit!$B$5:$B$1018, MATCH(C2305, Mgt_Unit!$C$5:$C$1018, 0)), "")</f>
        <v>jennifer.moore</v>
      </c>
      <c r="C2305" t="s">
        <v>949</v>
      </c>
      <c r="E2305" s="17" t="s">
        <v>1583</v>
      </c>
      <c r="F2305" s="89">
        <v>43692</v>
      </c>
      <c r="J2305" t="s">
        <v>1431</v>
      </c>
      <c r="K2305" s="120">
        <v>0.15</v>
      </c>
    </row>
    <row r="2306" spans="2:11" hidden="1" x14ac:dyDescent="0.25">
      <c r="B2306" s="28" t="str">
        <f>IF(ISNUMBER(MATCH(C2306, Mgt_Unit!$C$5:$C$1018, 0)), INDEX(Mgt_Unit!$B$5:$B$1018, MATCH(C2306, Mgt_Unit!$C$5:$C$1018, 0)), "")</f>
        <v>jennifer.moore</v>
      </c>
      <c r="C2306" t="s">
        <v>950</v>
      </c>
      <c r="E2306" s="17" t="s">
        <v>1584</v>
      </c>
      <c r="F2306" s="89">
        <v>43226</v>
      </c>
      <c r="J2306" t="s">
        <v>1398</v>
      </c>
      <c r="K2306" s="120">
        <v>4</v>
      </c>
    </row>
    <row r="2307" spans="2:11" hidden="1" x14ac:dyDescent="0.25">
      <c r="B2307" s="28" t="str">
        <f>IF(ISNUMBER(MATCH(C2307, Mgt_Unit!$C$5:$C$1018, 0)), INDEX(Mgt_Unit!$B$5:$B$1018, MATCH(C2307, Mgt_Unit!$C$5:$C$1018, 0)), "")</f>
        <v>jennifer.moore</v>
      </c>
      <c r="C2307" t="s">
        <v>950</v>
      </c>
      <c r="E2307" s="17" t="s">
        <v>1583</v>
      </c>
      <c r="F2307" s="89">
        <v>43307</v>
      </c>
      <c r="J2307" t="s">
        <v>1431</v>
      </c>
      <c r="K2307" s="120">
        <v>0.15</v>
      </c>
    </row>
    <row r="2308" spans="2:11" hidden="1" x14ac:dyDescent="0.25">
      <c r="B2308" s="28" t="str">
        <f>IF(ISNUMBER(MATCH(C2308, Mgt_Unit!$C$5:$C$1018, 0)), INDEX(Mgt_Unit!$B$5:$B$1018, MATCH(C2308, Mgt_Unit!$C$5:$C$1018, 0)), "")</f>
        <v>jennifer.moore</v>
      </c>
      <c r="C2308" t="s">
        <v>950</v>
      </c>
      <c r="E2308" s="17" t="s">
        <v>1584</v>
      </c>
      <c r="F2308" s="89">
        <v>43573</v>
      </c>
      <c r="J2308" t="s">
        <v>1398</v>
      </c>
      <c r="K2308" s="120">
        <v>4</v>
      </c>
    </row>
    <row r="2309" spans="2:11" hidden="1" x14ac:dyDescent="0.25">
      <c r="B2309" s="28" t="str">
        <f>IF(ISNUMBER(MATCH(C2309, Mgt_Unit!$C$5:$C$1018, 0)), INDEX(Mgt_Unit!$B$5:$B$1018, MATCH(C2309, Mgt_Unit!$C$5:$C$1018, 0)), "")</f>
        <v>jennifer.moore</v>
      </c>
      <c r="C2309" t="s">
        <v>950</v>
      </c>
      <c r="E2309" s="17" t="s">
        <v>1583</v>
      </c>
      <c r="F2309" s="89">
        <v>43692</v>
      </c>
      <c r="J2309" t="s">
        <v>1431</v>
      </c>
      <c r="K2309" s="120">
        <v>0.15</v>
      </c>
    </row>
    <row r="2310" spans="2:11" hidden="1" x14ac:dyDescent="0.25">
      <c r="B2310" s="28" t="str">
        <f>IF(ISNUMBER(MATCH(C2310, Mgt_Unit!$C$5:$C$1018, 0)), INDEX(Mgt_Unit!$B$5:$B$1018, MATCH(C2310, Mgt_Unit!$C$5:$C$1018, 0)), "")</f>
        <v>jennifer.moore</v>
      </c>
      <c r="C2310" t="s">
        <v>951</v>
      </c>
      <c r="E2310" s="17" t="s">
        <v>1584</v>
      </c>
      <c r="F2310" s="89">
        <v>42481</v>
      </c>
      <c r="J2310" t="s">
        <v>1398</v>
      </c>
      <c r="K2310" s="120">
        <v>4</v>
      </c>
    </row>
    <row r="2311" spans="2:11" hidden="1" x14ac:dyDescent="0.25">
      <c r="B2311" s="28" t="str">
        <f>IF(ISNUMBER(MATCH(C2311, Mgt_Unit!$C$5:$C$1018, 0)), INDEX(Mgt_Unit!$B$5:$B$1018, MATCH(C2311, Mgt_Unit!$C$5:$C$1018, 0)), "")</f>
        <v>jennifer.moore</v>
      </c>
      <c r="C2311" t="s">
        <v>951</v>
      </c>
      <c r="E2311" s="17" t="s">
        <v>1583</v>
      </c>
      <c r="F2311" s="89">
        <v>42492</v>
      </c>
      <c r="J2311" t="s">
        <v>1481</v>
      </c>
      <c r="K2311" s="120">
        <v>0.98</v>
      </c>
    </row>
    <row r="2312" spans="2:11" hidden="1" x14ac:dyDescent="0.25">
      <c r="B2312" s="28" t="str">
        <f>IF(ISNUMBER(MATCH(C2312, Mgt_Unit!$C$5:$C$1018, 0)), INDEX(Mgt_Unit!$B$5:$B$1018, MATCH(C2312, Mgt_Unit!$C$5:$C$1018, 0)), "")</f>
        <v>jennifer.moore</v>
      </c>
      <c r="C2312" t="s">
        <v>951</v>
      </c>
      <c r="E2312" s="17" t="s">
        <v>1583</v>
      </c>
      <c r="F2312" s="89">
        <v>42560</v>
      </c>
      <c r="J2312" t="s">
        <v>1431</v>
      </c>
      <c r="K2312" s="120">
        <v>0.15</v>
      </c>
    </row>
    <row r="2313" spans="2:11" hidden="1" x14ac:dyDescent="0.25">
      <c r="B2313" s="28" t="str">
        <f>IF(ISNUMBER(MATCH(C2313, Mgt_Unit!$C$5:$C$1018, 0)), INDEX(Mgt_Unit!$B$5:$B$1018, MATCH(C2313, Mgt_Unit!$C$5:$C$1018, 0)), "")</f>
        <v>jennifer.moore</v>
      </c>
      <c r="C2313" t="s">
        <v>951</v>
      </c>
      <c r="E2313" s="17" t="s">
        <v>1584</v>
      </c>
      <c r="F2313" s="89">
        <v>42856</v>
      </c>
      <c r="J2313" t="s">
        <v>1398</v>
      </c>
      <c r="K2313" s="120">
        <v>4</v>
      </c>
    </row>
    <row r="2314" spans="2:11" hidden="1" x14ac:dyDescent="0.25">
      <c r="B2314" s="28" t="str">
        <f>IF(ISNUMBER(MATCH(C2314, Mgt_Unit!$C$5:$C$1018, 0)), INDEX(Mgt_Unit!$B$5:$B$1018, MATCH(C2314, Mgt_Unit!$C$5:$C$1018, 0)), "")</f>
        <v>jennifer.moore</v>
      </c>
      <c r="C2314" t="s">
        <v>951</v>
      </c>
      <c r="E2314" s="17" t="s">
        <v>1583</v>
      </c>
      <c r="F2314" s="89">
        <v>42961</v>
      </c>
      <c r="J2314" t="s">
        <v>1431</v>
      </c>
      <c r="K2314" s="120">
        <v>0.15</v>
      </c>
    </row>
    <row r="2315" spans="2:11" hidden="1" x14ac:dyDescent="0.25">
      <c r="B2315" s="28" t="str">
        <f>IF(ISNUMBER(MATCH(C2315, Mgt_Unit!$C$5:$C$1018, 0)), INDEX(Mgt_Unit!$B$5:$B$1018, MATCH(C2315, Mgt_Unit!$C$5:$C$1018, 0)), "")</f>
        <v>jennifer.moore</v>
      </c>
      <c r="C2315" t="s">
        <v>952</v>
      </c>
      <c r="E2315" s="17" t="s">
        <v>1584</v>
      </c>
      <c r="F2315" s="89">
        <v>42492</v>
      </c>
      <c r="J2315" t="s">
        <v>1398</v>
      </c>
      <c r="K2315" s="120">
        <v>4</v>
      </c>
    </row>
    <row r="2316" spans="2:11" hidden="1" x14ac:dyDescent="0.25">
      <c r="B2316" s="28" t="str">
        <f>IF(ISNUMBER(MATCH(C2316, Mgt_Unit!$C$5:$C$1018, 0)), INDEX(Mgt_Unit!$B$5:$B$1018, MATCH(C2316, Mgt_Unit!$C$5:$C$1018, 0)), "")</f>
        <v>jennifer.moore</v>
      </c>
      <c r="C2316" t="s">
        <v>952</v>
      </c>
      <c r="E2316" s="17" t="s">
        <v>1583</v>
      </c>
      <c r="F2316" s="89">
        <v>42492</v>
      </c>
      <c r="J2316" t="s">
        <v>1463</v>
      </c>
      <c r="K2316" s="120">
        <v>37</v>
      </c>
    </row>
    <row r="2317" spans="2:11" hidden="1" x14ac:dyDescent="0.25">
      <c r="B2317" s="28" t="str">
        <f>IF(ISNUMBER(MATCH(C2317, Mgt_Unit!$C$5:$C$1018, 0)), INDEX(Mgt_Unit!$B$5:$B$1018, MATCH(C2317, Mgt_Unit!$C$5:$C$1018, 0)), "")</f>
        <v>jennifer.moore</v>
      </c>
      <c r="C2317" t="s">
        <v>952</v>
      </c>
      <c r="E2317" s="17" t="s">
        <v>1583</v>
      </c>
      <c r="F2317" s="89">
        <v>42593</v>
      </c>
      <c r="J2317" t="s">
        <v>1431</v>
      </c>
      <c r="K2317" s="120">
        <v>0.15</v>
      </c>
    </row>
    <row r="2318" spans="2:11" hidden="1" x14ac:dyDescent="0.25">
      <c r="B2318" s="28" t="str">
        <f>IF(ISNUMBER(MATCH(C2318, Mgt_Unit!$C$5:$C$1018, 0)), INDEX(Mgt_Unit!$B$5:$B$1018, MATCH(C2318, Mgt_Unit!$C$5:$C$1018, 0)), "")</f>
        <v>jennifer.moore</v>
      </c>
      <c r="C2318" t="s">
        <v>952</v>
      </c>
      <c r="E2318" s="17" t="s">
        <v>1583</v>
      </c>
      <c r="F2318" s="89">
        <v>42627</v>
      </c>
      <c r="J2318" t="s">
        <v>1445</v>
      </c>
      <c r="K2318" s="120">
        <v>30</v>
      </c>
    </row>
    <row r="2319" spans="2:11" hidden="1" x14ac:dyDescent="0.25">
      <c r="B2319" s="28" t="str">
        <f>IF(ISNUMBER(MATCH(C2319, Mgt_Unit!$C$5:$C$1018, 0)), INDEX(Mgt_Unit!$B$5:$B$1018, MATCH(C2319, Mgt_Unit!$C$5:$C$1018, 0)), "")</f>
        <v>jennifer.moore</v>
      </c>
      <c r="C2319" t="s">
        <v>953</v>
      </c>
      <c r="E2319" s="17" t="s">
        <v>1584</v>
      </c>
      <c r="F2319" s="89">
        <v>42492</v>
      </c>
      <c r="J2319" t="s">
        <v>1398</v>
      </c>
      <c r="K2319" s="120">
        <v>4</v>
      </c>
    </row>
    <row r="2320" spans="2:11" hidden="1" x14ac:dyDescent="0.25">
      <c r="B2320" s="28" t="str">
        <f>IF(ISNUMBER(MATCH(C2320, Mgt_Unit!$C$5:$C$1018, 0)), INDEX(Mgt_Unit!$B$5:$B$1018, MATCH(C2320, Mgt_Unit!$C$5:$C$1018, 0)), "")</f>
        <v>jennifer.moore</v>
      </c>
      <c r="C2320" t="s">
        <v>953</v>
      </c>
      <c r="E2320" s="17" t="s">
        <v>1583</v>
      </c>
      <c r="F2320" s="89">
        <v>42593</v>
      </c>
      <c r="J2320" t="s">
        <v>1431</v>
      </c>
      <c r="K2320" s="120">
        <v>0.15</v>
      </c>
    </row>
    <row r="2321" spans="2:11" hidden="1" x14ac:dyDescent="0.25">
      <c r="B2321" s="28" t="str">
        <f>IF(ISNUMBER(MATCH(C2321, Mgt_Unit!$C$5:$C$1018, 0)), INDEX(Mgt_Unit!$B$5:$B$1018, MATCH(C2321, Mgt_Unit!$C$5:$C$1018, 0)), "")</f>
        <v>jennifer.moore</v>
      </c>
      <c r="C2321" t="s">
        <v>954</v>
      </c>
      <c r="E2321" s="17" t="s">
        <v>1583</v>
      </c>
      <c r="F2321" s="89">
        <v>42488</v>
      </c>
      <c r="J2321" t="s">
        <v>1445</v>
      </c>
      <c r="K2321" s="120">
        <v>30</v>
      </c>
    </row>
    <row r="2322" spans="2:11" hidden="1" x14ac:dyDescent="0.25">
      <c r="B2322" s="28" t="str">
        <f>IF(ISNUMBER(MATCH(C2322, Mgt_Unit!$C$5:$C$1018, 0)), INDEX(Mgt_Unit!$B$5:$B$1018, MATCH(C2322, Mgt_Unit!$C$5:$C$1018, 0)), "")</f>
        <v>jennifer.moore</v>
      </c>
      <c r="C2322" t="s">
        <v>954</v>
      </c>
      <c r="E2322" s="17" t="s">
        <v>1583</v>
      </c>
      <c r="F2322" s="89">
        <v>42488</v>
      </c>
      <c r="J2322" t="s">
        <v>1445</v>
      </c>
      <c r="K2322" s="120">
        <v>30</v>
      </c>
    </row>
    <row r="2323" spans="2:11" hidden="1" x14ac:dyDescent="0.25">
      <c r="B2323" s="28" t="str">
        <f>IF(ISNUMBER(MATCH(C2323, Mgt_Unit!$C$5:$C$1018, 0)), INDEX(Mgt_Unit!$B$5:$B$1018, MATCH(C2323, Mgt_Unit!$C$5:$C$1018, 0)), "")</f>
        <v>jennifer.moore</v>
      </c>
      <c r="C2323" t="s">
        <v>954</v>
      </c>
      <c r="E2323" s="17" t="s">
        <v>1583</v>
      </c>
      <c r="F2323" s="89">
        <v>42853</v>
      </c>
      <c r="J2323" t="s">
        <v>1445</v>
      </c>
      <c r="K2323" s="120">
        <v>30</v>
      </c>
    </row>
    <row r="2324" spans="2:11" hidden="1" x14ac:dyDescent="0.25">
      <c r="B2324" s="28" t="str">
        <f>IF(ISNUMBER(MATCH(C2324, Mgt_Unit!$C$5:$C$1018, 0)), INDEX(Mgt_Unit!$B$5:$B$1018, MATCH(C2324, Mgt_Unit!$C$5:$C$1018, 0)), "")</f>
        <v>jennifer.moore</v>
      </c>
      <c r="C2324" t="s">
        <v>954</v>
      </c>
      <c r="E2324" s="17" t="s">
        <v>1584</v>
      </c>
      <c r="F2324" s="89">
        <v>42856</v>
      </c>
      <c r="J2324" t="s">
        <v>1398</v>
      </c>
      <c r="K2324" s="120">
        <v>4</v>
      </c>
    </row>
    <row r="2325" spans="2:11" hidden="1" x14ac:dyDescent="0.25">
      <c r="B2325" s="28" t="str">
        <f>IF(ISNUMBER(MATCH(C2325, Mgt_Unit!$C$5:$C$1018, 0)), INDEX(Mgt_Unit!$B$5:$B$1018, MATCH(C2325, Mgt_Unit!$C$5:$C$1018, 0)), "")</f>
        <v>jennifer.moore</v>
      </c>
      <c r="C2325" t="s">
        <v>954</v>
      </c>
      <c r="E2325" s="17" t="s">
        <v>1583</v>
      </c>
      <c r="F2325" s="89">
        <v>42961</v>
      </c>
      <c r="J2325" t="s">
        <v>1431</v>
      </c>
      <c r="K2325" s="120">
        <v>0.15</v>
      </c>
    </row>
    <row r="2326" spans="2:11" hidden="1" x14ac:dyDescent="0.25">
      <c r="B2326" s="28" t="str">
        <f>IF(ISNUMBER(MATCH(C2326, Mgt_Unit!$C$5:$C$1018, 0)), INDEX(Mgt_Unit!$B$5:$B$1018, MATCH(C2326, Mgt_Unit!$C$5:$C$1018, 0)), "")</f>
        <v>jennifer.moore</v>
      </c>
      <c r="C2326" t="s">
        <v>955</v>
      </c>
      <c r="E2326" s="17" t="s">
        <v>1583</v>
      </c>
      <c r="F2326" s="89">
        <v>43215</v>
      </c>
      <c r="J2326" t="s">
        <v>1436</v>
      </c>
      <c r="K2326" s="120">
        <v>42</v>
      </c>
    </row>
    <row r="2327" spans="2:11" hidden="1" x14ac:dyDescent="0.25">
      <c r="B2327" s="28" t="str">
        <f>IF(ISNUMBER(MATCH(C2327, Mgt_Unit!$C$5:$C$1018, 0)), INDEX(Mgt_Unit!$B$5:$B$1018, MATCH(C2327, Mgt_Unit!$C$5:$C$1018, 0)), "")</f>
        <v>jennifer.moore</v>
      </c>
      <c r="C2327" t="s">
        <v>955</v>
      </c>
      <c r="E2327" s="17" t="s">
        <v>1584</v>
      </c>
      <c r="F2327" s="89">
        <v>43235</v>
      </c>
      <c r="J2327" t="s">
        <v>1353</v>
      </c>
      <c r="K2327" s="120">
        <v>2.4</v>
      </c>
    </row>
    <row r="2328" spans="2:11" hidden="1" x14ac:dyDescent="0.25">
      <c r="B2328" s="28" t="str">
        <f>IF(ISNUMBER(MATCH(C2328, Mgt_Unit!$C$5:$C$1018, 0)), INDEX(Mgt_Unit!$B$5:$B$1018, MATCH(C2328, Mgt_Unit!$C$5:$C$1018, 0)), "")</f>
        <v>jennifer.moore</v>
      </c>
      <c r="C2328" t="s">
        <v>955</v>
      </c>
      <c r="E2328" s="17" t="s">
        <v>1583</v>
      </c>
      <c r="F2328" s="89">
        <v>43580</v>
      </c>
      <c r="J2328" t="s">
        <v>1436</v>
      </c>
      <c r="K2328" s="120">
        <v>42</v>
      </c>
    </row>
    <row r="2329" spans="2:11" hidden="1" x14ac:dyDescent="0.25">
      <c r="B2329" s="28" t="str">
        <f>IF(ISNUMBER(MATCH(C2329, Mgt_Unit!$C$5:$C$1018, 0)), INDEX(Mgt_Unit!$B$5:$B$1018, MATCH(C2329, Mgt_Unit!$C$5:$C$1018, 0)), "")</f>
        <v>jennifer.moore</v>
      </c>
      <c r="C2329" t="s">
        <v>955</v>
      </c>
      <c r="E2329" s="17" t="s">
        <v>1584</v>
      </c>
      <c r="F2329" s="89">
        <v>43586</v>
      </c>
      <c r="J2329" t="s">
        <v>1353</v>
      </c>
      <c r="K2329" s="120">
        <v>2.4</v>
      </c>
    </row>
    <row r="2330" spans="2:11" hidden="1" x14ac:dyDescent="0.25">
      <c r="B2330" s="28" t="str">
        <f>IF(ISNUMBER(MATCH(C2330, Mgt_Unit!$C$5:$C$1018, 0)), INDEX(Mgt_Unit!$B$5:$B$1018, MATCH(C2330, Mgt_Unit!$C$5:$C$1018, 0)), "")</f>
        <v>jennifer.moore</v>
      </c>
      <c r="C2330" t="s">
        <v>956</v>
      </c>
      <c r="E2330" s="17" t="s">
        <v>1583</v>
      </c>
      <c r="F2330" s="89">
        <v>43215</v>
      </c>
      <c r="J2330" t="s">
        <v>1402</v>
      </c>
      <c r="K2330" s="120">
        <v>65</v>
      </c>
    </row>
    <row r="2331" spans="2:11" hidden="1" x14ac:dyDescent="0.25">
      <c r="B2331" s="28" t="str">
        <f>IF(ISNUMBER(MATCH(C2331, Mgt_Unit!$C$5:$C$1018, 0)), INDEX(Mgt_Unit!$B$5:$B$1018, MATCH(C2331, Mgt_Unit!$C$5:$C$1018, 0)), "")</f>
        <v>jennifer.moore</v>
      </c>
      <c r="C2331" t="s">
        <v>956</v>
      </c>
      <c r="E2331" s="17" t="s">
        <v>1583</v>
      </c>
      <c r="F2331" s="89">
        <v>43215</v>
      </c>
      <c r="J2331" t="s">
        <v>1396</v>
      </c>
      <c r="K2331" s="120">
        <v>37</v>
      </c>
    </row>
    <row r="2332" spans="2:11" hidden="1" x14ac:dyDescent="0.25">
      <c r="B2332" s="28" t="str">
        <f>IF(ISNUMBER(MATCH(C2332, Mgt_Unit!$C$5:$C$1018, 0)), INDEX(Mgt_Unit!$B$5:$B$1018, MATCH(C2332, Mgt_Unit!$C$5:$C$1018, 0)), "")</f>
        <v>jennifer.moore</v>
      </c>
      <c r="C2332" t="s">
        <v>956</v>
      </c>
      <c r="E2332" s="17" t="s">
        <v>1584</v>
      </c>
      <c r="F2332" s="89">
        <v>43235</v>
      </c>
      <c r="J2332" t="s">
        <v>1353</v>
      </c>
      <c r="K2332" s="120">
        <v>2.4</v>
      </c>
    </row>
    <row r="2333" spans="2:11" hidden="1" x14ac:dyDescent="0.25">
      <c r="B2333" s="28" t="str">
        <f>IF(ISNUMBER(MATCH(C2333, Mgt_Unit!$C$5:$C$1018, 0)), INDEX(Mgt_Unit!$B$5:$B$1018, MATCH(C2333, Mgt_Unit!$C$5:$C$1018, 0)), "")</f>
        <v>jennifer.moore</v>
      </c>
      <c r="C2333" t="s">
        <v>956</v>
      </c>
      <c r="E2333" s="17" t="s">
        <v>1583</v>
      </c>
      <c r="F2333" s="89">
        <v>43580</v>
      </c>
      <c r="J2333" t="s">
        <v>1402</v>
      </c>
      <c r="K2333" s="120">
        <v>65</v>
      </c>
    </row>
    <row r="2334" spans="2:11" hidden="1" x14ac:dyDescent="0.25">
      <c r="B2334" s="28" t="str">
        <f>IF(ISNUMBER(MATCH(C2334, Mgt_Unit!$C$5:$C$1018, 0)), INDEX(Mgt_Unit!$B$5:$B$1018, MATCH(C2334, Mgt_Unit!$C$5:$C$1018, 0)), "")</f>
        <v>jennifer.moore</v>
      </c>
      <c r="C2334" t="s">
        <v>956</v>
      </c>
      <c r="E2334" s="17" t="s">
        <v>1583</v>
      </c>
      <c r="F2334" s="89">
        <v>43580</v>
      </c>
      <c r="J2334" t="s">
        <v>1396</v>
      </c>
      <c r="K2334" s="120">
        <v>37</v>
      </c>
    </row>
    <row r="2335" spans="2:11" hidden="1" x14ac:dyDescent="0.25">
      <c r="B2335" s="28" t="str">
        <f>IF(ISNUMBER(MATCH(C2335, Mgt_Unit!$C$5:$C$1018, 0)), INDEX(Mgt_Unit!$B$5:$B$1018, MATCH(C2335, Mgt_Unit!$C$5:$C$1018, 0)), "")</f>
        <v>jennifer.moore</v>
      </c>
      <c r="C2335" t="s">
        <v>956</v>
      </c>
      <c r="E2335" s="17" t="s">
        <v>1584</v>
      </c>
      <c r="F2335" s="89">
        <v>43586</v>
      </c>
      <c r="J2335" t="s">
        <v>1353</v>
      </c>
      <c r="K2335" s="120">
        <v>2.4</v>
      </c>
    </row>
    <row r="2336" spans="2:11" hidden="1" x14ac:dyDescent="0.25">
      <c r="B2336" s="28" t="str">
        <f>IF(ISNUMBER(MATCH(C2336, Mgt_Unit!$C$5:$C$1018, 0)), INDEX(Mgt_Unit!$B$5:$B$1018, MATCH(C2336, Mgt_Unit!$C$5:$C$1018, 0)), "")</f>
        <v>jennifer.moore</v>
      </c>
      <c r="C2336" t="s">
        <v>957</v>
      </c>
      <c r="E2336" s="17" t="s">
        <v>1584</v>
      </c>
      <c r="F2336" s="89">
        <v>43235</v>
      </c>
      <c r="J2336" t="s">
        <v>1353</v>
      </c>
      <c r="K2336" s="120">
        <v>2.4</v>
      </c>
    </row>
    <row r="2337" spans="2:11" hidden="1" x14ac:dyDescent="0.25">
      <c r="B2337" s="28" t="str">
        <f>IF(ISNUMBER(MATCH(C2337, Mgt_Unit!$C$5:$C$1018, 0)), INDEX(Mgt_Unit!$B$5:$B$1018, MATCH(C2337, Mgt_Unit!$C$5:$C$1018, 0)), "")</f>
        <v>jennifer.moore</v>
      </c>
      <c r="C2337" t="s">
        <v>957</v>
      </c>
      <c r="E2337" s="17" t="s">
        <v>1584</v>
      </c>
      <c r="F2337" s="89">
        <v>43586</v>
      </c>
      <c r="J2337" t="s">
        <v>1353</v>
      </c>
      <c r="K2337" s="120">
        <v>2.4</v>
      </c>
    </row>
    <row r="2338" spans="2:11" hidden="1" x14ac:dyDescent="0.25">
      <c r="B2338" s="28" t="str">
        <f>IF(ISNUMBER(MATCH(C2338, Mgt_Unit!$C$5:$C$1018, 0)), INDEX(Mgt_Unit!$B$5:$B$1018, MATCH(C2338, Mgt_Unit!$C$5:$C$1018, 0)), "")</f>
        <v>jennifer.moore</v>
      </c>
      <c r="C2338" t="s">
        <v>958</v>
      </c>
      <c r="E2338" s="17" t="s">
        <v>1583</v>
      </c>
      <c r="F2338" s="89">
        <v>42467</v>
      </c>
      <c r="J2338" t="s">
        <v>1396</v>
      </c>
      <c r="K2338" s="120">
        <v>37</v>
      </c>
    </row>
    <row r="2339" spans="2:11" hidden="1" x14ac:dyDescent="0.25">
      <c r="B2339" s="28" t="str">
        <f>IF(ISNUMBER(MATCH(C2339, Mgt_Unit!$C$5:$C$1018, 0)), INDEX(Mgt_Unit!$B$5:$B$1018, MATCH(C2339, Mgt_Unit!$C$5:$C$1018, 0)), "")</f>
        <v>jennifer.moore</v>
      </c>
      <c r="C2339" t="s">
        <v>958</v>
      </c>
      <c r="E2339" s="17" t="s">
        <v>1583</v>
      </c>
      <c r="F2339" s="89">
        <v>42479</v>
      </c>
      <c r="J2339" t="s">
        <v>1396</v>
      </c>
      <c r="K2339" s="120">
        <v>37</v>
      </c>
    </row>
    <row r="2340" spans="2:11" hidden="1" x14ac:dyDescent="0.25">
      <c r="B2340" s="28" t="str">
        <f>IF(ISNUMBER(MATCH(C2340, Mgt_Unit!$C$5:$C$1018, 0)), INDEX(Mgt_Unit!$B$5:$B$1018, MATCH(C2340, Mgt_Unit!$C$5:$C$1018, 0)), "")</f>
        <v>jennifer.moore</v>
      </c>
      <c r="C2340" t="s">
        <v>958</v>
      </c>
      <c r="E2340" s="17" t="s">
        <v>1584</v>
      </c>
      <c r="F2340" s="89">
        <v>42481</v>
      </c>
      <c r="J2340" t="s">
        <v>1395</v>
      </c>
      <c r="K2340" s="120">
        <v>7.8</v>
      </c>
    </row>
    <row r="2341" spans="2:11" hidden="1" x14ac:dyDescent="0.25">
      <c r="B2341" s="28" t="str">
        <f>IF(ISNUMBER(MATCH(C2341, Mgt_Unit!$C$5:$C$1018, 0)), INDEX(Mgt_Unit!$B$5:$B$1018, MATCH(C2341, Mgt_Unit!$C$5:$C$1018, 0)), "")</f>
        <v>jennifer.moore</v>
      </c>
      <c r="C2341" t="s">
        <v>958</v>
      </c>
      <c r="E2341" s="17" t="s">
        <v>1583</v>
      </c>
      <c r="F2341" s="89">
        <v>42481</v>
      </c>
      <c r="J2341" t="s">
        <v>1482</v>
      </c>
      <c r="K2341" s="120">
        <v>26</v>
      </c>
    </row>
    <row r="2342" spans="2:11" hidden="1" x14ac:dyDescent="0.25">
      <c r="B2342" s="28" t="str">
        <f>IF(ISNUMBER(MATCH(C2342, Mgt_Unit!$C$5:$C$1018, 0)), INDEX(Mgt_Unit!$B$5:$B$1018, MATCH(C2342, Mgt_Unit!$C$5:$C$1018, 0)), "")</f>
        <v>jennifer.moore</v>
      </c>
      <c r="C2342" t="s">
        <v>958</v>
      </c>
      <c r="E2342" s="17" t="s">
        <v>1583</v>
      </c>
      <c r="F2342" s="89">
        <v>42668</v>
      </c>
      <c r="J2342" t="s">
        <v>1396</v>
      </c>
      <c r="K2342" s="120">
        <v>37</v>
      </c>
    </row>
    <row r="2343" spans="2:11" hidden="1" x14ac:dyDescent="0.25">
      <c r="B2343" s="28" t="str">
        <f>IF(ISNUMBER(MATCH(C2343, Mgt_Unit!$C$5:$C$1018, 0)), INDEX(Mgt_Unit!$B$5:$B$1018, MATCH(C2343, Mgt_Unit!$C$5:$C$1018, 0)), "")</f>
        <v>jennifer.moore</v>
      </c>
      <c r="C2343" t="s">
        <v>958</v>
      </c>
      <c r="E2343" s="17" t="s">
        <v>1583</v>
      </c>
      <c r="F2343" s="89">
        <v>42669</v>
      </c>
      <c r="J2343" t="s">
        <v>1396</v>
      </c>
      <c r="K2343" s="120">
        <v>37</v>
      </c>
    </row>
    <row r="2344" spans="2:11" hidden="1" x14ac:dyDescent="0.25">
      <c r="B2344" s="28" t="str">
        <f>IF(ISNUMBER(MATCH(C2344, Mgt_Unit!$C$5:$C$1018, 0)), INDEX(Mgt_Unit!$B$5:$B$1018, MATCH(C2344, Mgt_Unit!$C$5:$C$1018, 0)), "")</f>
        <v>jennifer.moore</v>
      </c>
      <c r="C2344" t="s">
        <v>958</v>
      </c>
      <c r="E2344" s="17" t="s">
        <v>1583</v>
      </c>
      <c r="F2344" s="89">
        <v>42675</v>
      </c>
      <c r="J2344" t="s">
        <v>1482</v>
      </c>
      <c r="K2344" s="120">
        <v>26</v>
      </c>
    </row>
    <row r="2345" spans="2:11" hidden="1" x14ac:dyDescent="0.25">
      <c r="B2345" s="28" t="str">
        <f>IF(ISNUMBER(MATCH(C2345, Mgt_Unit!$C$5:$C$1018, 0)), INDEX(Mgt_Unit!$B$5:$B$1018, MATCH(C2345, Mgt_Unit!$C$5:$C$1018, 0)), "")</f>
        <v>jennifer.moore</v>
      </c>
      <c r="C2345" t="s">
        <v>958</v>
      </c>
      <c r="E2345" s="17" t="s">
        <v>1584</v>
      </c>
      <c r="F2345" s="89">
        <v>42677</v>
      </c>
      <c r="J2345" t="s">
        <v>1398</v>
      </c>
      <c r="K2345" s="120">
        <v>4</v>
      </c>
    </row>
    <row r="2346" spans="2:11" hidden="1" x14ac:dyDescent="0.25">
      <c r="B2346" s="28" t="str">
        <f>IF(ISNUMBER(MATCH(C2346, Mgt_Unit!$C$5:$C$1018, 0)), INDEX(Mgt_Unit!$B$5:$B$1018, MATCH(C2346, Mgt_Unit!$C$5:$C$1018, 0)), "")</f>
        <v>jennifer.moore</v>
      </c>
      <c r="C2346" t="s">
        <v>958</v>
      </c>
      <c r="E2346" s="17" t="s">
        <v>1584</v>
      </c>
      <c r="F2346" s="89">
        <v>42915</v>
      </c>
      <c r="J2346" t="s">
        <v>1398</v>
      </c>
      <c r="K2346" s="120">
        <v>4</v>
      </c>
    </row>
    <row r="2347" spans="2:11" hidden="1" x14ac:dyDescent="0.25">
      <c r="B2347" s="28" t="str">
        <f>IF(ISNUMBER(MATCH(C2347, Mgt_Unit!$C$5:$C$1018, 0)), INDEX(Mgt_Unit!$B$5:$B$1018, MATCH(C2347, Mgt_Unit!$C$5:$C$1018, 0)), "")</f>
        <v>jennifer.moore</v>
      </c>
      <c r="C2347" t="s">
        <v>958</v>
      </c>
      <c r="E2347" s="17" t="s">
        <v>1585</v>
      </c>
      <c r="F2347" s="89">
        <v>43067</v>
      </c>
      <c r="J2347" t="s">
        <v>1398</v>
      </c>
      <c r="K2347" s="120">
        <v>4</v>
      </c>
    </row>
    <row r="2348" spans="2:11" hidden="1" x14ac:dyDescent="0.25">
      <c r="B2348" s="28" t="str">
        <f>IF(ISNUMBER(MATCH(C2348, Mgt_Unit!$C$5:$C$1018, 0)), INDEX(Mgt_Unit!$B$5:$B$1018, MATCH(C2348, Mgt_Unit!$C$5:$C$1018, 0)), "")</f>
        <v>jennifer.moore</v>
      </c>
      <c r="C2348" t="s">
        <v>958</v>
      </c>
      <c r="E2348" s="17" t="s">
        <v>1583</v>
      </c>
      <c r="F2348" s="89">
        <v>43220</v>
      </c>
      <c r="J2348" t="s">
        <v>1396</v>
      </c>
      <c r="K2348" s="120">
        <v>37</v>
      </c>
    </row>
    <row r="2349" spans="2:11" hidden="1" x14ac:dyDescent="0.25">
      <c r="B2349" s="28" t="str">
        <f>IF(ISNUMBER(MATCH(C2349, Mgt_Unit!$C$5:$C$1018, 0)), INDEX(Mgt_Unit!$B$5:$B$1018, MATCH(C2349, Mgt_Unit!$C$5:$C$1018, 0)), "")</f>
        <v>jennifer.moore</v>
      </c>
      <c r="C2349" t="s">
        <v>958</v>
      </c>
      <c r="E2349" s="17" t="s">
        <v>1583</v>
      </c>
      <c r="F2349" s="89">
        <v>43241</v>
      </c>
      <c r="J2349" t="s">
        <v>1396</v>
      </c>
      <c r="K2349" s="120">
        <v>37</v>
      </c>
    </row>
    <row r="2350" spans="2:11" hidden="1" x14ac:dyDescent="0.25">
      <c r="B2350" s="28" t="str">
        <f>IF(ISNUMBER(MATCH(C2350, Mgt_Unit!$C$5:$C$1018, 0)), INDEX(Mgt_Unit!$B$5:$B$1018, MATCH(C2350, Mgt_Unit!$C$5:$C$1018, 0)), "")</f>
        <v>jennifer.moore</v>
      </c>
      <c r="C2350" t="s">
        <v>958</v>
      </c>
      <c r="E2350" s="17" t="s">
        <v>1583</v>
      </c>
      <c r="F2350" s="89">
        <v>43241</v>
      </c>
      <c r="J2350" t="s">
        <v>1396</v>
      </c>
      <c r="K2350" s="120">
        <v>37</v>
      </c>
    </row>
    <row r="2351" spans="2:11" hidden="1" x14ac:dyDescent="0.25">
      <c r="B2351" s="28" t="str">
        <f>IF(ISNUMBER(MATCH(C2351, Mgt_Unit!$C$5:$C$1018, 0)), INDEX(Mgt_Unit!$B$5:$B$1018, MATCH(C2351, Mgt_Unit!$C$5:$C$1018, 0)), "")</f>
        <v>jennifer.moore</v>
      </c>
      <c r="C2351" t="s">
        <v>958</v>
      </c>
      <c r="E2351" s="17" t="s">
        <v>1583</v>
      </c>
      <c r="F2351" s="89">
        <v>43257</v>
      </c>
      <c r="J2351" t="s">
        <v>1482</v>
      </c>
      <c r="K2351" s="120">
        <v>26</v>
      </c>
    </row>
    <row r="2352" spans="2:11" hidden="1" x14ac:dyDescent="0.25">
      <c r="B2352" s="28" t="str">
        <f>IF(ISNUMBER(MATCH(C2352, Mgt_Unit!$C$5:$C$1018, 0)), INDEX(Mgt_Unit!$B$5:$B$1018, MATCH(C2352, Mgt_Unit!$C$5:$C$1018, 0)), "")</f>
        <v>jennifer.moore</v>
      </c>
      <c r="C2352" t="s">
        <v>958</v>
      </c>
      <c r="E2352" s="17" t="s">
        <v>1583</v>
      </c>
      <c r="F2352" s="89">
        <v>43257</v>
      </c>
      <c r="J2352" t="s">
        <v>1396</v>
      </c>
      <c r="K2352" s="120">
        <v>37</v>
      </c>
    </row>
    <row r="2353" spans="2:11" hidden="1" x14ac:dyDescent="0.25">
      <c r="B2353" s="28" t="str">
        <f>IF(ISNUMBER(MATCH(C2353, Mgt_Unit!$C$5:$C$1018, 0)), INDEX(Mgt_Unit!$B$5:$B$1018, MATCH(C2353, Mgt_Unit!$C$5:$C$1018, 0)), "")</f>
        <v>jennifer.moore</v>
      </c>
      <c r="C2353" t="s">
        <v>958</v>
      </c>
      <c r="E2353" s="17" t="s">
        <v>1583</v>
      </c>
      <c r="F2353" s="89">
        <v>43258</v>
      </c>
      <c r="J2353" t="s">
        <v>1395</v>
      </c>
      <c r="K2353" s="120">
        <v>7.8</v>
      </c>
    </row>
    <row r="2354" spans="2:11" hidden="1" x14ac:dyDescent="0.25">
      <c r="B2354" s="28" t="str">
        <f>IF(ISNUMBER(MATCH(C2354, Mgt_Unit!$C$5:$C$1018, 0)), INDEX(Mgt_Unit!$B$5:$B$1018, MATCH(C2354, Mgt_Unit!$C$5:$C$1018, 0)), "")</f>
        <v>jennifer.moore</v>
      </c>
      <c r="C2354" t="s">
        <v>958</v>
      </c>
      <c r="E2354" s="17" t="s">
        <v>1585</v>
      </c>
      <c r="F2354" s="89">
        <v>43440</v>
      </c>
      <c r="J2354" t="s">
        <v>1398</v>
      </c>
      <c r="K2354" s="120">
        <v>4</v>
      </c>
    </row>
    <row r="2355" spans="2:11" hidden="1" x14ac:dyDescent="0.25">
      <c r="B2355" s="28" t="str">
        <f>IF(ISNUMBER(MATCH(C2355, Mgt_Unit!$C$5:$C$1018, 0)), INDEX(Mgt_Unit!$B$5:$B$1018, MATCH(C2355, Mgt_Unit!$C$5:$C$1018, 0)), "")</f>
        <v>jennifer.moore</v>
      </c>
      <c r="C2355" t="s">
        <v>958</v>
      </c>
      <c r="E2355" s="17" t="s">
        <v>1583</v>
      </c>
      <c r="F2355" s="89">
        <v>43566</v>
      </c>
      <c r="J2355" t="s">
        <v>1396</v>
      </c>
      <c r="K2355" s="120">
        <v>37</v>
      </c>
    </row>
    <row r="2356" spans="2:11" hidden="1" x14ac:dyDescent="0.25">
      <c r="B2356" s="28" t="str">
        <f>IF(ISNUMBER(MATCH(C2356, Mgt_Unit!$C$5:$C$1018, 0)), INDEX(Mgt_Unit!$B$5:$B$1018, MATCH(C2356, Mgt_Unit!$C$5:$C$1018, 0)), "")</f>
        <v>jennifer.moore</v>
      </c>
      <c r="C2356" t="s">
        <v>958</v>
      </c>
      <c r="E2356" s="17" t="s">
        <v>1583</v>
      </c>
      <c r="F2356" s="89">
        <v>43591</v>
      </c>
      <c r="J2356" t="s">
        <v>1396</v>
      </c>
      <c r="K2356" s="120">
        <v>37</v>
      </c>
    </row>
    <row r="2357" spans="2:11" hidden="1" x14ac:dyDescent="0.25">
      <c r="B2357" s="28" t="str">
        <f>IF(ISNUMBER(MATCH(C2357, Mgt_Unit!$C$5:$C$1018, 0)), INDEX(Mgt_Unit!$B$5:$B$1018, MATCH(C2357, Mgt_Unit!$C$5:$C$1018, 0)), "")</f>
        <v>jennifer.moore</v>
      </c>
      <c r="C2357" t="s">
        <v>958</v>
      </c>
      <c r="E2357" s="17" t="s">
        <v>1584</v>
      </c>
      <c r="F2357" s="89">
        <v>43595</v>
      </c>
      <c r="J2357" t="s">
        <v>1395</v>
      </c>
      <c r="K2357" s="120">
        <v>7.8</v>
      </c>
    </row>
    <row r="2358" spans="2:11" hidden="1" x14ac:dyDescent="0.25">
      <c r="B2358" s="28" t="str">
        <f>IF(ISNUMBER(MATCH(C2358, Mgt_Unit!$C$5:$C$1018, 0)), INDEX(Mgt_Unit!$B$5:$B$1018, MATCH(C2358, Mgt_Unit!$C$5:$C$1018, 0)), "")</f>
        <v>jennifer.moore</v>
      </c>
      <c r="C2358" t="s">
        <v>958</v>
      </c>
      <c r="E2358" s="17" t="s">
        <v>1583</v>
      </c>
      <c r="F2358" s="89">
        <v>43595</v>
      </c>
      <c r="J2358" t="s">
        <v>1482</v>
      </c>
      <c r="K2358" s="120">
        <v>26</v>
      </c>
    </row>
    <row r="2359" spans="2:11" hidden="1" x14ac:dyDescent="0.25">
      <c r="B2359" s="28" t="str">
        <f>IF(ISNUMBER(MATCH(C2359, Mgt_Unit!$C$5:$C$1018, 0)), INDEX(Mgt_Unit!$B$5:$B$1018, MATCH(C2359, Mgt_Unit!$C$5:$C$1018, 0)), "")</f>
        <v>jennifer.moore</v>
      </c>
      <c r="C2359" t="s">
        <v>958</v>
      </c>
      <c r="E2359" s="17" t="s">
        <v>1585</v>
      </c>
      <c r="F2359" s="89">
        <v>43775</v>
      </c>
      <c r="J2359" t="s">
        <v>1398</v>
      </c>
      <c r="K2359" s="120">
        <v>4</v>
      </c>
    </row>
    <row r="2360" spans="2:11" hidden="1" x14ac:dyDescent="0.25">
      <c r="B2360" s="28" t="str">
        <f>IF(ISNUMBER(MATCH(C2360, Mgt_Unit!$C$5:$C$1018, 0)), INDEX(Mgt_Unit!$B$5:$B$1018, MATCH(C2360, Mgt_Unit!$C$5:$C$1018, 0)), "")</f>
        <v>jennifer.moore</v>
      </c>
      <c r="C2360" t="s">
        <v>959</v>
      </c>
      <c r="E2360" s="17" t="s">
        <v>1584</v>
      </c>
      <c r="F2360" s="89">
        <v>42481</v>
      </c>
      <c r="J2360" t="s">
        <v>1395</v>
      </c>
      <c r="K2360" s="120">
        <v>7.8</v>
      </c>
    </row>
    <row r="2361" spans="2:11" hidden="1" x14ac:dyDescent="0.25">
      <c r="B2361" s="28" t="str">
        <f>IF(ISNUMBER(MATCH(C2361, Mgt_Unit!$C$5:$C$1018, 0)), INDEX(Mgt_Unit!$B$5:$B$1018, MATCH(C2361, Mgt_Unit!$C$5:$C$1018, 0)), "")</f>
        <v>jennifer.moore</v>
      </c>
      <c r="C2361" t="s">
        <v>959</v>
      </c>
      <c r="E2361" s="17" t="s">
        <v>1584</v>
      </c>
      <c r="F2361" s="89">
        <v>42682</v>
      </c>
      <c r="J2361" t="s">
        <v>1398</v>
      </c>
      <c r="K2361" s="120">
        <v>4</v>
      </c>
    </row>
    <row r="2362" spans="2:11" hidden="1" x14ac:dyDescent="0.25">
      <c r="B2362" s="28" t="str">
        <f>IF(ISNUMBER(MATCH(C2362, Mgt_Unit!$C$5:$C$1018, 0)), INDEX(Mgt_Unit!$B$5:$B$1018, MATCH(C2362, Mgt_Unit!$C$5:$C$1018, 0)), "")</f>
        <v>jennifer.moore</v>
      </c>
      <c r="C2362" t="s">
        <v>959</v>
      </c>
      <c r="E2362" s="17" t="s">
        <v>1584</v>
      </c>
      <c r="F2362" s="89">
        <v>42915</v>
      </c>
      <c r="J2362" t="s">
        <v>1398</v>
      </c>
      <c r="K2362" s="120">
        <v>4</v>
      </c>
    </row>
    <row r="2363" spans="2:11" hidden="1" x14ac:dyDescent="0.25">
      <c r="B2363" s="28" t="str">
        <f>IF(ISNUMBER(MATCH(C2363, Mgt_Unit!$C$5:$C$1018, 0)), INDEX(Mgt_Unit!$B$5:$B$1018, MATCH(C2363, Mgt_Unit!$C$5:$C$1018, 0)), "")</f>
        <v>jennifer.moore</v>
      </c>
      <c r="C2363" t="s">
        <v>959</v>
      </c>
      <c r="E2363" s="17" t="s">
        <v>1585</v>
      </c>
      <c r="F2363" s="89">
        <v>43067</v>
      </c>
      <c r="J2363" t="s">
        <v>1398</v>
      </c>
      <c r="K2363" s="120">
        <v>4</v>
      </c>
    </row>
    <row r="2364" spans="2:11" hidden="1" x14ac:dyDescent="0.25">
      <c r="B2364" s="28" t="str">
        <f>IF(ISNUMBER(MATCH(C2364, Mgt_Unit!$C$5:$C$1018, 0)), INDEX(Mgt_Unit!$B$5:$B$1018, MATCH(C2364, Mgt_Unit!$C$5:$C$1018, 0)), "")</f>
        <v>jennifer.moore</v>
      </c>
      <c r="C2364" t="s">
        <v>959</v>
      </c>
      <c r="E2364" s="17" t="s">
        <v>1584</v>
      </c>
      <c r="F2364" s="89">
        <v>43262</v>
      </c>
      <c r="J2364" t="s">
        <v>1395</v>
      </c>
      <c r="K2364" s="120">
        <v>7.8</v>
      </c>
    </row>
    <row r="2365" spans="2:11" hidden="1" x14ac:dyDescent="0.25">
      <c r="B2365" s="28" t="str">
        <f>IF(ISNUMBER(MATCH(C2365, Mgt_Unit!$C$5:$C$1018, 0)), INDEX(Mgt_Unit!$B$5:$B$1018, MATCH(C2365, Mgt_Unit!$C$5:$C$1018, 0)), "")</f>
        <v>jennifer.moore</v>
      </c>
      <c r="C2365" t="s">
        <v>959</v>
      </c>
      <c r="E2365" s="17" t="s">
        <v>1585</v>
      </c>
      <c r="F2365" s="89">
        <v>43451</v>
      </c>
      <c r="J2365" t="s">
        <v>1398</v>
      </c>
      <c r="K2365" s="120">
        <v>4</v>
      </c>
    </row>
    <row r="2366" spans="2:11" hidden="1" x14ac:dyDescent="0.25">
      <c r="B2366" s="28" t="str">
        <f>IF(ISNUMBER(MATCH(C2366, Mgt_Unit!$C$5:$C$1018, 0)), INDEX(Mgt_Unit!$B$5:$B$1018, MATCH(C2366, Mgt_Unit!$C$5:$C$1018, 0)), "")</f>
        <v>jennifer.moore</v>
      </c>
      <c r="C2366" t="s">
        <v>959</v>
      </c>
      <c r="E2366" s="17" t="s">
        <v>1584</v>
      </c>
      <c r="F2366" s="89">
        <v>43595</v>
      </c>
      <c r="J2366" t="s">
        <v>1395</v>
      </c>
      <c r="K2366" s="120">
        <v>7.8</v>
      </c>
    </row>
    <row r="2367" spans="2:11" hidden="1" x14ac:dyDescent="0.25">
      <c r="B2367" s="28" t="str">
        <f>IF(ISNUMBER(MATCH(C2367, Mgt_Unit!$C$5:$C$1018, 0)), INDEX(Mgt_Unit!$B$5:$B$1018, MATCH(C2367, Mgt_Unit!$C$5:$C$1018, 0)), "")</f>
        <v>jennifer.moore</v>
      </c>
      <c r="C2367" t="s">
        <v>959</v>
      </c>
      <c r="E2367" s="17" t="s">
        <v>1585</v>
      </c>
      <c r="F2367" s="89">
        <v>43789</v>
      </c>
      <c r="J2367" t="s">
        <v>1398</v>
      </c>
      <c r="K2367" s="120">
        <v>4</v>
      </c>
    </row>
    <row r="2368" spans="2:11" hidden="1" x14ac:dyDescent="0.25">
      <c r="B2368" s="28" t="str">
        <f>IF(ISNUMBER(MATCH(C2368, Mgt_Unit!$C$5:$C$1018, 0)), INDEX(Mgt_Unit!$B$5:$B$1018, MATCH(C2368, Mgt_Unit!$C$5:$C$1018, 0)), "")</f>
        <v>jennifer.moore</v>
      </c>
      <c r="C2368" t="s">
        <v>960</v>
      </c>
      <c r="E2368" s="17" t="s">
        <v>1584</v>
      </c>
      <c r="F2368" s="89">
        <v>42117</v>
      </c>
      <c r="J2368" t="s">
        <v>1395</v>
      </c>
      <c r="K2368" s="120">
        <v>7.8</v>
      </c>
    </row>
    <row r="2369" spans="2:11" hidden="1" x14ac:dyDescent="0.25">
      <c r="B2369" s="28" t="str">
        <f>IF(ISNUMBER(MATCH(C2369, Mgt_Unit!$C$5:$C$1018, 0)), INDEX(Mgt_Unit!$B$5:$B$1018, MATCH(C2369, Mgt_Unit!$C$5:$C$1018, 0)), "")</f>
        <v>jennifer.moore</v>
      </c>
      <c r="C2369" t="s">
        <v>960</v>
      </c>
      <c r="E2369" s="17" t="s">
        <v>1583</v>
      </c>
      <c r="F2369" s="89">
        <v>42292</v>
      </c>
      <c r="J2369" t="s">
        <v>1396</v>
      </c>
      <c r="K2369" s="120">
        <v>37</v>
      </c>
    </row>
    <row r="2370" spans="2:11" hidden="1" x14ac:dyDescent="0.25">
      <c r="B2370" s="28" t="str">
        <f>IF(ISNUMBER(MATCH(C2370, Mgt_Unit!$C$5:$C$1018, 0)), INDEX(Mgt_Unit!$B$5:$B$1018, MATCH(C2370, Mgt_Unit!$C$5:$C$1018, 0)), "")</f>
        <v>jennifer.moore</v>
      </c>
      <c r="C2370" t="s">
        <v>960</v>
      </c>
      <c r="E2370" s="17" t="s">
        <v>1583</v>
      </c>
      <c r="F2370" s="89">
        <v>42298</v>
      </c>
      <c r="J2370" t="s">
        <v>1396</v>
      </c>
      <c r="K2370" s="120">
        <v>37</v>
      </c>
    </row>
    <row r="2371" spans="2:11" hidden="1" x14ac:dyDescent="0.25">
      <c r="B2371" s="28" t="str">
        <f>IF(ISNUMBER(MATCH(C2371, Mgt_Unit!$C$5:$C$1018, 0)), INDEX(Mgt_Unit!$B$5:$B$1018, MATCH(C2371, Mgt_Unit!$C$5:$C$1018, 0)), "")</f>
        <v>jennifer.moore</v>
      </c>
      <c r="C2371" t="s">
        <v>960</v>
      </c>
      <c r="E2371" s="17" t="s">
        <v>1583</v>
      </c>
      <c r="F2371" s="89">
        <v>42298</v>
      </c>
      <c r="J2371" t="s">
        <v>1482</v>
      </c>
      <c r="K2371" s="120">
        <v>26</v>
      </c>
    </row>
    <row r="2372" spans="2:11" hidden="1" x14ac:dyDescent="0.25">
      <c r="B2372" s="28" t="str">
        <f>IF(ISNUMBER(MATCH(C2372, Mgt_Unit!$C$5:$C$1018, 0)), INDEX(Mgt_Unit!$B$5:$B$1018, MATCH(C2372, Mgt_Unit!$C$5:$C$1018, 0)), "")</f>
        <v>jennifer.moore</v>
      </c>
      <c r="C2372" t="s">
        <v>960</v>
      </c>
      <c r="E2372" s="17" t="s">
        <v>1584</v>
      </c>
      <c r="F2372" s="89">
        <v>42298</v>
      </c>
      <c r="J2372" t="s">
        <v>1398</v>
      </c>
      <c r="K2372" s="120">
        <v>4</v>
      </c>
    </row>
    <row r="2373" spans="2:11" hidden="1" x14ac:dyDescent="0.25">
      <c r="B2373" s="28" t="str">
        <f>IF(ISNUMBER(MATCH(C2373, Mgt_Unit!$C$5:$C$1018, 0)), INDEX(Mgt_Unit!$B$5:$B$1018, MATCH(C2373, Mgt_Unit!$C$5:$C$1018, 0)), "")</f>
        <v>jennifer.moore</v>
      </c>
      <c r="C2373" t="s">
        <v>960</v>
      </c>
      <c r="E2373" s="17" t="s">
        <v>1585</v>
      </c>
      <c r="F2373" s="89">
        <v>43037</v>
      </c>
      <c r="J2373" t="s">
        <v>1398</v>
      </c>
      <c r="K2373" s="120">
        <v>4</v>
      </c>
    </row>
    <row r="2374" spans="2:11" hidden="1" x14ac:dyDescent="0.25">
      <c r="B2374" s="28" t="str">
        <f>IF(ISNUMBER(MATCH(C2374, Mgt_Unit!$C$5:$C$1018, 0)), INDEX(Mgt_Unit!$B$5:$B$1018, MATCH(C2374, Mgt_Unit!$C$5:$C$1018, 0)), "")</f>
        <v>jennifer.moore</v>
      </c>
      <c r="C2374" t="s">
        <v>960</v>
      </c>
      <c r="E2374" s="17" t="s">
        <v>1584</v>
      </c>
      <c r="F2374" s="89">
        <v>43595</v>
      </c>
      <c r="J2374" t="s">
        <v>1395</v>
      </c>
      <c r="K2374" s="120">
        <v>7.8</v>
      </c>
    </row>
    <row r="2375" spans="2:11" hidden="1" x14ac:dyDescent="0.25">
      <c r="B2375" s="28" t="str">
        <f>IF(ISNUMBER(MATCH(C2375, Mgt_Unit!$C$5:$C$1018, 0)), INDEX(Mgt_Unit!$B$5:$B$1018, MATCH(C2375, Mgt_Unit!$C$5:$C$1018, 0)), "")</f>
        <v>jennifer.moore</v>
      </c>
      <c r="C2375" t="s">
        <v>960</v>
      </c>
      <c r="E2375" s="17" t="s">
        <v>1584</v>
      </c>
      <c r="F2375" s="89">
        <v>43785</v>
      </c>
      <c r="J2375" t="s">
        <v>1398</v>
      </c>
      <c r="K2375" s="120">
        <v>4</v>
      </c>
    </row>
    <row r="2376" spans="2:11" hidden="1" x14ac:dyDescent="0.25">
      <c r="B2376" s="28" t="str">
        <f>IF(ISNUMBER(MATCH(C2376, Mgt_Unit!$C$5:$C$1018, 0)), INDEX(Mgt_Unit!$B$5:$B$1018, MATCH(C2376, Mgt_Unit!$C$5:$C$1018, 0)), "")</f>
        <v>jennifer.moore</v>
      </c>
      <c r="C2376" t="s">
        <v>960</v>
      </c>
      <c r="E2376" s="17" t="s">
        <v>1584</v>
      </c>
      <c r="F2376" s="89">
        <v>44011</v>
      </c>
      <c r="J2376" t="s">
        <v>1398</v>
      </c>
      <c r="K2376" s="120">
        <v>4</v>
      </c>
    </row>
    <row r="2377" spans="2:11" hidden="1" x14ac:dyDescent="0.25">
      <c r="B2377" s="28" t="str">
        <f>IF(ISNUMBER(MATCH(C2377, Mgt_Unit!$C$5:$C$1018, 0)), INDEX(Mgt_Unit!$B$5:$B$1018, MATCH(C2377, Mgt_Unit!$C$5:$C$1018, 0)), "")</f>
        <v>jennifer.moore</v>
      </c>
      <c r="C2377" t="s">
        <v>960</v>
      </c>
      <c r="E2377" s="17" t="s">
        <v>1585</v>
      </c>
      <c r="F2377" s="89">
        <v>44163</v>
      </c>
      <c r="J2377" t="s">
        <v>1398</v>
      </c>
      <c r="K2377" s="120">
        <v>4</v>
      </c>
    </row>
    <row r="2378" spans="2:11" hidden="1" x14ac:dyDescent="0.25">
      <c r="B2378" s="28" t="str">
        <f>IF(ISNUMBER(MATCH(C2378, Mgt_Unit!$C$5:$C$1018, 0)), INDEX(Mgt_Unit!$B$5:$B$1018, MATCH(C2378, Mgt_Unit!$C$5:$C$1018, 0)), "")</f>
        <v>jennifer.moore</v>
      </c>
      <c r="C2378" t="s">
        <v>960</v>
      </c>
      <c r="E2378" s="17" t="s">
        <v>1583</v>
      </c>
      <c r="F2378" s="89">
        <v>44316</v>
      </c>
      <c r="J2378" t="s">
        <v>1396</v>
      </c>
      <c r="K2378" s="120">
        <v>37</v>
      </c>
    </row>
    <row r="2379" spans="2:11" hidden="1" x14ac:dyDescent="0.25">
      <c r="B2379" s="28" t="str">
        <f>IF(ISNUMBER(MATCH(C2379, Mgt_Unit!$C$5:$C$1018, 0)), INDEX(Mgt_Unit!$B$5:$B$1018, MATCH(C2379, Mgt_Unit!$C$5:$C$1018, 0)), "")</f>
        <v>jennifer.moore</v>
      </c>
      <c r="C2379" t="s">
        <v>960</v>
      </c>
      <c r="E2379" s="17" t="s">
        <v>1583</v>
      </c>
      <c r="F2379" s="89">
        <v>44337</v>
      </c>
      <c r="J2379" t="s">
        <v>1396</v>
      </c>
      <c r="K2379" s="120">
        <v>37</v>
      </c>
    </row>
    <row r="2380" spans="2:11" hidden="1" x14ac:dyDescent="0.25">
      <c r="B2380" s="28" t="str">
        <f>IF(ISNUMBER(MATCH(C2380, Mgt_Unit!$C$5:$C$1018, 0)), INDEX(Mgt_Unit!$B$5:$B$1018, MATCH(C2380, Mgt_Unit!$C$5:$C$1018, 0)), "")</f>
        <v>jennifer.moore</v>
      </c>
      <c r="C2380" t="s">
        <v>960</v>
      </c>
      <c r="E2380" s="17" t="s">
        <v>1583</v>
      </c>
      <c r="F2380" s="89">
        <v>44337</v>
      </c>
      <c r="J2380" t="s">
        <v>1396</v>
      </c>
      <c r="K2380" s="120">
        <v>37</v>
      </c>
    </row>
    <row r="2381" spans="2:11" hidden="1" x14ac:dyDescent="0.25">
      <c r="B2381" s="28" t="str">
        <f>IF(ISNUMBER(MATCH(C2381, Mgt_Unit!$C$5:$C$1018, 0)), INDEX(Mgt_Unit!$B$5:$B$1018, MATCH(C2381, Mgt_Unit!$C$5:$C$1018, 0)), "")</f>
        <v>jennifer.moore</v>
      </c>
      <c r="C2381" t="s">
        <v>960</v>
      </c>
      <c r="E2381" s="17" t="s">
        <v>1583</v>
      </c>
      <c r="F2381" s="89">
        <v>44353</v>
      </c>
      <c r="J2381" t="s">
        <v>1482</v>
      </c>
      <c r="K2381" s="120">
        <v>26</v>
      </c>
    </row>
    <row r="2382" spans="2:11" hidden="1" x14ac:dyDescent="0.25">
      <c r="B2382" s="28" t="str">
        <f>IF(ISNUMBER(MATCH(C2382, Mgt_Unit!$C$5:$C$1018, 0)), INDEX(Mgt_Unit!$B$5:$B$1018, MATCH(C2382, Mgt_Unit!$C$5:$C$1018, 0)), "")</f>
        <v>jennifer.moore</v>
      </c>
      <c r="C2382" t="s">
        <v>960</v>
      </c>
      <c r="E2382" s="17" t="s">
        <v>1583</v>
      </c>
      <c r="F2382" s="89">
        <v>44353</v>
      </c>
      <c r="J2382" t="s">
        <v>1396</v>
      </c>
      <c r="K2382" s="120">
        <v>37</v>
      </c>
    </row>
    <row r="2383" spans="2:11" hidden="1" x14ac:dyDescent="0.25">
      <c r="B2383" s="28" t="str">
        <f>IF(ISNUMBER(MATCH(C2383, Mgt_Unit!$C$5:$C$1018, 0)), INDEX(Mgt_Unit!$B$5:$B$1018, MATCH(C2383, Mgt_Unit!$C$5:$C$1018, 0)), "")</f>
        <v>jennifer.moore</v>
      </c>
      <c r="C2383" t="s">
        <v>960</v>
      </c>
      <c r="E2383" s="17" t="s">
        <v>1583</v>
      </c>
      <c r="F2383" s="89">
        <v>44354</v>
      </c>
      <c r="J2383" t="s">
        <v>1395</v>
      </c>
      <c r="K2383" s="120">
        <v>7.8</v>
      </c>
    </row>
    <row r="2384" spans="2:11" hidden="1" x14ac:dyDescent="0.25">
      <c r="B2384" s="28" t="str">
        <f>IF(ISNUMBER(MATCH(C2384, Mgt_Unit!$C$5:$C$1018, 0)), INDEX(Mgt_Unit!$B$5:$B$1018, MATCH(C2384, Mgt_Unit!$C$5:$C$1018, 0)), "")</f>
        <v>jennifer.moore</v>
      </c>
      <c r="C2384" t="s">
        <v>960</v>
      </c>
      <c r="E2384" s="17" t="s">
        <v>1585</v>
      </c>
      <c r="F2384" s="89">
        <v>44536</v>
      </c>
      <c r="J2384" t="s">
        <v>1398</v>
      </c>
      <c r="K2384" s="120">
        <v>4</v>
      </c>
    </row>
    <row r="2385" spans="2:11" hidden="1" x14ac:dyDescent="0.25">
      <c r="B2385" s="28" t="str">
        <f>IF(ISNUMBER(MATCH(C2385, Mgt_Unit!$C$5:$C$1018, 0)), INDEX(Mgt_Unit!$B$5:$B$1018, MATCH(C2385, Mgt_Unit!$C$5:$C$1018, 0)), "")</f>
        <v>jennifer.moore</v>
      </c>
      <c r="C2385" t="s">
        <v>961</v>
      </c>
      <c r="E2385" s="17" t="s">
        <v>1584</v>
      </c>
      <c r="F2385" s="89">
        <v>42117</v>
      </c>
      <c r="J2385" t="s">
        <v>1395</v>
      </c>
      <c r="K2385" s="120">
        <v>7.8</v>
      </c>
    </row>
    <row r="2386" spans="2:11" hidden="1" x14ac:dyDescent="0.25">
      <c r="B2386" s="28" t="str">
        <f>IF(ISNUMBER(MATCH(C2386, Mgt_Unit!$C$5:$C$1018, 0)), INDEX(Mgt_Unit!$B$5:$B$1018, MATCH(C2386, Mgt_Unit!$C$5:$C$1018, 0)), "")</f>
        <v>jennifer.moore</v>
      </c>
      <c r="C2386" t="s">
        <v>961</v>
      </c>
      <c r="E2386" s="17" t="s">
        <v>1585</v>
      </c>
      <c r="F2386" s="89">
        <v>42354</v>
      </c>
      <c r="J2386" t="s">
        <v>1398</v>
      </c>
      <c r="K2386" s="120">
        <v>4</v>
      </c>
    </row>
    <row r="2387" spans="2:11" hidden="1" x14ac:dyDescent="0.25">
      <c r="B2387" s="28" t="str">
        <f>IF(ISNUMBER(MATCH(C2387, Mgt_Unit!$C$5:$C$1018, 0)), INDEX(Mgt_Unit!$B$5:$B$1018, MATCH(C2387, Mgt_Unit!$C$5:$C$1018, 0)), "")</f>
        <v>jennifer.moore</v>
      </c>
      <c r="C2387" t="s">
        <v>961</v>
      </c>
      <c r="E2387" s="17" t="s">
        <v>1583</v>
      </c>
      <c r="F2387" s="89">
        <v>42467</v>
      </c>
      <c r="J2387" t="s">
        <v>1396</v>
      </c>
      <c r="K2387" s="120">
        <v>37</v>
      </c>
    </row>
    <row r="2388" spans="2:11" hidden="1" x14ac:dyDescent="0.25">
      <c r="B2388" s="28" t="str">
        <f>IF(ISNUMBER(MATCH(C2388, Mgt_Unit!$C$5:$C$1018, 0)), INDEX(Mgt_Unit!$B$5:$B$1018, MATCH(C2388, Mgt_Unit!$C$5:$C$1018, 0)), "")</f>
        <v>jennifer.moore</v>
      </c>
      <c r="C2388" t="s">
        <v>961</v>
      </c>
      <c r="E2388" s="17" t="s">
        <v>1583</v>
      </c>
      <c r="F2388" s="89">
        <v>42479</v>
      </c>
      <c r="J2388" t="s">
        <v>1396</v>
      </c>
      <c r="K2388" s="120">
        <v>37</v>
      </c>
    </row>
    <row r="2389" spans="2:11" hidden="1" x14ac:dyDescent="0.25">
      <c r="B2389" s="28" t="str">
        <f>IF(ISNUMBER(MATCH(C2389, Mgt_Unit!$C$5:$C$1018, 0)), INDEX(Mgt_Unit!$B$5:$B$1018, MATCH(C2389, Mgt_Unit!$C$5:$C$1018, 0)), "")</f>
        <v>jennifer.moore</v>
      </c>
      <c r="C2389" t="s">
        <v>961</v>
      </c>
      <c r="E2389" s="17" t="s">
        <v>1583</v>
      </c>
      <c r="F2389" s="89">
        <v>42510</v>
      </c>
      <c r="J2389" t="s">
        <v>1396</v>
      </c>
      <c r="K2389" s="120">
        <v>37</v>
      </c>
    </row>
    <row r="2390" spans="2:11" hidden="1" x14ac:dyDescent="0.25">
      <c r="B2390" s="28" t="str">
        <f>IF(ISNUMBER(MATCH(C2390, Mgt_Unit!$C$5:$C$1018, 0)), INDEX(Mgt_Unit!$B$5:$B$1018, MATCH(C2390, Mgt_Unit!$C$5:$C$1018, 0)), "")</f>
        <v>jennifer.moore</v>
      </c>
      <c r="C2390" t="s">
        <v>961</v>
      </c>
      <c r="E2390" s="17" t="s">
        <v>1583</v>
      </c>
      <c r="F2390" s="89">
        <v>42514</v>
      </c>
      <c r="J2390" t="s">
        <v>1482</v>
      </c>
      <c r="K2390" s="120">
        <v>26</v>
      </c>
    </row>
    <row r="2391" spans="2:11" hidden="1" x14ac:dyDescent="0.25">
      <c r="B2391" s="28" t="str">
        <f>IF(ISNUMBER(MATCH(C2391, Mgt_Unit!$C$5:$C$1018, 0)), INDEX(Mgt_Unit!$B$5:$B$1018, MATCH(C2391, Mgt_Unit!$C$5:$C$1018, 0)), "")</f>
        <v>jennifer.moore</v>
      </c>
      <c r="C2391" t="s">
        <v>961</v>
      </c>
      <c r="E2391" s="17" t="s">
        <v>1583</v>
      </c>
      <c r="F2391" s="89">
        <v>44663</v>
      </c>
      <c r="J2391" t="s">
        <v>1476</v>
      </c>
      <c r="K2391" s="120">
        <v>17</v>
      </c>
    </row>
    <row r="2392" spans="2:11" hidden="1" x14ac:dyDescent="0.25">
      <c r="B2392" s="28" t="str">
        <f>IF(ISNUMBER(MATCH(C2392, Mgt_Unit!$C$5:$C$1018, 0)), INDEX(Mgt_Unit!$B$5:$B$1018, MATCH(C2392, Mgt_Unit!$C$5:$C$1018, 0)), "")</f>
        <v>jennifer.moore</v>
      </c>
      <c r="C2392" t="s">
        <v>961</v>
      </c>
      <c r="E2392" s="17" t="s">
        <v>1583</v>
      </c>
      <c r="F2392" s="89">
        <v>44672</v>
      </c>
      <c r="J2392" t="s">
        <v>1482</v>
      </c>
      <c r="K2392" s="120">
        <v>26</v>
      </c>
    </row>
    <row r="2393" spans="2:11" hidden="1" x14ac:dyDescent="0.25">
      <c r="B2393" s="28" t="str">
        <f>IF(ISNUMBER(MATCH(C2393, Mgt_Unit!$C$5:$C$1018, 0)), INDEX(Mgt_Unit!$B$5:$B$1018, MATCH(C2393, Mgt_Unit!$C$5:$C$1018, 0)), "")</f>
        <v>jennifer.moore</v>
      </c>
      <c r="C2393" t="s">
        <v>961</v>
      </c>
      <c r="E2393" s="17" t="s">
        <v>1583</v>
      </c>
      <c r="F2393" s="89">
        <v>44672</v>
      </c>
      <c r="J2393" t="s">
        <v>1396</v>
      </c>
      <c r="K2393" s="120">
        <v>37</v>
      </c>
    </row>
    <row r="2394" spans="2:11" hidden="1" x14ac:dyDescent="0.25">
      <c r="B2394" s="28" t="str">
        <f>IF(ISNUMBER(MATCH(C2394, Mgt_Unit!$C$5:$C$1018, 0)), INDEX(Mgt_Unit!$B$5:$B$1018, MATCH(C2394, Mgt_Unit!$C$5:$C$1018, 0)), "")</f>
        <v>jennifer.moore</v>
      </c>
      <c r="C2394" t="s">
        <v>961</v>
      </c>
      <c r="E2394" s="17" t="s">
        <v>1584</v>
      </c>
      <c r="F2394" s="89">
        <v>44673</v>
      </c>
      <c r="J2394" t="s">
        <v>1395</v>
      </c>
      <c r="K2394" s="120">
        <v>7.8</v>
      </c>
    </row>
    <row r="2395" spans="2:11" hidden="1" x14ac:dyDescent="0.25">
      <c r="B2395" s="28" t="str">
        <f>IF(ISNUMBER(MATCH(C2395, Mgt_Unit!$C$5:$C$1018, 0)), INDEX(Mgt_Unit!$B$5:$B$1018, MATCH(C2395, Mgt_Unit!$C$5:$C$1018, 0)), "")</f>
        <v>jennifer.moore</v>
      </c>
      <c r="C2395" t="s">
        <v>961</v>
      </c>
      <c r="E2395" s="17" t="s">
        <v>1584</v>
      </c>
      <c r="F2395" s="89">
        <v>44872</v>
      </c>
      <c r="J2395" t="s">
        <v>1398</v>
      </c>
      <c r="K2395" s="120">
        <v>4</v>
      </c>
    </row>
    <row r="2396" spans="2:11" hidden="1" x14ac:dyDescent="0.25">
      <c r="B2396" s="28" t="str">
        <f>IF(ISNUMBER(MATCH(C2396, Mgt_Unit!$C$5:$C$1018, 0)), INDEX(Mgt_Unit!$B$5:$B$1018, MATCH(C2396, Mgt_Unit!$C$5:$C$1018, 0)), "")</f>
        <v>jennifer.moore</v>
      </c>
      <c r="C2396" t="s">
        <v>961</v>
      </c>
      <c r="E2396" s="17" t="s">
        <v>1584</v>
      </c>
      <c r="F2396" s="89">
        <v>45105</v>
      </c>
      <c r="J2396" t="s">
        <v>1398</v>
      </c>
      <c r="K2396" s="120">
        <v>4</v>
      </c>
    </row>
    <row r="2397" spans="2:11" hidden="1" x14ac:dyDescent="0.25">
      <c r="B2397" s="28" t="str">
        <f>IF(ISNUMBER(MATCH(C2397, Mgt_Unit!$C$5:$C$1018, 0)), INDEX(Mgt_Unit!$B$5:$B$1018, MATCH(C2397, Mgt_Unit!$C$5:$C$1018, 0)), "")</f>
        <v>jennifer.moore</v>
      </c>
      <c r="C2397" t="s">
        <v>961</v>
      </c>
      <c r="E2397" s="17" t="s">
        <v>1585</v>
      </c>
      <c r="F2397" s="89">
        <v>45258</v>
      </c>
      <c r="J2397" t="s">
        <v>1398</v>
      </c>
      <c r="K2397" s="120">
        <v>4</v>
      </c>
    </row>
    <row r="2398" spans="2:11" hidden="1" x14ac:dyDescent="0.25">
      <c r="B2398" s="28" t="str">
        <f>IF(ISNUMBER(MATCH(C2398, Mgt_Unit!$C$5:$C$1018, 0)), INDEX(Mgt_Unit!$B$5:$B$1018, MATCH(C2398, Mgt_Unit!$C$5:$C$1018, 0)), "")</f>
        <v>jennifer.moore</v>
      </c>
      <c r="C2398" t="s">
        <v>961</v>
      </c>
      <c r="E2398" s="17" t="s">
        <v>1583</v>
      </c>
      <c r="F2398" s="89">
        <v>45451</v>
      </c>
      <c r="J2398" t="s">
        <v>1395</v>
      </c>
      <c r="K2398" s="120">
        <v>7.8</v>
      </c>
    </row>
    <row r="2399" spans="2:11" hidden="1" x14ac:dyDescent="0.25">
      <c r="B2399" s="28" t="str">
        <f>IF(ISNUMBER(MATCH(C2399, Mgt_Unit!$C$5:$C$1018, 0)), INDEX(Mgt_Unit!$B$5:$B$1018, MATCH(C2399, Mgt_Unit!$C$5:$C$1018, 0)), "")</f>
        <v>jennifer.moore</v>
      </c>
      <c r="C2399" t="s">
        <v>961</v>
      </c>
      <c r="E2399" s="17" t="s">
        <v>1585</v>
      </c>
      <c r="F2399" s="89">
        <v>45639</v>
      </c>
      <c r="J2399" t="s">
        <v>1398</v>
      </c>
      <c r="K2399" s="120">
        <v>4</v>
      </c>
    </row>
    <row r="2400" spans="2:11" hidden="1" x14ac:dyDescent="0.25">
      <c r="B2400" s="28" t="str">
        <f>IF(ISNUMBER(MATCH(C2400, Mgt_Unit!$C$5:$C$1018, 0)), INDEX(Mgt_Unit!$B$5:$B$1018, MATCH(C2400, Mgt_Unit!$C$5:$C$1018, 0)), "")</f>
        <v>jennifer.moore</v>
      </c>
      <c r="C2400" t="s">
        <v>961</v>
      </c>
      <c r="E2400" s="17" t="s">
        <v>1584</v>
      </c>
      <c r="F2400" s="89">
        <v>45790</v>
      </c>
      <c r="J2400" t="s">
        <v>1395</v>
      </c>
      <c r="K2400" s="120">
        <v>7.8</v>
      </c>
    </row>
    <row r="2401" spans="2:11" hidden="1" x14ac:dyDescent="0.25">
      <c r="B2401" s="28" t="str">
        <f>IF(ISNUMBER(MATCH(C2401, Mgt_Unit!$C$5:$C$1018, 0)), INDEX(Mgt_Unit!$B$5:$B$1018, MATCH(C2401, Mgt_Unit!$C$5:$C$1018, 0)), "")</f>
        <v>jennifer.moore</v>
      </c>
      <c r="C2401" t="s">
        <v>961</v>
      </c>
      <c r="E2401" s="17" t="s">
        <v>1583</v>
      </c>
      <c r="F2401" s="89">
        <v>45977</v>
      </c>
      <c r="J2401" t="s">
        <v>1398</v>
      </c>
      <c r="K2401" s="120">
        <v>4</v>
      </c>
    </row>
    <row r="2402" spans="2:11" hidden="1" x14ac:dyDescent="0.25">
      <c r="B2402" s="28" t="str">
        <f>IF(ISNUMBER(MATCH(C2402, Mgt_Unit!$C$5:$C$1018, 0)), INDEX(Mgt_Unit!$B$5:$B$1018, MATCH(C2402, Mgt_Unit!$C$5:$C$1018, 0)), "")</f>
        <v>jennifer.moore</v>
      </c>
      <c r="C2402" t="s">
        <v>961</v>
      </c>
      <c r="E2402" s="17" t="s">
        <v>1584</v>
      </c>
      <c r="F2402" s="89">
        <v>46201</v>
      </c>
      <c r="J2402" t="s">
        <v>1398</v>
      </c>
      <c r="K2402" s="120">
        <v>4</v>
      </c>
    </row>
    <row r="2403" spans="2:11" hidden="1" x14ac:dyDescent="0.25">
      <c r="B2403" s="28" t="str">
        <f>IF(ISNUMBER(MATCH(C2403, Mgt_Unit!$C$5:$C$1018, 0)), INDEX(Mgt_Unit!$B$5:$B$1018, MATCH(C2403, Mgt_Unit!$C$5:$C$1018, 0)), "")</f>
        <v>jennifer.moore</v>
      </c>
      <c r="C2403" t="s">
        <v>961</v>
      </c>
      <c r="E2403" s="17" t="s">
        <v>1585</v>
      </c>
      <c r="F2403" s="89">
        <v>46354</v>
      </c>
      <c r="J2403" t="s">
        <v>1398</v>
      </c>
      <c r="K2403" s="120">
        <v>4</v>
      </c>
    </row>
    <row r="2404" spans="2:11" hidden="1" x14ac:dyDescent="0.25">
      <c r="B2404" s="28" t="str">
        <f>IF(ISNUMBER(MATCH(C2404, Mgt_Unit!$C$5:$C$1018, 0)), INDEX(Mgt_Unit!$B$5:$B$1018, MATCH(C2404, Mgt_Unit!$C$5:$C$1018, 0)), "")</f>
        <v>jennifer.moore</v>
      </c>
      <c r="C2404" t="s">
        <v>962</v>
      </c>
      <c r="E2404" s="17" t="s">
        <v>1583</v>
      </c>
      <c r="F2404" s="89">
        <v>42461</v>
      </c>
      <c r="J2404" t="s">
        <v>1476</v>
      </c>
      <c r="K2404" s="120">
        <v>17</v>
      </c>
    </row>
    <row r="2405" spans="2:11" hidden="1" x14ac:dyDescent="0.25">
      <c r="B2405" s="28" t="str">
        <f>IF(ISNUMBER(MATCH(C2405, Mgt_Unit!$C$5:$C$1018, 0)), INDEX(Mgt_Unit!$B$5:$B$1018, MATCH(C2405, Mgt_Unit!$C$5:$C$1018, 0)), "")</f>
        <v>jennifer.moore</v>
      </c>
      <c r="C2405" t="s">
        <v>962</v>
      </c>
      <c r="E2405" s="17" t="s">
        <v>1583</v>
      </c>
      <c r="F2405" s="89">
        <v>42464</v>
      </c>
      <c r="J2405" t="s">
        <v>1483</v>
      </c>
      <c r="K2405" s="120">
        <v>18</v>
      </c>
    </row>
    <row r="2406" spans="2:11" hidden="1" x14ac:dyDescent="0.25">
      <c r="B2406" s="28" t="str">
        <f>IF(ISNUMBER(MATCH(C2406, Mgt_Unit!$C$5:$C$1018, 0)), INDEX(Mgt_Unit!$B$5:$B$1018, MATCH(C2406, Mgt_Unit!$C$5:$C$1018, 0)), "")</f>
        <v>jennifer.moore</v>
      </c>
      <c r="C2406" t="s">
        <v>962</v>
      </c>
      <c r="E2406" s="17" t="s">
        <v>1583</v>
      </c>
      <c r="F2406" s="89">
        <v>42472</v>
      </c>
      <c r="J2406" t="s">
        <v>1476</v>
      </c>
      <c r="K2406" s="120">
        <v>17</v>
      </c>
    </row>
    <row r="2407" spans="2:11" hidden="1" x14ac:dyDescent="0.25">
      <c r="B2407" s="28" t="str">
        <f>IF(ISNUMBER(MATCH(C2407, Mgt_Unit!$C$5:$C$1018, 0)), INDEX(Mgt_Unit!$B$5:$B$1018, MATCH(C2407, Mgt_Unit!$C$5:$C$1018, 0)), "")</f>
        <v>jennifer.moore</v>
      </c>
      <c r="C2407" t="s">
        <v>962</v>
      </c>
      <c r="E2407" s="17" t="s">
        <v>1583</v>
      </c>
      <c r="F2407" s="89">
        <v>42481</v>
      </c>
      <c r="J2407" t="s">
        <v>1396</v>
      </c>
      <c r="K2407" s="120">
        <v>37</v>
      </c>
    </row>
    <row r="2408" spans="2:11" hidden="1" x14ac:dyDescent="0.25">
      <c r="B2408" s="28" t="str">
        <f>IF(ISNUMBER(MATCH(C2408, Mgt_Unit!$C$5:$C$1018, 0)), INDEX(Mgt_Unit!$B$5:$B$1018, MATCH(C2408, Mgt_Unit!$C$5:$C$1018, 0)), "")</f>
        <v>jennifer.moore</v>
      </c>
      <c r="C2408" t="s">
        <v>962</v>
      </c>
      <c r="E2408" s="17" t="s">
        <v>1583</v>
      </c>
      <c r="F2408" s="89">
        <v>42481</v>
      </c>
      <c r="J2408" t="s">
        <v>1482</v>
      </c>
      <c r="K2408" s="120">
        <v>26</v>
      </c>
    </row>
    <row r="2409" spans="2:11" hidden="1" x14ac:dyDescent="0.25">
      <c r="B2409" s="28" t="str">
        <f>IF(ISNUMBER(MATCH(C2409, Mgt_Unit!$C$5:$C$1018, 0)), INDEX(Mgt_Unit!$B$5:$B$1018, MATCH(C2409, Mgt_Unit!$C$5:$C$1018, 0)), "")</f>
        <v>jennifer.moore</v>
      </c>
      <c r="C2409" t="s">
        <v>962</v>
      </c>
      <c r="E2409" s="17" t="s">
        <v>1584</v>
      </c>
      <c r="F2409" s="89">
        <v>42482</v>
      </c>
      <c r="J2409" t="s">
        <v>1395</v>
      </c>
      <c r="K2409" s="120">
        <v>7.8</v>
      </c>
    </row>
    <row r="2410" spans="2:11" hidden="1" x14ac:dyDescent="0.25">
      <c r="B2410" s="28" t="str">
        <f>IF(ISNUMBER(MATCH(C2410, Mgt_Unit!$C$5:$C$1018, 0)), INDEX(Mgt_Unit!$B$5:$B$1018, MATCH(C2410, Mgt_Unit!$C$5:$C$1018, 0)), "")</f>
        <v>jennifer.moore</v>
      </c>
      <c r="C2410" t="s">
        <v>962</v>
      </c>
      <c r="E2410" s="17" t="s">
        <v>1584</v>
      </c>
      <c r="F2410" s="89">
        <v>42681</v>
      </c>
      <c r="J2410" t="s">
        <v>1398</v>
      </c>
      <c r="K2410" s="120">
        <v>4</v>
      </c>
    </row>
    <row r="2411" spans="2:11" hidden="1" x14ac:dyDescent="0.25">
      <c r="B2411" s="28" t="str">
        <f>IF(ISNUMBER(MATCH(C2411, Mgt_Unit!$C$5:$C$1018, 0)), INDEX(Mgt_Unit!$B$5:$B$1018, MATCH(C2411, Mgt_Unit!$C$5:$C$1018, 0)), "")</f>
        <v>jennifer.moore</v>
      </c>
      <c r="C2411" t="s">
        <v>962</v>
      </c>
      <c r="E2411" s="17" t="s">
        <v>1584</v>
      </c>
      <c r="F2411" s="89">
        <v>42914</v>
      </c>
      <c r="J2411" t="s">
        <v>1398</v>
      </c>
      <c r="K2411" s="120">
        <v>4</v>
      </c>
    </row>
    <row r="2412" spans="2:11" hidden="1" x14ac:dyDescent="0.25">
      <c r="B2412" s="28" t="str">
        <f>IF(ISNUMBER(MATCH(C2412, Mgt_Unit!$C$5:$C$1018, 0)), INDEX(Mgt_Unit!$B$5:$B$1018, MATCH(C2412, Mgt_Unit!$C$5:$C$1018, 0)), "")</f>
        <v>jennifer.moore</v>
      </c>
      <c r="C2412" t="s">
        <v>962</v>
      </c>
      <c r="E2412" s="17" t="s">
        <v>1585</v>
      </c>
      <c r="F2412" s="89">
        <v>43067</v>
      </c>
      <c r="J2412" t="s">
        <v>1398</v>
      </c>
      <c r="K2412" s="120">
        <v>4</v>
      </c>
    </row>
    <row r="2413" spans="2:11" hidden="1" x14ac:dyDescent="0.25">
      <c r="B2413" s="28" t="str">
        <f>IF(ISNUMBER(MATCH(C2413, Mgt_Unit!$C$5:$C$1018, 0)), INDEX(Mgt_Unit!$B$5:$B$1018, MATCH(C2413, Mgt_Unit!$C$5:$C$1018, 0)), "")</f>
        <v>jennifer.moore</v>
      </c>
      <c r="C2413" t="s">
        <v>962</v>
      </c>
      <c r="E2413" s="17" t="s">
        <v>1583</v>
      </c>
      <c r="F2413" s="89">
        <v>43259</v>
      </c>
      <c r="J2413" t="s">
        <v>1395</v>
      </c>
      <c r="K2413" s="120">
        <v>7.8</v>
      </c>
    </row>
    <row r="2414" spans="2:11" hidden="1" x14ac:dyDescent="0.25">
      <c r="B2414" s="28" t="str">
        <f>IF(ISNUMBER(MATCH(C2414, Mgt_Unit!$C$5:$C$1018, 0)), INDEX(Mgt_Unit!$B$5:$B$1018, MATCH(C2414, Mgt_Unit!$C$5:$C$1018, 0)), "")</f>
        <v>jennifer.moore</v>
      </c>
      <c r="C2414" t="s">
        <v>962</v>
      </c>
      <c r="E2414" s="17" t="s">
        <v>1585</v>
      </c>
      <c r="F2414" s="89">
        <v>43447</v>
      </c>
      <c r="J2414" t="s">
        <v>1398</v>
      </c>
      <c r="K2414" s="120">
        <v>4</v>
      </c>
    </row>
    <row r="2415" spans="2:11" hidden="1" x14ac:dyDescent="0.25">
      <c r="B2415" s="28" t="str">
        <f>IF(ISNUMBER(MATCH(C2415, Mgt_Unit!$C$5:$C$1018, 0)), INDEX(Mgt_Unit!$B$5:$B$1018, MATCH(C2415, Mgt_Unit!$C$5:$C$1018, 0)), "")</f>
        <v>jennifer.moore</v>
      </c>
      <c r="C2415" t="s">
        <v>962</v>
      </c>
      <c r="E2415" s="17" t="s">
        <v>1584</v>
      </c>
      <c r="F2415" s="89">
        <v>43598</v>
      </c>
      <c r="J2415" t="s">
        <v>1395</v>
      </c>
      <c r="K2415" s="120">
        <v>7.8</v>
      </c>
    </row>
    <row r="2416" spans="2:11" hidden="1" x14ac:dyDescent="0.25">
      <c r="B2416" s="28" t="str">
        <f>IF(ISNUMBER(MATCH(C2416, Mgt_Unit!$C$5:$C$1018, 0)), INDEX(Mgt_Unit!$B$5:$B$1018, MATCH(C2416, Mgt_Unit!$C$5:$C$1018, 0)), "")</f>
        <v>jennifer.moore</v>
      </c>
      <c r="C2416" t="s">
        <v>962</v>
      </c>
      <c r="E2416" s="17" t="s">
        <v>1583</v>
      </c>
      <c r="F2416" s="89">
        <v>43785</v>
      </c>
      <c r="J2416" t="s">
        <v>1398</v>
      </c>
      <c r="K2416" s="120">
        <v>4</v>
      </c>
    </row>
    <row r="2417" spans="2:11" hidden="1" x14ac:dyDescent="0.25">
      <c r="B2417" s="28" t="str">
        <f>IF(ISNUMBER(MATCH(C2417, Mgt_Unit!$C$5:$C$1018, 0)), INDEX(Mgt_Unit!$B$5:$B$1018, MATCH(C2417, Mgt_Unit!$C$5:$C$1018, 0)), "")</f>
        <v>jennifer.moore</v>
      </c>
      <c r="C2417" t="s">
        <v>962</v>
      </c>
      <c r="E2417" s="17" t="s">
        <v>1584</v>
      </c>
      <c r="F2417" s="89">
        <v>44010</v>
      </c>
      <c r="J2417" t="s">
        <v>1398</v>
      </c>
      <c r="K2417" s="120">
        <v>4</v>
      </c>
    </row>
    <row r="2418" spans="2:11" hidden="1" x14ac:dyDescent="0.25">
      <c r="B2418" s="28" t="str">
        <f>IF(ISNUMBER(MATCH(C2418, Mgt_Unit!$C$5:$C$1018, 0)), INDEX(Mgt_Unit!$B$5:$B$1018, MATCH(C2418, Mgt_Unit!$C$5:$C$1018, 0)), "")</f>
        <v>jennifer.moore</v>
      </c>
      <c r="C2418" t="s">
        <v>962</v>
      </c>
      <c r="E2418" s="17" t="s">
        <v>1585</v>
      </c>
      <c r="F2418" s="89">
        <v>44163</v>
      </c>
      <c r="J2418" t="s">
        <v>1398</v>
      </c>
      <c r="K2418" s="120">
        <v>4</v>
      </c>
    </row>
    <row r="2419" spans="2:11" hidden="1" x14ac:dyDescent="0.25">
      <c r="B2419" s="28" t="str">
        <f>IF(ISNUMBER(MATCH(C2419, Mgt_Unit!$C$5:$C$1018, 0)), INDEX(Mgt_Unit!$B$5:$B$1018, MATCH(C2419, Mgt_Unit!$C$5:$C$1018, 0)), "")</f>
        <v>jennifer.moore</v>
      </c>
      <c r="C2419" t="s">
        <v>962</v>
      </c>
      <c r="E2419" s="17" t="s">
        <v>1583</v>
      </c>
      <c r="F2419" s="89">
        <v>44355</v>
      </c>
      <c r="J2419" t="s">
        <v>1395</v>
      </c>
      <c r="K2419" s="120">
        <v>7.8</v>
      </c>
    </row>
    <row r="2420" spans="2:11" hidden="1" x14ac:dyDescent="0.25">
      <c r="B2420" s="28" t="str">
        <f>IF(ISNUMBER(MATCH(C2420, Mgt_Unit!$C$5:$C$1018, 0)), INDEX(Mgt_Unit!$B$5:$B$1018, MATCH(C2420, Mgt_Unit!$C$5:$C$1018, 0)), "")</f>
        <v>jennifer.moore</v>
      </c>
      <c r="C2420" t="s">
        <v>962</v>
      </c>
      <c r="E2420" s="17" t="s">
        <v>1585</v>
      </c>
      <c r="F2420" s="89">
        <v>44543</v>
      </c>
      <c r="J2420" t="s">
        <v>1398</v>
      </c>
      <c r="K2420" s="120">
        <v>4</v>
      </c>
    </row>
    <row r="2421" spans="2:11" hidden="1" x14ac:dyDescent="0.25">
      <c r="B2421" s="28" t="str">
        <f>IF(ISNUMBER(MATCH(C2421, Mgt_Unit!$C$5:$C$1018, 0)), INDEX(Mgt_Unit!$B$5:$B$1018, MATCH(C2421, Mgt_Unit!$C$5:$C$1018, 0)), "")</f>
        <v>jennifer.moore</v>
      </c>
      <c r="C2421" t="s">
        <v>962</v>
      </c>
      <c r="E2421" s="17" t="s">
        <v>1583</v>
      </c>
      <c r="F2421" s="89">
        <v>44658</v>
      </c>
      <c r="J2421" t="s">
        <v>1396</v>
      </c>
      <c r="K2421" s="120">
        <v>37</v>
      </c>
    </row>
    <row r="2422" spans="2:11" hidden="1" x14ac:dyDescent="0.25">
      <c r="B2422" s="28" t="str">
        <f>IF(ISNUMBER(MATCH(C2422, Mgt_Unit!$C$5:$C$1018, 0)), INDEX(Mgt_Unit!$B$5:$B$1018, MATCH(C2422, Mgt_Unit!$C$5:$C$1018, 0)), "")</f>
        <v>jennifer.moore</v>
      </c>
      <c r="C2422" t="s">
        <v>962</v>
      </c>
      <c r="E2422" s="17" t="s">
        <v>1583</v>
      </c>
      <c r="F2422" s="89">
        <v>44670</v>
      </c>
      <c r="J2422" t="s">
        <v>1396</v>
      </c>
      <c r="K2422" s="120">
        <v>37</v>
      </c>
    </row>
    <row r="2423" spans="2:11" hidden="1" x14ac:dyDescent="0.25">
      <c r="B2423" s="28" t="str">
        <f>IF(ISNUMBER(MATCH(C2423, Mgt_Unit!$C$5:$C$1018, 0)), INDEX(Mgt_Unit!$B$5:$B$1018, MATCH(C2423, Mgt_Unit!$C$5:$C$1018, 0)), "")</f>
        <v>jennifer.moore</v>
      </c>
      <c r="C2423" t="s">
        <v>962</v>
      </c>
      <c r="E2423" s="17" t="s">
        <v>1583</v>
      </c>
      <c r="F2423" s="89">
        <v>44701</v>
      </c>
      <c r="J2423" t="s">
        <v>1396</v>
      </c>
      <c r="K2423" s="120">
        <v>37</v>
      </c>
    </row>
    <row r="2424" spans="2:11" hidden="1" x14ac:dyDescent="0.25">
      <c r="B2424" s="28" t="str">
        <f>IF(ISNUMBER(MATCH(C2424, Mgt_Unit!$C$5:$C$1018, 0)), INDEX(Mgt_Unit!$B$5:$B$1018, MATCH(C2424, Mgt_Unit!$C$5:$C$1018, 0)), "")</f>
        <v>jennifer.moore</v>
      </c>
      <c r="C2424" t="s">
        <v>962</v>
      </c>
      <c r="E2424" s="17" t="s">
        <v>1583</v>
      </c>
      <c r="F2424" s="89">
        <v>44705</v>
      </c>
      <c r="J2424" t="s">
        <v>1482</v>
      </c>
      <c r="K2424" s="120">
        <v>26</v>
      </c>
    </row>
    <row r="2425" spans="2:11" hidden="1" x14ac:dyDescent="0.25">
      <c r="B2425" s="28" t="str">
        <f>IF(ISNUMBER(MATCH(C2425, Mgt_Unit!$C$5:$C$1018, 0)), INDEX(Mgt_Unit!$B$5:$B$1018, MATCH(C2425, Mgt_Unit!$C$5:$C$1018, 0)), "")</f>
        <v>jennifer.moore</v>
      </c>
      <c r="C2425" t="s">
        <v>963</v>
      </c>
      <c r="E2425" s="17" t="s">
        <v>1583</v>
      </c>
      <c r="F2425" s="89">
        <v>42891</v>
      </c>
      <c r="J2425" t="s">
        <v>1484</v>
      </c>
      <c r="K2425" s="120">
        <v>9.8000000000000004E-2</v>
      </c>
    </row>
    <row r="2426" spans="2:11" hidden="1" x14ac:dyDescent="0.25">
      <c r="B2426" s="28" t="str">
        <f>IF(ISNUMBER(MATCH(C2426, Mgt_Unit!$C$5:$C$1018, 0)), INDEX(Mgt_Unit!$B$5:$B$1018, MATCH(C2426, Mgt_Unit!$C$5:$C$1018, 0)), "")</f>
        <v>jennifer.moore</v>
      </c>
      <c r="C2426" t="s">
        <v>963</v>
      </c>
      <c r="E2426" s="17" t="s">
        <v>1584</v>
      </c>
      <c r="F2426" s="89">
        <v>42893</v>
      </c>
      <c r="J2426" t="s">
        <v>1395</v>
      </c>
      <c r="K2426" s="120">
        <v>7.8</v>
      </c>
    </row>
    <row r="2427" spans="2:11" hidden="1" x14ac:dyDescent="0.25">
      <c r="B2427" s="28" t="str">
        <f>IF(ISNUMBER(MATCH(C2427, Mgt_Unit!$C$5:$C$1018, 0)), INDEX(Mgt_Unit!$B$5:$B$1018, MATCH(C2427, Mgt_Unit!$C$5:$C$1018, 0)), "")</f>
        <v>jennifer.moore</v>
      </c>
      <c r="C2427" t="s">
        <v>963</v>
      </c>
      <c r="E2427" s="17" t="s">
        <v>1583</v>
      </c>
      <c r="F2427" s="89">
        <v>43220</v>
      </c>
      <c r="J2427" t="s">
        <v>1396</v>
      </c>
      <c r="K2427" s="120">
        <v>37</v>
      </c>
    </row>
    <row r="2428" spans="2:11" hidden="1" x14ac:dyDescent="0.25">
      <c r="B2428" s="28" t="str">
        <f>IF(ISNUMBER(MATCH(C2428, Mgt_Unit!$C$5:$C$1018, 0)), INDEX(Mgt_Unit!$B$5:$B$1018, MATCH(C2428, Mgt_Unit!$C$5:$C$1018, 0)), "")</f>
        <v>jennifer.moore</v>
      </c>
      <c r="C2428" t="s">
        <v>963</v>
      </c>
      <c r="E2428" s="17" t="s">
        <v>1583</v>
      </c>
      <c r="F2428" s="89">
        <v>43241</v>
      </c>
      <c r="J2428" t="s">
        <v>1396</v>
      </c>
      <c r="K2428" s="120">
        <v>37</v>
      </c>
    </row>
    <row r="2429" spans="2:11" hidden="1" x14ac:dyDescent="0.25">
      <c r="B2429" s="28" t="str">
        <f>IF(ISNUMBER(MATCH(C2429, Mgt_Unit!$C$5:$C$1018, 0)), INDEX(Mgt_Unit!$B$5:$B$1018, MATCH(C2429, Mgt_Unit!$C$5:$C$1018, 0)), "")</f>
        <v>jennifer.moore</v>
      </c>
      <c r="C2429" t="s">
        <v>963</v>
      </c>
      <c r="E2429" s="17" t="s">
        <v>1583</v>
      </c>
      <c r="F2429" s="89">
        <v>43241</v>
      </c>
      <c r="J2429" t="s">
        <v>1396</v>
      </c>
      <c r="K2429" s="120">
        <v>37</v>
      </c>
    </row>
    <row r="2430" spans="2:11" hidden="1" x14ac:dyDescent="0.25">
      <c r="B2430" s="28" t="str">
        <f>IF(ISNUMBER(MATCH(C2430, Mgt_Unit!$C$5:$C$1018, 0)), INDEX(Mgt_Unit!$B$5:$B$1018, MATCH(C2430, Mgt_Unit!$C$5:$C$1018, 0)), "")</f>
        <v>jennifer.moore</v>
      </c>
      <c r="C2430" t="s">
        <v>963</v>
      </c>
      <c r="E2430" s="17" t="s">
        <v>1583</v>
      </c>
      <c r="F2430" s="89">
        <v>43255</v>
      </c>
      <c r="J2430" t="s">
        <v>1396</v>
      </c>
      <c r="K2430" s="120">
        <v>37</v>
      </c>
    </row>
    <row r="2431" spans="2:11" hidden="1" x14ac:dyDescent="0.25">
      <c r="B2431" s="28" t="str">
        <f>IF(ISNUMBER(MATCH(C2431, Mgt_Unit!$C$5:$C$1018, 0)), INDEX(Mgt_Unit!$B$5:$B$1018, MATCH(C2431, Mgt_Unit!$C$5:$C$1018, 0)), "")</f>
        <v>jennifer.moore</v>
      </c>
      <c r="C2431" t="s">
        <v>963</v>
      </c>
      <c r="E2431" s="17" t="s">
        <v>1583</v>
      </c>
      <c r="F2431" s="89">
        <v>43255</v>
      </c>
      <c r="J2431" t="s">
        <v>1396</v>
      </c>
      <c r="K2431" s="120">
        <v>37</v>
      </c>
    </row>
    <row r="2432" spans="2:11" hidden="1" x14ac:dyDescent="0.25">
      <c r="B2432" s="28" t="str">
        <f>IF(ISNUMBER(MATCH(C2432, Mgt_Unit!$C$5:$C$1018, 0)), INDEX(Mgt_Unit!$B$5:$B$1018, MATCH(C2432, Mgt_Unit!$C$5:$C$1018, 0)), "")</f>
        <v>jennifer.moore</v>
      </c>
      <c r="C2432" t="s">
        <v>963</v>
      </c>
      <c r="E2432" s="17" t="s">
        <v>1583</v>
      </c>
      <c r="F2432" s="89">
        <v>43276</v>
      </c>
      <c r="J2432" t="s">
        <v>1396</v>
      </c>
      <c r="K2432" s="120">
        <v>37</v>
      </c>
    </row>
    <row r="2433" spans="2:11" hidden="1" x14ac:dyDescent="0.25">
      <c r="B2433" s="28" t="str">
        <f>IF(ISNUMBER(MATCH(C2433, Mgt_Unit!$C$5:$C$1018, 0)), INDEX(Mgt_Unit!$B$5:$B$1018, MATCH(C2433, Mgt_Unit!$C$5:$C$1018, 0)), "")</f>
        <v>jennifer.moore</v>
      </c>
      <c r="C2433" t="s">
        <v>963</v>
      </c>
      <c r="E2433" s="17" t="s">
        <v>1583</v>
      </c>
      <c r="F2433" s="89">
        <v>43276</v>
      </c>
      <c r="J2433" t="s">
        <v>1482</v>
      </c>
      <c r="K2433" s="120">
        <v>26</v>
      </c>
    </row>
    <row r="2434" spans="2:11" hidden="1" x14ac:dyDescent="0.25">
      <c r="B2434" s="28" t="str">
        <f>IF(ISNUMBER(MATCH(C2434, Mgt_Unit!$C$5:$C$1018, 0)), INDEX(Mgt_Unit!$B$5:$B$1018, MATCH(C2434, Mgt_Unit!$C$5:$C$1018, 0)), "")</f>
        <v>jennifer.moore</v>
      </c>
      <c r="C2434" t="s">
        <v>963</v>
      </c>
      <c r="E2434" s="17" t="s">
        <v>1583</v>
      </c>
      <c r="F2434" s="89">
        <v>43290</v>
      </c>
      <c r="J2434" t="s">
        <v>1482</v>
      </c>
      <c r="K2434" s="120">
        <v>26</v>
      </c>
    </row>
    <row r="2435" spans="2:11" hidden="1" x14ac:dyDescent="0.25">
      <c r="B2435" s="28" t="str">
        <f>IF(ISNUMBER(MATCH(C2435, Mgt_Unit!$C$5:$C$1018, 0)), INDEX(Mgt_Unit!$B$5:$B$1018, MATCH(C2435, Mgt_Unit!$C$5:$C$1018, 0)), "")</f>
        <v>jennifer.moore</v>
      </c>
      <c r="C2435" t="s">
        <v>963</v>
      </c>
      <c r="E2435" s="17" t="s">
        <v>1585</v>
      </c>
      <c r="F2435" s="89">
        <v>43292</v>
      </c>
      <c r="J2435" t="s">
        <v>1398</v>
      </c>
      <c r="K2435" s="120">
        <v>4</v>
      </c>
    </row>
    <row r="2436" spans="2:11" hidden="1" x14ac:dyDescent="0.25">
      <c r="B2436" s="28" t="str">
        <f>IF(ISNUMBER(MATCH(C2436, Mgt_Unit!$C$5:$C$1018, 0)), INDEX(Mgt_Unit!$B$5:$B$1018, MATCH(C2436, Mgt_Unit!$C$5:$C$1018, 0)), "")</f>
        <v>jennifer.moore</v>
      </c>
      <c r="C2436" t="s">
        <v>963</v>
      </c>
      <c r="E2436" s="17" t="s">
        <v>1583</v>
      </c>
      <c r="F2436" s="89">
        <v>43380</v>
      </c>
      <c r="J2436" t="s">
        <v>1396</v>
      </c>
      <c r="K2436" s="120">
        <v>37</v>
      </c>
    </row>
    <row r="2437" spans="2:11" hidden="1" x14ac:dyDescent="0.25">
      <c r="B2437" s="28" t="str">
        <f>IF(ISNUMBER(MATCH(C2437, Mgt_Unit!$C$5:$C$1018, 0)), INDEX(Mgt_Unit!$B$5:$B$1018, MATCH(C2437, Mgt_Unit!$C$5:$C$1018, 0)), "")</f>
        <v>jennifer.moore</v>
      </c>
      <c r="C2437" t="s">
        <v>963</v>
      </c>
      <c r="E2437" s="17" t="s">
        <v>1583</v>
      </c>
      <c r="F2437" s="89">
        <v>43380</v>
      </c>
      <c r="J2437" t="s">
        <v>1396</v>
      </c>
      <c r="K2437" s="120">
        <v>37</v>
      </c>
    </row>
    <row r="2438" spans="2:11" hidden="1" x14ac:dyDescent="0.25">
      <c r="B2438" s="28" t="str">
        <f>IF(ISNUMBER(MATCH(C2438, Mgt_Unit!$C$5:$C$1018, 0)), INDEX(Mgt_Unit!$B$5:$B$1018, MATCH(C2438, Mgt_Unit!$C$5:$C$1018, 0)), "")</f>
        <v>jennifer.moore</v>
      </c>
      <c r="C2438" t="s">
        <v>963</v>
      </c>
      <c r="E2438" s="17" t="s">
        <v>1583</v>
      </c>
      <c r="F2438" s="89">
        <v>43500</v>
      </c>
      <c r="J2438" t="s">
        <v>1482</v>
      </c>
      <c r="K2438" s="120">
        <v>26</v>
      </c>
    </row>
    <row r="2439" spans="2:11" hidden="1" x14ac:dyDescent="0.25">
      <c r="B2439" s="28" t="str">
        <f>IF(ISNUMBER(MATCH(C2439, Mgt_Unit!$C$5:$C$1018, 0)), INDEX(Mgt_Unit!$B$5:$B$1018, MATCH(C2439, Mgt_Unit!$C$5:$C$1018, 0)), "")</f>
        <v>jennifer.moore</v>
      </c>
      <c r="C2439" t="s">
        <v>963</v>
      </c>
      <c r="E2439" s="17" t="s">
        <v>1583</v>
      </c>
      <c r="F2439" s="89">
        <v>43500</v>
      </c>
      <c r="J2439" t="s">
        <v>1396</v>
      </c>
      <c r="K2439" s="120">
        <v>37</v>
      </c>
    </row>
    <row r="2440" spans="2:11" hidden="1" x14ac:dyDescent="0.25">
      <c r="B2440" s="28" t="str">
        <f>IF(ISNUMBER(MATCH(C2440, Mgt_Unit!$C$5:$C$1018, 0)), INDEX(Mgt_Unit!$B$5:$B$1018, MATCH(C2440, Mgt_Unit!$C$5:$C$1018, 0)), "")</f>
        <v>jennifer.moore</v>
      </c>
      <c r="C2440" t="s">
        <v>963</v>
      </c>
      <c r="E2440" s="17" t="s">
        <v>1585</v>
      </c>
      <c r="F2440" s="89">
        <v>43503</v>
      </c>
      <c r="J2440" t="s">
        <v>1398</v>
      </c>
      <c r="K2440" s="120">
        <v>4</v>
      </c>
    </row>
    <row r="2441" spans="2:11" hidden="1" x14ac:dyDescent="0.25">
      <c r="B2441" s="28" t="str">
        <f>IF(ISNUMBER(MATCH(C2441, Mgt_Unit!$C$5:$C$1018, 0)), INDEX(Mgt_Unit!$B$5:$B$1018, MATCH(C2441, Mgt_Unit!$C$5:$C$1018, 0)), "")</f>
        <v>jennifer.moore</v>
      </c>
      <c r="C2441" t="s">
        <v>963</v>
      </c>
      <c r="E2441" s="17" t="s">
        <v>1583</v>
      </c>
      <c r="F2441" s="89">
        <v>43573</v>
      </c>
      <c r="J2441" t="s">
        <v>1396</v>
      </c>
      <c r="K2441" s="120">
        <v>37</v>
      </c>
    </row>
    <row r="2442" spans="2:11" hidden="1" x14ac:dyDescent="0.25">
      <c r="B2442" s="28" t="str">
        <f>IF(ISNUMBER(MATCH(C2442, Mgt_Unit!$C$5:$C$1018, 0)), INDEX(Mgt_Unit!$B$5:$B$1018, MATCH(C2442, Mgt_Unit!$C$5:$C$1018, 0)), "")</f>
        <v>jennifer.moore</v>
      </c>
      <c r="C2442" t="s">
        <v>963</v>
      </c>
      <c r="E2442" s="17" t="s">
        <v>1584</v>
      </c>
      <c r="F2442" s="89">
        <v>43594</v>
      </c>
      <c r="J2442" t="s">
        <v>1395</v>
      </c>
      <c r="K2442" s="120">
        <v>7.8</v>
      </c>
    </row>
    <row r="2443" spans="2:11" hidden="1" x14ac:dyDescent="0.25">
      <c r="B2443" s="28" t="str">
        <f>IF(ISNUMBER(MATCH(C2443, Mgt_Unit!$C$5:$C$1018, 0)), INDEX(Mgt_Unit!$B$5:$B$1018, MATCH(C2443, Mgt_Unit!$C$5:$C$1018, 0)), "")</f>
        <v>jennifer.moore</v>
      </c>
      <c r="C2443" t="s">
        <v>963</v>
      </c>
      <c r="E2443" s="17" t="s">
        <v>1585</v>
      </c>
      <c r="F2443" s="89">
        <v>43662</v>
      </c>
      <c r="J2443" t="s">
        <v>1398</v>
      </c>
      <c r="K2443" s="120">
        <v>4</v>
      </c>
    </row>
    <row r="2444" spans="2:11" hidden="1" x14ac:dyDescent="0.25">
      <c r="B2444" s="28" t="str">
        <f>IF(ISNUMBER(MATCH(C2444, Mgt_Unit!$C$5:$C$1018, 0)), INDEX(Mgt_Unit!$B$5:$B$1018, MATCH(C2444, Mgt_Unit!$C$5:$C$1018, 0)), "")</f>
        <v>jennifer.moore</v>
      </c>
      <c r="C2444" t="s">
        <v>963</v>
      </c>
      <c r="E2444" s="17" t="s">
        <v>1583</v>
      </c>
      <c r="F2444" s="89">
        <v>43740</v>
      </c>
      <c r="J2444" t="s">
        <v>1396</v>
      </c>
      <c r="K2444" s="120">
        <v>37</v>
      </c>
    </row>
    <row r="2445" spans="2:11" hidden="1" x14ac:dyDescent="0.25">
      <c r="B2445" s="28" t="str">
        <f>IF(ISNUMBER(MATCH(C2445, Mgt_Unit!$C$5:$C$1018, 0)), INDEX(Mgt_Unit!$B$5:$B$1018, MATCH(C2445, Mgt_Unit!$C$5:$C$1018, 0)), "")</f>
        <v>jennifer.moore</v>
      </c>
      <c r="C2445" t="s">
        <v>963</v>
      </c>
      <c r="E2445" s="17" t="s">
        <v>1585</v>
      </c>
      <c r="F2445" s="89">
        <v>43763</v>
      </c>
      <c r="J2445" t="s">
        <v>1398</v>
      </c>
      <c r="K2445" s="120">
        <v>4</v>
      </c>
    </row>
    <row r="2446" spans="2:11" hidden="1" x14ac:dyDescent="0.25">
      <c r="B2446" s="28" t="str">
        <f>IF(ISNUMBER(MATCH(C2446, Mgt_Unit!$C$5:$C$1018, 0)), INDEX(Mgt_Unit!$B$5:$B$1018, MATCH(C2446, Mgt_Unit!$C$5:$C$1018, 0)), "")</f>
        <v>jennifer.moore</v>
      </c>
      <c r="C2446" t="s">
        <v>963</v>
      </c>
      <c r="E2446" s="17" t="s">
        <v>1583</v>
      </c>
      <c r="F2446" s="89">
        <v>43763</v>
      </c>
      <c r="J2446" t="s">
        <v>1482</v>
      </c>
      <c r="K2446" s="120">
        <v>26</v>
      </c>
    </row>
    <row r="2447" spans="2:11" hidden="1" x14ac:dyDescent="0.25">
      <c r="B2447" s="28" t="str">
        <f>IF(ISNUMBER(MATCH(C2447, Mgt_Unit!$C$5:$C$1018, 0)), INDEX(Mgt_Unit!$B$5:$B$1018, MATCH(C2447, Mgt_Unit!$C$5:$C$1018, 0)), "")</f>
        <v>jennifer.moore</v>
      </c>
      <c r="C2447" t="s">
        <v>963</v>
      </c>
      <c r="E2447" s="17" t="s">
        <v>1583</v>
      </c>
      <c r="F2447" s="89">
        <v>43763</v>
      </c>
      <c r="J2447" t="s">
        <v>1396</v>
      </c>
      <c r="K2447" s="120">
        <v>37</v>
      </c>
    </row>
    <row r="2448" spans="2:11" hidden="1" x14ac:dyDescent="0.25">
      <c r="B2448" s="28" t="str">
        <f>IF(ISNUMBER(MATCH(C2448, Mgt_Unit!$C$5:$C$1018, 0)), INDEX(Mgt_Unit!$B$5:$B$1018, MATCH(C2448, Mgt_Unit!$C$5:$C$1018, 0)), "")</f>
        <v>jennifer.moore</v>
      </c>
      <c r="C2448" t="s">
        <v>964</v>
      </c>
      <c r="E2448" s="17" t="s">
        <v>1583</v>
      </c>
      <c r="F2448" s="89">
        <v>42846</v>
      </c>
      <c r="J2448" t="s">
        <v>1396</v>
      </c>
      <c r="K2448" s="120">
        <v>37</v>
      </c>
    </row>
    <row r="2449" spans="2:11" hidden="1" x14ac:dyDescent="0.25">
      <c r="B2449" s="28" t="str">
        <f>IF(ISNUMBER(MATCH(C2449, Mgt_Unit!$C$5:$C$1018, 0)), INDEX(Mgt_Unit!$B$5:$B$1018, MATCH(C2449, Mgt_Unit!$C$5:$C$1018, 0)), "")</f>
        <v>jennifer.moore</v>
      </c>
      <c r="C2449" t="s">
        <v>964</v>
      </c>
      <c r="E2449" s="17" t="s">
        <v>1583</v>
      </c>
      <c r="F2449" s="89">
        <v>42872</v>
      </c>
      <c r="J2449" t="s">
        <v>1396</v>
      </c>
      <c r="K2449" s="120">
        <v>37</v>
      </c>
    </row>
    <row r="2450" spans="2:11" hidden="1" x14ac:dyDescent="0.25">
      <c r="B2450" s="28" t="str">
        <f>IF(ISNUMBER(MATCH(C2450, Mgt_Unit!$C$5:$C$1018, 0)), INDEX(Mgt_Unit!$B$5:$B$1018, MATCH(C2450, Mgt_Unit!$C$5:$C$1018, 0)), "")</f>
        <v>jennifer.moore</v>
      </c>
      <c r="C2450" t="s">
        <v>964</v>
      </c>
      <c r="E2450" s="17" t="s">
        <v>1583</v>
      </c>
      <c r="F2450" s="89">
        <v>42891</v>
      </c>
      <c r="J2450" t="s">
        <v>1396</v>
      </c>
      <c r="K2450" s="120">
        <v>37</v>
      </c>
    </row>
    <row r="2451" spans="2:11" hidden="1" x14ac:dyDescent="0.25">
      <c r="B2451" s="28" t="str">
        <f>IF(ISNUMBER(MATCH(C2451, Mgt_Unit!$C$5:$C$1018, 0)), INDEX(Mgt_Unit!$B$5:$B$1018, MATCH(C2451, Mgt_Unit!$C$5:$C$1018, 0)), "")</f>
        <v>jennifer.moore</v>
      </c>
      <c r="C2451" t="s">
        <v>964</v>
      </c>
      <c r="E2451" s="17" t="s">
        <v>1583</v>
      </c>
      <c r="F2451" s="89">
        <v>42893</v>
      </c>
      <c r="J2451" t="s">
        <v>1482</v>
      </c>
      <c r="K2451" s="120">
        <v>26</v>
      </c>
    </row>
    <row r="2452" spans="2:11" hidden="1" x14ac:dyDescent="0.25">
      <c r="B2452" s="28" t="str">
        <f>IF(ISNUMBER(MATCH(C2452, Mgt_Unit!$C$5:$C$1018, 0)), INDEX(Mgt_Unit!$B$5:$B$1018, MATCH(C2452, Mgt_Unit!$C$5:$C$1018, 0)), "")</f>
        <v>jennifer.moore</v>
      </c>
      <c r="C2452" t="s">
        <v>964</v>
      </c>
      <c r="E2452" s="17" t="s">
        <v>1584</v>
      </c>
      <c r="F2452" s="89">
        <v>42894</v>
      </c>
      <c r="J2452" t="s">
        <v>1395</v>
      </c>
      <c r="K2452" s="120">
        <v>7.8</v>
      </c>
    </row>
    <row r="2453" spans="2:11" hidden="1" x14ac:dyDescent="0.25">
      <c r="B2453" s="28" t="str">
        <f>IF(ISNUMBER(MATCH(C2453, Mgt_Unit!$C$5:$C$1018, 0)), INDEX(Mgt_Unit!$B$5:$B$1018, MATCH(C2453, Mgt_Unit!$C$5:$C$1018, 0)), "")</f>
        <v>jennifer.moore</v>
      </c>
      <c r="C2453" t="s">
        <v>964</v>
      </c>
      <c r="E2453" s="17" t="s">
        <v>1583</v>
      </c>
      <c r="F2453" s="89">
        <v>42900</v>
      </c>
      <c r="J2453" t="s">
        <v>1441</v>
      </c>
      <c r="K2453" s="120">
        <v>17</v>
      </c>
    </row>
    <row r="2454" spans="2:11" hidden="1" x14ac:dyDescent="0.25">
      <c r="B2454" s="28" t="str">
        <f>IF(ISNUMBER(MATCH(C2454, Mgt_Unit!$C$5:$C$1018, 0)), INDEX(Mgt_Unit!$B$5:$B$1018, MATCH(C2454, Mgt_Unit!$C$5:$C$1018, 0)), "")</f>
        <v>jennifer.moore</v>
      </c>
      <c r="C2454" t="s">
        <v>964</v>
      </c>
      <c r="E2454" s="17" t="s">
        <v>1583</v>
      </c>
      <c r="F2454" s="89">
        <v>42905</v>
      </c>
      <c r="J2454" t="s">
        <v>1485</v>
      </c>
      <c r="K2454" s="120">
        <v>28</v>
      </c>
    </row>
    <row r="2455" spans="2:11" hidden="1" x14ac:dyDescent="0.25">
      <c r="B2455" s="28" t="str">
        <f>IF(ISNUMBER(MATCH(C2455, Mgt_Unit!$C$5:$C$1018, 0)), INDEX(Mgt_Unit!$B$5:$B$1018, MATCH(C2455, Mgt_Unit!$C$5:$C$1018, 0)), "")</f>
        <v>jennifer.moore</v>
      </c>
      <c r="C2455" t="s">
        <v>964</v>
      </c>
      <c r="E2455" s="17" t="s">
        <v>1583</v>
      </c>
      <c r="F2455" s="89">
        <v>42914</v>
      </c>
      <c r="J2455" t="s">
        <v>1485</v>
      </c>
      <c r="K2455" s="120">
        <v>28</v>
      </c>
    </row>
    <row r="2456" spans="2:11" hidden="1" x14ac:dyDescent="0.25">
      <c r="B2456" s="28" t="str">
        <f>IF(ISNUMBER(MATCH(C2456, Mgt_Unit!$C$5:$C$1018, 0)), INDEX(Mgt_Unit!$B$5:$B$1018, MATCH(C2456, Mgt_Unit!$C$5:$C$1018, 0)), "")</f>
        <v>jennifer.moore</v>
      </c>
      <c r="C2456" t="s">
        <v>964</v>
      </c>
      <c r="E2456" s="17" t="s">
        <v>1583</v>
      </c>
      <c r="F2456" s="89">
        <v>42920</v>
      </c>
      <c r="J2456" t="s">
        <v>1485</v>
      </c>
      <c r="K2456" s="120">
        <v>28</v>
      </c>
    </row>
    <row r="2457" spans="2:11" hidden="1" x14ac:dyDescent="0.25">
      <c r="B2457" s="28" t="str">
        <f>IF(ISNUMBER(MATCH(C2457, Mgt_Unit!$C$5:$C$1018, 0)), INDEX(Mgt_Unit!$B$5:$B$1018, MATCH(C2457, Mgt_Unit!$C$5:$C$1018, 0)), "")</f>
        <v>jennifer.moore</v>
      </c>
      <c r="C2457" t="s">
        <v>964</v>
      </c>
      <c r="E2457" s="17" t="s">
        <v>1583</v>
      </c>
      <c r="F2457" s="89">
        <v>42929</v>
      </c>
      <c r="J2457" t="s">
        <v>1486</v>
      </c>
      <c r="K2457" s="120">
        <v>0.59</v>
      </c>
    </row>
    <row r="2458" spans="2:11" hidden="1" x14ac:dyDescent="0.25">
      <c r="B2458" s="28" t="str">
        <f>IF(ISNUMBER(MATCH(C2458, Mgt_Unit!$C$5:$C$1018, 0)), INDEX(Mgt_Unit!$B$5:$B$1018, MATCH(C2458, Mgt_Unit!$C$5:$C$1018, 0)), "")</f>
        <v>jennifer.moore</v>
      </c>
      <c r="C2458" t="s">
        <v>964</v>
      </c>
      <c r="E2458" s="17" t="s">
        <v>1583</v>
      </c>
      <c r="F2458" s="89">
        <v>42930</v>
      </c>
      <c r="J2458" t="s">
        <v>1485</v>
      </c>
      <c r="K2458" s="120">
        <v>28</v>
      </c>
    </row>
    <row r="2459" spans="2:11" hidden="1" x14ac:dyDescent="0.25">
      <c r="B2459" s="28" t="str">
        <f>IF(ISNUMBER(MATCH(C2459, Mgt_Unit!$C$5:$C$1018, 0)), INDEX(Mgt_Unit!$B$5:$B$1018, MATCH(C2459, Mgt_Unit!$C$5:$C$1018, 0)), "")</f>
        <v>jennifer.moore</v>
      </c>
      <c r="C2459" t="s">
        <v>964</v>
      </c>
      <c r="E2459" s="17" t="s">
        <v>1583</v>
      </c>
      <c r="F2459" s="89">
        <v>42936</v>
      </c>
      <c r="J2459" t="s">
        <v>1485</v>
      </c>
      <c r="K2459" s="120">
        <v>28</v>
      </c>
    </row>
    <row r="2460" spans="2:11" hidden="1" x14ac:dyDescent="0.25">
      <c r="B2460" s="28" t="str">
        <f>IF(ISNUMBER(MATCH(C2460, Mgt_Unit!$C$5:$C$1018, 0)), INDEX(Mgt_Unit!$B$5:$B$1018, MATCH(C2460, Mgt_Unit!$C$5:$C$1018, 0)), "")</f>
        <v>jennifer.moore</v>
      </c>
      <c r="C2460" t="s">
        <v>964</v>
      </c>
      <c r="E2460" s="17" t="s">
        <v>1583</v>
      </c>
      <c r="F2460" s="89">
        <v>42958</v>
      </c>
      <c r="J2460" t="s">
        <v>1486</v>
      </c>
      <c r="K2460" s="120">
        <v>0.59</v>
      </c>
    </row>
    <row r="2461" spans="2:11" hidden="1" x14ac:dyDescent="0.25">
      <c r="B2461" s="28" t="str">
        <f>IF(ISNUMBER(MATCH(C2461, Mgt_Unit!$C$5:$C$1018, 0)), INDEX(Mgt_Unit!$B$5:$B$1018, MATCH(C2461, Mgt_Unit!$C$5:$C$1018, 0)), "")</f>
        <v>jennifer.moore</v>
      </c>
      <c r="C2461" t="s">
        <v>964</v>
      </c>
      <c r="E2461" s="17" t="s">
        <v>1583</v>
      </c>
      <c r="F2461" s="89">
        <v>43220</v>
      </c>
      <c r="J2461" t="s">
        <v>1396</v>
      </c>
      <c r="K2461" s="120">
        <v>37</v>
      </c>
    </row>
    <row r="2462" spans="2:11" hidden="1" x14ac:dyDescent="0.25">
      <c r="B2462" s="28" t="str">
        <f>IF(ISNUMBER(MATCH(C2462, Mgt_Unit!$C$5:$C$1018, 0)), INDEX(Mgt_Unit!$B$5:$B$1018, MATCH(C2462, Mgt_Unit!$C$5:$C$1018, 0)), "")</f>
        <v>jennifer.moore</v>
      </c>
      <c r="C2462" t="s">
        <v>964</v>
      </c>
      <c r="E2462" s="17" t="s">
        <v>1583</v>
      </c>
      <c r="F2462" s="89">
        <v>43241</v>
      </c>
      <c r="J2462" t="s">
        <v>1396</v>
      </c>
      <c r="K2462" s="120">
        <v>37</v>
      </c>
    </row>
    <row r="2463" spans="2:11" hidden="1" x14ac:dyDescent="0.25">
      <c r="B2463" s="28" t="str">
        <f>IF(ISNUMBER(MATCH(C2463, Mgt_Unit!$C$5:$C$1018, 0)), INDEX(Mgt_Unit!$B$5:$B$1018, MATCH(C2463, Mgt_Unit!$C$5:$C$1018, 0)), "")</f>
        <v>jennifer.moore</v>
      </c>
      <c r="C2463" t="s">
        <v>964</v>
      </c>
      <c r="E2463" s="17" t="s">
        <v>1583</v>
      </c>
      <c r="F2463" s="89">
        <v>43241</v>
      </c>
      <c r="J2463" t="s">
        <v>1396</v>
      </c>
      <c r="K2463" s="120">
        <v>37</v>
      </c>
    </row>
    <row r="2464" spans="2:11" hidden="1" x14ac:dyDescent="0.25">
      <c r="B2464" s="28" t="str">
        <f>IF(ISNUMBER(MATCH(C2464, Mgt_Unit!$C$5:$C$1018, 0)), INDEX(Mgt_Unit!$B$5:$B$1018, MATCH(C2464, Mgt_Unit!$C$5:$C$1018, 0)), "")</f>
        <v>jennifer.moore</v>
      </c>
      <c r="C2464" t="s">
        <v>964</v>
      </c>
      <c r="E2464" s="17" t="s">
        <v>1583</v>
      </c>
      <c r="F2464" s="89">
        <v>43255</v>
      </c>
      <c r="J2464" t="s">
        <v>1396</v>
      </c>
      <c r="K2464" s="120">
        <v>37</v>
      </c>
    </row>
    <row r="2465" spans="2:11" hidden="1" x14ac:dyDescent="0.25">
      <c r="B2465" s="28" t="str">
        <f>IF(ISNUMBER(MATCH(C2465, Mgt_Unit!$C$5:$C$1018, 0)), INDEX(Mgt_Unit!$B$5:$B$1018, MATCH(C2465, Mgt_Unit!$C$5:$C$1018, 0)), "")</f>
        <v>jennifer.moore</v>
      </c>
      <c r="C2465" t="s">
        <v>964</v>
      </c>
      <c r="E2465" s="17" t="s">
        <v>1583</v>
      </c>
      <c r="F2465" s="89">
        <v>43255</v>
      </c>
      <c r="J2465" t="s">
        <v>1396</v>
      </c>
      <c r="K2465" s="120">
        <v>37</v>
      </c>
    </row>
    <row r="2466" spans="2:11" hidden="1" x14ac:dyDescent="0.25">
      <c r="B2466" s="28" t="str">
        <f>IF(ISNUMBER(MATCH(C2466, Mgt_Unit!$C$5:$C$1018, 0)), INDEX(Mgt_Unit!$B$5:$B$1018, MATCH(C2466, Mgt_Unit!$C$5:$C$1018, 0)), "")</f>
        <v>jennifer.moore</v>
      </c>
      <c r="C2466" t="s">
        <v>964</v>
      </c>
      <c r="E2466" s="17" t="s">
        <v>1583</v>
      </c>
      <c r="F2466" s="89">
        <v>43276</v>
      </c>
      <c r="J2466" t="s">
        <v>1482</v>
      </c>
      <c r="K2466" s="120">
        <v>26</v>
      </c>
    </row>
    <row r="2467" spans="2:11" hidden="1" x14ac:dyDescent="0.25">
      <c r="B2467" s="28" t="str">
        <f>IF(ISNUMBER(MATCH(C2467, Mgt_Unit!$C$5:$C$1018, 0)), INDEX(Mgt_Unit!$B$5:$B$1018, MATCH(C2467, Mgt_Unit!$C$5:$C$1018, 0)), "")</f>
        <v>jennifer.moore</v>
      </c>
      <c r="C2467" t="s">
        <v>964</v>
      </c>
      <c r="E2467" s="17" t="s">
        <v>1583</v>
      </c>
      <c r="F2467" s="89">
        <v>43276</v>
      </c>
      <c r="J2467" t="s">
        <v>1396</v>
      </c>
      <c r="K2467" s="120">
        <v>37</v>
      </c>
    </row>
    <row r="2468" spans="2:11" hidden="1" x14ac:dyDescent="0.25">
      <c r="B2468" s="28" t="str">
        <f>IF(ISNUMBER(MATCH(C2468, Mgt_Unit!$C$5:$C$1018, 0)), INDEX(Mgt_Unit!$B$5:$B$1018, MATCH(C2468, Mgt_Unit!$C$5:$C$1018, 0)), "")</f>
        <v>jennifer.moore</v>
      </c>
      <c r="C2468" t="s">
        <v>964</v>
      </c>
      <c r="E2468" s="17" t="s">
        <v>1583</v>
      </c>
      <c r="F2468" s="89">
        <v>43290</v>
      </c>
      <c r="J2468" t="s">
        <v>1482</v>
      </c>
      <c r="K2468" s="120">
        <v>26</v>
      </c>
    </row>
    <row r="2469" spans="2:11" hidden="1" x14ac:dyDescent="0.25">
      <c r="B2469" s="28" t="str">
        <f>IF(ISNUMBER(MATCH(C2469, Mgt_Unit!$C$5:$C$1018, 0)), INDEX(Mgt_Unit!$B$5:$B$1018, MATCH(C2469, Mgt_Unit!$C$5:$C$1018, 0)), "")</f>
        <v>jennifer.moore</v>
      </c>
      <c r="C2469" t="s">
        <v>964</v>
      </c>
      <c r="E2469" s="17" t="s">
        <v>1585</v>
      </c>
      <c r="F2469" s="89">
        <v>43292</v>
      </c>
      <c r="J2469" t="s">
        <v>1398</v>
      </c>
      <c r="K2469" s="120">
        <v>4</v>
      </c>
    </row>
    <row r="2470" spans="2:11" hidden="1" x14ac:dyDescent="0.25">
      <c r="B2470" s="28" t="str">
        <f>IF(ISNUMBER(MATCH(C2470, Mgt_Unit!$C$5:$C$1018, 0)), INDEX(Mgt_Unit!$B$5:$B$1018, MATCH(C2470, Mgt_Unit!$C$5:$C$1018, 0)), "")</f>
        <v>jennifer.moore</v>
      </c>
      <c r="C2470" t="s">
        <v>964</v>
      </c>
      <c r="E2470" s="17" t="s">
        <v>1583</v>
      </c>
      <c r="F2470" s="89">
        <v>43380</v>
      </c>
      <c r="J2470" t="s">
        <v>1396</v>
      </c>
      <c r="K2470" s="120">
        <v>37</v>
      </c>
    </row>
    <row r="2471" spans="2:11" hidden="1" x14ac:dyDescent="0.25">
      <c r="B2471" s="28" t="str">
        <f>IF(ISNUMBER(MATCH(C2471, Mgt_Unit!$C$5:$C$1018, 0)), INDEX(Mgt_Unit!$B$5:$B$1018, MATCH(C2471, Mgt_Unit!$C$5:$C$1018, 0)), "")</f>
        <v>jennifer.moore</v>
      </c>
      <c r="C2471" t="s">
        <v>964</v>
      </c>
      <c r="E2471" s="17" t="s">
        <v>1583</v>
      </c>
      <c r="F2471" s="89">
        <v>43380</v>
      </c>
      <c r="J2471" t="s">
        <v>1396</v>
      </c>
      <c r="K2471" s="120">
        <v>37</v>
      </c>
    </row>
    <row r="2472" spans="2:11" hidden="1" x14ac:dyDescent="0.25">
      <c r="B2472" s="28" t="str">
        <f>IF(ISNUMBER(MATCH(C2472, Mgt_Unit!$C$5:$C$1018, 0)), INDEX(Mgt_Unit!$B$5:$B$1018, MATCH(C2472, Mgt_Unit!$C$5:$C$1018, 0)), "")</f>
        <v>jennifer.moore</v>
      </c>
      <c r="C2472" t="s">
        <v>964</v>
      </c>
      <c r="E2472" s="17" t="s">
        <v>1583</v>
      </c>
      <c r="F2472" s="89">
        <v>43573</v>
      </c>
      <c r="J2472" t="s">
        <v>1396</v>
      </c>
      <c r="K2472" s="120">
        <v>37</v>
      </c>
    </row>
    <row r="2473" spans="2:11" hidden="1" x14ac:dyDescent="0.25">
      <c r="B2473" s="28" t="str">
        <f>IF(ISNUMBER(MATCH(C2473, Mgt_Unit!$C$5:$C$1018, 0)), INDEX(Mgt_Unit!$B$5:$B$1018, MATCH(C2473, Mgt_Unit!$C$5:$C$1018, 0)), "")</f>
        <v>jennifer.moore</v>
      </c>
      <c r="C2473" t="s">
        <v>964</v>
      </c>
      <c r="E2473" s="17" t="s">
        <v>1583</v>
      </c>
      <c r="F2473" s="89">
        <v>43591</v>
      </c>
      <c r="J2473" t="s">
        <v>1396</v>
      </c>
      <c r="K2473" s="120">
        <v>37</v>
      </c>
    </row>
    <row r="2474" spans="2:11" hidden="1" x14ac:dyDescent="0.25">
      <c r="B2474" s="28" t="str">
        <f>IF(ISNUMBER(MATCH(C2474, Mgt_Unit!$C$5:$C$1018, 0)), INDEX(Mgt_Unit!$B$5:$B$1018, MATCH(C2474, Mgt_Unit!$C$5:$C$1018, 0)), "")</f>
        <v>jennifer.moore</v>
      </c>
      <c r="C2474" t="s">
        <v>964</v>
      </c>
      <c r="E2474" s="17" t="s">
        <v>1583</v>
      </c>
      <c r="F2474" s="89">
        <v>43592</v>
      </c>
      <c r="J2474" t="s">
        <v>1396</v>
      </c>
      <c r="K2474" s="120">
        <v>37</v>
      </c>
    </row>
    <row r="2475" spans="2:11" hidden="1" x14ac:dyDescent="0.25">
      <c r="B2475" s="28" t="str">
        <f>IF(ISNUMBER(MATCH(C2475, Mgt_Unit!$C$5:$C$1018, 0)), INDEX(Mgt_Unit!$B$5:$B$1018, MATCH(C2475, Mgt_Unit!$C$5:$C$1018, 0)), "")</f>
        <v>jennifer.moore</v>
      </c>
      <c r="C2475" t="s">
        <v>964</v>
      </c>
      <c r="E2475" s="17" t="s">
        <v>1583</v>
      </c>
      <c r="F2475" s="89">
        <v>43592</v>
      </c>
      <c r="J2475" t="s">
        <v>1482</v>
      </c>
      <c r="K2475" s="120">
        <v>26</v>
      </c>
    </row>
    <row r="2476" spans="2:11" hidden="1" x14ac:dyDescent="0.25">
      <c r="B2476" s="28" t="str">
        <f>IF(ISNUMBER(MATCH(C2476, Mgt_Unit!$C$5:$C$1018, 0)), INDEX(Mgt_Unit!$B$5:$B$1018, MATCH(C2476, Mgt_Unit!$C$5:$C$1018, 0)), "")</f>
        <v>jennifer.moore</v>
      </c>
      <c r="C2476" t="s">
        <v>964</v>
      </c>
      <c r="E2476" s="17" t="s">
        <v>1584</v>
      </c>
      <c r="F2476" s="89">
        <v>43593</v>
      </c>
      <c r="J2476" t="s">
        <v>1395</v>
      </c>
      <c r="K2476" s="120">
        <v>7.8</v>
      </c>
    </row>
    <row r="2477" spans="2:11" hidden="1" x14ac:dyDescent="0.25">
      <c r="B2477" s="28" t="str">
        <f>IF(ISNUMBER(MATCH(C2477, Mgt_Unit!$C$5:$C$1018, 0)), INDEX(Mgt_Unit!$B$5:$B$1018, MATCH(C2477, Mgt_Unit!$C$5:$C$1018, 0)), "")</f>
        <v>jennifer.moore</v>
      </c>
      <c r="C2477" t="s">
        <v>964</v>
      </c>
      <c r="E2477" s="17" t="s">
        <v>1583</v>
      </c>
      <c r="F2477" s="89">
        <v>43595</v>
      </c>
      <c r="J2477" t="s">
        <v>1487</v>
      </c>
      <c r="K2477" s="120">
        <v>7.8</v>
      </c>
    </row>
    <row r="2478" spans="2:11" hidden="1" x14ac:dyDescent="0.25">
      <c r="B2478" s="28" t="str">
        <f>IF(ISNUMBER(MATCH(C2478, Mgt_Unit!$C$5:$C$1018, 0)), INDEX(Mgt_Unit!$B$5:$B$1018, MATCH(C2478, Mgt_Unit!$C$5:$C$1018, 0)), "")</f>
        <v>jennifer.moore</v>
      </c>
      <c r="C2478" t="s">
        <v>964</v>
      </c>
      <c r="E2478" s="17" t="s">
        <v>1583</v>
      </c>
      <c r="F2478" s="89">
        <v>43598</v>
      </c>
      <c r="J2478" t="s">
        <v>1441</v>
      </c>
      <c r="K2478" s="120">
        <v>17</v>
      </c>
    </row>
    <row r="2479" spans="2:11" hidden="1" x14ac:dyDescent="0.25">
      <c r="B2479" s="28" t="str">
        <f>IF(ISNUMBER(MATCH(C2479, Mgt_Unit!$C$5:$C$1018, 0)), INDEX(Mgt_Unit!$B$5:$B$1018, MATCH(C2479, Mgt_Unit!$C$5:$C$1018, 0)), "")</f>
        <v>jennifer.moore</v>
      </c>
      <c r="C2479" t="s">
        <v>964</v>
      </c>
      <c r="E2479" s="17" t="s">
        <v>1583</v>
      </c>
      <c r="F2479" s="89">
        <v>43601</v>
      </c>
      <c r="J2479" t="s">
        <v>1441</v>
      </c>
      <c r="K2479" s="120">
        <v>17</v>
      </c>
    </row>
    <row r="2480" spans="2:11" hidden="1" x14ac:dyDescent="0.25">
      <c r="B2480" s="28" t="str">
        <f>IF(ISNUMBER(MATCH(C2480, Mgt_Unit!$C$5:$C$1018, 0)), INDEX(Mgt_Unit!$B$5:$B$1018, MATCH(C2480, Mgt_Unit!$C$5:$C$1018, 0)), "")</f>
        <v>jennifer.moore</v>
      </c>
      <c r="C2480" t="s">
        <v>964</v>
      </c>
      <c r="E2480" s="17" t="s">
        <v>1583</v>
      </c>
      <c r="F2480" s="89">
        <v>43607</v>
      </c>
      <c r="J2480" t="s">
        <v>1441</v>
      </c>
      <c r="K2480" s="120">
        <v>17</v>
      </c>
    </row>
    <row r="2481" spans="2:11" hidden="1" x14ac:dyDescent="0.25">
      <c r="B2481" s="28" t="str">
        <f>IF(ISNUMBER(MATCH(C2481, Mgt_Unit!$C$5:$C$1018, 0)), INDEX(Mgt_Unit!$B$5:$B$1018, MATCH(C2481, Mgt_Unit!$C$5:$C$1018, 0)), "")</f>
        <v>jennifer.moore</v>
      </c>
      <c r="C2481" t="s">
        <v>964</v>
      </c>
      <c r="E2481" s="17" t="s">
        <v>1583</v>
      </c>
      <c r="F2481" s="89">
        <v>43620</v>
      </c>
      <c r="J2481" t="s">
        <v>1485</v>
      </c>
      <c r="K2481" s="120">
        <v>28</v>
      </c>
    </row>
    <row r="2482" spans="2:11" hidden="1" x14ac:dyDescent="0.25">
      <c r="B2482" s="28" t="str">
        <f>IF(ISNUMBER(MATCH(C2482, Mgt_Unit!$C$5:$C$1018, 0)), INDEX(Mgt_Unit!$B$5:$B$1018, MATCH(C2482, Mgt_Unit!$C$5:$C$1018, 0)), "")</f>
        <v>jennifer.moore</v>
      </c>
      <c r="C2482" t="s">
        <v>964</v>
      </c>
      <c r="E2482" s="17" t="s">
        <v>1583</v>
      </c>
      <c r="F2482" s="89">
        <v>43636</v>
      </c>
      <c r="J2482" t="s">
        <v>1486</v>
      </c>
      <c r="K2482" s="120">
        <v>0.59</v>
      </c>
    </row>
    <row r="2483" spans="2:11" hidden="1" x14ac:dyDescent="0.25">
      <c r="B2483" s="28" t="str">
        <f>IF(ISNUMBER(MATCH(C2483, Mgt_Unit!$C$5:$C$1018, 0)), INDEX(Mgt_Unit!$B$5:$B$1018, MATCH(C2483, Mgt_Unit!$C$5:$C$1018, 0)), "")</f>
        <v>jennifer.moore</v>
      </c>
      <c r="C2483" t="s">
        <v>964</v>
      </c>
      <c r="E2483" s="17" t="s">
        <v>1585</v>
      </c>
      <c r="F2483" s="89">
        <v>43768</v>
      </c>
      <c r="J2483" t="s">
        <v>1398</v>
      </c>
      <c r="K2483" s="120">
        <v>4</v>
      </c>
    </row>
    <row r="2484" spans="2:11" hidden="1" x14ac:dyDescent="0.25">
      <c r="B2484" s="28" t="str">
        <f>IF(ISNUMBER(MATCH(C2484, Mgt_Unit!$C$5:$C$1018, 0)), INDEX(Mgt_Unit!$B$5:$B$1018, MATCH(C2484, Mgt_Unit!$C$5:$C$1018, 0)), "")</f>
        <v>jennifer.moore</v>
      </c>
      <c r="C2484" t="s">
        <v>965</v>
      </c>
      <c r="E2484" s="17" t="s">
        <v>1583</v>
      </c>
      <c r="F2484" s="89">
        <v>42846</v>
      </c>
      <c r="J2484" t="s">
        <v>1396</v>
      </c>
      <c r="K2484" s="120">
        <v>37</v>
      </c>
    </row>
    <row r="2485" spans="2:11" hidden="1" x14ac:dyDescent="0.25">
      <c r="B2485" s="28" t="str">
        <f>IF(ISNUMBER(MATCH(C2485, Mgt_Unit!$C$5:$C$1018, 0)), INDEX(Mgt_Unit!$B$5:$B$1018, MATCH(C2485, Mgt_Unit!$C$5:$C$1018, 0)), "")</f>
        <v>jennifer.moore</v>
      </c>
      <c r="C2485" t="s">
        <v>965</v>
      </c>
      <c r="E2485" s="17" t="s">
        <v>1583</v>
      </c>
      <c r="F2485" s="89">
        <v>42874</v>
      </c>
      <c r="J2485" t="s">
        <v>1396</v>
      </c>
      <c r="K2485" s="120">
        <v>37</v>
      </c>
    </row>
    <row r="2486" spans="2:11" hidden="1" x14ac:dyDescent="0.25">
      <c r="B2486" s="28" t="str">
        <f>IF(ISNUMBER(MATCH(C2486, Mgt_Unit!$C$5:$C$1018, 0)), INDEX(Mgt_Unit!$B$5:$B$1018, MATCH(C2486, Mgt_Unit!$C$5:$C$1018, 0)), "")</f>
        <v>jennifer.moore</v>
      </c>
      <c r="C2486" t="s">
        <v>965</v>
      </c>
      <c r="E2486" s="17" t="s">
        <v>1583</v>
      </c>
      <c r="F2486" s="89">
        <v>42891</v>
      </c>
      <c r="J2486" t="s">
        <v>1396</v>
      </c>
      <c r="K2486" s="120">
        <v>37</v>
      </c>
    </row>
    <row r="2487" spans="2:11" hidden="1" x14ac:dyDescent="0.25">
      <c r="B2487" s="28" t="str">
        <f>IF(ISNUMBER(MATCH(C2487, Mgt_Unit!$C$5:$C$1018, 0)), INDEX(Mgt_Unit!$B$5:$B$1018, MATCH(C2487, Mgt_Unit!$C$5:$C$1018, 0)), "")</f>
        <v>jennifer.moore</v>
      </c>
      <c r="C2487" t="s">
        <v>965</v>
      </c>
      <c r="E2487" s="17" t="s">
        <v>1583</v>
      </c>
      <c r="F2487" s="89">
        <v>42893</v>
      </c>
      <c r="J2487" t="s">
        <v>1482</v>
      </c>
      <c r="K2487" s="120">
        <v>26</v>
      </c>
    </row>
    <row r="2488" spans="2:11" hidden="1" x14ac:dyDescent="0.25">
      <c r="B2488" s="28" t="str">
        <f>IF(ISNUMBER(MATCH(C2488, Mgt_Unit!$C$5:$C$1018, 0)), INDEX(Mgt_Unit!$B$5:$B$1018, MATCH(C2488, Mgt_Unit!$C$5:$C$1018, 0)), "")</f>
        <v>jennifer.moore</v>
      </c>
      <c r="C2488" t="s">
        <v>965</v>
      </c>
      <c r="E2488" s="17" t="s">
        <v>1584</v>
      </c>
      <c r="F2488" s="89">
        <v>42894</v>
      </c>
      <c r="J2488" t="s">
        <v>1395</v>
      </c>
      <c r="K2488" s="120">
        <v>7.8</v>
      </c>
    </row>
    <row r="2489" spans="2:11" hidden="1" x14ac:dyDescent="0.25">
      <c r="B2489" s="28" t="str">
        <f>IF(ISNUMBER(MATCH(C2489, Mgt_Unit!$C$5:$C$1018, 0)), INDEX(Mgt_Unit!$B$5:$B$1018, MATCH(C2489, Mgt_Unit!$C$5:$C$1018, 0)), "")</f>
        <v>jennifer.moore</v>
      </c>
      <c r="C2489" t="s">
        <v>965</v>
      </c>
      <c r="E2489" s="17" t="s">
        <v>1583</v>
      </c>
      <c r="F2489" s="89">
        <v>42900</v>
      </c>
      <c r="J2489" t="s">
        <v>1441</v>
      </c>
      <c r="K2489" s="120">
        <v>17</v>
      </c>
    </row>
    <row r="2490" spans="2:11" hidden="1" x14ac:dyDescent="0.25">
      <c r="B2490" s="28" t="str">
        <f>IF(ISNUMBER(MATCH(C2490, Mgt_Unit!$C$5:$C$1018, 0)), INDEX(Mgt_Unit!$B$5:$B$1018, MATCH(C2490, Mgt_Unit!$C$5:$C$1018, 0)), "")</f>
        <v>jennifer.moore</v>
      </c>
      <c r="C2490" t="s">
        <v>965</v>
      </c>
      <c r="E2490" s="17" t="s">
        <v>1583</v>
      </c>
      <c r="F2490" s="89">
        <v>42909</v>
      </c>
      <c r="J2490" t="s">
        <v>1485</v>
      </c>
      <c r="K2490" s="120">
        <v>28</v>
      </c>
    </row>
    <row r="2491" spans="2:11" hidden="1" x14ac:dyDescent="0.25">
      <c r="B2491" s="28" t="str">
        <f>IF(ISNUMBER(MATCH(C2491, Mgt_Unit!$C$5:$C$1018, 0)), INDEX(Mgt_Unit!$B$5:$B$1018, MATCH(C2491, Mgt_Unit!$C$5:$C$1018, 0)), "")</f>
        <v>jennifer.moore</v>
      </c>
      <c r="C2491" t="s">
        <v>965</v>
      </c>
      <c r="E2491" s="17" t="s">
        <v>1583</v>
      </c>
      <c r="F2491" s="89">
        <v>42914</v>
      </c>
      <c r="J2491" t="s">
        <v>1485</v>
      </c>
      <c r="K2491" s="120">
        <v>28</v>
      </c>
    </row>
    <row r="2492" spans="2:11" hidden="1" x14ac:dyDescent="0.25">
      <c r="B2492" s="28" t="str">
        <f>IF(ISNUMBER(MATCH(C2492, Mgt_Unit!$C$5:$C$1018, 0)), INDEX(Mgt_Unit!$B$5:$B$1018, MATCH(C2492, Mgt_Unit!$C$5:$C$1018, 0)), "")</f>
        <v>jennifer.moore</v>
      </c>
      <c r="C2492" t="s">
        <v>965</v>
      </c>
      <c r="E2492" s="17" t="s">
        <v>1583</v>
      </c>
      <c r="F2492" s="89">
        <v>42920</v>
      </c>
      <c r="J2492" t="s">
        <v>1485</v>
      </c>
      <c r="K2492" s="120">
        <v>28</v>
      </c>
    </row>
    <row r="2493" spans="2:11" hidden="1" x14ac:dyDescent="0.25">
      <c r="B2493" s="28" t="str">
        <f>IF(ISNUMBER(MATCH(C2493, Mgt_Unit!$C$5:$C$1018, 0)), INDEX(Mgt_Unit!$B$5:$B$1018, MATCH(C2493, Mgt_Unit!$C$5:$C$1018, 0)), "")</f>
        <v>jennifer.moore</v>
      </c>
      <c r="C2493" t="s">
        <v>965</v>
      </c>
      <c r="E2493" s="17" t="s">
        <v>1583</v>
      </c>
      <c r="F2493" s="89">
        <v>42929</v>
      </c>
      <c r="J2493" t="s">
        <v>1486</v>
      </c>
      <c r="K2493" s="120">
        <v>0.59</v>
      </c>
    </row>
    <row r="2494" spans="2:11" hidden="1" x14ac:dyDescent="0.25">
      <c r="B2494" s="28" t="str">
        <f>IF(ISNUMBER(MATCH(C2494, Mgt_Unit!$C$5:$C$1018, 0)), INDEX(Mgt_Unit!$B$5:$B$1018, MATCH(C2494, Mgt_Unit!$C$5:$C$1018, 0)), "")</f>
        <v>jennifer.moore</v>
      </c>
      <c r="C2494" t="s">
        <v>965</v>
      </c>
      <c r="E2494" s="17" t="s">
        <v>1583</v>
      </c>
      <c r="F2494" s="89">
        <v>42930</v>
      </c>
      <c r="J2494" t="s">
        <v>1485</v>
      </c>
      <c r="K2494" s="120">
        <v>28</v>
      </c>
    </row>
    <row r="2495" spans="2:11" hidden="1" x14ac:dyDescent="0.25">
      <c r="B2495" s="28" t="str">
        <f>IF(ISNUMBER(MATCH(C2495, Mgt_Unit!$C$5:$C$1018, 0)), INDEX(Mgt_Unit!$B$5:$B$1018, MATCH(C2495, Mgt_Unit!$C$5:$C$1018, 0)), "")</f>
        <v>jennifer.moore</v>
      </c>
      <c r="C2495" t="s">
        <v>965</v>
      </c>
      <c r="E2495" s="17" t="s">
        <v>1583</v>
      </c>
      <c r="F2495" s="89">
        <v>42936</v>
      </c>
      <c r="J2495" t="s">
        <v>1485</v>
      </c>
      <c r="K2495" s="120">
        <v>28</v>
      </c>
    </row>
    <row r="2496" spans="2:11" hidden="1" x14ac:dyDescent="0.25">
      <c r="B2496" s="28" t="str">
        <f>IF(ISNUMBER(MATCH(C2496, Mgt_Unit!$C$5:$C$1018, 0)), INDEX(Mgt_Unit!$B$5:$B$1018, MATCH(C2496, Mgt_Unit!$C$5:$C$1018, 0)), "")</f>
        <v>jennifer.moore</v>
      </c>
      <c r="C2496" t="s">
        <v>965</v>
      </c>
      <c r="E2496" s="17" t="s">
        <v>1583</v>
      </c>
      <c r="F2496" s="89">
        <v>42958</v>
      </c>
      <c r="J2496" t="s">
        <v>1486</v>
      </c>
      <c r="K2496" s="120">
        <v>0.59</v>
      </c>
    </row>
    <row r="2497" spans="2:11" hidden="1" x14ac:dyDescent="0.25">
      <c r="B2497" s="28" t="str">
        <f>IF(ISNUMBER(MATCH(C2497, Mgt_Unit!$C$5:$C$1018, 0)), INDEX(Mgt_Unit!$B$5:$B$1018, MATCH(C2497, Mgt_Unit!$C$5:$C$1018, 0)), "")</f>
        <v>jennifer.moore</v>
      </c>
      <c r="C2497" t="s">
        <v>965</v>
      </c>
      <c r="E2497" s="17" t="s">
        <v>1584</v>
      </c>
      <c r="F2497" s="89">
        <v>43021</v>
      </c>
      <c r="J2497" t="s">
        <v>1488</v>
      </c>
      <c r="K2497" s="120">
        <v>0.15</v>
      </c>
    </row>
    <row r="2498" spans="2:11" hidden="1" x14ac:dyDescent="0.25">
      <c r="B2498" s="28" t="str">
        <f>IF(ISNUMBER(MATCH(C2498, Mgt_Unit!$C$5:$C$1018, 0)), INDEX(Mgt_Unit!$B$5:$B$1018, MATCH(C2498, Mgt_Unit!$C$5:$C$1018, 0)), "")</f>
        <v>jennifer.moore</v>
      </c>
      <c r="C2498" t="s">
        <v>965</v>
      </c>
      <c r="E2498" s="17" t="s">
        <v>1583</v>
      </c>
      <c r="F2498" s="89">
        <v>43220</v>
      </c>
      <c r="J2498" t="s">
        <v>1396</v>
      </c>
      <c r="K2498" s="120">
        <v>37</v>
      </c>
    </row>
    <row r="2499" spans="2:11" hidden="1" x14ac:dyDescent="0.25">
      <c r="B2499" s="28" t="str">
        <f>IF(ISNUMBER(MATCH(C2499, Mgt_Unit!$C$5:$C$1018, 0)), INDEX(Mgt_Unit!$B$5:$B$1018, MATCH(C2499, Mgt_Unit!$C$5:$C$1018, 0)), "")</f>
        <v>jennifer.moore</v>
      </c>
      <c r="C2499" t="s">
        <v>965</v>
      </c>
      <c r="E2499" s="17" t="s">
        <v>1583</v>
      </c>
      <c r="F2499" s="89">
        <v>43245</v>
      </c>
      <c r="J2499" t="s">
        <v>1396</v>
      </c>
      <c r="K2499" s="120">
        <v>37</v>
      </c>
    </row>
    <row r="2500" spans="2:11" hidden="1" x14ac:dyDescent="0.25">
      <c r="B2500" s="28" t="str">
        <f>IF(ISNUMBER(MATCH(C2500, Mgt_Unit!$C$5:$C$1018, 0)), INDEX(Mgt_Unit!$B$5:$B$1018, MATCH(C2500, Mgt_Unit!$C$5:$C$1018, 0)), "")</f>
        <v>jennifer.moore</v>
      </c>
      <c r="C2500" t="s">
        <v>965</v>
      </c>
      <c r="E2500" s="17" t="s">
        <v>1583</v>
      </c>
      <c r="F2500" s="89">
        <v>43245</v>
      </c>
      <c r="J2500" t="s">
        <v>1396</v>
      </c>
      <c r="K2500" s="120">
        <v>37</v>
      </c>
    </row>
    <row r="2501" spans="2:11" hidden="1" x14ac:dyDescent="0.25">
      <c r="B2501" s="28" t="str">
        <f>IF(ISNUMBER(MATCH(C2501, Mgt_Unit!$C$5:$C$1018, 0)), INDEX(Mgt_Unit!$B$5:$B$1018, MATCH(C2501, Mgt_Unit!$C$5:$C$1018, 0)), "")</f>
        <v>jennifer.moore</v>
      </c>
      <c r="C2501" t="s">
        <v>965</v>
      </c>
      <c r="E2501" s="17" t="s">
        <v>1583</v>
      </c>
      <c r="F2501" s="89">
        <v>43255</v>
      </c>
      <c r="J2501" t="s">
        <v>1396</v>
      </c>
      <c r="K2501" s="120">
        <v>37</v>
      </c>
    </row>
    <row r="2502" spans="2:11" hidden="1" x14ac:dyDescent="0.25">
      <c r="B2502" s="28" t="str">
        <f>IF(ISNUMBER(MATCH(C2502, Mgt_Unit!$C$5:$C$1018, 0)), INDEX(Mgt_Unit!$B$5:$B$1018, MATCH(C2502, Mgt_Unit!$C$5:$C$1018, 0)), "")</f>
        <v>jennifer.moore</v>
      </c>
      <c r="C2502" t="s">
        <v>965</v>
      </c>
      <c r="E2502" s="17" t="s">
        <v>1583</v>
      </c>
      <c r="F2502" s="89">
        <v>43255</v>
      </c>
      <c r="J2502" t="s">
        <v>1396</v>
      </c>
      <c r="K2502" s="120">
        <v>37</v>
      </c>
    </row>
    <row r="2503" spans="2:11" hidden="1" x14ac:dyDescent="0.25">
      <c r="B2503" s="28" t="str">
        <f>IF(ISNUMBER(MATCH(C2503, Mgt_Unit!$C$5:$C$1018, 0)), INDEX(Mgt_Unit!$B$5:$B$1018, MATCH(C2503, Mgt_Unit!$C$5:$C$1018, 0)), "")</f>
        <v>jennifer.moore</v>
      </c>
      <c r="C2503" t="s">
        <v>965</v>
      </c>
      <c r="E2503" s="17" t="s">
        <v>1584</v>
      </c>
      <c r="F2503" s="89">
        <v>43256</v>
      </c>
      <c r="J2503" t="s">
        <v>1395</v>
      </c>
      <c r="K2503" s="120">
        <v>7.8</v>
      </c>
    </row>
    <row r="2504" spans="2:11" hidden="1" x14ac:dyDescent="0.25">
      <c r="B2504" s="28" t="str">
        <f>IF(ISNUMBER(MATCH(C2504, Mgt_Unit!$C$5:$C$1018, 0)), INDEX(Mgt_Unit!$B$5:$B$1018, MATCH(C2504, Mgt_Unit!$C$5:$C$1018, 0)), "")</f>
        <v>jennifer.moore</v>
      </c>
      <c r="C2504" t="s">
        <v>965</v>
      </c>
      <c r="E2504" s="17" t="s">
        <v>1583</v>
      </c>
      <c r="F2504" s="89">
        <v>43256</v>
      </c>
      <c r="J2504" t="s">
        <v>1482</v>
      </c>
      <c r="K2504" s="120">
        <v>26</v>
      </c>
    </row>
    <row r="2505" spans="2:11" hidden="1" x14ac:dyDescent="0.25">
      <c r="B2505" s="28" t="str">
        <f>IF(ISNUMBER(MATCH(C2505, Mgt_Unit!$C$5:$C$1018, 0)), INDEX(Mgt_Unit!$B$5:$B$1018, MATCH(C2505, Mgt_Unit!$C$5:$C$1018, 0)), "")</f>
        <v>jennifer.moore</v>
      </c>
      <c r="C2505" t="s">
        <v>965</v>
      </c>
      <c r="E2505" s="17" t="s">
        <v>1583</v>
      </c>
      <c r="F2505" s="89">
        <v>43264</v>
      </c>
      <c r="J2505" t="s">
        <v>1485</v>
      </c>
      <c r="K2505" s="120">
        <v>28</v>
      </c>
    </row>
    <row r="2506" spans="2:11" hidden="1" x14ac:dyDescent="0.25">
      <c r="B2506" s="28" t="str">
        <f>IF(ISNUMBER(MATCH(C2506, Mgt_Unit!$C$5:$C$1018, 0)), INDEX(Mgt_Unit!$B$5:$B$1018, MATCH(C2506, Mgt_Unit!$C$5:$C$1018, 0)), "")</f>
        <v>jennifer.moore</v>
      </c>
      <c r="C2506" t="s">
        <v>965</v>
      </c>
      <c r="E2506" s="17" t="s">
        <v>1583</v>
      </c>
      <c r="F2506" s="89">
        <v>43290</v>
      </c>
      <c r="J2506" t="s">
        <v>1486</v>
      </c>
      <c r="K2506" s="120">
        <v>0.59</v>
      </c>
    </row>
    <row r="2507" spans="2:11" hidden="1" x14ac:dyDescent="0.25">
      <c r="B2507" s="28" t="str">
        <f>IF(ISNUMBER(MATCH(C2507, Mgt_Unit!$C$5:$C$1018, 0)), INDEX(Mgt_Unit!$B$5:$B$1018, MATCH(C2507, Mgt_Unit!$C$5:$C$1018, 0)), "")</f>
        <v>jennifer.moore</v>
      </c>
      <c r="C2507" t="s">
        <v>965</v>
      </c>
      <c r="E2507" s="17" t="s">
        <v>1583</v>
      </c>
      <c r="F2507" s="89">
        <v>43290</v>
      </c>
      <c r="J2507" t="s">
        <v>1485</v>
      </c>
      <c r="K2507" s="120">
        <v>28</v>
      </c>
    </row>
    <row r="2508" spans="2:11" hidden="1" x14ac:dyDescent="0.25">
      <c r="B2508" s="28" t="str">
        <f>IF(ISNUMBER(MATCH(C2508, Mgt_Unit!$C$5:$C$1018, 0)), INDEX(Mgt_Unit!$B$5:$B$1018, MATCH(C2508, Mgt_Unit!$C$5:$C$1018, 0)), "")</f>
        <v>jennifer.moore</v>
      </c>
      <c r="C2508" t="s">
        <v>965</v>
      </c>
      <c r="E2508" s="17" t="s">
        <v>1583</v>
      </c>
      <c r="F2508" s="89">
        <v>43333</v>
      </c>
      <c r="J2508" t="s">
        <v>1486</v>
      </c>
      <c r="K2508" s="120">
        <v>0.59</v>
      </c>
    </row>
    <row r="2509" spans="2:11" hidden="1" x14ac:dyDescent="0.25">
      <c r="B2509" s="28" t="str">
        <f>IF(ISNUMBER(MATCH(C2509, Mgt_Unit!$C$5:$C$1018, 0)), INDEX(Mgt_Unit!$B$5:$B$1018, MATCH(C2509, Mgt_Unit!$C$5:$C$1018, 0)), "")</f>
        <v>jennifer.moore</v>
      </c>
      <c r="C2509" t="s">
        <v>965</v>
      </c>
      <c r="E2509" s="17" t="s">
        <v>1583</v>
      </c>
      <c r="F2509" s="89">
        <v>43380</v>
      </c>
      <c r="J2509" t="s">
        <v>1396</v>
      </c>
      <c r="K2509" s="120">
        <v>37</v>
      </c>
    </row>
    <row r="2510" spans="2:11" hidden="1" x14ac:dyDescent="0.25">
      <c r="B2510" s="28" t="str">
        <f>IF(ISNUMBER(MATCH(C2510, Mgt_Unit!$C$5:$C$1018, 0)), INDEX(Mgt_Unit!$B$5:$B$1018, MATCH(C2510, Mgt_Unit!$C$5:$C$1018, 0)), "")</f>
        <v>jennifer.moore</v>
      </c>
      <c r="C2510" t="s">
        <v>965</v>
      </c>
      <c r="E2510" s="17" t="s">
        <v>1583</v>
      </c>
      <c r="F2510" s="89">
        <v>43380</v>
      </c>
      <c r="J2510" t="s">
        <v>1396</v>
      </c>
      <c r="K2510" s="120">
        <v>37</v>
      </c>
    </row>
    <row r="2511" spans="2:11" hidden="1" x14ac:dyDescent="0.25">
      <c r="B2511" s="28" t="str">
        <f>IF(ISNUMBER(MATCH(C2511, Mgt_Unit!$C$5:$C$1018, 0)), INDEX(Mgt_Unit!$B$5:$B$1018, MATCH(C2511, Mgt_Unit!$C$5:$C$1018, 0)), "")</f>
        <v>jennifer.moore</v>
      </c>
      <c r="C2511" t="s">
        <v>965</v>
      </c>
      <c r="E2511" s="17" t="s">
        <v>1583</v>
      </c>
      <c r="F2511" s="89">
        <v>43573</v>
      </c>
      <c r="J2511" t="s">
        <v>1396</v>
      </c>
      <c r="K2511" s="120">
        <v>37</v>
      </c>
    </row>
    <row r="2512" spans="2:11" hidden="1" x14ac:dyDescent="0.25">
      <c r="B2512" s="28" t="str">
        <f>IF(ISNUMBER(MATCH(C2512, Mgt_Unit!$C$5:$C$1018, 0)), INDEX(Mgt_Unit!$B$5:$B$1018, MATCH(C2512, Mgt_Unit!$C$5:$C$1018, 0)), "")</f>
        <v>jennifer.moore</v>
      </c>
      <c r="C2512" t="s">
        <v>965</v>
      </c>
      <c r="E2512" s="17" t="s">
        <v>1583</v>
      </c>
      <c r="F2512" s="89">
        <v>43592</v>
      </c>
      <c r="J2512" t="s">
        <v>1482</v>
      </c>
      <c r="K2512" s="120">
        <v>26</v>
      </c>
    </row>
    <row r="2513" spans="2:11" hidden="1" x14ac:dyDescent="0.25">
      <c r="B2513" s="28" t="str">
        <f>IF(ISNUMBER(MATCH(C2513, Mgt_Unit!$C$5:$C$1018, 0)), INDEX(Mgt_Unit!$B$5:$B$1018, MATCH(C2513, Mgt_Unit!$C$5:$C$1018, 0)), "")</f>
        <v>jennifer.moore</v>
      </c>
      <c r="C2513" t="s">
        <v>965</v>
      </c>
      <c r="E2513" s="17" t="s">
        <v>1583</v>
      </c>
      <c r="F2513" s="89">
        <v>43592</v>
      </c>
      <c r="J2513" t="s">
        <v>1396</v>
      </c>
      <c r="K2513" s="120">
        <v>37</v>
      </c>
    </row>
    <row r="2514" spans="2:11" hidden="1" x14ac:dyDescent="0.25">
      <c r="B2514" s="28" t="str">
        <f>IF(ISNUMBER(MATCH(C2514, Mgt_Unit!$C$5:$C$1018, 0)), INDEX(Mgt_Unit!$B$5:$B$1018, MATCH(C2514, Mgt_Unit!$C$5:$C$1018, 0)), "")</f>
        <v>jennifer.moore</v>
      </c>
      <c r="C2514" t="s">
        <v>965</v>
      </c>
      <c r="E2514" s="17" t="s">
        <v>1584</v>
      </c>
      <c r="F2514" s="89">
        <v>43593</v>
      </c>
      <c r="J2514" t="s">
        <v>1395</v>
      </c>
      <c r="K2514" s="120">
        <v>7.8</v>
      </c>
    </row>
    <row r="2515" spans="2:11" hidden="1" x14ac:dyDescent="0.25">
      <c r="B2515" s="28" t="str">
        <f>IF(ISNUMBER(MATCH(C2515, Mgt_Unit!$C$5:$C$1018, 0)), INDEX(Mgt_Unit!$B$5:$B$1018, MATCH(C2515, Mgt_Unit!$C$5:$C$1018, 0)), "")</f>
        <v>jennifer.moore</v>
      </c>
      <c r="C2515" t="s">
        <v>965</v>
      </c>
      <c r="E2515" s="17" t="s">
        <v>1583</v>
      </c>
      <c r="F2515" s="89">
        <v>43595</v>
      </c>
      <c r="J2515" t="s">
        <v>1487</v>
      </c>
      <c r="K2515" s="120">
        <v>7.8</v>
      </c>
    </row>
    <row r="2516" spans="2:11" hidden="1" x14ac:dyDescent="0.25">
      <c r="B2516" s="28" t="str">
        <f>IF(ISNUMBER(MATCH(C2516, Mgt_Unit!$C$5:$C$1018, 0)), INDEX(Mgt_Unit!$B$5:$B$1018, MATCH(C2516, Mgt_Unit!$C$5:$C$1018, 0)), "")</f>
        <v>jennifer.moore</v>
      </c>
      <c r="C2516" t="s">
        <v>965</v>
      </c>
      <c r="E2516" s="17" t="s">
        <v>1583</v>
      </c>
      <c r="F2516" s="89">
        <v>43598</v>
      </c>
      <c r="J2516" t="s">
        <v>1441</v>
      </c>
      <c r="K2516" s="120">
        <v>17</v>
      </c>
    </row>
    <row r="2517" spans="2:11" hidden="1" x14ac:dyDescent="0.25">
      <c r="B2517" s="28" t="str">
        <f>IF(ISNUMBER(MATCH(C2517, Mgt_Unit!$C$5:$C$1018, 0)), INDEX(Mgt_Unit!$B$5:$B$1018, MATCH(C2517, Mgt_Unit!$C$5:$C$1018, 0)), "")</f>
        <v>jennifer.moore</v>
      </c>
      <c r="C2517" t="s">
        <v>965</v>
      </c>
      <c r="E2517" s="17" t="s">
        <v>1583</v>
      </c>
      <c r="F2517" s="89">
        <v>43601</v>
      </c>
      <c r="J2517" t="s">
        <v>1441</v>
      </c>
      <c r="K2517" s="120">
        <v>17</v>
      </c>
    </row>
    <row r="2518" spans="2:11" hidden="1" x14ac:dyDescent="0.25">
      <c r="B2518" s="28" t="str">
        <f>IF(ISNUMBER(MATCH(C2518, Mgt_Unit!$C$5:$C$1018, 0)), INDEX(Mgt_Unit!$B$5:$B$1018, MATCH(C2518, Mgt_Unit!$C$5:$C$1018, 0)), "")</f>
        <v>jennifer.moore</v>
      </c>
      <c r="C2518" t="s">
        <v>965</v>
      </c>
      <c r="E2518" s="17" t="s">
        <v>1583</v>
      </c>
      <c r="F2518" s="89">
        <v>43607</v>
      </c>
      <c r="J2518" t="s">
        <v>1441</v>
      </c>
      <c r="K2518" s="120">
        <v>17</v>
      </c>
    </row>
    <row r="2519" spans="2:11" hidden="1" x14ac:dyDescent="0.25">
      <c r="B2519" s="28" t="str">
        <f>IF(ISNUMBER(MATCH(C2519, Mgt_Unit!$C$5:$C$1018, 0)), INDEX(Mgt_Unit!$B$5:$B$1018, MATCH(C2519, Mgt_Unit!$C$5:$C$1018, 0)), "")</f>
        <v>jennifer.moore</v>
      </c>
      <c r="C2519" t="s">
        <v>965</v>
      </c>
      <c r="E2519" s="17" t="s">
        <v>1583</v>
      </c>
      <c r="F2519" s="89">
        <v>43620</v>
      </c>
      <c r="J2519" t="s">
        <v>1485</v>
      </c>
      <c r="K2519" s="120">
        <v>28</v>
      </c>
    </row>
    <row r="2520" spans="2:11" hidden="1" x14ac:dyDescent="0.25">
      <c r="B2520" s="28" t="str">
        <f>IF(ISNUMBER(MATCH(C2520, Mgt_Unit!$C$5:$C$1018, 0)), INDEX(Mgt_Unit!$B$5:$B$1018, MATCH(C2520, Mgt_Unit!$C$5:$C$1018, 0)), "")</f>
        <v>jennifer.moore</v>
      </c>
      <c r="C2520" t="s">
        <v>965</v>
      </c>
      <c r="E2520" s="17" t="s">
        <v>1583</v>
      </c>
      <c r="F2520" s="89">
        <v>43635</v>
      </c>
      <c r="J2520" t="s">
        <v>1485</v>
      </c>
      <c r="K2520" s="120">
        <v>28</v>
      </c>
    </row>
    <row r="2521" spans="2:11" hidden="1" x14ac:dyDescent="0.25">
      <c r="B2521" s="28" t="str">
        <f>IF(ISNUMBER(MATCH(C2521, Mgt_Unit!$C$5:$C$1018, 0)), INDEX(Mgt_Unit!$B$5:$B$1018, MATCH(C2521, Mgt_Unit!$C$5:$C$1018, 0)), "")</f>
        <v>jennifer.moore</v>
      </c>
      <c r="C2521" t="s">
        <v>965</v>
      </c>
      <c r="E2521" s="17" t="s">
        <v>1583</v>
      </c>
      <c r="F2521" s="89">
        <v>43636</v>
      </c>
      <c r="J2521" t="s">
        <v>1486</v>
      </c>
      <c r="K2521" s="120">
        <v>0.59</v>
      </c>
    </row>
    <row r="2522" spans="2:11" hidden="1" x14ac:dyDescent="0.25">
      <c r="B2522" s="28" t="str">
        <f>IF(ISNUMBER(MATCH(C2522, Mgt_Unit!$C$5:$C$1018, 0)), INDEX(Mgt_Unit!$B$5:$B$1018, MATCH(C2522, Mgt_Unit!$C$5:$C$1018, 0)), "")</f>
        <v>jennifer.moore</v>
      </c>
      <c r="C2522" t="s">
        <v>965</v>
      </c>
      <c r="E2522" s="17" t="s">
        <v>1585</v>
      </c>
      <c r="F2522" s="89">
        <v>43768</v>
      </c>
      <c r="J2522" t="s">
        <v>1398</v>
      </c>
      <c r="K2522" s="120">
        <v>4</v>
      </c>
    </row>
    <row r="2523" spans="2:11" hidden="1" x14ac:dyDescent="0.25">
      <c r="B2523" s="28" t="str">
        <f>IF(ISNUMBER(MATCH(C2523, Mgt_Unit!$C$5:$C$1018, 0)), INDEX(Mgt_Unit!$B$5:$B$1018, MATCH(C2523, Mgt_Unit!$C$5:$C$1018, 0)), "")</f>
        <v>jennifer.moore</v>
      </c>
      <c r="C2523" t="s">
        <v>966</v>
      </c>
      <c r="E2523" s="17" t="s">
        <v>1583</v>
      </c>
      <c r="F2523" s="89">
        <v>42102</v>
      </c>
      <c r="J2523" t="s">
        <v>1396</v>
      </c>
      <c r="K2523" s="120">
        <v>37</v>
      </c>
    </row>
    <row r="2524" spans="2:11" hidden="1" x14ac:dyDescent="0.25">
      <c r="B2524" s="28" t="str">
        <f>IF(ISNUMBER(MATCH(C2524, Mgt_Unit!$C$5:$C$1018, 0)), INDEX(Mgt_Unit!$B$5:$B$1018, MATCH(C2524, Mgt_Unit!$C$5:$C$1018, 0)), "")</f>
        <v>jennifer.moore</v>
      </c>
      <c r="C2524" t="s">
        <v>966</v>
      </c>
      <c r="E2524" s="17" t="s">
        <v>1583</v>
      </c>
      <c r="F2524" s="89">
        <v>42107</v>
      </c>
      <c r="J2524" t="s">
        <v>1396</v>
      </c>
      <c r="K2524" s="120">
        <v>37</v>
      </c>
    </row>
    <row r="2525" spans="2:11" hidden="1" x14ac:dyDescent="0.25">
      <c r="B2525" s="28" t="str">
        <f>IF(ISNUMBER(MATCH(C2525, Mgt_Unit!$C$5:$C$1018, 0)), INDEX(Mgt_Unit!$B$5:$B$1018, MATCH(C2525, Mgt_Unit!$C$5:$C$1018, 0)), "")</f>
        <v>jennifer.moore</v>
      </c>
      <c r="C2525" t="s">
        <v>966</v>
      </c>
      <c r="E2525" s="17" t="s">
        <v>1583</v>
      </c>
      <c r="F2525" s="89">
        <v>42107</v>
      </c>
      <c r="J2525" t="s">
        <v>1396</v>
      </c>
      <c r="K2525" s="120">
        <v>37</v>
      </c>
    </row>
    <row r="2526" spans="2:11" hidden="1" x14ac:dyDescent="0.25">
      <c r="B2526" s="28" t="str">
        <f>IF(ISNUMBER(MATCH(C2526, Mgt_Unit!$C$5:$C$1018, 0)), INDEX(Mgt_Unit!$B$5:$B$1018, MATCH(C2526, Mgt_Unit!$C$5:$C$1018, 0)), "")</f>
        <v>jennifer.moore</v>
      </c>
      <c r="C2526" t="s">
        <v>966</v>
      </c>
      <c r="E2526" s="17" t="s">
        <v>1583</v>
      </c>
      <c r="F2526" s="89">
        <v>42123</v>
      </c>
      <c r="J2526" t="s">
        <v>1396</v>
      </c>
      <c r="K2526" s="120">
        <v>37</v>
      </c>
    </row>
    <row r="2527" spans="2:11" hidden="1" x14ac:dyDescent="0.25">
      <c r="B2527" s="28" t="str">
        <f>IF(ISNUMBER(MATCH(C2527, Mgt_Unit!$C$5:$C$1018, 0)), INDEX(Mgt_Unit!$B$5:$B$1018, MATCH(C2527, Mgt_Unit!$C$5:$C$1018, 0)), "")</f>
        <v>jennifer.moore</v>
      </c>
      <c r="C2527" t="s">
        <v>966</v>
      </c>
      <c r="E2527" s="17" t="s">
        <v>1583</v>
      </c>
      <c r="F2527" s="89">
        <v>42123</v>
      </c>
      <c r="J2527" t="s">
        <v>1482</v>
      </c>
      <c r="K2527" s="120">
        <v>26</v>
      </c>
    </row>
    <row r="2528" spans="2:11" hidden="1" x14ac:dyDescent="0.25">
      <c r="B2528" s="28" t="str">
        <f>IF(ISNUMBER(MATCH(C2528, Mgt_Unit!$C$5:$C$1018, 0)), INDEX(Mgt_Unit!$B$5:$B$1018, MATCH(C2528, Mgt_Unit!$C$5:$C$1018, 0)), "")</f>
        <v>jennifer.moore</v>
      </c>
      <c r="C2528" t="s">
        <v>966</v>
      </c>
      <c r="E2528" s="17" t="s">
        <v>1584</v>
      </c>
      <c r="F2528" s="89">
        <v>42130</v>
      </c>
      <c r="J2528" t="s">
        <v>1395</v>
      </c>
      <c r="K2528" s="120">
        <v>7.8</v>
      </c>
    </row>
    <row r="2529" spans="2:11" hidden="1" x14ac:dyDescent="0.25">
      <c r="B2529" s="28" t="str">
        <f>IF(ISNUMBER(MATCH(C2529, Mgt_Unit!$C$5:$C$1018, 0)), INDEX(Mgt_Unit!$B$5:$B$1018, MATCH(C2529, Mgt_Unit!$C$5:$C$1018, 0)), "")</f>
        <v>jennifer.moore</v>
      </c>
      <c r="C2529" t="s">
        <v>966</v>
      </c>
      <c r="E2529" s="17" t="s">
        <v>1583</v>
      </c>
      <c r="F2529" s="89">
        <v>42138</v>
      </c>
      <c r="J2529" t="s">
        <v>1441</v>
      </c>
      <c r="K2529" s="120">
        <v>17</v>
      </c>
    </row>
    <row r="2530" spans="2:11" hidden="1" x14ac:dyDescent="0.25">
      <c r="B2530" s="28" t="str">
        <f>IF(ISNUMBER(MATCH(C2530, Mgt_Unit!$C$5:$C$1018, 0)), INDEX(Mgt_Unit!$B$5:$B$1018, MATCH(C2530, Mgt_Unit!$C$5:$C$1018, 0)), "")</f>
        <v>jennifer.moore</v>
      </c>
      <c r="C2530" t="s">
        <v>966</v>
      </c>
      <c r="E2530" s="17" t="s">
        <v>1583</v>
      </c>
      <c r="F2530" s="89">
        <v>42144</v>
      </c>
      <c r="J2530" t="s">
        <v>1485</v>
      </c>
      <c r="K2530" s="120">
        <v>28</v>
      </c>
    </row>
    <row r="2531" spans="2:11" hidden="1" x14ac:dyDescent="0.25">
      <c r="B2531" s="28" t="str">
        <f>IF(ISNUMBER(MATCH(C2531, Mgt_Unit!$C$5:$C$1018, 0)), INDEX(Mgt_Unit!$B$5:$B$1018, MATCH(C2531, Mgt_Unit!$C$5:$C$1018, 0)), "")</f>
        <v>jennifer.moore</v>
      </c>
      <c r="C2531" t="s">
        <v>966</v>
      </c>
      <c r="E2531" s="17" t="s">
        <v>1583</v>
      </c>
      <c r="F2531" s="89">
        <v>42146</v>
      </c>
      <c r="J2531" t="s">
        <v>1485</v>
      </c>
      <c r="K2531" s="120">
        <v>28</v>
      </c>
    </row>
    <row r="2532" spans="2:11" hidden="1" x14ac:dyDescent="0.25">
      <c r="B2532" s="28" t="str">
        <f>IF(ISNUMBER(MATCH(C2532, Mgt_Unit!$C$5:$C$1018, 0)), INDEX(Mgt_Unit!$B$5:$B$1018, MATCH(C2532, Mgt_Unit!$C$5:$C$1018, 0)), "")</f>
        <v>jennifer.moore</v>
      </c>
      <c r="C2532" t="s">
        <v>966</v>
      </c>
      <c r="E2532" s="17" t="s">
        <v>1583</v>
      </c>
      <c r="F2532" s="89">
        <v>42151</v>
      </c>
      <c r="J2532" t="s">
        <v>1485</v>
      </c>
      <c r="K2532" s="120">
        <v>28</v>
      </c>
    </row>
    <row r="2533" spans="2:11" hidden="1" x14ac:dyDescent="0.25">
      <c r="B2533" s="28" t="str">
        <f>IF(ISNUMBER(MATCH(C2533, Mgt_Unit!$C$5:$C$1018, 0)), INDEX(Mgt_Unit!$B$5:$B$1018, MATCH(C2533, Mgt_Unit!$C$5:$C$1018, 0)), "")</f>
        <v>jennifer.moore</v>
      </c>
      <c r="C2533" t="s">
        <v>966</v>
      </c>
      <c r="E2533" s="17" t="s">
        <v>1583</v>
      </c>
      <c r="F2533" s="89">
        <v>42152</v>
      </c>
      <c r="J2533" t="s">
        <v>1486</v>
      </c>
      <c r="K2533" s="120">
        <v>0.59</v>
      </c>
    </row>
    <row r="2534" spans="2:11" hidden="1" x14ac:dyDescent="0.25">
      <c r="B2534" s="28" t="str">
        <f>IF(ISNUMBER(MATCH(C2534, Mgt_Unit!$C$5:$C$1018, 0)), INDEX(Mgt_Unit!$B$5:$B$1018, MATCH(C2534, Mgt_Unit!$C$5:$C$1018, 0)), "")</f>
        <v>jennifer.moore</v>
      </c>
      <c r="C2534" t="s">
        <v>966</v>
      </c>
      <c r="E2534" s="17" t="s">
        <v>1583</v>
      </c>
      <c r="F2534" s="89">
        <v>42157</v>
      </c>
      <c r="J2534" t="s">
        <v>1485</v>
      </c>
      <c r="K2534" s="120">
        <v>28</v>
      </c>
    </row>
    <row r="2535" spans="2:11" hidden="1" x14ac:dyDescent="0.25">
      <c r="B2535" s="28" t="str">
        <f>IF(ISNUMBER(MATCH(C2535, Mgt_Unit!$C$5:$C$1018, 0)), INDEX(Mgt_Unit!$B$5:$B$1018, MATCH(C2535, Mgt_Unit!$C$5:$C$1018, 0)), "")</f>
        <v>jennifer.moore</v>
      </c>
      <c r="C2535" t="s">
        <v>966</v>
      </c>
      <c r="E2535" s="17" t="s">
        <v>1583</v>
      </c>
      <c r="F2535" s="89">
        <v>42163</v>
      </c>
      <c r="J2535" t="s">
        <v>1485</v>
      </c>
      <c r="K2535" s="120">
        <v>28</v>
      </c>
    </row>
    <row r="2536" spans="2:11" hidden="1" x14ac:dyDescent="0.25">
      <c r="B2536" s="28" t="str">
        <f>IF(ISNUMBER(MATCH(C2536, Mgt_Unit!$C$5:$C$1018, 0)), INDEX(Mgt_Unit!$B$5:$B$1018, MATCH(C2536, Mgt_Unit!$C$5:$C$1018, 0)), "")</f>
        <v>jennifer.moore</v>
      </c>
      <c r="C2536" t="s">
        <v>966</v>
      </c>
      <c r="E2536" s="17" t="s">
        <v>1583</v>
      </c>
      <c r="F2536" s="89">
        <v>42292</v>
      </c>
      <c r="J2536" t="s">
        <v>1396</v>
      </c>
      <c r="K2536" s="120">
        <v>37</v>
      </c>
    </row>
    <row r="2537" spans="2:11" hidden="1" x14ac:dyDescent="0.25">
      <c r="B2537" s="28" t="str">
        <f>IF(ISNUMBER(MATCH(C2537, Mgt_Unit!$C$5:$C$1018, 0)), INDEX(Mgt_Unit!$B$5:$B$1018, MATCH(C2537, Mgt_Unit!$C$5:$C$1018, 0)), "")</f>
        <v>jennifer.moore</v>
      </c>
      <c r="C2537" t="s">
        <v>966</v>
      </c>
      <c r="E2537" s="17" t="s">
        <v>1583</v>
      </c>
      <c r="F2537" s="89">
        <v>42298</v>
      </c>
      <c r="J2537" t="s">
        <v>1396</v>
      </c>
      <c r="K2537" s="120">
        <v>37</v>
      </c>
    </row>
    <row r="2538" spans="2:11" hidden="1" x14ac:dyDescent="0.25">
      <c r="B2538" s="28" t="str">
        <f>IF(ISNUMBER(MATCH(C2538, Mgt_Unit!$C$5:$C$1018, 0)), INDEX(Mgt_Unit!$B$5:$B$1018, MATCH(C2538, Mgt_Unit!$C$5:$C$1018, 0)), "")</f>
        <v>jennifer.moore</v>
      </c>
      <c r="C2538" t="s">
        <v>966</v>
      </c>
      <c r="E2538" s="17" t="s">
        <v>1583</v>
      </c>
      <c r="F2538" s="89">
        <v>42298</v>
      </c>
      <c r="J2538" t="s">
        <v>1482</v>
      </c>
      <c r="K2538" s="120">
        <v>26</v>
      </c>
    </row>
    <row r="2539" spans="2:11" hidden="1" x14ac:dyDescent="0.25">
      <c r="B2539" s="28" t="str">
        <f>IF(ISNUMBER(MATCH(C2539, Mgt_Unit!$C$5:$C$1018, 0)), INDEX(Mgt_Unit!$B$5:$B$1018, MATCH(C2539, Mgt_Unit!$C$5:$C$1018, 0)), "")</f>
        <v>jennifer.moore</v>
      </c>
      <c r="C2539" t="s">
        <v>966</v>
      </c>
      <c r="E2539" s="17" t="s">
        <v>1584</v>
      </c>
      <c r="F2539" s="89">
        <v>42298</v>
      </c>
      <c r="J2539" t="s">
        <v>1398</v>
      </c>
      <c r="K2539" s="120">
        <v>4</v>
      </c>
    </row>
    <row r="2540" spans="2:11" hidden="1" x14ac:dyDescent="0.25">
      <c r="B2540" s="28" t="str">
        <f>IF(ISNUMBER(MATCH(C2540, Mgt_Unit!$C$5:$C$1018, 0)), INDEX(Mgt_Unit!$B$5:$B$1018, MATCH(C2540, Mgt_Unit!$C$5:$C$1018, 0)), "")</f>
        <v>jennifer.moore</v>
      </c>
      <c r="C2540" t="s">
        <v>966</v>
      </c>
      <c r="E2540" s="17" t="s">
        <v>1584</v>
      </c>
      <c r="F2540" s="89">
        <v>43032</v>
      </c>
      <c r="J2540" t="s">
        <v>1398</v>
      </c>
      <c r="K2540" s="120">
        <v>4</v>
      </c>
    </row>
    <row r="2541" spans="2:11" hidden="1" x14ac:dyDescent="0.25">
      <c r="B2541" s="28" t="str">
        <f>IF(ISNUMBER(MATCH(C2541, Mgt_Unit!$C$5:$C$1018, 0)), INDEX(Mgt_Unit!$B$5:$B$1018, MATCH(C2541, Mgt_Unit!$C$5:$C$1018, 0)), "")</f>
        <v>jennifer.moore</v>
      </c>
      <c r="C2541" t="s">
        <v>966</v>
      </c>
      <c r="E2541" s="17" t="s">
        <v>1583</v>
      </c>
      <c r="F2541" s="89">
        <v>43380</v>
      </c>
      <c r="J2541" t="s">
        <v>1396</v>
      </c>
      <c r="K2541" s="120">
        <v>37</v>
      </c>
    </row>
    <row r="2542" spans="2:11" hidden="1" x14ac:dyDescent="0.25">
      <c r="B2542" s="28" t="str">
        <f>IF(ISNUMBER(MATCH(C2542, Mgt_Unit!$C$5:$C$1018, 0)), INDEX(Mgt_Unit!$B$5:$B$1018, MATCH(C2542, Mgt_Unit!$C$5:$C$1018, 0)), "")</f>
        <v>jennifer.moore</v>
      </c>
      <c r="C2542" t="s">
        <v>966</v>
      </c>
      <c r="E2542" s="17" t="s">
        <v>1583</v>
      </c>
      <c r="F2542" s="89">
        <v>43380</v>
      </c>
      <c r="J2542" t="s">
        <v>1396</v>
      </c>
      <c r="K2542" s="120">
        <v>37</v>
      </c>
    </row>
    <row r="2543" spans="2:11" hidden="1" x14ac:dyDescent="0.25">
      <c r="B2543" s="28" t="str">
        <f>IF(ISNUMBER(MATCH(C2543, Mgt_Unit!$C$5:$C$1018, 0)), INDEX(Mgt_Unit!$B$5:$B$1018, MATCH(C2543, Mgt_Unit!$C$5:$C$1018, 0)), "")</f>
        <v>jennifer.moore</v>
      </c>
      <c r="C2543" t="s">
        <v>966</v>
      </c>
      <c r="E2543" s="17" t="s">
        <v>1583</v>
      </c>
      <c r="F2543" s="89">
        <v>43573</v>
      </c>
      <c r="J2543" t="s">
        <v>1396</v>
      </c>
      <c r="K2543" s="120">
        <v>37</v>
      </c>
    </row>
    <row r="2544" spans="2:11" hidden="1" x14ac:dyDescent="0.25">
      <c r="B2544" s="28" t="str">
        <f>IF(ISNUMBER(MATCH(C2544, Mgt_Unit!$C$5:$C$1018, 0)), INDEX(Mgt_Unit!$B$5:$B$1018, MATCH(C2544, Mgt_Unit!$C$5:$C$1018, 0)), "")</f>
        <v>jennifer.moore</v>
      </c>
      <c r="C2544" t="s">
        <v>966</v>
      </c>
      <c r="E2544" s="17" t="s">
        <v>1583</v>
      </c>
      <c r="F2544" s="89">
        <v>43591</v>
      </c>
      <c r="J2544" t="s">
        <v>1396</v>
      </c>
      <c r="K2544" s="120">
        <v>37</v>
      </c>
    </row>
    <row r="2545" spans="2:11" hidden="1" x14ac:dyDescent="0.25">
      <c r="B2545" s="28" t="str">
        <f>IF(ISNUMBER(MATCH(C2545, Mgt_Unit!$C$5:$C$1018, 0)), INDEX(Mgt_Unit!$B$5:$B$1018, MATCH(C2545, Mgt_Unit!$C$5:$C$1018, 0)), "")</f>
        <v>jennifer.moore</v>
      </c>
      <c r="C2545" t="s">
        <v>966</v>
      </c>
      <c r="E2545" s="17" t="s">
        <v>1583</v>
      </c>
      <c r="F2545" s="89">
        <v>43592</v>
      </c>
      <c r="J2545" t="s">
        <v>1396</v>
      </c>
      <c r="K2545" s="120">
        <v>37</v>
      </c>
    </row>
    <row r="2546" spans="2:11" hidden="1" x14ac:dyDescent="0.25">
      <c r="B2546" s="28" t="str">
        <f>IF(ISNUMBER(MATCH(C2546, Mgt_Unit!$C$5:$C$1018, 0)), INDEX(Mgt_Unit!$B$5:$B$1018, MATCH(C2546, Mgt_Unit!$C$5:$C$1018, 0)), "")</f>
        <v>jennifer.moore</v>
      </c>
      <c r="C2546" t="s">
        <v>966</v>
      </c>
      <c r="E2546" s="17" t="s">
        <v>1583</v>
      </c>
      <c r="F2546" s="89">
        <v>43592</v>
      </c>
      <c r="J2546" t="s">
        <v>1482</v>
      </c>
      <c r="K2546" s="120">
        <v>26</v>
      </c>
    </row>
    <row r="2547" spans="2:11" hidden="1" x14ac:dyDescent="0.25">
      <c r="B2547" s="28" t="str">
        <f>IF(ISNUMBER(MATCH(C2547, Mgt_Unit!$C$5:$C$1018, 0)), INDEX(Mgt_Unit!$B$5:$B$1018, MATCH(C2547, Mgt_Unit!$C$5:$C$1018, 0)), "")</f>
        <v>jennifer.moore</v>
      </c>
      <c r="C2547" t="s">
        <v>966</v>
      </c>
      <c r="E2547" s="17" t="s">
        <v>1584</v>
      </c>
      <c r="F2547" s="89">
        <v>43593</v>
      </c>
      <c r="J2547" t="s">
        <v>1395</v>
      </c>
      <c r="K2547" s="120">
        <v>7.8</v>
      </c>
    </row>
    <row r="2548" spans="2:11" hidden="1" x14ac:dyDescent="0.25">
      <c r="B2548" s="28" t="str">
        <f>IF(ISNUMBER(MATCH(C2548, Mgt_Unit!$C$5:$C$1018, 0)), INDEX(Mgt_Unit!$B$5:$B$1018, MATCH(C2548, Mgt_Unit!$C$5:$C$1018, 0)), "")</f>
        <v>jennifer.moore</v>
      </c>
      <c r="C2548" t="s">
        <v>966</v>
      </c>
      <c r="E2548" s="17" t="s">
        <v>1583</v>
      </c>
      <c r="F2548" s="89">
        <v>43595</v>
      </c>
      <c r="J2548" t="s">
        <v>1487</v>
      </c>
      <c r="K2548" s="120">
        <v>7.8</v>
      </c>
    </row>
    <row r="2549" spans="2:11" hidden="1" x14ac:dyDescent="0.25">
      <c r="B2549" s="28" t="str">
        <f>IF(ISNUMBER(MATCH(C2549, Mgt_Unit!$C$5:$C$1018, 0)), INDEX(Mgt_Unit!$B$5:$B$1018, MATCH(C2549, Mgt_Unit!$C$5:$C$1018, 0)), "")</f>
        <v>jennifer.moore</v>
      </c>
      <c r="C2549" t="s">
        <v>966</v>
      </c>
      <c r="E2549" s="17" t="s">
        <v>1583</v>
      </c>
      <c r="F2549" s="89">
        <v>43598</v>
      </c>
      <c r="J2549" t="s">
        <v>1441</v>
      </c>
      <c r="K2549" s="120">
        <v>17</v>
      </c>
    </row>
    <row r="2550" spans="2:11" hidden="1" x14ac:dyDescent="0.25">
      <c r="B2550" s="28" t="str">
        <f>IF(ISNUMBER(MATCH(C2550, Mgt_Unit!$C$5:$C$1018, 0)), INDEX(Mgt_Unit!$B$5:$B$1018, MATCH(C2550, Mgt_Unit!$C$5:$C$1018, 0)), "")</f>
        <v>jennifer.moore</v>
      </c>
      <c r="C2550" t="s">
        <v>966</v>
      </c>
      <c r="E2550" s="17" t="s">
        <v>1583</v>
      </c>
      <c r="F2550" s="89">
        <v>43601</v>
      </c>
      <c r="J2550" t="s">
        <v>1441</v>
      </c>
      <c r="K2550" s="120">
        <v>17</v>
      </c>
    </row>
    <row r="2551" spans="2:11" hidden="1" x14ac:dyDescent="0.25">
      <c r="B2551" s="28" t="str">
        <f>IF(ISNUMBER(MATCH(C2551, Mgt_Unit!$C$5:$C$1018, 0)), INDEX(Mgt_Unit!$B$5:$B$1018, MATCH(C2551, Mgt_Unit!$C$5:$C$1018, 0)), "")</f>
        <v>jennifer.moore</v>
      </c>
      <c r="C2551" t="s">
        <v>966</v>
      </c>
      <c r="E2551" s="17" t="s">
        <v>1583</v>
      </c>
      <c r="F2551" s="89">
        <v>43607</v>
      </c>
      <c r="J2551" t="s">
        <v>1441</v>
      </c>
      <c r="K2551" s="120">
        <v>17</v>
      </c>
    </row>
    <row r="2552" spans="2:11" hidden="1" x14ac:dyDescent="0.25">
      <c r="B2552" s="28" t="str">
        <f>IF(ISNUMBER(MATCH(C2552, Mgt_Unit!$C$5:$C$1018, 0)), INDEX(Mgt_Unit!$B$5:$B$1018, MATCH(C2552, Mgt_Unit!$C$5:$C$1018, 0)), "")</f>
        <v>jennifer.moore</v>
      </c>
      <c r="C2552" t="s">
        <v>966</v>
      </c>
      <c r="E2552" s="17" t="s">
        <v>1583</v>
      </c>
      <c r="F2552" s="89">
        <v>43620</v>
      </c>
      <c r="J2552" t="s">
        <v>1485</v>
      </c>
      <c r="K2552" s="120">
        <v>28</v>
      </c>
    </row>
    <row r="2553" spans="2:11" hidden="1" x14ac:dyDescent="0.25">
      <c r="B2553" s="28" t="str">
        <f>IF(ISNUMBER(MATCH(C2553, Mgt_Unit!$C$5:$C$1018, 0)), INDEX(Mgt_Unit!$B$5:$B$1018, MATCH(C2553, Mgt_Unit!$C$5:$C$1018, 0)), "")</f>
        <v>jennifer.moore</v>
      </c>
      <c r="C2553" t="s">
        <v>966</v>
      </c>
      <c r="E2553" s="17" t="s">
        <v>1583</v>
      </c>
      <c r="F2553" s="89">
        <v>43636</v>
      </c>
      <c r="J2553" t="s">
        <v>1486</v>
      </c>
      <c r="K2553" s="120">
        <v>0.59</v>
      </c>
    </row>
    <row r="2554" spans="2:11" hidden="1" x14ac:dyDescent="0.25">
      <c r="B2554" s="28" t="str">
        <f>IF(ISNUMBER(MATCH(C2554, Mgt_Unit!$C$5:$C$1018, 0)), INDEX(Mgt_Unit!$B$5:$B$1018, MATCH(C2554, Mgt_Unit!$C$5:$C$1018, 0)), "")</f>
        <v>jennifer.moore</v>
      </c>
      <c r="C2554" t="s">
        <v>966</v>
      </c>
      <c r="E2554" s="17" t="s">
        <v>1585</v>
      </c>
      <c r="F2554" s="89">
        <v>43768</v>
      </c>
      <c r="J2554" t="s">
        <v>1398</v>
      </c>
      <c r="K2554" s="120">
        <v>4</v>
      </c>
    </row>
    <row r="2555" spans="2:11" hidden="1" x14ac:dyDescent="0.25">
      <c r="B2555" s="28" t="str">
        <f>IF(ISNUMBER(MATCH(C2555, Mgt_Unit!$C$5:$C$1018, 0)), INDEX(Mgt_Unit!$B$5:$B$1018, MATCH(C2555, Mgt_Unit!$C$5:$C$1018, 0)), "")</f>
        <v>jennifer.moore</v>
      </c>
      <c r="C2555" t="s">
        <v>966</v>
      </c>
      <c r="E2555" s="17" t="s">
        <v>1583</v>
      </c>
      <c r="F2555" s="89">
        <v>43942</v>
      </c>
      <c r="J2555" t="s">
        <v>1396</v>
      </c>
      <c r="K2555" s="120">
        <v>37</v>
      </c>
    </row>
    <row r="2556" spans="2:11" hidden="1" x14ac:dyDescent="0.25">
      <c r="B2556" s="28" t="str">
        <f>IF(ISNUMBER(MATCH(C2556, Mgt_Unit!$C$5:$C$1018, 0)), INDEX(Mgt_Unit!$B$5:$B$1018, MATCH(C2556, Mgt_Unit!$C$5:$C$1018, 0)), "")</f>
        <v>jennifer.moore</v>
      </c>
      <c r="C2556" t="s">
        <v>966</v>
      </c>
      <c r="E2556" s="17" t="s">
        <v>1583</v>
      </c>
      <c r="F2556" s="89">
        <v>43970</v>
      </c>
      <c r="J2556" t="s">
        <v>1396</v>
      </c>
      <c r="K2556" s="120">
        <v>37</v>
      </c>
    </row>
    <row r="2557" spans="2:11" hidden="1" x14ac:dyDescent="0.25">
      <c r="B2557" s="28" t="str">
        <f>IF(ISNUMBER(MATCH(C2557, Mgt_Unit!$C$5:$C$1018, 0)), INDEX(Mgt_Unit!$B$5:$B$1018, MATCH(C2557, Mgt_Unit!$C$5:$C$1018, 0)), "")</f>
        <v>jennifer.moore</v>
      </c>
      <c r="C2557" t="s">
        <v>966</v>
      </c>
      <c r="E2557" s="17" t="s">
        <v>1583</v>
      </c>
      <c r="F2557" s="89">
        <v>43987</v>
      </c>
      <c r="J2557" t="s">
        <v>1396</v>
      </c>
      <c r="K2557" s="120">
        <v>37</v>
      </c>
    </row>
    <row r="2558" spans="2:11" hidden="1" x14ac:dyDescent="0.25">
      <c r="B2558" s="28" t="str">
        <f>IF(ISNUMBER(MATCH(C2558, Mgt_Unit!$C$5:$C$1018, 0)), INDEX(Mgt_Unit!$B$5:$B$1018, MATCH(C2558, Mgt_Unit!$C$5:$C$1018, 0)), "")</f>
        <v>jennifer.moore</v>
      </c>
      <c r="C2558" t="s">
        <v>966</v>
      </c>
      <c r="E2558" s="17" t="s">
        <v>1583</v>
      </c>
      <c r="F2558" s="89">
        <v>43989</v>
      </c>
      <c r="J2558" t="s">
        <v>1482</v>
      </c>
      <c r="K2558" s="120">
        <v>26</v>
      </c>
    </row>
    <row r="2559" spans="2:11" hidden="1" x14ac:dyDescent="0.25">
      <c r="B2559" s="28" t="str">
        <f>IF(ISNUMBER(MATCH(C2559, Mgt_Unit!$C$5:$C$1018, 0)), INDEX(Mgt_Unit!$B$5:$B$1018, MATCH(C2559, Mgt_Unit!$C$5:$C$1018, 0)), "")</f>
        <v>jennifer.moore</v>
      </c>
      <c r="C2559" t="s">
        <v>966</v>
      </c>
      <c r="E2559" s="17" t="s">
        <v>1584</v>
      </c>
      <c r="F2559" s="89">
        <v>43990</v>
      </c>
      <c r="J2559" t="s">
        <v>1395</v>
      </c>
      <c r="K2559" s="120">
        <v>7.8</v>
      </c>
    </row>
    <row r="2560" spans="2:11" hidden="1" x14ac:dyDescent="0.25">
      <c r="B2560" s="28" t="str">
        <f>IF(ISNUMBER(MATCH(C2560, Mgt_Unit!$C$5:$C$1018, 0)), INDEX(Mgt_Unit!$B$5:$B$1018, MATCH(C2560, Mgt_Unit!$C$5:$C$1018, 0)), "")</f>
        <v>jennifer.moore</v>
      </c>
      <c r="C2560" t="s">
        <v>966</v>
      </c>
      <c r="E2560" s="17" t="s">
        <v>1583</v>
      </c>
      <c r="F2560" s="89">
        <v>43996</v>
      </c>
      <c r="J2560" t="s">
        <v>1441</v>
      </c>
      <c r="K2560" s="120">
        <v>17</v>
      </c>
    </row>
    <row r="2561" spans="2:11" hidden="1" x14ac:dyDescent="0.25">
      <c r="B2561" s="28" t="str">
        <f>IF(ISNUMBER(MATCH(C2561, Mgt_Unit!$C$5:$C$1018, 0)), INDEX(Mgt_Unit!$B$5:$B$1018, MATCH(C2561, Mgt_Unit!$C$5:$C$1018, 0)), "")</f>
        <v>jennifer.moore</v>
      </c>
      <c r="C2561" t="s">
        <v>966</v>
      </c>
      <c r="E2561" s="17" t="s">
        <v>1583</v>
      </c>
      <c r="F2561" s="89">
        <v>44005</v>
      </c>
      <c r="J2561" t="s">
        <v>1485</v>
      </c>
      <c r="K2561" s="120">
        <v>28</v>
      </c>
    </row>
    <row r="2562" spans="2:11" hidden="1" x14ac:dyDescent="0.25">
      <c r="B2562" s="28" t="str">
        <f>IF(ISNUMBER(MATCH(C2562, Mgt_Unit!$C$5:$C$1018, 0)), INDEX(Mgt_Unit!$B$5:$B$1018, MATCH(C2562, Mgt_Unit!$C$5:$C$1018, 0)), "")</f>
        <v>jennifer.moore</v>
      </c>
      <c r="C2562" t="s">
        <v>966</v>
      </c>
      <c r="E2562" s="17" t="s">
        <v>1583</v>
      </c>
      <c r="F2562" s="89">
        <v>44010</v>
      </c>
      <c r="J2562" t="s">
        <v>1485</v>
      </c>
      <c r="K2562" s="120">
        <v>28</v>
      </c>
    </row>
    <row r="2563" spans="2:11" hidden="1" x14ac:dyDescent="0.25">
      <c r="B2563" s="28" t="str">
        <f>IF(ISNUMBER(MATCH(C2563, Mgt_Unit!$C$5:$C$1018, 0)), INDEX(Mgt_Unit!$B$5:$B$1018, MATCH(C2563, Mgt_Unit!$C$5:$C$1018, 0)), "")</f>
        <v>jennifer.moore</v>
      </c>
      <c r="C2563" t="s">
        <v>966</v>
      </c>
      <c r="E2563" s="17" t="s">
        <v>1583</v>
      </c>
      <c r="F2563" s="89">
        <v>44016</v>
      </c>
      <c r="J2563" t="s">
        <v>1485</v>
      </c>
      <c r="K2563" s="120">
        <v>28</v>
      </c>
    </row>
    <row r="2564" spans="2:11" hidden="1" x14ac:dyDescent="0.25">
      <c r="B2564" s="28" t="str">
        <f>IF(ISNUMBER(MATCH(C2564, Mgt_Unit!$C$5:$C$1018, 0)), INDEX(Mgt_Unit!$B$5:$B$1018, MATCH(C2564, Mgt_Unit!$C$5:$C$1018, 0)), "")</f>
        <v>jennifer.moore</v>
      </c>
      <c r="C2564" t="s">
        <v>966</v>
      </c>
      <c r="E2564" s="17" t="s">
        <v>1583</v>
      </c>
      <c r="F2564" s="89">
        <v>44025</v>
      </c>
      <c r="J2564" t="s">
        <v>1486</v>
      </c>
      <c r="K2564" s="120">
        <v>0.59</v>
      </c>
    </row>
    <row r="2565" spans="2:11" hidden="1" x14ac:dyDescent="0.25">
      <c r="B2565" s="28" t="str">
        <f>IF(ISNUMBER(MATCH(C2565, Mgt_Unit!$C$5:$C$1018, 0)), INDEX(Mgt_Unit!$B$5:$B$1018, MATCH(C2565, Mgt_Unit!$C$5:$C$1018, 0)), "")</f>
        <v>jennifer.moore</v>
      </c>
      <c r="C2565" t="s">
        <v>966</v>
      </c>
      <c r="E2565" s="17" t="s">
        <v>1583</v>
      </c>
      <c r="F2565" s="89">
        <v>44026</v>
      </c>
      <c r="J2565" t="s">
        <v>1485</v>
      </c>
      <c r="K2565" s="120">
        <v>28</v>
      </c>
    </row>
    <row r="2566" spans="2:11" hidden="1" x14ac:dyDescent="0.25">
      <c r="B2566" s="28" t="str">
        <f>IF(ISNUMBER(MATCH(C2566, Mgt_Unit!$C$5:$C$1018, 0)), INDEX(Mgt_Unit!$B$5:$B$1018, MATCH(C2566, Mgt_Unit!$C$5:$C$1018, 0)), "")</f>
        <v>jennifer.moore</v>
      </c>
      <c r="C2566" t="s">
        <v>966</v>
      </c>
      <c r="E2566" s="17" t="s">
        <v>1583</v>
      </c>
      <c r="F2566" s="89">
        <v>44032</v>
      </c>
      <c r="J2566" t="s">
        <v>1485</v>
      </c>
      <c r="K2566" s="120">
        <v>28</v>
      </c>
    </row>
    <row r="2567" spans="2:11" hidden="1" x14ac:dyDescent="0.25">
      <c r="B2567" s="28" t="str">
        <f>IF(ISNUMBER(MATCH(C2567, Mgt_Unit!$C$5:$C$1018, 0)), INDEX(Mgt_Unit!$B$5:$B$1018, MATCH(C2567, Mgt_Unit!$C$5:$C$1018, 0)), "")</f>
        <v>jennifer.moore</v>
      </c>
      <c r="C2567" t="s">
        <v>966</v>
      </c>
      <c r="E2567" s="17" t="s">
        <v>1583</v>
      </c>
      <c r="F2567" s="89">
        <v>44054</v>
      </c>
      <c r="J2567" t="s">
        <v>1486</v>
      </c>
      <c r="K2567" s="120">
        <v>0.59</v>
      </c>
    </row>
    <row r="2568" spans="2:11" hidden="1" x14ac:dyDescent="0.25">
      <c r="B2568" s="28" t="str">
        <f>IF(ISNUMBER(MATCH(C2568, Mgt_Unit!$C$5:$C$1018, 0)), INDEX(Mgt_Unit!$B$5:$B$1018, MATCH(C2568, Mgt_Unit!$C$5:$C$1018, 0)), "")</f>
        <v>jennifer.moore</v>
      </c>
      <c r="C2568" t="s">
        <v>966</v>
      </c>
      <c r="E2568" s="17" t="s">
        <v>1584</v>
      </c>
      <c r="F2568" s="89">
        <v>44117</v>
      </c>
      <c r="J2568" t="s">
        <v>1488</v>
      </c>
      <c r="K2568" s="120">
        <v>0.15</v>
      </c>
    </row>
    <row r="2569" spans="2:11" hidden="1" x14ac:dyDescent="0.25">
      <c r="B2569" s="28" t="str">
        <f>IF(ISNUMBER(MATCH(C2569, Mgt_Unit!$C$5:$C$1018, 0)), INDEX(Mgt_Unit!$B$5:$B$1018, MATCH(C2569, Mgt_Unit!$C$5:$C$1018, 0)), "")</f>
        <v>jennifer.moore</v>
      </c>
      <c r="C2569" t="s">
        <v>967</v>
      </c>
      <c r="E2569" s="17" t="s">
        <v>1584</v>
      </c>
      <c r="F2569" s="89">
        <v>43228</v>
      </c>
      <c r="J2569" t="s">
        <v>1398</v>
      </c>
      <c r="K2569" s="120">
        <v>4</v>
      </c>
    </row>
    <row r="2570" spans="2:11" hidden="1" x14ac:dyDescent="0.25">
      <c r="B2570" s="28" t="str">
        <f>IF(ISNUMBER(MATCH(C2570, Mgt_Unit!$C$5:$C$1018, 0)), INDEX(Mgt_Unit!$B$5:$B$1018, MATCH(C2570, Mgt_Unit!$C$5:$C$1018, 0)), "")</f>
        <v>jennifer.moore</v>
      </c>
      <c r="C2570" t="s">
        <v>967</v>
      </c>
      <c r="E2570" s="17" t="s">
        <v>1583</v>
      </c>
      <c r="F2570" s="89">
        <v>43327</v>
      </c>
      <c r="J2570" t="s">
        <v>1431</v>
      </c>
      <c r="K2570" s="120">
        <v>0.15</v>
      </c>
    </row>
    <row r="2571" spans="2:11" hidden="1" x14ac:dyDescent="0.25">
      <c r="B2571" s="28" t="str">
        <f>IF(ISNUMBER(MATCH(C2571, Mgt_Unit!$C$5:$C$1018, 0)), INDEX(Mgt_Unit!$B$5:$B$1018, MATCH(C2571, Mgt_Unit!$C$5:$C$1018, 0)), "")</f>
        <v>jennifer.moore</v>
      </c>
      <c r="C2571" t="s">
        <v>968</v>
      </c>
      <c r="E2571" s="17" t="s">
        <v>1584</v>
      </c>
      <c r="F2571" s="89">
        <v>43228</v>
      </c>
      <c r="J2571" t="s">
        <v>1398</v>
      </c>
      <c r="K2571" s="120">
        <v>4</v>
      </c>
    </row>
    <row r="2572" spans="2:11" hidden="1" x14ac:dyDescent="0.25">
      <c r="B2572" s="28" t="str">
        <f>IF(ISNUMBER(MATCH(C2572, Mgt_Unit!$C$5:$C$1018, 0)), INDEX(Mgt_Unit!$B$5:$B$1018, MATCH(C2572, Mgt_Unit!$C$5:$C$1018, 0)), "")</f>
        <v>jennifer.moore</v>
      </c>
      <c r="C2572" t="s">
        <v>968</v>
      </c>
      <c r="E2572" s="17" t="s">
        <v>1583</v>
      </c>
      <c r="F2572" s="89">
        <v>43228</v>
      </c>
      <c r="J2572" t="s">
        <v>1449</v>
      </c>
      <c r="K2572" s="120">
        <v>36</v>
      </c>
    </row>
    <row r="2573" spans="2:11" hidden="1" x14ac:dyDescent="0.25">
      <c r="B2573" s="28" t="str">
        <f>IF(ISNUMBER(MATCH(C2573, Mgt_Unit!$C$5:$C$1018, 0)), INDEX(Mgt_Unit!$B$5:$B$1018, MATCH(C2573, Mgt_Unit!$C$5:$C$1018, 0)), "")</f>
        <v>jennifer.moore</v>
      </c>
      <c r="C2573" t="s">
        <v>968</v>
      </c>
      <c r="E2573" s="17" t="s">
        <v>1583</v>
      </c>
      <c r="F2573" s="89">
        <v>43327</v>
      </c>
      <c r="J2573" t="s">
        <v>1431</v>
      </c>
      <c r="K2573" s="120">
        <v>0.15</v>
      </c>
    </row>
    <row r="2574" spans="2:11" hidden="1" x14ac:dyDescent="0.25">
      <c r="B2574" s="28" t="str">
        <f>IF(ISNUMBER(MATCH(C2574, Mgt_Unit!$C$5:$C$1018, 0)), INDEX(Mgt_Unit!$B$5:$B$1018, MATCH(C2574, Mgt_Unit!$C$5:$C$1018, 0)), "")</f>
        <v>jennifer.moore</v>
      </c>
      <c r="C2574" t="s">
        <v>969</v>
      </c>
      <c r="E2574" s="17" t="s">
        <v>1584</v>
      </c>
      <c r="F2574" s="89">
        <v>42507</v>
      </c>
      <c r="J2574" t="s">
        <v>1398</v>
      </c>
      <c r="K2574" s="120">
        <v>4</v>
      </c>
    </row>
    <row r="2575" spans="2:11" hidden="1" x14ac:dyDescent="0.25">
      <c r="B2575" s="28" t="str">
        <f>IF(ISNUMBER(MATCH(C2575, Mgt_Unit!$C$5:$C$1018, 0)), INDEX(Mgt_Unit!$B$5:$B$1018, MATCH(C2575, Mgt_Unit!$C$5:$C$1018, 0)), "")</f>
        <v>jennifer.moore</v>
      </c>
      <c r="C2575" t="s">
        <v>969</v>
      </c>
      <c r="E2575" s="17" t="s">
        <v>1583</v>
      </c>
      <c r="F2575" s="89">
        <v>42668</v>
      </c>
      <c r="J2575" t="s">
        <v>1431</v>
      </c>
      <c r="K2575" s="120">
        <v>0.15</v>
      </c>
    </row>
    <row r="2576" spans="2:11" hidden="1" x14ac:dyDescent="0.25">
      <c r="B2576" s="28" t="str">
        <f>IF(ISNUMBER(MATCH(C2576, Mgt_Unit!$C$5:$C$1018, 0)), INDEX(Mgt_Unit!$B$5:$B$1018, MATCH(C2576, Mgt_Unit!$C$5:$C$1018, 0)), "")</f>
        <v>jennifer.moore</v>
      </c>
      <c r="C2576" t="s">
        <v>969</v>
      </c>
      <c r="E2576" s="17" t="s">
        <v>1585</v>
      </c>
      <c r="F2576" s="89">
        <v>42891</v>
      </c>
      <c r="J2576" t="s">
        <v>1398</v>
      </c>
      <c r="K2576" s="120">
        <v>4</v>
      </c>
    </row>
    <row r="2577" spans="2:11" hidden="1" x14ac:dyDescent="0.25">
      <c r="B2577" s="28" t="str">
        <f>IF(ISNUMBER(MATCH(C2577, Mgt_Unit!$C$5:$C$1018, 0)), INDEX(Mgt_Unit!$B$5:$B$1018, MATCH(C2577, Mgt_Unit!$C$5:$C$1018, 0)), "")</f>
        <v>jennifer.moore</v>
      </c>
      <c r="C2577" t="s">
        <v>969</v>
      </c>
      <c r="E2577" s="17" t="s">
        <v>1583</v>
      </c>
      <c r="F2577" s="89">
        <v>42962</v>
      </c>
      <c r="J2577" t="s">
        <v>1489</v>
      </c>
      <c r="K2577" s="120">
        <v>0.15</v>
      </c>
    </row>
    <row r="2578" spans="2:11" hidden="1" x14ac:dyDescent="0.25">
      <c r="B2578" s="28" t="str">
        <f>IF(ISNUMBER(MATCH(C2578, Mgt_Unit!$C$5:$C$1018, 0)), INDEX(Mgt_Unit!$B$5:$B$1018, MATCH(C2578, Mgt_Unit!$C$5:$C$1018, 0)), "")</f>
        <v>jennifer.moore</v>
      </c>
      <c r="C2578" t="s">
        <v>969</v>
      </c>
      <c r="E2578" s="17" t="s">
        <v>1583</v>
      </c>
      <c r="F2578" s="89">
        <v>42970</v>
      </c>
      <c r="J2578" t="s">
        <v>1490</v>
      </c>
      <c r="K2578" s="120">
        <v>0.15</v>
      </c>
    </row>
    <row r="2579" spans="2:11" hidden="1" x14ac:dyDescent="0.25">
      <c r="B2579" s="28" t="str">
        <f>IF(ISNUMBER(MATCH(C2579, Mgt_Unit!$C$5:$C$1018, 0)), INDEX(Mgt_Unit!$B$5:$B$1018, MATCH(C2579, Mgt_Unit!$C$5:$C$1018, 0)), "")</f>
        <v>jennifer.moore</v>
      </c>
      <c r="C2579" t="s">
        <v>969</v>
      </c>
      <c r="E2579" s="17" t="s">
        <v>1584</v>
      </c>
      <c r="F2579" s="89">
        <v>43228</v>
      </c>
      <c r="J2579" t="s">
        <v>1398</v>
      </c>
      <c r="K2579" s="120">
        <v>4</v>
      </c>
    </row>
    <row r="2580" spans="2:11" hidden="1" x14ac:dyDescent="0.25">
      <c r="B2580" s="28" t="str">
        <f>IF(ISNUMBER(MATCH(C2580, Mgt_Unit!$C$5:$C$1018, 0)), INDEX(Mgt_Unit!$B$5:$B$1018, MATCH(C2580, Mgt_Unit!$C$5:$C$1018, 0)), "")</f>
        <v>jennifer.moore</v>
      </c>
      <c r="C2580" t="s">
        <v>969</v>
      </c>
      <c r="E2580" s="17" t="s">
        <v>1583</v>
      </c>
      <c r="F2580" s="89">
        <v>43327</v>
      </c>
      <c r="J2580" t="s">
        <v>1431</v>
      </c>
      <c r="K2580" s="120">
        <v>0.15</v>
      </c>
    </row>
    <row r="2581" spans="2:11" hidden="1" x14ac:dyDescent="0.25">
      <c r="B2581" s="28" t="str">
        <f>IF(ISNUMBER(MATCH(C2581, Mgt_Unit!$C$5:$C$1018, 0)), INDEX(Mgt_Unit!$B$5:$B$1018, MATCH(C2581, Mgt_Unit!$C$5:$C$1018, 0)), "")</f>
        <v>jennifer.moore</v>
      </c>
      <c r="C2581" t="s">
        <v>970</v>
      </c>
      <c r="E2581" s="17" t="s">
        <v>1583</v>
      </c>
      <c r="F2581" s="89">
        <v>42498</v>
      </c>
      <c r="J2581" t="s">
        <v>1449</v>
      </c>
      <c r="K2581" s="120">
        <v>36</v>
      </c>
    </row>
    <row r="2582" spans="2:11" hidden="1" x14ac:dyDescent="0.25">
      <c r="B2582" s="28" t="str">
        <f>IF(ISNUMBER(MATCH(C2582, Mgt_Unit!$C$5:$C$1018, 0)), INDEX(Mgt_Unit!$B$5:$B$1018, MATCH(C2582, Mgt_Unit!$C$5:$C$1018, 0)), "")</f>
        <v>jennifer.moore</v>
      </c>
      <c r="C2582" t="s">
        <v>970</v>
      </c>
      <c r="E2582" s="17" t="s">
        <v>1584</v>
      </c>
      <c r="F2582" s="89">
        <v>42507</v>
      </c>
      <c r="J2582" t="s">
        <v>1398</v>
      </c>
      <c r="K2582" s="120">
        <v>4</v>
      </c>
    </row>
    <row r="2583" spans="2:11" hidden="1" x14ac:dyDescent="0.25">
      <c r="B2583" s="28" t="str">
        <f>IF(ISNUMBER(MATCH(C2583, Mgt_Unit!$C$5:$C$1018, 0)), INDEX(Mgt_Unit!$B$5:$B$1018, MATCH(C2583, Mgt_Unit!$C$5:$C$1018, 0)), "")</f>
        <v>jennifer.moore</v>
      </c>
      <c r="C2583" t="s">
        <v>970</v>
      </c>
      <c r="E2583" s="17" t="s">
        <v>1583</v>
      </c>
      <c r="F2583" s="89">
        <v>42668</v>
      </c>
      <c r="J2583" t="s">
        <v>1431</v>
      </c>
      <c r="K2583" s="120">
        <v>0.15</v>
      </c>
    </row>
    <row r="2584" spans="2:11" hidden="1" x14ac:dyDescent="0.25">
      <c r="B2584" s="28" t="str">
        <f>IF(ISNUMBER(MATCH(C2584, Mgt_Unit!$C$5:$C$1018, 0)), INDEX(Mgt_Unit!$B$5:$B$1018, MATCH(C2584, Mgt_Unit!$C$5:$C$1018, 0)), "")</f>
        <v>jennifer.moore</v>
      </c>
      <c r="C2584" t="s">
        <v>970</v>
      </c>
      <c r="E2584" s="17" t="s">
        <v>1583</v>
      </c>
      <c r="F2584" s="89">
        <v>42863</v>
      </c>
      <c r="J2584" t="s">
        <v>1449</v>
      </c>
      <c r="K2584" s="120">
        <v>36</v>
      </c>
    </row>
    <row r="2585" spans="2:11" hidden="1" x14ac:dyDescent="0.25">
      <c r="B2585" s="28" t="str">
        <f>IF(ISNUMBER(MATCH(C2585, Mgt_Unit!$C$5:$C$1018, 0)), INDEX(Mgt_Unit!$B$5:$B$1018, MATCH(C2585, Mgt_Unit!$C$5:$C$1018, 0)), "")</f>
        <v>jennifer.moore</v>
      </c>
      <c r="C2585" t="s">
        <v>970</v>
      </c>
      <c r="E2585" s="17" t="s">
        <v>1585</v>
      </c>
      <c r="F2585" s="89">
        <v>42891</v>
      </c>
      <c r="J2585" t="s">
        <v>1398</v>
      </c>
      <c r="K2585" s="120">
        <v>4</v>
      </c>
    </row>
    <row r="2586" spans="2:11" hidden="1" x14ac:dyDescent="0.25">
      <c r="B2586" s="28" t="str">
        <f>IF(ISNUMBER(MATCH(C2586, Mgt_Unit!$C$5:$C$1018, 0)), INDEX(Mgt_Unit!$B$5:$B$1018, MATCH(C2586, Mgt_Unit!$C$5:$C$1018, 0)), "")</f>
        <v>jennifer.moore</v>
      </c>
      <c r="C2586" t="s">
        <v>970</v>
      </c>
      <c r="E2586" s="17" t="s">
        <v>1583</v>
      </c>
      <c r="F2586" s="89">
        <v>42962</v>
      </c>
      <c r="J2586" t="s">
        <v>1489</v>
      </c>
      <c r="K2586" s="120">
        <v>0.15</v>
      </c>
    </row>
    <row r="2587" spans="2:11" hidden="1" x14ac:dyDescent="0.25">
      <c r="B2587" s="28" t="str">
        <f>IF(ISNUMBER(MATCH(C2587, Mgt_Unit!$C$5:$C$1018, 0)), INDEX(Mgt_Unit!$B$5:$B$1018, MATCH(C2587, Mgt_Unit!$C$5:$C$1018, 0)), "")</f>
        <v>jennifer.moore</v>
      </c>
      <c r="C2587" t="s">
        <v>970</v>
      </c>
      <c r="E2587" s="17" t="s">
        <v>1583</v>
      </c>
      <c r="F2587" s="89">
        <v>42970</v>
      </c>
      <c r="J2587" t="s">
        <v>1490</v>
      </c>
      <c r="K2587" s="120">
        <v>0.15</v>
      </c>
    </row>
    <row r="2588" spans="2:11" hidden="1" x14ac:dyDescent="0.25">
      <c r="B2588" s="28" t="str">
        <f>IF(ISNUMBER(MATCH(C2588, Mgt_Unit!$C$5:$C$1018, 0)), INDEX(Mgt_Unit!$B$5:$B$1018, MATCH(C2588, Mgt_Unit!$C$5:$C$1018, 0)), "")</f>
        <v>jennifer.moore</v>
      </c>
      <c r="C2588" t="s">
        <v>970</v>
      </c>
      <c r="E2588" s="17" t="s">
        <v>1584</v>
      </c>
      <c r="F2588" s="89">
        <v>43228</v>
      </c>
      <c r="J2588" t="s">
        <v>1398</v>
      </c>
      <c r="K2588" s="120">
        <v>4</v>
      </c>
    </row>
    <row r="2589" spans="2:11" hidden="1" x14ac:dyDescent="0.25">
      <c r="B2589" s="28" t="str">
        <f>IF(ISNUMBER(MATCH(C2589, Mgt_Unit!$C$5:$C$1018, 0)), INDEX(Mgt_Unit!$B$5:$B$1018, MATCH(C2589, Mgt_Unit!$C$5:$C$1018, 0)), "")</f>
        <v>jennifer.moore</v>
      </c>
      <c r="C2589" t="s">
        <v>970</v>
      </c>
      <c r="E2589" s="17" t="s">
        <v>1583</v>
      </c>
      <c r="F2589" s="89">
        <v>43228</v>
      </c>
      <c r="J2589" t="s">
        <v>1449</v>
      </c>
      <c r="K2589" s="120">
        <v>36</v>
      </c>
    </row>
    <row r="2590" spans="2:11" hidden="1" x14ac:dyDescent="0.25">
      <c r="B2590" s="28" t="str">
        <f>IF(ISNUMBER(MATCH(C2590, Mgt_Unit!$C$5:$C$1018, 0)), INDEX(Mgt_Unit!$B$5:$B$1018, MATCH(C2590, Mgt_Unit!$C$5:$C$1018, 0)), "")</f>
        <v>jennifer.moore</v>
      </c>
      <c r="C2590" t="s">
        <v>970</v>
      </c>
      <c r="E2590" s="17" t="s">
        <v>1583</v>
      </c>
      <c r="F2590" s="89">
        <v>43327</v>
      </c>
      <c r="J2590" t="s">
        <v>1431</v>
      </c>
      <c r="K2590" s="120">
        <v>0.15</v>
      </c>
    </row>
    <row r="2591" spans="2:11" hidden="1" x14ac:dyDescent="0.25">
      <c r="B2591" s="28" t="str">
        <f>IF(ISNUMBER(MATCH(C2591, Mgt_Unit!$C$5:$C$1018, 0)), INDEX(Mgt_Unit!$B$5:$B$1018, MATCH(C2591, Mgt_Unit!$C$5:$C$1018, 0)), "")</f>
        <v>jennifer.moore</v>
      </c>
      <c r="C2591" t="s">
        <v>971</v>
      </c>
      <c r="E2591" s="17" t="s">
        <v>1584</v>
      </c>
      <c r="F2591" s="89">
        <v>42507</v>
      </c>
      <c r="J2591" t="s">
        <v>1398</v>
      </c>
      <c r="K2591" s="120">
        <v>4</v>
      </c>
    </row>
    <row r="2592" spans="2:11" hidden="1" x14ac:dyDescent="0.25">
      <c r="B2592" s="28" t="str">
        <f>IF(ISNUMBER(MATCH(C2592, Mgt_Unit!$C$5:$C$1018, 0)), INDEX(Mgt_Unit!$B$5:$B$1018, MATCH(C2592, Mgt_Unit!$C$5:$C$1018, 0)), "")</f>
        <v>jennifer.moore</v>
      </c>
      <c r="C2592" t="s">
        <v>971</v>
      </c>
      <c r="E2592" s="17" t="s">
        <v>1583</v>
      </c>
      <c r="F2592" s="89">
        <v>42668</v>
      </c>
      <c r="J2592" t="s">
        <v>1431</v>
      </c>
      <c r="K2592" s="120">
        <v>0.15</v>
      </c>
    </row>
    <row r="2593" spans="2:11" hidden="1" x14ac:dyDescent="0.25">
      <c r="B2593" s="28" t="str">
        <f>IF(ISNUMBER(MATCH(C2593, Mgt_Unit!$C$5:$C$1018, 0)), INDEX(Mgt_Unit!$B$5:$B$1018, MATCH(C2593, Mgt_Unit!$C$5:$C$1018, 0)), "")</f>
        <v>jennifer.moore</v>
      </c>
      <c r="C2593" t="s">
        <v>971</v>
      </c>
      <c r="E2593" s="17" t="s">
        <v>1584</v>
      </c>
      <c r="F2593" s="89">
        <v>42879</v>
      </c>
      <c r="J2593" t="s">
        <v>1398</v>
      </c>
      <c r="K2593" s="120">
        <v>4</v>
      </c>
    </row>
    <row r="2594" spans="2:11" hidden="1" x14ac:dyDescent="0.25">
      <c r="B2594" s="28" t="str">
        <f>IF(ISNUMBER(MATCH(C2594, Mgt_Unit!$C$5:$C$1018, 0)), INDEX(Mgt_Unit!$B$5:$B$1018, MATCH(C2594, Mgt_Unit!$C$5:$C$1018, 0)), "")</f>
        <v>jennifer.moore</v>
      </c>
      <c r="C2594" t="s">
        <v>971</v>
      </c>
      <c r="E2594" s="17" t="s">
        <v>1583</v>
      </c>
      <c r="F2594" s="89">
        <v>43026</v>
      </c>
      <c r="J2594" t="s">
        <v>1431</v>
      </c>
      <c r="K2594" s="120">
        <v>0.15</v>
      </c>
    </row>
    <row r="2595" spans="2:11" hidden="1" x14ac:dyDescent="0.25">
      <c r="B2595" s="28" t="str">
        <f>IF(ISNUMBER(MATCH(C2595, Mgt_Unit!$C$5:$C$1018, 0)), INDEX(Mgt_Unit!$B$5:$B$1018, MATCH(C2595, Mgt_Unit!$C$5:$C$1018, 0)), "")</f>
        <v>jennifer.moore</v>
      </c>
      <c r="C2595" t="s">
        <v>971</v>
      </c>
      <c r="E2595" s="17" t="s">
        <v>1584</v>
      </c>
      <c r="F2595" s="89">
        <v>43228</v>
      </c>
      <c r="J2595" t="s">
        <v>1398</v>
      </c>
      <c r="K2595" s="120">
        <v>4</v>
      </c>
    </row>
    <row r="2596" spans="2:11" hidden="1" x14ac:dyDescent="0.25">
      <c r="B2596" s="28" t="str">
        <f>IF(ISNUMBER(MATCH(C2596, Mgt_Unit!$C$5:$C$1018, 0)), INDEX(Mgt_Unit!$B$5:$B$1018, MATCH(C2596, Mgt_Unit!$C$5:$C$1018, 0)), "")</f>
        <v>jennifer.moore</v>
      </c>
      <c r="C2596" t="s">
        <v>971</v>
      </c>
      <c r="E2596" s="17" t="s">
        <v>1583</v>
      </c>
      <c r="F2596" s="89">
        <v>43327</v>
      </c>
      <c r="J2596" t="s">
        <v>1431</v>
      </c>
      <c r="K2596" s="120">
        <v>0.15</v>
      </c>
    </row>
    <row r="2597" spans="2:11" hidden="1" x14ac:dyDescent="0.25">
      <c r="B2597" s="28" t="str">
        <f>IF(ISNUMBER(MATCH(C2597, Mgt_Unit!$C$5:$C$1018, 0)), INDEX(Mgt_Unit!$B$5:$B$1018, MATCH(C2597, Mgt_Unit!$C$5:$C$1018, 0)), "")</f>
        <v>jennifer.moore</v>
      </c>
      <c r="C2597" t="s">
        <v>972</v>
      </c>
      <c r="E2597" s="17" t="s">
        <v>1583</v>
      </c>
      <c r="F2597" s="89">
        <v>42498</v>
      </c>
      <c r="J2597" t="s">
        <v>1449</v>
      </c>
      <c r="K2597" s="120">
        <v>36</v>
      </c>
    </row>
    <row r="2598" spans="2:11" hidden="1" x14ac:dyDescent="0.25">
      <c r="B2598" s="28" t="str">
        <f>IF(ISNUMBER(MATCH(C2598, Mgt_Unit!$C$5:$C$1018, 0)), INDEX(Mgt_Unit!$B$5:$B$1018, MATCH(C2598, Mgt_Unit!$C$5:$C$1018, 0)), "")</f>
        <v>jennifer.moore</v>
      </c>
      <c r="C2598" t="s">
        <v>972</v>
      </c>
      <c r="E2598" s="17" t="s">
        <v>1584</v>
      </c>
      <c r="F2598" s="89">
        <v>42507</v>
      </c>
      <c r="J2598" t="s">
        <v>1398</v>
      </c>
      <c r="K2598" s="120">
        <v>4</v>
      </c>
    </row>
    <row r="2599" spans="2:11" hidden="1" x14ac:dyDescent="0.25">
      <c r="B2599" s="28" t="str">
        <f>IF(ISNUMBER(MATCH(C2599, Mgt_Unit!$C$5:$C$1018, 0)), INDEX(Mgt_Unit!$B$5:$B$1018, MATCH(C2599, Mgt_Unit!$C$5:$C$1018, 0)), "")</f>
        <v>jennifer.moore</v>
      </c>
      <c r="C2599" t="s">
        <v>972</v>
      </c>
      <c r="E2599" s="17" t="s">
        <v>1583</v>
      </c>
      <c r="F2599" s="89">
        <v>42668</v>
      </c>
      <c r="J2599" t="s">
        <v>1431</v>
      </c>
      <c r="K2599" s="120">
        <v>0.15</v>
      </c>
    </row>
    <row r="2600" spans="2:11" hidden="1" x14ac:dyDescent="0.25">
      <c r="B2600" s="28" t="str">
        <f>IF(ISNUMBER(MATCH(C2600, Mgt_Unit!$C$5:$C$1018, 0)), INDEX(Mgt_Unit!$B$5:$B$1018, MATCH(C2600, Mgt_Unit!$C$5:$C$1018, 0)), "")</f>
        <v>jennifer.moore</v>
      </c>
      <c r="C2600" t="s">
        <v>972</v>
      </c>
      <c r="E2600" s="17" t="s">
        <v>1583</v>
      </c>
      <c r="F2600" s="89">
        <v>42863</v>
      </c>
      <c r="J2600" t="s">
        <v>1449</v>
      </c>
      <c r="K2600" s="120">
        <v>36</v>
      </c>
    </row>
    <row r="2601" spans="2:11" hidden="1" x14ac:dyDescent="0.25">
      <c r="B2601" s="28" t="str">
        <f>IF(ISNUMBER(MATCH(C2601, Mgt_Unit!$C$5:$C$1018, 0)), INDEX(Mgt_Unit!$B$5:$B$1018, MATCH(C2601, Mgt_Unit!$C$5:$C$1018, 0)), "")</f>
        <v>jennifer.moore</v>
      </c>
      <c r="C2601" t="s">
        <v>972</v>
      </c>
      <c r="E2601" s="17" t="s">
        <v>1584</v>
      </c>
      <c r="F2601" s="89">
        <v>42879</v>
      </c>
      <c r="J2601" t="s">
        <v>1398</v>
      </c>
      <c r="K2601" s="120">
        <v>4</v>
      </c>
    </row>
    <row r="2602" spans="2:11" hidden="1" x14ac:dyDescent="0.25">
      <c r="B2602" s="28" t="str">
        <f>IF(ISNUMBER(MATCH(C2602, Mgt_Unit!$C$5:$C$1018, 0)), INDEX(Mgt_Unit!$B$5:$B$1018, MATCH(C2602, Mgt_Unit!$C$5:$C$1018, 0)), "")</f>
        <v>jennifer.moore</v>
      </c>
      <c r="C2602" t="s">
        <v>972</v>
      </c>
      <c r="E2602" s="17" t="s">
        <v>1583</v>
      </c>
      <c r="F2602" s="89">
        <v>43026</v>
      </c>
      <c r="J2602" t="s">
        <v>1431</v>
      </c>
      <c r="K2602" s="120">
        <v>0.15</v>
      </c>
    </row>
    <row r="2603" spans="2:11" hidden="1" x14ac:dyDescent="0.25">
      <c r="B2603" s="28" t="str">
        <f>IF(ISNUMBER(MATCH(C2603, Mgt_Unit!$C$5:$C$1018, 0)), INDEX(Mgt_Unit!$B$5:$B$1018, MATCH(C2603, Mgt_Unit!$C$5:$C$1018, 0)), "")</f>
        <v>jennifer.moore</v>
      </c>
      <c r="C2603" t="s">
        <v>972</v>
      </c>
      <c r="E2603" s="17" t="s">
        <v>1584</v>
      </c>
      <c r="F2603" s="89">
        <v>43228</v>
      </c>
      <c r="J2603" t="s">
        <v>1398</v>
      </c>
      <c r="K2603" s="120">
        <v>4</v>
      </c>
    </row>
    <row r="2604" spans="2:11" hidden="1" x14ac:dyDescent="0.25">
      <c r="B2604" s="28" t="str">
        <f>IF(ISNUMBER(MATCH(C2604, Mgt_Unit!$C$5:$C$1018, 0)), INDEX(Mgt_Unit!$B$5:$B$1018, MATCH(C2604, Mgt_Unit!$C$5:$C$1018, 0)), "")</f>
        <v>jennifer.moore</v>
      </c>
      <c r="C2604" t="s">
        <v>972</v>
      </c>
      <c r="E2604" s="17" t="s">
        <v>1583</v>
      </c>
      <c r="F2604" s="89">
        <v>43228</v>
      </c>
      <c r="J2604" t="s">
        <v>1449</v>
      </c>
      <c r="K2604" s="120">
        <v>36</v>
      </c>
    </row>
    <row r="2605" spans="2:11" hidden="1" x14ac:dyDescent="0.25">
      <c r="B2605" s="28" t="str">
        <f>IF(ISNUMBER(MATCH(C2605, Mgt_Unit!$C$5:$C$1018, 0)), INDEX(Mgt_Unit!$B$5:$B$1018, MATCH(C2605, Mgt_Unit!$C$5:$C$1018, 0)), "")</f>
        <v>jennifer.moore</v>
      </c>
      <c r="C2605" t="s">
        <v>972</v>
      </c>
      <c r="E2605" s="17" t="s">
        <v>1583</v>
      </c>
      <c r="F2605" s="89">
        <v>43327</v>
      </c>
      <c r="J2605" t="s">
        <v>1431</v>
      </c>
      <c r="K2605" s="120">
        <v>0.15</v>
      </c>
    </row>
    <row r="2606" spans="2:11" hidden="1" x14ac:dyDescent="0.25">
      <c r="B2606" s="28" t="str">
        <f>IF(ISNUMBER(MATCH(C2606, Mgt_Unit!$C$5:$C$1018, 0)), INDEX(Mgt_Unit!$B$5:$B$1018, MATCH(C2606, Mgt_Unit!$C$5:$C$1018, 0)), "")</f>
        <v>jennifer.moore</v>
      </c>
      <c r="C2606" t="s">
        <v>973</v>
      </c>
      <c r="E2606" s="17" t="s">
        <v>1584</v>
      </c>
      <c r="F2606" s="89">
        <v>43228</v>
      </c>
      <c r="J2606" t="s">
        <v>1398</v>
      </c>
      <c r="K2606" s="120">
        <v>4</v>
      </c>
    </row>
    <row r="2607" spans="2:11" hidden="1" x14ac:dyDescent="0.25">
      <c r="B2607" s="28" t="str">
        <f>IF(ISNUMBER(MATCH(C2607, Mgt_Unit!$C$5:$C$1018, 0)), INDEX(Mgt_Unit!$B$5:$B$1018, MATCH(C2607, Mgt_Unit!$C$5:$C$1018, 0)), "")</f>
        <v>jennifer.moore</v>
      </c>
      <c r="C2607" t="s">
        <v>973</v>
      </c>
      <c r="E2607" s="17" t="s">
        <v>1583</v>
      </c>
      <c r="F2607" s="89">
        <v>43327</v>
      </c>
      <c r="J2607" t="s">
        <v>1431</v>
      </c>
      <c r="K2607" s="120">
        <v>0.15</v>
      </c>
    </row>
    <row r="2608" spans="2:11" hidden="1" x14ac:dyDescent="0.25">
      <c r="B2608" s="28" t="str">
        <f>IF(ISNUMBER(MATCH(C2608, Mgt_Unit!$C$5:$C$1018, 0)), INDEX(Mgt_Unit!$B$5:$B$1018, MATCH(C2608, Mgt_Unit!$C$5:$C$1018, 0)), "")</f>
        <v>jennifer.moore</v>
      </c>
      <c r="C2608" t="s">
        <v>974</v>
      </c>
      <c r="E2608" s="17" t="s">
        <v>1584</v>
      </c>
      <c r="F2608" s="89">
        <v>43228</v>
      </c>
      <c r="J2608" t="s">
        <v>1398</v>
      </c>
      <c r="K2608" s="120">
        <v>4</v>
      </c>
    </row>
    <row r="2609" spans="2:11" hidden="1" x14ac:dyDescent="0.25">
      <c r="B2609" s="28" t="str">
        <f>IF(ISNUMBER(MATCH(C2609, Mgt_Unit!$C$5:$C$1018, 0)), INDEX(Mgt_Unit!$B$5:$B$1018, MATCH(C2609, Mgt_Unit!$C$5:$C$1018, 0)), "")</f>
        <v>jennifer.moore</v>
      </c>
      <c r="C2609" t="s">
        <v>974</v>
      </c>
      <c r="E2609" s="17" t="s">
        <v>1583</v>
      </c>
      <c r="F2609" s="89">
        <v>43228</v>
      </c>
      <c r="J2609" t="s">
        <v>1449</v>
      </c>
      <c r="K2609" s="120">
        <v>36</v>
      </c>
    </row>
    <row r="2610" spans="2:11" hidden="1" x14ac:dyDescent="0.25">
      <c r="B2610" s="28" t="str">
        <f>IF(ISNUMBER(MATCH(C2610, Mgt_Unit!$C$5:$C$1018, 0)), INDEX(Mgt_Unit!$B$5:$B$1018, MATCH(C2610, Mgt_Unit!$C$5:$C$1018, 0)), "")</f>
        <v>jennifer.moore</v>
      </c>
      <c r="C2610" t="s">
        <v>974</v>
      </c>
      <c r="E2610" s="17" t="s">
        <v>1583</v>
      </c>
      <c r="F2610" s="89">
        <v>43327</v>
      </c>
      <c r="J2610" t="s">
        <v>1431</v>
      </c>
      <c r="K2610" s="120">
        <v>0.15</v>
      </c>
    </row>
    <row r="2611" spans="2:11" hidden="1" x14ac:dyDescent="0.25">
      <c r="B2611" s="28" t="str">
        <f>IF(ISNUMBER(MATCH(C2611, Mgt_Unit!$C$5:$C$1018, 0)), INDEX(Mgt_Unit!$B$5:$B$1018, MATCH(C2611, Mgt_Unit!$C$5:$C$1018, 0)), "")</f>
        <v>jennifer.moore</v>
      </c>
      <c r="C2611" t="s">
        <v>975</v>
      </c>
      <c r="E2611" s="17" t="s">
        <v>1583</v>
      </c>
      <c r="F2611" s="89">
        <v>42109</v>
      </c>
      <c r="J2611" t="s">
        <v>1445</v>
      </c>
      <c r="K2611" s="120">
        <v>30</v>
      </c>
    </row>
    <row r="2612" spans="2:11" hidden="1" x14ac:dyDescent="0.25">
      <c r="B2612" s="28" t="str">
        <f>IF(ISNUMBER(MATCH(C2612, Mgt_Unit!$C$5:$C$1018, 0)), INDEX(Mgt_Unit!$B$5:$B$1018, MATCH(C2612, Mgt_Unit!$C$5:$C$1018, 0)), "")</f>
        <v>jennifer.moore</v>
      </c>
      <c r="C2612" t="s">
        <v>975</v>
      </c>
      <c r="E2612" s="17" t="s">
        <v>1583</v>
      </c>
      <c r="F2612" s="89">
        <v>42125</v>
      </c>
      <c r="J2612" t="s">
        <v>1355</v>
      </c>
      <c r="K2612" s="120">
        <v>6.3</v>
      </c>
    </row>
    <row r="2613" spans="2:11" hidden="1" x14ac:dyDescent="0.25">
      <c r="B2613" s="28" t="str">
        <f>IF(ISNUMBER(MATCH(C2613, Mgt_Unit!$C$5:$C$1018, 0)), INDEX(Mgt_Unit!$B$5:$B$1018, MATCH(C2613, Mgt_Unit!$C$5:$C$1018, 0)), "")</f>
        <v>jennifer.moore</v>
      </c>
      <c r="C2613" t="s">
        <v>975</v>
      </c>
      <c r="E2613" s="17" t="s">
        <v>1583</v>
      </c>
      <c r="F2613" s="89">
        <v>42248</v>
      </c>
      <c r="J2613" t="s">
        <v>1431</v>
      </c>
      <c r="K2613" s="120">
        <v>0.15</v>
      </c>
    </row>
    <row r="2614" spans="2:11" hidden="1" x14ac:dyDescent="0.25">
      <c r="B2614" s="28" t="str">
        <f>IF(ISNUMBER(MATCH(C2614, Mgt_Unit!$C$5:$C$1018, 0)), INDEX(Mgt_Unit!$B$5:$B$1018, MATCH(C2614, Mgt_Unit!$C$5:$C$1018, 0)), "")</f>
        <v>jennifer.moore</v>
      </c>
      <c r="C2614" t="s">
        <v>975</v>
      </c>
      <c r="E2614" s="17" t="s">
        <v>1583</v>
      </c>
      <c r="F2614" s="89">
        <v>42262</v>
      </c>
      <c r="J2614" t="s">
        <v>1396</v>
      </c>
      <c r="K2614" s="120">
        <v>37</v>
      </c>
    </row>
    <row r="2615" spans="2:11" hidden="1" x14ac:dyDescent="0.25">
      <c r="B2615" s="28" t="str">
        <f>IF(ISNUMBER(MATCH(C2615, Mgt_Unit!$C$5:$C$1018, 0)), INDEX(Mgt_Unit!$B$5:$B$1018, MATCH(C2615, Mgt_Unit!$C$5:$C$1018, 0)), "")</f>
        <v>jennifer.moore</v>
      </c>
      <c r="C2615" t="s">
        <v>975</v>
      </c>
      <c r="E2615" s="17" t="s">
        <v>1583</v>
      </c>
      <c r="F2615" s="89">
        <v>42278</v>
      </c>
      <c r="J2615" t="s">
        <v>1436</v>
      </c>
      <c r="K2615" s="120">
        <v>42</v>
      </c>
    </row>
    <row r="2616" spans="2:11" hidden="1" x14ac:dyDescent="0.25">
      <c r="B2616" s="28" t="str">
        <f>IF(ISNUMBER(MATCH(C2616, Mgt_Unit!$C$5:$C$1018, 0)), INDEX(Mgt_Unit!$B$5:$B$1018, MATCH(C2616, Mgt_Unit!$C$5:$C$1018, 0)), "")</f>
        <v>jennifer.moore</v>
      </c>
      <c r="C2616" t="s">
        <v>975</v>
      </c>
      <c r="E2616" s="17" t="s">
        <v>1583</v>
      </c>
      <c r="F2616" s="89">
        <v>42475</v>
      </c>
      <c r="J2616" t="s">
        <v>1445</v>
      </c>
      <c r="K2616" s="120">
        <v>30</v>
      </c>
    </row>
    <row r="2617" spans="2:11" hidden="1" x14ac:dyDescent="0.25">
      <c r="B2617" s="28" t="str">
        <f>IF(ISNUMBER(MATCH(C2617, Mgt_Unit!$C$5:$C$1018, 0)), INDEX(Mgt_Unit!$B$5:$B$1018, MATCH(C2617, Mgt_Unit!$C$5:$C$1018, 0)), "")</f>
        <v>jennifer.moore</v>
      </c>
      <c r="C2617" t="s">
        <v>975</v>
      </c>
      <c r="E2617" s="17" t="s">
        <v>1583</v>
      </c>
      <c r="F2617" s="89">
        <v>42491</v>
      </c>
      <c r="J2617" t="s">
        <v>1355</v>
      </c>
      <c r="K2617" s="120">
        <v>6.3</v>
      </c>
    </row>
    <row r="2618" spans="2:11" hidden="1" x14ac:dyDescent="0.25">
      <c r="B2618" s="28" t="str">
        <f>IF(ISNUMBER(MATCH(C2618, Mgt_Unit!$C$5:$C$1018, 0)), INDEX(Mgt_Unit!$B$5:$B$1018, MATCH(C2618, Mgt_Unit!$C$5:$C$1018, 0)), "")</f>
        <v>jennifer.moore</v>
      </c>
      <c r="C2618" t="s">
        <v>975</v>
      </c>
      <c r="E2618" s="17" t="s">
        <v>1583</v>
      </c>
      <c r="F2618" s="89">
        <v>42614</v>
      </c>
      <c r="J2618" t="s">
        <v>1431</v>
      </c>
      <c r="K2618" s="120">
        <v>0.15</v>
      </c>
    </row>
    <row r="2619" spans="2:11" hidden="1" x14ac:dyDescent="0.25">
      <c r="B2619" s="28" t="str">
        <f>IF(ISNUMBER(MATCH(C2619, Mgt_Unit!$C$5:$C$1018, 0)), INDEX(Mgt_Unit!$B$5:$B$1018, MATCH(C2619, Mgt_Unit!$C$5:$C$1018, 0)), "")</f>
        <v>jennifer.moore</v>
      </c>
      <c r="C2619" t="s">
        <v>975</v>
      </c>
      <c r="E2619" s="17" t="s">
        <v>1583</v>
      </c>
      <c r="F2619" s="89">
        <v>42628</v>
      </c>
      <c r="J2619" t="s">
        <v>1396</v>
      </c>
      <c r="K2619" s="120">
        <v>37</v>
      </c>
    </row>
    <row r="2620" spans="2:11" hidden="1" x14ac:dyDescent="0.25">
      <c r="B2620" s="28" t="str">
        <f>IF(ISNUMBER(MATCH(C2620, Mgt_Unit!$C$5:$C$1018, 0)), INDEX(Mgt_Unit!$B$5:$B$1018, MATCH(C2620, Mgt_Unit!$C$5:$C$1018, 0)), "")</f>
        <v>jennifer.moore</v>
      </c>
      <c r="C2620" t="s">
        <v>975</v>
      </c>
      <c r="E2620" s="17" t="s">
        <v>1583</v>
      </c>
      <c r="F2620" s="89">
        <v>42644</v>
      </c>
      <c r="J2620" t="s">
        <v>1436</v>
      </c>
      <c r="K2620" s="120">
        <v>42</v>
      </c>
    </row>
    <row r="2621" spans="2:11" hidden="1" x14ac:dyDescent="0.25">
      <c r="B2621" s="28" t="str">
        <f>IF(ISNUMBER(MATCH(C2621, Mgt_Unit!$C$5:$C$1018, 0)), INDEX(Mgt_Unit!$B$5:$B$1018, MATCH(C2621, Mgt_Unit!$C$5:$C$1018, 0)), "")</f>
        <v>jennifer.moore</v>
      </c>
      <c r="C2621" t="s">
        <v>975</v>
      </c>
      <c r="E2621" s="17" t="s">
        <v>1583</v>
      </c>
      <c r="F2621" s="89">
        <v>42840</v>
      </c>
      <c r="J2621" t="s">
        <v>1445</v>
      </c>
      <c r="K2621" s="120">
        <v>30</v>
      </c>
    </row>
    <row r="2622" spans="2:11" hidden="1" x14ac:dyDescent="0.25">
      <c r="B2622" s="28" t="str">
        <f>IF(ISNUMBER(MATCH(C2622, Mgt_Unit!$C$5:$C$1018, 0)), INDEX(Mgt_Unit!$B$5:$B$1018, MATCH(C2622, Mgt_Unit!$C$5:$C$1018, 0)), "")</f>
        <v>jennifer.moore</v>
      </c>
      <c r="C2622" t="s">
        <v>975</v>
      </c>
      <c r="E2622" s="17" t="s">
        <v>1583</v>
      </c>
      <c r="F2622" s="89">
        <v>42856</v>
      </c>
      <c r="J2622" t="s">
        <v>1353</v>
      </c>
      <c r="K2622" s="120">
        <v>2.4</v>
      </c>
    </row>
    <row r="2623" spans="2:11" hidden="1" x14ac:dyDescent="0.25">
      <c r="B2623" s="28" t="str">
        <f>IF(ISNUMBER(MATCH(C2623, Mgt_Unit!$C$5:$C$1018, 0)), INDEX(Mgt_Unit!$B$5:$B$1018, MATCH(C2623, Mgt_Unit!$C$5:$C$1018, 0)), "")</f>
        <v>jennifer.moore</v>
      </c>
      <c r="C2623" t="s">
        <v>975</v>
      </c>
      <c r="E2623" s="17" t="s">
        <v>1583</v>
      </c>
      <c r="F2623" s="89">
        <v>43040</v>
      </c>
      <c r="J2623" t="s">
        <v>1431</v>
      </c>
      <c r="K2623" s="120">
        <v>0.15</v>
      </c>
    </row>
    <row r="2624" spans="2:11" hidden="1" x14ac:dyDescent="0.25">
      <c r="B2624" s="28" t="str">
        <f>IF(ISNUMBER(MATCH(C2624, Mgt_Unit!$C$5:$C$1018, 0)), INDEX(Mgt_Unit!$B$5:$B$1018, MATCH(C2624, Mgt_Unit!$C$5:$C$1018, 0)), "")</f>
        <v>jennifer.moore</v>
      </c>
      <c r="C2624" t="s">
        <v>975</v>
      </c>
      <c r="E2624" s="17" t="s">
        <v>1583</v>
      </c>
      <c r="F2624" s="89">
        <v>43047</v>
      </c>
      <c r="J2624" t="s">
        <v>1396</v>
      </c>
      <c r="K2624" s="120">
        <v>37</v>
      </c>
    </row>
    <row r="2625" spans="2:11" hidden="1" x14ac:dyDescent="0.25">
      <c r="B2625" s="28" t="str">
        <f>IF(ISNUMBER(MATCH(C2625, Mgt_Unit!$C$5:$C$1018, 0)), INDEX(Mgt_Unit!$B$5:$B$1018, MATCH(C2625, Mgt_Unit!$C$5:$C$1018, 0)), "")</f>
        <v>jennifer.moore</v>
      </c>
      <c r="C2625" t="s">
        <v>975</v>
      </c>
      <c r="E2625" s="17" t="s">
        <v>1583</v>
      </c>
      <c r="F2625" s="89">
        <v>43054</v>
      </c>
      <c r="J2625" t="s">
        <v>1436</v>
      </c>
      <c r="K2625" s="120">
        <v>42</v>
      </c>
    </row>
    <row r="2626" spans="2:11" hidden="1" x14ac:dyDescent="0.25">
      <c r="B2626" s="28" t="str">
        <f>IF(ISNUMBER(MATCH(C2626, Mgt_Unit!$C$5:$C$1018, 0)), INDEX(Mgt_Unit!$B$5:$B$1018, MATCH(C2626, Mgt_Unit!$C$5:$C$1018, 0)), "")</f>
        <v>jennifer.moore</v>
      </c>
      <c r="C2626" t="s">
        <v>975</v>
      </c>
      <c r="E2626" s="17" t="s">
        <v>1583</v>
      </c>
      <c r="F2626" s="89">
        <v>43221</v>
      </c>
      <c r="J2626" t="s">
        <v>1445</v>
      </c>
      <c r="K2626" s="120">
        <v>30</v>
      </c>
    </row>
    <row r="2627" spans="2:11" hidden="1" x14ac:dyDescent="0.25">
      <c r="B2627" s="28" t="str">
        <f>IF(ISNUMBER(MATCH(C2627, Mgt_Unit!$C$5:$C$1018, 0)), INDEX(Mgt_Unit!$B$5:$B$1018, MATCH(C2627, Mgt_Unit!$C$5:$C$1018, 0)), "")</f>
        <v>jennifer.moore</v>
      </c>
      <c r="C2627" t="s">
        <v>975</v>
      </c>
      <c r="E2627" s="17" t="s">
        <v>1583</v>
      </c>
      <c r="F2627" s="89">
        <v>43235</v>
      </c>
      <c r="J2627" t="s">
        <v>1355</v>
      </c>
      <c r="K2627" s="120">
        <v>6.3</v>
      </c>
    </row>
    <row r="2628" spans="2:11" hidden="1" x14ac:dyDescent="0.25">
      <c r="B2628" s="28" t="str">
        <f>IF(ISNUMBER(MATCH(C2628, Mgt_Unit!$C$5:$C$1018, 0)), INDEX(Mgt_Unit!$B$5:$B$1018, MATCH(C2628, Mgt_Unit!$C$5:$C$1018, 0)), "")</f>
        <v>jennifer.moore</v>
      </c>
      <c r="C2628" t="s">
        <v>975</v>
      </c>
      <c r="E2628" s="17" t="s">
        <v>1583</v>
      </c>
      <c r="F2628" s="89">
        <v>43374</v>
      </c>
      <c r="J2628" t="s">
        <v>1431</v>
      </c>
      <c r="K2628" s="120">
        <v>0.15</v>
      </c>
    </row>
    <row r="2629" spans="2:11" hidden="1" x14ac:dyDescent="0.25">
      <c r="B2629" s="28" t="str">
        <f>IF(ISNUMBER(MATCH(C2629, Mgt_Unit!$C$5:$C$1018, 0)), INDEX(Mgt_Unit!$B$5:$B$1018, MATCH(C2629, Mgt_Unit!$C$5:$C$1018, 0)), "")</f>
        <v>jennifer.moore</v>
      </c>
      <c r="C2629" t="s">
        <v>975</v>
      </c>
      <c r="E2629" s="17" t="s">
        <v>1583</v>
      </c>
      <c r="F2629" s="89">
        <v>43381</v>
      </c>
      <c r="J2629" t="s">
        <v>1396</v>
      </c>
      <c r="K2629" s="120">
        <v>37</v>
      </c>
    </row>
    <row r="2630" spans="2:11" hidden="1" x14ac:dyDescent="0.25">
      <c r="B2630" s="28" t="str">
        <f>IF(ISNUMBER(MATCH(C2630, Mgt_Unit!$C$5:$C$1018, 0)), INDEX(Mgt_Unit!$B$5:$B$1018, MATCH(C2630, Mgt_Unit!$C$5:$C$1018, 0)), "")</f>
        <v>jennifer.moore</v>
      </c>
      <c r="C2630" t="s">
        <v>975</v>
      </c>
      <c r="E2630" s="17" t="s">
        <v>1583</v>
      </c>
      <c r="F2630" s="89">
        <v>43388</v>
      </c>
      <c r="J2630" t="s">
        <v>1436</v>
      </c>
      <c r="K2630" s="120">
        <v>42</v>
      </c>
    </row>
    <row r="2631" spans="2:11" hidden="1" x14ac:dyDescent="0.25">
      <c r="B2631" s="28" t="str">
        <f>IF(ISNUMBER(MATCH(C2631, Mgt_Unit!$C$5:$C$1018, 0)), INDEX(Mgt_Unit!$B$5:$B$1018, MATCH(C2631, Mgt_Unit!$C$5:$C$1018, 0)), "")</f>
        <v>jennifer.moore</v>
      </c>
      <c r="C2631" t="s">
        <v>976</v>
      </c>
      <c r="E2631" s="17" t="s">
        <v>1583</v>
      </c>
      <c r="F2631" s="89">
        <v>42125</v>
      </c>
      <c r="J2631" t="s">
        <v>1355</v>
      </c>
      <c r="K2631" s="120">
        <v>6.3</v>
      </c>
    </row>
    <row r="2632" spans="2:11" hidden="1" x14ac:dyDescent="0.25">
      <c r="B2632" s="28" t="str">
        <f>IF(ISNUMBER(MATCH(C2632, Mgt_Unit!$C$5:$C$1018, 0)), INDEX(Mgt_Unit!$B$5:$B$1018, MATCH(C2632, Mgt_Unit!$C$5:$C$1018, 0)), "")</f>
        <v>jennifer.moore</v>
      </c>
      <c r="C2632" t="s">
        <v>976</v>
      </c>
      <c r="E2632" s="17" t="s">
        <v>1583</v>
      </c>
      <c r="F2632" s="89">
        <v>42248</v>
      </c>
      <c r="J2632" t="s">
        <v>1431</v>
      </c>
      <c r="K2632" s="120">
        <v>0.15</v>
      </c>
    </row>
    <row r="2633" spans="2:11" hidden="1" x14ac:dyDescent="0.25">
      <c r="B2633" s="28" t="str">
        <f>IF(ISNUMBER(MATCH(C2633, Mgt_Unit!$C$5:$C$1018, 0)), INDEX(Mgt_Unit!$B$5:$B$1018, MATCH(C2633, Mgt_Unit!$C$5:$C$1018, 0)), "")</f>
        <v>jennifer.moore</v>
      </c>
      <c r="C2633" t="s">
        <v>976</v>
      </c>
      <c r="E2633" s="17" t="s">
        <v>1583</v>
      </c>
      <c r="F2633" s="89">
        <v>42491</v>
      </c>
      <c r="J2633" t="s">
        <v>1355</v>
      </c>
      <c r="K2633" s="120">
        <v>6.3</v>
      </c>
    </row>
    <row r="2634" spans="2:11" hidden="1" x14ac:dyDescent="0.25">
      <c r="B2634" s="28" t="str">
        <f>IF(ISNUMBER(MATCH(C2634, Mgt_Unit!$C$5:$C$1018, 0)), INDEX(Mgt_Unit!$B$5:$B$1018, MATCH(C2634, Mgt_Unit!$C$5:$C$1018, 0)), "")</f>
        <v>jennifer.moore</v>
      </c>
      <c r="C2634" t="s">
        <v>976</v>
      </c>
      <c r="E2634" s="17" t="s">
        <v>1583</v>
      </c>
      <c r="F2634" s="89">
        <v>42614</v>
      </c>
      <c r="J2634" t="s">
        <v>1431</v>
      </c>
      <c r="K2634" s="120">
        <v>0.15</v>
      </c>
    </row>
    <row r="2635" spans="2:11" hidden="1" x14ac:dyDescent="0.25">
      <c r="B2635" s="28" t="str">
        <f>IF(ISNUMBER(MATCH(C2635, Mgt_Unit!$C$5:$C$1018, 0)), INDEX(Mgt_Unit!$B$5:$B$1018, MATCH(C2635, Mgt_Unit!$C$5:$C$1018, 0)), "")</f>
        <v>jennifer.moore</v>
      </c>
      <c r="C2635" t="s">
        <v>976</v>
      </c>
      <c r="E2635" s="17" t="s">
        <v>1583</v>
      </c>
      <c r="F2635" s="89">
        <v>42856</v>
      </c>
      <c r="J2635" t="s">
        <v>1353</v>
      </c>
      <c r="K2635" s="120">
        <v>2.4</v>
      </c>
    </row>
    <row r="2636" spans="2:11" hidden="1" x14ac:dyDescent="0.25">
      <c r="B2636" s="28" t="str">
        <f>IF(ISNUMBER(MATCH(C2636, Mgt_Unit!$C$5:$C$1018, 0)), INDEX(Mgt_Unit!$B$5:$B$1018, MATCH(C2636, Mgt_Unit!$C$5:$C$1018, 0)), "")</f>
        <v>jennifer.moore</v>
      </c>
      <c r="C2636" t="s">
        <v>976</v>
      </c>
      <c r="E2636" s="17" t="s">
        <v>1583</v>
      </c>
      <c r="F2636" s="89">
        <v>43040</v>
      </c>
      <c r="J2636" t="s">
        <v>1431</v>
      </c>
      <c r="K2636" s="120">
        <v>0.15</v>
      </c>
    </row>
    <row r="2637" spans="2:11" hidden="1" x14ac:dyDescent="0.25">
      <c r="B2637" s="28" t="str">
        <f>IF(ISNUMBER(MATCH(C2637, Mgt_Unit!$C$5:$C$1018, 0)), INDEX(Mgt_Unit!$B$5:$B$1018, MATCH(C2637, Mgt_Unit!$C$5:$C$1018, 0)), "")</f>
        <v>jennifer.moore</v>
      </c>
      <c r="C2637" t="s">
        <v>976</v>
      </c>
      <c r="E2637" s="17" t="s">
        <v>1583</v>
      </c>
      <c r="F2637" s="89">
        <v>43235</v>
      </c>
      <c r="J2637" t="s">
        <v>1355</v>
      </c>
      <c r="K2637" s="120">
        <v>6.3</v>
      </c>
    </row>
    <row r="2638" spans="2:11" hidden="1" x14ac:dyDescent="0.25">
      <c r="B2638" s="28" t="str">
        <f>IF(ISNUMBER(MATCH(C2638, Mgt_Unit!$C$5:$C$1018, 0)), INDEX(Mgt_Unit!$B$5:$B$1018, MATCH(C2638, Mgt_Unit!$C$5:$C$1018, 0)), "")</f>
        <v>jennifer.moore</v>
      </c>
      <c r="C2638" t="s">
        <v>976</v>
      </c>
      <c r="E2638" s="17" t="s">
        <v>1583</v>
      </c>
      <c r="F2638" s="89">
        <v>43374</v>
      </c>
      <c r="J2638" t="s">
        <v>1431</v>
      </c>
      <c r="K2638" s="120">
        <v>0.15</v>
      </c>
    </row>
    <row r="2639" spans="2:11" hidden="1" x14ac:dyDescent="0.25">
      <c r="B2639" s="28" t="str">
        <f>IF(ISNUMBER(MATCH(C2639, Mgt_Unit!$C$5:$C$1018, 0)), INDEX(Mgt_Unit!$B$5:$B$1018, MATCH(C2639, Mgt_Unit!$C$5:$C$1018, 0)), "")</f>
        <v>jennifer.moore</v>
      </c>
      <c r="C2639" t="s">
        <v>977</v>
      </c>
      <c r="E2639" s="17" t="s">
        <v>1583</v>
      </c>
      <c r="F2639" s="89">
        <v>42125</v>
      </c>
      <c r="J2639" t="s">
        <v>1355</v>
      </c>
      <c r="K2639" s="120">
        <v>6.3</v>
      </c>
    </row>
    <row r="2640" spans="2:11" hidden="1" x14ac:dyDescent="0.25">
      <c r="B2640" s="28" t="str">
        <f>IF(ISNUMBER(MATCH(C2640, Mgt_Unit!$C$5:$C$1018, 0)), INDEX(Mgt_Unit!$B$5:$B$1018, MATCH(C2640, Mgt_Unit!$C$5:$C$1018, 0)), "")</f>
        <v>jennifer.moore</v>
      </c>
      <c r="C2640" t="s">
        <v>977</v>
      </c>
      <c r="E2640" s="17" t="s">
        <v>1583</v>
      </c>
      <c r="F2640" s="89">
        <v>42248</v>
      </c>
      <c r="J2640" t="s">
        <v>1431</v>
      </c>
      <c r="K2640" s="120">
        <v>0.15</v>
      </c>
    </row>
    <row r="2641" spans="2:11" hidden="1" x14ac:dyDescent="0.25">
      <c r="B2641" s="28" t="str">
        <f>IF(ISNUMBER(MATCH(C2641, Mgt_Unit!$C$5:$C$1018, 0)), INDEX(Mgt_Unit!$B$5:$B$1018, MATCH(C2641, Mgt_Unit!$C$5:$C$1018, 0)), "")</f>
        <v>jennifer.moore</v>
      </c>
      <c r="C2641" t="s">
        <v>977</v>
      </c>
      <c r="E2641" s="17" t="s">
        <v>1583</v>
      </c>
      <c r="F2641" s="89">
        <v>42491</v>
      </c>
      <c r="J2641" t="s">
        <v>1355</v>
      </c>
      <c r="K2641" s="120">
        <v>6.3</v>
      </c>
    </row>
    <row r="2642" spans="2:11" hidden="1" x14ac:dyDescent="0.25">
      <c r="B2642" s="28" t="str">
        <f>IF(ISNUMBER(MATCH(C2642, Mgt_Unit!$C$5:$C$1018, 0)), INDEX(Mgt_Unit!$B$5:$B$1018, MATCH(C2642, Mgt_Unit!$C$5:$C$1018, 0)), "")</f>
        <v>jennifer.moore</v>
      </c>
      <c r="C2642" t="s">
        <v>977</v>
      </c>
      <c r="E2642" s="17" t="s">
        <v>1583</v>
      </c>
      <c r="F2642" s="89">
        <v>42614</v>
      </c>
      <c r="J2642" t="s">
        <v>1431</v>
      </c>
      <c r="K2642" s="120">
        <v>0.15</v>
      </c>
    </row>
    <row r="2643" spans="2:11" hidden="1" x14ac:dyDescent="0.25">
      <c r="B2643" s="28" t="str">
        <f>IF(ISNUMBER(MATCH(C2643, Mgt_Unit!$C$5:$C$1018, 0)), INDEX(Mgt_Unit!$B$5:$B$1018, MATCH(C2643, Mgt_Unit!$C$5:$C$1018, 0)), "")</f>
        <v>jennifer.moore</v>
      </c>
      <c r="C2643" t="s">
        <v>977</v>
      </c>
      <c r="E2643" s="17" t="s">
        <v>1583</v>
      </c>
      <c r="F2643" s="89">
        <v>42628</v>
      </c>
      <c r="J2643" t="s">
        <v>1396</v>
      </c>
      <c r="K2643" s="120">
        <v>37</v>
      </c>
    </row>
    <row r="2644" spans="2:11" hidden="1" x14ac:dyDescent="0.25">
      <c r="B2644" s="28" t="str">
        <f>IF(ISNUMBER(MATCH(C2644, Mgt_Unit!$C$5:$C$1018, 0)), INDEX(Mgt_Unit!$B$5:$B$1018, MATCH(C2644, Mgt_Unit!$C$5:$C$1018, 0)), "")</f>
        <v>jennifer.moore</v>
      </c>
      <c r="C2644" t="s">
        <v>977</v>
      </c>
      <c r="E2644" s="17" t="s">
        <v>1583</v>
      </c>
      <c r="F2644" s="89">
        <v>42644</v>
      </c>
      <c r="J2644" t="s">
        <v>1436</v>
      </c>
      <c r="K2644" s="120">
        <v>42</v>
      </c>
    </row>
    <row r="2645" spans="2:11" hidden="1" x14ac:dyDescent="0.25">
      <c r="B2645" s="28" t="str">
        <f>IF(ISNUMBER(MATCH(C2645, Mgt_Unit!$C$5:$C$1018, 0)), INDEX(Mgt_Unit!$B$5:$B$1018, MATCH(C2645, Mgt_Unit!$C$5:$C$1018, 0)), "")</f>
        <v>jennifer.moore</v>
      </c>
      <c r="C2645" t="s">
        <v>977</v>
      </c>
      <c r="E2645" s="17" t="s">
        <v>1583</v>
      </c>
      <c r="F2645" s="89">
        <v>42840</v>
      </c>
      <c r="J2645" t="s">
        <v>1445</v>
      </c>
      <c r="K2645" s="120">
        <v>30</v>
      </c>
    </row>
    <row r="2646" spans="2:11" hidden="1" x14ac:dyDescent="0.25">
      <c r="B2646" s="28" t="str">
        <f>IF(ISNUMBER(MATCH(C2646, Mgt_Unit!$C$5:$C$1018, 0)), INDEX(Mgt_Unit!$B$5:$B$1018, MATCH(C2646, Mgt_Unit!$C$5:$C$1018, 0)), "")</f>
        <v>jennifer.moore</v>
      </c>
      <c r="C2646" t="s">
        <v>977</v>
      </c>
      <c r="E2646" s="17" t="s">
        <v>1583</v>
      </c>
      <c r="F2646" s="89">
        <v>42856</v>
      </c>
      <c r="J2646" t="s">
        <v>1353</v>
      </c>
      <c r="K2646" s="120">
        <v>2.4</v>
      </c>
    </row>
    <row r="2647" spans="2:11" hidden="1" x14ac:dyDescent="0.25">
      <c r="B2647" s="28" t="str">
        <f>IF(ISNUMBER(MATCH(C2647, Mgt_Unit!$C$5:$C$1018, 0)), INDEX(Mgt_Unit!$B$5:$B$1018, MATCH(C2647, Mgt_Unit!$C$5:$C$1018, 0)), "")</f>
        <v>jennifer.moore</v>
      </c>
      <c r="C2647" t="s">
        <v>977</v>
      </c>
      <c r="E2647" s="17" t="s">
        <v>1583</v>
      </c>
      <c r="F2647" s="89">
        <v>43040</v>
      </c>
      <c r="J2647" t="s">
        <v>1431</v>
      </c>
      <c r="K2647" s="120">
        <v>0.15</v>
      </c>
    </row>
    <row r="2648" spans="2:11" hidden="1" x14ac:dyDescent="0.25">
      <c r="B2648" s="28" t="str">
        <f>IF(ISNUMBER(MATCH(C2648, Mgt_Unit!$C$5:$C$1018, 0)), INDEX(Mgt_Unit!$B$5:$B$1018, MATCH(C2648, Mgt_Unit!$C$5:$C$1018, 0)), "")</f>
        <v>jennifer.moore</v>
      </c>
      <c r="C2648" t="s">
        <v>977</v>
      </c>
      <c r="E2648" s="17" t="s">
        <v>1583</v>
      </c>
      <c r="F2648" s="89">
        <v>43235</v>
      </c>
      <c r="J2648" t="s">
        <v>1355</v>
      </c>
      <c r="K2648" s="120">
        <v>6.3</v>
      </c>
    </row>
    <row r="2649" spans="2:11" hidden="1" x14ac:dyDescent="0.25">
      <c r="B2649" s="28" t="str">
        <f>IF(ISNUMBER(MATCH(C2649, Mgt_Unit!$C$5:$C$1018, 0)), INDEX(Mgt_Unit!$B$5:$B$1018, MATCH(C2649, Mgt_Unit!$C$5:$C$1018, 0)), "")</f>
        <v>jennifer.moore</v>
      </c>
      <c r="C2649" t="s">
        <v>977</v>
      </c>
      <c r="E2649" s="17" t="s">
        <v>1583</v>
      </c>
      <c r="F2649" s="89">
        <v>43374</v>
      </c>
      <c r="J2649" t="s">
        <v>1431</v>
      </c>
      <c r="K2649" s="120">
        <v>0.15</v>
      </c>
    </row>
    <row r="2650" spans="2:11" hidden="1" x14ac:dyDescent="0.25">
      <c r="B2650" s="28" t="str">
        <f>IF(ISNUMBER(MATCH(C2650, Mgt_Unit!$C$5:$C$1018, 0)), INDEX(Mgt_Unit!$B$5:$B$1018, MATCH(C2650, Mgt_Unit!$C$5:$C$1018, 0)), "")</f>
        <v>jennifer.moore</v>
      </c>
      <c r="C2650" t="s">
        <v>978</v>
      </c>
      <c r="E2650" s="17" t="s">
        <v>1583</v>
      </c>
      <c r="F2650" s="89">
        <v>42109</v>
      </c>
      <c r="J2650" t="s">
        <v>1445</v>
      </c>
      <c r="K2650" s="120">
        <v>30</v>
      </c>
    </row>
    <row r="2651" spans="2:11" hidden="1" x14ac:dyDescent="0.25">
      <c r="B2651" s="28" t="str">
        <f>IF(ISNUMBER(MATCH(C2651, Mgt_Unit!$C$5:$C$1018, 0)), INDEX(Mgt_Unit!$B$5:$B$1018, MATCH(C2651, Mgt_Unit!$C$5:$C$1018, 0)), "")</f>
        <v>jennifer.moore</v>
      </c>
      <c r="C2651" t="s">
        <v>978</v>
      </c>
      <c r="E2651" s="17" t="s">
        <v>1583</v>
      </c>
      <c r="F2651" s="89">
        <v>42125</v>
      </c>
      <c r="J2651" t="s">
        <v>1355</v>
      </c>
      <c r="K2651" s="120">
        <v>6.3</v>
      </c>
    </row>
    <row r="2652" spans="2:11" hidden="1" x14ac:dyDescent="0.25">
      <c r="B2652" s="28" t="str">
        <f>IF(ISNUMBER(MATCH(C2652, Mgt_Unit!$C$5:$C$1018, 0)), INDEX(Mgt_Unit!$B$5:$B$1018, MATCH(C2652, Mgt_Unit!$C$5:$C$1018, 0)), "")</f>
        <v>jennifer.moore</v>
      </c>
      <c r="C2652" t="s">
        <v>978</v>
      </c>
      <c r="E2652" s="17" t="s">
        <v>1583</v>
      </c>
      <c r="F2652" s="89">
        <v>42248</v>
      </c>
      <c r="J2652" t="s">
        <v>1431</v>
      </c>
      <c r="K2652" s="120">
        <v>0.15</v>
      </c>
    </row>
    <row r="2653" spans="2:11" hidden="1" x14ac:dyDescent="0.25">
      <c r="B2653" s="28" t="str">
        <f>IF(ISNUMBER(MATCH(C2653, Mgt_Unit!$C$5:$C$1018, 0)), INDEX(Mgt_Unit!$B$5:$B$1018, MATCH(C2653, Mgt_Unit!$C$5:$C$1018, 0)), "")</f>
        <v>jennifer.moore</v>
      </c>
      <c r="C2653" t="s">
        <v>978</v>
      </c>
      <c r="E2653" s="17" t="s">
        <v>1583</v>
      </c>
      <c r="F2653" s="89">
        <v>42262</v>
      </c>
      <c r="J2653" t="s">
        <v>1396</v>
      </c>
      <c r="K2653" s="120">
        <v>37</v>
      </c>
    </row>
    <row r="2654" spans="2:11" hidden="1" x14ac:dyDescent="0.25">
      <c r="B2654" s="28" t="str">
        <f>IF(ISNUMBER(MATCH(C2654, Mgt_Unit!$C$5:$C$1018, 0)), INDEX(Mgt_Unit!$B$5:$B$1018, MATCH(C2654, Mgt_Unit!$C$5:$C$1018, 0)), "")</f>
        <v>jennifer.moore</v>
      </c>
      <c r="C2654" t="s">
        <v>978</v>
      </c>
      <c r="E2654" s="17" t="s">
        <v>1583</v>
      </c>
      <c r="F2654" s="89">
        <v>42278</v>
      </c>
      <c r="J2654" t="s">
        <v>1436</v>
      </c>
      <c r="K2654" s="120">
        <v>42</v>
      </c>
    </row>
    <row r="2655" spans="2:11" hidden="1" x14ac:dyDescent="0.25">
      <c r="B2655" s="28" t="str">
        <f>IF(ISNUMBER(MATCH(C2655, Mgt_Unit!$C$5:$C$1018, 0)), INDEX(Mgt_Unit!$B$5:$B$1018, MATCH(C2655, Mgt_Unit!$C$5:$C$1018, 0)), "")</f>
        <v>jennifer.moore</v>
      </c>
      <c r="C2655" t="s">
        <v>978</v>
      </c>
      <c r="E2655" s="17" t="s">
        <v>1583</v>
      </c>
      <c r="F2655" s="89">
        <v>42475</v>
      </c>
      <c r="J2655" t="s">
        <v>1445</v>
      </c>
      <c r="K2655" s="120">
        <v>30</v>
      </c>
    </row>
    <row r="2656" spans="2:11" hidden="1" x14ac:dyDescent="0.25">
      <c r="B2656" s="28" t="str">
        <f>IF(ISNUMBER(MATCH(C2656, Mgt_Unit!$C$5:$C$1018, 0)), INDEX(Mgt_Unit!$B$5:$B$1018, MATCH(C2656, Mgt_Unit!$C$5:$C$1018, 0)), "")</f>
        <v>jennifer.moore</v>
      </c>
      <c r="C2656" t="s">
        <v>978</v>
      </c>
      <c r="E2656" s="17" t="s">
        <v>1583</v>
      </c>
      <c r="F2656" s="89">
        <v>42491</v>
      </c>
      <c r="J2656" t="s">
        <v>1355</v>
      </c>
      <c r="K2656" s="120">
        <v>6.3</v>
      </c>
    </row>
    <row r="2657" spans="2:11" hidden="1" x14ac:dyDescent="0.25">
      <c r="B2657" s="28" t="str">
        <f>IF(ISNUMBER(MATCH(C2657, Mgt_Unit!$C$5:$C$1018, 0)), INDEX(Mgt_Unit!$B$5:$B$1018, MATCH(C2657, Mgt_Unit!$C$5:$C$1018, 0)), "")</f>
        <v>jennifer.moore</v>
      </c>
      <c r="C2657" t="s">
        <v>978</v>
      </c>
      <c r="E2657" s="17" t="s">
        <v>1583</v>
      </c>
      <c r="F2657" s="89">
        <v>42614</v>
      </c>
      <c r="J2657" t="s">
        <v>1431</v>
      </c>
      <c r="K2657" s="120">
        <v>0.15</v>
      </c>
    </row>
    <row r="2658" spans="2:11" hidden="1" x14ac:dyDescent="0.25">
      <c r="B2658" s="28" t="str">
        <f>IF(ISNUMBER(MATCH(C2658, Mgt_Unit!$C$5:$C$1018, 0)), INDEX(Mgt_Unit!$B$5:$B$1018, MATCH(C2658, Mgt_Unit!$C$5:$C$1018, 0)), "")</f>
        <v>jennifer.moore</v>
      </c>
      <c r="C2658" t="s">
        <v>978</v>
      </c>
      <c r="E2658" s="17" t="s">
        <v>1583</v>
      </c>
      <c r="F2658" s="89">
        <v>42628</v>
      </c>
      <c r="J2658" t="s">
        <v>1396</v>
      </c>
      <c r="K2658" s="120">
        <v>37</v>
      </c>
    </row>
    <row r="2659" spans="2:11" hidden="1" x14ac:dyDescent="0.25">
      <c r="B2659" s="28" t="str">
        <f>IF(ISNUMBER(MATCH(C2659, Mgt_Unit!$C$5:$C$1018, 0)), INDEX(Mgt_Unit!$B$5:$B$1018, MATCH(C2659, Mgt_Unit!$C$5:$C$1018, 0)), "")</f>
        <v>jennifer.moore</v>
      </c>
      <c r="C2659" t="s">
        <v>978</v>
      </c>
      <c r="E2659" s="17" t="s">
        <v>1583</v>
      </c>
      <c r="F2659" s="89">
        <v>42644</v>
      </c>
      <c r="J2659" t="s">
        <v>1436</v>
      </c>
      <c r="K2659" s="120">
        <v>42</v>
      </c>
    </row>
    <row r="2660" spans="2:11" hidden="1" x14ac:dyDescent="0.25">
      <c r="B2660" s="28" t="str">
        <f>IF(ISNUMBER(MATCH(C2660, Mgt_Unit!$C$5:$C$1018, 0)), INDEX(Mgt_Unit!$B$5:$B$1018, MATCH(C2660, Mgt_Unit!$C$5:$C$1018, 0)), "")</f>
        <v>jennifer.moore</v>
      </c>
      <c r="C2660" t="s">
        <v>978</v>
      </c>
      <c r="E2660" s="17" t="s">
        <v>1583</v>
      </c>
      <c r="F2660" s="89">
        <v>42840</v>
      </c>
      <c r="J2660" t="s">
        <v>1445</v>
      </c>
      <c r="K2660" s="120">
        <v>30</v>
      </c>
    </row>
    <row r="2661" spans="2:11" hidden="1" x14ac:dyDescent="0.25">
      <c r="B2661" s="28" t="str">
        <f>IF(ISNUMBER(MATCH(C2661, Mgt_Unit!$C$5:$C$1018, 0)), INDEX(Mgt_Unit!$B$5:$B$1018, MATCH(C2661, Mgt_Unit!$C$5:$C$1018, 0)), "")</f>
        <v>jennifer.moore</v>
      </c>
      <c r="C2661" t="s">
        <v>978</v>
      </c>
      <c r="E2661" s="17" t="s">
        <v>1583</v>
      </c>
      <c r="F2661" s="89">
        <v>42856</v>
      </c>
      <c r="J2661" t="s">
        <v>1353</v>
      </c>
      <c r="K2661" s="120">
        <v>2.4</v>
      </c>
    </row>
    <row r="2662" spans="2:11" hidden="1" x14ac:dyDescent="0.25">
      <c r="B2662" s="28" t="str">
        <f>IF(ISNUMBER(MATCH(C2662, Mgt_Unit!$C$5:$C$1018, 0)), INDEX(Mgt_Unit!$B$5:$B$1018, MATCH(C2662, Mgt_Unit!$C$5:$C$1018, 0)), "")</f>
        <v>jennifer.moore</v>
      </c>
      <c r="C2662" t="s">
        <v>978</v>
      </c>
      <c r="E2662" s="17" t="s">
        <v>1583</v>
      </c>
      <c r="F2662" s="89">
        <v>43040</v>
      </c>
      <c r="J2662" t="s">
        <v>1431</v>
      </c>
      <c r="K2662" s="120">
        <v>0.15</v>
      </c>
    </row>
    <row r="2663" spans="2:11" hidden="1" x14ac:dyDescent="0.25">
      <c r="B2663" s="28" t="str">
        <f>IF(ISNUMBER(MATCH(C2663, Mgt_Unit!$C$5:$C$1018, 0)), INDEX(Mgt_Unit!$B$5:$B$1018, MATCH(C2663, Mgt_Unit!$C$5:$C$1018, 0)), "")</f>
        <v>jennifer.moore</v>
      </c>
      <c r="C2663" t="s">
        <v>978</v>
      </c>
      <c r="E2663" s="17" t="s">
        <v>1583</v>
      </c>
      <c r="F2663" s="89">
        <v>43047</v>
      </c>
      <c r="J2663" t="s">
        <v>1396</v>
      </c>
      <c r="K2663" s="120">
        <v>37</v>
      </c>
    </row>
    <row r="2664" spans="2:11" hidden="1" x14ac:dyDescent="0.25">
      <c r="B2664" s="28" t="str">
        <f>IF(ISNUMBER(MATCH(C2664, Mgt_Unit!$C$5:$C$1018, 0)), INDEX(Mgt_Unit!$B$5:$B$1018, MATCH(C2664, Mgt_Unit!$C$5:$C$1018, 0)), "")</f>
        <v>jennifer.moore</v>
      </c>
      <c r="C2664" t="s">
        <v>978</v>
      </c>
      <c r="E2664" s="17" t="s">
        <v>1583</v>
      </c>
      <c r="F2664" s="89">
        <v>43054</v>
      </c>
      <c r="J2664" t="s">
        <v>1436</v>
      </c>
      <c r="K2664" s="120">
        <v>42</v>
      </c>
    </row>
    <row r="2665" spans="2:11" hidden="1" x14ac:dyDescent="0.25">
      <c r="B2665" s="28" t="str">
        <f>IF(ISNUMBER(MATCH(C2665, Mgt_Unit!$C$5:$C$1018, 0)), INDEX(Mgt_Unit!$B$5:$B$1018, MATCH(C2665, Mgt_Unit!$C$5:$C$1018, 0)), "")</f>
        <v>jennifer.moore</v>
      </c>
      <c r="C2665" t="s">
        <v>978</v>
      </c>
      <c r="E2665" s="17" t="s">
        <v>1583</v>
      </c>
      <c r="F2665" s="89">
        <v>43221</v>
      </c>
      <c r="J2665" t="s">
        <v>1445</v>
      </c>
      <c r="K2665" s="120">
        <v>30</v>
      </c>
    </row>
    <row r="2666" spans="2:11" hidden="1" x14ac:dyDescent="0.25">
      <c r="B2666" s="28" t="str">
        <f>IF(ISNUMBER(MATCH(C2666, Mgt_Unit!$C$5:$C$1018, 0)), INDEX(Mgt_Unit!$B$5:$B$1018, MATCH(C2666, Mgt_Unit!$C$5:$C$1018, 0)), "")</f>
        <v>jennifer.moore</v>
      </c>
      <c r="C2666" t="s">
        <v>978</v>
      </c>
      <c r="E2666" s="17" t="s">
        <v>1583</v>
      </c>
      <c r="F2666" s="89">
        <v>43235</v>
      </c>
      <c r="J2666" t="s">
        <v>1355</v>
      </c>
      <c r="K2666" s="120">
        <v>6.3</v>
      </c>
    </row>
    <row r="2667" spans="2:11" hidden="1" x14ac:dyDescent="0.25">
      <c r="B2667" s="28" t="str">
        <f>IF(ISNUMBER(MATCH(C2667, Mgt_Unit!$C$5:$C$1018, 0)), INDEX(Mgt_Unit!$B$5:$B$1018, MATCH(C2667, Mgt_Unit!$C$5:$C$1018, 0)), "")</f>
        <v>jennifer.moore</v>
      </c>
      <c r="C2667" t="s">
        <v>978</v>
      </c>
      <c r="E2667" s="17" t="s">
        <v>1583</v>
      </c>
      <c r="F2667" s="89">
        <v>43374</v>
      </c>
      <c r="J2667" t="s">
        <v>1431</v>
      </c>
      <c r="K2667" s="120">
        <v>0.15</v>
      </c>
    </row>
    <row r="2668" spans="2:11" hidden="1" x14ac:dyDescent="0.25">
      <c r="B2668" s="28" t="str">
        <f>IF(ISNUMBER(MATCH(C2668, Mgt_Unit!$C$5:$C$1018, 0)), INDEX(Mgt_Unit!$B$5:$B$1018, MATCH(C2668, Mgt_Unit!$C$5:$C$1018, 0)), "")</f>
        <v>jennifer.moore</v>
      </c>
      <c r="C2668" t="s">
        <v>978</v>
      </c>
      <c r="E2668" s="17" t="s">
        <v>1583</v>
      </c>
      <c r="F2668" s="89">
        <v>43381</v>
      </c>
      <c r="J2668" t="s">
        <v>1396</v>
      </c>
      <c r="K2668" s="120">
        <v>37</v>
      </c>
    </row>
    <row r="2669" spans="2:11" hidden="1" x14ac:dyDescent="0.25">
      <c r="B2669" s="28" t="str">
        <f>IF(ISNUMBER(MATCH(C2669, Mgt_Unit!$C$5:$C$1018, 0)), INDEX(Mgt_Unit!$B$5:$B$1018, MATCH(C2669, Mgt_Unit!$C$5:$C$1018, 0)), "")</f>
        <v>jennifer.moore</v>
      </c>
      <c r="C2669" t="s">
        <v>978</v>
      </c>
      <c r="E2669" s="17" t="s">
        <v>1583</v>
      </c>
      <c r="F2669" s="89">
        <v>43388</v>
      </c>
      <c r="J2669" t="s">
        <v>1436</v>
      </c>
      <c r="K2669" s="120">
        <v>42</v>
      </c>
    </row>
    <row r="2670" spans="2:11" hidden="1" x14ac:dyDescent="0.25">
      <c r="B2670" s="28" t="str">
        <f>IF(ISNUMBER(MATCH(C2670, Mgt_Unit!$C$5:$C$1018, 0)), INDEX(Mgt_Unit!$B$5:$B$1018, MATCH(C2670, Mgt_Unit!$C$5:$C$1018, 0)), "")</f>
        <v>jennifer.moore</v>
      </c>
      <c r="C2670" t="s">
        <v>979</v>
      </c>
      <c r="E2670" s="17" t="s">
        <v>1583</v>
      </c>
      <c r="F2670" s="89">
        <v>42125</v>
      </c>
      <c r="J2670" t="s">
        <v>1355</v>
      </c>
      <c r="K2670" s="120">
        <v>6.3</v>
      </c>
    </row>
    <row r="2671" spans="2:11" hidden="1" x14ac:dyDescent="0.25">
      <c r="B2671" s="28" t="str">
        <f>IF(ISNUMBER(MATCH(C2671, Mgt_Unit!$C$5:$C$1018, 0)), INDEX(Mgt_Unit!$B$5:$B$1018, MATCH(C2671, Mgt_Unit!$C$5:$C$1018, 0)), "")</f>
        <v>jennifer.moore</v>
      </c>
      <c r="C2671" t="s">
        <v>979</v>
      </c>
      <c r="E2671" s="17" t="s">
        <v>1583</v>
      </c>
      <c r="F2671" s="89">
        <v>42248</v>
      </c>
      <c r="J2671" t="s">
        <v>1431</v>
      </c>
      <c r="K2671" s="120">
        <v>0.15</v>
      </c>
    </row>
    <row r="2672" spans="2:11" hidden="1" x14ac:dyDescent="0.25">
      <c r="B2672" s="28" t="str">
        <f>IF(ISNUMBER(MATCH(C2672, Mgt_Unit!$C$5:$C$1018, 0)), INDEX(Mgt_Unit!$B$5:$B$1018, MATCH(C2672, Mgt_Unit!$C$5:$C$1018, 0)), "")</f>
        <v>jennifer.moore</v>
      </c>
      <c r="C2672" t="s">
        <v>979</v>
      </c>
      <c r="E2672" s="17" t="s">
        <v>1583</v>
      </c>
      <c r="F2672" s="89">
        <v>42491</v>
      </c>
      <c r="J2672" t="s">
        <v>1355</v>
      </c>
      <c r="K2672" s="120">
        <v>6.3</v>
      </c>
    </row>
    <row r="2673" spans="2:11" hidden="1" x14ac:dyDescent="0.25">
      <c r="B2673" s="28" t="str">
        <f>IF(ISNUMBER(MATCH(C2673, Mgt_Unit!$C$5:$C$1018, 0)), INDEX(Mgt_Unit!$B$5:$B$1018, MATCH(C2673, Mgt_Unit!$C$5:$C$1018, 0)), "")</f>
        <v>jennifer.moore</v>
      </c>
      <c r="C2673" t="s">
        <v>979</v>
      </c>
      <c r="E2673" s="17" t="s">
        <v>1583</v>
      </c>
      <c r="F2673" s="89">
        <v>42614</v>
      </c>
      <c r="J2673" t="s">
        <v>1431</v>
      </c>
      <c r="K2673" s="120">
        <v>0.15</v>
      </c>
    </row>
    <row r="2674" spans="2:11" hidden="1" x14ac:dyDescent="0.25">
      <c r="B2674" s="28" t="str">
        <f>IF(ISNUMBER(MATCH(C2674, Mgt_Unit!$C$5:$C$1018, 0)), INDEX(Mgt_Unit!$B$5:$B$1018, MATCH(C2674, Mgt_Unit!$C$5:$C$1018, 0)), "")</f>
        <v>jennifer.moore</v>
      </c>
      <c r="C2674" t="s">
        <v>979</v>
      </c>
      <c r="E2674" s="17" t="s">
        <v>1583</v>
      </c>
      <c r="F2674" s="89">
        <v>42856</v>
      </c>
      <c r="J2674" t="s">
        <v>1353</v>
      </c>
      <c r="K2674" s="120">
        <v>2.4</v>
      </c>
    </row>
    <row r="2675" spans="2:11" hidden="1" x14ac:dyDescent="0.25">
      <c r="B2675" s="28" t="str">
        <f>IF(ISNUMBER(MATCH(C2675, Mgt_Unit!$C$5:$C$1018, 0)), INDEX(Mgt_Unit!$B$5:$B$1018, MATCH(C2675, Mgt_Unit!$C$5:$C$1018, 0)), "")</f>
        <v>jennifer.moore</v>
      </c>
      <c r="C2675" t="s">
        <v>979</v>
      </c>
      <c r="E2675" s="17" t="s">
        <v>1583</v>
      </c>
      <c r="F2675" s="89">
        <v>43040</v>
      </c>
      <c r="J2675" t="s">
        <v>1431</v>
      </c>
      <c r="K2675" s="120">
        <v>0.15</v>
      </c>
    </row>
    <row r="2676" spans="2:11" hidden="1" x14ac:dyDescent="0.25">
      <c r="B2676" s="28" t="str">
        <f>IF(ISNUMBER(MATCH(C2676, Mgt_Unit!$C$5:$C$1018, 0)), INDEX(Mgt_Unit!$B$5:$B$1018, MATCH(C2676, Mgt_Unit!$C$5:$C$1018, 0)), "")</f>
        <v>jennifer.moore</v>
      </c>
      <c r="C2676" t="s">
        <v>979</v>
      </c>
      <c r="E2676" s="17" t="s">
        <v>1583</v>
      </c>
      <c r="F2676" s="89">
        <v>43235</v>
      </c>
      <c r="J2676" t="s">
        <v>1355</v>
      </c>
      <c r="K2676" s="120">
        <v>6.3</v>
      </c>
    </row>
    <row r="2677" spans="2:11" hidden="1" x14ac:dyDescent="0.25">
      <c r="B2677" s="28" t="str">
        <f>IF(ISNUMBER(MATCH(C2677, Mgt_Unit!$C$5:$C$1018, 0)), INDEX(Mgt_Unit!$B$5:$B$1018, MATCH(C2677, Mgt_Unit!$C$5:$C$1018, 0)), "")</f>
        <v>jennifer.moore</v>
      </c>
      <c r="C2677" t="s">
        <v>979</v>
      </c>
      <c r="E2677" s="17" t="s">
        <v>1583</v>
      </c>
      <c r="F2677" s="89">
        <v>43374</v>
      </c>
      <c r="J2677" t="s">
        <v>1431</v>
      </c>
      <c r="K2677" s="120">
        <v>0.15</v>
      </c>
    </row>
    <row r="2678" spans="2:11" hidden="1" x14ac:dyDescent="0.25">
      <c r="B2678" s="28" t="str">
        <f>IF(ISNUMBER(MATCH(C2678, Mgt_Unit!$C$5:$C$1018, 0)), INDEX(Mgt_Unit!$B$5:$B$1018, MATCH(C2678, Mgt_Unit!$C$5:$C$1018, 0)), "")</f>
        <v>jennifer.moore</v>
      </c>
      <c r="C2678" t="s">
        <v>980</v>
      </c>
      <c r="E2678" s="17" t="s">
        <v>1583</v>
      </c>
      <c r="F2678" s="89">
        <v>42125</v>
      </c>
      <c r="J2678" t="s">
        <v>1355</v>
      </c>
      <c r="K2678" s="120">
        <v>6.3</v>
      </c>
    </row>
    <row r="2679" spans="2:11" hidden="1" x14ac:dyDescent="0.25">
      <c r="B2679" s="28" t="str">
        <f>IF(ISNUMBER(MATCH(C2679, Mgt_Unit!$C$5:$C$1018, 0)), INDEX(Mgt_Unit!$B$5:$B$1018, MATCH(C2679, Mgt_Unit!$C$5:$C$1018, 0)), "")</f>
        <v>jennifer.moore</v>
      </c>
      <c r="C2679" t="s">
        <v>980</v>
      </c>
      <c r="E2679" s="17" t="s">
        <v>1583</v>
      </c>
      <c r="F2679" s="89">
        <v>42248</v>
      </c>
      <c r="J2679" t="s">
        <v>1431</v>
      </c>
      <c r="K2679" s="120">
        <v>0.15</v>
      </c>
    </row>
    <row r="2680" spans="2:11" hidden="1" x14ac:dyDescent="0.25">
      <c r="B2680" s="28" t="str">
        <f>IF(ISNUMBER(MATCH(C2680, Mgt_Unit!$C$5:$C$1018, 0)), INDEX(Mgt_Unit!$B$5:$B$1018, MATCH(C2680, Mgt_Unit!$C$5:$C$1018, 0)), "")</f>
        <v>jennifer.moore</v>
      </c>
      <c r="C2680" t="s">
        <v>980</v>
      </c>
      <c r="E2680" s="17" t="s">
        <v>1583</v>
      </c>
      <c r="F2680" s="89">
        <v>42491</v>
      </c>
      <c r="J2680" t="s">
        <v>1355</v>
      </c>
      <c r="K2680" s="120">
        <v>6.3</v>
      </c>
    </row>
    <row r="2681" spans="2:11" hidden="1" x14ac:dyDescent="0.25">
      <c r="B2681" s="28" t="str">
        <f>IF(ISNUMBER(MATCH(C2681, Mgt_Unit!$C$5:$C$1018, 0)), INDEX(Mgt_Unit!$B$5:$B$1018, MATCH(C2681, Mgt_Unit!$C$5:$C$1018, 0)), "")</f>
        <v>jennifer.moore</v>
      </c>
      <c r="C2681" t="s">
        <v>980</v>
      </c>
      <c r="E2681" s="17" t="s">
        <v>1583</v>
      </c>
      <c r="F2681" s="89">
        <v>42614</v>
      </c>
      <c r="J2681" t="s">
        <v>1431</v>
      </c>
      <c r="K2681" s="120">
        <v>0.15</v>
      </c>
    </row>
    <row r="2682" spans="2:11" hidden="1" x14ac:dyDescent="0.25">
      <c r="B2682" s="28" t="str">
        <f>IF(ISNUMBER(MATCH(C2682, Mgt_Unit!$C$5:$C$1018, 0)), INDEX(Mgt_Unit!$B$5:$B$1018, MATCH(C2682, Mgt_Unit!$C$5:$C$1018, 0)), "")</f>
        <v>jennifer.moore</v>
      </c>
      <c r="C2682" t="s">
        <v>980</v>
      </c>
      <c r="E2682" s="17" t="s">
        <v>1583</v>
      </c>
      <c r="F2682" s="89">
        <v>42628</v>
      </c>
      <c r="J2682" t="s">
        <v>1396</v>
      </c>
      <c r="K2682" s="120">
        <v>37</v>
      </c>
    </row>
    <row r="2683" spans="2:11" hidden="1" x14ac:dyDescent="0.25">
      <c r="B2683" s="28" t="str">
        <f>IF(ISNUMBER(MATCH(C2683, Mgt_Unit!$C$5:$C$1018, 0)), INDEX(Mgt_Unit!$B$5:$B$1018, MATCH(C2683, Mgt_Unit!$C$5:$C$1018, 0)), "")</f>
        <v>jennifer.moore</v>
      </c>
      <c r="C2683" t="s">
        <v>980</v>
      </c>
      <c r="E2683" s="17" t="s">
        <v>1583</v>
      </c>
      <c r="F2683" s="89">
        <v>42644</v>
      </c>
      <c r="J2683" t="s">
        <v>1436</v>
      </c>
      <c r="K2683" s="120">
        <v>42</v>
      </c>
    </row>
    <row r="2684" spans="2:11" hidden="1" x14ac:dyDescent="0.25">
      <c r="B2684" s="28" t="str">
        <f>IF(ISNUMBER(MATCH(C2684, Mgt_Unit!$C$5:$C$1018, 0)), INDEX(Mgt_Unit!$B$5:$B$1018, MATCH(C2684, Mgt_Unit!$C$5:$C$1018, 0)), "")</f>
        <v>jennifer.moore</v>
      </c>
      <c r="C2684" t="s">
        <v>980</v>
      </c>
      <c r="E2684" s="17" t="s">
        <v>1583</v>
      </c>
      <c r="F2684" s="89">
        <v>42840</v>
      </c>
      <c r="J2684" t="s">
        <v>1445</v>
      </c>
      <c r="K2684" s="120">
        <v>30</v>
      </c>
    </row>
    <row r="2685" spans="2:11" hidden="1" x14ac:dyDescent="0.25">
      <c r="B2685" s="28" t="str">
        <f>IF(ISNUMBER(MATCH(C2685, Mgt_Unit!$C$5:$C$1018, 0)), INDEX(Mgt_Unit!$B$5:$B$1018, MATCH(C2685, Mgt_Unit!$C$5:$C$1018, 0)), "")</f>
        <v>jennifer.moore</v>
      </c>
      <c r="C2685" t="s">
        <v>980</v>
      </c>
      <c r="E2685" s="17" t="s">
        <v>1583</v>
      </c>
      <c r="F2685" s="89">
        <v>42856</v>
      </c>
      <c r="J2685" t="s">
        <v>1353</v>
      </c>
      <c r="K2685" s="120">
        <v>2.4</v>
      </c>
    </row>
    <row r="2686" spans="2:11" hidden="1" x14ac:dyDescent="0.25">
      <c r="B2686" s="28" t="str">
        <f>IF(ISNUMBER(MATCH(C2686, Mgt_Unit!$C$5:$C$1018, 0)), INDEX(Mgt_Unit!$B$5:$B$1018, MATCH(C2686, Mgt_Unit!$C$5:$C$1018, 0)), "")</f>
        <v>jennifer.moore</v>
      </c>
      <c r="C2686" t="s">
        <v>980</v>
      </c>
      <c r="E2686" s="17" t="s">
        <v>1583</v>
      </c>
      <c r="F2686" s="89">
        <v>43040</v>
      </c>
      <c r="J2686" t="s">
        <v>1431</v>
      </c>
      <c r="K2686" s="120">
        <v>0.15</v>
      </c>
    </row>
    <row r="2687" spans="2:11" hidden="1" x14ac:dyDescent="0.25">
      <c r="B2687" s="28" t="str">
        <f>IF(ISNUMBER(MATCH(C2687, Mgt_Unit!$C$5:$C$1018, 0)), INDEX(Mgt_Unit!$B$5:$B$1018, MATCH(C2687, Mgt_Unit!$C$5:$C$1018, 0)), "")</f>
        <v>jennifer.moore</v>
      </c>
      <c r="C2687" t="s">
        <v>980</v>
      </c>
      <c r="E2687" s="17" t="s">
        <v>1583</v>
      </c>
      <c r="F2687" s="89">
        <v>43235</v>
      </c>
      <c r="J2687" t="s">
        <v>1355</v>
      </c>
      <c r="K2687" s="120">
        <v>6.3</v>
      </c>
    </row>
    <row r="2688" spans="2:11" hidden="1" x14ac:dyDescent="0.25">
      <c r="B2688" s="28" t="str">
        <f>IF(ISNUMBER(MATCH(C2688, Mgt_Unit!$C$5:$C$1018, 0)), INDEX(Mgt_Unit!$B$5:$B$1018, MATCH(C2688, Mgt_Unit!$C$5:$C$1018, 0)), "")</f>
        <v>jennifer.moore</v>
      </c>
      <c r="C2688" t="s">
        <v>980</v>
      </c>
      <c r="E2688" s="17" t="s">
        <v>1583</v>
      </c>
      <c r="F2688" s="89">
        <v>43374</v>
      </c>
      <c r="J2688" t="s">
        <v>1431</v>
      </c>
      <c r="K2688" s="120">
        <v>0.15</v>
      </c>
    </row>
    <row r="2689" spans="2:11" hidden="1" x14ac:dyDescent="0.25">
      <c r="B2689" s="28" t="str">
        <f>IF(ISNUMBER(MATCH(C2689, Mgt_Unit!$C$5:$C$1018, 0)), INDEX(Mgt_Unit!$B$5:$B$1018, MATCH(C2689, Mgt_Unit!$C$5:$C$1018, 0)), "")</f>
        <v>jennifer.moore</v>
      </c>
      <c r="C2689" t="s">
        <v>981</v>
      </c>
      <c r="E2689" s="17" t="s">
        <v>1584</v>
      </c>
      <c r="F2689" s="89">
        <v>42998</v>
      </c>
      <c r="J2689" t="s">
        <v>1355</v>
      </c>
      <c r="K2689" s="120">
        <v>6.3</v>
      </c>
    </row>
    <row r="2690" spans="2:11" hidden="1" x14ac:dyDescent="0.25">
      <c r="B2690" s="28" t="str">
        <f>IF(ISNUMBER(MATCH(C2690, Mgt_Unit!$C$5:$C$1018, 0)), INDEX(Mgt_Unit!$B$5:$B$1018, MATCH(C2690, Mgt_Unit!$C$5:$C$1018, 0)), "")</f>
        <v>jennifer.moore</v>
      </c>
      <c r="C2690" t="s">
        <v>981</v>
      </c>
      <c r="E2690" s="17" t="s">
        <v>1583</v>
      </c>
      <c r="F2690" s="89">
        <v>43296</v>
      </c>
      <c r="J2690" t="s">
        <v>1491</v>
      </c>
      <c r="K2690" s="120">
        <v>0.15</v>
      </c>
    </row>
    <row r="2691" spans="2:11" hidden="1" x14ac:dyDescent="0.25">
      <c r="B2691" s="28" t="str">
        <f>IF(ISNUMBER(MATCH(C2691, Mgt_Unit!$C$5:$C$1018, 0)), INDEX(Mgt_Unit!$B$5:$B$1018, MATCH(C2691, Mgt_Unit!$C$5:$C$1018, 0)), "")</f>
        <v>jennifer.moore</v>
      </c>
      <c r="C2691" t="s">
        <v>982</v>
      </c>
      <c r="E2691" s="17" t="s">
        <v>1583</v>
      </c>
      <c r="F2691" s="89">
        <v>42856</v>
      </c>
      <c r="J2691" t="s">
        <v>1402</v>
      </c>
      <c r="K2691" s="120">
        <v>65</v>
      </c>
    </row>
    <row r="2692" spans="2:11" hidden="1" x14ac:dyDescent="0.25">
      <c r="B2692" s="28" t="str">
        <f>IF(ISNUMBER(MATCH(C2692, Mgt_Unit!$C$5:$C$1018, 0)), INDEX(Mgt_Unit!$B$5:$B$1018, MATCH(C2692, Mgt_Unit!$C$5:$C$1018, 0)), "")</f>
        <v>jennifer.moore</v>
      </c>
      <c r="C2692" t="s">
        <v>982</v>
      </c>
      <c r="E2692" s="17" t="s">
        <v>1584</v>
      </c>
      <c r="F2692" s="89">
        <v>42998</v>
      </c>
      <c r="J2692" t="s">
        <v>1355</v>
      </c>
      <c r="K2692" s="120">
        <v>6.3</v>
      </c>
    </row>
    <row r="2693" spans="2:11" hidden="1" x14ac:dyDescent="0.25">
      <c r="B2693" s="28" t="str">
        <f>IF(ISNUMBER(MATCH(C2693, Mgt_Unit!$C$5:$C$1018, 0)), INDEX(Mgt_Unit!$B$5:$B$1018, MATCH(C2693, Mgt_Unit!$C$5:$C$1018, 0)), "")</f>
        <v>jennifer.moore</v>
      </c>
      <c r="C2693" t="s">
        <v>982</v>
      </c>
      <c r="E2693" s="17" t="s">
        <v>1583</v>
      </c>
      <c r="F2693" s="89">
        <v>43296</v>
      </c>
      <c r="J2693" t="s">
        <v>1491</v>
      </c>
      <c r="K2693" s="120">
        <v>0.15</v>
      </c>
    </row>
    <row r="2694" spans="2:11" hidden="1" x14ac:dyDescent="0.25">
      <c r="B2694" s="28" t="str">
        <f>IF(ISNUMBER(MATCH(C2694, Mgt_Unit!$C$5:$C$1018, 0)), INDEX(Mgt_Unit!$B$5:$B$1018, MATCH(C2694, Mgt_Unit!$C$5:$C$1018, 0)), "")</f>
        <v>jennifer.moore</v>
      </c>
      <c r="C2694" t="s">
        <v>982</v>
      </c>
      <c r="E2694" s="17" t="s">
        <v>1584</v>
      </c>
      <c r="F2694" s="89">
        <v>43728</v>
      </c>
      <c r="J2694" t="s">
        <v>1355</v>
      </c>
      <c r="K2694" s="120">
        <v>6.3</v>
      </c>
    </row>
    <row r="2695" spans="2:11" hidden="1" x14ac:dyDescent="0.25">
      <c r="B2695" s="28" t="str">
        <f>IF(ISNUMBER(MATCH(C2695, Mgt_Unit!$C$5:$C$1018, 0)), INDEX(Mgt_Unit!$B$5:$B$1018, MATCH(C2695, Mgt_Unit!$C$5:$C$1018, 0)), "")</f>
        <v>jennifer.moore</v>
      </c>
      <c r="C2695" t="s">
        <v>982</v>
      </c>
      <c r="E2695" s="17" t="s">
        <v>1583</v>
      </c>
      <c r="F2695" s="89">
        <v>44027</v>
      </c>
      <c r="J2695" t="s">
        <v>1491</v>
      </c>
      <c r="K2695" s="120">
        <v>0.15</v>
      </c>
    </row>
    <row r="2696" spans="2:11" hidden="1" x14ac:dyDescent="0.25">
      <c r="B2696" s="28" t="str">
        <f>IF(ISNUMBER(MATCH(C2696, Mgt_Unit!$C$5:$C$1018, 0)), INDEX(Mgt_Unit!$B$5:$B$1018, MATCH(C2696, Mgt_Unit!$C$5:$C$1018, 0)), "")</f>
        <v>jennifer.moore</v>
      </c>
      <c r="C2696" t="s">
        <v>982</v>
      </c>
      <c r="E2696" s="17" t="s">
        <v>1584</v>
      </c>
      <c r="F2696" s="89">
        <v>44459</v>
      </c>
      <c r="J2696" t="s">
        <v>1355</v>
      </c>
      <c r="K2696" s="120">
        <v>6.3</v>
      </c>
    </row>
    <row r="2697" spans="2:11" hidden="1" x14ac:dyDescent="0.25">
      <c r="B2697" s="28" t="str">
        <f>IF(ISNUMBER(MATCH(C2697, Mgt_Unit!$C$5:$C$1018, 0)), INDEX(Mgt_Unit!$B$5:$B$1018, MATCH(C2697, Mgt_Unit!$C$5:$C$1018, 0)), "")</f>
        <v>jennifer.moore</v>
      </c>
      <c r="C2697" t="s">
        <v>982</v>
      </c>
      <c r="E2697" s="17" t="s">
        <v>1583</v>
      </c>
      <c r="F2697" s="89">
        <v>44757</v>
      </c>
      <c r="J2697" t="s">
        <v>1491</v>
      </c>
      <c r="K2697" s="120">
        <v>0.15</v>
      </c>
    </row>
    <row r="2698" spans="2:11" hidden="1" x14ac:dyDescent="0.25">
      <c r="B2698" s="28" t="str">
        <f>IF(ISNUMBER(MATCH(C2698, Mgt_Unit!$C$5:$C$1018, 0)), INDEX(Mgt_Unit!$B$5:$B$1018, MATCH(C2698, Mgt_Unit!$C$5:$C$1018, 0)), "")</f>
        <v>jennifer.moore</v>
      </c>
      <c r="C2698" t="s">
        <v>983</v>
      </c>
      <c r="E2698" s="17" t="s">
        <v>1583</v>
      </c>
      <c r="F2698" s="89">
        <v>42856</v>
      </c>
      <c r="J2698" t="s">
        <v>1492</v>
      </c>
      <c r="K2698" s="120">
        <v>15</v>
      </c>
    </row>
    <row r="2699" spans="2:11" hidden="1" x14ac:dyDescent="0.25">
      <c r="B2699" s="28" t="str">
        <f>IF(ISNUMBER(MATCH(C2699, Mgt_Unit!$C$5:$C$1018, 0)), INDEX(Mgt_Unit!$B$5:$B$1018, MATCH(C2699, Mgt_Unit!$C$5:$C$1018, 0)), "")</f>
        <v>jennifer.moore</v>
      </c>
      <c r="C2699" t="s">
        <v>983</v>
      </c>
      <c r="E2699" s="17" t="s">
        <v>1584</v>
      </c>
      <c r="F2699" s="89">
        <v>42998</v>
      </c>
      <c r="J2699" t="s">
        <v>1355</v>
      </c>
      <c r="K2699" s="120">
        <v>6.3</v>
      </c>
    </row>
    <row r="2700" spans="2:11" hidden="1" x14ac:dyDescent="0.25">
      <c r="B2700" s="28" t="str">
        <f>IF(ISNUMBER(MATCH(C2700, Mgt_Unit!$C$5:$C$1018, 0)), INDEX(Mgt_Unit!$B$5:$B$1018, MATCH(C2700, Mgt_Unit!$C$5:$C$1018, 0)), "")</f>
        <v>jennifer.moore</v>
      </c>
      <c r="C2700" t="s">
        <v>983</v>
      </c>
      <c r="E2700" s="17" t="s">
        <v>1583</v>
      </c>
      <c r="F2700" s="89">
        <v>43296</v>
      </c>
      <c r="J2700" t="s">
        <v>1491</v>
      </c>
      <c r="K2700" s="120">
        <v>0.15</v>
      </c>
    </row>
    <row r="2701" spans="2:11" hidden="1" x14ac:dyDescent="0.25">
      <c r="B2701" s="28" t="str">
        <f>IF(ISNUMBER(MATCH(C2701, Mgt_Unit!$C$5:$C$1018, 0)), INDEX(Mgt_Unit!$B$5:$B$1018, MATCH(C2701, Mgt_Unit!$C$5:$C$1018, 0)), "")</f>
        <v>jennifer.moore</v>
      </c>
      <c r="C2701" t="s">
        <v>983</v>
      </c>
      <c r="E2701" s="17" t="s">
        <v>1584</v>
      </c>
      <c r="F2701" s="89">
        <v>43728</v>
      </c>
      <c r="J2701" t="s">
        <v>1355</v>
      </c>
      <c r="K2701" s="120">
        <v>6.3</v>
      </c>
    </row>
    <row r="2702" spans="2:11" hidden="1" x14ac:dyDescent="0.25">
      <c r="B2702" s="28" t="str">
        <f>IF(ISNUMBER(MATCH(C2702, Mgt_Unit!$C$5:$C$1018, 0)), INDEX(Mgt_Unit!$B$5:$B$1018, MATCH(C2702, Mgt_Unit!$C$5:$C$1018, 0)), "")</f>
        <v>jennifer.moore</v>
      </c>
      <c r="C2702" t="s">
        <v>983</v>
      </c>
      <c r="E2702" s="17" t="s">
        <v>1583</v>
      </c>
      <c r="F2702" s="89">
        <v>44027</v>
      </c>
      <c r="J2702" t="s">
        <v>1491</v>
      </c>
      <c r="K2702" s="120">
        <v>0.15</v>
      </c>
    </row>
    <row r="2703" spans="2:11" hidden="1" x14ac:dyDescent="0.25">
      <c r="B2703" s="28" t="str">
        <f>IF(ISNUMBER(MATCH(C2703, Mgt_Unit!$C$5:$C$1018, 0)), INDEX(Mgt_Unit!$B$5:$B$1018, MATCH(C2703, Mgt_Unit!$C$5:$C$1018, 0)), "")</f>
        <v>jennifer.moore</v>
      </c>
      <c r="C2703" t="s">
        <v>983</v>
      </c>
      <c r="E2703" s="17" t="s">
        <v>1584</v>
      </c>
      <c r="F2703" s="89">
        <v>44459</v>
      </c>
      <c r="J2703" t="s">
        <v>1355</v>
      </c>
      <c r="K2703" s="120">
        <v>6.3</v>
      </c>
    </row>
    <row r="2704" spans="2:11" hidden="1" x14ac:dyDescent="0.25">
      <c r="B2704" s="28" t="str">
        <f>IF(ISNUMBER(MATCH(C2704, Mgt_Unit!$C$5:$C$1018, 0)), INDEX(Mgt_Unit!$B$5:$B$1018, MATCH(C2704, Mgt_Unit!$C$5:$C$1018, 0)), "")</f>
        <v>jennifer.moore</v>
      </c>
      <c r="C2704" t="s">
        <v>983</v>
      </c>
      <c r="E2704" s="17" t="s">
        <v>1583</v>
      </c>
      <c r="F2704" s="89">
        <v>44757</v>
      </c>
      <c r="J2704" t="s">
        <v>1491</v>
      </c>
      <c r="K2704" s="120">
        <v>0.15</v>
      </c>
    </row>
    <row r="2705" spans="2:11" hidden="1" x14ac:dyDescent="0.25">
      <c r="B2705" s="28" t="str">
        <f>IF(ISNUMBER(MATCH(C2705, Mgt_Unit!$C$5:$C$1018, 0)), INDEX(Mgt_Unit!$B$5:$B$1018, MATCH(C2705, Mgt_Unit!$C$5:$C$1018, 0)), "")</f>
        <v>jennifer.moore</v>
      </c>
      <c r="C2705" t="s">
        <v>984</v>
      </c>
      <c r="E2705" s="17" t="s">
        <v>1584</v>
      </c>
      <c r="F2705" s="89">
        <v>43239</v>
      </c>
      <c r="J2705" t="s">
        <v>1443</v>
      </c>
      <c r="K2705" s="120">
        <v>4</v>
      </c>
    </row>
    <row r="2706" spans="2:11" hidden="1" x14ac:dyDescent="0.25">
      <c r="B2706" s="28" t="str">
        <f>IF(ISNUMBER(MATCH(C2706, Mgt_Unit!$C$5:$C$1018, 0)), INDEX(Mgt_Unit!$B$5:$B$1018, MATCH(C2706, Mgt_Unit!$C$5:$C$1018, 0)), "")</f>
        <v>jennifer.moore</v>
      </c>
      <c r="C2706" t="s">
        <v>984</v>
      </c>
      <c r="E2706" s="17" t="s">
        <v>1583</v>
      </c>
      <c r="F2706" s="89">
        <v>43391</v>
      </c>
      <c r="J2706" t="s">
        <v>1493</v>
      </c>
      <c r="K2706" s="120">
        <v>0.15</v>
      </c>
    </row>
    <row r="2707" spans="2:11" hidden="1" x14ac:dyDescent="0.25">
      <c r="B2707" s="28" t="str">
        <f>IF(ISNUMBER(MATCH(C2707, Mgt_Unit!$C$5:$C$1018, 0)), INDEX(Mgt_Unit!$B$5:$B$1018, MATCH(C2707, Mgt_Unit!$C$5:$C$1018, 0)), "")</f>
        <v>jennifer.moore</v>
      </c>
      <c r="C2707" t="s">
        <v>984</v>
      </c>
      <c r="E2707" s="17" t="s">
        <v>1583</v>
      </c>
      <c r="F2707" s="89">
        <v>43580</v>
      </c>
      <c r="J2707" t="s">
        <v>1494</v>
      </c>
      <c r="K2707" s="120">
        <v>2.6</v>
      </c>
    </row>
    <row r="2708" spans="2:11" hidden="1" x14ac:dyDescent="0.25">
      <c r="B2708" s="28" t="str">
        <f>IF(ISNUMBER(MATCH(C2708, Mgt_Unit!$C$5:$C$1018, 0)), INDEX(Mgt_Unit!$B$5:$B$1018, MATCH(C2708, Mgt_Unit!$C$5:$C$1018, 0)), "")</f>
        <v>jennifer.moore</v>
      </c>
      <c r="C2708" t="s">
        <v>984</v>
      </c>
      <c r="E2708" s="17" t="s">
        <v>1584</v>
      </c>
      <c r="F2708" s="89">
        <v>43581</v>
      </c>
      <c r="J2708" t="s">
        <v>1443</v>
      </c>
      <c r="K2708" s="120">
        <v>4</v>
      </c>
    </row>
    <row r="2709" spans="2:11" hidden="1" x14ac:dyDescent="0.25">
      <c r="B2709" s="28" t="str">
        <f>IF(ISNUMBER(MATCH(C2709, Mgt_Unit!$C$5:$C$1018, 0)), INDEX(Mgt_Unit!$B$5:$B$1018, MATCH(C2709, Mgt_Unit!$C$5:$C$1018, 0)), "")</f>
        <v>jennifer.moore</v>
      </c>
      <c r="C2709" t="s">
        <v>984</v>
      </c>
      <c r="E2709" s="17" t="s">
        <v>1583</v>
      </c>
      <c r="F2709" s="89">
        <v>43766</v>
      </c>
      <c r="J2709" t="s">
        <v>1493</v>
      </c>
      <c r="K2709" s="120">
        <v>0.15</v>
      </c>
    </row>
    <row r="2710" spans="2:11" hidden="1" x14ac:dyDescent="0.25">
      <c r="B2710" s="28" t="str">
        <f>IF(ISNUMBER(MATCH(C2710, Mgt_Unit!$C$5:$C$1018, 0)), INDEX(Mgt_Unit!$B$5:$B$1018, MATCH(C2710, Mgt_Unit!$C$5:$C$1018, 0)), "")</f>
        <v>jennifer.moore</v>
      </c>
      <c r="C2710" t="s">
        <v>985</v>
      </c>
      <c r="E2710" s="17" t="s">
        <v>1584</v>
      </c>
      <c r="F2710" s="89">
        <v>43221</v>
      </c>
      <c r="J2710" t="s">
        <v>1443</v>
      </c>
      <c r="K2710" s="120">
        <v>4</v>
      </c>
    </row>
    <row r="2711" spans="2:11" hidden="1" x14ac:dyDescent="0.25">
      <c r="B2711" s="28" t="str">
        <f>IF(ISNUMBER(MATCH(C2711, Mgt_Unit!$C$5:$C$1018, 0)), INDEX(Mgt_Unit!$B$5:$B$1018, MATCH(C2711, Mgt_Unit!$C$5:$C$1018, 0)), "")</f>
        <v>jennifer.moore</v>
      </c>
      <c r="C2711" t="s">
        <v>985</v>
      </c>
      <c r="E2711" s="17" t="s">
        <v>1583</v>
      </c>
      <c r="F2711" s="89">
        <v>43390</v>
      </c>
      <c r="J2711" t="s">
        <v>1493</v>
      </c>
      <c r="K2711" s="120">
        <v>0.15</v>
      </c>
    </row>
    <row r="2712" spans="2:11" hidden="1" x14ac:dyDescent="0.25">
      <c r="B2712" s="28" t="str">
        <f>IF(ISNUMBER(MATCH(C2712, Mgt_Unit!$C$5:$C$1018, 0)), INDEX(Mgt_Unit!$B$5:$B$1018, MATCH(C2712, Mgt_Unit!$C$5:$C$1018, 0)), "")</f>
        <v>jennifer.moore</v>
      </c>
      <c r="C2712" t="s">
        <v>985</v>
      </c>
      <c r="E2712" s="17" t="s">
        <v>1583</v>
      </c>
      <c r="F2712" s="89">
        <v>43580</v>
      </c>
      <c r="J2712" t="s">
        <v>1494</v>
      </c>
      <c r="K2712" s="120">
        <v>2.6</v>
      </c>
    </row>
    <row r="2713" spans="2:11" hidden="1" x14ac:dyDescent="0.25">
      <c r="B2713" s="28" t="str">
        <f>IF(ISNUMBER(MATCH(C2713, Mgt_Unit!$C$5:$C$1018, 0)), INDEX(Mgt_Unit!$B$5:$B$1018, MATCH(C2713, Mgt_Unit!$C$5:$C$1018, 0)), "")</f>
        <v>jennifer.moore</v>
      </c>
      <c r="C2713" t="s">
        <v>985</v>
      </c>
      <c r="E2713" s="17" t="s">
        <v>1584</v>
      </c>
      <c r="F2713" s="89">
        <v>43581</v>
      </c>
      <c r="J2713" t="s">
        <v>1443</v>
      </c>
      <c r="K2713" s="120">
        <v>4</v>
      </c>
    </row>
    <row r="2714" spans="2:11" hidden="1" x14ac:dyDescent="0.25">
      <c r="B2714" s="28" t="str">
        <f>IF(ISNUMBER(MATCH(C2714, Mgt_Unit!$C$5:$C$1018, 0)), INDEX(Mgt_Unit!$B$5:$B$1018, MATCH(C2714, Mgt_Unit!$C$5:$C$1018, 0)), "")</f>
        <v>jennifer.moore</v>
      </c>
      <c r="C2714" t="s">
        <v>985</v>
      </c>
      <c r="E2714" s="17" t="s">
        <v>1583</v>
      </c>
      <c r="F2714" s="89">
        <v>43766</v>
      </c>
      <c r="J2714" t="s">
        <v>1493</v>
      </c>
      <c r="K2714" s="120">
        <v>0.15</v>
      </c>
    </row>
    <row r="2715" spans="2:11" hidden="1" x14ac:dyDescent="0.25">
      <c r="B2715" s="28" t="str">
        <f>IF(ISNUMBER(MATCH(C2715, Mgt_Unit!$C$5:$C$1018, 0)), INDEX(Mgt_Unit!$B$5:$B$1018, MATCH(C2715, Mgt_Unit!$C$5:$C$1018, 0)), "")</f>
        <v>jennifer.moore</v>
      </c>
      <c r="C2715" t="s">
        <v>986</v>
      </c>
      <c r="E2715" s="17" t="s">
        <v>1583</v>
      </c>
      <c r="F2715" s="89">
        <v>43579</v>
      </c>
      <c r="J2715" t="s">
        <v>1396</v>
      </c>
      <c r="K2715" s="120">
        <v>37</v>
      </c>
    </row>
    <row r="2716" spans="2:11" hidden="1" x14ac:dyDescent="0.25">
      <c r="B2716" s="28" t="str">
        <f>IF(ISNUMBER(MATCH(C2716, Mgt_Unit!$C$5:$C$1018, 0)), INDEX(Mgt_Unit!$B$5:$B$1018, MATCH(C2716, Mgt_Unit!$C$5:$C$1018, 0)), "")</f>
        <v>jennifer.moore</v>
      </c>
      <c r="C2716" t="s">
        <v>986</v>
      </c>
      <c r="E2716" s="17" t="s">
        <v>1583</v>
      </c>
      <c r="F2716" s="89">
        <v>43580</v>
      </c>
      <c r="J2716" t="s">
        <v>1494</v>
      </c>
      <c r="K2716" s="120">
        <v>2.6</v>
      </c>
    </row>
    <row r="2717" spans="2:11" hidden="1" x14ac:dyDescent="0.25">
      <c r="B2717" s="28" t="str">
        <f>IF(ISNUMBER(MATCH(C2717, Mgt_Unit!$C$5:$C$1018, 0)), INDEX(Mgt_Unit!$B$5:$B$1018, MATCH(C2717, Mgt_Unit!$C$5:$C$1018, 0)), "")</f>
        <v>jennifer.moore</v>
      </c>
      <c r="C2717" t="s">
        <v>986</v>
      </c>
      <c r="E2717" s="17" t="s">
        <v>1584</v>
      </c>
      <c r="F2717" s="89">
        <v>43581</v>
      </c>
      <c r="J2717" t="s">
        <v>1443</v>
      </c>
      <c r="K2717" s="120">
        <v>4</v>
      </c>
    </row>
    <row r="2718" spans="2:11" hidden="1" x14ac:dyDescent="0.25">
      <c r="B2718" s="28" t="str">
        <f>IF(ISNUMBER(MATCH(C2718, Mgt_Unit!$C$5:$C$1018, 0)), INDEX(Mgt_Unit!$B$5:$B$1018, MATCH(C2718, Mgt_Unit!$C$5:$C$1018, 0)), "")</f>
        <v>jennifer.moore</v>
      </c>
      <c r="C2718" t="s">
        <v>986</v>
      </c>
      <c r="E2718" s="17" t="s">
        <v>1583</v>
      </c>
      <c r="F2718" s="89">
        <v>43581</v>
      </c>
      <c r="J2718" t="s">
        <v>1495</v>
      </c>
      <c r="K2718" s="120">
        <v>0.15</v>
      </c>
    </row>
    <row r="2719" spans="2:11" hidden="1" x14ac:dyDescent="0.25">
      <c r="B2719" s="28" t="str">
        <f>IF(ISNUMBER(MATCH(C2719, Mgt_Unit!$C$5:$C$1018, 0)), INDEX(Mgt_Unit!$B$5:$B$1018, MATCH(C2719, Mgt_Unit!$C$5:$C$1018, 0)), "")</f>
        <v>jennifer.moore</v>
      </c>
      <c r="C2719" t="s">
        <v>986</v>
      </c>
      <c r="E2719" s="17" t="s">
        <v>1583</v>
      </c>
      <c r="F2719" s="89">
        <v>43758</v>
      </c>
      <c r="J2719" t="s">
        <v>1493</v>
      </c>
      <c r="K2719" s="120">
        <v>0.15</v>
      </c>
    </row>
    <row r="2720" spans="2:11" hidden="1" x14ac:dyDescent="0.25">
      <c r="B2720" s="28" t="str">
        <f>IF(ISNUMBER(MATCH(C2720, Mgt_Unit!$C$5:$C$1018, 0)), INDEX(Mgt_Unit!$B$5:$B$1018, MATCH(C2720, Mgt_Unit!$C$5:$C$1018, 0)), "")</f>
        <v>jennifer.moore</v>
      </c>
      <c r="C2720" t="s">
        <v>986</v>
      </c>
      <c r="E2720" s="17" t="s">
        <v>1583</v>
      </c>
      <c r="F2720" s="89">
        <v>43773</v>
      </c>
      <c r="J2720" t="s">
        <v>1496</v>
      </c>
      <c r="K2720" s="120">
        <v>53</v>
      </c>
    </row>
    <row r="2721" spans="2:11" hidden="1" x14ac:dyDescent="0.25">
      <c r="B2721" s="28" t="str">
        <f>IF(ISNUMBER(MATCH(C2721, Mgt_Unit!$C$5:$C$1018, 0)), INDEX(Mgt_Unit!$B$5:$B$1018, MATCH(C2721, Mgt_Unit!$C$5:$C$1018, 0)), "")</f>
        <v>jennifer.moore</v>
      </c>
      <c r="C2721" t="s">
        <v>987</v>
      </c>
      <c r="E2721" s="17" t="s">
        <v>1583</v>
      </c>
      <c r="F2721" s="89">
        <v>43262</v>
      </c>
      <c r="J2721" t="s">
        <v>1472</v>
      </c>
      <c r="K2721" s="120">
        <v>15</v>
      </c>
    </row>
    <row r="2722" spans="2:11" hidden="1" x14ac:dyDescent="0.25">
      <c r="B2722" s="28" t="str">
        <f>IF(ISNUMBER(MATCH(C2722, Mgt_Unit!$C$5:$C$1018, 0)), INDEX(Mgt_Unit!$B$5:$B$1018, MATCH(C2722, Mgt_Unit!$C$5:$C$1018, 0)), "")</f>
        <v>jennifer.moore</v>
      </c>
      <c r="C2722" t="s">
        <v>987</v>
      </c>
      <c r="E2722" s="17" t="s">
        <v>1584</v>
      </c>
      <c r="F2722" s="89">
        <v>43263</v>
      </c>
      <c r="J2722" t="s">
        <v>1475</v>
      </c>
      <c r="K2722" s="120">
        <v>14</v>
      </c>
    </row>
    <row r="2723" spans="2:11" hidden="1" x14ac:dyDescent="0.25">
      <c r="B2723" s="28" t="str">
        <f>IF(ISNUMBER(MATCH(C2723, Mgt_Unit!$C$5:$C$1018, 0)), INDEX(Mgt_Unit!$B$5:$B$1018, MATCH(C2723, Mgt_Unit!$C$5:$C$1018, 0)), "")</f>
        <v>jennifer.moore</v>
      </c>
      <c r="C2723" t="s">
        <v>987</v>
      </c>
      <c r="E2723" s="17" t="s">
        <v>1583</v>
      </c>
      <c r="F2723" s="89">
        <v>43393</v>
      </c>
      <c r="J2723" t="s">
        <v>1402</v>
      </c>
      <c r="K2723" s="120">
        <v>65</v>
      </c>
    </row>
    <row r="2724" spans="2:11" hidden="1" x14ac:dyDescent="0.25">
      <c r="B2724" s="28" t="str">
        <f>IF(ISNUMBER(MATCH(C2724, Mgt_Unit!$C$5:$C$1018, 0)), INDEX(Mgt_Unit!$B$5:$B$1018, MATCH(C2724, Mgt_Unit!$C$5:$C$1018, 0)), "")</f>
        <v>jennifer.moore</v>
      </c>
      <c r="C2724" t="s">
        <v>988</v>
      </c>
      <c r="E2724" s="17" t="s">
        <v>1583</v>
      </c>
      <c r="F2724" s="89">
        <v>43262</v>
      </c>
      <c r="J2724" t="s">
        <v>1472</v>
      </c>
      <c r="K2724" s="120">
        <v>15</v>
      </c>
    </row>
    <row r="2725" spans="2:11" hidden="1" x14ac:dyDescent="0.25">
      <c r="B2725" s="28" t="str">
        <f>IF(ISNUMBER(MATCH(C2725, Mgt_Unit!$C$5:$C$1018, 0)), INDEX(Mgt_Unit!$B$5:$B$1018, MATCH(C2725, Mgt_Unit!$C$5:$C$1018, 0)), "")</f>
        <v>jennifer.moore</v>
      </c>
      <c r="C2725" t="s">
        <v>988</v>
      </c>
      <c r="E2725" s="17" t="s">
        <v>1584</v>
      </c>
      <c r="F2725" s="89">
        <v>43263</v>
      </c>
      <c r="J2725" t="s">
        <v>1475</v>
      </c>
      <c r="K2725" s="120">
        <v>14</v>
      </c>
    </row>
    <row r="2726" spans="2:11" hidden="1" x14ac:dyDescent="0.25">
      <c r="B2726" s="28" t="str">
        <f>IF(ISNUMBER(MATCH(C2726, Mgt_Unit!$C$5:$C$1018, 0)), INDEX(Mgt_Unit!$B$5:$B$1018, MATCH(C2726, Mgt_Unit!$C$5:$C$1018, 0)), "")</f>
        <v>jennifer.moore</v>
      </c>
      <c r="C2726" t="s">
        <v>988</v>
      </c>
      <c r="E2726" s="17" t="s">
        <v>1583</v>
      </c>
      <c r="F2726" s="89">
        <v>43394</v>
      </c>
      <c r="J2726" t="s">
        <v>1402</v>
      </c>
      <c r="K2726" s="120">
        <v>65</v>
      </c>
    </row>
    <row r="2727" spans="2:11" hidden="1" x14ac:dyDescent="0.25">
      <c r="B2727" s="28" t="str">
        <f>IF(ISNUMBER(MATCH(C2727, Mgt_Unit!$C$5:$C$1018, 0)), INDEX(Mgt_Unit!$B$5:$B$1018, MATCH(C2727, Mgt_Unit!$C$5:$C$1018, 0)), "")</f>
        <v>jennifer.moore</v>
      </c>
      <c r="C2727" t="s">
        <v>989</v>
      </c>
      <c r="E2727" s="17" t="s">
        <v>1584</v>
      </c>
      <c r="F2727" s="89">
        <v>43262</v>
      </c>
      <c r="J2727" t="s">
        <v>1475</v>
      </c>
      <c r="K2727" s="120">
        <v>14</v>
      </c>
    </row>
    <row r="2728" spans="2:11" hidden="1" x14ac:dyDescent="0.25">
      <c r="B2728" s="28" t="str">
        <f>IF(ISNUMBER(MATCH(C2728, Mgt_Unit!$C$5:$C$1018, 0)), INDEX(Mgt_Unit!$B$5:$B$1018, MATCH(C2728, Mgt_Unit!$C$5:$C$1018, 0)), "")</f>
        <v>jennifer.moore</v>
      </c>
      <c r="C2728" t="s">
        <v>990</v>
      </c>
      <c r="E2728" s="17" t="s">
        <v>1584</v>
      </c>
      <c r="F2728" s="89">
        <v>43262</v>
      </c>
      <c r="J2728" t="s">
        <v>1475</v>
      </c>
      <c r="K2728" s="120">
        <v>14</v>
      </c>
    </row>
    <row r="2729" spans="2:11" hidden="1" x14ac:dyDescent="0.25">
      <c r="B2729" s="28" t="str">
        <f>IF(ISNUMBER(MATCH(C2729, Mgt_Unit!$C$5:$C$1018, 0)), INDEX(Mgt_Unit!$B$5:$B$1018, MATCH(C2729, Mgt_Unit!$C$5:$C$1018, 0)), "")</f>
        <v>jennifer.moore</v>
      </c>
      <c r="C2729" t="s">
        <v>991</v>
      </c>
      <c r="E2729" s="17" t="s">
        <v>1584</v>
      </c>
      <c r="F2729" s="89">
        <v>43260</v>
      </c>
      <c r="J2729" t="s">
        <v>1475</v>
      </c>
      <c r="K2729" s="120">
        <v>14</v>
      </c>
    </row>
    <row r="2730" spans="2:11" hidden="1" x14ac:dyDescent="0.25">
      <c r="B2730" s="28" t="str">
        <f>IF(ISNUMBER(MATCH(C2730, Mgt_Unit!$C$5:$C$1018, 0)), INDEX(Mgt_Unit!$B$5:$B$1018, MATCH(C2730, Mgt_Unit!$C$5:$C$1018, 0)), "")</f>
        <v>jennifer.moore</v>
      </c>
      <c r="C2730" t="s">
        <v>992</v>
      </c>
      <c r="E2730" s="17" t="s">
        <v>1583</v>
      </c>
      <c r="F2730" s="89">
        <v>43260</v>
      </c>
      <c r="J2730" t="s">
        <v>1402</v>
      </c>
      <c r="K2730" s="120">
        <v>65</v>
      </c>
    </row>
    <row r="2731" spans="2:11" hidden="1" x14ac:dyDescent="0.25">
      <c r="B2731" s="28" t="str">
        <f>IF(ISNUMBER(MATCH(C2731, Mgt_Unit!$C$5:$C$1018, 0)), INDEX(Mgt_Unit!$B$5:$B$1018, MATCH(C2731, Mgt_Unit!$C$5:$C$1018, 0)), "")</f>
        <v>jennifer.moore</v>
      </c>
      <c r="C2731" t="s">
        <v>992</v>
      </c>
      <c r="E2731" s="17" t="s">
        <v>1583</v>
      </c>
      <c r="F2731" s="89">
        <v>43261</v>
      </c>
      <c r="J2731" t="s">
        <v>1472</v>
      </c>
      <c r="K2731" s="120">
        <v>15</v>
      </c>
    </row>
    <row r="2732" spans="2:11" hidden="1" x14ac:dyDescent="0.25">
      <c r="B2732" s="28" t="str">
        <f>IF(ISNUMBER(MATCH(C2732, Mgt_Unit!$C$5:$C$1018, 0)), INDEX(Mgt_Unit!$B$5:$B$1018, MATCH(C2732, Mgt_Unit!$C$5:$C$1018, 0)), "")</f>
        <v>jennifer.moore</v>
      </c>
      <c r="C2732" t="s">
        <v>992</v>
      </c>
      <c r="E2732" s="17" t="s">
        <v>1584</v>
      </c>
      <c r="F2732" s="89">
        <v>43261</v>
      </c>
      <c r="J2732" t="s">
        <v>1475</v>
      </c>
      <c r="K2732" s="120">
        <v>14</v>
      </c>
    </row>
    <row r="2733" spans="2:11" hidden="1" x14ac:dyDescent="0.25">
      <c r="B2733" s="28" t="str">
        <f>IF(ISNUMBER(MATCH(C2733, Mgt_Unit!$C$5:$C$1018, 0)), INDEX(Mgt_Unit!$B$5:$B$1018, MATCH(C2733, Mgt_Unit!$C$5:$C$1018, 0)), "")</f>
        <v>jennifer.moore</v>
      </c>
      <c r="C2733" t="s">
        <v>993</v>
      </c>
      <c r="E2733" s="17" t="s">
        <v>1584</v>
      </c>
      <c r="F2733" s="89">
        <v>43261</v>
      </c>
      <c r="J2733" t="s">
        <v>1475</v>
      </c>
      <c r="K2733" s="120">
        <v>14</v>
      </c>
    </row>
    <row r="2734" spans="2:11" hidden="1" x14ac:dyDescent="0.25">
      <c r="B2734" s="28" t="str">
        <f>IF(ISNUMBER(MATCH(C2734, Mgt_Unit!$C$5:$C$1018, 0)), INDEX(Mgt_Unit!$B$5:$B$1018, MATCH(C2734, Mgt_Unit!$C$5:$C$1018, 0)), "")</f>
        <v>jennifer.moore</v>
      </c>
      <c r="C2734" t="s">
        <v>994</v>
      </c>
      <c r="E2734" s="17" t="s">
        <v>1583</v>
      </c>
      <c r="F2734" s="89">
        <v>43261</v>
      </c>
      <c r="J2734" t="s">
        <v>1472</v>
      </c>
      <c r="K2734" s="120">
        <v>15</v>
      </c>
    </row>
    <row r="2735" spans="2:11" hidden="1" x14ac:dyDescent="0.25">
      <c r="B2735" s="28" t="str">
        <f>IF(ISNUMBER(MATCH(C2735, Mgt_Unit!$C$5:$C$1018, 0)), INDEX(Mgt_Unit!$B$5:$B$1018, MATCH(C2735, Mgt_Unit!$C$5:$C$1018, 0)), "")</f>
        <v>jennifer.moore</v>
      </c>
      <c r="C2735" t="s">
        <v>994</v>
      </c>
      <c r="E2735" s="17" t="s">
        <v>1584</v>
      </c>
      <c r="F2735" s="89">
        <v>43262</v>
      </c>
      <c r="J2735" t="s">
        <v>1475</v>
      </c>
      <c r="K2735" s="120">
        <v>14</v>
      </c>
    </row>
    <row r="2736" spans="2:11" hidden="1" x14ac:dyDescent="0.25">
      <c r="B2736" s="28" t="str">
        <f>IF(ISNUMBER(MATCH(C2736, Mgt_Unit!$C$5:$C$1018, 0)), INDEX(Mgt_Unit!$B$5:$B$1018, MATCH(C2736, Mgt_Unit!$C$5:$C$1018, 0)), "")</f>
        <v>jennifer.moore</v>
      </c>
      <c r="C2736" t="s">
        <v>994</v>
      </c>
      <c r="E2736" s="17" t="s">
        <v>1583</v>
      </c>
      <c r="F2736" s="89">
        <v>43374</v>
      </c>
      <c r="J2736" t="s">
        <v>1402</v>
      </c>
      <c r="K2736" s="120">
        <v>65</v>
      </c>
    </row>
    <row r="2737" spans="2:11" hidden="1" x14ac:dyDescent="0.25">
      <c r="B2737" s="28" t="str">
        <f>IF(ISNUMBER(MATCH(C2737, Mgt_Unit!$C$5:$C$1018, 0)), INDEX(Mgt_Unit!$B$5:$B$1018, MATCH(C2737, Mgt_Unit!$C$5:$C$1018, 0)), "")</f>
        <v>jennifer.moore</v>
      </c>
      <c r="C2737" t="s">
        <v>995</v>
      </c>
      <c r="E2737" s="17" t="s">
        <v>1583</v>
      </c>
      <c r="F2737" s="89">
        <v>43259</v>
      </c>
      <c r="J2737" t="s">
        <v>1402</v>
      </c>
      <c r="K2737" s="120">
        <v>61.1</v>
      </c>
    </row>
    <row r="2738" spans="2:11" hidden="1" x14ac:dyDescent="0.25">
      <c r="B2738" s="28" t="str">
        <f>IF(ISNUMBER(MATCH(C2738, Mgt_Unit!$C$5:$C$1018, 0)), INDEX(Mgt_Unit!$B$5:$B$1018, MATCH(C2738, Mgt_Unit!$C$5:$C$1018, 0)), "")</f>
        <v>jennifer.moore</v>
      </c>
      <c r="C2738" t="s">
        <v>995</v>
      </c>
      <c r="E2738" s="17" t="s">
        <v>1584</v>
      </c>
      <c r="F2738" s="89">
        <v>43259</v>
      </c>
      <c r="J2738" t="s">
        <v>1475</v>
      </c>
      <c r="K2738" s="120">
        <v>14</v>
      </c>
    </row>
    <row r="2739" spans="2:11" hidden="1" x14ac:dyDescent="0.25">
      <c r="B2739" s="28" t="str">
        <f>IF(ISNUMBER(MATCH(C2739, Mgt_Unit!$C$5:$C$1018, 0)), INDEX(Mgt_Unit!$B$5:$B$1018, MATCH(C2739, Mgt_Unit!$C$5:$C$1018, 0)), "")</f>
        <v>jennifer.moore</v>
      </c>
      <c r="C2739" t="s">
        <v>995</v>
      </c>
      <c r="E2739" s="17" t="s">
        <v>1583</v>
      </c>
      <c r="F2739" s="89">
        <v>43259</v>
      </c>
      <c r="J2739" t="s">
        <v>1472</v>
      </c>
      <c r="K2739" s="120">
        <v>15</v>
      </c>
    </row>
    <row r="2740" spans="2:11" hidden="1" x14ac:dyDescent="0.25">
      <c r="B2740" s="28" t="str">
        <f>IF(ISNUMBER(MATCH(C2740, Mgt_Unit!$C$5:$C$1018, 0)), INDEX(Mgt_Unit!$B$5:$B$1018, MATCH(C2740, Mgt_Unit!$C$5:$C$1018, 0)), "")</f>
        <v>jennifer.moore</v>
      </c>
      <c r="C2740" t="s">
        <v>995</v>
      </c>
      <c r="E2740" s="17" t="s">
        <v>1584</v>
      </c>
      <c r="F2740" s="89">
        <v>43271</v>
      </c>
      <c r="J2740" t="s">
        <v>1497</v>
      </c>
      <c r="K2740" s="120">
        <v>20</v>
      </c>
    </row>
    <row r="2741" spans="2:11" hidden="1" x14ac:dyDescent="0.25">
      <c r="B2741" s="28" t="str">
        <f>IF(ISNUMBER(MATCH(C2741, Mgt_Unit!$C$5:$C$1018, 0)), INDEX(Mgt_Unit!$B$5:$B$1018, MATCH(C2741, Mgt_Unit!$C$5:$C$1018, 0)), "")</f>
        <v>jennifer.moore</v>
      </c>
      <c r="C2741" t="s">
        <v>996</v>
      </c>
      <c r="E2741" s="17" t="s">
        <v>1583</v>
      </c>
      <c r="F2741" s="89">
        <v>43259</v>
      </c>
      <c r="J2741" t="s">
        <v>1402</v>
      </c>
      <c r="K2741" s="120">
        <v>61.1</v>
      </c>
    </row>
    <row r="2742" spans="2:11" hidden="1" x14ac:dyDescent="0.25">
      <c r="B2742" s="28" t="str">
        <f>IF(ISNUMBER(MATCH(C2742, Mgt_Unit!$C$5:$C$1018, 0)), INDEX(Mgt_Unit!$B$5:$B$1018, MATCH(C2742, Mgt_Unit!$C$5:$C$1018, 0)), "")</f>
        <v>jennifer.moore</v>
      </c>
      <c r="C2742" t="s">
        <v>996</v>
      </c>
      <c r="E2742" s="17" t="s">
        <v>1584</v>
      </c>
      <c r="F2742" s="89">
        <v>43259</v>
      </c>
      <c r="J2742" t="s">
        <v>1475</v>
      </c>
      <c r="K2742" s="120">
        <v>14</v>
      </c>
    </row>
    <row r="2743" spans="2:11" hidden="1" x14ac:dyDescent="0.25">
      <c r="B2743" s="28" t="str">
        <f>IF(ISNUMBER(MATCH(C2743, Mgt_Unit!$C$5:$C$1018, 0)), INDEX(Mgt_Unit!$B$5:$B$1018, MATCH(C2743, Mgt_Unit!$C$5:$C$1018, 0)), "")</f>
        <v>jennifer.moore</v>
      </c>
      <c r="C2743" t="s">
        <v>996</v>
      </c>
      <c r="E2743" s="17" t="s">
        <v>1583</v>
      </c>
      <c r="F2743" s="89">
        <v>43259</v>
      </c>
      <c r="J2743" t="s">
        <v>1472</v>
      </c>
      <c r="K2743" s="120">
        <v>15</v>
      </c>
    </row>
    <row r="2744" spans="2:11" hidden="1" x14ac:dyDescent="0.25">
      <c r="B2744" s="28" t="str">
        <f>IF(ISNUMBER(MATCH(C2744, Mgt_Unit!$C$5:$C$1018, 0)), INDEX(Mgt_Unit!$B$5:$B$1018, MATCH(C2744, Mgt_Unit!$C$5:$C$1018, 0)), "")</f>
        <v>jennifer.moore</v>
      </c>
      <c r="C2744" t="s">
        <v>997</v>
      </c>
      <c r="E2744" s="17" t="s">
        <v>1584</v>
      </c>
      <c r="F2744" s="89">
        <v>43259</v>
      </c>
      <c r="J2744" t="s">
        <v>1475</v>
      </c>
      <c r="K2744" s="120">
        <v>14</v>
      </c>
    </row>
    <row r="2745" spans="2:11" hidden="1" x14ac:dyDescent="0.25">
      <c r="B2745" s="28" t="str">
        <f>IF(ISNUMBER(MATCH(C2745, Mgt_Unit!$C$5:$C$1018, 0)), INDEX(Mgt_Unit!$B$5:$B$1018, MATCH(C2745, Mgt_Unit!$C$5:$C$1018, 0)), "")</f>
        <v>jennifer.moore</v>
      </c>
      <c r="C2745" t="s">
        <v>997</v>
      </c>
      <c r="E2745" s="17" t="s">
        <v>1584</v>
      </c>
      <c r="F2745" s="89">
        <v>43271</v>
      </c>
      <c r="J2745" t="s">
        <v>1497</v>
      </c>
      <c r="K2745" s="120">
        <v>20</v>
      </c>
    </row>
    <row r="2746" spans="2:11" hidden="1" x14ac:dyDescent="0.25">
      <c r="B2746" s="28" t="str">
        <f>IF(ISNUMBER(MATCH(C2746, Mgt_Unit!$C$5:$C$1018, 0)), INDEX(Mgt_Unit!$B$5:$B$1018, MATCH(C2746, Mgt_Unit!$C$5:$C$1018, 0)), "")</f>
        <v>jennifer.moore</v>
      </c>
      <c r="C2746" t="s">
        <v>998</v>
      </c>
      <c r="E2746" s="17" t="s">
        <v>1584</v>
      </c>
      <c r="F2746" s="89">
        <v>43259</v>
      </c>
      <c r="J2746" t="s">
        <v>1475</v>
      </c>
      <c r="K2746" s="120">
        <v>14</v>
      </c>
    </row>
    <row r="2747" spans="2:11" hidden="1" x14ac:dyDescent="0.25">
      <c r="B2747" s="28" t="str">
        <f>IF(ISNUMBER(MATCH(C2747, Mgt_Unit!$C$5:$C$1018, 0)), INDEX(Mgt_Unit!$B$5:$B$1018, MATCH(C2747, Mgt_Unit!$C$5:$C$1018, 0)), "")</f>
        <v>jennifer.moore</v>
      </c>
      <c r="C2747" t="s">
        <v>999</v>
      </c>
      <c r="E2747" s="17" t="s">
        <v>1584</v>
      </c>
      <c r="F2747" s="89">
        <v>43244</v>
      </c>
      <c r="J2747" t="s">
        <v>1355</v>
      </c>
      <c r="K2747" s="120">
        <v>6.3</v>
      </c>
    </row>
    <row r="2748" spans="2:11" hidden="1" x14ac:dyDescent="0.25">
      <c r="B2748" s="28" t="str">
        <f>IF(ISNUMBER(MATCH(C2748, Mgt_Unit!$C$5:$C$1018, 0)), INDEX(Mgt_Unit!$B$5:$B$1018, MATCH(C2748, Mgt_Unit!$C$5:$C$1018, 0)), "")</f>
        <v>jennifer.moore</v>
      </c>
      <c r="C2748" t="s">
        <v>999</v>
      </c>
      <c r="E2748" s="17" t="s">
        <v>1583</v>
      </c>
      <c r="F2748" s="89">
        <v>43406</v>
      </c>
      <c r="J2748" t="s">
        <v>1436</v>
      </c>
      <c r="K2748" s="120">
        <v>42</v>
      </c>
    </row>
    <row r="2749" spans="2:11" hidden="1" x14ac:dyDescent="0.25">
      <c r="B2749" s="28" t="str">
        <f>IF(ISNUMBER(MATCH(C2749, Mgt_Unit!$C$5:$C$1018, 0)), INDEX(Mgt_Unit!$B$5:$B$1018, MATCH(C2749, Mgt_Unit!$C$5:$C$1018, 0)), "")</f>
        <v>jennifer.moore</v>
      </c>
      <c r="C2749" t="s">
        <v>999</v>
      </c>
      <c r="E2749" s="17" t="s">
        <v>1583</v>
      </c>
      <c r="F2749" s="89">
        <v>43414</v>
      </c>
      <c r="J2749" t="s">
        <v>1397</v>
      </c>
      <c r="K2749" s="120">
        <v>18</v>
      </c>
    </row>
    <row r="2750" spans="2:11" hidden="1" x14ac:dyDescent="0.25">
      <c r="B2750" s="28" t="str">
        <f>IF(ISNUMBER(MATCH(C2750, Mgt_Unit!$C$5:$C$1018, 0)), INDEX(Mgt_Unit!$B$5:$B$1018, MATCH(C2750, Mgt_Unit!$C$5:$C$1018, 0)), "")</f>
        <v>jennifer.moore</v>
      </c>
      <c r="C2750" t="s">
        <v>1000</v>
      </c>
      <c r="E2750" s="17" t="s">
        <v>1584</v>
      </c>
      <c r="F2750" s="89">
        <v>42514</v>
      </c>
      <c r="J2750" t="s">
        <v>1355</v>
      </c>
      <c r="K2750" s="120">
        <v>6.3</v>
      </c>
    </row>
    <row r="2751" spans="2:11" hidden="1" x14ac:dyDescent="0.25">
      <c r="B2751" s="28" t="str">
        <f>IF(ISNUMBER(MATCH(C2751, Mgt_Unit!$C$5:$C$1018, 0)), INDEX(Mgt_Unit!$B$5:$B$1018, MATCH(C2751, Mgt_Unit!$C$5:$C$1018, 0)), "")</f>
        <v>jennifer.moore</v>
      </c>
      <c r="C2751" t="s">
        <v>1000</v>
      </c>
      <c r="E2751" s="17" t="s">
        <v>1583</v>
      </c>
      <c r="F2751" s="89">
        <v>42676</v>
      </c>
      <c r="J2751" t="s">
        <v>1436</v>
      </c>
      <c r="K2751" s="120">
        <v>42</v>
      </c>
    </row>
    <row r="2752" spans="2:11" hidden="1" x14ac:dyDescent="0.25">
      <c r="B2752" s="28" t="str">
        <f>IF(ISNUMBER(MATCH(C2752, Mgt_Unit!$C$5:$C$1018, 0)), INDEX(Mgt_Unit!$B$5:$B$1018, MATCH(C2752, Mgt_Unit!$C$5:$C$1018, 0)), "")</f>
        <v>jennifer.moore</v>
      </c>
      <c r="C2752" t="s">
        <v>1000</v>
      </c>
      <c r="E2752" s="17" t="s">
        <v>1583</v>
      </c>
      <c r="F2752" s="89">
        <v>42684</v>
      </c>
      <c r="J2752" t="s">
        <v>1397</v>
      </c>
      <c r="K2752" s="120">
        <v>18</v>
      </c>
    </row>
    <row r="2753" spans="2:11" hidden="1" x14ac:dyDescent="0.25">
      <c r="B2753" s="28" t="str">
        <f>IF(ISNUMBER(MATCH(C2753, Mgt_Unit!$C$5:$C$1018, 0)), INDEX(Mgt_Unit!$B$5:$B$1018, MATCH(C2753, Mgt_Unit!$C$5:$C$1018, 0)), "")</f>
        <v>jennifer.moore</v>
      </c>
      <c r="C2753" t="s">
        <v>1000</v>
      </c>
      <c r="E2753" s="17" t="s">
        <v>1585</v>
      </c>
      <c r="F2753" s="89">
        <v>42893</v>
      </c>
      <c r="J2753" t="s">
        <v>1355</v>
      </c>
      <c r="K2753" s="120">
        <v>6.3</v>
      </c>
    </row>
    <row r="2754" spans="2:11" hidden="1" x14ac:dyDescent="0.25">
      <c r="B2754" s="28" t="str">
        <f>IF(ISNUMBER(MATCH(C2754, Mgt_Unit!$C$5:$C$1018, 0)), INDEX(Mgt_Unit!$B$5:$B$1018, MATCH(C2754, Mgt_Unit!$C$5:$C$1018, 0)), "")</f>
        <v>jennifer.moore</v>
      </c>
      <c r="C2754" t="s">
        <v>1000</v>
      </c>
      <c r="E2754" s="17" t="s">
        <v>1583</v>
      </c>
      <c r="F2754" s="89">
        <v>43406</v>
      </c>
      <c r="J2754" t="s">
        <v>1436</v>
      </c>
      <c r="K2754" s="120">
        <v>42</v>
      </c>
    </row>
    <row r="2755" spans="2:11" hidden="1" x14ac:dyDescent="0.25">
      <c r="B2755" s="28" t="str">
        <f>IF(ISNUMBER(MATCH(C2755, Mgt_Unit!$C$5:$C$1018, 0)), INDEX(Mgt_Unit!$B$5:$B$1018, MATCH(C2755, Mgt_Unit!$C$5:$C$1018, 0)), "")</f>
        <v>jennifer.moore</v>
      </c>
      <c r="C2755" t="s">
        <v>1000</v>
      </c>
      <c r="E2755" s="17" t="s">
        <v>1583</v>
      </c>
      <c r="F2755" s="89">
        <v>43414</v>
      </c>
      <c r="J2755" t="s">
        <v>1397</v>
      </c>
      <c r="K2755" s="120">
        <v>18</v>
      </c>
    </row>
    <row r="2756" spans="2:11" hidden="1" x14ac:dyDescent="0.25">
      <c r="B2756" s="28" t="str">
        <f>IF(ISNUMBER(MATCH(C2756, Mgt_Unit!$C$5:$C$1018, 0)), INDEX(Mgt_Unit!$B$5:$B$1018, MATCH(C2756, Mgt_Unit!$C$5:$C$1018, 0)), "")</f>
        <v>jennifer.moore</v>
      </c>
      <c r="C2756" t="s">
        <v>1001</v>
      </c>
      <c r="E2756" s="17" t="s">
        <v>1584</v>
      </c>
      <c r="F2756" s="89">
        <v>42879</v>
      </c>
      <c r="J2756" t="s">
        <v>1355</v>
      </c>
      <c r="K2756" s="120">
        <v>6.3</v>
      </c>
    </row>
    <row r="2757" spans="2:11" hidden="1" x14ac:dyDescent="0.25">
      <c r="B2757" s="28" t="str">
        <f>IF(ISNUMBER(MATCH(C2757, Mgt_Unit!$C$5:$C$1018, 0)), INDEX(Mgt_Unit!$B$5:$B$1018, MATCH(C2757, Mgt_Unit!$C$5:$C$1018, 0)), "")</f>
        <v>jennifer.moore</v>
      </c>
      <c r="C2757" t="s">
        <v>1001</v>
      </c>
      <c r="E2757" s="17" t="s">
        <v>1583</v>
      </c>
      <c r="F2757" s="89">
        <v>43041</v>
      </c>
      <c r="J2757" t="s">
        <v>1436</v>
      </c>
      <c r="K2757" s="120">
        <v>42</v>
      </c>
    </row>
    <row r="2758" spans="2:11" hidden="1" x14ac:dyDescent="0.25">
      <c r="B2758" s="28" t="str">
        <f>IF(ISNUMBER(MATCH(C2758, Mgt_Unit!$C$5:$C$1018, 0)), INDEX(Mgt_Unit!$B$5:$B$1018, MATCH(C2758, Mgt_Unit!$C$5:$C$1018, 0)), "")</f>
        <v>jennifer.moore</v>
      </c>
      <c r="C2758" t="s">
        <v>1001</v>
      </c>
      <c r="E2758" s="17" t="s">
        <v>1583</v>
      </c>
      <c r="F2758" s="89">
        <v>43049</v>
      </c>
      <c r="J2758" t="s">
        <v>1397</v>
      </c>
      <c r="K2758" s="120">
        <v>18</v>
      </c>
    </row>
    <row r="2759" spans="2:11" hidden="1" x14ac:dyDescent="0.25">
      <c r="B2759" s="28" t="str">
        <f>IF(ISNUMBER(MATCH(C2759, Mgt_Unit!$C$5:$C$1018, 0)), INDEX(Mgt_Unit!$B$5:$B$1018, MATCH(C2759, Mgt_Unit!$C$5:$C$1018, 0)), "")</f>
        <v>jennifer.moore</v>
      </c>
      <c r="C2759" t="s">
        <v>1001</v>
      </c>
      <c r="E2759" s="17" t="s">
        <v>1584</v>
      </c>
      <c r="F2759" s="89">
        <v>43244</v>
      </c>
      <c r="J2759" t="s">
        <v>1355</v>
      </c>
      <c r="K2759" s="120">
        <v>6.3</v>
      </c>
    </row>
    <row r="2760" spans="2:11" hidden="1" x14ac:dyDescent="0.25">
      <c r="B2760" s="28" t="str">
        <f>IF(ISNUMBER(MATCH(C2760, Mgt_Unit!$C$5:$C$1018, 0)), INDEX(Mgt_Unit!$B$5:$B$1018, MATCH(C2760, Mgt_Unit!$C$5:$C$1018, 0)), "")</f>
        <v>jennifer.moore</v>
      </c>
      <c r="C2760" t="s">
        <v>1001</v>
      </c>
      <c r="E2760" s="17" t="s">
        <v>1583</v>
      </c>
      <c r="F2760" s="89">
        <v>43406</v>
      </c>
      <c r="J2760" t="s">
        <v>1436</v>
      </c>
      <c r="K2760" s="120">
        <v>42</v>
      </c>
    </row>
    <row r="2761" spans="2:11" hidden="1" x14ac:dyDescent="0.25">
      <c r="B2761" s="28" t="str">
        <f>IF(ISNUMBER(MATCH(C2761, Mgt_Unit!$C$5:$C$1018, 0)), INDEX(Mgt_Unit!$B$5:$B$1018, MATCH(C2761, Mgt_Unit!$C$5:$C$1018, 0)), "")</f>
        <v>jennifer.moore</v>
      </c>
      <c r="C2761" t="s">
        <v>1001</v>
      </c>
      <c r="E2761" s="17" t="s">
        <v>1583</v>
      </c>
      <c r="F2761" s="89">
        <v>43414</v>
      </c>
      <c r="J2761" t="s">
        <v>1397</v>
      </c>
      <c r="K2761" s="120">
        <v>18</v>
      </c>
    </row>
    <row r="2762" spans="2:11" hidden="1" x14ac:dyDescent="0.25">
      <c r="B2762" s="28" t="str">
        <f>IF(ISNUMBER(MATCH(C2762, Mgt_Unit!$C$5:$C$1018, 0)), INDEX(Mgt_Unit!$B$5:$B$1018, MATCH(C2762, Mgt_Unit!$C$5:$C$1018, 0)), "")</f>
        <v>jennifer.moore</v>
      </c>
      <c r="C2762" t="s">
        <v>1002</v>
      </c>
      <c r="E2762" s="17" t="s">
        <v>1584</v>
      </c>
      <c r="F2762" s="89">
        <v>43244</v>
      </c>
      <c r="J2762" t="s">
        <v>1355</v>
      </c>
      <c r="K2762" s="120">
        <v>6.3</v>
      </c>
    </row>
    <row r="2763" spans="2:11" hidden="1" x14ac:dyDescent="0.25">
      <c r="B2763" s="28" t="str">
        <f>IF(ISNUMBER(MATCH(C2763, Mgt_Unit!$C$5:$C$1018, 0)), INDEX(Mgt_Unit!$B$5:$B$1018, MATCH(C2763, Mgt_Unit!$C$5:$C$1018, 0)), "")</f>
        <v>jennifer.moore</v>
      </c>
      <c r="C2763" t="s">
        <v>1003</v>
      </c>
      <c r="E2763" s="17" t="s">
        <v>1584</v>
      </c>
      <c r="F2763" s="89">
        <v>42514</v>
      </c>
      <c r="J2763" t="s">
        <v>1355</v>
      </c>
      <c r="K2763" s="120">
        <v>6.3</v>
      </c>
    </row>
    <row r="2764" spans="2:11" hidden="1" x14ac:dyDescent="0.25">
      <c r="B2764" s="28" t="str">
        <f>IF(ISNUMBER(MATCH(C2764, Mgt_Unit!$C$5:$C$1018, 0)), INDEX(Mgt_Unit!$B$5:$B$1018, MATCH(C2764, Mgt_Unit!$C$5:$C$1018, 0)), "")</f>
        <v>jennifer.moore</v>
      </c>
      <c r="C2764" t="s">
        <v>1003</v>
      </c>
      <c r="E2764" s="17" t="s">
        <v>1584</v>
      </c>
      <c r="F2764" s="89">
        <v>42893</v>
      </c>
      <c r="J2764" t="s">
        <v>1355</v>
      </c>
      <c r="K2764" s="120">
        <v>6.3</v>
      </c>
    </row>
    <row r="2765" spans="2:11" hidden="1" x14ac:dyDescent="0.25">
      <c r="B2765" s="28" t="str">
        <f>IF(ISNUMBER(MATCH(C2765, Mgt_Unit!$C$5:$C$1018, 0)), INDEX(Mgt_Unit!$B$5:$B$1018, MATCH(C2765, Mgt_Unit!$C$5:$C$1018, 0)), "")</f>
        <v>jennifer.moore</v>
      </c>
      <c r="C2765" t="s">
        <v>1004</v>
      </c>
      <c r="E2765" s="17" t="s">
        <v>1584</v>
      </c>
      <c r="F2765" s="89">
        <v>42879</v>
      </c>
      <c r="J2765" t="s">
        <v>1355</v>
      </c>
      <c r="K2765" s="120">
        <v>6.3</v>
      </c>
    </row>
    <row r="2766" spans="2:11" hidden="1" x14ac:dyDescent="0.25">
      <c r="B2766" s="28" t="str">
        <f>IF(ISNUMBER(MATCH(C2766, Mgt_Unit!$C$5:$C$1018, 0)), INDEX(Mgt_Unit!$B$5:$B$1018, MATCH(C2766, Mgt_Unit!$C$5:$C$1018, 0)), "")</f>
        <v>jennifer.moore</v>
      </c>
      <c r="C2766" t="s">
        <v>1004</v>
      </c>
      <c r="E2766" s="17" t="s">
        <v>1584</v>
      </c>
      <c r="F2766" s="89">
        <v>43258</v>
      </c>
      <c r="J2766" t="s">
        <v>1355</v>
      </c>
      <c r="K2766" s="120">
        <v>6.3</v>
      </c>
    </row>
    <row r="2767" spans="2:11" hidden="1" x14ac:dyDescent="0.25">
      <c r="B2767" s="28" t="str">
        <f>IF(ISNUMBER(MATCH(C2767, Mgt_Unit!$C$5:$C$1018, 0)), INDEX(Mgt_Unit!$B$5:$B$1018, MATCH(C2767, Mgt_Unit!$C$5:$C$1018, 0)), "")</f>
        <v>jennifer.moore</v>
      </c>
      <c r="C2767" t="s">
        <v>1005</v>
      </c>
      <c r="E2767" s="17" t="s">
        <v>1584</v>
      </c>
      <c r="F2767" s="89">
        <v>43244</v>
      </c>
      <c r="J2767" t="s">
        <v>1355</v>
      </c>
      <c r="K2767" s="120">
        <v>6.3</v>
      </c>
    </row>
    <row r="2768" spans="2:11" hidden="1" x14ac:dyDescent="0.25">
      <c r="B2768" s="28" t="str">
        <f>IF(ISNUMBER(MATCH(C2768, Mgt_Unit!$C$5:$C$1018, 0)), INDEX(Mgt_Unit!$B$5:$B$1018, MATCH(C2768, Mgt_Unit!$C$5:$C$1018, 0)), "")</f>
        <v>jennifer.moore</v>
      </c>
      <c r="C2768" t="s">
        <v>1005</v>
      </c>
      <c r="E2768" s="17" t="s">
        <v>1583</v>
      </c>
      <c r="F2768" s="89">
        <v>43406</v>
      </c>
      <c r="J2768" t="s">
        <v>1402</v>
      </c>
      <c r="K2768" s="120">
        <v>65</v>
      </c>
    </row>
    <row r="2769" spans="2:11" hidden="1" x14ac:dyDescent="0.25">
      <c r="B2769" s="28" t="str">
        <f>IF(ISNUMBER(MATCH(C2769, Mgt_Unit!$C$5:$C$1018, 0)), INDEX(Mgt_Unit!$B$5:$B$1018, MATCH(C2769, Mgt_Unit!$C$5:$C$1018, 0)), "")</f>
        <v>jennifer.moore</v>
      </c>
      <c r="C2769" t="s">
        <v>1005</v>
      </c>
      <c r="E2769" s="17" t="s">
        <v>1583</v>
      </c>
      <c r="F2769" s="89">
        <v>43414</v>
      </c>
      <c r="J2769" t="s">
        <v>1397</v>
      </c>
      <c r="K2769" s="120">
        <v>18</v>
      </c>
    </row>
    <row r="2770" spans="2:11" hidden="1" x14ac:dyDescent="0.25">
      <c r="B2770" s="28" t="str">
        <f>IF(ISNUMBER(MATCH(C2770, Mgt_Unit!$C$5:$C$1018, 0)), INDEX(Mgt_Unit!$B$5:$B$1018, MATCH(C2770, Mgt_Unit!$C$5:$C$1018, 0)), "")</f>
        <v>jennifer.moore</v>
      </c>
      <c r="C2770" t="s">
        <v>1006</v>
      </c>
      <c r="E2770" s="17" t="s">
        <v>1584</v>
      </c>
      <c r="F2770" s="89">
        <v>42514</v>
      </c>
      <c r="J2770" t="s">
        <v>1355</v>
      </c>
      <c r="K2770" s="120">
        <v>6.3</v>
      </c>
    </row>
    <row r="2771" spans="2:11" hidden="1" x14ac:dyDescent="0.25">
      <c r="B2771" s="28" t="str">
        <f>IF(ISNUMBER(MATCH(C2771, Mgt_Unit!$C$5:$C$1018, 0)), INDEX(Mgt_Unit!$B$5:$B$1018, MATCH(C2771, Mgt_Unit!$C$5:$C$1018, 0)), "")</f>
        <v>jennifer.moore</v>
      </c>
      <c r="C2771" t="s">
        <v>1006</v>
      </c>
      <c r="E2771" s="17" t="s">
        <v>1583</v>
      </c>
      <c r="F2771" s="89">
        <v>42676</v>
      </c>
      <c r="J2771" t="s">
        <v>1402</v>
      </c>
      <c r="K2771" s="120">
        <v>65</v>
      </c>
    </row>
    <row r="2772" spans="2:11" hidden="1" x14ac:dyDescent="0.25">
      <c r="B2772" s="28" t="str">
        <f>IF(ISNUMBER(MATCH(C2772, Mgt_Unit!$C$5:$C$1018, 0)), INDEX(Mgt_Unit!$B$5:$B$1018, MATCH(C2772, Mgt_Unit!$C$5:$C$1018, 0)), "")</f>
        <v>jennifer.moore</v>
      </c>
      <c r="C2772" t="s">
        <v>1006</v>
      </c>
      <c r="E2772" s="17" t="s">
        <v>1583</v>
      </c>
      <c r="F2772" s="89">
        <v>42684</v>
      </c>
      <c r="J2772" t="s">
        <v>1397</v>
      </c>
      <c r="K2772" s="120">
        <v>18</v>
      </c>
    </row>
    <row r="2773" spans="2:11" hidden="1" x14ac:dyDescent="0.25">
      <c r="B2773" s="28" t="str">
        <f>IF(ISNUMBER(MATCH(C2773, Mgt_Unit!$C$5:$C$1018, 0)), INDEX(Mgt_Unit!$B$5:$B$1018, MATCH(C2773, Mgt_Unit!$C$5:$C$1018, 0)), "")</f>
        <v>jennifer.moore</v>
      </c>
      <c r="C2773" t="s">
        <v>1006</v>
      </c>
      <c r="E2773" s="17" t="s">
        <v>1585</v>
      </c>
      <c r="F2773" s="89">
        <v>42893</v>
      </c>
      <c r="J2773" t="s">
        <v>1355</v>
      </c>
      <c r="K2773" s="120">
        <v>6.3</v>
      </c>
    </row>
    <row r="2774" spans="2:11" hidden="1" x14ac:dyDescent="0.25">
      <c r="B2774" s="28" t="str">
        <f>IF(ISNUMBER(MATCH(C2774, Mgt_Unit!$C$5:$C$1018, 0)), INDEX(Mgt_Unit!$B$5:$B$1018, MATCH(C2774, Mgt_Unit!$C$5:$C$1018, 0)), "")</f>
        <v>jennifer.moore</v>
      </c>
      <c r="C2774" t="s">
        <v>1006</v>
      </c>
      <c r="E2774" s="17" t="s">
        <v>1583</v>
      </c>
      <c r="F2774" s="89">
        <v>43406</v>
      </c>
      <c r="J2774" t="s">
        <v>1402</v>
      </c>
      <c r="K2774" s="120">
        <v>65</v>
      </c>
    </row>
    <row r="2775" spans="2:11" hidden="1" x14ac:dyDescent="0.25">
      <c r="B2775" s="28" t="str">
        <f>IF(ISNUMBER(MATCH(C2775, Mgt_Unit!$C$5:$C$1018, 0)), INDEX(Mgt_Unit!$B$5:$B$1018, MATCH(C2775, Mgt_Unit!$C$5:$C$1018, 0)), "")</f>
        <v>jennifer.moore</v>
      </c>
      <c r="C2775" t="s">
        <v>1006</v>
      </c>
      <c r="E2775" s="17" t="s">
        <v>1583</v>
      </c>
      <c r="F2775" s="89">
        <v>43414</v>
      </c>
      <c r="J2775" t="s">
        <v>1397</v>
      </c>
      <c r="K2775" s="120">
        <v>18</v>
      </c>
    </row>
    <row r="2776" spans="2:11" hidden="1" x14ac:dyDescent="0.25">
      <c r="B2776" s="28" t="str">
        <f>IF(ISNUMBER(MATCH(C2776, Mgt_Unit!$C$5:$C$1018, 0)), INDEX(Mgt_Unit!$B$5:$B$1018, MATCH(C2776, Mgt_Unit!$C$5:$C$1018, 0)), "")</f>
        <v>jennifer.moore</v>
      </c>
      <c r="C2776" t="s">
        <v>1007</v>
      </c>
      <c r="E2776" s="17" t="s">
        <v>1584</v>
      </c>
      <c r="F2776" s="89">
        <v>42879</v>
      </c>
      <c r="J2776" t="s">
        <v>1355</v>
      </c>
      <c r="K2776" s="120">
        <v>6.3</v>
      </c>
    </row>
    <row r="2777" spans="2:11" hidden="1" x14ac:dyDescent="0.25">
      <c r="B2777" s="28" t="str">
        <f>IF(ISNUMBER(MATCH(C2777, Mgt_Unit!$C$5:$C$1018, 0)), INDEX(Mgt_Unit!$B$5:$B$1018, MATCH(C2777, Mgt_Unit!$C$5:$C$1018, 0)), "")</f>
        <v>jennifer.moore</v>
      </c>
      <c r="C2777" t="s">
        <v>1007</v>
      </c>
      <c r="E2777" s="17" t="s">
        <v>1583</v>
      </c>
      <c r="F2777" s="89">
        <v>43041</v>
      </c>
      <c r="J2777" t="s">
        <v>1402</v>
      </c>
      <c r="K2777" s="120">
        <v>65</v>
      </c>
    </row>
    <row r="2778" spans="2:11" hidden="1" x14ac:dyDescent="0.25">
      <c r="B2778" s="28" t="str">
        <f>IF(ISNUMBER(MATCH(C2778, Mgt_Unit!$C$5:$C$1018, 0)), INDEX(Mgt_Unit!$B$5:$B$1018, MATCH(C2778, Mgt_Unit!$C$5:$C$1018, 0)), "")</f>
        <v>jennifer.moore</v>
      </c>
      <c r="C2778" t="s">
        <v>1007</v>
      </c>
      <c r="E2778" s="17" t="s">
        <v>1583</v>
      </c>
      <c r="F2778" s="89">
        <v>43049</v>
      </c>
      <c r="J2778" t="s">
        <v>1397</v>
      </c>
      <c r="K2778" s="120">
        <v>18</v>
      </c>
    </row>
    <row r="2779" spans="2:11" hidden="1" x14ac:dyDescent="0.25">
      <c r="B2779" s="28" t="str">
        <f>IF(ISNUMBER(MATCH(C2779, Mgt_Unit!$C$5:$C$1018, 0)), INDEX(Mgt_Unit!$B$5:$B$1018, MATCH(C2779, Mgt_Unit!$C$5:$C$1018, 0)), "")</f>
        <v>jennifer.moore</v>
      </c>
      <c r="C2779" t="s">
        <v>1007</v>
      </c>
      <c r="E2779" s="17" t="s">
        <v>1584</v>
      </c>
      <c r="F2779" s="89">
        <v>43244</v>
      </c>
      <c r="J2779" t="s">
        <v>1355</v>
      </c>
      <c r="K2779" s="120">
        <v>6.3</v>
      </c>
    </row>
    <row r="2780" spans="2:11" hidden="1" x14ac:dyDescent="0.25">
      <c r="B2780" s="28" t="str">
        <f>IF(ISNUMBER(MATCH(C2780, Mgt_Unit!$C$5:$C$1018, 0)), INDEX(Mgt_Unit!$B$5:$B$1018, MATCH(C2780, Mgt_Unit!$C$5:$C$1018, 0)), "")</f>
        <v>jennifer.moore</v>
      </c>
      <c r="C2780" t="s">
        <v>1007</v>
      </c>
      <c r="E2780" s="17" t="s">
        <v>1583</v>
      </c>
      <c r="F2780" s="89">
        <v>43406</v>
      </c>
      <c r="J2780" t="s">
        <v>1402</v>
      </c>
      <c r="K2780" s="120">
        <v>65</v>
      </c>
    </row>
    <row r="2781" spans="2:11" hidden="1" x14ac:dyDescent="0.25">
      <c r="B2781" s="28" t="str">
        <f>IF(ISNUMBER(MATCH(C2781, Mgt_Unit!$C$5:$C$1018, 0)), INDEX(Mgt_Unit!$B$5:$B$1018, MATCH(C2781, Mgt_Unit!$C$5:$C$1018, 0)), "")</f>
        <v>jennifer.moore</v>
      </c>
      <c r="C2781" t="s">
        <v>1007</v>
      </c>
      <c r="E2781" s="17" t="s">
        <v>1583</v>
      </c>
      <c r="F2781" s="89">
        <v>43414</v>
      </c>
      <c r="J2781" t="s">
        <v>1397</v>
      </c>
      <c r="K2781" s="120">
        <v>18</v>
      </c>
    </row>
    <row r="2782" spans="2:11" x14ac:dyDescent="0.25">
      <c r="B2782" s="28" t="str">
        <f>IF(ISNUMBER(MATCH(C2782, Mgt_Unit!$C$5:$C$1018, 0)), INDEX(Mgt_Unit!$B$5:$B$1018, MATCH(C2782, Mgt_Unit!$C$5:$C$1018, 0)), "")</f>
        <v>jennifer.moore</v>
      </c>
      <c r="C2782" t="s">
        <v>1008</v>
      </c>
      <c r="E2782" s="17" t="s">
        <v>1583</v>
      </c>
      <c r="F2782" s="89">
        <v>43228</v>
      </c>
      <c r="J2782" t="s">
        <v>1436</v>
      </c>
      <c r="K2782" s="120">
        <v>42</v>
      </c>
    </row>
    <row r="2783" spans="2:11" x14ac:dyDescent="0.25">
      <c r="B2783" s="28" t="str">
        <f>IF(ISNUMBER(MATCH(C2783, Mgt_Unit!$C$5:$C$1018, 0)), INDEX(Mgt_Unit!$B$5:$B$1018, MATCH(C2783, Mgt_Unit!$C$5:$C$1018, 0)), "")</f>
        <v>jennifer.moore</v>
      </c>
      <c r="C2783" t="s">
        <v>1008</v>
      </c>
      <c r="E2783" s="17" t="s">
        <v>1583</v>
      </c>
      <c r="F2783" s="89">
        <v>43229</v>
      </c>
      <c r="J2783" t="s">
        <v>1445</v>
      </c>
      <c r="K2783" s="120">
        <v>30</v>
      </c>
    </row>
    <row r="2784" spans="2:11" x14ac:dyDescent="0.25">
      <c r="B2784" s="28" t="str">
        <f>IF(ISNUMBER(MATCH(C2784, Mgt_Unit!$C$5:$C$1018, 0)), INDEX(Mgt_Unit!$B$5:$B$1018, MATCH(C2784, Mgt_Unit!$C$5:$C$1018, 0)), "")</f>
        <v>jennifer.moore</v>
      </c>
      <c r="C2784" t="s">
        <v>1008</v>
      </c>
      <c r="E2784" s="17" t="s">
        <v>1584</v>
      </c>
      <c r="F2784" s="89">
        <v>43241</v>
      </c>
      <c r="J2784" t="s">
        <v>1355</v>
      </c>
      <c r="K2784" s="120">
        <v>6.3</v>
      </c>
    </row>
    <row r="2785" spans="2:11" x14ac:dyDescent="0.25">
      <c r="B2785" s="28" t="str">
        <f>IF(ISNUMBER(MATCH(C2785, Mgt_Unit!$C$5:$C$1018, 0)), INDEX(Mgt_Unit!$B$5:$B$1018, MATCH(C2785, Mgt_Unit!$C$5:$C$1018, 0)), "")</f>
        <v>jennifer.moore</v>
      </c>
      <c r="C2785" t="s">
        <v>1009</v>
      </c>
      <c r="E2785" s="17" t="s">
        <v>1583</v>
      </c>
      <c r="F2785" s="89">
        <v>42509</v>
      </c>
      <c r="J2785" t="s">
        <v>1436</v>
      </c>
      <c r="K2785" s="120">
        <v>42</v>
      </c>
    </row>
    <row r="2786" spans="2:11" x14ac:dyDescent="0.25">
      <c r="B2786" s="28" t="str">
        <f>IF(ISNUMBER(MATCH(C2786, Mgt_Unit!$C$5:$C$1018, 0)), INDEX(Mgt_Unit!$B$5:$B$1018, MATCH(C2786, Mgt_Unit!$C$5:$C$1018, 0)), "")</f>
        <v>jennifer.moore</v>
      </c>
      <c r="C2786" t="s">
        <v>1009</v>
      </c>
      <c r="E2786" s="17" t="s">
        <v>1583</v>
      </c>
      <c r="F2786" s="89">
        <v>42509</v>
      </c>
      <c r="J2786" t="s">
        <v>1445</v>
      </c>
      <c r="K2786" s="120">
        <v>30</v>
      </c>
    </row>
    <row r="2787" spans="2:11" x14ac:dyDescent="0.25">
      <c r="B2787" s="28" t="str">
        <f>IF(ISNUMBER(MATCH(C2787, Mgt_Unit!$C$5:$C$1018, 0)), INDEX(Mgt_Unit!$B$5:$B$1018, MATCH(C2787, Mgt_Unit!$C$5:$C$1018, 0)), "")</f>
        <v>jennifer.moore</v>
      </c>
      <c r="C2787" t="s">
        <v>1009</v>
      </c>
      <c r="E2787" s="17" t="s">
        <v>1584</v>
      </c>
      <c r="F2787" s="89">
        <v>42515</v>
      </c>
      <c r="J2787" t="s">
        <v>1355</v>
      </c>
      <c r="K2787" s="120">
        <v>6.3</v>
      </c>
    </row>
    <row r="2788" spans="2:11" x14ac:dyDescent="0.25">
      <c r="B2788" s="28" t="str">
        <f>IF(ISNUMBER(MATCH(C2788, Mgt_Unit!$C$5:$C$1018, 0)), INDEX(Mgt_Unit!$B$5:$B$1018, MATCH(C2788, Mgt_Unit!$C$5:$C$1018, 0)), "")</f>
        <v>jennifer.moore</v>
      </c>
      <c r="C2788" t="s">
        <v>1009</v>
      </c>
      <c r="E2788" s="17" t="s">
        <v>1583</v>
      </c>
      <c r="F2788" s="89">
        <v>42886</v>
      </c>
      <c r="J2788" t="s">
        <v>1436</v>
      </c>
      <c r="K2788" s="120">
        <v>42</v>
      </c>
    </row>
    <row r="2789" spans="2:11" x14ac:dyDescent="0.25">
      <c r="B2789" s="28" t="str">
        <f>IF(ISNUMBER(MATCH(C2789, Mgt_Unit!$C$5:$C$1018, 0)), INDEX(Mgt_Unit!$B$5:$B$1018, MATCH(C2789, Mgt_Unit!$C$5:$C$1018, 0)), "")</f>
        <v>jennifer.moore</v>
      </c>
      <c r="C2789" t="s">
        <v>1009</v>
      </c>
      <c r="E2789" s="17" t="s">
        <v>1583</v>
      </c>
      <c r="F2789" s="89">
        <v>42886</v>
      </c>
      <c r="J2789" t="s">
        <v>1445</v>
      </c>
      <c r="K2789" s="120">
        <v>30</v>
      </c>
    </row>
    <row r="2790" spans="2:11" x14ac:dyDescent="0.25">
      <c r="B2790" s="28" t="str">
        <f>IF(ISNUMBER(MATCH(C2790, Mgt_Unit!$C$5:$C$1018, 0)), INDEX(Mgt_Unit!$B$5:$B$1018, MATCH(C2790, Mgt_Unit!$C$5:$C$1018, 0)), "")</f>
        <v>jennifer.moore</v>
      </c>
      <c r="C2790" t="s">
        <v>1009</v>
      </c>
      <c r="E2790" s="17" t="s">
        <v>1584</v>
      </c>
      <c r="F2790" s="89">
        <v>42887</v>
      </c>
      <c r="J2790" t="s">
        <v>1355</v>
      </c>
      <c r="K2790" s="120">
        <v>6.4</v>
      </c>
    </row>
    <row r="2791" spans="2:11" x14ac:dyDescent="0.25">
      <c r="B2791" s="28" t="str">
        <f>IF(ISNUMBER(MATCH(C2791, Mgt_Unit!$C$5:$C$1018, 0)), INDEX(Mgt_Unit!$B$5:$B$1018, MATCH(C2791, Mgt_Unit!$C$5:$C$1018, 0)), "")</f>
        <v>jennifer.moore</v>
      </c>
      <c r="C2791" t="s">
        <v>1010</v>
      </c>
      <c r="E2791" s="17" t="s">
        <v>1583</v>
      </c>
      <c r="F2791" s="89">
        <v>42886</v>
      </c>
      <c r="J2791" t="s">
        <v>1436</v>
      </c>
      <c r="K2791" s="120">
        <v>42</v>
      </c>
    </row>
    <row r="2792" spans="2:11" x14ac:dyDescent="0.25">
      <c r="B2792" s="28" t="str">
        <f>IF(ISNUMBER(MATCH(C2792, Mgt_Unit!$C$5:$C$1018, 0)), INDEX(Mgt_Unit!$B$5:$B$1018, MATCH(C2792, Mgt_Unit!$C$5:$C$1018, 0)), "")</f>
        <v>jennifer.moore</v>
      </c>
      <c r="C2792" t="s">
        <v>1010</v>
      </c>
      <c r="E2792" s="17" t="s">
        <v>1583</v>
      </c>
      <c r="F2792" s="89">
        <v>42886</v>
      </c>
      <c r="J2792" t="s">
        <v>1445</v>
      </c>
      <c r="K2792" s="120">
        <v>30</v>
      </c>
    </row>
    <row r="2793" spans="2:11" x14ac:dyDescent="0.25">
      <c r="B2793" s="28" t="str">
        <f>IF(ISNUMBER(MATCH(C2793, Mgt_Unit!$C$5:$C$1018, 0)), INDEX(Mgt_Unit!$B$5:$B$1018, MATCH(C2793, Mgt_Unit!$C$5:$C$1018, 0)), "")</f>
        <v>jennifer.moore</v>
      </c>
      <c r="C2793" t="s">
        <v>1010</v>
      </c>
      <c r="E2793" s="17" t="s">
        <v>1584</v>
      </c>
      <c r="F2793" s="89">
        <v>42898</v>
      </c>
      <c r="J2793" t="s">
        <v>1355</v>
      </c>
      <c r="K2793" s="120">
        <v>6.3</v>
      </c>
    </row>
    <row r="2794" spans="2:11" x14ac:dyDescent="0.25">
      <c r="B2794" s="28" t="str">
        <f>IF(ISNUMBER(MATCH(C2794, Mgt_Unit!$C$5:$C$1018, 0)), INDEX(Mgt_Unit!$B$5:$B$1018, MATCH(C2794, Mgt_Unit!$C$5:$C$1018, 0)), "")</f>
        <v>jennifer.moore</v>
      </c>
      <c r="C2794" t="s">
        <v>1010</v>
      </c>
      <c r="E2794" s="17" t="s">
        <v>1583</v>
      </c>
      <c r="F2794" s="89">
        <v>43228</v>
      </c>
      <c r="J2794" t="s">
        <v>1436</v>
      </c>
      <c r="K2794" s="120">
        <v>42</v>
      </c>
    </row>
    <row r="2795" spans="2:11" x14ac:dyDescent="0.25">
      <c r="B2795" s="28" t="str">
        <f>IF(ISNUMBER(MATCH(C2795, Mgt_Unit!$C$5:$C$1018, 0)), INDEX(Mgt_Unit!$B$5:$B$1018, MATCH(C2795, Mgt_Unit!$C$5:$C$1018, 0)), "")</f>
        <v>jennifer.moore</v>
      </c>
      <c r="C2795" t="s">
        <v>1010</v>
      </c>
      <c r="E2795" s="17" t="s">
        <v>1583</v>
      </c>
      <c r="F2795" s="89">
        <v>43229</v>
      </c>
      <c r="J2795" t="s">
        <v>1445</v>
      </c>
      <c r="K2795" s="120">
        <v>30</v>
      </c>
    </row>
    <row r="2796" spans="2:11" x14ac:dyDescent="0.25">
      <c r="B2796" s="28" t="str">
        <f>IF(ISNUMBER(MATCH(C2796, Mgt_Unit!$C$5:$C$1018, 0)), INDEX(Mgt_Unit!$B$5:$B$1018, MATCH(C2796, Mgt_Unit!$C$5:$C$1018, 0)), "")</f>
        <v>jennifer.moore</v>
      </c>
      <c r="C2796" t="s">
        <v>1010</v>
      </c>
      <c r="E2796" s="17" t="s">
        <v>1584</v>
      </c>
      <c r="F2796" s="89">
        <v>43245</v>
      </c>
      <c r="J2796" t="s">
        <v>1355</v>
      </c>
      <c r="K2796" s="120">
        <v>6.3</v>
      </c>
    </row>
    <row r="2797" spans="2:11" x14ac:dyDescent="0.25">
      <c r="B2797" s="28" t="str">
        <f>IF(ISNUMBER(MATCH(C2797, Mgt_Unit!$C$5:$C$1018, 0)), INDEX(Mgt_Unit!$B$5:$B$1018, MATCH(C2797, Mgt_Unit!$C$5:$C$1018, 0)), "")</f>
        <v>jennifer.moore</v>
      </c>
      <c r="C2797" t="s">
        <v>1011</v>
      </c>
      <c r="E2797" s="17" t="s">
        <v>1584</v>
      </c>
      <c r="F2797" s="89">
        <v>43241</v>
      </c>
      <c r="J2797" t="s">
        <v>1355</v>
      </c>
      <c r="K2797" s="120">
        <v>6.3</v>
      </c>
    </row>
    <row r="2798" spans="2:11" x14ac:dyDescent="0.25">
      <c r="B2798" s="28" t="str">
        <f>IF(ISNUMBER(MATCH(C2798, Mgt_Unit!$C$5:$C$1018, 0)), INDEX(Mgt_Unit!$B$5:$B$1018, MATCH(C2798, Mgt_Unit!$C$5:$C$1018, 0)), "")</f>
        <v>jennifer.moore</v>
      </c>
      <c r="C2798" t="s">
        <v>1012</v>
      </c>
      <c r="E2798" s="17" t="s">
        <v>1584</v>
      </c>
      <c r="F2798" s="89">
        <v>42515</v>
      </c>
      <c r="J2798" t="s">
        <v>1355</v>
      </c>
      <c r="K2798" s="120">
        <v>6.3</v>
      </c>
    </row>
    <row r="2799" spans="2:11" x14ac:dyDescent="0.25">
      <c r="B2799" s="28" t="str">
        <f>IF(ISNUMBER(MATCH(C2799, Mgt_Unit!$C$5:$C$1018, 0)), INDEX(Mgt_Unit!$B$5:$B$1018, MATCH(C2799, Mgt_Unit!$C$5:$C$1018, 0)), "")</f>
        <v>jennifer.moore</v>
      </c>
      <c r="C2799" t="s">
        <v>1012</v>
      </c>
      <c r="E2799" s="17" t="s">
        <v>1584</v>
      </c>
      <c r="F2799" s="89">
        <v>42872</v>
      </c>
      <c r="J2799" t="s">
        <v>1355</v>
      </c>
      <c r="K2799" s="120">
        <v>6.4</v>
      </c>
    </row>
    <row r="2800" spans="2:11" x14ac:dyDescent="0.25">
      <c r="B2800" s="28" t="str">
        <f>IF(ISNUMBER(MATCH(C2800, Mgt_Unit!$C$5:$C$1018, 0)), INDEX(Mgt_Unit!$B$5:$B$1018, MATCH(C2800, Mgt_Unit!$C$5:$C$1018, 0)), "")</f>
        <v>jennifer.moore</v>
      </c>
      <c r="C2800" t="s">
        <v>1013</v>
      </c>
      <c r="E2800" s="17" t="s">
        <v>1584</v>
      </c>
      <c r="F2800" s="89">
        <v>42898</v>
      </c>
      <c r="J2800" t="s">
        <v>1355</v>
      </c>
      <c r="K2800" s="120">
        <v>6.3</v>
      </c>
    </row>
    <row r="2801" spans="2:11" x14ac:dyDescent="0.25">
      <c r="B2801" s="28" t="str">
        <f>IF(ISNUMBER(MATCH(C2801, Mgt_Unit!$C$5:$C$1018, 0)), INDEX(Mgt_Unit!$B$5:$B$1018, MATCH(C2801, Mgt_Unit!$C$5:$C$1018, 0)), "")</f>
        <v>jennifer.moore</v>
      </c>
      <c r="C2801" t="s">
        <v>1013</v>
      </c>
      <c r="E2801" s="17" t="s">
        <v>1584</v>
      </c>
      <c r="F2801" s="89">
        <v>43241</v>
      </c>
      <c r="J2801" t="s">
        <v>1355</v>
      </c>
      <c r="K2801" s="120">
        <v>6.3</v>
      </c>
    </row>
    <row r="2802" spans="2:11" x14ac:dyDescent="0.25">
      <c r="B2802" s="28" t="str">
        <f>IF(ISNUMBER(MATCH(C2802, Mgt_Unit!$C$5:$C$1018, 0)), INDEX(Mgt_Unit!$B$5:$B$1018, MATCH(C2802, Mgt_Unit!$C$5:$C$1018, 0)), "")</f>
        <v>jennifer.moore</v>
      </c>
      <c r="C2802" t="s">
        <v>1014</v>
      </c>
      <c r="E2802" s="17" t="s">
        <v>1583</v>
      </c>
      <c r="F2802" s="89">
        <v>43228</v>
      </c>
      <c r="J2802" t="s">
        <v>1402</v>
      </c>
      <c r="K2802" s="120">
        <v>65</v>
      </c>
    </row>
    <row r="2803" spans="2:11" x14ac:dyDescent="0.25">
      <c r="B2803" s="28" t="str">
        <f>IF(ISNUMBER(MATCH(C2803, Mgt_Unit!$C$5:$C$1018, 0)), INDEX(Mgt_Unit!$B$5:$B$1018, MATCH(C2803, Mgt_Unit!$C$5:$C$1018, 0)), "")</f>
        <v>jennifer.moore</v>
      </c>
      <c r="C2803" t="s">
        <v>1014</v>
      </c>
      <c r="E2803" s="17" t="s">
        <v>1583</v>
      </c>
      <c r="F2803" s="89">
        <v>43228</v>
      </c>
      <c r="J2803" t="s">
        <v>1404</v>
      </c>
      <c r="K2803" s="120">
        <v>20</v>
      </c>
    </row>
    <row r="2804" spans="2:11" x14ac:dyDescent="0.25">
      <c r="B2804" s="28" t="str">
        <f>IF(ISNUMBER(MATCH(C2804, Mgt_Unit!$C$5:$C$1018, 0)), INDEX(Mgt_Unit!$B$5:$B$1018, MATCH(C2804, Mgt_Unit!$C$5:$C$1018, 0)), "")</f>
        <v>jennifer.moore</v>
      </c>
      <c r="C2804" t="s">
        <v>1014</v>
      </c>
      <c r="E2804" s="17" t="s">
        <v>1583</v>
      </c>
      <c r="F2804" s="89">
        <v>43228</v>
      </c>
      <c r="J2804" t="s">
        <v>1404</v>
      </c>
      <c r="K2804" s="120">
        <v>20</v>
      </c>
    </row>
    <row r="2805" spans="2:11" x14ac:dyDescent="0.25">
      <c r="B2805" s="28" t="str">
        <f>IF(ISNUMBER(MATCH(C2805, Mgt_Unit!$C$5:$C$1018, 0)), INDEX(Mgt_Unit!$B$5:$B$1018, MATCH(C2805, Mgt_Unit!$C$5:$C$1018, 0)), "")</f>
        <v>jennifer.moore</v>
      </c>
      <c r="C2805" t="s">
        <v>1014</v>
      </c>
      <c r="E2805" s="17" t="s">
        <v>1583</v>
      </c>
      <c r="F2805" s="89">
        <v>43229</v>
      </c>
      <c r="J2805" t="s">
        <v>1445</v>
      </c>
      <c r="K2805" s="120">
        <v>30</v>
      </c>
    </row>
    <row r="2806" spans="2:11" x14ac:dyDescent="0.25">
      <c r="B2806" s="28" t="str">
        <f>IF(ISNUMBER(MATCH(C2806, Mgt_Unit!$C$5:$C$1018, 0)), INDEX(Mgt_Unit!$B$5:$B$1018, MATCH(C2806, Mgt_Unit!$C$5:$C$1018, 0)), "")</f>
        <v>jennifer.moore</v>
      </c>
      <c r="C2806" t="s">
        <v>1014</v>
      </c>
      <c r="E2806" s="17" t="s">
        <v>1584</v>
      </c>
      <c r="F2806" s="89">
        <v>43241</v>
      </c>
      <c r="J2806" t="s">
        <v>1355</v>
      </c>
      <c r="K2806" s="120">
        <v>6.3</v>
      </c>
    </row>
    <row r="2807" spans="2:11" x14ac:dyDescent="0.25">
      <c r="B2807" s="28" t="str">
        <f>IF(ISNUMBER(MATCH(C2807, Mgt_Unit!$C$5:$C$1018, 0)), INDEX(Mgt_Unit!$B$5:$B$1018, MATCH(C2807, Mgt_Unit!$C$5:$C$1018, 0)), "")</f>
        <v>jennifer.moore</v>
      </c>
      <c r="C2807" t="s">
        <v>1015</v>
      </c>
      <c r="E2807" s="17" t="s">
        <v>1583</v>
      </c>
      <c r="F2807" s="89">
        <v>42509</v>
      </c>
      <c r="J2807" t="s">
        <v>1445</v>
      </c>
      <c r="K2807" s="120">
        <v>30</v>
      </c>
    </row>
    <row r="2808" spans="2:11" x14ac:dyDescent="0.25">
      <c r="B2808" s="28" t="str">
        <f>IF(ISNUMBER(MATCH(C2808, Mgt_Unit!$C$5:$C$1018, 0)), INDEX(Mgt_Unit!$B$5:$B$1018, MATCH(C2808, Mgt_Unit!$C$5:$C$1018, 0)), "")</f>
        <v>jennifer.moore</v>
      </c>
      <c r="C2808" t="s">
        <v>1015</v>
      </c>
      <c r="E2808" s="17" t="s">
        <v>1583</v>
      </c>
      <c r="F2808" s="89">
        <v>42509</v>
      </c>
      <c r="J2808" t="s">
        <v>1404</v>
      </c>
      <c r="K2808" s="120">
        <v>20</v>
      </c>
    </row>
    <row r="2809" spans="2:11" x14ac:dyDescent="0.25">
      <c r="B2809" s="28" t="str">
        <f>IF(ISNUMBER(MATCH(C2809, Mgt_Unit!$C$5:$C$1018, 0)), INDEX(Mgt_Unit!$B$5:$B$1018, MATCH(C2809, Mgt_Unit!$C$5:$C$1018, 0)), "")</f>
        <v>jennifer.moore</v>
      </c>
      <c r="C2809" t="s">
        <v>1015</v>
      </c>
      <c r="E2809" s="17" t="s">
        <v>1583</v>
      </c>
      <c r="F2809" s="89">
        <v>42509</v>
      </c>
      <c r="J2809" t="s">
        <v>1404</v>
      </c>
      <c r="K2809" s="120">
        <v>20</v>
      </c>
    </row>
    <row r="2810" spans="2:11" x14ac:dyDescent="0.25">
      <c r="B2810" s="28" t="str">
        <f>IF(ISNUMBER(MATCH(C2810, Mgt_Unit!$C$5:$C$1018, 0)), INDEX(Mgt_Unit!$B$5:$B$1018, MATCH(C2810, Mgt_Unit!$C$5:$C$1018, 0)), "")</f>
        <v>jennifer.moore</v>
      </c>
      <c r="C2810" t="s">
        <v>1015</v>
      </c>
      <c r="E2810" s="17" t="s">
        <v>1584</v>
      </c>
      <c r="F2810" s="89">
        <v>42515</v>
      </c>
      <c r="J2810" t="s">
        <v>1355</v>
      </c>
      <c r="K2810" s="120">
        <v>6.3</v>
      </c>
    </row>
    <row r="2811" spans="2:11" x14ac:dyDescent="0.25">
      <c r="B2811" s="28" t="str">
        <f>IF(ISNUMBER(MATCH(C2811, Mgt_Unit!$C$5:$C$1018, 0)), INDEX(Mgt_Unit!$B$5:$B$1018, MATCH(C2811, Mgt_Unit!$C$5:$C$1018, 0)), "")</f>
        <v>jennifer.moore</v>
      </c>
      <c r="C2811" t="s">
        <v>1015</v>
      </c>
      <c r="E2811" s="17" t="s">
        <v>1583</v>
      </c>
      <c r="F2811" s="89">
        <v>42886</v>
      </c>
      <c r="J2811" t="s">
        <v>1445</v>
      </c>
      <c r="K2811" s="120">
        <v>30</v>
      </c>
    </row>
    <row r="2812" spans="2:11" x14ac:dyDescent="0.25">
      <c r="B2812" s="28" t="str">
        <f>IF(ISNUMBER(MATCH(C2812, Mgt_Unit!$C$5:$C$1018, 0)), INDEX(Mgt_Unit!$B$5:$B$1018, MATCH(C2812, Mgt_Unit!$C$5:$C$1018, 0)), "")</f>
        <v>jennifer.moore</v>
      </c>
      <c r="C2812" t="s">
        <v>1015</v>
      </c>
      <c r="E2812" s="17" t="s">
        <v>1583</v>
      </c>
      <c r="F2812" s="89">
        <v>42886</v>
      </c>
      <c r="J2812" t="s">
        <v>1402</v>
      </c>
      <c r="K2812" s="120">
        <v>65</v>
      </c>
    </row>
    <row r="2813" spans="2:11" x14ac:dyDescent="0.25">
      <c r="B2813" s="28" t="str">
        <f>IF(ISNUMBER(MATCH(C2813, Mgt_Unit!$C$5:$C$1018, 0)), INDEX(Mgt_Unit!$B$5:$B$1018, MATCH(C2813, Mgt_Unit!$C$5:$C$1018, 0)), "")</f>
        <v>jennifer.moore</v>
      </c>
      <c r="C2813" t="s">
        <v>1015</v>
      </c>
      <c r="E2813" s="17" t="s">
        <v>1583</v>
      </c>
      <c r="F2813" s="89">
        <v>42886</v>
      </c>
      <c r="J2813" t="s">
        <v>1404</v>
      </c>
      <c r="K2813" s="120">
        <v>20</v>
      </c>
    </row>
    <row r="2814" spans="2:11" x14ac:dyDescent="0.25">
      <c r="B2814" s="28" t="str">
        <f>IF(ISNUMBER(MATCH(C2814, Mgt_Unit!$C$5:$C$1018, 0)), INDEX(Mgt_Unit!$B$5:$B$1018, MATCH(C2814, Mgt_Unit!$C$5:$C$1018, 0)), "")</f>
        <v>jennifer.moore</v>
      </c>
      <c r="C2814" t="s">
        <v>1015</v>
      </c>
      <c r="E2814" s="17" t="s">
        <v>1583</v>
      </c>
      <c r="F2814" s="89">
        <v>42886</v>
      </c>
      <c r="J2814" t="s">
        <v>1404</v>
      </c>
      <c r="K2814" s="120">
        <v>20</v>
      </c>
    </row>
    <row r="2815" spans="2:11" x14ac:dyDescent="0.25">
      <c r="B2815" s="28" t="str">
        <f>IF(ISNUMBER(MATCH(C2815, Mgt_Unit!$C$5:$C$1018, 0)), INDEX(Mgt_Unit!$B$5:$B$1018, MATCH(C2815, Mgt_Unit!$C$5:$C$1018, 0)), "")</f>
        <v>jennifer.moore</v>
      </c>
      <c r="C2815" t="s">
        <v>1015</v>
      </c>
      <c r="E2815" s="17" t="s">
        <v>1584</v>
      </c>
      <c r="F2815" s="89">
        <v>42887</v>
      </c>
      <c r="J2815" t="s">
        <v>1355</v>
      </c>
      <c r="K2815" s="120">
        <v>6.4</v>
      </c>
    </row>
    <row r="2816" spans="2:11" x14ac:dyDescent="0.25">
      <c r="B2816" s="28" t="str">
        <f>IF(ISNUMBER(MATCH(C2816, Mgt_Unit!$C$5:$C$1018, 0)), INDEX(Mgt_Unit!$B$5:$B$1018, MATCH(C2816, Mgt_Unit!$C$5:$C$1018, 0)), "")</f>
        <v>jennifer.moore</v>
      </c>
      <c r="C2816" t="s">
        <v>1016</v>
      </c>
      <c r="E2816" s="17" t="s">
        <v>1583</v>
      </c>
      <c r="F2816" s="89">
        <v>42886</v>
      </c>
      <c r="J2816" t="s">
        <v>1404</v>
      </c>
      <c r="K2816" s="120">
        <v>20</v>
      </c>
    </row>
    <row r="2817" spans="2:11" x14ac:dyDescent="0.25">
      <c r="B2817" s="28" t="str">
        <f>IF(ISNUMBER(MATCH(C2817, Mgt_Unit!$C$5:$C$1018, 0)), INDEX(Mgt_Unit!$B$5:$B$1018, MATCH(C2817, Mgt_Unit!$C$5:$C$1018, 0)), "")</f>
        <v>jennifer.moore</v>
      </c>
      <c r="C2817" t="s">
        <v>1016</v>
      </c>
      <c r="E2817" s="17" t="s">
        <v>1583</v>
      </c>
      <c r="F2817" s="89">
        <v>42886</v>
      </c>
      <c r="J2817" t="s">
        <v>1404</v>
      </c>
      <c r="K2817" s="120">
        <v>20</v>
      </c>
    </row>
    <row r="2818" spans="2:11" x14ac:dyDescent="0.25">
      <c r="B2818" s="28" t="str">
        <f>IF(ISNUMBER(MATCH(C2818, Mgt_Unit!$C$5:$C$1018, 0)), INDEX(Mgt_Unit!$B$5:$B$1018, MATCH(C2818, Mgt_Unit!$C$5:$C$1018, 0)), "")</f>
        <v>jennifer.moore</v>
      </c>
      <c r="C2818" t="s">
        <v>1016</v>
      </c>
      <c r="E2818" s="17" t="s">
        <v>1583</v>
      </c>
      <c r="F2818" s="89">
        <v>42886</v>
      </c>
      <c r="J2818" t="s">
        <v>1402</v>
      </c>
      <c r="K2818" s="120">
        <v>65</v>
      </c>
    </row>
    <row r="2819" spans="2:11" x14ac:dyDescent="0.25">
      <c r="B2819" s="28" t="str">
        <f>IF(ISNUMBER(MATCH(C2819, Mgt_Unit!$C$5:$C$1018, 0)), INDEX(Mgt_Unit!$B$5:$B$1018, MATCH(C2819, Mgt_Unit!$C$5:$C$1018, 0)), "")</f>
        <v>jennifer.moore</v>
      </c>
      <c r="C2819" t="s">
        <v>1016</v>
      </c>
      <c r="E2819" s="17" t="s">
        <v>1583</v>
      </c>
      <c r="F2819" s="89">
        <v>42886</v>
      </c>
      <c r="J2819" t="s">
        <v>1445</v>
      </c>
      <c r="K2819" s="120">
        <v>30</v>
      </c>
    </row>
    <row r="2820" spans="2:11" x14ac:dyDescent="0.25">
      <c r="B2820" s="28" t="str">
        <f>IF(ISNUMBER(MATCH(C2820, Mgt_Unit!$C$5:$C$1018, 0)), INDEX(Mgt_Unit!$B$5:$B$1018, MATCH(C2820, Mgt_Unit!$C$5:$C$1018, 0)), "")</f>
        <v>jennifer.moore</v>
      </c>
      <c r="C2820" t="s">
        <v>1016</v>
      </c>
      <c r="E2820" s="17" t="s">
        <v>1584</v>
      </c>
      <c r="F2820" s="89">
        <v>42898</v>
      </c>
      <c r="J2820" t="s">
        <v>1355</v>
      </c>
      <c r="K2820" s="120">
        <v>6.3</v>
      </c>
    </row>
    <row r="2821" spans="2:11" x14ac:dyDescent="0.25">
      <c r="B2821" s="28" t="str">
        <f>IF(ISNUMBER(MATCH(C2821, Mgt_Unit!$C$5:$C$1018, 0)), INDEX(Mgt_Unit!$B$5:$B$1018, MATCH(C2821, Mgt_Unit!$C$5:$C$1018, 0)), "")</f>
        <v>jennifer.moore</v>
      </c>
      <c r="C2821" t="s">
        <v>1016</v>
      </c>
      <c r="E2821" s="17" t="s">
        <v>1583</v>
      </c>
      <c r="F2821" s="89">
        <v>43228</v>
      </c>
      <c r="J2821" t="s">
        <v>1404</v>
      </c>
      <c r="K2821" s="120">
        <v>20</v>
      </c>
    </row>
    <row r="2822" spans="2:11" x14ac:dyDescent="0.25">
      <c r="B2822" s="28" t="str">
        <f>IF(ISNUMBER(MATCH(C2822, Mgt_Unit!$C$5:$C$1018, 0)), INDEX(Mgt_Unit!$B$5:$B$1018, MATCH(C2822, Mgt_Unit!$C$5:$C$1018, 0)), "")</f>
        <v>jennifer.moore</v>
      </c>
      <c r="C2822" t="s">
        <v>1016</v>
      </c>
      <c r="E2822" s="17" t="s">
        <v>1583</v>
      </c>
      <c r="F2822" s="89">
        <v>43228</v>
      </c>
      <c r="J2822" t="s">
        <v>1402</v>
      </c>
      <c r="K2822" s="120">
        <v>65</v>
      </c>
    </row>
    <row r="2823" spans="2:11" x14ac:dyDescent="0.25">
      <c r="B2823" s="28" t="str">
        <f>IF(ISNUMBER(MATCH(C2823, Mgt_Unit!$C$5:$C$1018, 0)), INDEX(Mgt_Unit!$B$5:$B$1018, MATCH(C2823, Mgt_Unit!$C$5:$C$1018, 0)), "")</f>
        <v>jennifer.moore</v>
      </c>
      <c r="C2823" t="s">
        <v>1016</v>
      </c>
      <c r="E2823" s="17" t="s">
        <v>1583</v>
      </c>
      <c r="F2823" s="89">
        <v>43228</v>
      </c>
      <c r="J2823" t="s">
        <v>1404</v>
      </c>
      <c r="K2823" s="120">
        <v>20</v>
      </c>
    </row>
    <row r="2824" spans="2:11" x14ac:dyDescent="0.25">
      <c r="B2824" s="28" t="str">
        <f>IF(ISNUMBER(MATCH(C2824, Mgt_Unit!$C$5:$C$1018, 0)), INDEX(Mgt_Unit!$B$5:$B$1018, MATCH(C2824, Mgt_Unit!$C$5:$C$1018, 0)), "")</f>
        <v>jennifer.moore</v>
      </c>
      <c r="C2824" t="s">
        <v>1016</v>
      </c>
      <c r="E2824" s="17" t="s">
        <v>1583</v>
      </c>
      <c r="F2824" s="89">
        <v>43229</v>
      </c>
      <c r="J2824" t="s">
        <v>1445</v>
      </c>
      <c r="K2824" s="120">
        <v>30</v>
      </c>
    </row>
    <row r="2825" spans="2:11" x14ac:dyDescent="0.25">
      <c r="B2825" s="28" t="str">
        <f>IF(ISNUMBER(MATCH(C2825, Mgt_Unit!$C$5:$C$1018, 0)), INDEX(Mgt_Unit!$B$5:$B$1018, MATCH(C2825, Mgt_Unit!$C$5:$C$1018, 0)), "")</f>
        <v>jennifer.moore</v>
      </c>
      <c r="C2825" t="s">
        <v>1016</v>
      </c>
      <c r="E2825" s="17" t="s">
        <v>1584</v>
      </c>
      <c r="F2825" s="89">
        <v>43245</v>
      </c>
      <c r="J2825" t="s">
        <v>1355</v>
      </c>
      <c r="K2825" s="120">
        <v>6.3</v>
      </c>
    </row>
    <row r="2826" spans="2:11" hidden="1" x14ac:dyDescent="0.25">
      <c r="B2826" s="28" t="str">
        <f>IF(ISNUMBER(MATCH(C2826, Mgt_Unit!$C$5:$C$1018, 0)), INDEX(Mgt_Unit!$B$5:$B$1018, MATCH(C2826, Mgt_Unit!$C$5:$C$1018, 0)), "")</f>
        <v>jennifer.moore</v>
      </c>
      <c r="C2826" t="s">
        <v>1017</v>
      </c>
      <c r="E2826" s="17" t="s">
        <v>1583</v>
      </c>
      <c r="F2826" s="89">
        <v>41901</v>
      </c>
      <c r="J2826" t="s">
        <v>1396</v>
      </c>
      <c r="K2826" s="120">
        <v>37</v>
      </c>
    </row>
    <row r="2827" spans="2:11" hidden="1" x14ac:dyDescent="0.25">
      <c r="B2827" s="28" t="str">
        <f>IF(ISNUMBER(MATCH(C2827, Mgt_Unit!$C$5:$C$1018, 0)), INDEX(Mgt_Unit!$B$5:$B$1018, MATCH(C2827, Mgt_Unit!$C$5:$C$1018, 0)), "")</f>
        <v>jennifer.moore</v>
      </c>
      <c r="C2827" t="s">
        <v>1017</v>
      </c>
      <c r="E2827" s="17" t="s">
        <v>1583</v>
      </c>
      <c r="F2827" s="89">
        <v>41901</v>
      </c>
      <c r="J2827" t="s">
        <v>1396</v>
      </c>
      <c r="K2827" s="120">
        <v>37</v>
      </c>
    </row>
    <row r="2828" spans="2:11" hidden="1" x14ac:dyDescent="0.25">
      <c r="B2828" s="28" t="str">
        <f>IF(ISNUMBER(MATCH(C2828, Mgt_Unit!$C$5:$C$1018, 0)), INDEX(Mgt_Unit!$B$5:$B$1018, MATCH(C2828, Mgt_Unit!$C$5:$C$1018, 0)), "")</f>
        <v>jennifer.moore</v>
      </c>
      <c r="C2828" t="s">
        <v>1017</v>
      </c>
      <c r="E2828" s="17" t="s">
        <v>1583</v>
      </c>
      <c r="F2828" s="89">
        <v>41905</v>
      </c>
      <c r="J2828" t="s">
        <v>1445</v>
      </c>
      <c r="K2828" s="120">
        <v>30</v>
      </c>
    </row>
    <row r="2829" spans="2:11" hidden="1" x14ac:dyDescent="0.25">
      <c r="B2829" s="28" t="str">
        <f>IF(ISNUMBER(MATCH(C2829, Mgt_Unit!$C$5:$C$1018, 0)), INDEX(Mgt_Unit!$B$5:$B$1018, MATCH(C2829, Mgt_Unit!$C$5:$C$1018, 0)), "")</f>
        <v>jennifer.moore</v>
      </c>
      <c r="C2829" t="s">
        <v>1017</v>
      </c>
      <c r="E2829" s="17" t="s">
        <v>1584</v>
      </c>
      <c r="F2829" s="89">
        <v>41915</v>
      </c>
      <c r="J2829" t="s">
        <v>1398</v>
      </c>
      <c r="K2829" s="120">
        <v>4</v>
      </c>
    </row>
    <row r="2830" spans="2:11" hidden="1" x14ac:dyDescent="0.25">
      <c r="B2830" s="28" t="str">
        <f>IF(ISNUMBER(MATCH(C2830, Mgt_Unit!$C$5:$C$1018, 0)), INDEX(Mgt_Unit!$B$5:$B$1018, MATCH(C2830, Mgt_Unit!$C$5:$C$1018, 0)), "")</f>
        <v>jennifer.moore</v>
      </c>
      <c r="C2830" t="s">
        <v>1017</v>
      </c>
      <c r="E2830" s="17" t="s">
        <v>1583</v>
      </c>
      <c r="F2830" s="89">
        <v>42269</v>
      </c>
      <c r="J2830" t="s">
        <v>1396</v>
      </c>
      <c r="K2830" s="120">
        <v>37</v>
      </c>
    </row>
    <row r="2831" spans="2:11" hidden="1" x14ac:dyDescent="0.25">
      <c r="B2831" s="28" t="str">
        <f>IF(ISNUMBER(MATCH(C2831, Mgt_Unit!$C$5:$C$1018, 0)), INDEX(Mgt_Unit!$B$5:$B$1018, MATCH(C2831, Mgt_Unit!$C$5:$C$1018, 0)), "")</f>
        <v>jennifer.moore</v>
      </c>
      <c r="C2831" t="s">
        <v>1017</v>
      </c>
      <c r="E2831" s="17" t="s">
        <v>1583</v>
      </c>
      <c r="F2831" s="89">
        <v>42270</v>
      </c>
      <c r="J2831" t="s">
        <v>1396</v>
      </c>
      <c r="K2831" s="120">
        <v>37</v>
      </c>
    </row>
    <row r="2832" spans="2:11" hidden="1" x14ac:dyDescent="0.25">
      <c r="B2832" s="28" t="str">
        <f>IF(ISNUMBER(MATCH(C2832, Mgt_Unit!$C$5:$C$1018, 0)), INDEX(Mgt_Unit!$B$5:$B$1018, MATCH(C2832, Mgt_Unit!$C$5:$C$1018, 0)), "")</f>
        <v>jennifer.moore</v>
      </c>
      <c r="C2832" t="s">
        <v>1017</v>
      </c>
      <c r="E2832" s="17" t="s">
        <v>1583</v>
      </c>
      <c r="F2832" s="89">
        <v>42270</v>
      </c>
      <c r="J2832" t="s">
        <v>1445</v>
      </c>
      <c r="K2832" s="120">
        <v>30</v>
      </c>
    </row>
    <row r="2833" spans="2:11" hidden="1" x14ac:dyDescent="0.25">
      <c r="B2833" s="28" t="str">
        <f>IF(ISNUMBER(MATCH(C2833, Mgt_Unit!$C$5:$C$1018, 0)), INDEX(Mgt_Unit!$B$5:$B$1018, MATCH(C2833, Mgt_Unit!$C$5:$C$1018, 0)), "")</f>
        <v>jennifer.moore</v>
      </c>
      <c r="C2833" t="s">
        <v>1017</v>
      </c>
      <c r="E2833" s="17" t="s">
        <v>1584</v>
      </c>
      <c r="F2833" s="89">
        <v>42279</v>
      </c>
      <c r="J2833" t="s">
        <v>1398</v>
      </c>
      <c r="K2833" s="120">
        <v>4</v>
      </c>
    </row>
    <row r="2834" spans="2:11" hidden="1" x14ac:dyDescent="0.25">
      <c r="B2834" s="28" t="str">
        <f>IF(ISNUMBER(MATCH(C2834, Mgt_Unit!$C$5:$C$1018, 0)), INDEX(Mgt_Unit!$B$5:$B$1018, MATCH(C2834, Mgt_Unit!$C$5:$C$1018, 0)), "")</f>
        <v>jennifer.moore</v>
      </c>
      <c r="C2834" t="s">
        <v>1017</v>
      </c>
      <c r="E2834" s="17" t="s">
        <v>1583</v>
      </c>
      <c r="F2834" s="89">
        <v>42655</v>
      </c>
      <c r="J2834" t="s">
        <v>1445</v>
      </c>
      <c r="K2834" s="120">
        <v>30</v>
      </c>
    </row>
    <row r="2835" spans="2:11" hidden="1" x14ac:dyDescent="0.25">
      <c r="B2835" s="28" t="str">
        <f>IF(ISNUMBER(MATCH(C2835, Mgt_Unit!$C$5:$C$1018, 0)), INDEX(Mgt_Unit!$B$5:$B$1018, MATCH(C2835, Mgt_Unit!$C$5:$C$1018, 0)), "")</f>
        <v>jennifer.moore</v>
      </c>
      <c r="C2835" t="s">
        <v>1017</v>
      </c>
      <c r="E2835" s="17" t="s">
        <v>1583</v>
      </c>
      <c r="F2835" s="89">
        <v>42655</v>
      </c>
      <c r="J2835" t="s">
        <v>1396</v>
      </c>
      <c r="K2835" s="120">
        <v>37</v>
      </c>
    </row>
    <row r="2836" spans="2:11" hidden="1" x14ac:dyDescent="0.25">
      <c r="B2836" s="28" t="str">
        <f>IF(ISNUMBER(MATCH(C2836, Mgt_Unit!$C$5:$C$1018, 0)), INDEX(Mgt_Unit!$B$5:$B$1018, MATCH(C2836, Mgt_Unit!$C$5:$C$1018, 0)), "")</f>
        <v>jennifer.moore</v>
      </c>
      <c r="C2836" t="s">
        <v>1017</v>
      </c>
      <c r="E2836" s="17" t="s">
        <v>1584</v>
      </c>
      <c r="F2836" s="89">
        <v>42657</v>
      </c>
      <c r="J2836" t="s">
        <v>1398</v>
      </c>
      <c r="K2836" s="120">
        <v>4</v>
      </c>
    </row>
    <row r="2837" spans="2:11" hidden="1" x14ac:dyDescent="0.25">
      <c r="B2837" s="28" t="str">
        <f>IF(ISNUMBER(MATCH(C2837, Mgt_Unit!$C$5:$C$1018, 0)), INDEX(Mgt_Unit!$B$5:$B$1018, MATCH(C2837, Mgt_Unit!$C$5:$C$1018, 0)), "")</f>
        <v>jennifer.moore</v>
      </c>
      <c r="C2837" t="s">
        <v>1017</v>
      </c>
      <c r="E2837" s="17" t="s">
        <v>1583</v>
      </c>
      <c r="F2837" s="89">
        <v>43048</v>
      </c>
      <c r="J2837" t="s">
        <v>1396</v>
      </c>
      <c r="K2837" s="120">
        <v>37</v>
      </c>
    </row>
    <row r="2838" spans="2:11" hidden="1" x14ac:dyDescent="0.25">
      <c r="B2838" s="28" t="str">
        <f>IF(ISNUMBER(MATCH(C2838, Mgt_Unit!$C$5:$C$1018, 0)), INDEX(Mgt_Unit!$B$5:$B$1018, MATCH(C2838, Mgt_Unit!$C$5:$C$1018, 0)), "")</f>
        <v>jennifer.moore</v>
      </c>
      <c r="C2838" t="s">
        <v>1017</v>
      </c>
      <c r="E2838" s="17" t="s">
        <v>1583</v>
      </c>
      <c r="F2838" s="89">
        <v>43052</v>
      </c>
      <c r="J2838" t="s">
        <v>1445</v>
      </c>
      <c r="K2838" s="120">
        <v>30</v>
      </c>
    </row>
    <row r="2839" spans="2:11" hidden="1" x14ac:dyDescent="0.25">
      <c r="B2839" s="28" t="str">
        <f>IF(ISNUMBER(MATCH(C2839, Mgt_Unit!$C$5:$C$1018, 0)), INDEX(Mgt_Unit!$B$5:$B$1018, MATCH(C2839, Mgt_Unit!$C$5:$C$1018, 0)), "")</f>
        <v>jennifer.moore</v>
      </c>
      <c r="C2839" t="s">
        <v>1017</v>
      </c>
      <c r="E2839" s="17" t="s">
        <v>1584</v>
      </c>
      <c r="F2839" s="89">
        <v>43053</v>
      </c>
      <c r="J2839" t="s">
        <v>1398</v>
      </c>
      <c r="K2839" s="120">
        <v>4</v>
      </c>
    </row>
    <row r="2840" spans="2:11" hidden="1" x14ac:dyDescent="0.25">
      <c r="B2840" s="28" t="str">
        <f>IF(ISNUMBER(MATCH(C2840, Mgt_Unit!$C$5:$C$1018, 0)), INDEX(Mgt_Unit!$B$5:$B$1018, MATCH(C2840, Mgt_Unit!$C$5:$C$1018, 0)), "")</f>
        <v>jennifer.moore</v>
      </c>
      <c r="C2840" t="s">
        <v>1017</v>
      </c>
      <c r="E2840" s="17" t="s">
        <v>1583</v>
      </c>
      <c r="F2840" s="89">
        <v>43356</v>
      </c>
      <c r="J2840" t="s">
        <v>1396</v>
      </c>
      <c r="K2840" s="120">
        <v>37</v>
      </c>
    </row>
    <row r="2841" spans="2:11" hidden="1" x14ac:dyDescent="0.25">
      <c r="B2841" s="28" t="str">
        <f>IF(ISNUMBER(MATCH(C2841, Mgt_Unit!$C$5:$C$1018, 0)), INDEX(Mgt_Unit!$B$5:$B$1018, MATCH(C2841, Mgt_Unit!$C$5:$C$1018, 0)), "")</f>
        <v>jennifer.moore</v>
      </c>
      <c r="C2841" t="s">
        <v>1017</v>
      </c>
      <c r="E2841" s="17" t="s">
        <v>1583</v>
      </c>
      <c r="F2841" s="89">
        <v>43358</v>
      </c>
      <c r="J2841" t="s">
        <v>1482</v>
      </c>
      <c r="K2841" s="120">
        <v>26</v>
      </c>
    </row>
    <row r="2842" spans="2:11" hidden="1" x14ac:dyDescent="0.25">
      <c r="B2842" s="28" t="str">
        <f>IF(ISNUMBER(MATCH(C2842, Mgt_Unit!$C$5:$C$1018, 0)), INDEX(Mgt_Unit!$B$5:$B$1018, MATCH(C2842, Mgt_Unit!$C$5:$C$1018, 0)), "")</f>
        <v>jennifer.moore</v>
      </c>
      <c r="C2842" t="s">
        <v>1017</v>
      </c>
      <c r="E2842" s="17" t="s">
        <v>1584</v>
      </c>
      <c r="F2842" s="89">
        <v>43360</v>
      </c>
      <c r="J2842" t="s">
        <v>1398</v>
      </c>
      <c r="K2842" s="120">
        <v>4</v>
      </c>
    </row>
    <row r="2843" spans="2:11" hidden="1" x14ac:dyDescent="0.25">
      <c r="B2843" s="28" t="str">
        <f>IF(ISNUMBER(MATCH(C2843, Mgt_Unit!$C$5:$C$1018, 0)), INDEX(Mgt_Unit!$B$5:$B$1018, MATCH(C2843, Mgt_Unit!$C$5:$C$1018, 0)), "")</f>
        <v>jennifer.moore</v>
      </c>
      <c r="C2843" t="s">
        <v>1017</v>
      </c>
      <c r="E2843" s="17" t="s">
        <v>1583</v>
      </c>
      <c r="F2843" s="89">
        <v>43728</v>
      </c>
      <c r="J2843" t="s">
        <v>1396</v>
      </c>
      <c r="K2843" s="120">
        <v>37</v>
      </c>
    </row>
    <row r="2844" spans="2:11" hidden="1" x14ac:dyDescent="0.25">
      <c r="B2844" s="28" t="str">
        <f>IF(ISNUMBER(MATCH(C2844, Mgt_Unit!$C$5:$C$1018, 0)), INDEX(Mgt_Unit!$B$5:$B$1018, MATCH(C2844, Mgt_Unit!$C$5:$C$1018, 0)), "")</f>
        <v>jennifer.moore</v>
      </c>
      <c r="C2844" t="s">
        <v>1017</v>
      </c>
      <c r="E2844" s="17" t="s">
        <v>1583</v>
      </c>
      <c r="F2844" s="89">
        <v>43728</v>
      </c>
      <c r="J2844" t="s">
        <v>1445</v>
      </c>
      <c r="K2844" s="120">
        <v>30</v>
      </c>
    </row>
    <row r="2845" spans="2:11" hidden="1" x14ac:dyDescent="0.25">
      <c r="B2845" s="28" t="str">
        <f>IF(ISNUMBER(MATCH(C2845, Mgt_Unit!$C$5:$C$1018, 0)), INDEX(Mgt_Unit!$B$5:$B$1018, MATCH(C2845, Mgt_Unit!$C$5:$C$1018, 0)), "")</f>
        <v>jennifer.moore</v>
      </c>
      <c r="C2845" t="s">
        <v>1017</v>
      </c>
      <c r="E2845" s="17" t="s">
        <v>1584</v>
      </c>
      <c r="F2845" s="89">
        <v>43734</v>
      </c>
      <c r="J2845" t="s">
        <v>1398</v>
      </c>
      <c r="K2845" s="120">
        <v>4</v>
      </c>
    </row>
    <row r="2846" spans="2:11" hidden="1" x14ac:dyDescent="0.25">
      <c r="B2846" s="28" t="str">
        <f>IF(ISNUMBER(MATCH(C2846, Mgt_Unit!$C$5:$C$1018, 0)), INDEX(Mgt_Unit!$B$5:$B$1018, MATCH(C2846, Mgt_Unit!$C$5:$C$1018, 0)), "")</f>
        <v>jennifer.moore</v>
      </c>
      <c r="C2846" t="s">
        <v>1018</v>
      </c>
      <c r="E2846" s="17" t="s">
        <v>1584</v>
      </c>
      <c r="F2846" s="89">
        <v>41914</v>
      </c>
      <c r="J2846" t="s">
        <v>1398</v>
      </c>
      <c r="K2846" s="120">
        <v>4</v>
      </c>
    </row>
    <row r="2847" spans="2:11" hidden="1" x14ac:dyDescent="0.25">
      <c r="B2847" s="28" t="str">
        <f>IF(ISNUMBER(MATCH(C2847, Mgt_Unit!$C$5:$C$1018, 0)), INDEX(Mgt_Unit!$B$5:$B$1018, MATCH(C2847, Mgt_Unit!$C$5:$C$1018, 0)), "")</f>
        <v>jennifer.moore</v>
      </c>
      <c r="C2847" t="s">
        <v>1018</v>
      </c>
      <c r="E2847" s="17" t="s">
        <v>1584</v>
      </c>
      <c r="F2847" s="89">
        <v>42279</v>
      </c>
      <c r="J2847" t="s">
        <v>1398</v>
      </c>
      <c r="K2847" s="120">
        <v>4</v>
      </c>
    </row>
    <row r="2848" spans="2:11" hidden="1" x14ac:dyDescent="0.25">
      <c r="B2848" s="28" t="str">
        <f>IF(ISNUMBER(MATCH(C2848, Mgt_Unit!$C$5:$C$1018, 0)), INDEX(Mgt_Unit!$B$5:$B$1018, MATCH(C2848, Mgt_Unit!$C$5:$C$1018, 0)), "")</f>
        <v>jennifer.moore</v>
      </c>
      <c r="C2848" t="s">
        <v>1018</v>
      </c>
      <c r="E2848" s="17" t="s">
        <v>1584</v>
      </c>
      <c r="F2848" s="89">
        <v>42660</v>
      </c>
      <c r="J2848" t="s">
        <v>1398</v>
      </c>
      <c r="K2848" s="120">
        <v>4</v>
      </c>
    </row>
    <row r="2849" spans="2:11" hidden="1" x14ac:dyDescent="0.25">
      <c r="B2849" s="28" t="str">
        <f>IF(ISNUMBER(MATCH(C2849, Mgt_Unit!$C$5:$C$1018, 0)), INDEX(Mgt_Unit!$B$5:$B$1018, MATCH(C2849, Mgt_Unit!$C$5:$C$1018, 0)), "")</f>
        <v>jennifer.moore</v>
      </c>
      <c r="C2849" t="s">
        <v>1018</v>
      </c>
      <c r="E2849" s="17" t="s">
        <v>1584</v>
      </c>
      <c r="F2849" s="89">
        <v>43047</v>
      </c>
      <c r="J2849" t="s">
        <v>1398</v>
      </c>
      <c r="K2849" s="120">
        <v>4</v>
      </c>
    </row>
    <row r="2850" spans="2:11" hidden="1" x14ac:dyDescent="0.25">
      <c r="B2850" s="28" t="str">
        <f>IF(ISNUMBER(MATCH(C2850, Mgt_Unit!$C$5:$C$1018, 0)), INDEX(Mgt_Unit!$B$5:$B$1018, MATCH(C2850, Mgt_Unit!$C$5:$C$1018, 0)), "")</f>
        <v>jennifer.moore</v>
      </c>
      <c r="C2850" t="s">
        <v>1018</v>
      </c>
      <c r="E2850" s="17" t="s">
        <v>1585</v>
      </c>
      <c r="F2850" s="89">
        <v>43362</v>
      </c>
      <c r="J2850" t="s">
        <v>1398</v>
      </c>
      <c r="K2850" s="120">
        <v>4</v>
      </c>
    </row>
    <row r="2851" spans="2:11" hidden="1" x14ac:dyDescent="0.25">
      <c r="B2851" s="28" t="str">
        <f>IF(ISNUMBER(MATCH(C2851, Mgt_Unit!$C$5:$C$1018, 0)), INDEX(Mgt_Unit!$B$5:$B$1018, MATCH(C2851, Mgt_Unit!$C$5:$C$1018, 0)), "")</f>
        <v>jennifer.moore</v>
      </c>
      <c r="C2851" t="s">
        <v>1018</v>
      </c>
      <c r="E2851" s="17" t="s">
        <v>1585</v>
      </c>
      <c r="F2851" s="89">
        <v>43648</v>
      </c>
      <c r="J2851" t="s">
        <v>1398</v>
      </c>
      <c r="K2851" s="120">
        <v>4</v>
      </c>
    </row>
    <row r="2852" spans="2:11" hidden="1" x14ac:dyDescent="0.25">
      <c r="B2852" s="28" t="str">
        <f>IF(ISNUMBER(MATCH(C2852, Mgt_Unit!$C$5:$C$1018, 0)), INDEX(Mgt_Unit!$B$5:$B$1018, MATCH(C2852, Mgt_Unit!$C$5:$C$1018, 0)), "")</f>
        <v>jennifer.moore</v>
      </c>
      <c r="C2852" t="s">
        <v>1018</v>
      </c>
      <c r="E2852" s="17" t="s">
        <v>1585</v>
      </c>
      <c r="F2852" s="89">
        <v>43735</v>
      </c>
      <c r="J2852" t="s">
        <v>1398</v>
      </c>
      <c r="K2852" s="120">
        <v>4</v>
      </c>
    </row>
    <row r="2853" spans="2:11" hidden="1" x14ac:dyDescent="0.25">
      <c r="B2853" s="28" t="str">
        <f>IF(ISNUMBER(MATCH(C2853, Mgt_Unit!$C$5:$C$1018, 0)), INDEX(Mgt_Unit!$B$5:$B$1018, MATCH(C2853, Mgt_Unit!$C$5:$C$1018, 0)), "")</f>
        <v>jennifer.moore</v>
      </c>
      <c r="C2853" t="s">
        <v>1019</v>
      </c>
      <c r="E2853" s="17" t="s">
        <v>1583</v>
      </c>
      <c r="F2853" s="89">
        <v>43353</v>
      </c>
      <c r="J2853" t="s">
        <v>1396</v>
      </c>
      <c r="K2853" s="120">
        <v>37</v>
      </c>
    </row>
    <row r="2854" spans="2:11" hidden="1" x14ac:dyDescent="0.25">
      <c r="B2854" s="28" t="str">
        <f>IF(ISNUMBER(MATCH(C2854, Mgt_Unit!$C$5:$C$1018, 0)), INDEX(Mgt_Unit!$B$5:$B$1018, MATCH(C2854, Mgt_Unit!$C$5:$C$1018, 0)), "")</f>
        <v>jennifer.moore</v>
      </c>
      <c r="C2854" t="s">
        <v>1019</v>
      </c>
      <c r="E2854" s="17" t="s">
        <v>1583</v>
      </c>
      <c r="F2854" s="89">
        <v>43357</v>
      </c>
      <c r="J2854" t="s">
        <v>1396</v>
      </c>
      <c r="K2854" s="120">
        <v>37</v>
      </c>
    </row>
    <row r="2855" spans="2:11" hidden="1" x14ac:dyDescent="0.25">
      <c r="B2855" s="28" t="str">
        <f>IF(ISNUMBER(MATCH(C2855, Mgt_Unit!$C$5:$C$1018, 0)), INDEX(Mgt_Unit!$B$5:$B$1018, MATCH(C2855, Mgt_Unit!$C$5:$C$1018, 0)), "")</f>
        <v>jennifer.moore</v>
      </c>
      <c r="C2855" t="s">
        <v>1019</v>
      </c>
      <c r="E2855" s="17" t="s">
        <v>1583</v>
      </c>
      <c r="F2855" s="89">
        <v>43358</v>
      </c>
      <c r="J2855" t="s">
        <v>1482</v>
      </c>
      <c r="K2855" s="120">
        <v>26</v>
      </c>
    </row>
    <row r="2856" spans="2:11" hidden="1" x14ac:dyDescent="0.25">
      <c r="B2856" s="28" t="str">
        <f>IF(ISNUMBER(MATCH(C2856, Mgt_Unit!$C$5:$C$1018, 0)), INDEX(Mgt_Unit!$B$5:$B$1018, MATCH(C2856, Mgt_Unit!$C$5:$C$1018, 0)), "")</f>
        <v>jennifer.moore</v>
      </c>
      <c r="C2856" t="s">
        <v>1019</v>
      </c>
      <c r="E2856" s="17" t="s">
        <v>1585</v>
      </c>
      <c r="F2856" s="89">
        <v>43362</v>
      </c>
      <c r="J2856" t="s">
        <v>1398</v>
      </c>
      <c r="K2856" s="120">
        <v>4</v>
      </c>
    </row>
    <row r="2857" spans="2:11" hidden="1" x14ac:dyDescent="0.25">
      <c r="B2857" s="28" t="str">
        <f>IF(ISNUMBER(MATCH(C2857, Mgt_Unit!$C$5:$C$1018, 0)), INDEX(Mgt_Unit!$B$5:$B$1018, MATCH(C2857, Mgt_Unit!$C$5:$C$1018, 0)), "")</f>
        <v>jennifer.moore</v>
      </c>
      <c r="C2857" t="s">
        <v>1019</v>
      </c>
      <c r="E2857" s="17" t="s">
        <v>1585</v>
      </c>
      <c r="F2857" s="89">
        <v>43648</v>
      </c>
      <c r="J2857" t="s">
        <v>1398</v>
      </c>
      <c r="K2857" s="120">
        <v>4</v>
      </c>
    </row>
    <row r="2858" spans="2:11" hidden="1" x14ac:dyDescent="0.25">
      <c r="B2858" s="28" t="str">
        <f>IF(ISNUMBER(MATCH(C2858, Mgt_Unit!$C$5:$C$1018, 0)), INDEX(Mgt_Unit!$B$5:$B$1018, MATCH(C2858, Mgt_Unit!$C$5:$C$1018, 0)), "")</f>
        <v>jennifer.moore</v>
      </c>
      <c r="C2858" t="s">
        <v>1019</v>
      </c>
      <c r="E2858" s="17" t="s">
        <v>1585</v>
      </c>
      <c r="F2858" s="89">
        <v>43736</v>
      </c>
      <c r="J2858" t="s">
        <v>1398</v>
      </c>
      <c r="K2858" s="120">
        <v>4</v>
      </c>
    </row>
    <row r="2859" spans="2:11" hidden="1" x14ac:dyDescent="0.25">
      <c r="B2859" s="28" t="str">
        <f>IF(ISNUMBER(MATCH(C2859, Mgt_Unit!$C$5:$C$1018, 0)), INDEX(Mgt_Unit!$B$5:$B$1018, MATCH(C2859, Mgt_Unit!$C$5:$C$1018, 0)), "")</f>
        <v>jennifer.moore</v>
      </c>
      <c r="C2859" t="s">
        <v>1020</v>
      </c>
      <c r="E2859" s="17" t="s">
        <v>1585</v>
      </c>
      <c r="F2859" s="89">
        <v>42467</v>
      </c>
      <c r="J2859" t="s">
        <v>1498</v>
      </c>
      <c r="K2859" s="120">
        <v>24</v>
      </c>
    </row>
    <row r="2860" spans="2:11" hidden="1" x14ac:dyDescent="0.25">
      <c r="B2860" s="28" t="str">
        <f>IF(ISNUMBER(MATCH(C2860, Mgt_Unit!$C$5:$C$1018, 0)), INDEX(Mgt_Unit!$B$5:$B$1018, MATCH(C2860, Mgt_Unit!$C$5:$C$1018, 0)), "")</f>
        <v>jennifer.moore</v>
      </c>
      <c r="C2860" t="s">
        <v>1020</v>
      </c>
      <c r="E2860" s="17" t="s">
        <v>1584</v>
      </c>
      <c r="F2860" s="89">
        <v>42664</v>
      </c>
      <c r="J2860" t="s">
        <v>1498</v>
      </c>
      <c r="K2860" s="120">
        <v>24</v>
      </c>
    </row>
    <row r="2861" spans="2:11" hidden="1" x14ac:dyDescent="0.25">
      <c r="B2861" s="28" t="str">
        <f>IF(ISNUMBER(MATCH(C2861, Mgt_Unit!$C$5:$C$1018, 0)), INDEX(Mgt_Unit!$B$5:$B$1018, MATCH(C2861, Mgt_Unit!$C$5:$C$1018, 0)), "")</f>
        <v>jennifer.moore</v>
      </c>
      <c r="C2861" t="s">
        <v>1020</v>
      </c>
      <c r="E2861" s="17" t="s">
        <v>1585</v>
      </c>
      <c r="F2861" s="89">
        <v>43199</v>
      </c>
      <c r="J2861" t="s">
        <v>1498</v>
      </c>
      <c r="K2861" s="120">
        <v>24</v>
      </c>
    </row>
    <row r="2862" spans="2:11" hidden="1" x14ac:dyDescent="0.25">
      <c r="B2862" s="28" t="str">
        <f>IF(ISNUMBER(MATCH(C2862, Mgt_Unit!$C$5:$C$1018, 0)), INDEX(Mgt_Unit!$B$5:$B$1018, MATCH(C2862, Mgt_Unit!$C$5:$C$1018, 0)), "")</f>
        <v>jennifer.moore</v>
      </c>
      <c r="C2862" t="s">
        <v>1020</v>
      </c>
      <c r="E2862" s="17" t="s">
        <v>1584</v>
      </c>
      <c r="F2862" s="89">
        <v>43394</v>
      </c>
      <c r="J2862" t="s">
        <v>1498</v>
      </c>
      <c r="K2862" s="120">
        <v>24</v>
      </c>
    </row>
    <row r="2863" spans="2:11" hidden="1" x14ac:dyDescent="0.25">
      <c r="B2863" s="28" t="str">
        <f>IF(ISNUMBER(MATCH(C2863, Mgt_Unit!$C$5:$C$1018, 0)), INDEX(Mgt_Unit!$B$5:$B$1018, MATCH(C2863, Mgt_Unit!$C$5:$C$1018, 0)), "")</f>
        <v>jennifer.moore</v>
      </c>
      <c r="C2863" t="s">
        <v>1021</v>
      </c>
      <c r="E2863" s="17" t="s">
        <v>1584</v>
      </c>
      <c r="F2863" s="89">
        <v>42664</v>
      </c>
      <c r="J2863" t="s">
        <v>1498</v>
      </c>
      <c r="K2863" s="120">
        <v>24</v>
      </c>
    </row>
    <row r="2864" spans="2:11" hidden="1" x14ac:dyDescent="0.25">
      <c r="B2864" s="28" t="str">
        <f>IF(ISNUMBER(MATCH(C2864, Mgt_Unit!$C$5:$C$1018, 0)), INDEX(Mgt_Unit!$B$5:$B$1018, MATCH(C2864, Mgt_Unit!$C$5:$C$1018, 0)), "")</f>
        <v>jennifer.moore</v>
      </c>
      <c r="C2864" t="s">
        <v>1021</v>
      </c>
      <c r="E2864" s="17" t="s">
        <v>1584</v>
      </c>
      <c r="F2864" s="89">
        <v>43394</v>
      </c>
      <c r="J2864" t="s">
        <v>1498</v>
      </c>
      <c r="K2864" s="120">
        <v>24</v>
      </c>
    </row>
    <row r="2865" spans="2:11" hidden="1" x14ac:dyDescent="0.25">
      <c r="B2865" s="28" t="str">
        <f>IF(ISNUMBER(MATCH(C2865, Mgt_Unit!$C$5:$C$1018, 0)), INDEX(Mgt_Unit!$B$5:$B$1018, MATCH(C2865, Mgt_Unit!$C$5:$C$1018, 0)), "")</f>
        <v>jennifer.moore</v>
      </c>
      <c r="C2865" t="s">
        <v>1022</v>
      </c>
      <c r="E2865" s="17" t="s">
        <v>1583</v>
      </c>
      <c r="F2865" s="89">
        <v>42504</v>
      </c>
      <c r="J2865" t="s">
        <v>1436</v>
      </c>
      <c r="K2865" s="120">
        <v>42</v>
      </c>
    </row>
    <row r="2866" spans="2:11" hidden="1" x14ac:dyDescent="0.25">
      <c r="B2866" s="28" t="str">
        <f>IF(ISNUMBER(MATCH(C2866, Mgt_Unit!$C$5:$C$1018, 0)), INDEX(Mgt_Unit!$B$5:$B$1018, MATCH(C2866, Mgt_Unit!$C$5:$C$1018, 0)), "")</f>
        <v>jennifer.moore</v>
      </c>
      <c r="C2866" t="s">
        <v>1022</v>
      </c>
      <c r="E2866" s="17" t="s">
        <v>1583</v>
      </c>
      <c r="F2866" s="89">
        <v>42504</v>
      </c>
      <c r="J2866" t="s">
        <v>1499</v>
      </c>
      <c r="K2866" s="120">
        <v>7</v>
      </c>
    </row>
    <row r="2867" spans="2:11" hidden="1" x14ac:dyDescent="0.25">
      <c r="B2867" s="28" t="str">
        <f>IF(ISNUMBER(MATCH(C2867, Mgt_Unit!$C$5:$C$1018, 0)), INDEX(Mgt_Unit!$B$5:$B$1018, MATCH(C2867, Mgt_Unit!$C$5:$C$1018, 0)), "")</f>
        <v>jennifer.moore</v>
      </c>
      <c r="C2867" t="s">
        <v>1022</v>
      </c>
      <c r="E2867" s="17" t="s">
        <v>1584</v>
      </c>
      <c r="F2867" s="89">
        <v>42664</v>
      </c>
      <c r="J2867" t="s">
        <v>1498</v>
      </c>
      <c r="K2867" s="120">
        <v>24</v>
      </c>
    </row>
    <row r="2868" spans="2:11" hidden="1" x14ac:dyDescent="0.25">
      <c r="B2868" s="28" t="str">
        <f>IF(ISNUMBER(MATCH(C2868, Mgt_Unit!$C$5:$C$1018, 0)), INDEX(Mgt_Unit!$B$5:$B$1018, MATCH(C2868, Mgt_Unit!$C$5:$C$1018, 0)), "")</f>
        <v>jennifer.moore</v>
      </c>
      <c r="C2868" t="s">
        <v>1022</v>
      </c>
      <c r="E2868" s="17" t="s">
        <v>1583</v>
      </c>
      <c r="F2868" s="89">
        <v>43234</v>
      </c>
      <c r="J2868" t="s">
        <v>1436</v>
      </c>
      <c r="K2868" s="120">
        <v>42</v>
      </c>
    </row>
    <row r="2869" spans="2:11" hidden="1" x14ac:dyDescent="0.25">
      <c r="B2869" s="28" t="str">
        <f>IF(ISNUMBER(MATCH(C2869, Mgt_Unit!$C$5:$C$1018, 0)), INDEX(Mgt_Unit!$B$5:$B$1018, MATCH(C2869, Mgt_Unit!$C$5:$C$1018, 0)), "")</f>
        <v>jennifer.moore</v>
      </c>
      <c r="C2869" t="s">
        <v>1022</v>
      </c>
      <c r="E2869" s="17" t="s">
        <v>1583</v>
      </c>
      <c r="F2869" s="89">
        <v>43234</v>
      </c>
      <c r="J2869" t="s">
        <v>1499</v>
      </c>
      <c r="K2869" s="120">
        <v>7</v>
      </c>
    </row>
    <row r="2870" spans="2:11" hidden="1" x14ac:dyDescent="0.25">
      <c r="B2870" s="28" t="str">
        <f>IF(ISNUMBER(MATCH(C2870, Mgt_Unit!$C$5:$C$1018, 0)), INDEX(Mgt_Unit!$B$5:$B$1018, MATCH(C2870, Mgt_Unit!$C$5:$C$1018, 0)), "")</f>
        <v>jennifer.moore</v>
      </c>
      <c r="C2870" t="s">
        <v>1022</v>
      </c>
      <c r="E2870" s="17" t="s">
        <v>1584</v>
      </c>
      <c r="F2870" s="89">
        <v>43394</v>
      </c>
      <c r="J2870" t="s">
        <v>1498</v>
      </c>
      <c r="K2870" s="120">
        <v>24</v>
      </c>
    </row>
    <row r="2871" spans="2:11" hidden="1" x14ac:dyDescent="0.25">
      <c r="B2871" s="28" t="str">
        <f>IF(ISNUMBER(MATCH(C2871, Mgt_Unit!$C$5:$C$1018, 0)), INDEX(Mgt_Unit!$B$5:$B$1018, MATCH(C2871, Mgt_Unit!$C$5:$C$1018, 0)), "")</f>
        <v>jennifer.moore</v>
      </c>
      <c r="C2871" t="s">
        <v>1023</v>
      </c>
      <c r="E2871" s="17" t="s">
        <v>1583</v>
      </c>
      <c r="F2871" s="89">
        <v>43169</v>
      </c>
      <c r="J2871" t="s">
        <v>1500</v>
      </c>
      <c r="K2871" s="120">
        <v>33</v>
      </c>
    </row>
    <row r="2872" spans="2:11" hidden="1" x14ac:dyDescent="0.25">
      <c r="B2872" s="28" t="str">
        <f>IF(ISNUMBER(MATCH(C2872, Mgt_Unit!$C$5:$C$1018, 0)), INDEX(Mgt_Unit!$B$5:$B$1018, MATCH(C2872, Mgt_Unit!$C$5:$C$1018, 0)), "")</f>
        <v>jennifer.moore</v>
      </c>
      <c r="C2872" t="s">
        <v>1023</v>
      </c>
      <c r="E2872" s="17" t="s">
        <v>1584</v>
      </c>
      <c r="F2872" s="89">
        <v>43184</v>
      </c>
      <c r="J2872" t="s">
        <v>1353</v>
      </c>
      <c r="K2872" s="120">
        <v>2.4</v>
      </c>
    </row>
    <row r="2873" spans="2:11" hidden="1" x14ac:dyDescent="0.25">
      <c r="B2873" s="28" t="str">
        <f>IF(ISNUMBER(MATCH(C2873, Mgt_Unit!$C$5:$C$1018, 0)), INDEX(Mgt_Unit!$B$5:$B$1018, MATCH(C2873, Mgt_Unit!$C$5:$C$1018, 0)), "")</f>
        <v>jennifer.moore</v>
      </c>
      <c r="C2873" t="s">
        <v>1023</v>
      </c>
      <c r="E2873" s="17" t="s">
        <v>1583</v>
      </c>
      <c r="F2873" s="89">
        <v>43374</v>
      </c>
      <c r="J2873" t="s">
        <v>1500</v>
      </c>
      <c r="K2873" s="120">
        <v>33</v>
      </c>
    </row>
    <row r="2874" spans="2:11" hidden="1" x14ac:dyDescent="0.25">
      <c r="B2874" s="28" t="str">
        <f>IF(ISNUMBER(MATCH(C2874, Mgt_Unit!$C$5:$C$1018, 0)), INDEX(Mgt_Unit!$B$5:$B$1018, MATCH(C2874, Mgt_Unit!$C$5:$C$1018, 0)), "")</f>
        <v>jennifer.moore</v>
      </c>
      <c r="C2874" t="s">
        <v>1023</v>
      </c>
      <c r="E2874" s="17" t="s">
        <v>1584</v>
      </c>
      <c r="F2874" s="89">
        <v>43388</v>
      </c>
      <c r="J2874" t="s">
        <v>1353</v>
      </c>
      <c r="K2874" s="120">
        <v>2.4</v>
      </c>
    </row>
    <row r="2875" spans="2:11" hidden="1" x14ac:dyDescent="0.25">
      <c r="B2875" s="28" t="str">
        <f>IF(ISNUMBER(MATCH(C2875, Mgt_Unit!$C$5:$C$1018, 0)), INDEX(Mgt_Unit!$B$5:$B$1018, MATCH(C2875, Mgt_Unit!$C$5:$C$1018, 0)), "")</f>
        <v>jennifer.moore</v>
      </c>
      <c r="C2875" t="s">
        <v>1024</v>
      </c>
      <c r="E2875" s="17" t="s">
        <v>1584</v>
      </c>
      <c r="F2875" s="89">
        <v>43184</v>
      </c>
      <c r="J2875" t="s">
        <v>1353</v>
      </c>
      <c r="K2875" s="120">
        <v>2.4</v>
      </c>
    </row>
    <row r="2876" spans="2:11" hidden="1" x14ac:dyDescent="0.25">
      <c r="B2876" s="28" t="str">
        <f>IF(ISNUMBER(MATCH(C2876, Mgt_Unit!$C$5:$C$1018, 0)), INDEX(Mgt_Unit!$B$5:$B$1018, MATCH(C2876, Mgt_Unit!$C$5:$C$1018, 0)), "")</f>
        <v>jennifer.moore</v>
      </c>
      <c r="C2876" t="s">
        <v>1024</v>
      </c>
      <c r="E2876" s="17" t="s">
        <v>1584</v>
      </c>
      <c r="F2876" s="89">
        <v>43388</v>
      </c>
      <c r="J2876" t="s">
        <v>1353</v>
      </c>
      <c r="K2876" s="120">
        <v>2.4</v>
      </c>
    </row>
    <row r="2877" spans="2:11" hidden="1" x14ac:dyDescent="0.25">
      <c r="B2877" s="28" t="str">
        <f>IF(ISNUMBER(MATCH(C2877, Mgt_Unit!$C$5:$C$1018, 0)), INDEX(Mgt_Unit!$B$5:$B$1018, MATCH(C2877, Mgt_Unit!$C$5:$C$1018, 0)), "")</f>
        <v>jennifer.moore</v>
      </c>
      <c r="C2877" t="s">
        <v>1025</v>
      </c>
      <c r="E2877" s="17" t="s">
        <v>1583</v>
      </c>
      <c r="F2877" s="89">
        <v>43169</v>
      </c>
      <c r="J2877" t="s">
        <v>1402</v>
      </c>
      <c r="K2877" s="120">
        <v>65</v>
      </c>
    </row>
    <row r="2878" spans="2:11" hidden="1" x14ac:dyDescent="0.25">
      <c r="B2878" s="28" t="str">
        <f>IF(ISNUMBER(MATCH(C2878, Mgt_Unit!$C$5:$C$1018, 0)), INDEX(Mgt_Unit!$B$5:$B$1018, MATCH(C2878, Mgt_Unit!$C$5:$C$1018, 0)), "")</f>
        <v>jennifer.moore</v>
      </c>
      <c r="C2878" t="s">
        <v>1025</v>
      </c>
      <c r="E2878" s="17" t="s">
        <v>1584</v>
      </c>
      <c r="F2878" s="89">
        <v>43184</v>
      </c>
      <c r="J2878" t="s">
        <v>1353</v>
      </c>
      <c r="K2878" s="120">
        <v>2.4</v>
      </c>
    </row>
    <row r="2879" spans="2:11" hidden="1" x14ac:dyDescent="0.25">
      <c r="B2879" s="28" t="str">
        <f>IF(ISNUMBER(MATCH(C2879, Mgt_Unit!$C$5:$C$1018, 0)), INDEX(Mgt_Unit!$B$5:$B$1018, MATCH(C2879, Mgt_Unit!$C$5:$C$1018, 0)), "")</f>
        <v>jennifer.moore</v>
      </c>
      <c r="C2879" t="s">
        <v>1025</v>
      </c>
      <c r="E2879" s="17" t="s">
        <v>1583</v>
      </c>
      <c r="F2879" s="89">
        <v>43374</v>
      </c>
      <c r="J2879" t="s">
        <v>1501</v>
      </c>
      <c r="K2879" s="120">
        <v>49</v>
      </c>
    </row>
    <row r="2880" spans="2:11" hidden="1" x14ac:dyDescent="0.25">
      <c r="B2880" s="28" t="str">
        <f>IF(ISNUMBER(MATCH(C2880, Mgt_Unit!$C$5:$C$1018, 0)), INDEX(Mgt_Unit!$B$5:$B$1018, MATCH(C2880, Mgt_Unit!$C$5:$C$1018, 0)), "")</f>
        <v>jennifer.moore</v>
      </c>
      <c r="C2880" t="s">
        <v>1025</v>
      </c>
      <c r="E2880" s="17" t="s">
        <v>1584</v>
      </c>
      <c r="F2880" s="89">
        <v>43388</v>
      </c>
      <c r="J2880" t="s">
        <v>1353</v>
      </c>
      <c r="K2880" s="120">
        <v>2.4</v>
      </c>
    </row>
    <row r="2881" spans="2:11" hidden="1" x14ac:dyDescent="0.25">
      <c r="B2881" s="28" t="str">
        <f>IF(ISNUMBER(MATCH(C2881, Mgt_Unit!$C$5:$C$1018, 0)), INDEX(Mgt_Unit!$B$5:$B$1018, MATCH(C2881, Mgt_Unit!$C$5:$C$1018, 0)), "")</f>
        <v>jennifer.moore</v>
      </c>
      <c r="C2881" t="s">
        <v>1026</v>
      </c>
      <c r="E2881" s="17" t="s">
        <v>1583</v>
      </c>
      <c r="F2881" s="89">
        <v>43218</v>
      </c>
      <c r="J2881" t="s">
        <v>1402</v>
      </c>
      <c r="K2881" s="120">
        <v>65</v>
      </c>
    </row>
    <row r="2882" spans="2:11" hidden="1" x14ac:dyDescent="0.25">
      <c r="B2882" s="28" t="str">
        <f>IF(ISNUMBER(MATCH(C2882, Mgt_Unit!$C$5:$C$1018, 0)), INDEX(Mgt_Unit!$B$5:$B$1018, MATCH(C2882, Mgt_Unit!$C$5:$C$1018, 0)), "")</f>
        <v>jennifer.moore</v>
      </c>
      <c r="C2882" t="s">
        <v>1026</v>
      </c>
      <c r="E2882" s="17" t="s">
        <v>1583</v>
      </c>
      <c r="F2882" s="89">
        <v>43219</v>
      </c>
      <c r="J2882" t="s">
        <v>1502</v>
      </c>
      <c r="K2882" s="120">
        <v>28</v>
      </c>
    </row>
    <row r="2883" spans="2:11" hidden="1" x14ac:dyDescent="0.25">
      <c r="B2883" s="28" t="str">
        <f>IF(ISNUMBER(MATCH(C2883, Mgt_Unit!$C$5:$C$1018, 0)), INDEX(Mgt_Unit!$B$5:$B$1018, MATCH(C2883, Mgt_Unit!$C$5:$C$1018, 0)), "")</f>
        <v>jennifer.moore</v>
      </c>
      <c r="C2883" t="s">
        <v>1026</v>
      </c>
      <c r="E2883" s="17" t="s">
        <v>1583</v>
      </c>
      <c r="F2883" s="89">
        <v>43311</v>
      </c>
      <c r="J2883" t="s">
        <v>1402</v>
      </c>
      <c r="K2883" s="120">
        <v>65</v>
      </c>
    </row>
    <row r="2884" spans="2:11" hidden="1" x14ac:dyDescent="0.25">
      <c r="B2884" s="28" t="str">
        <f>IF(ISNUMBER(MATCH(C2884, Mgt_Unit!$C$5:$C$1018, 0)), INDEX(Mgt_Unit!$B$5:$B$1018, MATCH(C2884, Mgt_Unit!$C$5:$C$1018, 0)), "")</f>
        <v>jennifer.moore</v>
      </c>
      <c r="C2884" t="s">
        <v>1026</v>
      </c>
      <c r="E2884" s="17" t="s">
        <v>1583</v>
      </c>
      <c r="F2884" s="89">
        <v>43312</v>
      </c>
      <c r="J2884" t="s">
        <v>1502</v>
      </c>
      <c r="K2884" s="120">
        <v>28</v>
      </c>
    </row>
    <row r="2885" spans="2:11" hidden="1" x14ac:dyDescent="0.25">
      <c r="B2885" s="28" t="str">
        <f>IF(ISNUMBER(MATCH(C2885, Mgt_Unit!$C$5:$C$1018, 0)), INDEX(Mgt_Unit!$B$5:$B$1018, MATCH(C2885, Mgt_Unit!$C$5:$C$1018, 0)), "")</f>
        <v>jennifer.moore</v>
      </c>
      <c r="C2885" t="s">
        <v>1026</v>
      </c>
      <c r="E2885" s="17" t="s">
        <v>1584</v>
      </c>
      <c r="F2885" s="89">
        <v>43388</v>
      </c>
      <c r="J2885" t="s">
        <v>1353</v>
      </c>
      <c r="K2885" s="120">
        <v>2.4</v>
      </c>
    </row>
    <row r="2886" spans="2:11" hidden="1" x14ac:dyDescent="0.25">
      <c r="B2886" s="28" t="str">
        <f>IF(ISNUMBER(MATCH(C2886, Mgt_Unit!$C$5:$C$1018, 0)), INDEX(Mgt_Unit!$B$5:$B$1018, MATCH(C2886, Mgt_Unit!$C$5:$C$1018, 0)), "")</f>
        <v>jennifer.moore</v>
      </c>
      <c r="C2886" t="s">
        <v>1027</v>
      </c>
      <c r="E2886" s="17" t="s">
        <v>1583</v>
      </c>
      <c r="F2886" s="89">
        <v>43215</v>
      </c>
      <c r="J2886" t="s">
        <v>1503</v>
      </c>
      <c r="K2886" s="120">
        <v>0.15</v>
      </c>
    </row>
    <row r="2887" spans="2:11" hidden="1" x14ac:dyDescent="0.25">
      <c r="B2887" s="28" t="str">
        <f>IF(ISNUMBER(MATCH(C2887, Mgt_Unit!$C$5:$C$1018, 0)), INDEX(Mgt_Unit!$B$5:$B$1018, MATCH(C2887, Mgt_Unit!$C$5:$C$1018, 0)), "")</f>
        <v>jennifer.moore</v>
      </c>
      <c r="C2887" t="s">
        <v>1027</v>
      </c>
      <c r="E2887" s="17" t="s">
        <v>1583</v>
      </c>
      <c r="F2887" s="89">
        <v>43218</v>
      </c>
      <c r="J2887" t="s">
        <v>1402</v>
      </c>
      <c r="K2887" s="120">
        <v>65</v>
      </c>
    </row>
    <row r="2888" spans="2:11" hidden="1" x14ac:dyDescent="0.25">
      <c r="B2888" s="28" t="str">
        <f>IF(ISNUMBER(MATCH(C2888, Mgt_Unit!$C$5:$C$1018, 0)), INDEX(Mgt_Unit!$B$5:$B$1018, MATCH(C2888, Mgt_Unit!$C$5:$C$1018, 0)), "")</f>
        <v>jennifer.moore</v>
      </c>
      <c r="C2888" t="s">
        <v>1027</v>
      </c>
      <c r="E2888" s="17" t="s">
        <v>1583</v>
      </c>
      <c r="F2888" s="89">
        <v>43219</v>
      </c>
      <c r="J2888" t="s">
        <v>1502</v>
      </c>
      <c r="K2888" s="120">
        <v>28</v>
      </c>
    </row>
    <row r="2889" spans="2:11" hidden="1" x14ac:dyDescent="0.25">
      <c r="B2889" s="28" t="str">
        <f>IF(ISNUMBER(MATCH(C2889, Mgt_Unit!$C$5:$C$1018, 0)), INDEX(Mgt_Unit!$B$5:$B$1018, MATCH(C2889, Mgt_Unit!$C$5:$C$1018, 0)), "")</f>
        <v>jennifer.moore</v>
      </c>
      <c r="C2889" t="s">
        <v>1027</v>
      </c>
      <c r="E2889" s="17" t="s">
        <v>1583</v>
      </c>
      <c r="F2889" s="89">
        <v>43311</v>
      </c>
      <c r="J2889" t="s">
        <v>1402</v>
      </c>
      <c r="K2889" s="120">
        <v>65</v>
      </c>
    </row>
    <row r="2890" spans="2:11" hidden="1" x14ac:dyDescent="0.25">
      <c r="B2890" s="28" t="str">
        <f>IF(ISNUMBER(MATCH(C2890, Mgt_Unit!$C$5:$C$1018, 0)), INDEX(Mgt_Unit!$B$5:$B$1018, MATCH(C2890, Mgt_Unit!$C$5:$C$1018, 0)), "")</f>
        <v>jennifer.moore</v>
      </c>
      <c r="C2890" t="s">
        <v>1027</v>
      </c>
      <c r="E2890" s="17" t="s">
        <v>1583</v>
      </c>
      <c r="F2890" s="89">
        <v>43312</v>
      </c>
      <c r="J2890" t="s">
        <v>1502</v>
      </c>
      <c r="K2890" s="120">
        <v>28</v>
      </c>
    </row>
    <row r="2891" spans="2:11" hidden="1" x14ac:dyDescent="0.25">
      <c r="B2891" s="28" t="str">
        <f>IF(ISNUMBER(MATCH(C2891, Mgt_Unit!$C$5:$C$1018, 0)), INDEX(Mgt_Unit!$B$5:$B$1018, MATCH(C2891, Mgt_Unit!$C$5:$C$1018, 0)), "")</f>
        <v>jennifer.moore</v>
      </c>
      <c r="C2891" t="s">
        <v>1027</v>
      </c>
      <c r="E2891" s="17" t="s">
        <v>1584</v>
      </c>
      <c r="F2891" s="89">
        <v>43388</v>
      </c>
      <c r="J2891" t="s">
        <v>1353</v>
      </c>
      <c r="K2891" s="120">
        <v>2.4</v>
      </c>
    </row>
    <row r="2892" spans="2:11" hidden="1" x14ac:dyDescent="0.25">
      <c r="B2892" s="28" t="str">
        <f>IF(ISNUMBER(MATCH(C2892, Mgt_Unit!$C$5:$C$1018, 0)), INDEX(Mgt_Unit!$B$5:$B$1018, MATCH(C2892, Mgt_Unit!$C$5:$C$1018, 0)), "")</f>
        <v>jennifer.moore</v>
      </c>
      <c r="C2892" t="s">
        <v>1028</v>
      </c>
      <c r="E2892" s="17" t="s">
        <v>1583</v>
      </c>
      <c r="F2892" s="89">
        <v>43218</v>
      </c>
      <c r="J2892" t="s">
        <v>1402</v>
      </c>
      <c r="K2892" s="120">
        <v>65</v>
      </c>
    </row>
    <row r="2893" spans="2:11" hidden="1" x14ac:dyDescent="0.25">
      <c r="B2893" s="28" t="str">
        <f>IF(ISNUMBER(MATCH(C2893, Mgt_Unit!$C$5:$C$1018, 0)), INDEX(Mgt_Unit!$B$5:$B$1018, MATCH(C2893, Mgt_Unit!$C$5:$C$1018, 0)), "")</f>
        <v>jennifer.moore</v>
      </c>
      <c r="C2893" t="s">
        <v>1028</v>
      </c>
      <c r="E2893" s="17" t="s">
        <v>1583</v>
      </c>
      <c r="F2893" s="89">
        <v>43219</v>
      </c>
      <c r="J2893" t="s">
        <v>1502</v>
      </c>
      <c r="K2893" s="120">
        <v>28</v>
      </c>
    </row>
    <row r="2894" spans="2:11" hidden="1" x14ac:dyDescent="0.25">
      <c r="B2894" s="28" t="str">
        <f>IF(ISNUMBER(MATCH(C2894, Mgt_Unit!$C$5:$C$1018, 0)), INDEX(Mgt_Unit!$B$5:$B$1018, MATCH(C2894, Mgt_Unit!$C$5:$C$1018, 0)), "")</f>
        <v>jennifer.moore</v>
      </c>
      <c r="C2894" t="s">
        <v>1028</v>
      </c>
      <c r="E2894" s="17" t="s">
        <v>1583</v>
      </c>
      <c r="F2894" s="89">
        <v>43311</v>
      </c>
      <c r="J2894" t="s">
        <v>1402</v>
      </c>
      <c r="K2894" s="120">
        <v>65</v>
      </c>
    </row>
    <row r="2895" spans="2:11" hidden="1" x14ac:dyDescent="0.25">
      <c r="B2895" s="28" t="str">
        <f>IF(ISNUMBER(MATCH(C2895, Mgt_Unit!$C$5:$C$1018, 0)), INDEX(Mgt_Unit!$B$5:$B$1018, MATCH(C2895, Mgt_Unit!$C$5:$C$1018, 0)), "")</f>
        <v>jennifer.moore</v>
      </c>
      <c r="C2895" t="s">
        <v>1028</v>
      </c>
      <c r="E2895" s="17" t="s">
        <v>1583</v>
      </c>
      <c r="F2895" s="89">
        <v>43312</v>
      </c>
      <c r="J2895" t="s">
        <v>1502</v>
      </c>
      <c r="K2895" s="120">
        <v>28</v>
      </c>
    </row>
    <row r="2896" spans="2:11" hidden="1" x14ac:dyDescent="0.25">
      <c r="B2896" s="28" t="str">
        <f>IF(ISNUMBER(MATCH(C2896, Mgt_Unit!$C$5:$C$1018, 0)), INDEX(Mgt_Unit!$B$5:$B$1018, MATCH(C2896, Mgt_Unit!$C$5:$C$1018, 0)), "")</f>
        <v>jennifer.moore</v>
      </c>
      <c r="C2896" t="s">
        <v>1028</v>
      </c>
      <c r="E2896" s="17" t="s">
        <v>1584</v>
      </c>
      <c r="F2896" s="89">
        <v>43388</v>
      </c>
      <c r="J2896" t="s">
        <v>1353</v>
      </c>
      <c r="K2896" s="120">
        <v>2.4</v>
      </c>
    </row>
    <row r="2897" spans="2:11" hidden="1" x14ac:dyDescent="0.25">
      <c r="B2897" s="28" t="str">
        <f>IF(ISNUMBER(MATCH(C2897, Mgt_Unit!$C$5:$C$1018, 0)), INDEX(Mgt_Unit!$B$5:$B$1018, MATCH(C2897, Mgt_Unit!$C$5:$C$1018, 0)), "")</f>
        <v>jennifer.moore</v>
      </c>
      <c r="C2897" t="s">
        <v>1029</v>
      </c>
      <c r="E2897" s="17" t="s">
        <v>1583</v>
      </c>
      <c r="F2897" s="89">
        <v>43218</v>
      </c>
      <c r="J2897" t="s">
        <v>1402</v>
      </c>
      <c r="K2897" s="120">
        <v>65</v>
      </c>
    </row>
    <row r="2898" spans="2:11" hidden="1" x14ac:dyDescent="0.25">
      <c r="B2898" s="28" t="str">
        <f>IF(ISNUMBER(MATCH(C2898, Mgt_Unit!$C$5:$C$1018, 0)), INDEX(Mgt_Unit!$B$5:$B$1018, MATCH(C2898, Mgt_Unit!$C$5:$C$1018, 0)), "")</f>
        <v>jennifer.moore</v>
      </c>
      <c r="C2898" t="s">
        <v>1029</v>
      </c>
      <c r="E2898" s="17" t="s">
        <v>1583</v>
      </c>
      <c r="F2898" s="89">
        <v>43219</v>
      </c>
      <c r="J2898" t="s">
        <v>1502</v>
      </c>
      <c r="K2898" s="120">
        <v>28</v>
      </c>
    </row>
    <row r="2899" spans="2:11" hidden="1" x14ac:dyDescent="0.25">
      <c r="B2899" s="28" t="str">
        <f>IF(ISNUMBER(MATCH(C2899, Mgt_Unit!$C$5:$C$1018, 0)), INDEX(Mgt_Unit!$B$5:$B$1018, MATCH(C2899, Mgt_Unit!$C$5:$C$1018, 0)), "")</f>
        <v>jennifer.moore</v>
      </c>
      <c r="C2899" t="s">
        <v>1029</v>
      </c>
      <c r="E2899" s="17" t="s">
        <v>1583</v>
      </c>
      <c r="F2899" s="89">
        <v>43311</v>
      </c>
      <c r="J2899" t="s">
        <v>1402</v>
      </c>
      <c r="K2899" s="120">
        <v>65</v>
      </c>
    </row>
    <row r="2900" spans="2:11" hidden="1" x14ac:dyDescent="0.25">
      <c r="B2900" s="28" t="str">
        <f>IF(ISNUMBER(MATCH(C2900, Mgt_Unit!$C$5:$C$1018, 0)), INDEX(Mgt_Unit!$B$5:$B$1018, MATCH(C2900, Mgt_Unit!$C$5:$C$1018, 0)), "")</f>
        <v>jennifer.moore</v>
      </c>
      <c r="C2900" t="s">
        <v>1029</v>
      </c>
      <c r="E2900" s="17" t="s">
        <v>1583</v>
      </c>
      <c r="F2900" s="89">
        <v>43312</v>
      </c>
      <c r="J2900" t="s">
        <v>1502</v>
      </c>
      <c r="K2900" s="120">
        <v>28</v>
      </c>
    </row>
    <row r="2901" spans="2:11" hidden="1" x14ac:dyDescent="0.25">
      <c r="B2901" s="28" t="str">
        <f>IF(ISNUMBER(MATCH(C2901, Mgt_Unit!$C$5:$C$1018, 0)), INDEX(Mgt_Unit!$B$5:$B$1018, MATCH(C2901, Mgt_Unit!$C$5:$C$1018, 0)), "")</f>
        <v>jennifer.moore</v>
      </c>
      <c r="C2901" t="s">
        <v>1029</v>
      </c>
      <c r="E2901" s="17" t="s">
        <v>1584</v>
      </c>
      <c r="F2901" s="89">
        <v>43388</v>
      </c>
      <c r="J2901" t="s">
        <v>1353</v>
      </c>
      <c r="K2901" s="120">
        <v>2.4</v>
      </c>
    </row>
    <row r="2902" spans="2:11" hidden="1" x14ac:dyDescent="0.25">
      <c r="B2902" s="28" t="str">
        <f>IF(ISNUMBER(MATCH(C2902, Mgt_Unit!$C$5:$C$1018, 0)), INDEX(Mgt_Unit!$B$5:$B$1018, MATCH(C2902, Mgt_Unit!$C$5:$C$1018, 0)), "")</f>
        <v>jennifer.moore</v>
      </c>
      <c r="C2902" t="s">
        <v>1030</v>
      </c>
      <c r="E2902" s="17" t="s">
        <v>1583</v>
      </c>
      <c r="F2902" s="89">
        <v>42277</v>
      </c>
      <c r="J2902" t="s">
        <v>1396</v>
      </c>
      <c r="K2902" s="120">
        <v>37</v>
      </c>
    </row>
    <row r="2903" spans="2:11" hidden="1" x14ac:dyDescent="0.25">
      <c r="B2903" s="28" t="str">
        <f>IF(ISNUMBER(MATCH(C2903, Mgt_Unit!$C$5:$C$1018, 0)), INDEX(Mgt_Unit!$B$5:$B$1018, MATCH(C2903, Mgt_Unit!$C$5:$C$1018, 0)), "")</f>
        <v>jennifer.moore</v>
      </c>
      <c r="C2903" t="s">
        <v>1030</v>
      </c>
      <c r="E2903" s="17" t="s">
        <v>1583</v>
      </c>
      <c r="F2903" s="89">
        <v>42277</v>
      </c>
      <c r="J2903" t="s">
        <v>1402</v>
      </c>
      <c r="K2903" s="120">
        <v>65</v>
      </c>
    </row>
    <row r="2904" spans="2:11" hidden="1" x14ac:dyDescent="0.25">
      <c r="B2904" s="28" t="str">
        <f>IF(ISNUMBER(MATCH(C2904, Mgt_Unit!$C$5:$C$1018, 0)), INDEX(Mgt_Unit!$B$5:$B$1018, MATCH(C2904, Mgt_Unit!$C$5:$C$1018, 0)), "")</f>
        <v>jennifer.moore</v>
      </c>
      <c r="C2904" t="s">
        <v>1030</v>
      </c>
      <c r="E2904" s="17" t="s">
        <v>1583</v>
      </c>
      <c r="F2904" s="89">
        <v>42277</v>
      </c>
      <c r="J2904" t="s">
        <v>1449</v>
      </c>
      <c r="K2904" s="120">
        <v>36</v>
      </c>
    </row>
    <row r="2905" spans="2:11" hidden="1" x14ac:dyDescent="0.25">
      <c r="B2905" s="28" t="str">
        <f>IF(ISNUMBER(MATCH(C2905, Mgt_Unit!$C$5:$C$1018, 0)), INDEX(Mgt_Unit!$B$5:$B$1018, MATCH(C2905, Mgt_Unit!$C$5:$C$1018, 0)), "")</f>
        <v>jennifer.moore</v>
      </c>
      <c r="C2905" t="s">
        <v>1030</v>
      </c>
      <c r="E2905" s="17" t="s">
        <v>1584</v>
      </c>
      <c r="F2905" s="89">
        <v>42278</v>
      </c>
      <c r="J2905" t="s">
        <v>1355</v>
      </c>
      <c r="K2905" s="120">
        <v>6.3</v>
      </c>
    </row>
    <row r="2906" spans="2:11" hidden="1" x14ac:dyDescent="0.25">
      <c r="B2906" s="28" t="str">
        <f>IF(ISNUMBER(MATCH(C2906, Mgt_Unit!$C$5:$C$1018, 0)), INDEX(Mgt_Unit!$B$5:$B$1018, MATCH(C2906, Mgt_Unit!$C$5:$C$1018, 0)), "")</f>
        <v>jennifer.moore</v>
      </c>
      <c r="C2906" t="s">
        <v>1030</v>
      </c>
      <c r="E2906" s="17" t="s">
        <v>1585</v>
      </c>
      <c r="F2906" s="89">
        <v>42602</v>
      </c>
      <c r="J2906" t="s">
        <v>1462</v>
      </c>
      <c r="K2906" s="120">
        <v>6.3</v>
      </c>
    </row>
    <row r="2907" spans="2:11" hidden="1" x14ac:dyDescent="0.25">
      <c r="B2907" s="28" t="str">
        <f>IF(ISNUMBER(MATCH(C2907, Mgt_Unit!$C$5:$C$1018, 0)), INDEX(Mgt_Unit!$B$5:$B$1018, MATCH(C2907, Mgt_Unit!$C$5:$C$1018, 0)), "")</f>
        <v>jennifer.moore</v>
      </c>
      <c r="C2907" t="s">
        <v>1030</v>
      </c>
      <c r="E2907" s="17" t="s">
        <v>1584</v>
      </c>
      <c r="F2907" s="89">
        <v>42835</v>
      </c>
      <c r="J2907" t="s">
        <v>1443</v>
      </c>
      <c r="K2907" s="120">
        <v>4</v>
      </c>
    </row>
    <row r="2908" spans="2:11" hidden="1" x14ac:dyDescent="0.25">
      <c r="B2908" s="28" t="str">
        <f>IF(ISNUMBER(MATCH(C2908, Mgt_Unit!$C$5:$C$1018, 0)), INDEX(Mgt_Unit!$B$5:$B$1018, MATCH(C2908, Mgt_Unit!$C$5:$C$1018, 0)), "")</f>
        <v>jennifer.moore</v>
      </c>
      <c r="C2908" t="s">
        <v>1030</v>
      </c>
      <c r="E2908" s="17" t="s">
        <v>1585</v>
      </c>
      <c r="F2908" s="89">
        <v>43024</v>
      </c>
      <c r="J2908" t="s">
        <v>1422</v>
      </c>
      <c r="K2908" s="120">
        <v>0.52</v>
      </c>
    </row>
    <row r="2909" spans="2:11" hidden="1" x14ac:dyDescent="0.25">
      <c r="B2909" s="28" t="str">
        <f>IF(ISNUMBER(MATCH(C2909, Mgt_Unit!$C$5:$C$1018, 0)), INDEX(Mgt_Unit!$B$5:$B$1018, MATCH(C2909, Mgt_Unit!$C$5:$C$1018, 0)), "")</f>
        <v>jennifer.moore</v>
      </c>
      <c r="C2909" t="s">
        <v>1030</v>
      </c>
      <c r="E2909" s="17" t="s">
        <v>1583</v>
      </c>
      <c r="F2909" s="89">
        <v>43191</v>
      </c>
      <c r="J2909" t="s">
        <v>1449</v>
      </c>
      <c r="K2909" s="120">
        <v>36</v>
      </c>
    </row>
    <row r="2910" spans="2:11" hidden="1" x14ac:dyDescent="0.25">
      <c r="B2910" s="28" t="str">
        <f>IF(ISNUMBER(MATCH(C2910, Mgt_Unit!$C$5:$C$1018, 0)), INDEX(Mgt_Unit!$B$5:$B$1018, MATCH(C2910, Mgt_Unit!$C$5:$C$1018, 0)), "")</f>
        <v>jennifer.moore</v>
      </c>
      <c r="C2910" t="s">
        <v>1030</v>
      </c>
      <c r="E2910" s="17" t="s">
        <v>1584</v>
      </c>
      <c r="F2910" s="89">
        <v>43191</v>
      </c>
      <c r="J2910" t="s">
        <v>1355</v>
      </c>
      <c r="K2910" s="120">
        <v>6.3</v>
      </c>
    </row>
    <row r="2911" spans="2:11" hidden="1" x14ac:dyDescent="0.25">
      <c r="B2911" s="28" t="str">
        <f>IF(ISNUMBER(MATCH(C2911, Mgt_Unit!$C$5:$C$1018, 0)), INDEX(Mgt_Unit!$B$5:$B$1018, MATCH(C2911, Mgt_Unit!$C$5:$C$1018, 0)), "")</f>
        <v>jennifer.moore</v>
      </c>
      <c r="C2911" t="s">
        <v>1030</v>
      </c>
      <c r="E2911" s="17" t="s">
        <v>1584</v>
      </c>
      <c r="F2911" s="89">
        <v>43191</v>
      </c>
      <c r="J2911" t="s">
        <v>1355</v>
      </c>
      <c r="K2911" s="120">
        <v>6.3</v>
      </c>
    </row>
    <row r="2912" spans="2:11" hidden="1" x14ac:dyDescent="0.25">
      <c r="B2912" s="28" t="str">
        <f>IF(ISNUMBER(MATCH(C2912, Mgt_Unit!$C$5:$C$1018, 0)), INDEX(Mgt_Unit!$B$5:$B$1018, MATCH(C2912, Mgt_Unit!$C$5:$C$1018, 0)), "")</f>
        <v>jennifer.moore</v>
      </c>
      <c r="C2912" t="s">
        <v>1030</v>
      </c>
      <c r="E2912" s="17" t="s">
        <v>1583</v>
      </c>
      <c r="F2912" s="89">
        <v>43191</v>
      </c>
      <c r="J2912" t="s">
        <v>1396</v>
      </c>
      <c r="K2912" s="120">
        <v>37</v>
      </c>
    </row>
    <row r="2913" spans="2:11" hidden="1" x14ac:dyDescent="0.25">
      <c r="B2913" s="28" t="str">
        <f>IF(ISNUMBER(MATCH(C2913, Mgt_Unit!$C$5:$C$1018, 0)), INDEX(Mgt_Unit!$B$5:$B$1018, MATCH(C2913, Mgt_Unit!$C$5:$C$1018, 0)), "")</f>
        <v>jennifer.moore</v>
      </c>
      <c r="C2913" t="s">
        <v>1030</v>
      </c>
      <c r="E2913" s="17" t="s">
        <v>1583</v>
      </c>
      <c r="F2913" s="89">
        <v>43191</v>
      </c>
      <c r="J2913" t="s">
        <v>1402</v>
      </c>
      <c r="K2913" s="120">
        <v>65</v>
      </c>
    </row>
    <row r="2914" spans="2:11" hidden="1" x14ac:dyDescent="0.25">
      <c r="B2914" s="28" t="str">
        <f>IF(ISNUMBER(MATCH(C2914, Mgt_Unit!$C$5:$C$1018, 0)), INDEX(Mgt_Unit!$B$5:$B$1018, MATCH(C2914, Mgt_Unit!$C$5:$C$1018, 0)), "")</f>
        <v>jennifer.moore</v>
      </c>
      <c r="C2914" t="s">
        <v>1030</v>
      </c>
      <c r="E2914" s="17" t="s">
        <v>1583</v>
      </c>
      <c r="F2914" s="89">
        <v>43286</v>
      </c>
      <c r="J2914" t="s">
        <v>1402</v>
      </c>
      <c r="K2914" s="120">
        <v>65</v>
      </c>
    </row>
    <row r="2915" spans="2:11" hidden="1" x14ac:dyDescent="0.25">
      <c r="B2915" s="28" t="str">
        <f>IF(ISNUMBER(MATCH(C2915, Mgt_Unit!$C$5:$C$1018, 0)), INDEX(Mgt_Unit!$B$5:$B$1018, MATCH(C2915, Mgt_Unit!$C$5:$C$1018, 0)), "")</f>
        <v>jennifer.moore</v>
      </c>
      <c r="C2915" t="s">
        <v>1030</v>
      </c>
      <c r="E2915" s="17" t="s">
        <v>1584</v>
      </c>
      <c r="F2915" s="89">
        <v>43286</v>
      </c>
      <c r="J2915" t="s">
        <v>1422</v>
      </c>
      <c r="K2915" s="120">
        <v>0.52</v>
      </c>
    </row>
    <row r="2916" spans="2:11" hidden="1" x14ac:dyDescent="0.25">
      <c r="B2916" s="28" t="str">
        <f>IF(ISNUMBER(MATCH(C2916, Mgt_Unit!$C$5:$C$1018, 0)), INDEX(Mgt_Unit!$B$5:$B$1018, MATCH(C2916, Mgt_Unit!$C$5:$C$1018, 0)), "")</f>
        <v>jennifer.moore</v>
      </c>
      <c r="C2916" t="s">
        <v>1030</v>
      </c>
      <c r="E2916" s="17" t="s">
        <v>1584</v>
      </c>
      <c r="F2916" s="89">
        <v>43556</v>
      </c>
      <c r="J2916" t="s">
        <v>1443</v>
      </c>
      <c r="K2916" s="120">
        <v>4</v>
      </c>
    </row>
    <row r="2917" spans="2:11" hidden="1" x14ac:dyDescent="0.25">
      <c r="B2917" s="28" t="str">
        <f>IF(ISNUMBER(MATCH(C2917, Mgt_Unit!$C$5:$C$1018, 0)), INDEX(Mgt_Unit!$B$5:$B$1018, MATCH(C2917, Mgt_Unit!$C$5:$C$1018, 0)), "")</f>
        <v>jennifer.moore</v>
      </c>
      <c r="C2917" t="s">
        <v>1030</v>
      </c>
      <c r="E2917" s="17" t="s">
        <v>1583</v>
      </c>
      <c r="F2917" s="89">
        <v>43556</v>
      </c>
      <c r="J2917" t="s">
        <v>1396</v>
      </c>
      <c r="K2917" s="120">
        <v>37</v>
      </c>
    </row>
    <row r="2918" spans="2:11" hidden="1" x14ac:dyDescent="0.25">
      <c r="B2918" s="28" t="str">
        <f>IF(ISNUMBER(MATCH(C2918, Mgt_Unit!$C$5:$C$1018, 0)), INDEX(Mgt_Unit!$B$5:$B$1018, MATCH(C2918, Mgt_Unit!$C$5:$C$1018, 0)), "")</f>
        <v>jennifer.moore</v>
      </c>
      <c r="C2918" t="s">
        <v>1030</v>
      </c>
      <c r="E2918" s="17" t="s">
        <v>1583</v>
      </c>
      <c r="F2918" s="89">
        <v>43556</v>
      </c>
      <c r="J2918" t="s">
        <v>1449</v>
      </c>
      <c r="K2918" s="120">
        <v>36</v>
      </c>
    </row>
    <row r="2919" spans="2:11" hidden="1" x14ac:dyDescent="0.25">
      <c r="B2919" s="28" t="str">
        <f>IF(ISNUMBER(MATCH(C2919, Mgt_Unit!$C$5:$C$1018, 0)), INDEX(Mgt_Unit!$B$5:$B$1018, MATCH(C2919, Mgt_Unit!$C$5:$C$1018, 0)), "")</f>
        <v>jennifer.moore</v>
      </c>
      <c r="C2919" t="s">
        <v>1031</v>
      </c>
      <c r="E2919" s="116" t="s">
        <v>1583</v>
      </c>
      <c r="F2919" s="89">
        <v>42139</v>
      </c>
      <c r="J2919" t="s">
        <v>1449</v>
      </c>
      <c r="K2919" s="120">
        <v>36</v>
      </c>
    </row>
    <row r="2920" spans="2:11" hidden="1" x14ac:dyDescent="0.25">
      <c r="B2920" s="28" t="str">
        <f>IF(ISNUMBER(MATCH(C2920, Mgt_Unit!$C$5:$C$1018, 0)), INDEX(Mgt_Unit!$B$5:$B$1018, MATCH(C2920, Mgt_Unit!$C$5:$C$1018, 0)), "")</f>
        <v>jennifer.moore</v>
      </c>
      <c r="C2920" t="s">
        <v>1031</v>
      </c>
      <c r="E2920" s="17" t="s">
        <v>1583</v>
      </c>
      <c r="F2920" s="89">
        <v>42139</v>
      </c>
      <c r="J2920" t="s">
        <v>1396</v>
      </c>
      <c r="K2920" s="120">
        <v>37</v>
      </c>
    </row>
    <row r="2921" spans="2:11" hidden="1" x14ac:dyDescent="0.25">
      <c r="B2921" s="28" t="str">
        <f>IF(ISNUMBER(MATCH(C2921, Mgt_Unit!$C$5:$C$1018, 0)), INDEX(Mgt_Unit!$B$5:$B$1018, MATCH(C2921, Mgt_Unit!$C$5:$C$1018, 0)), "")</f>
        <v>jennifer.moore</v>
      </c>
      <c r="C2921" t="s">
        <v>1031</v>
      </c>
      <c r="E2921" s="17" t="s">
        <v>1583</v>
      </c>
      <c r="F2921" s="89">
        <v>42139</v>
      </c>
      <c r="J2921" t="s">
        <v>1402</v>
      </c>
      <c r="K2921" s="120">
        <v>65</v>
      </c>
    </row>
    <row r="2922" spans="2:11" hidden="1" x14ac:dyDescent="0.25">
      <c r="B2922" s="28" t="str">
        <f>IF(ISNUMBER(MATCH(C2922, Mgt_Unit!$C$5:$C$1018, 0)), INDEX(Mgt_Unit!$B$5:$B$1018, MATCH(C2922, Mgt_Unit!$C$5:$C$1018, 0)), "")</f>
        <v>jennifer.moore</v>
      </c>
      <c r="C2922" t="s">
        <v>1031</v>
      </c>
      <c r="E2922" s="17" t="s">
        <v>1584</v>
      </c>
      <c r="F2922" s="89">
        <v>42144</v>
      </c>
      <c r="J2922" t="s">
        <v>1443</v>
      </c>
      <c r="K2922" s="120">
        <v>4</v>
      </c>
    </row>
    <row r="2923" spans="2:11" hidden="1" x14ac:dyDescent="0.25">
      <c r="B2923" s="28" t="str">
        <f>IF(ISNUMBER(MATCH(C2923, Mgt_Unit!$C$5:$C$1018, 0)), INDEX(Mgt_Unit!$B$5:$B$1018, MATCH(C2923, Mgt_Unit!$C$5:$C$1018, 0)), "")</f>
        <v>jennifer.moore</v>
      </c>
      <c r="C2923" t="s">
        <v>1031</v>
      </c>
      <c r="E2923" s="17" t="s">
        <v>1583</v>
      </c>
      <c r="F2923" s="89">
        <v>42277</v>
      </c>
      <c r="J2923" t="s">
        <v>1402</v>
      </c>
      <c r="K2923" s="120">
        <v>65</v>
      </c>
    </row>
    <row r="2924" spans="2:11" hidden="1" x14ac:dyDescent="0.25">
      <c r="B2924" s="28" t="str">
        <f>IF(ISNUMBER(MATCH(C2924, Mgt_Unit!$C$5:$C$1018, 0)), INDEX(Mgt_Unit!$B$5:$B$1018, MATCH(C2924, Mgt_Unit!$C$5:$C$1018, 0)), "")</f>
        <v>jennifer.moore</v>
      </c>
      <c r="C2924" t="s">
        <v>1031</v>
      </c>
      <c r="E2924" s="17" t="s">
        <v>1583</v>
      </c>
      <c r="F2924" s="89">
        <v>42277</v>
      </c>
      <c r="J2924" t="s">
        <v>1396</v>
      </c>
      <c r="K2924" s="120">
        <v>37</v>
      </c>
    </row>
    <row r="2925" spans="2:11" hidden="1" x14ac:dyDescent="0.25">
      <c r="B2925" s="28" t="str">
        <f>IF(ISNUMBER(MATCH(C2925, Mgt_Unit!$C$5:$C$1018, 0)), INDEX(Mgt_Unit!$B$5:$B$1018, MATCH(C2925, Mgt_Unit!$C$5:$C$1018, 0)), "")</f>
        <v>jennifer.moore</v>
      </c>
      <c r="C2925" t="s">
        <v>1031</v>
      </c>
      <c r="E2925" s="17" t="s">
        <v>1583</v>
      </c>
      <c r="F2925" s="89">
        <v>42277</v>
      </c>
      <c r="J2925" t="s">
        <v>1449</v>
      </c>
      <c r="K2925" s="120">
        <v>36</v>
      </c>
    </row>
    <row r="2926" spans="2:11" hidden="1" x14ac:dyDescent="0.25">
      <c r="B2926" s="28" t="str">
        <f>IF(ISNUMBER(MATCH(C2926, Mgt_Unit!$C$5:$C$1018, 0)), INDEX(Mgt_Unit!$B$5:$B$1018, MATCH(C2926, Mgt_Unit!$C$5:$C$1018, 0)), "")</f>
        <v>jennifer.moore</v>
      </c>
      <c r="C2926" t="s">
        <v>1031</v>
      </c>
      <c r="E2926" s="17" t="s">
        <v>1584</v>
      </c>
      <c r="F2926" s="89">
        <v>42278</v>
      </c>
      <c r="J2926" t="s">
        <v>1355</v>
      </c>
      <c r="K2926" s="120">
        <v>6.3</v>
      </c>
    </row>
    <row r="2927" spans="2:11" hidden="1" x14ac:dyDescent="0.25">
      <c r="B2927" s="28" t="str">
        <f>IF(ISNUMBER(MATCH(C2927, Mgt_Unit!$C$5:$C$1018, 0)), INDEX(Mgt_Unit!$B$5:$B$1018, MATCH(C2927, Mgt_Unit!$C$5:$C$1018, 0)), "")</f>
        <v>jennifer.moore</v>
      </c>
      <c r="C2927" t="s">
        <v>1031</v>
      </c>
      <c r="E2927" s="17" t="s">
        <v>1585</v>
      </c>
      <c r="F2927" s="89">
        <v>42602</v>
      </c>
      <c r="J2927" t="s">
        <v>1462</v>
      </c>
      <c r="K2927" s="120">
        <v>6.3</v>
      </c>
    </row>
    <row r="2928" spans="2:11" hidden="1" x14ac:dyDescent="0.25">
      <c r="B2928" s="28" t="str">
        <f>IF(ISNUMBER(MATCH(C2928, Mgt_Unit!$C$5:$C$1018, 0)), INDEX(Mgt_Unit!$B$5:$B$1018, MATCH(C2928, Mgt_Unit!$C$5:$C$1018, 0)), "")</f>
        <v>jennifer.moore</v>
      </c>
      <c r="C2928" t="s">
        <v>1031</v>
      </c>
      <c r="E2928" s="17" t="s">
        <v>1584</v>
      </c>
      <c r="F2928" s="89">
        <v>42835</v>
      </c>
      <c r="J2928" t="s">
        <v>1443</v>
      </c>
      <c r="K2928" s="120">
        <v>4</v>
      </c>
    </row>
    <row r="2929" spans="2:11" hidden="1" x14ac:dyDescent="0.25">
      <c r="B2929" s="28" t="str">
        <f>IF(ISNUMBER(MATCH(C2929, Mgt_Unit!$C$5:$C$1018, 0)), INDEX(Mgt_Unit!$B$5:$B$1018, MATCH(C2929, Mgt_Unit!$C$5:$C$1018, 0)), "")</f>
        <v>jennifer.moore</v>
      </c>
      <c r="C2929" t="s">
        <v>1031</v>
      </c>
      <c r="E2929" s="17" t="s">
        <v>1585</v>
      </c>
      <c r="F2929" s="89">
        <v>43024</v>
      </c>
      <c r="J2929" t="s">
        <v>1422</v>
      </c>
      <c r="K2929" s="120">
        <v>0.52</v>
      </c>
    </row>
    <row r="2930" spans="2:11" hidden="1" x14ac:dyDescent="0.25">
      <c r="B2930" s="28" t="str">
        <f>IF(ISNUMBER(MATCH(C2930, Mgt_Unit!$C$5:$C$1018, 0)), INDEX(Mgt_Unit!$B$5:$B$1018, MATCH(C2930, Mgt_Unit!$C$5:$C$1018, 0)), "")</f>
        <v>jennifer.moore</v>
      </c>
      <c r="C2930" t="s">
        <v>1031</v>
      </c>
      <c r="E2930" s="17" t="s">
        <v>1584</v>
      </c>
      <c r="F2930" s="89">
        <v>43191</v>
      </c>
      <c r="J2930" t="s">
        <v>1355</v>
      </c>
      <c r="K2930" s="120">
        <v>6.3</v>
      </c>
    </row>
    <row r="2931" spans="2:11" hidden="1" x14ac:dyDescent="0.25">
      <c r="B2931" s="28" t="str">
        <f>IF(ISNUMBER(MATCH(C2931, Mgt_Unit!$C$5:$C$1018, 0)), INDEX(Mgt_Unit!$B$5:$B$1018, MATCH(C2931, Mgt_Unit!$C$5:$C$1018, 0)), "")</f>
        <v>jennifer.moore</v>
      </c>
      <c r="C2931" t="s">
        <v>1031</v>
      </c>
      <c r="E2931" s="17" t="s">
        <v>1584</v>
      </c>
      <c r="F2931" s="89">
        <v>43191</v>
      </c>
      <c r="J2931" t="s">
        <v>1355</v>
      </c>
      <c r="K2931" s="120">
        <v>6.3</v>
      </c>
    </row>
    <row r="2932" spans="2:11" hidden="1" x14ac:dyDescent="0.25">
      <c r="B2932" s="28" t="str">
        <f>IF(ISNUMBER(MATCH(C2932, Mgt_Unit!$C$5:$C$1018, 0)), INDEX(Mgt_Unit!$B$5:$B$1018, MATCH(C2932, Mgt_Unit!$C$5:$C$1018, 0)), "")</f>
        <v>jennifer.moore</v>
      </c>
      <c r="C2932" t="s">
        <v>1031</v>
      </c>
      <c r="E2932" s="17" t="s">
        <v>1583</v>
      </c>
      <c r="F2932" s="89">
        <v>43191</v>
      </c>
      <c r="J2932" t="s">
        <v>1402</v>
      </c>
      <c r="K2932" s="120">
        <v>65</v>
      </c>
    </row>
    <row r="2933" spans="2:11" hidden="1" x14ac:dyDescent="0.25">
      <c r="B2933" s="28" t="str">
        <f>IF(ISNUMBER(MATCH(C2933, Mgt_Unit!$C$5:$C$1018, 0)), INDEX(Mgt_Unit!$B$5:$B$1018, MATCH(C2933, Mgt_Unit!$C$5:$C$1018, 0)), "")</f>
        <v>jennifer.moore</v>
      </c>
      <c r="C2933" t="s">
        <v>1031</v>
      </c>
      <c r="E2933" s="17" t="s">
        <v>1583</v>
      </c>
      <c r="F2933" s="89">
        <v>43191</v>
      </c>
      <c r="J2933" t="s">
        <v>1449</v>
      </c>
      <c r="K2933" s="120">
        <v>36</v>
      </c>
    </row>
    <row r="2934" spans="2:11" hidden="1" x14ac:dyDescent="0.25">
      <c r="B2934" s="28" t="str">
        <f>IF(ISNUMBER(MATCH(C2934, Mgt_Unit!$C$5:$C$1018, 0)), INDEX(Mgt_Unit!$B$5:$B$1018, MATCH(C2934, Mgt_Unit!$C$5:$C$1018, 0)), "")</f>
        <v>jennifer.moore</v>
      </c>
      <c r="C2934" t="s">
        <v>1031</v>
      </c>
      <c r="E2934" s="17" t="s">
        <v>1583</v>
      </c>
      <c r="F2934" s="89">
        <v>43191</v>
      </c>
      <c r="J2934" t="s">
        <v>1396</v>
      </c>
      <c r="K2934" s="120">
        <v>37</v>
      </c>
    </row>
    <row r="2935" spans="2:11" hidden="1" x14ac:dyDescent="0.25">
      <c r="B2935" s="28" t="str">
        <f>IF(ISNUMBER(MATCH(C2935, Mgt_Unit!$C$5:$C$1018, 0)), INDEX(Mgt_Unit!$B$5:$B$1018, MATCH(C2935, Mgt_Unit!$C$5:$C$1018, 0)), "")</f>
        <v>jennifer.moore</v>
      </c>
      <c r="C2935" t="s">
        <v>1031</v>
      </c>
      <c r="E2935" s="17" t="s">
        <v>1584</v>
      </c>
      <c r="F2935" s="89">
        <v>43286</v>
      </c>
      <c r="J2935" t="s">
        <v>1422</v>
      </c>
      <c r="K2935" s="120">
        <v>0.52</v>
      </c>
    </row>
    <row r="2936" spans="2:11" hidden="1" x14ac:dyDescent="0.25">
      <c r="B2936" s="28" t="str">
        <f>IF(ISNUMBER(MATCH(C2936, Mgt_Unit!$C$5:$C$1018, 0)), INDEX(Mgt_Unit!$B$5:$B$1018, MATCH(C2936, Mgt_Unit!$C$5:$C$1018, 0)), "")</f>
        <v>jennifer.moore</v>
      </c>
      <c r="C2936" t="s">
        <v>1031</v>
      </c>
      <c r="E2936" s="17" t="s">
        <v>1583</v>
      </c>
      <c r="F2936" s="89">
        <v>43286</v>
      </c>
      <c r="J2936" t="s">
        <v>1402</v>
      </c>
      <c r="K2936" s="120">
        <v>65</v>
      </c>
    </row>
    <row r="2937" spans="2:11" hidden="1" x14ac:dyDescent="0.25">
      <c r="B2937" s="28" t="str">
        <f>IF(ISNUMBER(MATCH(C2937, Mgt_Unit!$C$5:$C$1018, 0)), INDEX(Mgt_Unit!$B$5:$B$1018, MATCH(C2937, Mgt_Unit!$C$5:$C$1018, 0)), "")</f>
        <v>jennifer.moore</v>
      </c>
      <c r="C2937" t="s">
        <v>1031</v>
      </c>
      <c r="E2937" s="17" t="s">
        <v>1584</v>
      </c>
      <c r="F2937" s="89">
        <v>43556</v>
      </c>
      <c r="J2937" t="s">
        <v>1443</v>
      </c>
      <c r="K2937" s="120">
        <v>4</v>
      </c>
    </row>
    <row r="2938" spans="2:11" hidden="1" x14ac:dyDescent="0.25">
      <c r="B2938" s="28" t="str">
        <f>IF(ISNUMBER(MATCH(C2938, Mgt_Unit!$C$5:$C$1018, 0)), INDEX(Mgt_Unit!$B$5:$B$1018, MATCH(C2938, Mgt_Unit!$C$5:$C$1018, 0)), "")</f>
        <v>jennifer.moore</v>
      </c>
      <c r="C2938" t="s">
        <v>1031</v>
      </c>
      <c r="E2938" s="17" t="s">
        <v>1583</v>
      </c>
      <c r="F2938" s="89">
        <v>43556</v>
      </c>
      <c r="J2938" t="s">
        <v>1396</v>
      </c>
      <c r="K2938" s="120">
        <v>37</v>
      </c>
    </row>
    <row r="2939" spans="2:11" hidden="1" x14ac:dyDescent="0.25">
      <c r="B2939" s="28" t="str">
        <f>IF(ISNUMBER(MATCH(C2939, Mgt_Unit!$C$5:$C$1018, 0)), INDEX(Mgt_Unit!$B$5:$B$1018, MATCH(C2939, Mgt_Unit!$C$5:$C$1018, 0)), "")</f>
        <v>jennifer.moore</v>
      </c>
      <c r="C2939" t="s">
        <v>1031</v>
      </c>
      <c r="E2939" s="17" t="s">
        <v>1583</v>
      </c>
      <c r="F2939" s="89">
        <v>43556</v>
      </c>
      <c r="J2939" t="s">
        <v>1449</v>
      </c>
      <c r="K2939" s="120">
        <v>36</v>
      </c>
    </row>
    <row r="2940" spans="2:11" hidden="1" x14ac:dyDescent="0.25">
      <c r="B2940" s="28" t="str">
        <f>IF(ISNUMBER(MATCH(C2940, Mgt_Unit!$C$5:$C$1018, 0)), INDEX(Mgt_Unit!$B$5:$B$1018, MATCH(C2940, Mgt_Unit!$C$5:$C$1018, 0)), "")</f>
        <v>jennifer.moore</v>
      </c>
      <c r="C2940" t="s">
        <v>1031</v>
      </c>
      <c r="E2940" s="17" t="s">
        <v>1584</v>
      </c>
      <c r="F2940" s="89">
        <v>43753</v>
      </c>
      <c r="J2940" t="s">
        <v>1355</v>
      </c>
      <c r="K2940" s="120">
        <v>6.3</v>
      </c>
    </row>
    <row r="2941" spans="2:11" hidden="1" x14ac:dyDescent="0.25">
      <c r="B2941" s="28" t="str">
        <f>IF(ISNUMBER(MATCH(C2941, Mgt_Unit!$C$5:$C$1018, 0)), INDEX(Mgt_Unit!$B$5:$B$1018, MATCH(C2941, Mgt_Unit!$C$5:$C$1018, 0)), "")</f>
        <v>jennifer.moore</v>
      </c>
      <c r="C2941" t="s">
        <v>1031</v>
      </c>
      <c r="E2941" s="17" t="s">
        <v>1585</v>
      </c>
      <c r="F2941" s="89">
        <v>44058</v>
      </c>
      <c r="J2941" t="s">
        <v>1355</v>
      </c>
      <c r="K2941" s="120">
        <v>6.3</v>
      </c>
    </row>
    <row r="2942" spans="2:11" hidden="1" x14ac:dyDescent="0.25">
      <c r="B2942" s="28" t="str">
        <f>IF(ISNUMBER(MATCH(C2942, Mgt_Unit!$C$5:$C$1018, 0)), INDEX(Mgt_Unit!$B$5:$B$1018, MATCH(C2942, Mgt_Unit!$C$5:$C$1018, 0)), "")</f>
        <v>jennifer.moore</v>
      </c>
      <c r="C2942" t="s">
        <v>1032</v>
      </c>
      <c r="E2942" s="17" t="s">
        <v>1584</v>
      </c>
      <c r="F2942" s="89">
        <v>42134</v>
      </c>
      <c r="J2942" t="s">
        <v>1443</v>
      </c>
      <c r="K2942" s="120">
        <v>4</v>
      </c>
    </row>
    <row r="2943" spans="2:11" hidden="1" x14ac:dyDescent="0.25">
      <c r="B2943" s="28" t="str">
        <f>IF(ISNUMBER(MATCH(C2943, Mgt_Unit!$C$5:$C$1018, 0)), INDEX(Mgt_Unit!$B$5:$B$1018, MATCH(C2943, Mgt_Unit!$C$5:$C$1018, 0)), "")</f>
        <v>jennifer.moore</v>
      </c>
      <c r="C2943" t="s">
        <v>1032</v>
      </c>
      <c r="E2943" s="17" t="s">
        <v>1584</v>
      </c>
      <c r="F2943" s="89">
        <v>42485</v>
      </c>
      <c r="J2943" t="s">
        <v>1443</v>
      </c>
      <c r="K2943" s="120">
        <v>4</v>
      </c>
    </row>
    <row r="2944" spans="2:11" hidden="1" x14ac:dyDescent="0.25">
      <c r="B2944" s="28" t="str">
        <f>IF(ISNUMBER(MATCH(C2944, Mgt_Unit!$C$5:$C$1018, 0)), INDEX(Mgt_Unit!$B$5:$B$1018, MATCH(C2944, Mgt_Unit!$C$5:$C$1018, 0)), "")</f>
        <v>jennifer.moore</v>
      </c>
      <c r="C2944" t="s">
        <v>1032</v>
      </c>
      <c r="E2944" s="17" t="s">
        <v>1584</v>
      </c>
      <c r="F2944" s="89">
        <v>42850</v>
      </c>
      <c r="J2944" t="s">
        <v>1443</v>
      </c>
      <c r="K2944" s="120">
        <v>4</v>
      </c>
    </row>
    <row r="2945" spans="2:11" hidden="1" x14ac:dyDescent="0.25">
      <c r="B2945" s="28" t="str">
        <f>IF(ISNUMBER(MATCH(C2945, Mgt_Unit!$C$5:$C$1018, 0)), INDEX(Mgt_Unit!$B$5:$B$1018, MATCH(C2945, Mgt_Unit!$C$5:$C$1018, 0)), "")</f>
        <v>jennifer.moore</v>
      </c>
      <c r="C2945" t="s">
        <v>1032</v>
      </c>
      <c r="E2945" s="17" t="s">
        <v>1584</v>
      </c>
      <c r="F2945" s="89">
        <v>43230</v>
      </c>
      <c r="J2945" t="s">
        <v>1443</v>
      </c>
      <c r="K2945" s="120">
        <v>4</v>
      </c>
    </row>
    <row r="2946" spans="2:11" hidden="1" x14ac:dyDescent="0.25">
      <c r="B2946" s="28" t="str">
        <f>IF(ISNUMBER(MATCH(C2946, Mgt_Unit!$C$5:$C$1018, 0)), INDEX(Mgt_Unit!$B$5:$B$1018, MATCH(C2946, Mgt_Unit!$C$5:$C$1018, 0)), "")</f>
        <v>jennifer.moore</v>
      </c>
      <c r="C2946" t="s">
        <v>1033</v>
      </c>
      <c r="E2946" s="17" t="s">
        <v>1583</v>
      </c>
      <c r="F2946" s="89">
        <v>42125</v>
      </c>
      <c r="J2946" t="s">
        <v>1396</v>
      </c>
      <c r="K2946" s="120">
        <v>37</v>
      </c>
    </row>
    <row r="2947" spans="2:11" hidden="1" x14ac:dyDescent="0.25">
      <c r="B2947" s="28" t="str">
        <f>IF(ISNUMBER(MATCH(C2947, Mgt_Unit!$C$5:$C$1018, 0)), INDEX(Mgt_Unit!$B$5:$B$1018, MATCH(C2947, Mgt_Unit!$C$5:$C$1018, 0)), "")</f>
        <v>jennifer.moore</v>
      </c>
      <c r="C2947" t="s">
        <v>1033</v>
      </c>
      <c r="E2947" s="17" t="s">
        <v>1583</v>
      </c>
      <c r="F2947" s="89">
        <v>42125</v>
      </c>
      <c r="J2947" t="s">
        <v>1436</v>
      </c>
      <c r="K2947" s="120">
        <v>42</v>
      </c>
    </row>
    <row r="2948" spans="2:11" hidden="1" x14ac:dyDescent="0.25">
      <c r="B2948" s="28" t="str">
        <f>IF(ISNUMBER(MATCH(C2948, Mgt_Unit!$C$5:$C$1018, 0)), INDEX(Mgt_Unit!$B$5:$B$1018, MATCH(C2948, Mgt_Unit!$C$5:$C$1018, 0)), "")</f>
        <v>jennifer.moore</v>
      </c>
      <c r="C2948" t="s">
        <v>1033</v>
      </c>
      <c r="E2948" s="17" t="s">
        <v>1583</v>
      </c>
      <c r="F2948" s="89">
        <v>42125</v>
      </c>
      <c r="J2948" t="s">
        <v>1449</v>
      </c>
      <c r="K2948" s="120">
        <v>36</v>
      </c>
    </row>
    <row r="2949" spans="2:11" hidden="1" x14ac:dyDescent="0.25">
      <c r="B2949" s="28" t="str">
        <f>IF(ISNUMBER(MATCH(C2949, Mgt_Unit!$C$5:$C$1018, 0)), INDEX(Mgt_Unit!$B$5:$B$1018, MATCH(C2949, Mgt_Unit!$C$5:$C$1018, 0)), "")</f>
        <v>jennifer.moore</v>
      </c>
      <c r="C2949" t="s">
        <v>1033</v>
      </c>
      <c r="E2949" s="17" t="s">
        <v>1584</v>
      </c>
      <c r="F2949" s="89">
        <v>42134</v>
      </c>
      <c r="J2949" t="s">
        <v>1443</v>
      </c>
      <c r="K2949" s="120">
        <v>4</v>
      </c>
    </row>
    <row r="2950" spans="2:11" hidden="1" x14ac:dyDescent="0.25">
      <c r="B2950" s="28" t="str">
        <f>IF(ISNUMBER(MATCH(C2950, Mgt_Unit!$C$5:$C$1018, 0)), INDEX(Mgt_Unit!$B$5:$B$1018, MATCH(C2950, Mgt_Unit!$C$5:$C$1018, 0)), "")</f>
        <v>jennifer.moore</v>
      </c>
      <c r="C2950" t="s">
        <v>1033</v>
      </c>
      <c r="E2950" s="17" t="s">
        <v>1583</v>
      </c>
      <c r="F2950" s="89">
        <v>42295</v>
      </c>
      <c r="J2950" t="s">
        <v>1449</v>
      </c>
      <c r="K2950" s="120">
        <v>36</v>
      </c>
    </row>
    <row r="2951" spans="2:11" hidden="1" x14ac:dyDescent="0.25">
      <c r="B2951" s="28" t="str">
        <f>IF(ISNUMBER(MATCH(C2951, Mgt_Unit!$C$5:$C$1018, 0)), INDEX(Mgt_Unit!$B$5:$B$1018, MATCH(C2951, Mgt_Unit!$C$5:$C$1018, 0)), "")</f>
        <v>jennifer.moore</v>
      </c>
      <c r="C2951" t="s">
        <v>1033</v>
      </c>
      <c r="E2951" s="17" t="s">
        <v>1583</v>
      </c>
      <c r="F2951" s="89">
        <v>42295</v>
      </c>
      <c r="J2951" t="s">
        <v>1396</v>
      </c>
      <c r="K2951" s="120">
        <v>37</v>
      </c>
    </row>
    <row r="2952" spans="2:11" hidden="1" x14ac:dyDescent="0.25">
      <c r="B2952" s="28" t="str">
        <f>IF(ISNUMBER(MATCH(C2952, Mgt_Unit!$C$5:$C$1018, 0)), INDEX(Mgt_Unit!$B$5:$B$1018, MATCH(C2952, Mgt_Unit!$C$5:$C$1018, 0)), "")</f>
        <v>jennifer.moore</v>
      </c>
      <c r="C2952" t="s">
        <v>1033</v>
      </c>
      <c r="E2952" s="17" t="s">
        <v>1583</v>
      </c>
      <c r="F2952" s="89">
        <v>42295</v>
      </c>
      <c r="J2952" t="s">
        <v>1396</v>
      </c>
      <c r="K2952" s="120">
        <v>37</v>
      </c>
    </row>
    <row r="2953" spans="2:11" hidden="1" x14ac:dyDescent="0.25">
      <c r="B2953" s="28" t="str">
        <f>IF(ISNUMBER(MATCH(C2953, Mgt_Unit!$C$5:$C$1018, 0)), INDEX(Mgt_Unit!$B$5:$B$1018, MATCH(C2953, Mgt_Unit!$C$5:$C$1018, 0)), "")</f>
        <v>jennifer.moore</v>
      </c>
      <c r="C2953" t="s">
        <v>1033</v>
      </c>
      <c r="E2953" s="17" t="s">
        <v>1583</v>
      </c>
      <c r="F2953" s="89">
        <v>42295</v>
      </c>
      <c r="J2953" t="s">
        <v>1436</v>
      </c>
      <c r="K2953" s="120">
        <v>42</v>
      </c>
    </row>
    <row r="2954" spans="2:11" hidden="1" x14ac:dyDescent="0.25">
      <c r="B2954" s="28" t="str">
        <f>IF(ISNUMBER(MATCH(C2954, Mgt_Unit!$C$5:$C$1018, 0)), INDEX(Mgt_Unit!$B$5:$B$1018, MATCH(C2954, Mgt_Unit!$C$5:$C$1018, 0)), "")</f>
        <v>jennifer.moore</v>
      </c>
      <c r="C2954" t="s">
        <v>1033</v>
      </c>
      <c r="E2954" s="17" t="s">
        <v>1583</v>
      </c>
      <c r="F2954" s="89">
        <v>42295</v>
      </c>
      <c r="J2954" t="s">
        <v>1449</v>
      </c>
      <c r="K2954" s="120">
        <v>36</v>
      </c>
    </row>
    <row r="2955" spans="2:11" hidden="1" x14ac:dyDescent="0.25">
      <c r="B2955" s="28" t="str">
        <f>IF(ISNUMBER(MATCH(C2955, Mgt_Unit!$C$5:$C$1018, 0)), INDEX(Mgt_Unit!$B$5:$B$1018, MATCH(C2955, Mgt_Unit!$C$5:$C$1018, 0)), "")</f>
        <v>jennifer.moore</v>
      </c>
      <c r="C2955" t="s">
        <v>1033</v>
      </c>
      <c r="E2955" s="17" t="s">
        <v>1583</v>
      </c>
      <c r="F2955" s="89">
        <v>42295</v>
      </c>
      <c r="J2955" t="s">
        <v>1436</v>
      </c>
      <c r="K2955" s="120">
        <v>42</v>
      </c>
    </row>
    <row r="2956" spans="2:11" hidden="1" x14ac:dyDescent="0.25">
      <c r="B2956" s="28" t="str">
        <f>IF(ISNUMBER(MATCH(C2956, Mgt_Unit!$C$5:$C$1018, 0)), INDEX(Mgt_Unit!$B$5:$B$1018, MATCH(C2956, Mgt_Unit!$C$5:$C$1018, 0)), "")</f>
        <v>jennifer.moore</v>
      </c>
      <c r="C2956" t="s">
        <v>1033</v>
      </c>
      <c r="E2956" s="17" t="s">
        <v>1584</v>
      </c>
      <c r="F2956" s="89">
        <v>42476</v>
      </c>
      <c r="J2956" t="s">
        <v>1443</v>
      </c>
      <c r="K2956" s="120">
        <v>4</v>
      </c>
    </row>
    <row r="2957" spans="2:11" hidden="1" x14ac:dyDescent="0.25">
      <c r="B2957" s="28" t="str">
        <f>IF(ISNUMBER(MATCH(C2957, Mgt_Unit!$C$5:$C$1018, 0)), INDEX(Mgt_Unit!$B$5:$B$1018, MATCH(C2957, Mgt_Unit!$C$5:$C$1018, 0)), "")</f>
        <v>jennifer.moore</v>
      </c>
      <c r="C2957" t="s">
        <v>1033</v>
      </c>
      <c r="E2957" s="17" t="s">
        <v>1584</v>
      </c>
      <c r="F2957" s="89">
        <v>42841</v>
      </c>
      <c r="J2957" t="s">
        <v>1443</v>
      </c>
      <c r="K2957" s="120">
        <v>4</v>
      </c>
    </row>
    <row r="2958" spans="2:11" hidden="1" x14ac:dyDescent="0.25">
      <c r="B2958" s="28" t="str">
        <f>IF(ISNUMBER(MATCH(C2958, Mgt_Unit!$C$5:$C$1018, 0)), INDEX(Mgt_Unit!$B$5:$B$1018, MATCH(C2958, Mgt_Unit!$C$5:$C$1018, 0)), "")</f>
        <v>jennifer.moore</v>
      </c>
      <c r="C2958" t="s">
        <v>1034</v>
      </c>
      <c r="E2958" s="17" t="s">
        <v>1584</v>
      </c>
      <c r="F2958" s="89">
        <v>42134</v>
      </c>
      <c r="J2958" t="s">
        <v>1443</v>
      </c>
      <c r="K2958" s="120">
        <v>4</v>
      </c>
    </row>
    <row r="2959" spans="2:11" hidden="1" x14ac:dyDescent="0.25">
      <c r="B2959" s="28" t="str">
        <f>IF(ISNUMBER(MATCH(C2959, Mgt_Unit!$C$5:$C$1018, 0)), INDEX(Mgt_Unit!$B$5:$B$1018, MATCH(C2959, Mgt_Unit!$C$5:$C$1018, 0)), "")</f>
        <v>jennifer.moore</v>
      </c>
      <c r="C2959" t="s">
        <v>1034</v>
      </c>
      <c r="E2959" s="17" t="s">
        <v>1585</v>
      </c>
      <c r="F2959" s="89">
        <v>42297</v>
      </c>
      <c r="J2959" t="s">
        <v>1355</v>
      </c>
      <c r="K2959" s="120">
        <v>6.3</v>
      </c>
    </row>
    <row r="2960" spans="2:11" hidden="1" x14ac:dyDescent="0.25">
      <c r="B2960" s="28" t="str">
        <f>IF(ISNUMBER(MATCH(C2960, Mgt_Unit!$C$5:$C$1018, 0)), INDEX(Mgt_Unit!$B$5:$B$1018, MATCH(C2960, Mgt_Unit!$C$5:$C$1018, 0)), "")</f>
        <v>jennifer.moore</v>
      </c>
      <c r="C2960" t="s">
        <v>1034</v>
      </c>
      <c r="E2960" s="17" t="s">
        <v>1585</v>
      </c>
      <c r="F2960" s="89">
        <v>42307</v>
      </c>
      <c r="J2960" t="s">
        <v>1422</v>
      </c>
      <c r="K2960" s="120">
        <v>0.52</v>
      </c>
    </row>
    <row r="2961" spans="2:11" hidden="1" x14ac:dyDescent="0.25">
      <c r="B2961" s="28" t="str">
        <f>IF(ISNUMBER(MATCH(C2961, Mgt_Unit!$C$5:$C$1018, 0)), INDEX(Mgt_Unit!$B$5:$B$1018, MATCH(C2961, Mgt_Unit!$C$5:$C$1018, 0)), "")</f>
        <v>jennifer.moore</v>
      </c>
      <c r="C2961" t="s">
        <v>1034</v>
      </c>
      <c r="E2961" s="17" t="s">
        <v>1584</v>
      </c>
      <c r="F2961" s="89">
        <v>42485</v>
      </c>
      <c r="J2961" t="s">
        <v>1443</v>
      </c>
      <c r="K2961" s="120">
        <v>4</v>
      </c>
    </row>
    <row r="2962" spans="2:11" hidden="1" x14ac:dyDescent="0.25">
      <c r="B2962" s="28" t="str">
        <f>IF(ISNUMBER(MATCH(C2962, Mgt_Unit!$C$5:$C$1018, 0)), INDEX(Mgt_Unit!$B$5:$B$1018, MATCH(C2962, Mgt_Unit!$C$5:$C$1018, 0)), "")</f>
        <v>jennifer.moore</v>
      </c>
      <c r="C2962" t="s">
        <v>1034</v>
      </c>
      <c r="E2962" s="17" t="s">
        <v>1585</v>
      </c>
      <c r="F2962" s="89">
        <v>42648</v>
      </c>
      <c r="J2962" t="s">
        <v>1422</v>
      </c>
      <c r="K2962" s="120">
        <v>0.52</v>
      </c>
    </row>
    <row r="2963" spans="2:11" hidden="1" x14ac:dyDescent="0.25">
      <c r="B2963" s="28" t="str">
        <f>IF(ISNUMBER(MATCH(C2963, Mgt_Unit!$C$5:$C$1018, 0)), INDEX(Mgt_Unit!$B$5:$B$1018, MATCH(C2963, Mgt_Unit!$C$5:$C$1018, 0)), "")</f>
        <v>jennifer.moore</v>
      </c>
      <c r="C2963" t="s">
        <v>1035</v>
      </c>
      <c r="E2963" s="17" t="s">
        <v>1584</v>
      </c>
      <c r="F2963" s="89">
        <v>42134</v>
      </c>
      <c r="J2963" t="s">
        <v>1443</v>
      </c>
      <c r="K2963" s="120">
        <v>4</v>
      </c>
    </row>
    <row r="2964" spans="2:11" hidden="1" x14ac:dyDescent="0.25">
      <c r="B2964" s="28" t="str">
        <f>IF(ISNUMBER(MATCH(C2964, Mgt_Unit!$C$5:$C$1018, 0)), INDEX(Mgt_Unit!$B$5:$B$1018, MATCH(C2964, Mgt_Unit!$C$5:$C$1018, 0)), "")</f>
        <v>jennifer.moore</v>
      </c>
      <c r="C2964" t="s">
        <v>1035</v>
      </c>
      <c r="E2964" s="17" t="s">
        <v>1585</v>
      </c>
      <c r="F2964" s="89">
        <v>42295</v>
      </c>
      <c r="J2964" t="s">
        <v>1355</v>
      </c>
      <c r="K2964" s="120">
        <v>6.3</v>
      </c>
    </row>
    <row r="2965" spans="2:11" hidden="1" x14ac:dyDescent="0.25">
      <c r="B2965" s="28" t="str">
        <f>IF(ISNUMBER(MATCH(C2965, Mgt_Unit!$C$5:$C$1018, 0)), INDEX(Mgt_Unit!$B$5:$B$1018, MATCH(C2965, Mgt_Unit!$C$5:$C$1018, 0)), "")</f>
        <v>jennifer.moore</v>
      </c>
      <c r="C2965" t="s">
        <v>1035</v>
      </c>
      <c r="E2965" s="17" t="s">
        <v>1583</v>
      </c>
      <c r="F2965" s="89">
        <v>42295</v>
      </c>
      <c r="J2965" t="s">
        <v>1449</v>
      </c>
      <c r="K2965" s="120">
        <v>36</v>
      </c>
    </row>
    <row r="2966" spans="2:11" hidden="1" x14ac:dyDescent="0.25">
      <c r="B2966" s="28" t="str">
        <f>IF(ISNUMBER(MATCH(C2966, Mgt_Unit!$C$5:$C$1018, 0)), INDEX(Mgt_Unit!$B$5:$B$1018, MATCH(C2966, Mgt_Unit!$C$5:$C$1018, 0)), "")</f>
        <v>jennifer.moore</v>
      </c>
      <c r="C2966" t="s">
        <v>1035</v>
      </c>
      <c r="E2966" s="17" t="s">
        <v>1583</v>
      </c>
      <c r="F2966" s="89">
        <v>42295</v>
      </c>
      <c r="J2966" t="s">
        <v>1396</v>
      </c>
      <c r="K2966" s="120">
        <v>37</v>
      </c>
    </row>
    <row r="2967" spans="2:11" hidden="1" x14ac:dyDescent="0.25">
      <c r="B2967" s="28" t="str">
        <f>IF(ISNUMBER(MATCH(C2967, Mgt_Unit!$C$5:$C$1018, 0)), INDEX(Mgt_Unit!$B$5:$B$1018, MATCH(C2967, Mgt_Unit!$C$5:$C$1018, 0)), "")</f>
        <v>jennifer.moore</v>
      </c>
      <c r="C2967" t="s">
        <v>1035</v>
      </c>
      <c r="E2967" s="17" t="s">
        <v>1583</v>
      </c>
      <c r="F2967" s="89">
        <v>42295</v>
      </c>
      <c r="J2967" t="s">
        <v>1436</v>
      </c>
      <c r="K2967" s="120">
        <v>42</v>
      </c>
    </row>
    <row r="2968" spans="2:11" hidden="1" x14ac:dyDescent="0.25">
      <c r="B2968" s="28" t="str">
        <f>IF(ISNUMBER(MATCH(C2968, Mgt_Unit!$C$5:$C$1018, 0)), INDEX(Mgt_Unit!$B$5:$B$1018, MATCH(C2968, Mgt_Unit!$C$5:$C$1018, 0)), "")</f>
        <v>jennifer.moore</v>
      </c>
      <c r="C2968" t="s">
        <v>1035</v>
      </c>
      <c r="E2968" s="17" t="s">
        <v>1585</v>
      </c>
      <c r="F2968" s="89">
        <v>42323</v>
      </c>
      <c r="J2968" t="s">
        <v>1422</v>
      </c>
      <c r="K2968" s="120">
        <v>0.52</v>
      </c>
    </row>
    <row r="2969" spans="2:11" hidden="1" x14ac:dyDescent="0.25">
      <c r="B2969" s="28" t="str">
        <f>IF(ISNUMBER(MATCH(C2969, Mgt_Unit!$C$5:$C$1018, 0)), INDEX(Mgt_Unit!$B$5:$B$1018, MATCH(C2969, Mgt_Unit!$C$5:$C$1018, 0)), "")</f>
        <v>jennifer.moore</v>
      </c>
      <c r="C2969" t="s">
        <v>1035</v>
      </c>
      <c r="E2969" s="17" t="s">
        <v>1583</v>
      </c>
      <c r="F2969" s="89">
        <v>42475</v>
      </c>
      <c r="J2969" t="s">
        <v>1449</v>
      </c>
      <c r="K2969" s="120">
        <v>36</v>
      </c>
    </row>
    <row r="2970" spans="2:11" hidden="1" x14ac:dyDescent="0.25">
      <c r="B2970" s="28" t="str">
        <f>IF(ISNUMBER(MATCH(C2970, Mgt_Unit!$C$5:$C$1018, 0)), INDEX(Mgt_Unit!$B$5:$B$1018, MATCH(C2970, Mgt_Unit!$C$5:$C$1018, 0)), "")</f>
        <v>jennifer.moore</v>
      </c>
      <c r="C2970" t="s">
        <v>1035</v>
      </c>
      <c r="E2970" s="17" t="s">
        <v>1583</v>
      </c>
      <c r="F2970" s="89">
        <v>42475</v>
      </c>
      <c r="J2970" t="s">
        <v>1436</v>
      </c>
      <c r="K2970" s="120">
        <v>42</v>
      </c>
    </row>
    <row r="2971" spans="2:11" hidden="1" x14ac:dyDescent="0.25">
      <c r="B2971" s="28" t="str">
        <f>IF(ISNUMBER(MATCH(C2971, Mgt_Unit!$C$5:$C$1018, 0)), INDEX(Mgt_Unit!$B$5:$B$1018, MATCH(C2971, Mgt_Unit!$C$5:$C$1018, 0)), "")</f>
        <v>jennifer.moore</v>
      </c>
      <c r="C2971" t="s">
        <v>1035</v>
      </c>
      <c r="E2971" s="17" t="s">
        <v>1583</v>
      </c>
      <c r="F2971" s="89">
        <v>42475</v>
      </c>
      <c r="J2971" t="s">
        <v>1396</v>
      </c>
      <c r="K2971" s="120">
        <v>37</v>
      </c>
    </row>
    <row r="2972" spans="2:11" hidden="1" x14ac:dyDescent="0.25">
      <c r="B2972" s="28" t="str">
        <f>IF(ISNUMBER(MATCH(C2972, Mgt_Unit!$C$5:$C$1018, 0)), INDEX(Mgt_Unit!$B$5:$B$1018, MATCH(C2972, Mgt_Unit!$C$5:$C$1018, 0)), "")</f>
        <v>jennifer.moore</v>
      </c>
      <c r="C2972" t="s">
        <v>1035</v>
      </c>
      <c r="E2972" s="17" t="s">
        <v>1584</v>
      </c>
      <c r="F2972" s="89">
        <v>42476</v>
      </c>
      <c r="J2972" t="s">
        <v>1443</v>
      </c>
      <c r="K2972" s="120">
        <v>4</v>
      </c>
    </row>
    <row r="2973" spans="2:11" hidden="1" x14ac:dyDescent="0.25">
      <c r="B2973" s="28" t="str">
        <f>IF(ISNUMBER(MATCH(C2973, Mgt_Unit!$C$5:$C$1018, 0)), INDEX(Mgt_Unit!$B$5:$B$1018, MATCH(C2973, Mgt_Unit!$C$5:$C$1018, 0)), "")</f>
        <v>jennifer.moore</v>
      </c>
      <c r="C2973" t="s">
        <v>1035</v>
      </c>
      <c r="E2973" s="17" t="s">
        <v>1585</v>
      </c>
      <c r="F2973" s="89">
        <v>42648</v>
      </c>
      <c r="J2973" t="s">
        <v>1422</v>
      </c>
      <c r="K2973" s="120">
        <v>0.52</v>
      </c>
    </row>
    <row r="2974" spans="2:11" hidden="1" x14ac:dyDescent="0.25">
      <c r="B2974" s="28" t="str">
        <f>IF(ISNUMBER(MATCH(C2974, Mgt_Unit!$C$5:$C$1018, 0)), INDEX(Mgt_Unit!$B$5:$B$1018, MATCH(C2974, Mgt_Unit!$C$5:$C$1018, 0)), "")</f>
        <v>jennifer.moore</v>
      </c>
      <c r="C2974" t="s">
        <v>1035</v>
      </c>
      <c r="E2974" s="17" t="s">
        <v>1583</v>
      </c>
      <c r="F2974" s="89">
        <v>42856</v>
      </c>
      <c r="J2974" t="s">
        <v>1436</v>
      </c>
      <c r="K2974" s="120">
        <v>42</v>
      </c>
    </row>
    <row r="2975" spans="2:11" hidden="1" x14ac:dyDescent="0.25">
      <c r="B2975" s="28" t="str">
        <f>IF(ISNUMBER(MATCH(C2975, Mgt_Unit!$C$5:$C$1018, 0)), INDEX(Mgt_Unit!$B$5:$B$1018, MATCH(C2975, Mgt_Unit!$C$5:$C$1018, 0)), "")</f>
        <v>jennifer.moore</v>
      </c>
      <c r="C2975" t="s">
        <v>1035</v>
      </c>
      <c r="E2975" s="17" t="s">
        <v>1583</v>
      </c>
      <c r="F2975" s="89">
        <v>42856</v>
      </c>
      <c r="J2975" t="s">
        <v>1449</v>
      </c>
      <c r="K2975" s="120">
        <v>36</v>
      </c>
    </row>
    <row r="2976" spans="2:11" hidden="1" x14ac:dyDescent="0.25">
      <c r="B2976" s="28" t="str">
        <f>IF(ISNUMBER(MATCH(C2976, Mgt_Unit!$C$5:$C$1018, 0)), INDEX(Mgt_Unit!$B$5:$B$1018, MATCH(C2976, Mgt_Unit!$C$5:$C$1018, 0)), "")</f>
        <v>jennifer.moore</v>
      </c>
      <c r="C2976" t="s">
        <v>1035</v>
      </c>
      <c r="E2976" s="17" t="s">
        <v>1583</v>
      </c>
      <c r="F2976" s="89">
        <v>42856</v>
      </c>
      <c r="J2976" t="s">
        <v>1396</v>
      </c>
      <c r="K2976" s="120">
        <v>37</v>
      </c>
    </row>
    <row r="2977" spans="2:11" hidden="1" x14ac:dyDescent="0.25">
      <c r="B2977" s="28" t="str">
        <f>IF(ISNUMBER(MATCH(C2977, Mgt_Unit!$C$5:$C$1018, 0)), INDEX(Mgt_Unit!$B$5:$B$1018, MATCH(C2977, Mgt_Unit!$C$5:$C$1018, 0)), "")</f>
        <v>jennifer.moore</v>
      </c>
      <c r="C2977" t="s">
        <v>1036</v>
      </c>
      <c r="E2977" s="17" t="s">
        <v>1583</v>
      </c>
      <c r="F2977" s="89">
        <v>42277</v>
      </c>
      <c r="J2977" t="s">
        <v>1449</v>
      </c>
      <c r="K2977" s="120">
        <v>36</v>
      </c>
    </row>
    <row r="2978" spans="2:11" hidden="1" x14ac:dyDescent="0.25">
      <c r="B2978" s="28" t="str">
        <f>IF(ISNUMBER(MATCH(C2978, Mgt_Unit!$C$5:$C$1018, 0)), INDEX(Mgt_Unit!$B$5:$B$1018, MATCH(C2978, Mgt_Unit!$C$5:$C$1018, 0)), "")</f>
        <v>jennifer.moore</v>
      </c>
      <c r="C2978" t="s">
        <v>1036</v>
      </c>
      <c r="E2978" s="17" t="s">
        <v>1583</v>
      </c>
      <c r="F2978" s="89">
        <v>42277</v>
      </c>
      <c r="J2978" t="s">
        <v>1402</v>
      </c>
      <c r="K2978" s="120">
        <v>65</v>
      </c>
    </row>
    <row r="2979" spans="2:11" hidden="1" x14ac:dyDescent="0.25">
      <c r="B2979" s="28" t="str">
        <f>IF(ISNUMBER(MATCH(C2979, Mgt_Unit!$C$5:$C$1018, 0)), INDEX(Mgt_Unit!$B$5:$B$1018, MATCH(C2979, Mgt_Unit!$C$5:$C$1018, 0)), "")</f>
        <v>jennifer.moore</v>
      </c>
      <c r="C2979" t="s">
        <v>1036</v>
      </c>
      <c r="E2979" s="17" t="s">
        <v>1583</v>
      </c>
      <c r="F2979" s="89">
        <v>42277</v>
      </c>
      <c r="J2979" t="s">
        <v>1396</v>
      </c>
      <c r="K2979" s="120">
        <v>37</v>
      </c>
    </row>
    <row r="2980" spans="2:11" hidden="1" x14ac:dyDescent="0.25">
      <c r="B2980" s="28" t="str">
        <f>IF(ISNUMBER(MATCH(C2980, Mgt_Unit!$C$5:$C$1018, 0)), INDEX(Mgt_Unit!$B$5:$B$1018, MATCH(C2980, Mgt_Unit!$C$5:$C$1018, 0)), "")</f>
        <v>jennifer.moore</v>
      </c>
      <c r="C2980" t="s">
        <v>1036</v>
      </c>
      <c r="E2980" s="17" t="s">
        <v>1584</v>
      </c>
      <c r="F2980" s="89">
        <v>42278</v>
      </c>
      <c r="J2980" t="s">
        <v>1355</v>
      </c>
      <c r="K2980" s="120">
        <v>6.3</v>
      </c>
    </row>
    <row r="2981" spans="2:11" hidden="1" x14ac:dyDescent="0.25">
      <c r="B2981" s="28" t="str">
        <f>IF(ISNUMBER(MATCH(C2981, Mgt_Unit!$C$5:$C$1018, 0)), INDEX(Mgt_Unit!$B$5:$B$1018, MATCH(C2981, Mgt_Unit!$C$5:$C$1018, 0)), "")</f>
        <v>jennifer.moore</v>
      </c>
      <c r="C2981" t="s">
        <v>1036</v>
      </c>
      <c r="E2981" s="17" t="s">
        <v>1583</v>
      </c>
      <c r="F2981" s="89">
        <v>42597</v>
      </c>
      <c r="J2981" t="s">
        <v>1402</v>
      </c>
      <c r="K2981" s="120">
        <v>65</v>
      </c>
    </row>
    <row r="2982" spans="2:11" hidden="1" x14ac:dyDescent="0.25">
      <c r="B2982" s="28" t="str">
        <f>IF(ISNUMBER(MATCH(C2982, Mgt_Unit!$C$5:$C$1018, 0)), INDEX(Mgt_Unit!$B$5:$B$1018, MATCH(C2982, Mgt_Unit!$C$5:$C$1018, 0)), "")</f>
        <v>jennifer.moore</v>
      </c>
      <c r="C2982" t="s">
        <v>1036</v>
      </c>
      <c r="E2982" s="116" t="s">
        <v>1583</v>
      </c>
      <c r="F2982" s="89">
        <v>42597</v>
      </c>
      <c r="J2982" t="s">
        <v>1449</v>
      </c>
      <c r="K2982" s="120">
        <v>36</v>
      </c>
    </row>
    <row r="2983" spans="2:11" hidden="1" x14ac:dyDescent="0.25">
      <c r="B2983" s="28" t="str">
        <f>IF(ISNUMBER(MATCH(C2983, Mgt_Unit!$C$5:$C$1018, 0)), INDEX(Mgt_Unit!$B$5:$B$1018, MATCH(C2983, Mgt_Unit!$C$5:$C$1018, 0)), "")</f>
        <v>jennifer.moore</v>
      </c>
      <c r="C2983" t="s">
        <v>1036</v>
      </c>
      <c r="E2983" s="17" t="s">
        <v>1583</v>
      </c>
      <c r="F2983" s="89">
        <v>42597</v>
      </c>
      <c r="J2983" t="s">
        <v>1396</v>
      </c>
      <c r="K2983" s="120">
        <v>37</v>
      </c>
    </row>
    <row r="2984" spans="2:11" hidden="1" x14ac:dyDescent="0.25">
      <c r="B2984" s="28" t="str">
        <f>IF(ISNUMBER(MATCH(C2984, Mgt_Unit!$C$5:$C$1018, 0)), INDEX(Mgt_Unit!$B$5:$B$1018, MATCH(C2984, Mgt_Unit!$C$5:$C$1018, 0)), "")</f>
        <v>jennifer.moore</v>
      </c>
      <c r="C2984" t="s">
        <v>1036</v>
      </c>
      <c r="E2984" s="17" t="s">
        <v>1585</v>
      </c>
      <c r="F2984" s="89">
        <v>42602</v>
      </c>
      <c r="J2984" t="s">
        <v>1462</v>
      </c>
      <c r="K2984" s="120">
        <v>6.3</v>
      </c>
    </row>
    <row r="2985" spans="2:11" hidden="1" x14ac:dyDescent="0.25">
      <c r="B2985" s="28" t="str">
        <f>IF(ISNUMBER(MATCH(C2985, Mgt_Unit!$C$5:$C$1018, 0)), INDEX(Mgt_Unit!$B$5:$B$1018, MATCH(C2985, Mgt_Unit!$C$5:$C$1018, 0)), "")</f>
        <v>jennifer.moore</v>
      </c>
      <c r="C2985" t="s">
        <v>1036</v>
      </c>
      <c r="E2985" s="17" t="s">
        <v>1583</v>
      </c>
      <c r="F2985" s="89">
        <v>42826</v>
      </c>
      <c r="J2985" t="s">
        <v>1396</v>
      </c>
      <c r="K2985" s="120">
        <v>37</v>
      </c>
    </row>
    <row r="2986" spans="2:11" hidden="1" x14ac:dyDescent="0.25">
      <c r="B2986" s="28" t="str">
        <f>IF(ISNUMBER(MATCH(C2986, Mgt_Unit!$C$5:$C$1018, 0)), INDEX(Mgt_Unit!$B$5:$B$1018, MATCH(C2986, Mgt_Unit!$C$5:$C$1018, 0)), "")</f>
        <v>jennifer.moore</v>
      </c>
      <c r="C2986" t="s">
        <v>1036</v>
      </c>
      <c r="E2986" s="17" t="s">
        <v>1583</v>
      </c>
      <c r="F2986" s="89">
        <v>42826</v>
      </c>
      <c r="J2986" t="s">
        <v>1402</v>
      </c>
      <c r="K2986" s="120">
        <v>65</v>
      </c>
    </row>
    <row r="2987" spans="2:11" hidden="1" x14ac:dyDescent="0.25">
      <c r="B2987" s="28" t="str">
        <f>IF(ISNUMBER(MATCH(C2987, Mgt_Unit!$C$5:$C$1018, 0)), INDEX(Mgt_Unit!$B$5:$B$1018, MATCH(C2987, Mgt_Unit!$C$5:$C$1018, 0)), "")</f>
        <v>jennifer.moore</v>
      </c>
      <c r="C2987" t="s">
        <v>1036</v>
      </c>
      <c r="E2987" s="116" t="s">
        <v>1583</v>
      </c>
      <c r="F2987" s="89">
        <v>42826</v>
      </c>
      <c r="J2987" t="s">
        <v>1449</v>
      </c>
      <c r="K2987" s="120">
        <v>36</v>
      </c>
    </row>
    <row r="2988" spans="2:11" hidden="1" x14ac:dyDescent="0.25">
      <c r="B2988" s="28" t="str">
        <f>IF(ISNUMBER(MATCH(C2988, Mgt_Unit!$C$5:$C$1018, 0)), INDEX(Mgt_Unit!$B$5:$B$1018, MATCH(C2988, Mgt_Unit!$C$5:$C$1018, 0)), "")</f>
        <v>jennifer.moore</v>
      </c>
      <c r="C2988" t="s">
        <v>1036</v>
      </c>
      <c r="E2988" s="17" t="s">
        <v>1584</v>
      </c>
      <c r="F2988" s="89">
        <v>42835</v>
      </c>
      <c r="J2988" t="s">
        <v>1443</v>
      </c>
      <c r="K2988" s="120">
        <v>4</v>
      </c>
    </row>
    <row r="2989" spans="2:11" hidden="1" x14ac:dyDescent="0.25">
      <c r="B2989" s="28" t="str">
        <f>IF(ISNUMBER(MATCH(C2989, Mgt_Unit!$C$5:$C$1018, 0)), INDEX(Mgt_Unit!$B$5:$B$1018, MATCH(C2989, Mgt_Unit!$C$5:$C$1018, 0)), "")</f>
        <v>jennifer.moore</v>
      </c>
      <c r="C2989" t="s">
        <v>1036</v>
      </c>
      <c r="E2989" s="17" t="s">
        <v>1585</v>
      </c>
      <c r="F2989" s="89">
        <v>43024</v>
      </c>
      <c r="J2989" t="s">
        <v>1422</v>
      </c>
      <c r="K2989" s="120">
        <v>0.52</v>
      </c>
    </row>
    <row r="2990" spans="2:11" hidden="1" x14ac:dyDescent="0.25">
      <c r="B2990" s="28" t="str">
        <f>IF(ISNUMBER(MATCH(C2990, Mgt_Unit!$C$5:$C$1018, 0)), INDEX(Mgt_Unit!$B$5:$B$1018, MATCH(C2990, Mgt_Unit!$C$5:$C$1018, 0)), "")</f>
        <v>jennifer.moore</v>
      </c>
      <c r="C2990" t="s">
        <v>1036</v>
      </c>
      <c r="E2990" s="17" t="s">
        <v>1583</v>
      </c>
      <c r="F2990" s="89">
        <v>43191</v>
      </c>
      <c r="J2990" t="s">
        <v>1449</v>
      </c>
      <c r="K2990" s="120">
        <v>36</v>
      </c>
    </row>
    <row r="2991" spans="2:11" hidden="1" x14ac:dyDescent="0.25">
      <c r="B2991" s="28" t="str">
        <f>IF(ISNUMBER(MATCH(C2991, Mgt_Unit!$C$5:$C$1018, 0)), INDEX(Mgt_Unit!$B$5:$B$1018, MATCH(C2991, Mgt_Unit!$C$5:$C$1018, 0)), "")</f>
        <v>jennifer.moore</v>
      </c>
      <c r="C2991" t="s">
        <v>1036</v>
      </c>
      <c r="E2991" s="17" t="s">
        <v>1584</v>
      </c>
      <c r="F2991" s="89">
        <v>43191</v>
      </c>
      <c r="J2991" t="s">
        <v>1355</v>
      </c>
      <c r="K2991" s="120">
        <v>6.3</v>
      </c>
    </row>
    <row r="2992" spans="2:11" hidden="1" x14ac:dyDescent="0.25">
      <c r="B2992" s="28" t="str">
        <f>IF(ISNUMBER(MATCH(C2992, Mgt_Unit!$C$5:$C$1018, 0)), INDEX(Mgt_Unit!$B$5:$B$1018, MATCH(C2992, Mgt_Unit!$C$5:$C$1018, 0)), "")</f>
        <v>jennifer.moore</v>
      </c>
      <c r="C2992" t="s">
        <v>1036</v>
      </c>
      <c r="E2992" s="17" t="s">
        <v>1584</v>
      </c>
      <c r="F2992" s="89">
        <v>43191</v>
      </c>
      <c r="J2992" t="s">
        <v>1355</v>
      </c>
      <c r="K2992" s="120">
        <v>6.3</v>
      </c>
    </row>
    <row r="2993" spans="2:11" hidden="1" x14ac:dyDescent="0.25">
      <c r="B2993" s="28" t="str">
        <f>IF(ISNUMBER(MATCH(C2993, Mgt_Unit!$C$5:$C$1018, 0)), INDEX(Mgt_Unit!$B$5:$B$1018, MATCH(C2993, Mgt_Unit!$C$5:$C$1018, 0)), "")</f>
        <v>jennifer.moore</v>
      </c>
      <c r="C2993" t="s">
        <v>1036</v>
      </c>
      <c r="E2993" s="17" t="s">
        <v>1583</v>
      </c>
      <c r="F2993" s="89">
        <v>43191</v>
      </c>
      <c r="J2993" t="s">
        <v>1396</v>
      </c>
      <c r="K2993" s="120">
        <v>37</v>
      </c>
    </row>
    <row r="2994" spans="2:11" hidden="1" x14ac:dyDescent="0.25">
      <c r="B2994" s="28" t="str">
        <f>IF(ISNUMBER(MATCH(C2994, Mgt_Unit!$C$5:$C$1018, 0)), INDEX(Mgt_Unit!$B$5:$B$1018, MATCH(C2994, Mgt_Unit!$C$5:$C$1018, 0)), "")</f>
        <v>jennifer.moore</v>
      </c>
      <c r="C2994" t="s">
        <v>1036</v>
      </c>
      <c r="E2994" s="17" t="s">
        <v>1583</v>
      </c>
      <c r="F2994" s="89">
        <v>43191</v>
      </c>
      <c r="J2994" t="s">
        <v>1402</v>
      </c>
      <c r="K2994" s="120">
        <v>65</v>
      </c>
    </row>
    <row r="2995" spans="2:11" hidden="1" x14ac:dyDescent="0.25">
      <c r="B2995" s="28" t="str">
        <f>IF(ISNUMBER(MATCH(C2995, Mgt_Unit!$C$5:$C$1018, 0)), INDEX(Mgt_Unit!$B$5:$B$1018, MATCH(C2995, Mgt_Unit!$C$5:$C$1018, 0)), "")</f>
        <v>jennifer.moore</v>
      </c>
      <c r="C2995" t="s">
        <v>1036</v>
      </c>
      <c r="E2995" s="116" t="s">
        <v>1583</v>
      </c>
      <c r="F2995" s="89">
        <v>43286</v>
      </c>
      <c r="J2995" t="s">
        <v>1449</v>
      </c>
      <c r="K2995" s="120">
        <v>36</v>
      </c>
    </row>
    <row r="2996" spans="2:11" hidden="1" x14ac:dyDescent="0.25">
      <c r="B2996" s="28" t="str">
        <f>IF(ISNUMBER(MATCH(C2996, Mgt_Unit!$C$5:$C$1018, 0)), INDEX(Mgt_Unit!$B$5:$B$1018, MATCH(C2996, Mgt_Unit!$C$5:$C$1018, 0)), "")</f>
        <v>jennifer.moore</v>
      </c>
      <c r="C2996" t="s">
        <v>1036</v>
      </c>
      <c r="E2996" s="17" t="s">
        <v>1583</v>
      </c>
      <c r="F2996" s="89">
        <v>43286</v>
      </c>
      <c r="J2996" t="s">
        <v>1402</v>
      </c>
      <c r="K2996" s="120">
        <v>65</v>
      </c>
    </row>
    <row r="2997" spans="2:11" hidden="1" x14ac:dyDescent="0.25">
      <c r="B2997" s="28" t="str">
        <f>IF(ISNUMBER(MATCH(C2997, Mgt_Unit!$C$5:$C$1018, 0)), INDEX(Mgt_Unit!$B$5:$B$1018, MATCH(C2997, Mgt_Unit!$C$5:$C$1018, 0)), "")</f>
        <v>jennifer.moore</v>
      </c>
      <c r="C2997" t="s">
        <v>1036</v>
      </c>
      <c r="E2997" s="17" t="s">
        <v>1583</v>
      </c>
      <c r="F2997" s="89">
        <v>43286</v>
      </c>
      <c r="J2997" t="s">
        <v>1402</v>
      </c>
      <c r="K2997" s="120">
        <v>65</v>
      </c>
    </row>
    <row r="2998" spans="2:11" hidden="1" x14ac:dyDescent="0.25">
      <c r="B2998" s="28" t="str">
        <f>IF(ISNUMBER(MATCH(C2998, Mgt_Unit!$C$5:$C$1018, 0)), INDEX(Mgt_Unit!$B$5:$B$1018, MATCH(C2998, Mgt_Unit!$C$5:$C$1018, 0)), "")</f>
        <v>jennifer.moore</v>
      </c>
      <c r="C2998" t="s">
        <v>1036</v>
      </c>
      <c r="E2998" s="17" t="s">
        <v>1583</v>
      </c>
      <c r="F2998" s="89">
        <v>43286</v>
      </c>
      <c r="J2998" t="s">
        <v>1396</v>
      </c>
      <c r="K2998" s="120">
        <v>37</v>
      </c>
    </row>
    <row r="2999" spans="2:11" hidden="1" x14ac:dyDescent="0.25">
      <c r="B2999" s="28" t="str">
        <f>IF(ISNUMBER(MATCH(C2999, Mgt_Unit!$C$5:$C$1018, 0)), INDEX(Mgt_Unit!$B$5:$B$1018, MATCH(C2999, Mgt_Unit!$C$5:$C$1018, 0)), "")</f>
        <v>jennifer.moore</v>
      </c>
      <c r="C2999" t="s">
        <v>1036</v>
      </c>
      <c r="E2999" s="17" t="s">
        <v>1585</v>
      </c>
      <c r="F2999" s="89">
        <v>43286</v>
      </c>
      <c r="J2999" t="s">
        <v>1422</v>
      </c>
      <c r="K2999" s="120">
        <v>0.52</v>
      </c>
    </row>
    <row r="3000" spans="2:11" hidden="1" x14ac:dyDescent="0.25">
      <c r="B3000" s="28" t="str">
        <f>IF(ISNUMBER(MATCH(C3000, Mgt_Unit!$C$5:$C$1018, 0)), INDEX(Mgt_Unit!$B$5:$B$1018, MATCH(C3000, Mgt_Unit!$C$5:$C$1018, 0)), "")</f>
        <v>jennifer.moore</v>
      </c>
      <c r="C3000" t="s">
        <v>1036</v>
      </c>
      <c r="E3000" s="17" t="s">
        <v>1584</v>
      </c>
      <c r="F3000" s="89">
        <v>43556</v>
      </c>
      <c r="J3000" t="s">
        <v>1443</v>
      </c>
      <c r="K3000" s="120">
        <v>4</v>
      </c>
    </row>
    <row r="3001" spans="2:11" hidden="1" x14ac:dyDescent="0.25">
      <c r="B3001" s="28" t="str">
        <f>IF(ISNUMBER(MATCH(C3001, Mgt_Unit!$C$5:$C$1018, 0)), INDEX(Mgt_Unit!$B$5:$B$1018, MATCH(C3001, Mgt_Unit!$C$5:$C$1018, 0)), "")</f>
        <v>jennifer.moore</v>
      </c>
      <c r="C3001" t="s">
        <v>1036</v>
      </c>
      <c r="E3001" s="17" t="s">
        <v>1583</v>
      </c>
      <c r="F3001" s="89">
        <v>43556</v>
      </c>
      <c r="J3001" t="s">
        <v>1396</v>
      </c>
      <c r="K3001" s="120">
        <v>37</v>
      </c>
    </row>
    <row r="3002" spans="2:11" hidden="1" x14ac:dyDescent="0.25">
      <c r="B3002" s="28" t="str">
        <f>IF(ISNUMBER(MATCH(C3002, Mgt_Unit!$C$5:$C$1018, 0)), INDEX(Mgt_Unit!$B$5:$B$1018, MATCH(C3002, Mgt_Unit!$C$5:$C$1018, 0)), "")</f>
        <v>jennifer.moore</v>
      </c>
      <c r="C3002" t="s">
        <v>1036</v>
      </c>
      <c r="E3002" s="17" t="s">
        <v>1583</v>
      </c>
      <c r="F3002" s="89">
        <v>43556</v>
      </c>
      <c r="J3002" t="s">
        <v>1449</v>
      </c>
      <c r="K3002" s="120">
        <v>36</v>
      </c>
    </row>
    <row r="3003" spans="2:11" hidden="1" x14ac:dyDescent="0.25">
      <c r="B3003" s="28" t="str">
        <f>IF(ISNUMBER(MATCH(C3003, Mgt_Unit!$C$5:$C$1018, 0)), INDEX(Mgt_Unit!$B$5:$B$1018, MATCH(C3003, Mgt_Unit!$C$5:$C$1018, 0)), "")</f>
        <v>jennifer.moore</v>
      </c>
      <c r="C3003" t="s">
        <v>1037</v>
      </c>
      <c r="E3003" s="116" t="s">
        <v>1583</v>
      </c>
      <c r="F3003" s="89">
        <v>42139</v>
      </c>
      <c r="J3003" t="s">
        <v>1449</v>
      </c>
      <c r="K3003" s="120">
        <v>36</v>
      </c>
    </row>
    <row r="3004" spans="2:11" hidden="1" x14ac:dyDescent="0.25">
      <c r="B3004" s="28" t="str">
        <f>IF(ISNUMBER(MATCH(C3004, Mgt_Unit!$C$5:$C$1018, 0)), INDEX(Mgt_Unit!$B$5:$B$1018, MATCH(C3004, Mgt_Unit!$C$5:$C$1018, 0)), "")</f>
        <v>jennifer.moore</v>
      </c>
      <c r="C3004" t="s">
        <v>1037</v>
      </c>
      <c r="E3004" s="17" t="s">
        <v>1583</v>
      </c>
      <c r="F3004" s="89">
        <v>42139</v>
      </c>
      <c r="J3004" t="s">
        <v>1396</v>
      </c>
      <c r="K3004" s="120">
        <v>37</v>
      </c>
    </row>
    <row r="3005" spans="2:11" hidden="1" x14ac:dyDescent="0.25">
      <c r="B3005" s="28" t="str">
        <f>IF(ISNUMBER(MATCH(C3005, Mgt_Unit!$C$5:$C$1018, 0)), INDEX(Mgt_Unit!$B$5:$B$1018, MATCH(C3005, Mgt_Unit!$C$5:$C$1018, 0)), "")</f>
        <v>jennifer.moore</v>
      </c>
      <c r="C3005" t="s">
        <v>1037</v>
      </c>
      <c r="E3005" s="17" t="s">
        <v>1583</v>
      </c>
      <c r="F3005" s="89">
        <v>42139</v>
      </c>
      <c r="J3005" t="s">
        <v>1402</v>
      </c>
      <c r="K3005" s="120">
        <v>65</v>
      </c>
    </row>
    <row r="3006" spans="2:11" hidden="1" x14ac:dyDescent="0.25">
      <c r="B3006" s="28" t="str">
        <f>IF(ISNUMBER(MATCH(C3006, Mgt_Unit!$C$5:$C$1018, 0)), INDEX(Mgt_Unit!$B$5:$B$1018, MATCH(C3006, Mgt_Unit!$C$5:$C$1018, 0)), "")</f>
        <v>jennifer.moore</v>
      </c>
      <c r="C3006" t="s">
        <v>1037</v>
      </c>
      <c r="E3006" s="17" t="s">
        <v>1584</v>
      </c>
      <c r="F3006" s="89">
        <v>42144</v>
      </c>
      <c r="J3006" t="s">
        <v>1443</v>
      </c>
      <c r="K3006" s="120">
        <v>4</v>
      </c>
    </row>
    <row r="3007" spans="2:11" hidden="1" x14ac:dyDescent="0.25">
      <c r="B3007" s="28" t="str">
        <f>IF(ISNUMBER(MATCH(C3007, Mgt_Unit!$C$5:$C$1018, 0)), INDEX(Mgt_Unit!$B$5:$B$1018, MATCH(C3007, Mgt_Unit!$C$5:$C$1018, 0)), "")</f>
        <v>jennifer.moore</v>
      </c>
      <c r="C3007" t="s">
        <v>1037</v>
      </c>
      <c r="E3007" s="17" t="s">
        <v>1583</v>
      </c>
      <c r="F3007" s="89">
        <v>42277</v>
      </c>
      <c r="J3007" t="s">
        <v>1402</v>
      </c>
      <c r="K3007" s="120">
        <v>65</v>
      </c>
    </row>
    <row r="3008" spans="2:11" hidden="1" x14ac:dyDescent="0.25">
      <c r="B3008" s="28" t="str">
        <f>IF(ISNUMBER(MATCH(C3008, Mgt_Unit!$C$5:$C$1018, 0)), INDEX(Mgt_Unit!$B$5:$B$1018, MATCH(C3008, Mgt_Unit!$C$5:$C$1018, 0)), "")</f>
        <v>jennifer.moore</v>
      </c>
      <c r="C3008" t="s">
        <v>1037</v>
      </c>
      <c r="E3008" s="17" t="s">
        <v>1583</v>
      </c>
      <c r="F3008" s="89">
        <v>42277</v>
      </c>
      <c r="J3008" t="s">
        <v>1396</v>
      </c>
      <c r="K3008" s="120">
        <v>37</v>
      </c>
    </row>
    <row r="3009" spans="2:11" hidden="1" x14ac:dyDescent="0.25">
      <c r="B3009" s="28" t="str">
        <f>IF(ISNUMBER(MATCH(C3009, Mgt_Unit!$C$5:$C$1018, 0)), INDEX(Mgt_Unit!$B$5:$B$1018, MATCH(C3009, Mgt_Unit!$C$5:$C$1018, 0)), "")</f>
        <v>jennifer.moore</v>
      </c>
      <c r="C3009" t="s">
        <v>1037</v>
      </c>
      <c r="E3009" s="17" t="s">
        <v>1583</v>
      </c>
      <c r="F3009" s="89">
        <v>42277</v>
      </c>
      <c r="J3009" t="s">
        <v>1449</v>
      </c>
      <c r="K3009" s="120">
        <v>36</v>
      </c>
    </row>
    <row r="3010" spans="2:11" hidden="1" x14ac:dyDescent="0.25">
      <c r="B3010" s="28" t="str">
        <f>IF(ISNUMBER(MATCH(C3010, Mgt_Unit!$C$5:$C$1018, 0)), INDEX(Mgt_Unit!$B$5:$B$1018, MATCH(C3010, Mgt_Unit!$C$5:$C$1018, 0)), "")</f>
        <v>jennifer.moore</v>
      </c>
      <c r="C3010" t="s">
        <v>1037</v>
      </c>
      <c r="E3010" s="17" t="s">
        <v>1584</v>
      </c>
      <c r="F3010" s="89">
        <v>42278</v>
      </c>
      <c r="J3010" t="s">
        <v>1355</v>
      </c>
      <c r="K3010" s="120">
        <v>6.3</v>
      </c>
    </row>
    <row r="3011" spans="2:11" hidden="1" x14ac:dyDescent="0.25">
      <c r="B3011" s="28" t="str">
        <f>IF(ISNUMBER(MATCH(C3011, Mgt_Unit!$C$5:$C$1018, 0)), INDEX(Mgt_Unit!$B$5:$B$1018, MATCH(C3011, Mgt_Unit!$C$5:$C$1018, 0)), "")</f>
        <v>jennifer.moore</v>
      </c>
      <c r="C3011" t="s">
        <v>1037</v>
      </c>
      <c r="E3011" s="116" t="s">
        <v>1583</v>
      </c>
      <c r="F3011" s="89">
        <v>42597</v>
      </c>
      <c r="J3011" t="s">
        <v>1449</v>
      </c>
      <c r="K3011" s="120">
        <v>36</v>
      </c>
    </row>
    <row r="3012" spans="2:11" hidden="1" x14ac:dyDescent="0.25">
      <c r="B3012" s="28" t="str">
        <f>IF(ISNUMBER(MATCH(C3012, Mgt_Unit!$C$5:$C$1018, 0)), INDEX(Mgt_Unit!$B$5:$B$1018, MATCH(C3012, Mgt_Unit!$C$5:$C$1018, 0)), "")</f>
        <v>jennifer.moore</v>
      </c>
      <c r="C3012" t="s">
        <v>1037</v>
      </c>
      <c r="E3012" s="17" t="s">
        <v>1583</v>
      </c>
      <c r="F3012" s="89">
        <v>42597</v>
      </c>
      <c r="J3012" t="s">
        <v>1396</v>
      </c>
      <c r="K3012" s="120">
        <v>37</v>
      </c>
    </row>
    <row r="3013" spans="2:11" hidden="1" x14ac:dyDescent="0.25">
      <c r="B3013" s="28" t="str">
        <f>IF(ISNUMBER(MATCH(C3013, Mgt_Unit!$C$5:$C$1018, 0)), INDEX(Mgt_Unit!$B$5:$B$1018, MATCH(C3013, Mgt_Unit!$C$5:$C$1018, 0)), "")</f>
        <v>jennifer.moore</v>
      </c>
      <c r="C3013" t="s">
        <v>1037</v>
      </c>
      <c r="E3013" s="17" t="s">
        <v>1583</v>
      </c>
      <c r="F3013" s="89">
        <v>42597</v>
      </c>
      <c r="J3013" t="s">
        <v>1402</v>
      </c>
      <c r="K3013" s="120">
        <v>65</v>
      </c>
    </row>
    <row r="3014" spans="2:11" hidden="1" x14ac:dyDescent="0.25">
      <c r="B3014" s="28" t="str">
        <f>IF(ISNUMBER(MATCH(C3014, Mgt_Unit!$C$5:$C$1018, 0)), INDEX(Mgt_Unit!$B$5:$B$1018, MATCH(C3014, Mgt_Unit!$C$5:$C$1018, 0)), "")</f>
        <v>jennifer.moore</v>
      </c>
      <c r="C3014" t="s">
        <v>1037</v>
      </c>
      <c r="E3014" s="17" t="s">
        <v>1585</v>
      </c>
      <c r="F3014" s="89">
        <v>42602</v>
      </c>
      <c r="J3014" t="s">
        <v>1462</v>
      </c>
      <c r="K3014" s="120">
        <v>6.3</v>
      </c>
    </row>
    <row r="3015" spans="2:11" hidden="1" x14ac:dyDescent="0.25">
      <c r="B3015" s="28" t="str">
        <f>IF(ISNUMBER(MATCH(C3015, Mgt_Unit!$C$5:$C$1018, 0)), INDEX(Mgt_Unit!$B$5:$B$1018, MATCH(C3015, Mgt_Unit!$C$5:$C$1018, 0)), "")</f>
        <v>jennifer.moore</v>
      </c>
      <c r="C3015" t="s">
        <v>1037</v>
      </c>
      <c r="E3015" s="116" t="s">
        <v>1583</v>
      </c>
      <c r="F3015" s="89">
        <v>42826</v>
      </c>
      <c r="J3015" t="s">
        <v>1449</v>
      </c>
      <c r="K3015" s="120">
        <v>36</v>
      </c>
    </row>
    <row r="3016" spans="2:11" hidden="1" x14ac:dyDescent="0.25">
      <c r="B3016" s="28" t="str">
        <f>IF(ISNUMBER(MATCH(C3016, Mgt_Unit!$C$5:$C$1018, 0)), INDEX(Mgt_Unit!$B$5:$B$1018, MATCH(C3016, Mgt_Unit!$C$5:$C$1018, 0)), "")</f>
        <v>jennifer.moore</v>
      </c>
      <c r="C3016" t="s">
        <v>1037</v>
      </c>
      <c r="E3016" s="17" t="s">
        <v>1583</v>
      </c>
      <c r="F3016" s="89">
        <v>42826</v>
      </c>
      <c r="J3016" t="s">
        <v>1396</v>
      </c>
      <c r="K3016" s="120">
        <v>37</v>
      </c>
    </row>
    <row r="3017" spans="2:11" hidden="1" x14ac:dyDescent="0.25">
      <c r="B3017" s="28" t="str">
        <f>IF(ISNUMBER(MATCH(C3017, Mgt_Unit!$C$5:$C$1018, 0)), INDEX(Mgt_Unit!$B$5:$B$1018, MATCH(C3017, Mgt_Unit!$C$5:$C$1018, 0)), "")</f>
        <v>jennifer.moore</v>
      </c>
      <c r="C3017" t="s">
        <v>1037</v>
      </c>
      <c r="E3017" s="17" t="s">
        <v>1583</v>
      </c>
      <c r="F3017" s="89">
        <v>42826</v>
      </c>
      <c r="J3017" t="s">
        <v>1402</v>
      </c>
      <c r="K3017" s="120">
        <v>65</v>
      </c>
    </row>
    <row r="3018" spans="2:11" hidden="1" x14ac:dyDescent="0.25">
      <c r="B3018" s="28" t="str">
        <f>IF(ISNUMBER(MATCH(C3018, Mgt_Unit!$C$5:$C$1018, 0)), INDEX(Mgt_Unit!$B$5:$B$1018, MATCH(C3018, Mgt_Unit!$C$5:$C$1018, 0)), "")</f>
        <v>jennifer.moore</v>
      </c>
      <c r="C3018" t="s">
        <v>1037</v>
      </c>
      <c r="E3018" s="17" t="s">
        <v>1584</v>
      </c>
      <c r="F3018" s="89">
        <v>42835</v>
      </c>
      <c r="J3018" t="s">
        <v>1443</v>
      </c>
      <c r="K3018" s="120">
        <v>4</v>
      </c>
    </row>
    <row r="3019" spans="2:11" hidden="1" x14ac:dyDescent="0.25">
      <c r="B3019" s="28" t="str">
        <f>IF(ISNUMBER(MATCH(C3019, Mgt_Unit!$C$5:$C$1018, 0)), INDEX(Mgt_Unit!$B$5:$B$1018, MATCH(C3019, Mgt_Unit!$C$5:$C$1018, 0)), "")</f>
        <v>jennifer.moore</v>
      </c>
      <c r="C3019" t="s">
        <v>1037</v>
      </c>
      <c r="E3019" s="17" t="s">
        <v>1585</v>
      </c>
      <c r="F3019" s="89">
        <v>43024</v>
      </c>
      <c r="J3019" t="s">
        <v>1422</v>
      </c>
      <c r="K3019" s="120">
        <v>0.52</v>
      </c>
    </row>
    <row r="3020" spans="2:11" hidden="1" x14ac:dyDescent="0.25">
      <c r="B3020" s="28" t="str">
        <f>IF(ISNUMBER(MATCH(C3020, Mgt_Unit!$C$5:$C$1018, 0)), INDEX(Mgt_Unit!$B$5:$B$1018, MATCH(C3020, Mgt_Unit!$C$5:$C$1018, 0)), "")</f>
        <v>jennifer.moore</v>
      </c>
      <c r="C3020" t="s">
        <v>1037</v>
      </c>
      <c r="E3020" s="17" t="s">
        <v>1583</v>
      </c>
      <c r="F3020" s="89">
        <v>43191</v>
      </c>
      <c r="J3020" t="s">
        <v>1396</v>
      </c>
      <c r="K3020" s="120">
        <v>37</v>
      </c>
    </row>
    <row r="3021" spans="2:11" hidden="1" x14ac:dyDescent="0.25">
      <c r="B3021" s="28" t="str">
        <f>IF(ISNUMBER(MATCH(C3021, Mgt_Unit!$C$5:$C$1018, 0)), INDEX(Mgt_Unit!$B$5:$B$1018, MATCH(C3021, Mgt_Unit!$C$5:$C$1018, 0)), "")</f>
        <v>jennifer.moore</v>
      </c>
      <c r="C3021" t="s">
        <v>1037</v>
      </c>
      <c r="E3021" s="17" t="s">
        <v>1583</v>
      </c>
      <c r="F3021" s="89">
        <v>43191</v>
      </c>
      <c r="J3021" t="s">
        <v>1402</v>
      </c>
      <c r="K3021" s="120">
        <v>65</v>
      </c>
    </row>
    <row r="3022" spans="2:11" hidden="1" x14ac:dyDescent="0.25">
      <c r="B3022" s="28" t="str">
        <f>IF(ISNUMBER(MATCH(C3022, Mgt_Unit!$C$5:$C$1018, 0)), INDEX(Mgt_Unit!$B$5:$B$1018, MATCH(C3022, Mgt_Unit!$C$5:$C$1018, 0)), "")</f>
        <v>jennifer.moore</v>
      </c>
      <c r="C3022" t="s">
        <v>1037</v>
      </c>
      <c r="E3022" s="17" t="s">
        <v>1584</v>
      </c>
      <c r="F3022" s="89">
        <v>43191</v>
      </c>
      <c r="J3022" t="s">
        <v>1355</v>
      </c>
      <c r="K3022" s="120">
        <v>6.3</v>
      </c>
    </row>
    <row r="3023" spans="2:11" hidden="1" x14ac:dyDescent="0.25">
      <c r="B3023" s="28" t="str">
        <f>IF(ISNUMBER(MATCH(C3023, Mgt_Unit!$C$5:$C$1018, 0)), INDEX(Mgt_Unit!$B$5:$B$1018, MATCH(C3023, Mgt_Unit!$C$5:$C$1018, 0)), "")</f>
        <v>jennifer.moore</v>
      </c>
      <c r="C3023" t="s">
        <v>1037</v>
      </c>
      <c r="E3023" s="17" t="s">
        <v>1584</v>
      </c>
      <c r="F3023" s="89">
        <v>43191</v>
      </c>
      <c r="J3023" t="s">
        <v>1355</v>
      </c>
      <c r="K3023" s="120">
        <v>6.3</v>
      </c>
    </row>
    <row r="3024" spans="2:11" hidden="1" x14ac:dyDescent="0.25">
      <c r="B3024" s="28" t="str">
        <f>IF(ISNUMBER(MATCH(C3024, Mgt_Unit!$C$5:$C$1018, 0)), INDEX(Mgt_Unit!$B$5:$B$1018, MATCH(C3024, Mgt_Unit!$C$5:$C$1018, 0)), "")</f>
        <v>jennifer.moore</v>
      </c>
      <c r="C3024" t="s">
        <v>1037</v>
      </c>
      <c r="E3024" s="17" t="s">
        <v>1583</v>
      </c>
      <c r="F3024" s="89">
        <v>43191</v>
      </c>
      <c r="J3024" t="s">
        <v>1449</v>
      </c>
      <c r="K3024" s="120">
        <v>36</v>
      </c>
    </row>
    <row r="3025" spans="2:11" hidden="1" x14ac:dyDescent="0.25">
      <c r="B3025" s="28" t="str">
        <f>IF(ISNUMBER(MATCH(C3025, Mgt_Unit!$C$5:$C$1018, 0)), INDEX(Mgt_Unit!$B$5:$B$1018, MATCH(C3025, Mgt_Unit!$C$5:$C$1018, 0)), "")</f>
        <v>jennifer.moore</v>
      </c>
      <c r="C3025" t="s">
        <v>1037</v>
      </c>
      <c r="E3025" s="116" t="s">
        <v>1583</v>
      </c>
      <c r="F3025" s="89">
        <v>43286</v>
      </c>
      <c r="J3025" t="s">
        <v>1449</v>
      </c>
      <c r="K3025" s="120">
        <v>36</v>
      </c>
    </row>
    <row r="3026" spans="2:11" hidden="1" x14ac:dyDescent="0.25">
      <c r="B3026" s="28" t="str">
        <f>IF(ISNUMBER(MATCH(C3026, Mgt_Unit!$C$5:$C$1018, 0)), INDEX(Mgt_Unit!$B$5:$B$1018, MATCH(C3026, Mgt_Unit!$C$5:$C$1018, 0)), "")</f>
        <v>jennifer.moore</v>
      </c>
      <c r="C3026" t="s">
        <v>1037</v>
      </c>
      <c r="E3026" s="17" t="s">
        <v>1583</v>
      </c>
      <c r="F3026" s="89">
        <v>43286</v>
      </c>
      <c r="J3026" t="s">
        <v>1396</v>
      </c>
      <c r="K3026" s="120">
        <v>37</v>
      </c>
    </row>
    <row r="3027" spans="2:11" hidden="1" x14ac:dyDescent="0.25">
      <c r="B3027" s="28" t="str">
        <f>IF(ISNUMBER(MATCH(C3027, Mgt_Unit!$C$5:$C$1018, 0)), INDEX(Mgt_Unit!$B$5:$B$1018, MATCH(C3027, Mgt_Unit!$C$5:$C$1018, 0)), "")</f>
        <v>jennifer.moore</v>
      </c>
      <c r="C3027" t="s">
        <v>1037</v>
      </c>
      <c r="E3027" s="17" t="s">
        <v>1583</v>
      </c>
      <c r="F3027" s="89">
        <v>43286</v>
      </c>
      <c r="J3027" t="s">
        <v>1402</v>
      </c>
      <c r="K3027" s="120">
        <v>65</v>
      </c>
    </row>
    <row r="3028" spans="2:11" hidden="1" x14ac:dyDescent="0.25">
      <c r="B3028" s="28" t="str">
        <f>IF(ISNUMBER(MATCH(C3028, Mgt_Unit!$C$5:$C$1018, 0)), INDEX(Mgt_Unit!$B$5:$B$1018, MATCH(C3028, Mgt_Unit!$C$5:$C$1018, 0)), "")</f>
        <v>jennifer.moore</v>
      </c>
      <c r="C3028" t="s">
        <v>1037</v>
      </c>
      <c r="E3028" s="17" t="s">
        <v>1583</v>
      </c>
      <c r="F3028" s="89">
        <v>43286</v>
      </c>
      <c r="J3028" t="s">
        <v>1402</v>
      </c>
      <c r="K3028" s="120">
        <v>65</v>
      </c>
    </row>
    <row r="3029" spans="2:11" hidden="1" x14ac:dyDescent="0.25">
      <c r="B3029" s="28" t="str">
        <f>IF(ISNUMBER(MATCH(C3029, Mgt_Unit!$C$5:$C$1018, 0)), INDEX(Mgt_Unit!$B$5:$B$1018, MATCH(C3029, Mgt_Unit!$C$5:$C$1018, 0)), "")</f>
        <v>jennifer.moore</v>
      </c>
      <c r="C3029" t="s">
        <v>1037</v>
      </c>
      <c r="E3029" s="17" t="s">
        <v>1585</v>
      </c>
      <c r="F3029" s="89">
        <v>43286</v>
      </c>
      <c r="J3029" t="s">
        <v>1422</v>
      </c>
      <c r="K3029" s="120">
        <v>0.52</v>
      </c>
    </row>
    <row r="3030" spans="2:11" hidden="1" x14ac:dyDescent="0.25">
      <c r="B3030" s="28" t="str">
        <f>IF(ISNUMBER(MATCH(C3030, Mgt_Unit!$C$5:$C$1018, 0)), INDEX(Mgt_Unit!$B$5:$B$1018, MATCH(C3030, Mgt_Unit!$C$5:$C$1018, 0)), "")</f>
        <v>jennifer.moore</v>
      </c>
      <c r="C3030" t="s">
        <v>1037</v>
      </c>
      <c r="E3030" s="17" t="s">
        <v>1583</v>
      </c>
      <c r="F3030" s="89">
        <v>43556</v>
      </c>
      <c r="J3030" t="s">
        <v>1449</v>
      </c>
      <c r="K3030" s="120">
        <v>36</v>
      </c>
    </row>
    <row r="3031" spans="2:11" hidden="1" x14ac:dyDescent="0.25">
      <c r="B3031" s="28" t="str">
        <f>IF(ISNUMBER(MATCH(C3031, Mgt_Unit!$C$5:$C$1018, 0)), INDEX(Mgt_Unit!$B$5:$B$1018, MATCH(C3031, Mgt_Unit!$C$5:$C$1018, 0)), "")</f>
        <v>jennifer.moore</v>
      </c>
      <c r="C3031" t="s">
        <v>1037</v>
      </c>
      <c r="E3031" s="17" t="s">
        <v>1583</v>
      </c>
      <c r="F3031" s="89">
        <v>43556</v>
      </c>
      <c r="J3031" t="s">
        <v>1396</v>
      </c>
      <c r="K3031" s="120">
        <v>37</v>
      </c>
    </row>
    <row r="3032" spans="2:11" hidden="1" x14ac:dyDescent="0.25">
      <c r="B3032" s="28" t="str">
        <f>IF(ISNUMBER(MATCH(C3032, Mgt_Unit!$C$5:$C$1018, 0)), INDEX(Mgt_Unit!$B$5:$B$1018, MATCH(C3032, Mgt_Unit!$C$5:$C$1018, 0)), "")</f>
        <v>jennifer.moore</v>
      </c>
      <c r="C3032" t="s">
        <v>1037</v>
      </c>
      <c r="E3032" s="17" t="s">
        <v>1584</v>
      </c>
      <c r="F3032" s="89">
        <v>43556</v>
      </c>
      <c r="J3032" t="s">
        <v>1443</v>
      </c>
      <c r="K3032" s="120">
        <v>4</v>
      </c>
    </row>
    <row r="3033" spans="2:11" hidden="1" x14ac:dyDescent="0.25">
      <c r="B3033" s="28" t="str">
        <f>IF(ISNUMBER(MATCH(C3033, Mgt_Unit!$C$5:$C$1018, 0)), INDEX(Mgt_Unit!$B$5:$B$1018, MATCH(C3033, Mgt_Unit!$C$5:$C$1018, 0)), "")</f>
        <v>jennifer.moore</v>
      </c>
      <c r="C3033" t="s">
        <v>1037</v>
      </c>
      <c r="E3033" s="17" t="s">
        <v>1584</v>
      </c>
      <c r="F3033" s="89">
        <v>43753</v>
      </c>
      <c r="J3033" t="s">
        <v>1355</v>
      </c>
      <c r="K3033" s="120">
        <v>6.3</v>
      </c>
    </row>
    <row r="3034" spans="2:11" hidden="1" x14ac:dyDescent="0.25">
      <c r="B3034" s="28" t="str">
        <f>IF(ISNUMBER(MATCH(C3034, Mgt_Unit!$C$5:$C$1018, 0)), INDEX(Mgt_Unit!$B$5:$B$1018, MATCH(C3034, Mgt_Unit!$C$5:$C$1018, 0)), "")</f>
        <v>jennifer.moore</v>
      </c>
      <c r="C3034" t="s">
        <v>1037</v>
      </c>
      <c r="E3034" s="17" t="s">
        <v>1583</v>
      </c>
      <c r="F3034" s="89">
        <v>44058</v>
      </c>
      <c r="J3034" t="s">
        <v>1355</v>
      </c>
      <c r="K3034" s="120">
        <v>6.3</v>
      </c>
    </row>
    <row r="3035" spans="2:11" hidden="1" x14ac:dyDescent="0.25">
      <c r="B3035" s="28" t="str">
        <f>IF(ISNUMBER(MATCH(C3035, Mgt_Unit!$C$5:$C$1018, 0)), INDEX(Mgt_Unit!$B$5:$B$1018, MATCH(C3035, Mgt_Unit!$C$5:$C$1018, 0)), "")</f>
        <v>jennifer.moore</v>
      </c>
      <c r="C3035" t="s">
        <v>1039</v>
      </c>
      <c r="E3035" s="17" t="s">
        <v>1583</v>
      </c>
      <c r="F3035" s="89">
        <v>43570</v>
      </c>
      <c r="J3035" t="s">
        <v>1436</v>
      </c>
      <c r="K3035" s="120">
        <v>42</v>
      </c>
    </row>
    <row r="3036" spans="2:11" hidden="1" x14ac:dyDescent="0.25">
      <c r="B3036" s="28" t="str">
        <f>IF(ISNUMBER(MATCH(C3036, Mgt_Unit!$C$5:$C$1018, 0)), INDEX(Mgt_Unit!$B$5:$B$1018, MATCH(C3036, Mgt_Unit!$C$5:$C$1018, 0)), "")</f>
        <v>jennifer.moore</v>
      </c>
      <c r="C3036" t="s">
        <v>1039</v>
      </c>
      <c r="E3036" s="17" t="s">
        <v>1583</v>
      </c>
      <c r="F3036" s="89">
        <v>43952</v>
      </c>
      <c r="J3036" t="s">
        <v>1436</v>
      </c>
      <c r="K3036" s="120">
        <v>42</v>
      </c>
    </row>
    <row r="3037" spans="2:11" hidden="1" x14ac:dyDescent="0.25">
      <c r="B3037" s="28" t="str">
        <f>IF(ISNUMBER(MATCH(C3037, Mgt_Unit!$C$5:$C$1018, 0)), INDEX(Mgt_Unit!$B$5:$B$1018, MATCH(C3037, Mgt_Unit!$C$5:$C$1018, 0)), "")</f>
        <v>jennifer.moore</v>
      </c>
      <c r="C3037" t="s">
        <v>1043</v>
      </c>
      <c r="E3037" s="17" t="s">
        <v>1587</v>
      </c>
      <c r="F3037" s="89">
        <v>43678</v>
      </c>
      <c r="J3037" t="s">
        <v>1402</v>
      </c>
      <c r="K3037" s="120">
        <v>42</v>
      </c>
    </row>
    <row r="3038" spans="2:11" hidden="1" x14ac:dyDescent="0.25">
      <c r="B3038" s="28" t="str">
        <f>IF(ISNUMBER(MATCH(C3038, Mgt_Unit!$C$5:$C$1018, 0)), INDEX(Mgt_Unit!$B$5:$B$1018, MATCH(C3038, Mgt_Unit!$C$5:$C$1018, 0)), "")</f>
        <v>jennifer.moore</v>
      </c>
      <c r="C3038" t="s">
        <v>1043</v>
      </c>
      <c r="E3038" s="17" t="s">
        <v>1583</v>
      </c>
      <c r="F3038" s="89">
        <v>45876</v>
      </c>
      <c r="J3038" t="s">
        <v>1402</v>
      </c>
      <c r="K3038" s="120">
        <v>42</v>
      </c>
    </row>
    <row r="3039" spans="2:11" hidden="1" x14ac:dyDescent="0.25">
      <c r="B3039" s="28" t="str">
        <f>IF(ISNUMBER(MATCH(C3039, Mgt_Unit!$C$5:$C$1018, 0)), INDEX(Mgt_Unit!$B$5:$B$1018, MATCH(C3039, Mgt_Unit!$C$5:$C$1018, 0)), "")</f>
        <v>jennifer.moore</v>
      </c>
      <c r="C3039" t="s">
        <v>1044</v>
      </c>
      <c r="E3039" s="17" t="s">
        <v>1583</v>
      </c>
      <c r="F3039" s="89">
        <v>42138</v>
      </c>
      <c r="J3039" t="s">
        <v>1504</v>
      </c>
      <c r="K3039" s="120">
        <v>15</v>
      </c>
    </row>
    <row r="3040" spans="2:11" hidden="1" x14ac:dyDescent="0.25">
      <c r="B3040" s="28" t="str">
        <f>IF(ISNUMBER(MATCH(C3040, Mgt_Unit!$C$5:$C$1018, 0)), INDEX(Mgt_Unit!$B$5:$B$1018, MATCH(C3040, Mgt_Unit!$C$5:$C$1018, 0)), "")</f>
        <v>jennifer.moore</v>
      </c>
      <c r="C3040" t="s">
        <v>1044</v>
      </c>
      <c r="E3040" s="17" t="s">
        <v>1584</v>
      </c>
      <c r="F3040" s="89">
        <v>42139</v>
      </c>
      <c r="J3040" t="s">
        <v>1505</v>
      </c>
      <c r="K3040" s="120">
        <v>12</v>
      </c>
    </row>
    <row r="3041" spans="2:11" hidden="1" x14ac:dyDescent="0.25">
      <c r="B3041" s="28" t="str">
        <f>IF(ISNUMBER(MATCH(C3041, Mgt_Unit!$C$5:$C$1018, 0)), INDEX(Mgt_Unit!$B$5:$B$1018, MATCH(C3041, Mgt_Unit!$C$5:$C$1018, 0)), "")</f>
        <v>jennifer.moore</v>
      </c>
      <c r="C3041" t="s">
        <v>1044</v>
      </c>
      <c r="E3041" s="17" t="s">
        <v>1584</v>
      </c>
      <c r="F3041" s="89">
        <v>42475</v>
      </c>
      <c r="J3041" t="s">
        <v>1505</v>
      </c>
      <c r="K3041" s="120">
        <v>12</v>
      </c>
    </row>
    <row r="3042" spans="2:11" hidden="1" x14ac:dyDescent="0.25">
      <c r="B3042" s="28" t="str">
        <f>IF(ISNUMBER(MATCH(C3042, Mgt_Unit!$C$5:$C$1018, 0)), INDEX(Mgt_Unit!$B$5:$B$1018, MATCH(C3042, Mgt_Unit!$C$5:$C$1018, 0)), "")</f>
        <v>jennifer.moore</v>
      </c>
      <c r="C3042" t="s">
        <v>1044</v>
      </c>
      <c r="E3042" s="17" t="s">
        <v>1585</v>
      </c>
      <c r="F3042" s="89">
        <v>42705</v>
      </c>
      <c r="J3042" t="s">
        <v>1398</v>
      </c>
      <c r="K3042" s="120">
        <v>4</v>
      </c>
    </row>
    <row r="3043" spans="2:11" hidden="1" x14ac:dyDescent="0.25">
      <c r="B3043" s="28" t="str">
        <f>IF(ISNUMBER(MATCH(C3043, Mgt_Unit!$C$5:$C$1018, 0)), INDEX(Mgt_Unit!$B$5:$B$1018, MATCH(C3043, Mgt_Unit!$C$5:$C$1018, 0)), "")</f>
        <v>jennifer.moore</v>
      </c>
      <c r="C3043" t="s">
        <v>1044</v>
      </c>
      <c r="E3043" s="17" t="s">
        <v>1584</v>
      </c>
      <c r="F3043" s="89">
        <v>42873</v>
      </c>
      <c r="J3043" t="s">
        <v>1505</v>
      </c>
      <c r="K3043" s="120">
        <v>12</v>
      </c>
    </row>
    <row r="3044" spans="2:11" hidden="1" x14ac:dyDescent="0.25">
      <c r="B3044" s="28" t="str">
        <f>IF(ISNUMBER(MATCH(C3044, Mgt_Unit!$C$5:$C$1018, 0)), INDEX(Mgt_Unit!$B$5:$B$1018, MATCH(C3044, Mgt_Unit!$C$5:$C$1018, 0)), "")</f>
        <v>jennifer.moore</v>
      </c>
      <c r="C3044" t="s">
        <v>1044</v>
      </c>
      <c r="E3044" s="17" t="s">
        <v>1585</v>
      </c>
      <c r="F3044" s="89">
        <v>43070</v>
      </c>
      <c r="J3044" t="s">
        <v>1398</v>
      </c>
      <c r="K3044" s="120">
        <v>4</v>
      </c>
    </row>
    <row r="3045" spans="2:11" hidden="1" x14ac:dyDescent="0.25">
      <c r="B3045" s="28" t="str">
        <f>IF(ISNUMBER(MATCH(C3045, Mgt_Unit!$C$5:$C$1018, 0)), INDEX(Mgt_Unit!$B$5:$B$1018, MATCH(C3045, Mgt_Unit!$C$5:$C$1018, 0)), "")</f>
        <v>jennifer.moore</v>
      </c>
      <c r="C3045" t="s">
        <v>1044</v>
      </c>
      <c r="E3045" s="17" t="s">
        <v>1584</v>
      </c>
      <c r="F3045" s="89">
        <v>43202</v>
      </c>
      <c r="J3045" t="s">
        <v>1505</v>
      </c>
      <c r="K3045" s="120">
        <v>12</v>
      </c>
    </row>
    <row r="3046" spans="2:11" hidden="1" x14ac:dyDescent="0.25">
      <c r="B3046" s="28" t="str">
        <f>IF(ISNUMBER(MATCH(C3046, Mgt_Unit!$C$5:$C$1018, 0)), INDEX(Mgt_Unit!$B$5:$B$1018, MATCH(C3046, Mgt_Unit!$C$5:$C$1018, 0)), "")</f>
        <v>jennifer.moore</v>
      </c>
      <c r="C3046" t="s">
        <v>1044</v>
      </c>
      <c r="E3046" s="17" t="s">
        <v>1585</v>
      </c>
      <c r="F3046" s="89">
        <v>43497</v>
      </c>
      <c r="J3046" t="s">
        <v>1398</v>
      </c>
      <c r="K3046" s="120">
        <v>4</v>
      </c>
    </row>
    <row r="3047" spans="2:11" hidden="1" x14ac:dyDescent="0.25">
      <c r="B3047" s="28" t="str">
        <f>IF(ISNUMBER(MATCH(C3047, Mgt_Unit!$C$5:$C$1018, 0)), INDEX(Mgt_Unit!$B$5:$B$1018, MATCH(C3047, Mgt_Unit!$C$5:$C$1018, 0)), "")</f>
        <v>jennifer.moore</v>
      </c>
      <c r="C3047" t="s">
        <v>1044</v>
      </c>
      <c r="E3047" s="17" t="s">
        <v>1584</v>
      </c>
      <c r="F3047" s="89">
        <v>43636</v>
      </c>
      <c r="J3047" t="s">
        <v>1505</v>
      </c>
      <c r="K3047" s="120">
        <v>12</v>
      </c>
    </row>
    <row r="3048" spans="2:11" hidden="1" x14ac:dyDescent="0.25">
      <c r="B3048" s="28" t="str">
        <f>IF(ISNUMBER(MATCH(C3048, Mgt_Unit!$C$5:$C$1018, 0)), INDEX(Mgt_Unit!$B$5:$B$1018, MATCH(C3048, Mgt_Unit!$C$5:$C$1018, 0)), "")</f>
        <v>jennifer.moore</v>
      </c>
      <c r="C3048" t="s">
        <v>1044</v>
      </c>
      <c r="E3048" s="17" t="s">
        <v>1585</v>
      </c>
      <c r="F3048" s="89">
        <v>43808</v>
      </c>
      <c r="J3048" t="s">
        <v>1398</v>
      </c>
      <c r="K3048" s="120">
        <v>4</v>
      </c>
    </row>
    <row r="3049" spans="2:11" hidden="1" x14ac:dyDescent="0.25">
      <c r="B3049" s="28" t="str">
        <f>IF(ISNUMBER(MATCH(C3049, Mgt_Unit!$C$5:$C$1018, 0)), INDEX(Mgt_Unit!$B$5:$B$1018, MATCH(C3049, Mgt_Unit!$C$5:$C$1018, 0)), "")</f>
        <v>jennifer.moore</v>
      </c>
      <c r="C3049" t="s">
        <v>1045</v>
      </c>
      <c r="E3049" s="17" t="s">
        <v>1583</v>
      </c>
      <c r="F3049" s="89">
        <v>42124</v>
      </c>
      <c r="J3049" t="s">
        <v>1478</v>
      </c>
      <c r="K3049" s="120">
        <v>39</v>
      </c>
    </row>
    <row r="3050" spans="2:11" hidden="1" x14ac:dyDescent="0.25">
      <c r="B3050" s="28" t="str">
        <f>IF(ISNUMBER(MATCH(C3050, Mgt_Unit!$C$5:$C$1018, 0)), INDEX(Mgt_Unit!$B$5:$B$1018, MATCH(C3050, Mgt_Unit!$C$5:$C$1018, 0)), "")</f>
        <v>jennifer.moore</v>
      </c>
      <c r="C3050" t="s">
        <v>1045</v>
      </c>
      <c r="E3050" s="17" t="s">
        <v>1583</v>
      </c>
      <c r="F3050" s="89">
        <v>42131</v>
      </c>
      <c r="J3050" t="s">
        <v>1478</v>
      </c>
      <c r="K3050" s="120">
        <v>39</v>
      </c>
    </row>
    <row r="3051" spans="2:11" hidden="1" x14ac:dyDescent="0.25">
      <c r="B3051" s="28" t="str">
        <f>IF(ISNUMBER(MATCH(C3051, Mgt_Unit!$C$5:$C$1018, 0)), INDEX(Mgt_Unit!$B$5:$B$1018, MATCH(C3051, Mgt_Unit!$C$5:$C$1018, 0)), "")</f>
        <v>jennifer.moore</v>
      </c>
      <c r="C3051" t="s">
        <v>1045</v>
      </c>
      <c r="E3051" s="17" t="s">
        <v>1583</v>
      </c>
      <c r="F3051" s="89">
        <v>42138</v>
      </c>
      <c r="J3051" t="s">
        <v>1504</v>
      </c>
      <c r="K3051" s="120">
        <v>15</v>
      </c>
    </row>
    <row r="3052" spans="2:11" hidden="1" x14ac:dyDescent="0.25">
      <c r="B3052" s="28" t="str">
        <f>IF(ISNUMBER(MATCH(C3052, Mgt_Unit!$C$5:$C$1018, 0)), INDEX(Mgt_Unit!$B$5:$B$1018, MATCH(C3052, Mgt_Unit!$C$5:$C$1018, 0)), "")</f>
        <v>jennifer.moore</v>
      </c>
      <c r="C3052" t="s">
        <v>1045</v>
      </c>
      <c r="E3052" s="17" t="s">
        <v>1584</v>
      </c>
      <c r="F3052" s="89">
        <v>42139</v>
      </c>
      <c r="J3052" t="s">
        <v>1505</v>
      </c>
      <c r="K3052" s="120">
        <v>12</v>
      </c>
    </row>
    <row r="3053" spans="2:11" hidden="1" x14ac:dyDescent="0.25">
      <c r="B3053" s="28" t="str">
        <f>IF(ISNUMBER(MATCH(C3053, Mgt_Unit!$C$5:$C$1018, 0)), INDEX(Mgt_Unit!$B$5:$B$1018, MATCH(C3053, Mgt_Unit!$C$5:$C$1018, 0)), "")</f>
        <v>jennifer.moore</v>
      </c>
      <c r="C3053" t="s">
        <v>1045</v>
      </c>
      <c r="E3053" s="17" t="s">
        <v>1583</v>
      </c>
      <c r="F3053" s="89">
        <v>42461</v>
      </c>
      <c r="J3053" t="s">
        <v>1478</v>
      </c>
      <c r="K3053" s="120">
        <v>39</v>
      </c>
    </row>
    <row r="3054" spans="2:11" hidden="1" x14ac:dyDescent="0.25">
      <c r="B3054" s="28" t="str">
        <f>IF(ISNUMBER(MATCH(C3054, Mgt_Unit!$C$5:$C$1018, 0)), INDEX(Mgt_Unit!$B$5:$B$1018, MATCH(C3054, Mgt_Unit!$C$5:$C$1018, 0)), "")</f>
        <v>jennifer.moore</v>
      </c>
      <c r="C3054" t="s">
        <v>1045</v>
      </c>
      <c r="E3054" s="17" t="s">
        <v>1583</v>
      </c>
      <c r="F3054" s="89">
        <v>42468</v>
      </c>
      <c r="J3054" t="s">
        <v>1478</v>
      </c>
      <c r="K3054" s="120">
        <v>39</v>
      </c>
    </row>
    <row r="3055" spans="2:11" hidden="1" x14ac:dyDescent="0.25">
      <c r="B3055" s="28" t="str">
        <f>IF(ISNUMBER(MATCH(C3055, Mgt_Unit!$C$5:$C$1018, 0)), INDEX(Mgt_Unit!$B$5:$B$1018, MATCH(C3055, Mgt_Unit!$C$5:$C$1018, 0)), "")</f>
        <v>jennifer.moore</v>
      </c>
      <c r="C3055" t="s">
        <v>1045</v>
      </c>
      <c r="E3055" s="17" t="s">
        <v>1584</v>
      </c>
      <c r="F3055" s="89">
        <v>42475</v>
      </c>
      <c r="J3055" t="s">
        <v>1505</v>
      </c>
      <c r="K3055" s="120">
        <v>12</v>
      </c>
    </row>
    <row r="3056" spans="2:11" hidden="1" x14ac:dyDescent="0.25">
      <c r="B3056" s="28" t="str">
        <f>IF(ISNUMBER(MATCH(C3056, Mgt_Unit!$C$5:$C$1018, 0)), INDEX(Mgt_Unit!$B$5:$B$1018, MATCH(C3056, Mgt_Unit!$C$5:$C$1018, 0)), "")</f>
        <v>jennifer.moore</v>
      </c>
      <c r="C3056" t="s">
        <v>1045</v>
      </c>
      <c r="E3056" s="17" t="s">
        <v>1585</v>
      </c>
      <c r="F3056" s="89">
        <v>42705</v>
      </c>
      <c r="J3056" t="s">
        <v>1398</v>
      </c>
      <c r="K3056" s="120">
        <v>4</v>
      </c>
    </row>
    <row r="3057" spans="2:11" hidden="1" x14ac:dyDescent="0.25">
      <c r="B3057" s="28" t="str">
        <f>IF(ISNUMBER(MATCH(C3057, Mgt_Unit!$C$5:$C$1018, 0)), INDEX(Mgt_Unit!$B$5:$B$1018, MATCH(C3057, Mgt_Unit!$C$5:$C$1018, 0)), "")</f>
        <v>jennifer.moore</v>
      </c>
      <c r="C3057" t="s">
        <v>1045</v>
      </c>
      <c r="E3057" s="17" t="s">
        <v>1583</v>
      </c>
      <c r="F3057" s="89">
        <v>42824</v>
      </c>
      <c r="J3057" t="s">
        <v>1478</v>
      </c>
      <c r="K3057" s="120">
        <v>39</v>
      </c>
    </row>
    <row r="3058" spans="2:11" hidden="1" x14ac:dyDescent="0.25">
      <c r="B3058" s="28" t="str">
        <f>IF(ISNUMBER(MATCH(C3058, Mgt_Unit!$C$5:$C$1018, 0)), INDEX(Mgt_Unit!$B$5:$B$1018, MATCH(C3058, Mgt_Unit!$C$5:$C$1018, 0)), "")</f>
        <v>jennifer.moore</v>
      </c>
      <c r="C3058" t="s">
        <v>1045</v>
      </c>
      <c r="E3058" s="17" t="s">
        <v>1583</v>
      </c>
      <c r="F3058" s="89">
        <v>42824</v>
      </c>
      <c r="J3058" t="s">
        <v>1478</v>
      </c>
      <c r="K3058" s="120">
        <v>39</v>
      </c>
    </row>
    <row r="3059" spans="2:11" hidden="1" x14ac:dyDescent="0.25">
      <c r="B3059" s="28" t="str">
        <f>IF(ISNUMBER(MATCH(C3059, Mgt_Unit!$C$5:$C$1018, 0)), INDEX(Mgt_Unit!$B$5:$B$1018, MATCH(C3059, Mgt_Unit!$C$5:$C$1018, 0)), "")</f>
        <v>jennifer.moore</v>
      </c>
      <c r="C3059" t="s">
        <v>1045</v>
      </c>
      <c r="E3059" s="17" t="s">
        <v>1583</v>
      </c>
      <c r="F3059" s="89">
        <v>42824</v>
      </c>
      <c r="J3059" t="s">
        <v>1373</v>
      </c>
      <c r="K3059" s="120">
        <v>16</v>
      </c>
    </row>
    <row r="3060" spans="2:11" hidden="1" x14ac:dyDescent="0.25">
      <c r="B3060" s="28" t="str">
        <f>IF(ISNUMBER(MATCH(C3060, Mgt_Unit!$C$5:$C$1018, 0)), INDEX(Mgt_Unit!$B$5:$B$1018, MATCH(C3060, Mgt_Unit!$C$5:$C$1018, 0)), "")</f>
        <v>jennifer.moore</v>
      </c>
      <c r="C3060" t="s">
        <v>1045</v>
      </c>
      <c r="E3060" s="17" t="s">
        <v>1584</v>
      </c>
      <c r="F3060" s="89">
        <v>42873</v>
      </c>
      <c r="J3060" t="s">
        <v>1505</v>
      </c>
      <c r="K3060" s="120">
        <v>12</v>
      </c>
    </row>
    <row r="3061" spans="2:11" hidden="1" x14ac:dyDescent="0.25">
      <c r="B3061" s="28" t="str">
        <f>IF(ISNUMBER(MATCH(C3061, Mgt_Unit!$C$5:$C$1018, 0)), INDEX(Mgt_Unit!$B$5:$B$1018, MATCH(C3061, Mgt_Unit!$C$5:$C$1018, 0)), "")</f>
        <v>jennifer.moore</v>
      </c>
      <c r="C3061" t="s">
        <v>1045</v>
      </c>
      <c r="E3061" s="17" t="s">
        <v>1585</v>
      </c>
      <c r="F3061" s="89">
        <v>43070</v>
      </c>
      <c r="J3061" t="s">
        <v>1398</v>
      </c>
      <c r="K3061" s="120">
        <v>4</v>
      </c>
    </row>
    <row r="3062" spans="2:11" hidden="1" x14ac:dyDescent="0.25">
      <c r="B3062" s="28" t="str">
        <f>IF(ISNUMBER(MATCH(C3062, Mgt_Unit!$C$5:$C$1018, 0)), INDEX(Mgt_Unit!$B$5:$B$1018, MATCH(C3062, Mgt_Unit!$C$5:$C$1018, 0)), "")</f>
        <v>jennifer.moore</v>
      </c>
      <c r="C3062" t="s">
        <v>1045</v>
      </c>
      <c r="E3062" s="17" t="s">
        <v>1583</v>
      </c>
      <c r="F3062" s="89">
        <v>43194</v>
      </c>
      <c r="J3062" t="s">
        <v>1478</v>
      </c>
      <c r="K3062" s="120">
        <v>39</v>
      </c>
    </row>
    <row r="3063" spans="2:11" hidden="1" x14ac:dyDescent="0.25">
      <c r="B3063" s="28" t="str">
        <f>IF(ISNUMBER(MATCH(C3063, Mgt_Unit!$C$5:$C$1018, 0)), INDEX(Mgt_Unit!$B$5:$B$1018, MATCH(C3063, Mgt_Unit!$C$5:$C$1018, 0)), "")</f>
        <v>jennifer.moore</v>
      </c>
      <c r="C3063" t="s">
        <v>1045</v>
      </c>
      <c r="E3063" s="17" t="s">
        <v>1583</v>
      </c>
      <c r="F3063" s="89">
        <v>43201</v>
      </c>
      <c r="J3063" t="s">
        <v>1478</v>
      </c>
      <c r="K3063" s="120">
        <v>39</v>
      </c>
    </row>
    <row r="3064" spans="2:11" hidden="1" x14ac:dyDescent="0.25">
      <c r="B3064" s="28" t="str">
        <f>IF(ISNUMBER(MATCH(C3064, Mgt_Unit!$C$5:$C$1018, 0)), INDEX(Mgt_Unit!$B$5:$B$1018, MATCH(C3064, Mgt_Unit!$C$5:$C$1018, 0)), "")</f>
        <v>jennifer.moore</v>
      </c>
      <c r="C3064" t="s">
        <v>1045</v>
      </c>
      <c r="E3064" s="17" t="s">
        <v>1583</v>
      </c>
      <c r="F3064" s="89">
        <v>43201</v>
      </c>
      <c r="J3064" t="s">
        <v>1373</v>
      </c>
      <c r="K3064" s="120">
        <v>16</v>
      </c>
    </row>
    <row r="3065" spans="2:11" hidden="1" x14ac:dyDescent="0.25">
      <c r="B3065" s="28" t="str">
        <f>IF(ISNUMBER(MATCH(C3065, Mgt_Unit!$C$5:$C$1018, 0)), INDEX(Mgt_Unit!$B$5:$B$1018, MATCH(C3065, Mgt_Unit!$C$5:$C$1018, 0)), "")</f>
        <v>jennifer.moore</v>
      </c>
      <c r="C3065" t="s">
        <v>1045</v>
      </c>
      <c r="E3065" s="17" t="s">
        <v>1584</v>
      </c>
      <c r="F3065" s="89">
        <v>43202</v>
      </c>
      <c r="J3065" t="s">
        <v>1505</v>
      </c>
      <c r="K3065" s="120">
        <v>12</v>
      </c>
    </row>
    <row r="3066" spans="2:11" hidden="1" x14ac:dyDescent="0.25">
      <c r="B3066" s="28" t="str">
        <f>IF(ISNUMBER(MATCH(C3066, Mgt_Unit!$C$5:$C$1018, 0)), INDEX(Mgt_Unit!$B$5:$B$1018, MATCH(C3066, Mgt_Unit!$C$5:$C$1018, 0)), "")</f>
        <v>jennifer.moore</v>
      </c>
      <c r="C3066" t="s">
        <v>1045</v>
      </c>
      <c r="E3066" s="17" t="s">
        <v>1585</v>
      </c>
      <c r="F3066" s="89">
        <v>43497</v>
      </c>
      <c r="J3066" t="s">
        <v>1398</v>
      </c>
      <c r="K3066" s="120">
        <v>4</v>
      </c>
    </row>
    <row r="3067" spans="2:11" hidden="1" x14ac:dyDescent="0.25">
      <c r="B3067" s="28" t="str">
        <f>IF(ISNUMBER(MATCH(C3067, Mgt_Unit!$C$5:$C$1018, 0)), INDEX(Mgt_Unit!$B$5:$B$1018, MATCH(C3067, Mgt_Unit!$C$5:$C$1018, 0)), "")</f>
        <v>jennifer.moore</v>
      </c>
      <c r="C3067" t="s">
        <v>1045</v>
      </c>
      <c r="E3067" s="17" t="s">
        <v>1583</v>
      </c>
      <c r="F3067" s="89">
        <v>43636</v>
      </c>
      <c r="J3067" t="s">
        <v>1478</v>
      </c>
      <c r="K3067" s="120">
        <v>39</v>
      </c>
    </row>
    <row r="3068" spans="2:11" hidden="1" x14ac:dyDescent="0.25">
      <c r="B3068" s="28" t="str">
        <f>IF(ISNUMBER(MATCH(C3068, Mgt_Unit!$C$5:$C$1018, 0)), INDEX(Mgt_Unit!$B$5:$B$1018, MATCH(C3068, Mgt_Unit!$C$5:$C$1018, 0)), "")</f>
        <v>jennifer.moore</v>
      </c>
      <c r="C3068" t="s">
        <v>1045</v>
      </c>
      <c r="E3068" s="17" t="s">
        <v>1584</v>
      </c>
      <c r="F3068" s="89">
        <v>43636</v>
      </c>
      <c r="J3068" t="s">
        <v>1505</v>
      </c>
      <c r="K3068" s="120">
        <v>12</v>
      </c>
    </row>
    <row r="3069" spans="2:11" hidden="1" x14ac:dyDescent="0.25">
      <c r="B3069" s="28" t="str">
        <f>IF(ISNUMBER(MATCH(C3069, Mgt_Unit!$C$5:$C$1018, 0)), INDEX(Mgt_Unit!$B$5:$B$1018, MATCH(C3069, Mgt_Unit!$C$5:$C$1018, 0)), "")</f>
        <v>jennifer.moore</v>
      </c>
      <c r="C3069" t="s">
        <v>1045</v>
      </c>
      <c r="E3069" s="17" t="s">
        <v>1585</v>
      </c>
      <c r="F3069" s="89">
        <v>43808</v>
      </c>
      <c r="J3069" t="s">
        <v>1398</v>
      </c>
      <c r="K3069" s="120">
        <v>4</v>
      </c>
    </row>
    <row r="3070" spans="2:11" hidden="1" x14ac:dyDescent="0.25">
      <c r="B3070" s="28" t="str">
        <f>IF(ISNUMBER(MATCH(C3070, Mgt_Unit!$C$5:$C$1018, 0)), INDEX(Mgt_Unit!$B$5:$B$1018, MATCH(C3070, Mgt_Unit!$C$5:$C$1018, 0)), "")</f>
        <v>jennifer.moore</v>
      </c>
      <c r="C3070" t="s">
        <v>1046</v>
      </c>
      <c r="E3070" s="17" t="s">
        <v>1584</v>
      </c>
      <c r="F3070" s="89">
        <v>43247</v>
      </c>
      <c r="J3070" t="s">
        <v>1443</v>
      </c>
      <c r="K3070" s="120">
        <v>4</v>
      </c>
    </row>
    <row r="3071" spans="2:11" hidden="1" x14ac:dyDescent="0.25">
      <c r="B3071" s="28" t="str">
        <f>IF(ISNUMBER(MATCH(C3071, Mgt_Unit!$C$5:$C$1018, 0)), INDEX(Mgt_Unit!$B$5:$B$1018, MATCH(C3071, Mgt_Unit!$C$5:$C$1018, 0)), "")</f>
        <v>jennifer.moore</v>
      </c>
      <c r="C3071" t="s">
        <v>1046</v>
      </c>
      <c r="E3071" s="17" t="s">
        <v>1583</v>
      </c>
      <c r="F3071" s="89">
        <v>43390</v>
      </c>
      <c r="J3071" t="s">
        <v>1431</v>
      </c>
      <c r="K3071" s="120">
        <v>0.15</v>
      </c>
    </row>
    <row r="3072" spans="2:11" hidden="1" x14ac:dyDescent="0.25">
      <c r="B3072" s="28" t="str">
        <f>IF(ISNUMBER(MATCH(C3072, Mgt_Unit!$C$5:$C$1018, 0)), INDEX(Mgt_Unit!$B$5:$B$1018, MATCH(C3072, Mgt_Unit!$C$5:$C$1018, 0)), "")</f>
        <v>jennifer.moore</v>
      </c>
      <c r="C3072" t="s">
        <v>1046</v>
      </c>
      <c r="E3072" s="17" t="s">
        <v>1585</v>
      </c>
      <c r="F3072" s="89">
        <v>43392</v>
      </c>
      <c r="J3072" t="s">
        <v>1355</v>
      </c>
      <c r="K3072" s="120">
        <v>6.3</v>
      </c>
    </row>
    <row r="3073" spans="2:11" hidden="1" x14ac:dyDescent="0.25">
      <c r="B3073" s="28" t="str">
        <f>IF(ISNUMBER(MATCH(C3073, Mgt_Unit!$C$5:$C$1018, 0)), INDEX(Mgt_Unit!$B$5:$B$1018, MATCH(C3073, Mgt_Unit!$C$5:$C$1018, 0)), "")</f>
        <v>jennifer.moore</v>
      </c>
      <c r="C3073" t="s">
        <v>1046</v>
      </c>
      <c r="E3073" s="17" t="s">
        <v>1584</v>
      </c>
      <c r="F3073" s="89">
        <v>43620</v>
      </c>
      <c r="J3073" t="s">
        <v>1443</v>
      </c>
      <c r="K3073" s="120">
        <v>4</v>
      </c>
    </row>
    <row r="3074" spans="2:11" hidden="1" x14ac:dyDescent="0.25">
      <c r="B3074" s="28" t="str">
        <f>IF(ISNUMBER(MATCH(C3074, Mgt_Unit!$C$5:$C$1018, 0)), INDEX(Mgt_Unit!$B$5:$B$1018, MATCH(C3074, Mgt_Unit!$C$5:$C$1018, 0)), "")</f>
        <v>jennifer.moore</v>
      </c>
      <c r="C3074" t="s">
        <v>1046</v>
      </c>
      <c r="E3074" s="17" t="s">
        <v>1585</v>
      </c>
      <c r="F3074" s="89">
        <v>43660</v>
      </c>
      <c r="J3074" t="s">
        <v>1355</v>
      </c>
      <c r="K3074" s="120">
        <v>6.3</v>
      </c>
    </row>
    <row r="3075" spans="2:11" hidden="1" x14ac:dyDescent="0.25">
      <c r="B3075" s="28" t="str">
        <f>IF(ISNUMBER(MATCH(C3075, Mgt_Unit!$C$5:$C$1018, 0)), INDEX(Mgt_Unit!$B$5:$B$1018, MATCH(C3075, Mgt_Unit!$C$5:$C$1018, 0)), "")</f>
        <v>jennifer.moore</v>
      </c>
      <c r="C3075" t="s">
        <v>1046</v>
      </c>
      <c r="E3075" s="17" t="s">
        <v>1583</v>
      </c>
      <c r="F3075" s="89">
        <v>43784</v>
      </c>
      <c r="J3075" t="s">
        <v>1431</v>
      </c>
      <c r="K3075" s="120">
        <v>0.15</v>
      </c>
    </row>
    <row r="3076" spans="2:11" hidden="1" x14ac:dyDescent="0.25">
      <c r="B3076" s="28" t="str">
        <f>IF(ISNUMBER(MATCH(C3076, Mgt_Unit!$C$5:$C$1018, 0)), INDEX(Mgt_Unit!$B$5:$B$1018, MATCH(C3076, Mgt_Unit!$C$5:$C$1018, 0)), "")</f>
        <v>jennifer.moore</v>
      </c>
      <c r="C3076" t="s">
        <v>1047</v>
      </c>
      <c r="E3076" s="17" t="s">
        <v>1584</v>
      </c>
      <c r="F3076" s="89">
        <v>43247</v>
      </c>
      <c r="J3076" t="s">
        <v>1443</v>
      </c>
      <c r="K3076" s="120">
        <v>4</v>
      </c>
    </row>
    <row r="3077" spans="2:11" hidden="1" x14ac:dyDescent="0.25">
      <c r="B3077" s="28" t="str">
        <f>IF(ISNUMBER(MATCH(C3077, Mgt_Unit!$C$5:$C$1018, 0)), INDEX(Mgt_Unit!$B$5:$B$1018, MATCH(C3077, Mgt_Unit!$C$5:$C$1018, 0)), "")</f>
        <v>jennifer.moore</v>
      </c>
      <c r="C3077" t="s">
        <v>1047</v>
      </c>
      <c r="E3077" s="17" t="s">
        <v>1583</v>
      </c>
      <c r="F3077" s="89">
        <v>43390</v>
      </c>
      <c r="J3077" t="s">
        <v>1431</v>
      </c>
      <c r="K3077" s="120">
        <v>0.15</v>
      </c>
    </row>
    <row r="3078" spans="2:11" hidden="1" x14ac:dyDescent="0.25">
      <c r="B3078" s="28" t="str">
        <f>IF(ISNUMBER(MATCH(C3078, Mgt_Unit!$C$5:$C$1018, 0)), INDEX(Mgt_Unit!$B$5:$B$1018, MATCH(C3078, Mgt_Unit!$C$5:$C$1018, 0)), "")</f>
        <v>jennifer.moore</v>
      </c>
      <c r="C3078" t="s">
        <v>1047</v>
      </c>
      <c r="E3078" s="17" t="s">
        <v>1584</v>
      </c>
      <c r="F3078" s="89">
        <v>43620</v>
      </c>
      <c r="J3078" t="s">
        <v>1443</v>
      </c>
      <c r="K3078" s="120">
        <v>4</v>
      </c>
    </row>
    <row r="3079" spans="2:11" hidden="1" x14ac:dyDescent="0.25">
      <c r="B3079" s="28" t="str">
        <f>IF(ISNUMBER(MATCH(C3079, Mgt_Unit!$C$5:$C$1018, 0)), INDEX(Mgt_Unit!$B$5:$B$1018, MATCH(C3079, Mgt_Unit!$C$5:$C$1018, 0)), "")</f>
        <v>jennifer.moore</v>
      </c>
      <c r="C3079" t="s">
        <v>1047</v>
      </c>
      <c r="E3079" s="17" t="s">
        <v>1583</v>
      </c>
      <c r="F3079" s="89">
        <v>43784</v>
      </c>
      <c r="J3079" t="s">
        <v>1431</v>
      </c>
      <c r="K3079" s="120">
        <v>0.15</v>
      </c>
    </row>
    <row r="3080" spans="2:11" hidden="1" x14ac:dyDescent="0.25">
      <c r="B3080" s="28" t="str">
        <f>IF(ISNUMBER(MATCH(C3080, Mgt_Unit!$C$5:$C$1018, 0)), INDEX(Mgt_Unit!$B$5:$B$1018, MATCH(C3080, Mgt_Unit!$C$5:$C$1018, 0)), "")</f>
        <v>jennifer.moore</v>
      </c>
      <c r="C3080" t="s">
        <v>1048</v>
      </c>
      <c r="E3080" s="17" t="s">
        <v>1583</v>
      </c>
      <c r="F3080" s="89">
        <v>42939</v>
      </c>
      <c r="J3080" t="s">
        <v>1431</v>
      </c>
      <c r="K3080" s="120">
        <v>0.15</v>
      </c>
    </row>
    <row r="3081" spans="2:11" hidden="1" x14ac:dyDescent="0.25">
      <c r="B3081" s="28" t="str">
        <f>IF(ISNUMBER(MATCH(C3081, Mgt_Unit!$C$5:$C$1018, 0)), INDEX(Mgt_Unit!$B$5:$B$1018, MATCH(C3081, Mgt_Unit!$C$5:$C$1018, 0)), "")</f>
        <v>jennifer.moore</v>
      </c>
      <c r="C3081" t="s">
        <v>1048</v>
      </c>
      <c r="E3081" s="17" t="s">
        <v>1585</v>
      </c>
      <c r="F3081" s="89">
        <v>42955</v>
      </c>
      <c r="J3081" t="s">
        <v>1355</v>
      </c>
      <c r="K3081" s="120">
        <v>6.3</v>
      </c>
    </row>
    <row r="3082" spans="2:11" hidden="1" x14ac:dyDescent="0.25">
      <c r="B3082" s="28" t="str">
        <f>IF(ISNUMBER(MATCH(C3082, Mgt_Unit!$C$5:$C$1018, 0)), INDEX(Mgt_Unit!$B$5:$B$1018, MATCH(C3082, Mgt_Unit!$C$5:$C$1018, 0)), "")</f>
        <v>jennifer.moore</v>
      </c>
      <c r="C3082" t="s">
        <v>1048</v>
      </c>
      <c r="E3082" s="17" t="s">
        <v>1584</v>
      </c>
      <c r="F3082" s="89">
        <v>43247</v>
      </c>
      <c r="J3082" t="s">
        <v>1443</v>
      </c>
      <c r="K3082" s="120">
        <v>4</v>
      </c>
    </row>
    <row r="3083" spans="2:11" hidden="1" x14ac:dyDescent="0.25">
      <c r="B3083" s="28" t="str">
        <f>IF(ISNUMBER(MATCH(C3083, Mgt_Unit!$C$5:$C$1018, 0)), INDEX(Mgt_Unit!$B$5:$B$1018, MATCH(C3083, Mgt_Unit!$C$5:$C$1018, 0)), "")</f>
        <v>jennifer.moore</v>
      </c>
      <c r="C3083" t="s">
        <v>1048</v>
      </c>
      <c r="E3083" s="17" t="s">
        <v>1583</v>
      </c>
      <c r="F3083" s="89">
        <v>43390</v>
      </c>
      <c r="J3083" t="s">
        <v>1431</v>
      </c>
      <c r="K3083" s="120">
        <v>0.15</v>
      </c>
    </row>
    <row r="3084" spans="2:11" hidden="1" x14ac:dyDescent="0.25">
      <c r="B3084" s="28" t="str">
        <f>IF(ISNUMBER(MATCH(C3084, Mgt_Unit!$C$5:$C$1018, 0)), INDEX(Mgt_Unit!$B$5:$B$1018, MATCH(C3084, Mgt_Unit!$C$5:$C$1018, 0)), "")</f>
        <v>jennifer.moore</v>
      </c>
      <c r="C3084" t="s">
        <v>1048</v>
      </c>
      <c r="E3084" s="17" t="s">
        <v>1585</v>
      </c>
      <c r="F3084" s="89">
        <v>43392</v>
      </c>
      <c r="J3084" t="s">
        <v>1355</v>
      </c>
      <c r="K3084" s="120">
        <v>6.3</v>
      </c>
    </row>
    <row r="3085" spans="2:11" hidden="1" x14ac:dyDescent="0.25">
      <c r="B3085" s="28" t="str">
        <f>IF(ISNUMBER(MATCH(C3085, Mgt_Unit!$C$5:$C$1018, 0)), INDEX(Mgt_Unit!$B$5:$B$1018, MATCH(C3085, Mgt_Unit!$C$5:$C$1018, 0)), "")</f>
        <v>jennifer.moore</v>
      </c>
      <c r="C3085" t="s">
        <v>1048</v>
      </c>
      <c r="E3085" s="17" t="s">
        <v>1584</v>
      </c>
      <c r="F3085" s="89">
        <v>43620</v>
      </c>
      <c r="J3085" t="s">
        <v>1443</v>
      </c>
      <c r="K3085" s="120">
        <v>4</v>
      </c>
    </row>
    <row r="3086" spans="2:11" hidden="1" x14ac:dyDescent="0.25">
      <c r="B3086" s="28" t="str">
        <f>IF(ISNUMBER(MATCH(C3086, Mgt_Unit!$C$5:$C$1018, 0)), INDEX(Mgt_Unit!$B$5:$B$1018, MATCH(C3086, Mgt_Unit!$C$5:$C$1018, 0)), "")</f>
        <v>jennifer.moore</v>
      </c>
      <c r="C3086" t="s">
        <v>1048</v>
      </c>
      <c r="E3086" s="17" t="s">
        <v>1585</v>
      </c>
      <c r="F3086" s="89">
        <v>43660</v>
      </c>
      <c r="J3086" t="s">
        <v>1355</v>
      </c>
      <c r="K3086" s="120">
        <v>6.3</v>
      </c>
    </row>
    <row r="3087" spans="2:11" hidden="1" x14ac:dyDescent="0.25">
      <c r="B3087" s="28" t="str">
        <f>IF(ISNUMBER(MATCH(C3087, Mgt_Unit!$C$5:$C$1018, 0)), INDEX(Mgt_Unit!$B$5:$B$1018, MATCH(C3087, Mgt_Unit!$C$5:$C$1018, 0)), "")</f>
        <v>jennifer.moore</v>
      </c>
      <c r="C3087" t="s">
        <v>1048</v>
      </c>
      <c r="E3087" s="17" t="s">
        <v>1583</v>
      </c>
      <c r="F3087" s="89">
        <v>43784</v>
      </c>
      <c r="J3087" t="s">
        <v>1431</v>
      </c>
      <c r="K3087" s="120">
        <v>0.15</v>
      </c>
    </row>
    <row r="3088" spans="2:11" hidden="1" x14ac:dyDescent="0.25">
      <c r="B3088" s="28" t="str">
        <f>IF(ISNUMBER(MATCH(C3088, Mgt_Unit!$C$5:$C$1018, 0)), INDEX(Mgt_Unit!$B$5:$B$1018, MATCH(C3088, Mgt_Unit!$C$5:$C$1018, 0)), "")</f>
        <v>jennifer.moore</v>
      </c>
      <c r="C3088" t="s">
        <v>1048</v>
      </c>
      <c r="E3088" s="17" t="s">
        <v>1584</v>
      </c>
      <c r="F3088" s="89">
        <v>43958</v>
      </c>
      <c r="J3088" t="s">
        <v>1355</v>
      </c>
      <c r="K3088" s="120">
        <v>6.3</v>
      </c>
    </row>
    <row r="3089" spans="2:11" hidden="1" x14ac:dyDescent="0.25">
      <c r="B3089" s="28" t="str">
        <f>IF(ISNUMBER(MATCH(C3089, Mgt_Unit!$C$5:$C$1018, 0)), INDEX(Mgt_Unit!$B$5:$B$1018, MATCH(C3089, Mgt_Unit!$C$5:$C$1018, 0)), "")</f>
        <v>jennifer.moore</v>
      </c>
      <c r="C3089" t="s">
        <v>1048</v>
      </c>
      <c r="E3089" s="17" t="s">
        <v>1583</v>
      </c>
      <c r="F3089" s="89">
        <v>44051</v>
      </c>
      <c r="J3089" t="s">
        <v>1431</v>
      </c>
      <c r="K3089" s="120">
        <v>0.15</v>
      </c>
    </row>
    <row r="3090" spans="2:11" hidden="1" x14ac:dyDescent="0.25">
      <c r="B3090" s="28" t="str">
        <f>IF(ISNUMBER(MATCH(C3090, Mgt_Unit!$C$5:$C$1018, 0)), INDEX(Mgt_Unit!$B$5:$B$1018, MATCH(C3090, Mgt_Unit!$C$5:$C$1018, 0)), "")</f>
        <v>jennifer.moore</v>
      </c>
      <c r="C3090" t="s">
        <v>1048</v>
      </c>
      <c r="E3090" s="17" t="s">
        <v>1585</v>
      </c>
      <c r="F3090" s="89">
        <v>44056</v>
      </c>
      <c r="J3090" t="s">
        <v>1355</v>
      </c>
      <c r="K3090" s="120">
        <v>6.3</v>
      </c>
    </row>
    <row r="3091" spans="2:11" hidden="1" x14ac:dyDescent="0.25">
      <c r="B3091" s="28" t="str">
        <f>IF(ISNUMBER(MATCH(C3091, Mgt_Unit!$C$5:$C$1018, 0)), INDEX(Mgt_Unit!$B$5:$B$1018, MATCH(C3091, Mgt_Unit!$C$5:$C$1018, 0)), "")</f>
        <v>jennifer.moore</v>
      </c>
      <c r="C3091" t="s">
        <v>1048</v>
      </c>
      <c r="E3091" s="17" t="s">
        <v>1584</v>
      </c>
      <c r="F3091" s="89">
        <v>44087</v>
      </c>
      <c r="J3091" t="s">
        <v>1355</v>
      </c>
      <c r="K3091" s="120">
        <v>6.3</v>
      </c>
    </row>
    <row r="3092" spans="2:11" hidden="1" x14ac:dyDescent="0.25">
      <c r="B3092" s="28" t="str">
        <f>IF(ISNUMBER(MATCH(C3092, Mgt_Unit!$C$5:$C$1018, 0)), INDEX(Mgt_Unit!$B$5:$B$1018, MATCH(C3092, Mgt_Unit!$C$5:$C$1018, 0)), "")</f>
        <v>jennifer.moore</v>
      </c>
      <c r="C3092" t="s">
        <v>1049</v>
      </c>
      <c r="E3092" s="17" t="s">
        <v>1583</v>
      </c>
      <c r="F3092" s="89">
        <v>42918</v>
      </c>
      <c r="J3092" t="s">
        <v>1431</v>
      </c>
      <c r="K3092" s="120">
        <v>0.15</v>
      </c>
    </row>
    <row r="3093" spans="2:11" hidden="1" x14ac:dyDescent="0.25">
      <c r="B3093" s="28" t="str">
        <f>IF(ISNUMBER(MATCH(C3093, Mgt_Unit!$C$5:$C$1018, 0)), INDEX(Mgt_Unit!$B$5:$B$1018, MATCH(C3093, Mgt_Unit!$C$5:$C$1018, 0)), "")</f>
        <v>jennifer.moore</v>
      </c>
      <c r="C3093" t="s">
        <v>1049</v>
      </c>
      <c r="E3093" s="17" t="s">
        <v>1584</v>
      </c>
      <c r="F3093" s="89">
        <v>43247</v>
      </c>
      <c r="J3093" t="s">
        <v>1443</v>
      </c>
      <c r="K3093" s="120">
        <v>4</v>
      </c>
    </row>
    <row r="3094" spans="2:11" hidden="1" x14ac:dyDescent="0.25">
      <c r="B3094" s="28" t="str">
        <f>IF(ISNUMBER(MATCH(C3094, Mgt_Unit!$C$5:$C$1018, 0)), INDEX(Mgt_Unit!$B$5:$B$1018, MATCH(C3094, Mgt_Unit!$C$5:$C$1018, 0)), "")</f>
        <v>jennifer.moore</v>
      </c>
      <c r="C3094" t="s">
        <v>1049</v>
      </c>
      <c r="E3094" s="17" t="s">
        <v>1583</v>
      </c>
      <c r="F3094" s="89">
        <v>43390</v>
      </c>
      <c r="J3094" t="s">
        <v>1431</v>
      </c>
      <c r="K3094" s="120">
        <v>0.15</v>
      </c>
    </row>
    <row r="3095" spans="2:11" hidden="1" x14ac:dyDescent="0.25">
      <c r="B3095" s="28" t="str">
        <f>IF(ISNUMBER(MATCH(C3095, Mgt_Unit!$C$5:$C$1018, 0)), INDEX(Mgt_Unit!$B$5:$B$1018, MATCH(C3095, Mgt_Unit!$C$5:$C$1018, 0)), "")</f>
        <v>jennifer.moore</v>
      </c>
      <c r="C3095" t="s">
        <v>1049</v>
      </c>
      <c r="E3095" s="17" t="s">
        <v>1584</v>
      </c>
      <c r="F3095" s="89">
        <v>43620</v>
      </c>
      <c r="J3095" t="s">
        <v>1443</v>
      </c>
      <c r="K3095" s="120">
        <v>4</v>
      </c>
    </row>
    <row r="3096" spans="2:11" hidden="1" x14ac:dyDescent="0.25">
      <c r="B3096" s="28" t="str">
        <f>IF(ISNUMBER(MATCH(C3096, Mgt_Unit!$C$5:$C$1018, 0)), INDEX(Mgt_Unit!$B$5:$B$1018, MATCH(C3096, Mgt_Unit!$C$5:$C$1018, 0)), "")</f>
        <v>jennifer.moore</v>
      </c>
      <c r="C3096" t="s">
        <v>1049</v>
      </c>
      <c r="E3096" s="17" t="s">
        <v>1583</v>
      </c>
      <c r="F3096" s="89">
        <v>43784</v>
      </c>
      <c r="J3096" t="s">
        <v>1431</v>
      </c>
      <c r="K3096" s="120">
        <v>0.15</v>
      </c>
    </row>
    <row r="3097" spans="2:11" hidden="1" x14ac:dyDescent="0.25">
      <c r="B3097" s="28" t="str">
        <f>IF(ISNUMBER(MATCH(C3097, Mgt_Unit!$C$5:$C$1018, 0)), INDEX(Mgt_Unit!$B$5:$B$1018, MATCH(C3097, Mgt_Unit!$C$5:$C$1018, 0)), "")</f>
        <v>jennifer.moore</v>
      </c>
      <c r="C3097" t="s">
        <v>1049</v>
      </c>
      <c r="E3097" s="17" t="s">
        <v>1584</v>
      </c>
      <c r="F3097" s="89">
        <v>43958</v>
      </c>
      <c r="J3097" t="s">
        <v>1355</v>
      </c>
      <c r="K3097" s="120">
        <v>6.3</v>
      </c>
    </row>
    <row r="3098" spans="2:11" hidden="1" x14ac:dyDescent="0.25">
      <c r="B3098" s="28" t="str">
        <f>IF(ISNUMBER(MATCH(C3098, Mgt_Unit!$C$5:$C$1018, 0)), INDEX(Mgt_Unit!$B$5:$B$1018, MATCH(C3098, Mgt_Unit!$C$5:$C$1018, 0)), "")</f>
        <v>jennifer.moore</v>
      </c>
      <c r="C3098" t="s">
        <v>1049</v>
      </c>
      <c r="E3098" s="17" t="s">
        <v>1583</v>
      </c>
      <c r="F3098" s="89">
        <v>44051</v>
      </c>
      <c r="J3098" t="s">
        <v>1431</v>
      </c>
      <c r="K3098" s="120">
        <v>0.15</v>
      </c>
    </row>
    <row r="3099" spans="2:11" hidden="1" x14ac:dyDescent="0.25">
      <c r="B3099" s="28" t="str">
        <f>IF(ISNUMBER(MATCH(C3099, Mgt_Unit!$C$5:$C$1018, 0)), INDEX(Mgt_Unit!$B$5:$B$1018, MATCH(C3099, Mgt_Unit!$C$5:$C$1018, 0)), "")</f>
        <v>jennifer.moore</v>
      </c>
      <c r="C3099" t="s">
        <v>1049</v>
      </c>
      <c r="E3099" s="17" t="s">
        <v>1584</v>
      </c>
      <c r="F3099" s="89">
        <v>44087</v>
      </c>
      <c r="J3099" t="s">
        <v>1355</v>
      </c>
      <c r="K3099" s="120">
        <v>6.3</v>
      </c>
    </row>
    <row r="3100" spans="2:11" hidden="1" x14ac:dyDescent="0.25">
      <c r="B3100" s="28" t="str">
        <f>IF(ISNUMBER(MATCH(C3100, Mgt_Unit!$C$5:$C$1018, 0)), INDEX(Mgt_Unit!$B$5:$B$1018, MATCH(C3100, Mgt_Unit!$C$5:$C$1018, 0)), "")</f>
        <v>jennifer.moore</v>
      </c>
      <c r="C3100" t="s">
        <v>1050</v>
      </c>
      <c r="E3100" s="17" t="s">
        <v>1583</v>
      </c>
      <c r="F3100" s="89">
        <v>43525</v>
      </c>
      <c r="J3100" t="s">
        <v>1506</v>
      </c>
      <c r="K3100" s="120">
        <v>16</v>
      </c>
    </row>
    <row r="3101" spans="2:11" hidden="1" x14ac:dyDescent="0.25">
      <c r="B3101" s="28" t="str">
        <f>IF(ISNUMBER(MATCH(C3101, Mgt_Unit!$C$5:$C$1018, 0)), INDEX(Mgt_Unit!$B$5:$B$1018, MATCH(C3101, Mgt_Unit!$C$5:$C$1018, 0)), "")</f>
        <v>jennifer.moore</v>
      </c>
      <c r="C3101" t="s">
        <v>1050</v>
      </c>
      <c r="E3101" s="17" t="s">
        <v>1583</v>
      </c>
      <c r="F3101" s="89">
        <v>43529</v>
      </c>
      <c r="J3101" t="s">
        <v>1410</v>
      </c>
      <c r="K3101" s="120">
        <v>35</v>
      </c>
    </row>
    <row r="3102" spans="2:11" hidden="1" x14ac:dyDescent="0.25">
      <c r="B3102" s="28" t="str">
        <f>IF(ISNUMBER(MATCH(C3102, Mgt_Unit!$C$5:$C$1018, 0)), INDEX(Mgt_Unit!$B$5:$B$1018, MATCH(C3102, Mgt_Unit!$C$5:$C$1018, 0)), "")</f>
        <v>jennifer.moore</v>
      </c>
      <c r="C3102" t="s">
        <v>1050</v>
      </c>
      <c r="E3102" s="17" t="s">
        <v>1583</v>
      </c>
      <c r="F3102" s="89">
        <v>43539</v>
      </c>
      <c r="J3102" t="s">
        <v>1507</v>
      </c>
      <c r="K3102" s="120">
        <v>2</v>
      </c>
    </row>
    <row r="3103" spans="2:11" hidden="1" x14ac:dyDescent="0.25">
      <c r="B3103" s="28" t="str">
        <f>IF(ISNUMBER(MATCH(C3103, Mgt_Unit!$C$5:$C$1018, 0)), INDEX(Mgt_Unit!$B$5:$B$1018, MATCH(C3103, Mgt_Unit!$C$5:$C$1018, 0)), "")</f>
        <v>jennifer.moore</v>
      </c>
      <c r="C3103" t="s">
        <v>1050</v>
      </c>
      <c r="E3103" s="17" t="s">
        <v>1583</v>
      </c>
      <c r="F3103" s="89">
        <v>43598</v>
      </c>
      <c r="J3103" t="s">
        <v>1508</v>
      </c>
      <c r="K3103" s="120">
        <v>17</v>
      </c>
    </row>
    <row r="3104" spans="2:11" hidden="1" x14ac:dyDescent="0.25">
      <c r="B3104" s="28" t="str">
        <f>IF(ISNUMBER(MATCH(C3104, Mgt_Unit!$C$5:$C$1018, 0)), INDEX(Mgt_Unit!$B$5:$B$1018, MATCH(C3104, Mgt_Unit!$C$5:$C$1018, 0)), "")</f>
        <v>jennifer.moore</v>
      </c>
      <c r="C3104" t="s">
        <v>1050</v>
      </c>
      <c r="E3104" s="17" t="s">
        <v>1584</v>
      </c>
      <c r="F3104" s="89">
        <v>43604</v>
      </c>
      <c r="J3104" t="s">
        <v>1395</v>
      </c>
      <c r="K3104" s="120">
        <v>7.8</v>
      </c>
    </row>
    <row r="3105" spans="2:11" hidden="1" x14ac:dyDescent="0.25">
      <c r="B3105" s="28" t="str">
        <f>IF(ISNUMBER(MATCH(C3105, Mgt_Unit!$C$5:$C$1018, 0)), INDEX(Mgt_Unit!$B$5:$B$1018, MATCH(C3105, Mgt_Unit!$C$5:$C$1018, 0)), "")</f>
        <v>jennifer.moore</v>
      </c>
      <c r="C3105" t="s">
        <v>1050</v>
      </c>
      <c r="E3105" s="17" t="s">
        <v>1583</v>
      </c>
      <c r="F3105" s="89">
        <v>43646</v>
      </c>
      <c r="J3105" t="s">
        <v>1509</v>
      </c>
      <c r="K3105" s="120">
        <v>9.8000000000000007</v>
      </c>
    </row>
    <row r="3106" spans="2:11" hidden="1" x14ac:dyDescent="0.25">
      <c r="B3106" s="28" t="str">
        <f>IF(ISNUMBER(MATCH(C3106, Mgt_Unit!$C$5:$C$1018, 0)), INDEX(Mgt_Unit!$B$5:$B$1018, MATCH(C3106, Mgt_Unit!$C$5:$C$1018, 0)), "")</f>
        <v>jennifer.moore</v>
      </c>
      <c r="C3106" t="s">
        <v>1050</v>
      </c>
      <c r="E3106" s="17" t="s">
        <v>1583</v>
      </c>
      <c r="F3106" s="89">
        <v>43718</v>
      </c>
      <c r="J3106" t="s">
        <v>1509</v>
      </c>
      <c r="K3106" s="120">
        <v>9.8000000000000007</v>
      </c>
    </row>
    <row r="3107" spans="2:11" hidden="1" x14ac:dyDescent="0.25">
      <c r="B3107" s="28" t="str">
        <f>IF(ISNUMBER(MATCH(C3107, Mgt_Unit!$C$5:$C$1018, 0)), INDEX(Mgt_Unit!$B$5:$B$1018, MATCH(C3107, Mgt_Unit!$C$5:$C$1018, 0)), "")</f>
        <v>jennifer.moore</v>
      </c>
      <c r="C3107" t="s">
        <v>1050</v>
      </c>
      <c r="E3107" s="17" t="s">
        <v>1583</v>
      </c>
      <c r="F3107" s="89">
        <v>43779</v>
      </c>
      <c r="J3107" t="s">
        <v>1396</v>
      </c>
      <c r="K3107" s="120">
        <v>37</v>
      </c>
    </row>
    <row r="3108" spans="2:11" hidden="1" x14ac:dyDescent="0.25">
      <c r="B3108" s="28" t="str">
        <f>IF(ISNUMBER(MATCH(C3108, Mgt_Unit!$C$5:$C$1018, 0)), INDEX(Mgt_Unit!$B$5:$B$1018, MATCH(C3108, Mgt_Unit!$C$5:$C$1018, 0)), "")</f>
        <v>jennifer.moore</v>
      </c>
      <c r="C3108" t="s">
        <v>1051</v>
      </c>
      <c r="E3108" s="17" t="s">
        <v>1583</v>
      </c>
      <c r="F3108" s="89">
        <v>43539</v>
      </c>
      <c r="J3108" t="s">
        <v>1507</v>
      </c>
      <c r="K3108" s="120">
        <v>2</v>
      </c>
    </row>
    <row r="3109" spans="2:11" hidden="1" x14ac:dyDescent="0.25">
      <c r="B3109" s="28" t="str">
        <f>IF(ISNUMBER(MATCH(C3109, Mgt_Unit!$C$5:$C$1018, 0)), INDEX(Mgt_Unit!$B$5:$B$1018, MATCH(C3109, Mgt_Unit!$C$5:$C$1018, 0)), "")</f>
        <v>jennifer.moore</v>
      </c>
      <c r="C3109" t="s">
        <v>1051</v>
      </c>
      <c r="E3109" s="17" t="s">
        <v>1584</v>
      </c>
      <c r="F3109" s="89">
        <v>43604</v>
      </c>
      <c r="J3109" t="s">
        <v>1395</v>
      </c>
      <c r="K3109" s="120">
        <v>7.8</v>
      </c>
    </row>
    <row r="3110" spans="2:11" hidden="1" x14ac:dyDescent="0.25">
      <c r="B3110" s="28" t="str">
        <f>IF(ISNUMBER(MATCH(C3110, Mgt_Unit!$C$5:$C$1018, 0)), INDEX(Mgt_Unit!$B$5:$B$1018, MATCH(C3110, Mgt_Unit!$C$5:$C$1018, 0)), "")</f>
        <v>jennifer.moore</v>
      </c>
      <c r="C3110" t="s">
        <v>1051</v>
      </c>
      <c r="E3110" s="17" t="s">
        <v>1585</v>
      </c>
      <c r="F3110" s="89">
        <v>43802</v>
      </c>
      <c r="J3110" t="s">
        <v>1398</v>
      </c>
      <c r="K3110" s="120">
        <v>4</v>
      </c>
    </row>
    <row r="3111" spans="2:11" hidden="1" x14ac:dyDescent="0.25">
      <c r="B3111" s="28" t="str">
        <f>IF(ISNUMBER(MATCH(C3111, Mgt_Unit!$C$5:$C$1018, 0)), INDEX(Mgt_Unit!$B$5:$B$1018, MATCH(C3111, Mgt_Unit!$C$5:$C$1018, 0)), "")</f>
        <v>jennifer.moore</v>
      </c>
      <c r="C3111" t="s">
        <v>1052</v>
      </c>
      <c r="E3111" s="17" t="s">
        <v>1583</v>
      </c>
      <c r="F3111" s="89">
        <v>43539</v>
      </c>
      <c r="J3111" t="s">
        <v>1507</v>
      </c>
      <c r="K3111" s="120">
        <v>2</v>
      </c>
    </row>
    <row r="3112" spans="2:11" hidden="1" x14ac:dyDescent="0.25">
      <c r="B3112" s="28" t="str">
        <f>IF(ISNUMBER(MATCH(C3112, Mgt_Unit!$C$5:$C$1018, 0)), INDEX(Mgt_Unit!$B$5:$B$1018, MATCH(C3112, Mgt_Unit!$C$5:$C$1018, 0)), "")</f>
        <v>jennifer.moore</v>
      </c>
      <c r="C3112" t="s">
        <v>1052</v>
      </c>
      <c r="E3112" s="17" t="s">
        <v>1584</v>
      </c>
      <c r="F3112" s="89">
        <v>43604</v>
      </c>
      <c r="J3112" t="s">
        <v>1395</v>
      </c>
      <c r="K3112" s="120">
        <v>7.8</v>
      </c>
    </row>
    <row r="3113" spans="2:11" hidden="1" x14ac:dyDescent="0.25">
      <c r="B3113" s="28" t="str">
        <f>IF(ISNUMBER(MATCH(C3113, Mgt_Unit!$C$5:$C$1018, 0)), INDEX(Mgt_Unit!$B$5:$B$1018, MATCH(C3113, Mgt_Unit!$C$5:$C$1018, 0)), "")</f>
        <v>jennifer.moore</v>
      </c>
      <c r="C3113" t="s">
        <v>1052</v>
      </c>
      <c r="E3113" s="17" t="s">
        <v>1585</v>
      </c>
      <c r="F3113" s="89">
        <v>43802</v>
      </c>
      <c r="J3113" t="s">
        <v>1398</v>
      </c>
      <c r="K3113" s="120">
        <v>4</v>
      </c>
    </row>
    <row r="3114" spans="2:11" hidden="1" x14ac:dyDescent="0.25">
      <c r="B3114" s="28" t="str">
        <f>IF(ISNUMBER(MATCH(C3114, Mgt_Unit!$C$5:$C$1018, 0)), INDEX(Mgt_Unit!$B$5:$B$1018, MATCH(C3114, Mgt_Unit!$C$5:$C$1018, 0)), "")</f>
        <v>jennifer.moore</v>
      </c>
      <c r="C3114" t="s">
        <v>1053</v>
      </c>
      <c r="E3114" s="17" t="s">
        <v>1584</v>
      </c>
      <c r="F3114" s="89">
        <v>43172</v>
      </c>
      <c r="J3114" t="s">
        <v>1510</v>
      </c>
      <c r="K3114" s="120">
        <v>2.4</v>
      </c>
    </row>
    <row r="3115" spans="2:11" hidden="1" x14ac:dyDescent="0.25">
      <c r="B3115" s="28" t="str">
        <f>IF(ISNUMBER(MATCH(C3115, Mgt_Unit!$C$5:$C$1018, 0)), INDEX(Mgt_Unit!$B$5:$B$1018, MATCH(C3115, Mgt_Unit!$C$5:$C$1018, 0)), "")</f>
        <v>jennifer.moore</v>
      </c>
      <c r="C3115" t="s">
        <v>1053</v>
      </c>
      <c r="E3115" s="17" t="s">
        <v>1583</v>
      </c>
      <c r="F3115" s="89">
        <v>43203</v>
      </c>
      <c r="J3115" t="s">
        <v>1428</v>
      </c>
      <c r="K3115" s="120">
        <v>26</v>
      </c>
    </row>
    <row r="3116" spans="2:11" hidden="1" x14ac:dyDescent="0.25">
      <c r="B3116" s="28" t="str">
        <f>IF(ISNUMBER(MATCH(C3116, Mgt_Unit!$C$5:$C$1018, 0)), INDEX(Mgt_Unit!$B$5:$B$1018, MATCH(C3116, Mgt_Unit!$C$5:$C$1018, 0)), "")</f>
        <v>jennifer.moore</v>
      </c>
      <c r="C3116" t="s">
        <v>1053</v>
      </c>
      <c r="E3116" s="17" t="s">
        <v>1583</v>
      </c>
      <c r="F3116" s="89">
        <v>43300</v>
      </c>
      <c r="J3116" t="s">
        <v>1511</v>
      </c>
      <c r="K3116" s="120">
        <v>0.15</v>
      </c>
    </row>
    <row r="3117" spans="2:11" hidden="1" x14ac:dyDescent="0.25">
      <c r="B3117" s="28" t="str">
        <f>IF(ISNUMBER(MATCH(C3117, Mgt_Unit!$C$5:$C$1018, 0)), INDEX(Mgt_Unit!$B$5:$B$1018, MATCH(C3117, Mgt_Unit!$C$5:$C$1018, 0)), "")</f>
        <v>jennifer.moore</v>
      </c>
      <c r="C3117" t="s">
        <v>1053</v>
      </c>
      <c r="E3117" s="17" t="s">
        <v>1583</v>
      </c>
      <c r="F3117" s="89">
        <v>43300</v>
      </c>
      <c r="J3117" t="s">
        <v>1464</v>
      </c>
      <c r="K3117" s="120">
        <v>37</v>
      </c>
    </row>
    <row r="3118" spans="2:11" hidden="1" x14ac:dyDescent="0.25">
      <c r="B3118" s="28" t="str">
        <f>IF(ISNUMBER(MATCH(C3118, Mgt_Unit!$C$5:$C$1018, 0)), INDEX(Mgt_Unit!$B$5:$B$1018, MATCH(C3118, Mgt_Unit!$C$5:$C$1018, 0)), "")</f>
        <v>jennifer.moore</v>
      </c>
      <c r="C3118" t="s">
        <v>1053</v>
      </c>
      <c r="E3118" s="17" t="s">
        <v>1583</v>
      </c>
      <c r="F3118" s="89">
        <v>43437</v>
      </c>
      <c r="J3118" t="s">
        <v>1512</v>
      </c>
      <c r="K3118" s="120">
        <v>26</v>
      </c>
    </row>
    <row r="3119" spans="2:11" hidden="1" x14ac:dyDescent="0.25">
      <c r="B3119" s="28" t="str">
        <f>IF(ISNUMBER(MATCH(C3119, Mgt_Unit!$C$5:$C$1018, 0)), INDEX(Mgt_Unit!$B$5:$B$1018, MATCH(C3119, Mgt_Unit!$C$5:$C$1018, 0)), "")</f>
        <v>jennifer.moore</v>
      </c>
      <c r="C3119" t="s">
        <v>1053</v>
      </c>
      <c r="E3119" s="17" t="s">
        <v>1583</v>
      </c>
      <c r="F3119" s="89">
        <v>43438</v>
      </c>
      <c r="J3119" t="s">
        <v>1513</v>
      </c>
      <c r="K3119" s="120">
        <v>16</v>
      </c>
    </row>
    <row r="3120" spans="2:11" hidden="1" x14ac:dyDescent="0.25">
      <c r="B3120" s="28" t="str">
        <f>IF(ISNUMBER(MATCH(C3120, Mgt_Unit!$C$5:$C$1018, 0)), INDEX(Mgt_Unit!$B$5:$B$1018, MATCH(C3120, Mgt_Unit!$C$5:$C$1018, 0)), "")</f>
        <v>jennifer.moore</v>
      </c>
      <c r="C3120" t="s">
        <v>1053</v>
      </c>
      <c r="E3120" s="17" t="s">
        <v>1584</v>
      </c>
      <c r="F3120" s="89">
        <v>43510</v>
      </c>
      <c r="J3120" t="s">
        <v>1510</v>
      </c>
      <c r="K3120" s="120">
        <v>2.4</v>
      </c>
    </row>
    <row r="3121" spans="2:11" hidden="1" x14ac:dyDescent="0.25">
      <c r="B3121" s="28" t="str">
        <f>IF(ISNUMBER(MATCH(C3121, Mgt_Unit!$C$5:$C$1018, 0)), INDEX(Mgt_Unit!$B$5:$B$1018, MATCH(C3121, Mgt_Unit!$C$5:$C$1018, 0)), "")</f>
        <v>jennifer.moore</v>
      </c>
      <c r="C3121" t="s">
        <v>1053</v>
      </c>
      <c r="E3121" s="17" t="s">
        <v>1583</v>
      </c>
      <c r="F3121" s="89">
        <v>43571</v>
      </c>
      <c r="J3121" t="s">
        <v>1428</v>
      </c>
      <c r="K3121" s="120">
        <v>26</v>
      </c>
    </row>
    <row r="3122" spans="2:11" hidden="1" x14ac:dyDescent="0.25">
      <c r="B3122" s="28" t="str">
        <f>IF(ISNUMBER(MATCH(C3122, Mgt_Unit!$C$5:$C$1018, 0)), INDEX(Mgt_Unit!$B$5:$B$1018, MATCH(C3122, Mgt_Unit!$C$5:$C$1018, 0)), "")</f>
        <v>jennifer.moore</v>
      </c>
      <c r="C3122" t="s">
        <v>1053</v>
      </c>
      <c r="E3122" s="17" t="s">
        <v>1583</v>
      </c>
      <c r="F3122" s="89">
        <v>43698</v>
      </c>
      <c r="J3122" t="s">
        <v>1511</v>
      </c>
      <c r="K3122" s="120">
        <v>0.15</v>
      </c>
    </row>
    <row r="3123" spans="2:11" hidden="1" x14ac:dyDescent="0.25">
      <c r="B3123" s="28" t="str">
        <f>IF(ISNUMBER(MATCH(C3123, Mgt_Unit!$C$5:$C$1018, 0)), INDEX(Mgt_Unit!$B$5:$B$1018, MATCH(C3123, Mgt_Unit!$C$5:$C$1018, 0)), "")</f>
        <v>jennifer.moore</v>
      </c>
      <c r="C3123" t="s">
        <v>1053</v>
      </c>
      <c r="E3123" s="17" t="s">
        <v>1583</v>
      </c>
      <c r="F3123" s="89">
        <v>43752</v>
      </c>
      <c r="J3123" t="s">
        <v>1464</v>
      </c>
      <c r="K3123" s="120">
        <v>37</v>
      </c>
    </row>
    <row r="3124" spans="2:11" hidden="1" x14ac:dyDescent="0.25">
      <c r="B3124" s="28" t="str">
        <f>IF(ISNUMBER(MATCH(C3124, Mgt_Unit!$C$5:$C$1018, 0)), INDEX(Mgt_Unit!$B$5:$B$1018, MATCH(C3124, Mgt_Unit!$C$5:$C$1018, 0)), "")</f>
        <v>jennifer.moore</v>
      </c>
      <c r="C3124" t="s">
        <v>1053</v>
      </c>
      <c r="E3124" s="17" t="s">
        <v>1583</v>
      </c>
      <c r="F3124" s="89">
        <v>43783</v>
      </c>
      <c r="J3124" t="s">
        <v>1512</v>
      </c>
      <c r="K3124" s="120">
        <v>26</v>
      </c>
    </row>
    <row r="3125" spans="2:11" hidden="1" x14ac:dyDescent="0.25">
      <c r="B3125" s="28" t="str">
        <f>IF(ISNUMBER(MATCH(C3125, Mgt_Unit!$C$5:$C$1018, 0)), INDEX(Mgt_Unit!$B$5:$B$1018, MATCH(C3125, Mgt_Unit!$C$5:$C$1018, 0)), "")</f>
        <v>jennifer.moore</v>
      </c>
      <c r="C3125" t="s">
        <v>1054</v>
      </c>
      <c r="E3125" s="17" t="s">
        <v>1584</v>
      </c>
      <c r="F3125" s="89">
        <v>43172</v>
      </c>
      <c r="J3125" t="s">
        <v>1510</v>
      </c>
      <c r="K3125" s="120">
        <v>2.4</v>
      </c>
    </row>
    <row r="3126" spans="2:11" hidden="1" x14ac:dyDescent="0.25">
      <c r="B3126" s="28" t="str">
        <f>IF(ISNUMBER(MATCH(C3126, Mgt_Unit!$C$5:$C$1018, 0)), INDEX(Mgt_Unit!$B$5:$B$1018, MATCH(C3126, Mgt_Unit!$C$5:$C$1018, 0)), "")</f>
        <v>jennifer.moore</v>
      </c>
      <c r="C3126" t="s">
        <v>1054</v>
      </c>
      <c r="E3126" s="17" t="s">
        <v>1583</v>
      </c>
      <c r="F3126" s="89">
        <v>43438</v>
      </c>
      <c r="J3126" t="s">
        <v>1513</v>
      </c>
      <c r="K3126" s="120">
        <v>16</v>
      </c>
    </row>
    <row r="3127" spans="2:11" hidden="1" x14ac:dyDescent="0.25">
      <c r="B3127" s="28" t="str">
        <f>IF(ISNUMBER(MATCH(C3127, Mgt_Unit!$C$5:$C$1018, 0)), INDEX(Mgt_Unit!$B$5:$B$1018, MATCH(C3127, Mgt_Unit!$C$5:$C$1018, 0)), "")</f>
        <v>jennifer.moore</v>
      </c>
      <c r="C3127" t="s">
        <v>1054</v>
      </c>
      <c r="E3127" s="17" t="s">
        <v>1584</v>
      </c>
      <c r="F3127" s="89">
        <v>43510</v>
      </c>
      <c r="J3127" t="s">
        <v>1510</v>
      </c>
      <c r="K3127" s="120">
        <v>2.4</v>
      </c>
    </row>
    <row r="3128" spans="2:11" hidden="1" x14ac:dyDescent="0.25">
      <c r="B3128" s="28" t="str">
        <f>IF(ISNUMBER(MATCH(C3128, Mgt_Unit!$C$5:$C$1018, 0)), INDEX(Mgt_Unit!$B$5:$B$1018, MATCH(C3128, Mgt_Unit!$C$5:$C$1018, 0)), "")</f>
        <v>jennifer.moore</v>
      </c>
      <c r="C3128" t="s">
        <v>1054</v>
      </c>
      <c r="E3128" s="17" t="s">
        <v>1583</v>
      </c>
      <c r="F3128" s="89">
        <v>43698</v>
      </c>
      <c r="J3128" t="s">
        <v>1511</v>
      </c>
      <c r="K3128" s="120">
        <v>0.15</v>
      </c>
    </row>
    <row r="3129" spans="2:11" hidden="1" x14ac:dyDescent="0.25">
      <c r="B3129" s="28" t="str">
        <f>IF(ISNUMBER(MATCH(C3129, Mgt_Unit!$C$5:$C$1018, 0)), INDEX(Mgt_Unit!$B$5:$B$1018, MATCH(C3129, Mgt_Unit!$C$5:$C$1018, 0)), "")</f>
        <v>jennifer.moore</v>
      </c>
      <c r="C3129" t="s">
        <v>1055</v>
      </c>
      <c r="E3129" s="17" t="s">
        <v>1583</v>
      </c>
      <c r="F3129" s="89">
        <v>43626</v>
      </c>
      <c r="J3129" t="s">
        <v>1478</v>
      </c>
      <c r="K3129" s="120">
        <v>39</v>
      </c>
    </row>
    <row r="3130" spans="2:11" hidden="1" x14ac:dyDescent="0.25">
      <c r="B3130" s="28" t="str">
        <f>IF(ISNUMBER(MATCH(C3130, Mgt_Unit!$C$5:$C$1018, 0)), INDEX(Mgt_Unit!$B$5:$B$1018, MATCH(C3130, Mgt_Unit!$C$5:$C$1018, 0)), "")</f>
        <v>jennifer.moore</v>
      </c>
      <c r="C3130" t="s">
        <v>1055</v>
      </c>
      <c r="E3130" s="17" t="s">
        <v>1583</v>
      </c>
      <c r="F3130" s="89">
        <v>43627</v>
      </c>
      <c r="J3130" t="s">
        <v>1445</v>
      </c>
      <c r="K3130" s="120">
        <v>30</v>
      </c>
    </row>
    <row r="3131" spans="2:11" hidden="1" x14ac:dyDescent="0.25">
      <c r="B3131" s="28" t="str">
        <f>IF(ISNUMBER(MATCH(C3131, Mgt_Unit!$C$5:$C$1018, 0)), INDEX(Mgt_Unit!$B$5:$B$1018, MATCH(C3131, Mgt_Unit!$C$5:$C$1018, 0)), "")</f>
        <v>jennifer.moore</v>
      </c>
      <c r="C3131" t="s">
        <v>1055</v>
      </c>
      <c r="E3131" s="17" t="s">
        <v>1583</v>
      </c>
      <c r="F3131" s="89">
        <v>43630</v>
      </c>
      <c r="J3131" t="s">
        <v>1402</v>
      </c>
      <c r="K3131" s="120">
        <v>65</v>
      </c>
    </row>
    <row r="3132" spans="2:11" hidden="1" x14ac:dyDescent="0.25">
      <c r="B3132" s="28" t="str">
        <f>IF(ISNUMBER(MATCH(C3132, Mgt_Unit!$C$5:$C$1018, 0)), INDEX(Mgt_Unit!$B$5:$B$1018, MATCH(C3132, Mgt_Unit!$C$5:$C$1018, 0)), "")</f>
        <v>jennifer.moore</v>
      </c>
      <c r="C3132" t="s">
        <v>1055</v>
      </c>
      <c r="E3132" s="17" t="s">
        <v>1584</v>
      </c>
      <c r="F3132" s="89">
        <v>43631</v>
      </c>
      <c r="J3132" t="s">
        <v>1395</v>
      </c>
      <c r="K3132" s="120">
        <v>7.8</v>
      </c>
    </row>
    <row r="3133" spans="2:11" hidden="1" x14ac:dyDescent="0.25">
      <c r="B3133" s="28" t="str">
        <f>IF(ISNUMBER(MATCH(C3133, Mgt_Unit!$C$5:$C$1018, 0)), INDEX(Mgt_Unit!$B$5:$B$1018, MATCH(C3133, Mgt_Unit!$C$5:$C$1018, 0)), "")</f>
        <v>jennifer.moore</v>
      </c>
      <c r="C3133" t="s">
        <v>1055</v>
      </c>
      <c r="E3133" s="17" t="s">
        <v>1583</v>
      </c>
      <c r="F3133" s="89">
        <v>43676</v>
      </c>
      <c r="J3133" t="s">
        <v>1472</v>
      </c>
      <c r="K3133" s="120">
        <v>15</v>
      </c>
    </row>
    <row r="3134" spans="2:11" hidden="1" x14ac:dyDescent="0.25">
      <c r="B3134" s="28" t="str">
        <f>IF(ISNUMBER(MATCH(C3134, Mgt_Unit!$C$5:$C$1018, 0)), INDEX(Mgt_Unit!$B$5:$B$1018, MATCH(C3134, Mgt_Unit!$C$5:$C$1018, 0)), "")</f>
        <v>jennifer.moore</v>
      </c>
      <c r="C3134" t="s">
        <v>1055</v>
      </c>
      <c r="E3134" s="17" t="s">
        <v>1583</v>
      </c>
      <c r="F3134" s="89">
        <v>43709</v>
      </c>
      <c r="J3134" t="s">
        <v>1472</v>
      </c>
      <c r="K3134" s="120">
        <v>15</v>
      </c>
    </row>
    <row r="3135" spans="2:11" hidden="1" x14ac:dyDescent="0.25">
      <c r="B3135" s="28" t="str">
        <f>IF(ISNUMBER(MATCH(C3135, Mgt_Unit!$C$5:$C$1018, 0)), INDEX(Mgt_Unit!$B$5:$B$1018, MATCH(C3135, Mgt_Unit!$C$5:$C$1018, 0)), "")</f>
        <v>jennifer.moore</v>
      </c>
      <c r="C3135" t="s">
        <v>1055</v>
      </c>
      <c r="E3135" s="17" t="s">
        <v>1583</v>
      </c>
      <c r="F3135" s="89">
        <v>43771</v>
      </c>
      <c r="J3135" t="s">
        <v>1478</v>
      </c>
      <c r="K3135" s="120">
        <v>39</v>
      </c>
    </row>
    <row r="3136" spans="2:11" hidden="1" x14ac:dyDescent="0.25">
      <c r="B3136" s="28" t="str">
        <f>IF(ISNUMBER(MATCH(C3136, Mgt_Unit!$C$5:$C$1018, 0)), INDEX(Mgt_Unit!$B$5:$B$1018, MATCH(C3136, Mgt_Unit!$C$5:$C$1018, 0)), "")</f>
        <v>jennifer.moore</v>
      </c>
      <c r="C3136" t="s">
        <v>1056</v>
      </c>
      <c r="E3136" s="17" t="s">
        <v>1583</v>
      </c>
      <c r="F3136" s="89">
        <v>43626</v>
      </c>
      <c r="J3136" t="s">
        <v>1478</v>
      </c>
      <c r="K3136" s="120">
        <v>39</v>
      </c>
    </row>
    <row r="3137" spans="2:11" hidden="1" x14ac:dyDescent="0.25">
      <c r="B3137" s="28" t="str">
        <f>IF(ISNUMBER(MATCH(C3137, Mgt_Unit!$C$5:$C$1018, 0)), INDEX(Mgt_Unit!$B$5:$B$1018, MATCH(C3137, Mgt_Unit!$C$5:$C$1018, 0)), "")</f>
        <v>jennifer.moore</v>
      </c>
      <c r="C3137" t="s">
        <v>1056</v>
      </c>
      <c r="E3137" s="17" t="s">
        <v>1583</v>
      </c>
      <c r="F3137" s="89">
        <v>43627</v>
      </c>
      <c r="J3137" t="s">
        <v>1445</v>
      </c>
      <c r="K3137" s="120">
        <v>30</v>
      </c>
    </row>
    <row r="3138" spans="2:11" hidden="1" x14ac:dyDescent="0.25">
      <c r="B3138" s="28" t="str">
        <f>IF(ISNUMBER(MATCH(C3138, Mgt_Unit!$C$5:$C$1018, 0)), INDEX(Mgt_Unit!$B$5:$B$1018, MATCH(C3138, Mgt_Unit!$C$5:$C$1018, 0)), "")</f>
        <v>jennifer.moore</v>
      </c>
      <c r="C3138" t="s">
        <v>1056</v>
      </c>
      <c r="E3138" s="17" t="s">
        <v>1583</v>
      </c>
      <c r="F3138" s="89">
        <v>43630</v>
      </c>
      <c r="J3138" t="s">
        <v>1402</v>
      </c>
      <c r="K3138" s="120">
        <v>65</v>
      </c>
    </row>
    <row r="3139" spans="2:11" hidden="1" x14ac:dyDescent="0.25">
      <c r="B3139" s="28" t="str">
        <f>IF(ISNUMBER(MATCH(C3139, Mgt_Unit!$C$5:$C$1018, 0)), INDEX(Mgt_Unit!$B$5:$B$1018, MATCH(C3139, Mgt_Unit!$C$5:$C$1018, 0)), "")</f>
        <v>jennifer.moore</v>
      </c>
      <c r="C3139" t="s">
        <v>1056</v>
      </c>
      <c r="E3139" s="17" t="s">
        <v>1584</v>
      </c>
      <c r="F3139" s="89">
        <v>43631</v>
      </c>
      <c r="J3139" t="s">
        <v>1395</v>
      </c>
      <c r="K3139" s="120">
        <v>7.8</v>
      </c>
    </row>
    <row r="3140" spans="2:11" hidden="1" x14ac:dyDescent="0.25">
      <c r="B3140" s="28" t="str">
        <f>IF(ISNUMBER(MATCH(C3140, Mgt_Unit!$C$5:$C$1018, 0)), INDEX(Mgt_Unit!$B$5:$B$1018, MATCH(C3140, Mgt_Unit!$C$5:$C$1018, 0)), "")</f>
        <v>jennifer.moore</v>
      </c>
      <c r="C3140" t="s">
        <v>1056</v>
      </c>
      <c r="E3140" s="17" t="s">
        <v>1583</v>
      </c>
      <c r="F3140" s="89">
        <v>43676</v>
      </c>
      <c r="J3140" t="s">
        <v>1472</v>
      </c>
      <c r="K3140" s="120">
        <v>15</v>
      </c>
    </row>
    <row r="3141" spans="2:11" hidden="1" x14ac:dyDescent="0.25">
      <c r="B3141" s="28" t="str">
        <f>IF(ISNUMBER(MATCH(C3141, Mgt_Unit!$C$5:$C$1018, 0)), INDEX(Mgt_Unit!$B$5:$B$1018, MATCH(C3141, Mgt_Unit!$C$5:$C$1018, 0)), "")</f>
        <v>jennifer.moore</v>
      </c>
      <c r="C3141" t="s">
        <v>1056</v>
      </c>
      <c r="E3141" s="17" t="s">
        <v>1583</v>
      </c>
      <c r="F3141" s="89">
        <v>43709</v>
      </c>
      <c r="J3141" t="s">
        <v>1472</v>
      </c>
      <c r="K3141" s="120">
        <v>15</v>
      </c>
    </row>
    <row r="3142" spans="2:11" hidden="1" x14ac:dyDescent="0.25">
      <c r="B3142" s="28" t="str">
        <f>IF(ISNUMBER(MATCH(C3142, Mgt_Unit!$C$5:$C$1018, 0)), INDEX(Mgt_Unit!$B$5:$B$1018, MATCH(C3142, Mgt_Unit!$C$5:$C$1018, 0)), "")</f>
        <v>jennifer.moore</v>
      </c>
      <c r="C3142" t="s">
        <v>1056</v>
      </c>
      <c r="E3142" s="17" t="s">
        <v>1583</v>
      </c>
      <c r="F3142" s="89">
        <v>43771</v>
      </c>
      <c r="J3142" t="s">
        <v>1478</v>
      </c>
      <c r="K3142" s="120">
        <v>39</v>
      </c>
    </row>
    <row r="3143" spans="2:11" hidden="1" x14ac:dyDescent="0.25">
      <c r="B3143" s="28" t="str">
        <f>IF(ISNUMBER(MATCH(C3143, Mgt_Unit!$C$5:$C$1018, 0)), INDEX(Mgt_Unit!$B$5:$B$1018, MATCH(C3143, Mgt_Unit!$C$5:$C$1018, 0)), "")</f>
        <v>jennifer.moore</v>
      </c>
      <c r="C3143" t="s">
        <v>1057</v>
      </c>
      <c r="E3143" s="17" t="s">
        <v>1584</v>
      </c>
      <c r="F3143" s="89">
        <v>43631</v>
      </c>
      <c r="J3143" t="s">
        <v>1398</v>
      </c>
      <c r="K3143" s="120">
        <v>4</v>
      </c>
    </row>
    <row r="3144" spans="2:11" hidden="1" x14ac:dyDescent="0.25">
      <c r="B3144" s="28" t="str">
        <f>IF(ISNUMBER(MATCH(C3144, Mgt_Unit!$C$5:$C$1018, 0)), INDEX(Mgt_Unit!$B$5:$B$1018, MATCH(C3144, Mgt_Unit!$C$5:$C$1018, 0)), "")</f>
        <v>jennifer.moore</v>
      </c>
      <c r="C3144" t="s">
        <v>1058</v>
      </c>
      <c r="E3144" s="17" t="s">
        <v>1584</v>
      </c>
      <c r="F3144" s="89">
        <v>43631</v>
      </c>
      <c r="J3144" t="s">
        <v>1398</v>
      </c>
      <c r="K3144" s="120">
        <v>4</v>
      </c>
    </row>
    <row r="3145" spans="2:11" hidden="1" x14ac:dyDescent="0.25">
      <c r="B3145" s="28" t="str">
        <f>IF(ISNUMBER(MATCH(C3145, Mgt_Unit!$C$5:$C$1018, 0)), INDEX(Mgt_Unit!$B$5:$B$1018, MATCH(C3145, Mgt_Unit!$C$5:$C$1018, 0)), "")</f>
        <v>jennifer.moore</v>
      </c>
      <c r="C3145" t="s">
        <v>1059</v>
      </c>
      <c r="E3145" s="17" t="s">
        <v>1583</v>
      </c>
      <c r="F3145" s="89">
        <v>43626</v>
      </c>
      <c r="J3145" t="s">
        <v>1478</v>
      </c>
      <c r="K3145" s="120">
        <v>39</v>
      </c>
    </row>
    <row r="3146" spans="2:11" hidden="1" x14ac:dyDescent="0.25">
      <c r="B3146" s="28" t="str">
        <f>IF(ISNUMBER(MATCH(C3146, Mgt_Unit!$C$5:$C$1018, 0)), INDEX(Mgt_Unit!$B$5:$B$1018, MATCH(C3146, Mgt_Unit!$C$5:$C$1018, 0)), "")</f>
        <v>jennifer.moore</v>
      </c>
      <c r="C3146" t="s">
        <v>1059</v>
      </c>
      <c r="E3146" s="17" t="s">
        <v>1583</v>
      </c>
      <c r="F3146" s="89">
        <v>43771</v>
      </c>
      <c r="J3146" t="s">
        <v>1478</v>
      </c>
      <c r="K3146" s="120">
        <v>39</v>
      </c>
    </row>
    <row r="3147" spans="2:11" hidden="1" x14ac:dyDescent="0.25">
      <c r="B3147" s="28" t="str">
        <f>IF(ISNUMBER(MATCH(C3147, Mgt_Unit!$C$5:$C$1018, 0)), INDEX(Mgt_Unit!$B$5:$B$1018, MATCH(C3147, Mgt_Unit!$C$5:$C$1018, 0)), "")</f>
        <v>jennifer.moore</v>
      </c>
      <c r="C3147" t="s">
        <v>1059</v>
      </c>
      <c r="E3147" s="17" t="s">
        <v>1583</v>
      </c>
      <c r="F3147" s="89">
        <v>43778</v>
      </c>
      <c r="J3147" t="s">
        <v>1478</v>
      </c>
      <c r="K3147" s="120">
        <v>39</v>
      </c>
    </row>
    <row r="3148" spans="2:11" hidden="1" x14ac:dyDescent="0.25">
      <c r="B3148" s="28" t="str">
        <f>IF(ISNUMBER(MATCH(C3148, Mgt_Unit!$C$5:$C$1018, 0)), INDEX(Mgt_Unit!$B$5:$B$1018, MATCH(C3148, Mgt_Unit!$C$5:$C$1018, 0)), "")</f>
        <v>jennifer.moore</v>
      </c>
      <c r="C3148" t="s">
        <v>1059</v>
      </c>
      <c r="E3148" s="17" t="s">
        <v>1583</v>
      </c>
      <c r="F3148" s="89">
        <v>43778</v>
      </c>
      <c r="J3148" t="s">
        <v>1449</v>
      </c>
      <c r="K3148" s="120">
        <v>36</v>
      </c>
    </row>
    <row r="3149" spans="2:11" hidden="1" x14ac:dyDescent="0.25">
      <c r="B3149" s="28" t="str">
        <f>IF(ISNUMBER(MATCH(C3149, Mgt_Unit!$C$5:$C$1018, 0)), INDEX(Mgt_Unit!$B$5:$B$1018, MATCH(C3149, Mgt_Unit!$C$5:$C$1018, 0)), "")</f>
        <v>jennifer.moore</v>
      </c>
      <c r="C3149" t="s">
        <v>1059</v>
      </c>
      <c r="E3149" s="17" t="s">
        <v>1584</v>
      </c>
      <c r="F3149" s="89">
        <v>43779</v>
      </c>
      <c r="J3149" t="s">
        <v>1398</v>
      </c>
      <c r="K3149" s="120">
        <v>4</v>
      </c>
    </row>
    <row r="3150" spans="2:11" hidden="1" x14ac:dyDescent="0.25">
      <c r="B3150" s="28" t="str">
        <f>IF(ISNUMBER(MATCH(C3150, Mgt_Unit!$C$5:$C$1018, 0)), INDEX(Mgt_Unit!$B$5:$B$1018, MATCH(C3150, Mgt_Unit!$C$5:$C$1018, 0)), "")</f>
        <v>jennifer.moore</v>
      </c>
      <c r="C3150" t="s">
        <v>1060</v>
      </c>
      <c r="E3150" s="17" t="s">
        <v>1583</v>
      </c>
      <c r="F3150" s="89">
        <v>43626</v>
      </c>
      <c r="J3150" t="s">
        <v>1478</v>
      </c>
      <c r="K3150" s="120">
        <v>39</v>
      </c>
    </row>
    <row r="3151" spans="2:11" hidden="1" x14ac:dyDescent="0.25">
      <c r="B3151" s="28" t="str">
        <f>IF(ISNUMBER(MATCH(C3151, Mgt_Unit!$C$5:$C$1018, 0)), INDEX(Mgt_Unit!$B$5:$B$1018, MATCH(C3151, Mgt_Unit!$C$5:$C$1018, 0)), "")</f>
        <v>jennifer.moore</v>
      </c>
      <c r="C3151" t="s">
        <v>1060</v>
      </c>
      <c r="E3151" s="17" t="s">
        <v>1583</v>
      </c>
      <c r="F3151" s="89">
        <v>43771</v>
      </c>
      <c r="J3151" t="s">
        <v>1478</v>
      </c>
      <c r="K3151" s="120">
        <v>39</v>
      </c>
    </row>
    <row r="3152" spans="2:11" hidden="1" x14ac:dyDescent="0.25">
      <c r="B3152" s="28" t="str">
        <f>IF(ISNUMBER(MATCH(C3152, Mgt_Unit!$C$5:$C$1018, 0)), INDEX(Mgt_Unit!$B$5:$B$1018, MATCH(C3152, Mgt_Unit!$C$5:$C$1018, 0)), "")</f>
        <v>jennifer.moore</v>
      </c>
      <c r="C3152" t="s">
        <v>1060</v>
      </c>
      <c r="E3152" s="17" t="s">
        <v>1583</v>
      </c>
      <c r="F3152" s="89">
        <v>43778</v>
      </c>
      <c r="J3152" t="s">
        <v>1478</v>
      </c>
      <c r="K3152" s="120">
        <v>39</v>
      </c>
    </row>
    <row r="3153" spans="2:11" hidden="1" x14ac:dyDescent="0.25">
      <c r="B3153" s="28" t="str">
        <f>IF(ISNUMBER(MATCH(C3153, Mgt_Unit!$C$5:$C$1018, 0)), INDEX(Mgt_Unit!$B$5:$B$1018, MATCH(C3153, Mgt_Unit!$C$5:$C$1018, 0)), "")</f>
        <v>jennifer.moore</v>
      </c>
      <c r="C3153" t="s">
        <v>1060</v>
      </c>
      <c r="E3153" s="17" t="s">
        <v>1583</v>
      </c>
      <c r="F3153" s="89">
        <v>43778</v>
      </c>
      <c r="J3153" t="s">
        <v>1449</v>
      </c>
      <c r="K3153" s="120">
        <v>36</v>
      </c>
    </row>
    <row r="3154" spans="2:11" hidden="1" x14ac:dyDescent="0.25">
      <c r="B3154" s="28" t="str">
        <f>IF(ISNUMBER(MATCH(C3154, Mgt_Unit!$C$5:$C$1018, 0)), INDEX(Mgt_Unit!$B$5:$B$1018, MATCH(C3154, Mgt_Unit!$C$5:$C$1018, 0)), "")</f>
        <v>jennifer.moore</v>
      </c>
      <c r="C3154" t="s">
        <v>1060</v>
      </c>
      <c r="E3154" s="17" t="s">
        <v>1584</v>
      </c>
      <c r="F3154" s="89">
        <v>43779</v>
      </c>
      <c r="J3154" t="s">
        <v>1398</v>
      </c>
      <c r="K3154" s="120">
        <v>4</v>
      </c>
    </row>
    <row r="3155" spans="2:11" hidden="1" x14ac:dyDescent="0.25">
      <c r="B3155" s="28" t="str">
        <f>IF(ISNUMBER(MATCH(C3155, Mgt_Unit!$C$5:$C$1018, 0)), INDEX(Mgt_Unit!$B$5:$B$1018, MATCH(C3155, Mgt_Unit!$C$5:$C$1018, 0)), "")</f>
        <v>jennifer.moore</v>
      </c>
      <c r="C3155" t="s">
        <v>1061</v>
      </c>
      <c r="E3155" s="17" t="s">
        <v>1584</v>
      </c>
      <c r="F3155" s="89">
        <v>43779</v>
      </c>
      <c r="J3155" t="s">
        <v>1398</v>
      </c>
      <c r="K3155" s="120">
        <v>4</v>
      </c>
    </row>
    <row r="3156" spans="2:11" hidden="1" x14ac:dyDescent="0.25">
      <c r="B3156" s="28" t="str">
        <f>IF(ISNUMBER(MATCH(C3156, Mgt_Unit!$C$5:$C$1018, 0)), INDEX(Mgt_Unit!$B$5:$B$1018, MATCH(C3156, Mgt_Unit!$C$5:$C$1018, 0)), "")</f>
        <v>jennifer.moore</v>
      </c>
      <c r="C3156" t="s">
        <v>1062</v>
      </c>
      <c r="E3156" s="17" t="s">
        <v>1584</v>
      </c>
      <c r="F3156" s="89">
        <v>43779</v>
      </c>
      <c r="J3156" t="s">
        <v>1398</v>
      </c>
      <c r="K3156" s="120">
        <v>4</v>
      </c>
    </row>
    <row r="3157" spans="2:11" hidden="1" x14ac:dyDescent="0.25">
      <c r="B3157" s="28" t="str">
        <f>IF(ISNUMBER(MATCH(C3157, Mgt_Unit!$C$5:$C$1018, 0)), INDEX(Mgt_Unit!$B$5:$B$1018, MATCH(C3157, Mgt_Unit!$C$5:$C$1018, 0)), "")</f>
        <v>jennifer.moore</v>
      </c>
      <c r="C3157" t="s">
        <v>1063</v>
      </c>
      <c r="E3157" s="17" t="s">
        <v>1584</v>
      </c>
      <c r="F3157" s="89">
        <v>43585</v>
      </c>
      <c r="J3157" t="s">
        <v>1432</v>
      </c>
      <c r="K3157" s="120">
        <v>2.4</v>
      </c>
    </row>
    <row r="3158" spans="2:11" hidden="1" x14ac:dyDescent="0.25">
      <c r="B3158" s="28" t="str">
        <f>IF(ISNUMBER(MATCH(C3158, Mgt_Unit!$C$5:$C$1018, 0)), INDEX(Mgt_Unit!$B$5:$B$1018, MATCH(C3158, Mgt_Unit!$C$5:$C$1018, 0)), "")</f>
        <v>jennifer.moore</v>
      </c>
      <c r="C3158" t="s">
        <v>1063</v>
      </c>
      <c r="E3158" s="17" t="s">
        <v>1584</v>
      </c>
      <c r="F3158" s="89">
        <v>43748</v>
      </c>
      <c r="J3158" t="s">
        <v>1432</v>
      </c>
      <c r="K3158" s="120">
        <v>2.4</v>
      </c>
    </row>
    <row r="3159" spans="2:11" hidden="1" x14ac:dyDescent="0.25">
      <c r="B3159" s="28" t="str">
        <f>IF(ISNUMBER(MATCH(C3159, Mgt_Unit!$C$5:$C$1018, 0)), INDEX(Mgt_Unit!$B$5:$B$1018, MATCH(C3159, Mgt_Unit!$C$5:$C$1018, 0)), "")</f>
        <v>jennifer.moore</v>
      </c>
      <c r="C3159" t="s">
        <v>1063</v>
      </c>
      <c r="E3159" s="17" t="s">
        <v>1584</v>
      </c>
      <c r="F3159" s="89">
        <v>44017</v>
      </c>
      <c r="J3159" t="s">
        <v>1432</v>
      </c>
      <c r="K3159" s="120">
        <v>2.4</v>
      </c>
    </row>
    <row r="3160" spans="2:11" hidden="1" x14ac:dyDescent="0.25">
      <c r="B3160" s="28" t="str">
        <f>IF(ISNUMBER(MATCH(C3160, Mgt_Unit!$C$5:$C$1018, 0)), INDEX(Mgt_Unit!$B$5:$B$1018, MATCH(C3160, Mgt_Unit!$C$5:$C$1018, 0)), "")</f>
        <v>jennifer.moore</v>
      </c>
      <c r="C3160" t="s">
        <v>1064</v>
      </c>
      <c r="E3160" s="17" t="s">
        <v>1584</v>
      </c>
      <c r="F3160" s="89">
        <v>43585</v>
      </c>
      <c r="J3160" t="s">
        <v>1432</v>
      </c>
      <c r="K3160" s="120">
        <v>2.4</v>
      </c>
    </row>
    <row r="3161" spans="2:11" hidden="1" x14ac:dyDescent="0.25">
      <c r="B3161" s="28" t="str">
        <f>IF(ISNUMBER(MATCH(C3161, Mgt_Unit!$C$5:$C$1018, 0)), INDEX(Mgt_Unit!$B$5:$B$1018, MATCH(C3161, Mgt_Unit!$C$5:$C$1018, 0)), "")</f>
        <v>jennifer.moore</v>
      </c>
      <c r="C3161" t="s">
        <v>1064</v>
      </c>
      <c r="E3161" s="17" t="s">
        <v>1584</v>
      </c>
      <c r="F3161" s="89">
        <v>43748</v>
      </c>
      <c r="J3161" t="s">
        <v>1432</v>
      </c>
      <c r="K3161" s="120">
        <v>2.4</v>
      </c>
    </row>
    <row r="3162" spans="2:11" hidden="1" x14ac:dyDescent="0.25">
      <c r="B3162" s="28" t="str">
        <f>IF(ISNUMBER(MATCH(C3162, Mgt_Unit!$C$5:$C$1018, 0)), INDEX(Mgt_Unit!$B$5:$B$1018, MATCH(C3162, Mgt_Unit!$C$5:$C$1018, 0)), "")</f>
        <v>jennifer.moore</v>
      </c>
      <c r="C3162" t="s">
        <v>1064</v>
      </c>
      <c r="E3162" s="17" t="s">
        <v>1584</v>
      </c>
      <c r="F3162" s="89">
        <v>44017</v>
      </c>
      <c r="J3162" t="s">
        <v>1432</v>
      </c>
      <c r="K3162" s="120">
        <v>2.4</v>
      </c>
    </row>
    <row r="3163" spans="2:11" hidden="1" x14ac:dyDescent="0.25">
      <c r="B3163" s="28" t="str">
        <f>IF(ISNUMBER(MATCH(C3163, Mgt_Unit!$C$5:$C$1018, 0)), INDEX(Mgt_Unit!$B$5:$B$1018, MATCH(C3163, Mgt_Unit!$C$5:$C$1018, 0)), "")</f>
        <v>jennifer.moore</v>
      </c>
      <c r="C3163" t="s">
        <v>1065</v>
      </c>
      <c r="E3163" s="17" t="s">
        <v>1584</v>
      </c>
      <c r="F3163" s="89">
        <v>43585</v>
      </c>
      <c r="J3163" t="s">
        <v>1432</v>
      </c>
      <c r="K3163" s="120">
        <v>2.4</v>
      </c>
    </row>
    <row r="3164" spans="2:11" hidden="1" x14ac:dyDescent="0.25">
      <c r="B3164" s="28" t="str">
        <f>IF(ISNUMBER(MATCH(C3164, Mgt_Unit!$C$5:$C$1018, 0)), INDEX(Mgt_Unit!$B$5:$B$1018, MATCH(C3164, Mgt_Unit!$C$5:$C$1018, 0)), "")</f>
        <v>jennifer.moore</v>
      </c>
      <c r="C3164" t="s">
        <v>1065</v>
      </c>
      <c r="E3164" s="17" t="s">
        <v>1584</v>
      </c>
      <c r="F3164" s="89">
        <v>43748</v>
      </c>
      <c r="J3164" t="s">
        <v>1432</v>
      </c>
      <c r="K3164" s="120">
        <v>2.4</v>
      </c>
    </row>
    <row r="3165" spans="2:11" hidden="1" x14ac:dyDescent="0.25">
      <c r="B3165" s="28" t="str">
        <f>IF(ISNUMBER(MATCH(C3165, Mgt_Unit!$C$5:$C$1018, 0)), INDEX(Mgt_Unit!$B$5:$B$1018, MATCH(C3165, Mgt_Unit!$C$5:$C$1018, 0)), "")</f>
        <v>jennifer.moore</v>
      </c>
      <c r="C3165" t="s">
        <v>1065</v>
      </c>
      <c r="E3165" s="17" t="s">
        <v>1584</v>
      </c>
      <c r="F3165" s="89">
        <v>44017</v>
      </c>
      <c r="J3165" t="s">
        <v>1432</v>
      </c>
      <c r="K3165" s="120">
        <v>2.4</v>
      </c>
    </row>
    <row r="3166" spans="2:11" hidden="1" x14ac:dyDescent="0.25">
      <c r="B3166" s="28" t="str">
        <f>IF(ISNUMBER(MATCH(C3166, Mgt_Unit!$C$5:$C$1018, 0)), INDEX(Mgt_Unit!$B$5:$B$1018, MATCH(C3166, Mgt_Unit!$C$5:$C$1018, 0)), "")</f>
        <v>jennifer.moore</v>
      </c>
      <c r="C3166" t="s">
        <v>1066</v>
      </c>
      <c r="E3166" s="17" t="s">
        <v>1583</v>
      </c>
      <c r="F3166" s="89">
        <v>40252</v>
      </c>
      <c r="J3166" t="s">
        <v>1514</v>
      </c>
      <c r="K3166" s="120">
        <v>15</v>
      </c>
    </row>
    <row r="3167" spans="2:11" hidden="1" x14ac:dyDescent="0.25">
      <c r="B3167" s="28" t="str">
        <f>IF(ISNUMBER(MATCH(C3167, Mgt_Unit!$C$5:$C$1018, 0)), INDEX(Mgt_Unit!$B$5:$B$1018, MATCH(C3167, Mgt_Unit!$C$5:$C$1018, 0)), "")</f>
        <v>jennifer.moore</v>
      </c>
      <c r="C3167" t="s">
        <v>1066</v>
      </c>
      <c r="E3167" s="17" t="s">
        <v>1583</v>
      </c>
      <c r="F3167" s="89">
        <v>40253</v>
      </c>
      <c r="J3167" t="s">
        <v>1515</v>
      </c>
      <c r="K3167" s="120">
        <v>20</v>
      </c>
    </row>
    <row r="3168" spans="2:11" hidden="1" x14ac:dyDescent="0.25">
      <c r="B3168" s="28" t="str">
        <f>IF(ISNUMBER(MATCH(C3168, Mgt_Unit!$C$5:$C$1018, 0)), INDEX(Mgt_Unit!$B$5:$B$1018, MATCH(C3168, Mgt_Unit!$C$5:$C$1018, 0)), "")</f>
        <v>jennifer.moore</v>
      </c>
      <c r="C3168" t="s">
        <v>1066</v>
      </c>
      <c r="E3168" s="17" t="s">
        <v>1583</v>
      </c>
      <c r="F3168" s="89">
        <v>40253</v>
      </c>
      <c r="J3168" t="s">
        <v>1448</v>
      </c>
      <c r="K3168" s="120">
        <v>30</v>
      </c>
    </row>
    <row r="3169" spans="2:11" hidden="1" x14ac:dyDescent="0.25">
      <c r="B3169" s="28" t="str">
        <f>IF(ISNUMBER(MATCH(C3169, Mgt_Unit!$C$5:$C$1018, 0)), INDEX(Mgt_Unit!$B$5:$B$1018, MATCH(C3169, Mgt_Unit!$C$5:$C$1018, 0)), "")</f>
        <v>jennifer.moore</v>
      </c>
      <c r="C3169" t="s">
        <v>1066</v>
      </c>
      <c r="E3169" s="17" t="s">
        <v>1583</v>
      </c>
      <c r="F3169" s="89">
        <v>40328</v>
      </c>
      <c r="J3169" t="s">
        <v>1507</v>
      </c>
      <c r="K3169" s="120">
        <v>2</v>
      </c>
    </row>
    <row r="3170" spans="2:11" hidden="1" x14ac:dyDescent="0.25">
      <c r="B3170" s="28" t="str">
        <f>IF(ISNUMBER(MATCH(C3170, Mgt_Unit!$C$5:$C$1018, 0)), INDEX(Mgt_Unit!$B$5:$B$1018, MATCH(C3170, Mgt_Unit!$C$5:$C$1018, 0)), "")</f>
        <v>jennifer.moore</v>
      </c>
      <c r="C3170" t="s">
        <v>1066</v>
      </c>
      <c r="E3170" s="17" t="s">
        <v>1583</v>
      </c>
      <c r="F3170" s="89">
        <v>40363</v>
      </c>
      <c r="J3170" t="s">
        <v>1448</v>
      </c>
      <c r="K3170" s="120">
        <v>30</v>
      </c>
    </row>
    <row r="3171" spans="2:11" hidden="1" x14ac:dyDescent="0.25">
      <c r="B3171" s="28" t="str">
        <f>IF(ISNUMBER(MATCH(C3171, Mgt_Unit!$C$5:$C$1018, 0)), INDEX(Mgt_Unit!$B$5:$B$1018, MATCH(C3171, Mgt_Unit!$C$5:$C$1018, 0)), "")</f>
        <v>jennifer.moore</v>
      </c>
      <c r="C3171" t="s">
        <v>1066</v>
      </c>
      <c r="E3171" s="17" t="s">
        <v>1583</v>
      </c>
      <c r="F3171" s="89">
        <v>40391</v>
      </c>
      <c r="J3171" t="s">
        <v>1508</v>
      </c>
      <c r="K3171" s="120">
        <v>17</v>
      </c>
    </row>
    <row r="3172" spans="2:11" hidden="1" x14ac:dyDescent="0.25">
      <c r="B3172" s="28" t="str">
        <f>IF(ISNUMBER(MATCH(C3172, Mgt_Unit!$C$5:$C$1018, 0)), INDEX(Mgt_Unit!$B$5:$B$1018, MATCH(C3172, Mgt_Unit!$C$5:$C$1018, 0)), "")</f>
        <v>jennifer.moore</v>
      </c>
      <c r="C3172" t="s">
        <v>1066</v>
      </c>
      <c r="E3172" s="17" t="s">
        <v>1584</v>
      </c>
      <c r="F3172" s="89">
        <v>40410</v>
      </c>
      <c r="J3172" t="s">
        <v>1498</v>
      </c>
      <c r="K3172" s="120">
        <v>24</v>
      </c>
    </row>
    <row r="3173" spans="2:11" hidden="1" x14ac:dyDescent="0.25">
      <c r="B3173" s="28" t="str">
        <f>IF(ISNUMBER(MATCH(C3173, Mgt_Unit!$C$5:$C$1018, 0)), INDEX(Mgt_Unit!$B$5:$B$1018, MATCH(C3173, Mgt_Unit!$C$5:$C$1018, 0)), "")</f>
        <v>jennifer.moore</v>
      </c>
      <c r="C3173" t="s">
        <v>1066</v>
      </c>
      <c r="E3173" s="17" t="s">
        <v>1583</v>
      </c>
      <c r="F3173" s="89">
        <v>40765</v>
      </c>
      <c r="J3173" t="s">
        <v>1516</v>
      </c>
      <c r="K3173" s="120">
        <v>0.28999999999999998</v>
      </c>
    </row>
    <row r="3174" spans="2:11" hidden="1" x14ac:dyDescent="0.25">
      <c r="B3174" s="28" t="str">
        <f>IF(ISNUMBER(MATCH(C3174, Mgt_Unit!$C$5:$C$1018, 0)), INDEX(Mgt_Unit!$B$5:$B$1018, MATCH(C3174, Mgt_Unit!$C$5:$C$1018, 0)), "")</f>
        <v>jennifer.moore</v>
      </c>
      <c r="C3174" t="s">
        <v>1066</v>
      </c>
      <c r="E3174" s="17" t="s">
        <v>1584</v>
      </c>
      <c r="F3174" s="89">
        <v>41141</v>
      </c>
      <c r="J3174" t="s">
        <v>1498</v>
      </c>
      <c r="K3174" s="120">
        <v>24</v>
      </c>
    </row>
    <row r="3175" spans="2:11" hidden="1" x14ac:dyDescent="0.25">
      <c r="B3175" s="28" t="str">
        <f>IF(ISNUMBER(MATCH(C3175, Mgt_Unit!$C$5:$C$1018, 0)), INDEX(Mgt_Unit!$B$5:$B$1018, MATCH(C3175, Mgt_Unit!$C$5:$C$1018, 0)), "")</f>
        <v>jennifer.moore</v>
      </c>
      <c r="C3175" t="s">
        <v>1066</v>
      </c>
      <c r="E3175" s="17" t="s">
        <v>1584</v>
      </c>
      <c r="F3175" s="89">
        <v>41749</v>
      </c>
      <c r="J3175" t="s">
        <v>1498</v>
      </c>
      <c r="K3175" s="120">
        <v>24</v>
      </c>
    </row>
    <row r="3176" spans="2:11" hidden="1" x14ac:dyDescent="0.25">
      <c r="B3176" s="28" t="str">
        <f>IF(ISNUMBER(MATCH(C3176, Mgt_Unit!$C$5:$C$1018, 0)), INDEX(Mgt_Unit!$B$5:$B$1018, MATCH(C3176, Mgt_Unit!$C$5:$C$1018, 0)), "")</f>
        <v>jennifer.moore</v>
      </c>
      <c r="C3176" t="s">
        <v>1066</v>
      </c>
      <c r="E3176" s="17" t="s">
        <v>1583</v>
      </c>
      <c r="F3176" s="89">
        <v>42210</v>
      </c>
      <c r="J3176" t="s">
        <v>1516</v>
      </c>
      <c r="K3176" s="120">
        <v>0.28999999999999998</v>
      </c>
    </row>
    <row r="3177" spans="2:11" hidden="1" x14ac:dyDescent="0.25">
      <c r="B3177" s="28" t="str">
        <f>IF(ISNUMBER(MATCH(C3177, Mgt_Unit!$C$5:$C$1018, 0)), INDEX(Mgt_Unit!$B$5:$B$1018, MATCH(C3177, Mgt_Unit!$C$5:$C$1018, 0)), "")</f>
        <v>jennifer.moore</v>
      </c>
      <c r="C3177" t="s">
        <v>1066</v>
      </c>
      <c r="E3177" s="17" t="s">
        <v>1584</v>
      </c>
      <c r="F3177" s="89">
        <v>42236</v>
      </c>
      <c r="J3177" t="s">
        <v>1498</v>
      </c>
      <c r="K3177" s="120">
        <v>24</v>
      </c>
    </row>
    <row r="3178" spans="2:11" hidden="1" x14ac:dyDescent="0.25">
      <c r="B3178" s="28" t="str">
        <f>IF(ISNUMBER(MATCH(C3178, Mgt_Unit!$C$5:$C$1018, 0)), INDEX(Mgt_Unit!$B$5:$B$1018, MATCH(C3178, Mgt_Unit!$C$5:$C$1018, 0)), "")</f>
        <v>jennifer.moore</v>
      </c>
      <c r="C3178" t="s">
        <v>1066</v>
      </c>
      <c r="E3178" s="17" t="s">
        <v>1583</v>
      </c>
      <c r="F3178" s="89">
        <v>43575</v>
      </c>
      <c r="J3178" t="s">
        <v>1516</v>
      </c>
      <c r="K3178" s="120">
        <v>0.28999999999999998</v>
      </c>
    </row>
    <row r="3179" spans="2:11" hidden="1" x14ac:dyDescent="0.25">
      <c r="B3179" s="28" t="str">
        <f>IF(ISNUMBER(MATCH(C3179, Mgt_Unit!$C$5:$C$1018, 0)), INDEX(Mgt_Unit!$B$5:$B$1018, MATCH(C3179, Mgt_Unit!$C$5:$C$1018, 0)), "")</f>
        <v>jennifer.moore</v>
      </c>
      <c r="C3179" t="s">
        <v>1066</v>
      </c>
      <c r="E3179" s="17" t="s">
        <v>1584</v>
      </c>
      <c r="F3179" s="89">
        <v>43600</v>
      </c>
      <c r="J3179" t="s">
        <v>1498</v>
      </c>
      <c r="K3179" s="120">
        <v>24</v>
      </c>
    </row>
    <row r="3180" spans="2:11" hidden="1" x14ac:dyDescent="0.25">
      <c r="B3180" s="28" t="str">
        <f>IF(ISNUMBER(MATCH(C3180, Mgt_Unit!$C$5:$C$1018, 0)), INDEX(Mgt_Unit!$B$5:$B$1018, MATCH(C3180, Mgt_Unit!$C$5:$C$1018, 0)), "")</f>
        <v>jennifer.moore</v>
      </c>
      <c r="C3180" t="s">
        <v>1067</v>
      </c>
      <c r="E3180" s="17" t="s">
        <v>1583</v>
      </c>
      <c r="F3180" s="89">
        <v>40252</v>
      </c>
      <c r="J3180" t="s">
        <v>1514</v>
      </c>
      <c r="K3180" s="120">
        <v>15</v>
      </c>
    </row>
    <row r="3181" spans="2:11" hidden="1" x14ac:dyDescent="0.25">
      <c r="B3181" s="28" t="str">
        <f>IF(ISNUMBER(MATCH(C3181, Mgt_Unit!$C$5:$C$1018, 0)), INDEX(Mgt_Unit!$B$5:$B$1018, MATCH(C3181, Mgt_Unit!$C$5:$C$1018, 0)), "")</f>
        <v>jennifer.moore</v>
      </c>
      <c r="C3181" t="s">
        <v>1067</v>
      </c>
      <c r="E3181" s="17" t="s">
        <v>1583</v>
      </c>
      <c r="F3181" s="89">
        <v>40253</v>
      </c>
      <c r="J3181" t="s">
        <v>1515</v>
      </c>
      <c r="K3181" s="120">
        <v>20</v>
      </c>
    </row>
    <row r="3182" spans="2:11" hidden="1" x14ac:dyDescent="0.25">
      <c r="B3182" s="28" t="str">
        <f>IF(ISNUMBER(MATCH(C3182, Mgt_Unit!$C$5:$C$1018, 0)), INDEX(Mgt_Unit!$B$5:$B$1018, MATCH(C3182, Mgt_Unit!$C$5:$C$1018, 0)), "")</f>
        <v>jennifer.moore</v>
      </c>
      <c r="C3182" t="s">
        <v>1067</v>
      </c>
      <c r="E3182" s="17" t="s">
        <v>1583</v>
      </c>
      <c r="F3182" s="89">
        <v>40253</v>
      </c>
      <c r="J3182" t="s">
        <v>1448</v>
      </c>
      <c r="K3182" s="120">
        <v>30</v>
      </c>
    </row>
    <row r="3183" spans="2:11" hidden="1" x14ac:dyDescent="0.25">
      <c r="B3183" s="28" t="str">
        <f>IF(ISNUMBER(MATCH(C3183, Mgt_Unit!$C$5:$C$1018, 0)), INDEX(Mgt_Unit!$B$5:$B$1018, MATCH(C3183, Mgt_Unit!$C$5:$C$1018, 0)), "")</f>
        <v>jennifer.moore</v>
      </c>
      <c r="C3183" t="s">
        <v>1067</v>
      </c>
      <c r="E3183" s="17" t="s">
        <v>1583</v>
      </c>
      <c r="F3183" s="89">
        <v>40328</v>
      </c>
      <c r="J3183" t="s">
        <v>1507</v>
      </c>
      <c r="K3183" s="120">
        <v>2</v>
      </c>
    </row>
    <row r="3184" spans="2:11" hidden="1" x14ac:dyDescent="0.25">
      <c r="B3184" s="28" t="str">
        <f>IF(ISNUMBER(MATCH(C3184, Mgt_Unit!$C$5:$C$1018, 0)), INDEX(Mgt_Unit!$B$5:$B$1018, MATCH(C3184, Mgt_Unit!$C$5:$C$1018, 0)), "")</f>
        <v>jennifer.moore</v>
      </c>
      <c r="C3184" t="s">
        <v>1067</v>
      </c>
      <c r="E3184" s="17" t="s">
        <v>1583</v>
      </c>
      <c r="F3184" s="89">
        <v>40363</v>
      </c>
      <c r="J3184" t="s">
        <v>1448</v>
      </c>
      <c r="K3184" s="120">
        <v>30</v>
      </c>
    </row>
    <row r="3185" spans="2:11" hidden="1" x14ac:dyDescent="0.25">
      <c r="B3185" s="28" t="str">
        <f>IF(ISNUMBER(MATCH(C3185, Mgt_Unit!$C$5:$C$1018, 0)), INDEX(Mgt_Unit!$B$5:$B$1018, MATCH(C3185, Mgt_Unit!$C$5:$C$1018, 0)), "")</f>
        <v>jennifer.moore</v>
      </c>
      <c r="C3185" t="s">
        <v>1067</v>
      </c>
      <c r="E3185" s="17" t="s">
        <v>1583</v>
      </c>
      <c r="F3185" s="89">
        <v>40391</v>
      </c>
      <c r="J3185" t="s">
        <v>1508</v>
      </c>
      <c r="K3185" s="120">
        <v>17</v>
      </c>
    </row>
    <row r="3186" spans="2:11" hidden="1" x14ac:dyDescent="0.25">
      <c r="B3186" s="28" t="str">
        <f>IF(ISNUMBER(MATCH(C3186, Mgt_Unit!$C$5:$C$1018, 0)), INDEX(Mgt_Unit!$B$5:$B$1018, MATCH(C3186, Mgt_Unit!$C$5:$C$1018, 0)), "")</f>
        <v>jennifer.moore</v>
      </c>
      <c r="C3186" t="s">
        <v>1067</v>
      </c>
      <c r="E3186" s="17" t="s">
        <v>1584</v>
      </c>
      <c r="F3186" s="89">
        <v>40410</v>
      </c>
      <c r="J3186" t="s">
        <v>1498</v>
      </c>
      <c r="K3186" s="120">
        <v>24</v>
      </c>
    </row>
    <row r="3187" spans="2:11" hidden="1" x14ac:dyDescent="0.25">
      <c r="B3187" s="28" t="str">
        <f>IF(ISNUMBER(MATCH(C3187, Mgt_Unit!$C$5:$C$1018, 0)), INDEX(Mgt_Unit!$B$5:$B$1018, MATCH(C3187, Mgt_Unit!$C$5:$C$1018, 0)), "")</f>
        <v>jennifer.moore</v>
      </c>
      <c r="C3187" t="s">
        <v>1067</v>
      </c>
      <c r="E3187" s="17" t="s">
        <v>1583</v>
      </c>
      <c r="F3187" s="89">
        <v>40765</v>
      </c>
      <c r="J3187" t="s">
        <v>1516</v>
      </c>
      <c r="K3187" s="120">
        <v>0.28999999999999998</v>
      </c>
    </row>
    <row r="3188" spans="2:11" hidden="1" x14ac:dyDescent="0.25">
      <c r="B3188" s="28" t="str">
        <f>IF(ISNUMBER(MATCH(C3188, Mgt_Unit!$C$5:$C$1018, 0)), INDEX(Mgt_Unit!$B$5:$B$1018, MATCH(C3188, Mgt_Unit!$C$5:$C$1018, 0)), "")</f>
        <v>jennifer.moore</v>
      </c>
      <c r="C3188" t="s">
        <v>1067</v>
      </c>
      <c r="E3188" s="17" t="s">
        <v>1584</v>
      </c>
      <c r="F3188" s="89">
        <v>41141</v>
      </c>
      <c r="J3188" t="s">
        <v>1498</v>
      </c>
      <c r="K3188" s="120">
        <v>24</v>
      </c>
    </row>
    <row r="3189" spans="2:11" hidden="1" x14ac:dyDescent="0.25">
      <c r="B3189" s="28" t="str">
        <f>IF(ISNUMBER(MATCH(C3189, Mgt_Unit!$C$5:$C$1018, 0)), INDEX(Mgt_Unit!$B$5:$B$1018, MATCH(C3189, Mgt_Unit!$C$5:$C$1018, 0)), "")</f>
        <v>jennifer.moore</v>
      </c>
      <c r="C3189" t="s">
        <v>1067</v>
      </c>
      <c r="E3189" s="17" t="s">
        <v>1584</v>
      </c>
      <c r="F3189" s="89">
        <v>41749</v>
      </c>
      <c r="J3189" t="s">
        <v>1498</v>
      </c>
      <c r="K3189" s="120">
        <v>24</v>
      </c>
    </row>
    <row r="3190" spans="2:11" hidden="1" x14ac:dyDescent="0.25">
      <c r="B3190" s="28" t="str">
        <f>IF(ISNUMBER(MATCH(C3190, Mgt_Unit!$C$5:$C$1018, 0)), INDEX(Mgt_Unit!$B$5:$B$1018, MATCH(C3190, Mgt_Unit!$C$5:$C$1018, 0)), "")</f>
        <v>jennifer.moore</v>
      </c>
      <c r="C3190" t="s">
        <v>1067</v>
      </c>
      <c r="E3190" s="17" t="s">
        <v>1583</v>
      </c>
      <c r="F3190" s="89">
        <v>42210</v>
      </c>
      <c r="J3190" t="s">
        <v>1516</v>
      </c>
      <c r="K3190" s="120">
        <v>0.28999999999999998</v>
      </c>
    </row>
    <row r="3191" spans="2:11" hidden="1" x14ac:dyDescent="0.25">
      <c r="B3191" s="28" t="str">
        <f>IF(ISNUMBER(MATCH(C3191, Mgt_Unit!$C$5:$C$1018, 0)), INDEX(Mgt_Unit!$B$5:$B$1018, MATCH(C3191, Mgt_Unit!$C$5:$C$1018, 0)), "")</f>
        <v>jennifer.moore</v>
      </c>
      <c r="C3191" t="s">
        <v>1067</v>
      </c>
      <c r="E3191" s="17" t="s">
        <v>1584</v>
      </c>
      <c r="F3191" s="89">
        <v>42236</v>
      </c>
      <c r="J3191" t="s">
        <v>1517</v>
      </c>
      <c r="K3191" s="120">
        <v>27</v>
      </c>
    </row>
    <row r="3192" spans="2:11" hidden="1" x14ac:dyDescent="0.25">
      <c r="B3192" s="28" t="str">
        <f>IF(ISNUMBER(MATCH(C3192, Mgt_Unit!$C$5:$C$1018, 0)), INDEX(Mgt_Unit!$B$5:$B$1018, MATCH(C3192, Mgt_Unit!$C$5:$C$1018, 0)), "")</f>
        <v>jennifer.moore</v>
      </c>
      <c r="C3192" t="s">
        <v>1067</v>
      </c>
      <c r="E3192" s="17" t="s">
        <v>1583</v>
      </c>
      <c r="F3192" s="89">
        <v>43575</v>
      </c>
      <c r="J3192" t="s">
        <v>1516</v>
      </c>
      <c r="K3192" s="120">
        <v>0.28999999999999998</v>
      </c>
    </row>
    <row r="3193" spans="2:11" hidden="1" x14ac:dyDescent="0.25">
      <c r="B3193" s="28" t="str">
        <f>IF(ISNUMBER(MATCH(C3193, Mgt_Unit!$C$5:$C$1018, 0)), INDEX(Mgt_Unit!$B$5:$B$1018, MATCH(C3193, Mgt_Unit!$C$5:$C$1018, 0)), "")</f>
        <v>jennifer.moore</v>
      </c>
      <c r="C3193" t="s">
        <v>1067</v>
      </c>
      <c r="E3193" s="17" t="s">
        <v>1584</v>
      </c>
      <c r="F3193" s="89">
        <v>43600</v>
      </c>
      <c r="J3193" t="s">
        <v>1498</v>
      </c>
      <c r="K3193" s="120">
        <v>24</v>
      </c>
    </row>
    <row r="3194" spans="2:11" hidden="1" x14ac:dyDescent="0.25">
      <c r="B3194" s="28" t="str">
        <f>IF(ISNUMBER(MATCH(C3194, Mgt_Unit!$C$5:$C$1018, 0)), INDEX(Mgt_Unit!$B$5:$B$1018, MATCH(C3194, Mgt_Unit!$C$5:$C$1018, 0)), "")</f>
        <v>jennifer.moore</v>
      </c>
      <c r="C3194" t="s">
        <v>1068</v>
      </c>
      <c r="E3194" s="17" t="s">
        <v>1583</v>
      </c>
      <c r="F3194" s="89">
        <v>40252</v>
      </c>
      <c r="J3194" t="s">
        <v>1514</v>
      </c>
      <c r="K3194" s="120">
        <v>15</v>
      </c>
    </row>
    <row r="3195" spans="2:11" hidden="1" x14ac:dyDescent="0.25">
      <c r="B3195" s="28" t="str">
        <f>IF(ISNUMBER(MATCH(C3195, Mgt_Unit!$C$5:$C$1018, 0)), INDEX(Mgt_Unit!$B$5:$B$1018, MATCH(C3195, Mgt_Unit!$C$5:$C$1018, 0)), "")</f>
        <v>jennifer.moore</v>
      </c>
      <c r="C3195" t="s">
        <v>1068</v>
      </c>
      <c r="E3195" s="17" t="s">
        <v>1583</v>
      </c>
      <c r="F3195" s="89">
        <v>40253</v>
      </c>
      <c r="J3195" t="s">
        <v>1515</v>
      </c>
      <c r="K3195" s="120">
        <v>20</v>
      </c>
    </row>
    <row r="3196" spans="2:11" hidden="1" x14ac:dyDescent="0.25">
      <c r="B3196" s="28" t="str">
        <f>IF(ISNUMBER(MATCH(C3196, Mgt_Unit!$C$5:$C$1018, 0)), INDEX(Mgt_Unit!$B$5:$B$1018, MATCH(C3196, Mgt_Unit!$C$5:$C$1018, 0)), "")</f>
        <v>jennifer.moore</v>
      </c>
      <c r="C3196" t="s">
        <v>1068</v>
      </c>
      <c r="E3196" s="17" t="s">
        <v>1583</v>
      </c>
      <c r="F3196" s="89">
        <v>40253</v>
      </c>
      <c r="J3196" t="s">
        <v>1448</v>
      </c>
      <c r="K3196" s="120">
        <v>30</v>
      </c>
    </row>
    <row r="3197" spans="2:11" hidden="1" x14ac:dyDescent="0.25">
      <c r="B3197" s="28" t="str">
        <f>IF(ISNUMBER(MATCH(C3197, Mgt_Unit!$C$5:$C$1018, 0)), INDEX(Mgt_Unit!$B$5:$B$1018, MATCH(C3197, Mgt_Unit!$C$5:$C$1018, 0)), "")</f>
        <v>jennifer.moore</v>
      </c>
      <c r="C3197" t="s">
        <v>1068</v>
      </c>
      <c r="E3197" s="17" t="s">
        <v>1583</v>
      </c>
      <c r="F3197" s="89">
        <v>40328</v>
      </c>
      <c r="J3197" t="s">
        <v>1507</v>
      </c>
      <c r="K3197" s="120">
        <v>2</v>
      </c>
    </row>
    <row r="3198" spans="2:11" hidden="1" x14ac:dyDescent="0.25">
      <c r="B3198" s="28" t="str">
        <f>IF(ISNUMBER(MATCH(C3198, Mgt_Unit!$C$5:$C$1018, 0)), INDEX(Mgt_Unit!$B$5:$B$1018, MATCH(C3198, Mgt_Unit!$C$5:$C$1018, 0)), "")</f>
        <v>jennifer.moore</v>
      </c>
      <c r="C3198" t="s">
        <v>1068</v>
      </c>
      <c r="E3198" s="17" t="s">
        <v>1583</v>
      </c>
      <c r="F3198" s="89">
        <v>40363</v>
      </c>
      <c r="J3198" t="s">
        <v>1448</v>
      </c>
      <c r="K3198" s="120">
        <v>30</v>
      </c>
    </row>
    <row r="3199" spans="2:11" hidden="1" x14ac:dyDescent="0.25">
      <c r="B3199" s="28" t="str">
        <f>IF(ISNUMBER(MATCH(C3199, Mgt_Unit!$C$5:$C$1018, 0)), INDEX(Mgt_Unit!$B$5:$B$1018, MATCH(C3199, Mgt_Unit!$C$5:$C$1018, 0)), "")</f>
        <v>jennifer.moore</v>
      </c>
      <c r="C3199" t="s">
        <v>1068</v>
      </c>
      <c r="E3199" s="17" t="s">
        <v>1583</v>
      </c>
      <c r="F3199" s="89">
        <v>40391</v>
      </c>
      <c r="J3199" t="s">
        <v>1508</v>
      </c>
      <c r="K3199" s="120">
        <v>17</v>
      </c>
    </row>
    <row r="3200" spans="2:11" hidden="1" x14ac:dyDescent="0.25">
      <c r="B3200" s="28" t="str">
        <f>IF(ISNUMBER(MATCH(C3200, Mgt_Unit!$C$5:$C$1018, 0)), INDEX(Mgt_Unit!$B$5:$B$1018, MATCH(C3200, Mgt_Unit!$C$5:$C$1018, 0)), "")</f>
        <v>jennifer.moore</v>
      </c>
      <c r="C3200" t="s">
        <v>1068</v>
      </c>
      <c r="E3200" s="17" t="s">
        <v>1584</v>
      </c>
      <c r="F3200" s="89">
        <v>40410</v>
      </c>
      <c r="J3200" t="s">
        <v>1498</v>
      </c>
      <c r="K3200" s="120">
        <v>24</v>
      </c>
    </row>
    <row r="3201" spans="2:11" hidden="1" x14ac:dyDescent="0.25">
      <c r="B3201" s="28" t="str">
        <f>IF(ISNUMBER(MATCH(C3201, Mgt_Unit!$C$5:$C$1018, 0)), INDEX(Mgt_Unit!$B$5:$B$1018, MATCH(C3201, Mgt_Unit!$C$5:$C$1018, 0)), "")</f>
        <v>jennifer.moore</v>
      </c>
      <c r="C3201" t="s">
        <v>1068</v>
      </c>
      <c r="E3201" s="17" t="s">
        <v>1583</v>
      </c>
      <c r="F3201" s="89">
        <v>40765</v>
      </c>
      <c r="J3201" t="s">
        <v>1516</v>
      </c>
      <c r="K3201" s="120">
        <v>0.28999999999999998</v>
      </c>
    </row>
    <row r="3202" spans="2:11" hidden="1" x14ac:dyDescent="0.25">
      <c r="B3202" s="28" t="str">
        <f>IF(ISNUMBER(MATCH(C3202, Mgt_Unit!$C$5:$C$1018, 0)), INDEX(Mgt_Unit!$B$5:$B$1018, MATCH(C3202, Mgt_Unit!$C$5:$C$1018, 0)), "")</f>
        <v>jennifer.moore</v>
      </c>
      <c r="C3202" t="s">
        <v>1068</v>
      </c>
      <c r="E3202" s="17" t="s">
        <v>1584</v>
      </c>
      <c r="F3202" s="89">
        <v>41141</v>
      </c>
      <c r="J3202" t="s">
        <v>1498</v>
      </c>
      <c r="K3202" s="120">
        <v>24</v>
      </c>
    </row>
    <row r="3203" spans="2:11" hidden="1" x14ac:dyDescent="0.25">
      <c r="B3203" s="28" t="str">
        <f>IF(ISNUMBER(MATCH(C3203, Mgt_Unit!$C$5:$C$1018, 0)), INDEX(Mgt_Unit!$B$5:$B$1018, MATCH(C3203, Mgt_Unit!$C$5:$C$1018, 0)), "")</f>
        <v>jennifer.moore</v>
      </c>
      <c r="C3203" t="s">
        <v>1068</v>
      </c>
      <c r="E3203" s="17" t="s">
        <v>1584</v>
      </c>
      <c r="F3203" s="89">
        <v>41749</v>
      </c>
      <c r="J3203" t="s">
        <v>1498</v>
      </c>
      <c r="K3203" s="120">
        <v>24</v>
      </c>
    </row>
    <row r="3204" spans="2:11" hidden="1" x14ac:dyDescent="0.25">
      <c r="B3204" s="28" t="str">
        <f>IF(ISNUMBER(MATCH(C3204, Mgt_Unit!$C$5:$C$1018, 0)), INDEX(Mgt_Unit!$B$5:$B$1018, MATCH(C3204, Mgt_Unit!$C$5:$C$1018, 0)), "")</f>
        <v>jennifer.moore</v>
      </c>
      <c r="C3204" t="s">
        <v>1068</v>
      </c>
      <c r="E3204" s="17" t="s">
        <v>1583</v>
      </c>
      <c r="F3204" s="89">
        <v>42210</v>
      </c>
      <c r="J3204" t="s">
        <v>1516</v>
      </c>
      <c r="K3204" s="120">
        <v>0.28999999999999998</v>
      </c>
    </row>
    <row r="3205" spans="2:11" hidden="1" x14ac:dyDescent="0.25">
      <c r="B3205" s="28" t="str">
        <f>IF(ISNUMBER(MATCH(C3205, Mgt_Unit!$C$5:$C$1018, 0)), INDEX(Mgt_Unit!$B$5:$B$1018, MATCH(C3205, Mgt_Unit!$C$5:$C$1018, 0)), "")</f>
        <v>jennifer.moore</v>
      </c>
      <c r="C3205" t="s">
        <v>1068</v>
      </c>
      <c r="E3205" s="17" t="s">
        <v>1584</v>
      </c>
      <c r="F3205" s="89">
        <v>42236</v>
      </c>
      <c r="J3205" t="s">
        <v>1498</v>
      </c>
      <c r="K3205" s="120">
        <v>24</v>
      </c>
    </row>
    <row r="3206" spans="2:11" hidden="1" x14ac:dyDescent="0.25">
      <c r="B3206" s="28" t="str">
        <f>IF(ISNUMBER(MATCH(C3206, Mgt_Unit!$C$5:$C$1018, 0)), INDEX(Mgt_Unit!$B$5:$B$1018, MATCH(C3206, Mgt_Unit!$C$5:$C$1018, 0)), "")</f>
        <v>jennifer.moore</v>
      </c>
      <c r="C3206" t="s">
        <v>1068</v>
      </c>
      <c r="E3206" s="17" t="s">
        <v>1583</v>
      </c>
      <c r="F3206" s="89">
        <v>43575</v>
      </c>
      <c r="J3206" t="s">
        <v>1516</v>
      </c>
      <c r="K3206" s="120">
        <v>0.28999999999999998</v>
      </c>
    </row>
    <row r="3207" spans="2:11" hidden="1" x14ac:dyDescent="0.25">
      <c r="B3207" s="28" t="str">
        <f>IF(ISNUMBER(MATCH(C3207, Mgt_Unit!$C$5:$C$1018, 0)), INDEX(Mgt_Unit!$B$5:$B$1018, MATCH(C3207, Mgt_Unit!$C$5:$C$1018, 0)), "")</f>
        <v>jennifer.moore</v>
      </c>
      <c r="C3207" t="s">
        <v>1068</v>
      </c>
      <c r="E3207" s="17" t="s">
        <v>1584</v>
      </c>
      <c r="F3207" s="89">
        <v>43600</v>
      </c>
      <c r="J3207" t="s">
        <v>1498</v>
      </c>
      <c r="K3207" s="120">
        <v>24</v>
      </c>
    </row>
    <row r="3208" spans="2:11" hidden="1" x14ac:dyDescent="0.25">
      <c r="B3208" s="28" t="str">
        <f>IF(ISNUMBER(MATCH(C3208, Mgt_Unit!$C$5:$C$1018, 0)), INDEX(Mgt_Unit!$B$5:$B$1018, MATCH(C3208, Mgt_Unit!$C$5:$C$1018, 0)), "")</f>
        <v>jennifer.moore</v>
      </c>
      <c r="C3208" t="s">
        <v>1069</v>
      </c>
      <c r="E3208" s="17" t="s">
        <v>1583</v>
      </c>
      <c r="F3208" s="89">
        <v>40252</v>
      </c>
      <c r="J3208" t="s">
        <v>1514</v>
      </c>
      <c r="K3208" s="120">
        <v>15</v>
      </c>
    </row>
    <row r="3209" spans="2:11" hidden="1" x14ac:dyDescent="0.25">
      <c r="B3209" s="28" t="str">
        <f>IF(ISNUMBER(MATCH(C3209, Mgt_Unit!$C$5:$C$1018, 0)), INDEX(Mgt_Unit!$B$5:$B$1018, MATCH(C3209, Mgt_Unit!$C$5:$C$1018, 0)), "")</f>
        <v>jennifer.moore</v>
      </c>
      <c r="C3209" t="s">
        <v>1069</v>
      </c>
      <c r="E3209" s="17" t="s">
        <v>1583</v>
      </c>
      <c r="F3209" s="89">
        <v>40253</v>
      </c>
      <c r="J3209" t="s">
        <v>1515</v>
      </c>
      <c r="K3209" s="120">
        <v>20</v>
      </c>
    </row>
    <row r="3210" spans="2:11" hidden="1" x14ac:dyDescent="0.25">
      <c r="B3210" s="28" t="str">
        <f>IF(ISNUMBER(MATCH(C3210, Mgt_Unit!$C$5:$C$1018, 0)), INDEX(Mgt_Unit!$B$5:$B$1018, MATCH(C3210, Mgt_Unit!$C$5:$C$1018, 0)), "")</f>
        <v>jennifer.moore</v>
      </c>
      <c r="C3210" t="s">
        <v>1069</v>
      </c>
      <c r="E3210" s="17" t="s">
        <v>1583</v>
      </c>
      <c r="F3210" s="89">
        <v>40253</v>
      </c>
      <c r="J3210" t="s">
        <v>1448</v>
      </c>
      <c r="K3210" s="120">
        <v>30</v>
      </c>
    </row>
    <row r="3211" spans="2:11" hidden="1" x14ac:dyDescent="0.25">
      <c r="B3211" s="28" t="str">
        <f>IF(ISNUMBER(MATCH(C3211, Mgt_Unit!$C$5:$C$1018, 0)), INDEX(Mgt_Unit!$B$5:$B$1018, MATCH(C3211, Mgt_Unit!$C$5:$C$1018, 0)), "")</f>
        <v>jennifer.moore</v>
      </c>
      <c r="C3211" t="s">
        <v>1069</v>
      </c>
      <c r="E3211" s="17" t="s">
        <v>1583</v>
      </c>
      <c r="F3211" s="89">
        <v>40328</v>
      </c>
      <c r="J3211" t="s">
        <v>1507</v>
      </c>
      <c r="K3211" s="120">
        <v>2</v>
      </c>
    </row>
    <row r="3212" spans="2:11" hidden="1" x14ac:dyDescent="0.25">
      <c r="B3212" s="28" t="str">
        <f>IF(ISNUMBER(MATCH(C3212, Mgt_Unit!$C$5:$C$1018, 0)), INDEX(Mgt_Unit!$B$5:$B$1018, MATCH(C3212, Mgt_Unit!$C$5:$C$1018, 0)), "")</f>
        <v>jennifer.moore</v>
      </c>
      <c r="C3212" t="s">
        <v>1069</v>
      </c>
      <c r="E3212" s="17" t="s">
        <v>1583</v>
      </c>
      <c r="F3212" s="89">
        <v>40363</v>
      </c>
      <c r="J3212" t="s">
        <v>1448</v>
      </c>
      <c r="K3212" s="120">
        <v>30</v>
      </c>
    </row>
    <row r="3213" spans="2:11" hidden="1" x14ac:dyDescent="0.25">
      <c r="B3213" s="28" t="str">
        <f>IF(ISNUMBER(MATCH(C3213, Mgt_Unit!$C$5:$C$1018, 0)), INDEX(Mgt_Unit!$B$5:$B$1018, MATCH(C3213, Mgt_Unit!$C$5:$C$1018, 0)), "")</f>
        <v>jennifer.moore</v>
      </c>
      <c r="C3213" t="s">
        <v>1069</v>
      </c>
      <c r="E3213" s="17" t="s">
        <v>1583</v>
      </c>
      <c r="F3213" s="89">
        <v>40391</v>
      </c>
      <c r="J3213" t="s">
        <v>1508</v>
      </c>
      <c r="K3213" s="120">
        <v>17</v>
      </c>
    </row>
    <row r="3214" spans="2:11" hidden="1" x14ac:dyDescent="0.25">
      <c r="B3214" s="28" t="str">
        <f>IF(ISNUMBER(MATCH(C3214, Mgt_Unit!$C$5:$C$1018, 0)), INDEX(Mgt_Unit!$B$5:$B$1018, MATCH(C3214, Mgt_Unit!$C$5:$C$1018, 0)), "")</f>
        <v>jennifer.moore</v>
      </c>
      <c r="C3214" t="s">
        <v>1069</v>
      </c>
      <c r="E3214" s="17" t="s">
        <v>1584</v>
      </c>
      <c r="F3214" s="89">
        <v>40410</v>
      </c>
      <c r="J3214" t="s">
        <v>1498</v>
      </c>
      <c r="K3214" s="120">
        <v>24</v>
      </c>
    </row>
    <row r="3215" spans="2:11" hidden="1" x14ac:dyDescent="0.25">
      <c r="B3215" s="28" t="str">
        <f>IF(ISNUMBER(MATCH(C3215, Mgt_Unit!$C$5:$C$1018, 0)), INDEX(Mgt_Unit!$B$5:$B$1018, MATCH(C3215, Mgt_Unit!$C$5:$C$1018, 0)), "")</f>
        <v>jennifer.moore</v>
      </c>
      <c r="C3215" t="s">
        <v>1069</v>
      </c>
      <c r="E3215" s="17" t="s">
        <v>1584</v>
      </c>
      <c r="F3215" s="89">
        <v>41141</v>
      </c>
      <c r="J3215" t="s">
        <v>1498</v>
      </c>
      <c r="K3215" s="120">
        <v>24</v>
      </c>
    </row>
    <row r="3216" spans="2:11" hidden="1" x14ac:dyDescent="0.25">
      <c r="B3216" s="28" t="str">
        <f>IF(ISNUMBER(MATCH(C3216, Mgt_Unit!$C$5:$C$1018, 0)), INDEX(Mgt_Unit!$B$5:$B$1018, MATCH(C3216, Mgt_Unit!$C$5:$C$1018, 0)), "")</f>
        <v>jennifer.moore</v>
      </c>
      <c r="C3216" t="s">
        <v>1069</v>
      </c>
      <c r="E3216" s="17" t="s">
        <v>1584</v>
      </c>
      <c r="F3216" s="89">
        <v>41749</v>
      </c>
      <c r="J3216" t="s">
        <v>1498</v>
      </c>
      <c r="K3216" s="120">
        <v>24</v>
      </c>
    </row>
    <row r="3217" spans="2:11" hidden="1" x14ac:dyDescent="0.25">
      <c r="B3217" s="28" t="str">
        <f>IF(ISNUMBER(MATCH(C3217, Mgt_Unit!$C$5:$C$1018, 0)), INDEX(Mgt_Unit!$B$5:$B$1018, MATCH(C3217, Mgt_Unit!$C$5:$C$1018, 0)), "")</f>
        <v>jennifer.moore</v>
      </c>
      <c r="C3217" t="s">
        <v>1069</v>
      </c>
      <c r="E3217" s="17" t="s">
        <v>1584</v>
      </c>
      <c r="F3217" s="89">
        <v>42236</v>
      </c>
      <c r="J3217" t="s">
        <v>1517</v>
      </c>
      <c r="K3217" s="120">
        <v>27</v>
      </c>
    </row>
    <row r="3218" spans="2:11" hidden="1" x14ac:dyDescent="0.25">
      <c r="B3218" s="28" t="str">
        <f>IF(ISNUMBER(MATCH(C3218, Mgt_Unit!$C$5:$C$1018, 0)), INDEX(Mgt_Unit!$B$5:$B$1018, MATCH(C3218, Mgt_Unit!$C$5:$C$1018, 0)), "")</f>
        <v>jennifer.moore</v>
      </c>
      <c r="C3218" t="s">
        <v>1069</v>
      </c>
      <c r="E3218" s="17" t="s">
        <v>1584</v>
      </c>
      <c r="F3218" s="89">
        <v>43600</v>
      </c>
      <c r="J3218" t="s">
        <v>1517</v>
      </c>
      <c r="K3218" s="120">
        <v>27</v>
      </c>
    </row>
    <row r="3219" spans="2:11" hidden="1" x14ac:dyDescent="0.25">
      <c r="B3219" s="28" t="str">
        <f>IF(ISNUMBER(MATCH(C3219, Mgt_Unit!$C$5:$C$1018, 0)), INDEX(Mgt_Unit!$B$5:$B$1018, MATCH(C3219, Mgt_Unit!$C$5:$C$1018, 0)), "")</f>
        <v>jennifer.moore</v>
      </c>
      <c r="C3219" t="s">
        <v>1070</v>
      </c>
      <c r="E3219" s="17" t="s">
        <v>1583</v>
      </c>
      <c r="F3219" s="89">
        <v>40252</v>
      </c>
      <c r="J3219" t="s">
        <v>1514</v>
      </c>
      <c r="K3219" s="120">
        <v>15</v>
      </c>
    </row>
    <row r="3220" spans="2:11" hidden="1" x14ac:dyDescent="0.25">
      <c r="B3220" s="28" t="str">
        <f>IF(ISNUMBER(MATCH(C3220, Mgt_Unit!$C$5:$C$1018, 0)), INDEX(Mgt_Unit!$B$5:$B$1018, MATCH(C3220, Mgt_Unit!$C$5:$C$1018, 0)), "")</f>
        <v>jennifer.moore</v>
      </c>
      <c r="C3220" t="s">
        <v>1070</v>
      </c>
      <c r="E3220" s="17" t="s">
        <v>1583</v>
      </c>
      <c r="F3220" s="89">
        <v>40253</v>
      </c>
      <c r="J3220" t="s">
        <v>1515</v>
      </c>
      <c r="K3220" s="120">
        <v>20</v>
      </c>
    </row>
    <row r="3221" spans="2:11" hidden="1" x14ac:dyDescent="0.25">
      <c r="B3221" s="28" t="str">
        <f>IF(ISNUMBER(MATCH(C3221, Mgt_Unit!$C$5:$C$1018, 0)), INDEX(Mgt_Unit!$B$5:$B$1018, MATCH(C3221, Mgt_Unit!$C$5:$C$1018, 0)), "")</f>
        <v>jennifer.moore</v>
      </c>
      <c r="C3221" t="s">
        <v>1070</v>
      </c>
      <c r="E3221" s="17" t="s">
        <v>1583</v>
      </c>
      <c r="F3221" s="89">
        <v>40253</v>
      </c>
      <c r="J3221" t="s">
        <v>1448</v>
      </c>
      <c r="K3221" s="120">
        <v>30</v>
      </c>
    </row>
    <row r="3222" spans="2:11" hidden="1" x14ac:dyDescent="0.25">
      <c r="B3222" s="28" t="str">
        <f>IF(ISNUMBER(MATCH(C3222, Mgt_Unit!$C$5:$C$1018, 0)), INDEX(Mgt_Unit!$B$5:$B$1018, MATCH(C3222, Mgt_Unit!$C$5:$C$1018, 0)), "")</f>
        <v>jennifer.moore</v>
      </c>
      <c r="C3222" t="s">
        <v>1070</v>
      </c>
      <c r="E3222" s="17" t="s">
        <v>1583</v>
      </c>
      <c r="F3222" s="89">
        <v>40328</v>
      </c>
      <c r="J3222" t="s">
        <v>1507</v>
      </c>
      <c r="K3222" s="120">
        <v>2</v>
      </c>
    </row>
    <row r="3223" spans="2:11" hidden="1" x14ac:dyDescent="0.25">
      <c r="B3223" s="28" t="str">
        <f>IF(ISNUMBER(MATCH(C3223, Mgt_Unit!$C$5:$C$1018, 0)), INDEX(Mgt_Unit!$B$5:$B$1018, MATCH(C3223, Mgt_Unit!$C$5:$C$1018, 0)), "")</f>
        <v>jennifer.moore</v>
      </c>
      <c r="C3223" t="s">
        <v>1070</v>
      </c>
      <c r="E3223" s="17" t="s">
        <v>1583</v>
      </c>
      <c r="F3223" s="89">
        <v>40363</v>
      </c>
      <c r="J3223" t="s">
        <v>1448</v>
      </c>
      <c r="K3223" s="120">
        <v>30</v>
      </c>
    </row>
    <row r="3224" spans="2:11" hidden="1" x14ac:dyDescent="0.25">
      <c r="B3224" s="28" t="str">
        <f>IF(ISNUMBER(MATCH(C3224, Mgt_Unit!$C$5:$C$1018, 0)), INDEX(Mgt_Unit!$B$5:$B$1018, MATCH(C3224, Mgt_Unit!$C$5:$C$1018, 0)), "")</f>
        <v>jennifer.moore</v>
      </c>
      <c r="C3224" t="s">
        <v>1070</v>
      </c>
      <c r="E3224" s="17" t="s">
        <v>1583</v>
      </c>
      <c r="F3224" s="89">
        <v>40391</v>
      </c>
      <c r="J3224" t="s">
        <v>1508</v>
      </c>
      <c r="K3224" s="120">
        <v>17</v>
      </c>
    </row>
    <row r="3225" spans="2:11" hidden="1" x14ac:dyDescent="0.25">
      <c r="B3225" s="28" t="str">
        <f>IF(ISNUMBER(MATCH(C3225, Mgt_Unit!$C$5:$C$1018, 0)), INDEX(Mgt_Unit!$B$5:$B$1018, MATCH(C3225, Mgt_Unit!$C$5:$C$1018, 0)), "")</f>
        <v>jennifer.moore</v>
      </c>
      <c r="C3225" t="s">
        <v>1070</v>
      </c>
      <c r="E3225" s="17" t="s">
        <v>1584</v>
      </c>
      <c r="F3225" s="89">
        <v>40410</v>
      </c>
      <c r="J3225" t="s">
        <v>1498</v>
      </c>
      <c r="K3225" s="120">
        <v>24</v>
      </c>
    </row>
    <row r="3226" spans="2:11" hidden="1" x14ac:dyDescent="0.25">
      <c r="B3226" s="28" t="str">
        <f>IF(ISNUMBER(MATCH(C3226, Mgt_Unit!$C$5:$C$1018, 0)), INDEX(Mgt_Unit!$B$5:$B$1018, MATCH(C3226, Mgt_Unit!$C$5:$C$1018, 0)), "")</f>
        <v>jennifer.moore</v>
      </c>
      <c r="C3226" t="s">
        <v>1070</v>
      </c>
      <c r="E3226" s="17" t="s">
        <v>1584</v>
      </c>
      <c r="F3226" s="89">
        <v>41141</v>
      </c>
      <c r="J3226" t="s">
        <v>1517</v>
      </c>
      <c r="K3226" s="120">
        <v>27</v>
      </c>
    </row>
    <row r="3227" spans="2:11" hidden="1" x14ac:dyDescent="0.25">
      <c r="B3227" s="28" t="str">
        <f>IF(ISNUMBER(MATCH(C3227, Mgt_Unit!$C$5:$C$1018, 0)), INDEX(Mgt_Unit!$B$5:$B$1018, MATCH(C3227, Mgt_Unit!$C$5:$C$1018, 0)), "")</f>
        <v>jennifer.moore</v>
      </c>
      <c r="C3227" t="s">
        <v>1070</v>
      </c>
      <c r="E3227" s="17" t="s">
        <v>1583</v>
      </c>
      <c r="F3227" s="89">
        <v>41141</v>
      </c>
      <c r="J3227" t="s">
        <v>1498</v>
      </c>
      <c r="K3227" s="120">
        <v>24</v>
      </c>
    </row>
    <row r="3228" spans="2:11" hidden="1" x14ac:dyDescent="0.25">
      <c r="B3228" s="28" t="str">
        <f>IF(ISNUMBER(MATCH(C3228, Mgt_Unit!$C$5:$C$1018, 0)), INDEX(Mgt_Unit!$B$5:$B$1018, MATCH(C3228, Mgt_Unit!$C$5:$C$1018, 0)), "")</f>
        <v>jennifer.moore</v>
      </c>
      <c r="C3228" t="s">
        <v>1070</v>
      </c>
      <c r="E3228" s="17" t="s">
        <v>1584</v>
      </c>
      <c r="F3228" s="89">
        <v>41749</v>
      </c>
      <c r="J3228" t="s">
        <v>1498</v>
      </c>
      <c r="K3228" s="120">
        <v>24</v>
      </c>
    </row>
    <row r="3229" spans="2:11" hidden="1" x14ac:dyDescent="0.25">
      <c r="B3229" s="28" t="str">
        <f>IF(ISNUMBER(MATCH(C3229, Mgt_Unit!$C$5:$C$1018, 0)), INDEX(Mgt_Unit!$B$5:$B$1018, MATCH(C3229, Mgt_Unit!$C$5:$C$1018, 0)), "")</f>
        <v>jennifer.moore</v>
      </c>
      <c r="C3229" t="s">
        <v>1070</v>
      </c>
      <c r="E3229" s="17" t="s">
        <v>1584</v>
      </c>
      <c r="F3229" s="89">
        <v>42236</v>
      </c>
      <c r="J3229" t="s">
        <v>1498</v>
      </c>
      <c r="K3229" s="120">
        <v>24</v>
      </c>
    </row>
    <row r="3230" spans="2:11" hidden="1" x14ac:dyDescent="0.25">
      <c r="B3230" s="28" t="str">
        <f>IF(ISNUMBER(MATCH(C3230, Mgt_Unit!$C$5:$C$1018, 0)), INDEX(Mgt_Unit!$B$5:$B$1018, MATCH(C3230, Mgt_Unit!$C$5:$C$1018, 0)), "")</f>
        <v>jennifer.moore</v>
      </c>
      <c r="C3230" t="s">
        <v>1070</v>
      </c>
      <c r="E3230" s="17" t="s">
        <v>1583</v>
      </c>
      <c r="F3230" s="89">
        <v>42236</v>
      </c>
      <c r="J3230" t="s">
        <v>1517</v>
      </c>
      <c r="K3230" s="120">
        <v>27</v>
      </c>
    </row>
    <row r="3231" spans="2:11" hidden="1" x14ac:dyDescent="0.25">
      <c r="B3231" s="28" t="str">
        <f>IF(ISNUMBER(MATCH(C3231, Mgt_Unit!$C$5:$C$1018, 0)), INDEX(Mgt_Unit!$B$5:$B$1018, MATCH(C3231, Mgt_Unit!$C$5:$C$1018, 0)), "")</f>
        <v>jennifer.moore</v>
      </c>
      <c r="C3231" t="s">
        <v>1070</v>
      </c>
      <c r="E3231" s="17" t="s">
        <v>1584</v>
      </c>
      <c r="F3231" s="89">
        <v>43600</v>
      </c>
      <c r="J3231" t="s">
        <v>1517</v>
      </c>
      <c r="K3231" s="120">
        <v>27</v>
      </c>
    </row>
    <row r="3232" spans="2:11" hidden="1" x14ac:dyDescent="0.25">
      <c r="B3232" s="28" t="str">
        <f>IF(ISNUMBER(MATCH(C3232, Mgt_Unit!$C$5:$C$1018, 0)), INDEX(Mgt_Unit!$B$5:$B$1018, MATCH(C3232, Mgt_Unit!$C$5:$C$1018, 0)), "")</f>
        <v>jennifer.moore</v>
      </c>
      <c r="C3232" t="s">
        <v>1070</v>
      </c>
      <c r="E3232" s="17" t="s">
        <v>1583</v>
      </c>
      <c r="F3232" s="89">
        <v>43600</v>
      </c>
      <c r="J3232" t="s">
        <v>1498</v>
      </c>
      <c r="K3232" s="120">
        <v>24</v>
      </c>
    </row>
    <row r="3233" spans="2:11" hidden="1" x14ac:dyDescent="0.25">
      <c r="B3233" s="28" t="str">
        <f>IF(ISNUMBER(MATCH(C3233, Mgt_Unit!$C$5:$C$1018, 0)), INDEX(Mgt_Unit!$B$5:$B$1018, MATCH(C3233, Mgt_Unit!$C$5:$C$1018, 0)), "")</f>
        <v>jennifer.moore</v>
      </c>
      <c r="C3233" t="s">
        <v>1071</v>
      </c>
      <c r="E3233" s="17" t="s">
        <v>1584</v>
      </c>
      <c r="F3233" s="89">
        <v>43556</v>
      </c>
      <c r="J3233" t="s">
        <v>1518</v>
      </c>
      <c r="K3233" s="120">
        <v>17</v>
      </c>
    </row>
    <row r="3234" spans="2:11" hidden="1" x14ac:dyDescent="0.25">
      <c r="B3234" s="28" t="str">
        <f>IF(ISNUMBER(MATCH(C3234, Mgt_Unit!$C$5:$C$1018, 0)), INDEX(Mgt_Unit!$B$5:$B$1018, MATCH(C3234, Mgt_Unit!$C$5:$C$1018, 0)), "")</f>
        <v>jennifer.moore</v>
      </c>
      <c r="C3234" t="s">
        <v>1072</v>
      </c>
      <c r="E3234" s="17" t="s">
        <v>1584</v>
      </c>
      <c r="F3234" s="89">
        <v>43344</v>
      </c>
      <c r="J3234" t="s">
        <v>1519</v>
      </c>
      <c r="K3234" s="120">
        <v>24</v>
      </c>
    </row>
    <row r="3235" spans="2:11" hidden="1" x14ac:dyDescent="0.25">
      <c r="B3235" s="28" t="str">
        <f>IF(ISNUMBER(MATCH(C3235, Mgt_Unit!$C$5:$C$1018, 0)), INDEX(Mgt_Unit!$B$5:$B$1018, MATCH(C3235, Mgt_Unit!$C$5:$C$1018, 0)), "")</f>
        <v>jennifer.moore</v>
      </c>
      <c r="C3235" t="s">
        <v>1072</v>
      </c>
      <c r="E3235" s="17" t="s">
        <v>1584</v>
      </c>
      <c r="F3235" s="89">
        <v>43922</v>
      </c>
      <c r="J3235" t="s">
        <v>1518</v>
      </c>
      <c r="K3235" s="120">
        <v>17</v>
      </c>
    </row>
    <row r="3236" spans="2:11" hidden="1" x14ac:dyDescent="0.25">
      <c r="B3236" s="28" t="str">
        <f>IF(ISNUMBER(MATCH(C3236, Mgt_Unit!$C$5:$C$1018, 0)), INDEX(Mgt_Unit!$B$5:$B$1018, MATCH(C3236, Mgt_Unit!$C$5:$C$1018, 0)), "")</f>
        <v>jennifer.moore</v>
      </c>
      <c r="C3236" t="s">
        <v>1073</v>
      </c>
      <c r="E3236" s="17" t="s">
        <v>1583</v>
      </c>
      <c r="F3236" s="89">
        <v>43235</v>
      </c>
      <c r="J3236" t="s">
        <v>1520</v>
      </c>
      <c r="K3236" s="120">
        <v>4.7</v>
      </c>
    </row>
    <row r="3237" spans="2:11" hidden="1" x14ac:dyDescent="0.25">
      <c r="B3237" s="28" t="str">
        <f>IF(ISNUMBER(MATCH(C3237, Mgt_Unit!$C$5:$C$1018, 0)), INDEX(Mgt_Unit!$B$5:$B$1018, MATCH(C3237, Mgt_Unit!$C$5:$C$1018, 0)), "")</f>
        <v>jennifer.moore</v>
      </c>
      <c r="C3237" t="s">
        <v>1073</v>
      </c>
      <c r="E3237" s="17" t="s">
        <v>1583</v>
      </c>
      <c r="F3237" s="89">
        <v>43266</v>
      </c>
      <c r="J3237" t="s">
        <v>1521</v>
      </c>
      <c r="K3237" s="120">
        <v>18.5</v>
      </c>
    </row>
    <row r="3238" spans="2:11" hidden="1" x14ac:dyDescent="0.25">
      <c r="B3238" s="28" t="str">
        <f>IF(ISNUMBER(MATCH(C3238, Mgt_Unit!$C$5:$C$1018, 0)), INDEX(Mgt_Unit!$B$5:$B$1018, MATCH(C3238, Mgt_Unit!$C$5:$C$1018, 0)), "")</f>
        <v>jennifer.moore</v>
      </c>
      <c r="C3238" t="s">
        <v>1073</v>
      </c>
      <c r="E3238" s="17" t="s">
        <v>1584</v>
      </c>
      <c r="F3238" s="89">
        <v>43344</v>
      </c>
      <c r="J3238" t="s">
        <v>1519</v>
      </c>
      <c r="K3238" s="120">
        <v>24</v>
      </c>
    </row>
    <row r="3239" spans="2:11" hidden="1" x14ac:dyDescent="0.25">
      <c r="B3239" s="28" t="str">
        <f>IF(ISNUMBER(MATCH(C3239, Mgt_Unit!$C$5:$C$1018, 0)), INDEX(Mgt_Unit!$B$5:$B$1018, MATCH(C3239, Mgt_Unit!$C$5:$C$1018, 0)), "")</f>
        <v>jennifer.moore</v>
      </c>
      <c r="C3239" t="s">
        <v>1074</v>
      </c>
      <c r="E3239" s="17" t="s">
        <v>1583</v>
      </c>
      <c r="F3239" s="89">
        <v>43235</v>
      </c>
      <c r="J3239" t="s">
        <v>1520</v>
      </c>
      <c r="K3239" s="120">
        <v>4.7</v>
      </c>
    </row>
    <row r="3240" spans="2:11" hidden="1" x14ac:dyDescent="0.25">
      <c r="B3240" s="28" t="str">
        <f>IF(ISNUMBER(MATCH(C3240, Mgt_Unit!$C$5:$C$1018, 0)), INDEX(Mgt_Unit!$B$5:$B$1018, MATCH(C3240, Mgt_Unit!$C$5:$C$1018, 0)), "")</f>
        <v>jennifer.moore</v>
      </c>
      <c r="C3240" t="s">
        <v>1074</v>
      </c>
      <c r="E3240" s="17" t="s">
        <v>1583</v>
      </c>
      <c r="F3240" s="89">
        <v>43266</v>
      </c>
      <c r="J3240" t="s">
        <v>1521</v>
      </c>
      <c r="K3240" s="120">
        <v>18.5</v>
      </c>
    </row>
    <row r="3241" spans="2:11" hidden="1" x14ac:dyDescent="0.25">
      <c r="B3241" s="28" t="str">
        <f>IF(ISNUMBER(MATCH(C3241, Mgt_Unit!$C$5:$C$1018, 0)), INDEX(Mgt_Unit!$B$5:$B$1018, MATCH(C3241, Mgt_Unit!$C$5:$C$1018, 0)), "")</f>
        <v>jennifer.moore</v>
      </c>
      <c r="C3241" t="s">
        <v>1074</v>
      </c>
      <c r="E3241" s="17" t="s">
        <v>1584</v>
      </c>
      <c r="F3241" s="89">
        <v>43344</v>
      </c>
      <c r="J3241" t="s">
        <v>1519</v>
      </c>
      <c r="K3241" s="120">
        <v>24</v>
      </c>
    </row>
    <row r="3242" spans="2:11" hidden="1" x14ac:dyDescent="0.25">
      <c r="B3242" s="28" t="str">
        <f>IF(ISNUMBER(MATCH(C3242, Mgt_Unit!$C$5:$C$1018, 0)), INDEX(Mgt_Unit!$B$5:$B$1018, MATCH(C3242, Mgt_Unit!$C$5:$C$1018, 0)), "")</f>
        <v>jennifer.moore</v>
      </c>
      <c r="C3242" t="s">
        <v>1074</v>
      </c>
      <c r="E3242" s="17" t="s">
        <v>1584</v>
      </c>
      <c r="F3242" s="89">
        <v>43922</v>
      </c>
      <c r="J3242" t="s">
        <v>1518</v>
      </c>
      <c r="K3242" s="120">
        <v>17</v>
      </c>
    </row>
    <row r="3243" spans="2:11" hidden="1" x14ac:dyDescent="0.25">
      <c r="B3243" s="28" t="str">
        <f>IF(ISNUMBER(MATCH(C3243, Mgt_Unit!$C$5:$C$1018, 0)), INDEX(Mgt_Unit!$B$5:$B$1018, MATCH(C3243, Mgt_Unit!$C$5:$C$1018, 0)), "")</f>
        <v>jennifer.moore</v>
      </c>
      <c r="C3243" t="s">
        <v>1075</v>
      </c>
      <c r="E3243" s="17" t="s">
        <v>1583</v>
      </c>
      <c r="F3243" s="89">
        <v>43217</v>
      </c>
      <c r="J3243" t="s">
        <v>1522</v>
      </c>
      <c r="K3243" s="120">
        <v>30</v>
      </c>
    </row>
    <row r="3244" spans="2:11" hidden="1" x14ac:dyDescent="0.25">
      <c r="B3244" s="28" t="str">
        <f>IF(ISNUMBER(MATCH(C3244, Mgt_Unit!$C$5:$C$1018, 0)), INDEX(Mgt_Unit!$B$5:$B$1018, MATCH(C3244, Mgt_Unit!$C$5:$C$1018, 0)), "")</f>
        <v>jennifer.moore</v>
      </c>
      <c r="C3244" t="s">
        <v>1075</v>
      </c>
      <c r="E3244" s="17" t="s">
        <v>1583</v>
      </c>
      <c r="F3244" s="89">
        <v>43221</v>
      </c>
      <c r="J3244" t="s">
        <v>1522</v>
      </c>
      <c r="K3244" s="120">
        <v>30</v>
      </c>
    </row>
    <row r="3245" spans="2:11" hidden="1" x14ac:dyDescent="0.25">
      <c r="B3245" s="28" t="str">
        <f>IF(ISNUMBER(MATCH(C3245, Mgt_Unit!$C$5:$C$1018, 0)), INDEX(Mgt_Unit!$B$5:$B$1018, MATCH(C3245, Mgt_Unit!$C$5:$C$1018, 0)), "")</f>
        <v>jennifer.moore</v>
      </c>
      <c r="C3245" t="s">
        <v>1075</v>
      </c>
      <c r="E3245" s="17" t="s">
        <v>1583</v>
      </c>
      <c r="F3245" s="89">
        <v>43227</v>
      </c>
      <c r="J3245" t="s">
        <v>1522</v>
      </c>
      <c r="K3245" s="120">
        <v>30</v>
      </c>
    </row>
    <row r="3246" spans="2:11" hidden="1" x14ac:dyDescent="0.25">
      <c r="B3246" s="28" t="str">
        <f>IF(ISNUMBER(MATCH(C3246, Mgt_Unit!$C$5:$C$1018, 0)), INDEX(Mgt_Unit!$B$5:$B$1018, MATCH(C3246, Mgt_Unit!$C$5:$C$1018, 0)), "")</f>
        <v>jennifer.moore</v>
      </c>
      <c r="C3246" t="s">
        <v>1075</v>
      </c>
      <c r="E3246" s="17" t="s">
        <v>1584</v>
      </c>
      <c r="F3246" s="89">
        <v>43227</v>
      </c>
      <c r="J3246" t="s">
        <v>1523</v>
      </c>
      <c r="K3246" s="120">
        <v>14</v>
      </c>
    </row>
    <row r="3247" spans="2:11" hidden="1" x14ac:dyDescent="0.25">
      <c r="B3247" s="28" t="str">
        <f>IF(ISNUMBER(MATCH(C3247, Mgt_Unit!$C$5:$C$1018, 0)), INDEX(Mgt_Unit!$B$5:$B$1018, MATCH(C3247, Mgt_Unit!$C$5:$C$1018, 0)), "")</f>
        <v>jennifer.moore</v>
      </c>
      <c r="C3247" t="s">
        <v>1075</v>
      </c>
      <c r="E3247" s="17" t="s">
        <v>1583</v>
      </c>
      <c r="F3247" s="89">
        <v>43397</v>
      </c>
      <c r="J3247" t="s">
        <v>1524</v>
      </c>
      <c r="K3247" s="120">
        <v>69</v>
      </c>
    </row>
    <row r="3248" spans="2:11" hidden="1" x14ac:dyDescent="0.25">
      <c r="B3248" s="28" t="str">
        <f>IF(ISNUMBER(MATCH(C3248, Mgt_Unit!$C$5:$C$1018, 0)), INDEX(Mgt_Unit!$B$5:$B$1018, MATCH(C3248, Mgt_Unit!$C$5:$C$1018, 0)), "")</f>
        <v>jennifer.moore</v>
      </c>
      <c r="C3248" t="s">
        <v>1076</v>
      </c>
      <c r="E3248" s="17" t="s">
        <v>1583</v>
      </c>
      <c r="F3248" s="89">
        <v>42124</v>
      </c>
      <c r="J3248" t="s">
        <v>1522</v>
      </c>
      <c r="K3248" s="120">
        <v>30</v>
      </c>
    </row>
    <row r="3249" spans="2:11" hidden="1" x14ac:dyDescent="0.25">
      <c r="B3249" s="28" t="str">
        <f>IF(ISNUMBER(MATCH(C3249, Mgt_Unit!$C$5:$C$1018, 0)), INDEX(Mgt_Unit!$B$5:$B$1018, MATCH(C3249, Mgt_Unit!$C$5:$C$1018, 0)), "")</f>
        <v>jennifer.moore</v>
      </c>
      <c r="C3249" t="s">
        <v>1076</v>
      </c>
      <c r="E3249" s="17" t="s">
        <v>1584</v>
      </c>
      <c r="F3249" s="89">
        <v>42124</v>
      </c>
      <c r="J3249" t="s">
        <v>1523</v>
      </c>
      <c r="K3249" s="120">
        <v>14</v>
      </c>
    </row>
    <row r="3250" spans="2:11" hidden="1" x14ac:dyDescent="0.25">
      <c r="B3250" s="28" t="str">
        <f>IF(ISNUMBER(MATCH(C3250, Mgt_Unit!$C$5:$C$1018, 0)), INDEX(Mgt_Unit!$B$5:$B$1018, MATCH(C3250, Mgt_Unit!$C$5:$C$1018, 0)), "")</f>
        <v>jennifer.moore</v>
      </c>
      <c r="C3250" t="s">
        <v>1076</v>
      </c>
      <c r="E3250" s="17" t="s">
        <v>1583</v>
      </c>
      <c r="F3250" s="89">
        <v>42328</v>
      </c>
      <c r="J3250" t="s">
        <v>1524</v>
      </c>
      <c r="K3250" s="120">
        <v>69</v>
      </c>
    </row>
    <row r="3251" spans="2:11" hidden="1" x14ac:dyDescent="0.25">
      <c r="B3251" s="28" t="str">
        <f>IF(ISNUMBER(MATCH(C3251, Mgt_Unit!$C$5:$C$1018, 0)), INDEX(Mgt_Unit!$B$5:$B$1018, MATCH(C3251, Mgt_Unit!$C$5:$C$1018, 0)), "")</f>
        <v>jennifer.moore</v>
      </c>
      <c r="C3251" t="s">
        <v>1076</v>
      </c>
      <c r="E3251" s="17" t="s">
        <v>1583</v>
      </c>
      <c r="F3251" s="89">
        <v>42474</v>
      </c>
      <c r="J3251" t="s">
        <v>1522</v>
      </c>
      <c r="K3251" s="120">
        <v>30</v>
      </c>
    </row>
    <row r="3252" spans="2:11" hidden="1" x14ac:dyDescent="0.25">
      <c r="B3252" s="28" t="str">
        <f>IF(ISNUMBER(MATCH(C3252, Mgt_Unit!$C$5:$C$1018, 0)), INDEX(Mgt_Unit!$B$5:$B$1018, MATCH(C3252, Mgt_Unit!$C$5:$C$1018, 0)), "")</f>
        <v>jennifer.moore</v>
      </c>
      <c r="C3252" t="s">
        <v>1076</v>
      </c>
      <c r="E3252" s="17" t="s">
        <v>1584</v>
      </c>
      <c r="F3252" s="89">
        <v>42475</v>
      </c>
      <c r="J3252" t="s">
        <v>1398</v>
      </c>
      <c r="K3252" s="120">
        <v>4</v>
      </c>
    </row>
    <row r="3253" spans="2:11" hidden="1" x14ac:dyDescent="0.25">
      <c r="B3253" s="28" t="str">
        <f>IF(ISNUMBER(MATCH(C3253, Mgt_Unit!$C$5:$C$1018, 0)), INDEX(Mgt_Unit!$B$5:$B$1018, MATCH(C3253, Mgt_Unit!$C$5:$C$1018, 0)), "")</f>
        <v>jennifer.moore</v>
      </c>
      <c r="C3253" t="s">
        <v>1076</v>
      </c>
      <c r="E3253" s="17" t="s">
        <v>1584</v>
      </c>
      <c r="F3253" s="89">
        <v>42513</v>
      </c>
      <c r="J3253" t="s">
        <v>1398</v>
      </c>
      <c r="K3253" s="120">
        <v>4</v>
      </c>
    </row>
    <row r="3254" spans="2:11" hidden="1" x14ac:dyDescent="0.25">
      <c r="B3254" s="28" t="str">
        <f>IF(ISNUMBER(MATCH(C3254, Mgt_Unit!$C$5:$C$1018, 0)), INDEX(Mgt_Unit!$B$5:$B$1018, MATCH(C3254, Mgt_Unit!$C$5:$C$1018, 0)), "")</f>
        <v>jennifer.moore</v>
      </c>
      <c r="C3254" t="s">
        <v>1076</v>
      </c>
      <c r="E3254" s="17" t="s">
        <v>1583</v>
      </c>
      <c r="F3254" s="89">
        <v>43416</v>
      </c>
      <c r="J3254" t="s">
        <v>1524</v>
      </c>
      <c r="K3254" s="120">
        <v>69</v>
      </c>
    </row>
    <row r="3255" spans="2:11" hidden="1" x14ac:dyDescent="0.25">
      <c r="B3255" s="28" t="str">
        <f>IF(ISNUMBER(MATCH(C3255, Mgt_Unit!$C$5:$C$1018, 0)), INDEX(Mgt_Unit!$B$5:$B$1018, MATCH(C3255, Mgt_Unit!$C$5:$C$1018, 0)), "")</f>
        <v>jennifer.moore</v>
      </c>
      <c r="C3255" t="s">
        <v>1077</v>
      </c>
      <c r="E3255" s="17" t="s">
        <v>1583</v>
      </c>
      <c r="F3255" s="89">
        <v>42478</v>
      </c>
      <c r="J3255" t="s">
        <v>1524</v>
      </c>
      <c r="K3255" s="120">
        <v>69</v>
      </c>
    </row>
    <row r="3256" spans="2:11" hidden="1" x14ac:dyDescent="0.25">
      <c r="B3256" s="28" t="str">
        <f>IF(ISNUMBER(MATCH(C3256, Mgt_Unit!$C$5:$C$1018, 0)), INDEX(Mgt_Unit!$B$5:$B$1018, MATCH(C3256, Mgt_Unit!$C$5:$C$1018, 0)), "")</f>
        <v>jennifer.moore</v>
      </c>
      <c r="C3256" t="s">
        <v>1077</v>
      </c>
      <c r="E3256" s="17" t="s">
        <v>1583</v>
      </c>
      <c r="F3256" s="89">
        <v>42492</v>
      </c>
      <c r="J3256" t="s">
        <v>1522</v>
      </c>
      <c r="K3256" s="120">
        <v>30</v>
      </c>
    </row>
    <row r="3257" spans="2:11" hidden="1" x14ac:dyDescent="0.25">
      <c r="B3257" s="28" t="str">
        <f>IF(ISNUMBER(MATCH(C3257, Mgt_Unit!$C$5:$C$1018, 0)), INDEX(Mgt_Unit!$B$5:$B$1018, MATCH(C3257, Mgt_Unit!$C$5:$C$1018, 0)), "")</f>
        <v>jennifer.moore</v>
      </c>
      <c r="C3257" t="s">
        <v>1077</v>
      </c>
      <c r="E3257" s="17" t="s">
        <v>1583</v>
      </c>
      <c r="F3257" s="89">
        <v>42507</v>
      </c>
      <c r="J3257" t="s">
        <v>1522</v>
      </c>
      <c r="K3257" s="120">
        <v>30</v>
      </c>
    </row>
    <row r="3258" spans="2:11" hidden="1" x14ac:dyDescent="0.25">
      <c r="B3258" s="28" t="str">
        <f>IF(ISNUMBER(MATCH(C3258, Mgt_Unit!$C$5:$C$1018, 0)), INDEX(Mgt_Unit!$B$5:$B$1018, MATCH(C3258, Mgt_Unit!$C$5:$C$1018, 0)), "")</f>
        <v>jennifer.moore</v>
      </c>
      <c r="C3258" t="s">
        <v>1077</v>
      </c>
      <c r="E3258" s="17" t="s">
        <v>1584</v>
      </c>
      <c r="F3258" s="89">
        <v>42510</v>
      </c>
      <c r="J3258" t="s">
        <v>1525</v>
      </c>
      <c r="K3258" s="120">
        <v>4</v>
      </c>
    </row>
    <row r="3259" spans="2:11" hidden="1" x14ac:dyDescent="0.25">
      <c r="B3259" s="28" t="str">
        <f>IF(ISNUMBER(MATCH(C3259, Mgt_Unit!$C$5:$C$1018, 0)), INDEX(Mgt_Unit!$B$5:$B$1018, MATCH(C3259, Mgt_Unit!$C$5:$C$1018, 0)), "")</f>
        <v>jennifer.moore</v>
      </c>
      <c r="C3259" t="s">
        <v>1077</v>
      </c>
      <c r="E3259" s="17" t="s">
        <v>1583</v>
      </c>
      <c r="F3259" s="89">
        <v>42523</v>
      </c>
      <c r="J3259" t="s">
        <v>1441</v>
      </c>
      <c r="K3259" s="120">
        <v>17</v>
      </c>
    </row>
    <row r="3260" spans="2:11" hidden="1" x14ac:dyDescent="0.25">
      <c r="B3260" s="28" t="str">
        <f>IF(ISNUMBER(MATCH(C3260, Mgt_Unit!$C$5:$C$1018, 0)), INDEX(Mgt_Unit!$B$5:$B$1018, MATCH(C3260, Mgt_Unit!$C$5:$C$1018, 0)), "")</f>
        <v>jennifer.moore</v>
      </c>
      <c r="C3260" t="s">
        <v>1077</v>
      </c>
      <c r="E3260" s="17" t="s">
        <v>1583</v>
      </c>
      <c r="F3260" s="89">
        <v>42528</v>
      </c>
      <c r="J3260" t="s">
        <v>1441</v>
      </c>
      <c r="K3260" s="120">
        <v>17</v>
      </c>
    </row>
    <row r="3261" spans="2:11" hidden="1" x14ac:dyDescent="0.25">
      <c r="B3261" s="28" t="str">
        <f>IF(ISNUMBER(MATCH(C3261, Mgt_Unit!$C$5:$C$1018, 0)), INDEX(Mgt_Unit!$B$5:$B$1018, MATCH(C3261, Mgt_Unit!$C$5:$C$1018, 0)), "")</f>
        <v>jennifer.moore</v>
      </c>
      <c r="C3261" t="s">
        <v>1077</v>
      </c>
      <c r="E3261" s="17" t="s">
        <v>1583</v>
      </c>
      <c r="F3261" s="89">
        <v>42535</v>
      </c>
      <c r="J3261" t="s">
        <v>1472</v>
      </c>
      <c r="K3261" s="120">
        <v>15</v>
      </c>
    </row>
    <row r="3262" spans="2:11" hidden="1" x14ac:dyDescent="0.25">
      <c r="B3262" s="28" t="str">
        <f>IF(ISNUMBER(MATCH(C3262, Mgt_Unit!$C$5:$C$1018, 0)), INDEX(Mgt_Unit!$B$5:$B$1018, MATCH(C3262, Mgt_Unit!$C$5:$C$1018, 0)), "")</f>
        <v>jennifer.moore</v>
      </c>
      <c r="C3262" t="s">
        <v>1077</v>
      </c>
      <c r="E3262" s="17" t="s">
        <v>1583</v>
      </c>
      <c r="F3262" s="89">
        <v>42543</v>
      </c>
      <c r="J3262" t="s">
        <v>1472</v>
      </c>
      <c r="K3262" s="120">
        <v>15</v>
      </c>
    </row>
    <row r="3263" spans="2:11" hidden="1" x14ac:dyDescent="0.25">
      <c r="B3263" s="28" t="str">
        <f>IF(ISNUMBER(MATCH(C3263, Mgt_Unit!$C$5:$C$1018, 0)), INDEX(Mgt_Unit!$B$5:$B$1018, MATCH(C3263, Mgt_Unit!$C$5:$C$1018, 0)), "")</f>
        <v>jennifer.moore</v>
      </c>
      <c r="C3263" t="s">
        <v>1077</v>
      </c>
      <c r="E3263" s="17" t="s">
        <v>1583</v>
      </c>
      <c r="F3263" s="89">
        <v>42849</v>
      </c>
      <c r="J3263" t="s">
        <v>1522</v>
      </c>
      <c r="K3263" s="120">
        <v>30</v>
      </c>
    </row>
    <row r="3264" spans="2:11" hidden="1" x14ac:dyDescent="0.25">
      <c r="B3264" s="28" t="str">
        <f>IF(ISNUMBER(MATCH(C3264, Mgt_Unit!$C$5:$C$1018, 0)), INDEX(Mgt_Unit!$B$5:$B$1018, MATCH(C3264, Mgt_Unit!$C$5:$C$1018, 0)), "")</f>
        <v>jennifer.moore</v>
      </c>
      <c r="C3264" t="s">
        <v>1077</v>
      </c>
      <c r="E3264" s="17" t="s">
        <v>1583</v>
      </c>
      <c r="F3264" s="89">
        <v>42850</v>
      </c>
      <c r="J3264" t="s">
        <v>1449</v>
      </c>
      <c r="K3264" s="120">
        <v>36</v>
      </c>
    </row>
    <row r="3265" spans="2:11" hidden="1" x14ac:dyDescent="0.25">
      <c r="B3265" s="28" t="str">
        <f>IF(ISNUMBER(MATCH(C3265, Mgt_Unit!$C$5:$C$1018, 0)), INDEX(Mgt_Unit!$B$5:$B$1018, MATCH(C3265, Mgt_Unit!$C$5:$C$1018, 0)), "")</f>
        <v>jennifer.moore</v>
      </c>
      <c r="C3265" t="s">
        <v>1077</v>
      </c>
      <c r="E3265" s="17" t="s">
        <v>1583</v>
      </c>
      <c r="F3265" s="89">
        <v>43399</v>
      </c>
      <c r="J3265" t="s">
        <v>1524</v>
      </c>
      <c r="K3265" s="120">
        <v>69</v>
      </c>
    </row>
    <row r="3266" spans="2:11" hidden="1" x14ac:dyDescent="0.25">
      <c r="B3266" s="28" t="str">
        <f>IF(ISNUMBER(MATCH(C3266, Mgt_Unit!$C$5:$C$1018, 0)), INDEX(Mgt_Unit!$B$5:$B$1018, MATCH(C3266, Mgt_Unit!$C$5:$C$1018, 0)), "")</f>
        <v>jennifer.moore</v>
      </c>
      <c r="C3266" s="17" t="s">
        <v>1078</v>
      </c>
      <c r="E3266" s="17" t="s">
        <v>1584</v>
      </c>
      <c r="F3266" s="85">
        <v>42860</v>
      </c>
      <c r="J3266" s="17" t="s">
        <v>1523</v>
      </c>
      <c r="K3266" s="121">
        <v>14</v>
      </c>
    </row>
    <row r="3267" spans="2:11" hidden="1" x14ac:dyDescent="0.25">
      <c r="B3267" s="28" t="str">
        <f>IF(ISNUMBER(MATCH(C3267, Mgt_Unit!$C$5:$C$1018, 0)), INDEX(Mgt_Unit!$B$5:$B$1018, MATCH(C3267, Mgt_Unit!$C$5:$C$1018, 0)), "")</f>
        <v>jennifer.moore</v>
      </c>
      <c r="C3267" s="17" t="s">
        <v>1078</v>
      </c>
      <c r="E3267" s="17" t="s">
        <v>1584</v>
      </c>
      <c r="F3267" s="85">
        <v>43227</v>
      </c>
      <c r="J3267" s="17" t="s">
        <v>1398</v>
      </c>
      <c r="K3267" s="121">
        <v>4</v>
      </c>
    </row>
    <row r="3268" spans="2:11" hidden="1" x14ac:dyDescent="0.25">
      <c r="B3268" s="28" t="str">
        <f>IF(ISNUMBER(MATCH(C3268, Mgt_Unit!$C$5:$C$1018, 0)), INDEX(Mgt_Unit!$B$5:$B$1018, MATCH(C3268, Mgt_Unit!$C$5:$C$1018, 0)), "")</f>
        <v>jennifer.moore</v>
      </c>
      <c r="C3268" s="17" t="s">
        <v>1078</v>
      </c>
      <c r="E3268" s="17" t="s">
        <v>1583</v>
      </c>
      <c r="F3268" s="85">
        <v>43398</v>
      </c>
      <c r="J3268" s="17" t="s">
        <v>1400</v>
      </c>
      <c r="K3268" s="121">
        <v>4.9000000000000004</v>
      </c>
    </row>
    <row r="3269" spans="2:11" hidden="1" x14ac:dyDescent="0.25">
      <c r="B3269" s="28" t="str">
        <f>IF(ISNUMBER(MATCH(C3269, Mgt_Unit!$C$5:$C$1018, 0)), INDEX(Mgt_Unit!$B$5:$B$1018, MATCH(C3269, Mgt_Unit!$C$5:$C$1018, 0)), "")</f>
        <v>jennifer.moore</v>
      </c>
      <c r="C3269" s="17" t="s">
        <v>1079</v>
      </c>
      <c r="E3269" s="17" t="s">
        <v>1583</v>
      </c>
      <c r="F3269" s="85">
        <v>42478</v>
      </c>
      <c r="J3269" s="17" t="s">
        <v>1524</v>
      </c>
      <c r="K3269" s="121">
        <v>69</v>
      </c>
    </row>
    <row r="3270" spans="2:11" hidden="1" x14ac:dyDescent="0.25">
      <c r="B3270" s="28" t="str">
        <f>IF(ISNUMBER(MATCH(C3270, Mgt_Unit!$C$5:$C$1018, 0)), INDEX(Mgt_Unit!$B$5:$B$1018, MATCH(C3270, Mgt_Unit!$C$5:$C$1018, 0)), "")</f>
        <v>jennifer.moore</v>
      </c>
      <c r="C3270" s="17" t="s">
        <v>1079</v>
      </c>
      <c r="E3270" s="17" t="s">
        <v>1583</v>
      </c>
      <c r="F3270" s="85">
        <v>42492</v>
      </c>
      <c r="J3270" s="17" t="s">
        <v>1522</v>
      </c>
      <c r="K3270" s="121">
        <v>30</v>
      </c>
    </row>
    <row r="3271" spans="2:11" hidden="1" x14ac:dyDescent="0.25">
      <c r="B3271" s="28" t="str">
        <f>IF(ISNUMBER(MATCH(C3271, Mgt_Unit!$C$5:$C$1018, 0)), INDEX(Mgt_Unit!$B$5:$B$1018, MATCH(C3271, Mgt_Unit!$C$5:$C$1018, 0)), "")</f>
        <v>jennifer.moore</v>
      </c>
      <c r="C3271" s="17" t="s">
        <v>1079</v>
      </c>
      <c r="E3271" s="17" t="s">
        <v>1583</v>
      </c>
      <c r="F3271" s="85">
        <v>42507</v>
      </c>
      <c r="J3271" s="17" t="s">
        <v>1522</v>
      </c>
      <c r="K3271" s="121">
        <v>30</v>
      </c>
    </row>
    <row r="3272" spans="2:11" hidden="1" x14ac:dyDescent="0.25">
      <c r="B3272" s="28" t="str">
        <f>IF(ISNUMBER(MATCH(C3272, Mgt_Unit!$C$5:$C$1018, 0)), INDEX(Mgt_Unit!$B$5:$B$1018, MATCH(C3272, Mgt_Unit!$C$5:$C$1018, 0)), "")</f>
        <v>jennifer.moore</v>
      </c>
      <c r="C3272" s="17" t="s">
        <v>1079</v>
      </c>
      <c r="E3272" s="17" t="s">
        <v>1584</v>
      </c>
      <c r="F3272" s="85">
        <v>42510</v>
      </c>
      <c r="J3272" s="17" t="s">
        <v>1525</v>
      </c>
      <c r="K3272" s="121">
        <v>4</v>
      </c>
    </row>
    <row r="3273" spans="2:11" hidden="1" x14ac:dyDescent="0.25">
      <c r="B3273" s="28" t="str">
        <f>IF(ISNUMBER(MATCH(C3273, Mgt_Unit!$C$5:$C$1018, 0)), INDEX(Mgt_Unit!$B$5:$B$1018, MATCH(C3273, Mgt_Unit!$C$5:$C$1018, 0)), "")</f>
        <v>jennifer.moore</v>
      </c>
      <c r="C3273" s="17" t="s">
        <v>1079</v>
      </c>
      <c r="E3273" s="17" t="s">
        <v>1583</v>
      </c>
      <c r="F3273" s="85">
        <v>42523</v>
      </c>
      <c r="J3273" s="17" t="s">
        <v>1441</v>
      </c>
      <c r="K3273" s="121">
        <v>17</v>
      </c>
    </row>
    <row r="3274" spans="2:11" hidden="1" x14ac:dyDescent="0.25">
      <c r="B3274" s="28" t="str">
        <f>IF(ISNUMBER(MATCH(C3274, Mgt_Unit!$C$5:$C$1018, 0)), INDEX(Mgt_Unit!$B$5:$B$1018, MATCH(C3274, Mgt_Unit!$C$5:$C$1018, 0)), "")</f>
        <v>jennifer.moore</v>
      </c>
      <c r="C3274" s="17" t="s">
        <v>1079</v>
      </c>
      <c r="E3274" s="17" t="s">
        <v>1583</v>
      </c>
      <c r="F3274" s="85">
        <v>42528</v>
      </c>
      <c r="J3274" s="17" t="s">
        <v>1441</v>
      </c>
      <c r="K3274" s="121">
        <v>17</v>
      </c>
    </row>
    <row r="3275" spans="2:11" hidden="1" x14ac:dyDescent="0.25">
      <c r="B3275" s="28" t="str">
        <f>IF(ISNUMBER(MATCH(C3275, Mgt_Unit!$C$5:$C$1018, 0)), INDEX(Mgt_Unit!$B$5:$B$1018, MATCH(C3275, Mgt_Unit!$C$5:$C$1018, 0)), "")</f>
        <v>jennifer.moore</v>
      </c>
      <c r="C3275" s="17" t="s">
        <v>1079</v>
      </c>
      <c r="E3275" s="17" t="s">
        <v>1583</v>
      </c>
      <c r="F3275" s="85">
        <v>42535</v>
      </c>
      <c r="J3275" s="17" t="s">
        <v>1472</v>
      </c>
      <c r="K3275" s="121">
        <v>15</v>
      </c>
    </row>
    <row r="3276" spans="2:11" hidden="1" x14ac:dyDescent="0.25">
      <c r="B3276" s="28" t="str">
        <f>IF(ISNUMBER(MATCH(C3276, Mgt_Unit!$C$5:$C$1018, 0)), INDEX(Mgt_Unit!$B$5:$B$1018, MATCH(C3276, Mgt_Unit!$C$5:$C$1018, 0)), "")</f>
        <v>jennifer.moore</v>
      </c>
      <c r="C3276" s="17" t="s">
        <v>1079</v>
      </c>
      <c r="E3276" s="17" t="s">
        <v>1583</v>
      </c>
      <c r="F3276" s="85">
        <v>42543</v>
      </c>
      <c r="J3276" s="17" t="s">
        <v>1472</v>
      </c>
      <c r="K3276" s="121">
        <v>15</v>
      </c>
    </row>
    <row r="3277" spans="2:11" hidden="1" x14ac:dyDescent="0.25">
      <c r="B3277" s="28" t="str">
        <f>IF(ISNUMBER(MATCH(C3277, Mgt_Unit!$C$5:$C$1018, 0)), INDEX(Mgt_Unit!$B$5:$B$1018, MATCH(C3277, Mgt_Unit!$C$5:$C$1018, 0)), "")</f>
        <v>jennifer.moore</v>
      </c>
      <c r="C3277" s="17" t="s">
        <v>1079</v>
      </c>
      <c r="E3277" s="17" t="s">
        <v>1583</v>
      </c>
      <c r="F3277" s="85">
        <v>42675</v>
      </c>
      <c r="J3277" s="17" t="s">
        <v>1524</v>
      </c>
      <c r="K3277" s="121">
        <v>69</v>
      </c>
    </row>
    <row r="3278" spans="2:11" hidden="1" x14ac:dyDescent="0.25">
      <c r="B3278" s="28" t="str">
        <f>IF(ISNUMBER(MATCH(C3278, Mgt_Unit!$C$5:$C$1018, 0)), INDEX(Mgt_Unit!$B$5:$B$1018, MATCH(C3278, Mgt_Unit!$C$5:$C$1018, 0)), "")</f>
        <v>jennifer.moore</v>
      </c>
      <c r="C3278" s="17" t="s">
        <v>1079</v>
      </c>
      <c r="E3278" s="17" t="s">
        <v>1583</v>
      </c>
      <c r="F3278" s="85">
        <v>42850</v>
      </c>
      <c r="J3278" s="17" t="s">
        <v>1445</v>
      </c>
      <c r="K3278" s="121">
        <v>30</v>
      </c>
    </row>
    <row r="3279" spans="2:11" hidden="1" x14ac:dyDescent="0.25">
      <c r="B3279" s="28" t="str">
        <f>IF(ISNUMBER(MATCH(C3279, Mgt_Unit!$C$5:$C$1018, 0)), INDEX(Mgt_Unit!$B$5:$B$1018, MATCH(C3279, Mgt_Unit!$C$5:$C$1018, 0)), "")</f>
        <v>jennifer.moore</v>
      </c>
      <c r="C3279" s="17" t="s">
        <v>1079</v>
      </c>
      <c r="E3279" s="17" t="s">
        <v>1583</v>
      </c>
      <c r="F3279" s="85">
        <v>42867</v>
      </c>
      <c r="J3279" s="17" t="s">
        <v>1445</v>
      </c>
      <c r="K3279" s="121">
        <v>30</v>
      </c>
    </row>
    <row r="3280" spans="2:11" hidden="1" x14ac:dyDescent="0.25">
      <c r="B3280" s="28" t="str">
        <f>IF(ISNUMBER(MATCH(C3280, Mgt_Unit!$C$5:$C$1018, 0)), INDEX(Mgt_Unit!$B$5:$B$1018, MATCH(C3280, Mgt_Unit!$C$5:$C$1018, 0)), "")</f>
        <v>jennifer.moore</v>
      </c>
      <c r="C3280" s="17" t="s">
        <v>1079</v>
      </c>
      <c r="E3280" s="17" t="s">
        <v>1583</v>
      </c>
      <c r="F3280" s="85">
        <v>42870</v>
      </c>
      <c r="J3280" s="17" t="s">
        <v>1445</v>
      </c>
      <c r="K3280" s="121">
        <v>30</v>
      </c>
    </row>
    <row r="3281" spans="2:11" hidden="1" x14ac:dyDescent="0.25">
      <c r="B3281" s="28" t="str">
        <f>IF(ISNUMBER(MATCH(C3281, Mgt_Unit!$C$5:$C$1018, 0)), INDEX(Mgt_Unit!$B$5:$B$1018, MATCH(C3281, Mgt_Unit!$C$5:$C$1018, 0)), "")</f>
        <v>jennifer.moore</v>
      </c>
      <c r="C3281" s="17" t="s">
        <v>1079</v>
      </c>
      <c r="E3281" s="17" t="s">
        <v>1584</v>
      </c>
      <c r="F3281" s="85">
        <v>42877</v>
      </c>
      <c r="J3281" s="17" t="s">
        <v>1398</v>
      </c>
      <c r="K3281" s="121">
        <v>4</v>
      </c>
    </row>
    <row r="3282" spans="2:11" hidden="1" x14ac:dyDescent="0.25">
      <c r="B3282" s="28" t="str">
        <f>IF(ISNUMBER(MATCH(C3282, Mgt_Unit!$C$5:$C$1018, 0)), INDEX(Mgt_Unit!$B$5:$B$1018, MATCH(C3282, Mgt_Unit!$C$5:$C$1018, 0)), "")</f>
        <v>jennifer.moore</v>
      </c>
      <c r="C3282" s="17" t="s">
        <v>1079</v>
      </c>
      <c r="E3282" s="17" t="s">
        <v>1583</v>
      </c>
      <c r="F3282" s="85">
        <v>42877</v>
      </c>
      <c r="J3282" s="17" t="s">
        <v>1522</v>
      </c>
      <c r="K3282" s="121">
        <v>30</v>
      </c>
    </row>
    <row r="3283" spans="2:11" hidden="1" x14ac:dyDescent="0.25">
      <c r="B3283" s="28" t="str">
        <f>IF(ISNUMBER(MATCH(C3283, Mgt_Unit!$C$5:$C$1018, 0)), INDEX(Mgt_Unit!$B$5:$B$1018, MATCH(C3283, Mgt_Unit!$C$5:$C$1018, 0)), "")</f>
        <v>jennifer.moore</v>
      </c>
      <c r="C3283" s="17" t="s">
        <v>1079</v>
      </c>
      <c r="E3283" s="17" t="s">
        <v>1583</v>
      </c>
      <c r="F3283" s="85">
        <v>42881</v>
      </c>
      <c r="J3283" s="17" t="s">
        <v>1487</v>
      </c>
      <c r="K3283" s="121">
        <v>7.8</v>
      </c>
    </row>
    <row r="3284" spans="2:11" hidden="1" x14ac:dyDescent="0.25">
      <c r="B3284" s="28" t="str">
        <f>IF(ISNUMBER(MATCH(C3284, Mgt_Unit!$C$5:$C$1018, 0)), INDEX(Mgt_Unit!$B$5:$B$1018, MATCH(C3284, Mgt_Unit!$C$5:$C$1018, 0)), "")</f>
        <v>jennifer.moore</v>
      </c>
      <c r="C3284" s="17" t="s">
        <v>1079</v>
      </c>
      <c r="E3284" s="17" t="s">
        <v>1583</v>
      </c>
      <c r="F3284" s="85">
        <v>42888</v>
      </c>
      <c r="J3284" s="17" t="s">
        <v>1441</v>
      </c>
      <c r="K3284" s="121">
        <v>17</v>
      </c>
    </row>
    <row r="3285" spans="2:11" hidden="1" x14ac:dyDescent="0.25">
      <c r="B3285" s="28" t="str">
        <f>IF(ISNUMBER(MATCH(C3285, Mgt_Unit!$C$5:$C$1018, 0)), INDEX(Mgt_Unit!$B$5:$B$1018, MATCH(C3285, Mgt_Unit!$C$5:$C$1018, 0)), "")</f>
        <v>jennifer.moore</v>
      </c>
      <c r="C3285" s="17" t="s">
        <v>1079</v>
      </c>
      <c r="E3285" s="17" t="s">
        <v>1583</v>
      </c>
      <c r="F3285" s="85">
        <v>42891</v>
      </c>
      <c r="J3285" s="17" t="s">
        <v>1441</v>
      </c>
      <c r="K3285" s="121">
        <v>17</v>
      </c>
    </row>
    <row r="3286" spans="2:11" hidden="1" x14ac:dyDescent="0.25">
      <c r="B3286" s="28" t="str">
        <f>IF(ISNUMBER(MATCH(C3286, Mgt_Unit!$C$5:$C$1018, 0)), INDEX(Mgt_Unit!$B$5:$B$1018, MATCH(C3286, Mgt_Unit!$C$5:$C$1018, 0)), "")</f>
        <v>jennifer.moore</v>
      </c>
      <c r="C3286" s="17" t="s">
        <v>1079</v>
      </c>
      <c r="E3286" s="17" t="s">
        <v>1583</v>
      </c>
      <c r="F3286" s="85">
        <v>42894</v>
      </c>
      <c r="J3286" s="17" t="s">
        <v>1441</v>
      </c>
      <c r="K3286" s="121">
        <v>17</v>
      </c>
    </row>
    <row r="3287" spans="2:11" hidden="1" x14ac:dyDescent="0.25">
      <c r="B3287" s="28" t="str">
        <f>IF(ISNUMBER(MATCH(C3287, Mgt_Unit!$C$5:$C$1018, 0)), INDEX(Mgt_Unit!$B$5:$B$1018, MATCH(C3287, Mgt_Unit!$C$5:$C$1018, 0)), "")</f>
        <v>jennifer.moore</v>
      </c>
      <c r="C3287" s="17" t="s">
        <v>1079</v>
      </c>
      <c r="E3287" s="17" t="s">
        <v>1583</v>
      </c>
      <c r="F3287" s="85">
        <v>42901</v>
      </c>
      <c r="J3287" s="17" t="s">
        <v>1472</v>
      </c>
      <c r="K3287" s="121">
        <v>15</v>
      </c>
    </row>
    <row r="3288" spans="2:11" hidden="1" x14ac:dyDescent="0.25">
      <c r="B3288" s="28" t="str">
        <f>IF(ISNUMBER(MATCH(C3288, Mgt_Unit!$C$5:$C$1018, 0)), INDEX(Mgt_Unit!$B$5:$B$1018, MATCH(C3288, Mgt_Unit!$C$5:$C$1018, 0)), "")</f>
        <v>jennifer.moore</v>
      </c>
      <c r="C3288" s="17" t="s">
        <v>1079</v>
      </c>
      <c r="E3288" s="17" t="s">
        <v>1583</v>
      </c>
      <c r="F3288" s="85">
        <v>42913</v>
      </c>
      <c r="J3288" s="17" t="s">
        <v>1472</v>
      </c>
      <c r="K3288" s="121">
        <v>15</v>
      </c>
    </row>
    <row r="3289" spans="2:11" hidden="1" x14ac:dyDescent="0.25">
      <c r="B3289" s="28" t="str">
        <f>IF(ISNUMBER(MATCH(C3289, Mgt_Unit!$C$5:$C$1018, 0)), INDEX(Mgt_Unit!$B$5:$B$1018, MATCH(C3289, Mgt_Unit!$C$5:$C$1018, 0)), "")</f>
        <v>jennifer.moore</v>
      </c>
      <c r="C3289" s="17" t="s">
        <v>1079</v>
      </c>
      <c r="E3289" s="17" t="s">
        <v>1583</v>
      </c>
      <c r="F3289" s="85">
        <v>42923</v>
      </c>
      <c r="J3289" s="17" t="s">
        <v>1472</v>
      </c>
      <c r="K3289" s="121">
        <v>15</v>
      </c>
    </row>
    <row r="3290" spans="2:11" hidden="1" x14ac:dyDescent="0.25">
      <c r="B3290" s="28" t="str">
        <f>IF(ISNUMBER(MATCH(C3290, Mgt_Unit!$C$5:$C$1018, 0)), INDEX(Mgt_Unit!$B$5:$B$1018, MATCH(C3290, Mgt_Unit!$C$5:$C$1018, 0)), "")</f>
        <v>jennifer.moore</v>
      </c>
      <c r="C3290" s="17" t="s">
        <v>1079</v>
      </c>
      <c r="E3290" s="17" t="s">
        <v>1583</v>
      </c>
      <c r="F3290" s="85">
        <v>43007</v>
      </c>
      <c r="J3290" s="17" t="s">
        <v>1524</v>
      </c>
      <c r="K3290" s="121">
        <v>69</v>
      </c>
    </row>
    <row r="3291" spans="2:11" hidden="1" x14ac:dyDescent="0.25">
      <c r="B3291" s="28" t="str">
        <f>IF(ISNUMBER(MATCH(C3291, Mgt_Unit!$C$5:$C$1018, 0)), INDEX(Mgt_Unit!$B$5:$B$1018, MATCH(C3291, Mgt_Unit!$C$5:$C$1018, 0)), "")</f>
        <v>jennifer.moore</v>
      </c>
      <c r="C3291" s="17" t="s">
        <v>1079</v>
      </c>
      <c r="E3291" s="17" t="s">
        <v>1583</v>
      </c>
      <c r="F3291" s="85">
        <v>43007</v>
      </c>
      <c r="J3291" s="17" t="s">
        <v>1522</v>
      </c>
      <c r="K3291" s="121">
        <v>30</v>
      </c>
    </row>
    <row r="3292" spans="2:11" hidden="1" x14ac:dyDescent="0.25">
      <c r="B3292" s="28" t="str">
        <f>IF(ISNUMBER(MATCH(C3292, Mgt_Unit!$C$5:$C$1018, 0)), INDEX(Mgt_Unit!$B$5:$B$1018, MATCH(C3292, Mgt_Unit!$C$5:$C$1018, 0)), "")</f>
        <v>jennifer.moore</v>
      </c>
      <c r="C3292" s="17" t="s">
        <v>1079</v>
      </c>
      <c r="E3292" s="17" t="s">
        <v>1584</v>
      </c>
      <c r="F3292" s="85">
        <v>43007</v>
      </c>
      <c r="J3292" s="17" t="s">
        <v>1398</v>
      </c>
      <c r="K3292" s="121">
        <v>4</v>
      </c>
    </row>
    <row r="3293" spans="2:11" hidden="1" x14ac:dyDescent="0.25">
      <c r="B3293" s="28" t="str">
        <f>IF(ISNUMBER(MATCH(C3293, Mgt_Unit!$C$5:$C$1018, 0)), INDEX(Mgt_Unit!$B$5:$B$1018, MATCH(C3293, Mgt_Unit!$C$5:$C$1018, 0)), "")</f>
        <v>jennifer.moore</v>
      </c>
      <c r="C3293" s="17" t="s">
        <v>1079</v>
      </c>
      <c r="E3293" s="17" t="s">
        <v>1583</v>
      </c>
      <c r="F3293" s="85">
        <v>43311</v>
      </c>
      <c r="J3293" s="17" t="s">
        <v>1524</v>
      </c>
      <c r="K3293" s="121">
        <v>69</v>
      </c>
    </row>
    <row r="3294" spans="2:11" hidden="1" x14ac:dyDescent="0.25">
      <c r="B3294" s="28" t="str">
        <f>IF(ISNUMBER(MATCH(C3294, Mgt_Unit!$C$5:$C$1018, 0)), INDEX(Mgt_Unit!$B$5:$B$1018, MATCH(C3294, Mgt_Unit!$C$5:$C$1018, 0)), "")</f>
        <v>jennifer.moore</v>
      </c>
      <c r="C3294" s="17" t="s">
        <v>1079</v>
      </c>
      <c r="E3294" s="17" t="s">
        <v>1583</v>
      </c>
      <c r="F3294" s="85">
        <v>43320</v>
      </c>
      <c r="J3294" s="17" t="s">
        <v>1445</v>
      </c>
      <c r="K3294" s="121">
        <v>30</v>
      </c>
    </row>
    <row r="3295" spans="2:11" hidden="1" x14ac:dyDescent="0.25">
      <c r="B3295" s="28" t="str">
        <f>IF(ISNUMBER(MATCH(C3295, Mgt_Unit!$C$5:$C$1018, 0)), INDEX(Mgt_Unit!$B$5:$B$1018, MATCH(C3295, Mgt_Unit!$C$5:$C$1018, 0)), "")</f>
        <v>jennifer.moore</v>
      </c>
      <c r="C3295" s="17" t="s">
        <v>1079</v>
      </c>
      <c r="E3295" s="17" t="s">
        <v>1583</v>
      </c>
      <c r="F3295" s="85">
        <v>43325</v>
      </c>
      <c r="J3295" s="17" t="s">
        <v>1522</v>
      </c>
      <c r="K3295" s="121">
        <v>30</v>
      </c>
    </row>
    <row r="3296" spans="2:11" hidden="1" x14ac:dyDescent="0.25">
      <c r="B3296" s="28" t="str">
        <f>IF(ISNUMBER(MATCH(C3296, Mgt_Unit!$C$5:$C$1018, 0)), INDEX(Mgt_Unit!$B$5:$B$1018, MATCH(C3296, Mgt_Unit!$C$5:$C$1018, 0)), "")</f>
        <v>jennifer.moore</v>
      </c>
      <c r="C3296" s="17" t="s">
        <v>1079</v>
      </c>
      <c r="E3296" s="17" t="s">
        <v>1585</v>
      </c>
      <c r="F3296" s="85">
        <v>43326</v>
      </c>
      <c r="J3296" s="17" t="s">
        <v>1398</v>
      </c>
      <c r="K3296" s="121">
        <v>4</v>
      </c>
    </row>
    <row r="3297" spans="2:11" hidden="1" x14ac:dyDescent="0.25">
      <c r="B3297" s="28" t="str">
        <f>IF(ISNUMBER(MATCH(C3297, Mgt_Unit!$C$5:$C$1018, 0)), INDEX(Mgt_Unit!$B$5:$B$1018, MATCH(C3297, Mgt_Unit!$C$5:$C$1018, 0)), "")</f>
        <v>jennifer.moore</v>
      </c>
      <c r="C3297" s="17" t="s">
        <v>1079</v>
      </c>
      <c r="E3297" s="17" t="s">
        <v>1583</v>
      </c>
      <c r="F3297" s="85">
        <v>43326</v>
      </c>
      <c r="J3297" s="17" t="s">
        <v>1449</v>
      </c>
      <c r="K3297" s="121">
        <v>36</v>
      </c>
    </row>
  </sheetData>
  <sheetProtection formatColumns="0" selectLockedCells="1" autoFilter="0"/>
  <autoFilter ref="B4:M3297" xr:uid="{15C46A45-F2B0-44AE-BE07-0C6C5096D38B}">
    <filterColumn colId="1">
      <filters>
        <filter val="NAPESHM_USOH03_420"/>
        <filter val="NAPESHM_USOH03_421"/>
        <filter val="NAPESHM_USOH03_422"/>
        <filter val="NAPESHM_USOH03_423"/>
        <filter val="NAPESHM_USOH03_424"/>
        <filter val="NAPESHM_USOH03_425"/>
        <filter val="NAPESHM_USOH03_426"/>
        <filter val="NAPESHM_USOH03_427"/>
        <filter val="NAPESHM_USOH03_428"/>
      </filters>
    </filterColumn>
    <sortState xmlns:xlrd2="http://schemas.microsoft.com/office/spreadsheetml/2017/richdata2" ref="B5:M1004">
      <sortCondition ref="C4:C1004"/>
    </sortState>
  </autoFilter>
  <dataValidations count="5">
    <dataValidation type="list" allowBlank="1" showInputMessage="1" showErrorMessage="1" sqref="E5:E1004" xr:uid="{851CE6DF-299C-42B8-9EAB-88709DA51C95}">
      <formula1>OpsMgt</formula1>
    </dataValidation>
    <dataValidation type="list" allowBlank="1" showInputMessage="1" showErrorMessage="1" sqref="C5:C1004" xr:uid="{25178A32-34F9-479D-BB25-22FD15AEE092}">
      <formula1>CropUnit</formula1>
    </dataValidation>
    <dataValidation type="list" allowBlank="1" showInputMessage="1" showErrorMessage="1" sqref="I5:I1004" xr:uid="{DAE7A5E6-DF36-4A28-BE5D-D3AA6611B075}">
      <formula1>SoilDist_OpsEquipCat</formula1>
    </dataValidation>
    <dataValidation type="list" allowBlank="1" showInputMessage="1" showErrorMessage="1" sqref="J5" xr:uid="{3A4EDA97-5421-4967-B534-BE8E6FA48B2F}">
      <formula1>INDIRECT(I6)</formula1>
    </dataValidation>
    <dataValidation type="list" allowBlank="1" showInputMessage="1" showErrorMessage="1" sqref="J6:J1004" xr:uid="{A6E836F9-8F3B-4204-BD9E-49AE464BF52A}">
      <formula1>INDIRECT(I6)</formula1>
    </dataValidation>
  </dataValidation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P1003"/>
  <sheetViews>
    <sheetView zoomScaleNormal="100" workbookViewId="0">
      <pane ySplit="4" topLeftCell="A5" activePane="bottomLeft" state="frozen"/>
      <selection pane="bottomLeft" activeCell="A4" sqref="A4:XFD4"/>
    </sheetView>
  </sheetViews>
  <sheetFormatPr defaultColWidth="0" defaultRowHeight="15" x14ac:dyDescent="0.25"/>
  <cols>
    <col min="1" max="1" width="11.5703125" bestFit="1" customWidth="1"/>
    <col min="2" max="2" width="15.42578125" style="31" customWidth="1"/>
    <col min="3" max="3" width="32.7109375" style="31" customWidth="1"/>
    <col min="4" max="4" width="35.28515625" style="17" customWidth="1"/>
    <col min="5" max="5" width="32.7109375" style="17" customWidth="1"/>
    <col min="6" max="6" width="15.28515625" style="17" bestFit="1" customWidth="1"/>
    <col min="7" max="7" width="26.7109375" style="17" bestFit="1" customWidth="1"/>
    <col min="8" max="8" width="17.5703125" style="51" customWidth="1"/>
    <col min="9" max="9" width="16.140625" style="17" bestFit="1" customWidth="1"/>
    <col min="10" max="10" width="17.140625" style="17" bestFit="1" customWidth="1"/>
    <col min="11" max="11" width="16.140625" style="17" bestFit="1" customWidth="1"/>
    <col min="12" max="12" width="19.140625" style="17" bestFit="1" customWidth="1"/>
    <col min="13" max="13" width="16.5703125" style="17" bestFit="1" customWidth="1"/>
    <col min="14" max="14" width="16.42578125" style="17" bestFit="1" customWidth="1"/>
    <col min="15" max="15" width="18.7109375" style="17" bestFit="1" customWidth="1"/>
    <col min="16" max="16" width="50.7109375" style="17" customWidth="1"/>
    <col min="17" max="16384" width="9.140625" hidden="1"/>
  </cols>
  <sheetData>
    <row r="1" spans="1:16" s="36" customFormat="1" ht="33" customHeight="1" x14ac:dyDescent="0.25">
      <c r="A1" s="25" t="s">
        <v>0</v>
      </c>
      <c r="B1" s="27" t="s">
        <v>524</v>
      </c>
      <c r="C1" s="27" t="s">
        <v>537</v>
      </c>
      <c r="D1" s="53" t="s">
        <v>615</v>
      </c>
      <c r="E1" s="27" t="s">
        <v>516</v>
      </c>
      <c r="F1" s="53" t="s">
        <v>529</v>
      </c>
      <c r="G1" s="53" t="s">
        <v>530</v>
      </c>
      <c r="H1" s="53" t="s">
        <v>505</v>
      </c>
      <c r="I1" s="27" t="s">
        <v>532</v>
      </c>
      <c r="J1" s="27" t="s">
        <v>533</v>
      </c>
      <c r="K1" s="27" t="s">
        <v>618</v>
      </c>
      <c r="L1" s="27" t="s">
        <v>619</v>
      </c>
      <c r="M1" s="27" t="s">
        <v>620</v>
      </c>
      <c r="N1" s="27" t="s">
        <v>616</v>
      </c>
      <c r="O1" s="27" t="s">
        <v>617</v>
      </c>
      <c r="P1" s="27" t="s">
        <v>526</v>
      </c>
    </row>
    <row r="2" spans="1:16" s="12" customFormat="1" x14ac:dyDescent="0.25">
      <c r="A2" s="25" t="s">
        <v>1</v>
      </c>
      <c r="B2" s="23" t="s">
        <v>488</v>
      </c>
      <c r="C2" s="23" t="s">
        <v>16</v>
      </c>
      <c r="D2" s="54" t="s">
        <v>32</v>
      </c>
      <c r="E2" s="23" t="s">
        <v>488</v>
      </c>
      <c r="F2" s="54" t="s">
        <v>32</v>
      </c>
      <c r="G2" s="54" t="s">
        <v>32</v>
      </c>
      <c r="H2" s="54" t="s">
        <v>24</v>
      </c>
      <c r="I2" s="23" t="s">
        <v>18</v>
      </c>
      <c r="J2" s="23" t="s">
        <v>2</v>
      </c>
      <c r="K2" s="23" t="s">
        <v>18</v>
      </c>
      <c r="L2" s="23" t="s">
        <v>18</v>
      </c>
      <c r="M2" s="23" t="s">
        <v>18</v>
      </c>
      <c r="N2" s="23" t="s">
        <v>18</v>
      </c>
      <c r="O2" s="23" t="s">
        <v>18</v>
      </c>
      <c r="P2" s="23" t="s">
        <v>2</v>
      </c>
    </row>
    <row r="3" spans="1:16" s="12" customFormat="1" x14ac:dyDescent="0.25">
      <c r="A3" s="26" t="s">
        <v>3</v>
      </c>
      <c r="B3" s="24" t="s">
        <v>514</v>
      </c>
      <c r="C3" s="24" t="s">
        <v>514</v>
      </c>
      <c r="D3" s="55" t="s">
        <v>514</v>
      </c>
      <c r="E3" s="24" t="s">
        <v>514</v>
      </c>
      <c r="F3" s="55" t="s">
        <v>514</v>
      </c>
      <c r="G3" s="55" t="s">
        <v>514</v>
      </c>
      <c r="H3" s="55" t="s">
        <v>25</v>
      </c>
      <c r="I3" s="24" t="s">
        <v>492</v>
      </c>
      <c r="J3" s="24" t="s">
        <v>492</v>
      </c>
      <c r="K3" s="24" t="s">
        <v>607</v>
      </c>
      <c r="L3" s="24" t="s">
        <v>607</v>
      </c>
      <c r="M3" s="24" t="s">
        <v>607</v>
      </c>
      <c r="N3" s="24" t="s">
        <v>39</v>
      </c>
      <c r="O3" s="24" t="s">
        <v>40</v>
      </c>
      <c r="P3" s="24"/>
    </row>
    <row r="4" spans="1:16" x14ac:dyDescent="0.25">
      <c r="A4" s="4"/>
      <c r="B4" s="19" t="s">
        <v>4</v>
      </c>
      <c r="C4" s="19" t="s">
        <v>551</v>
      </c>
      <c r="D4" s="19" t="s">
        <v>550</v>
      </c>
      <c r="E4" s="19" t="s">
        <v>568</v>
      </c>
      <c r="F4" s="19" t="s">
        <v>562</v>
      </c>
      <c r="G4" s="19" t="s">
        <v>563</v>
      </c>
      <c r="H4" s="19" t="s">
        <v>564</v>
      </c>
      <c r="I4" s="19" t="s">
        <v>565</v>
      </c>
      <c r="J4" s="19" t="s">
        <v>566</v>
      </c>
      <c r="K4" s="19" t="s">
        <v>606</v>
      </c>
      <c r="L4" s="19" t="s">
        <v>608</v>
      </c>
      <c r="M4" s="19" t="s">
        <v>609</v>
      </c>
      <c r="N4" s="19" t="s">
        <v>567</v>
      </c>
      <c r="O4" s="19" t="s">
        <v>561</v>
      </c>
      <c r="P4" s="19" t="s">
        <v>560</v>
      </c>
    </row>
    <row r="5" spans="1:16" x14ac:dyDescent="0.25">
      <c r="A5" s="4"/>
      <c r="B5" s="28" t="str">
        <f>IF(ISNUMBER(MATCH(D5, Mgt_Unit!$C$5:$C$1018, 0)), INDEX(Mgt_Unit!$B$5:$B$1018, MATCH(D5, Mgt_Unit!$C$5:$C$1018, 0)), "")</f>
        <v>jennifer.moore</v>
      </c>
      <c r="C5" s="28"/>
      <c r="D5" s="60" t="s">
        <v>704</v>
      </c>
      <c r="E5" s="45"/>
      <c r="F5" s="9" t="s">
        <v>43</v>
      </c>
      <c r="G5" s="60" t="s">
        <v>1564</v>
      </c>
      <c r="H5" s="75">
        <v>43280</v>
      </c>
      <c r="I5" s="60">
        <v>1500</v>
      </c>
      <c r="J5" s="60" t="s">
        <v>1578</v>
      </c>
      <c r="K5" s="9"/>
      <c r="L5" s="9"/>
      <c r="M5" s="9"/>
      <c r="N5" s="9"/>
      <c r="O5" s="9"/>
      <c r="P5" s="9"/>
    </row>
    <row r="6" spans="1:16" x14ac:dyDescent="0.25">
      <c r="A6" s="4"/>
      <c r="B6" s="28" t="str">
        <f>IF(ISNUMBER(MATCH(D6, Mgt_Unit!$C$5:$C$1018, 0)), INDEX(Mgt_Unit!$B$5:$B$1018, MATCH(D6, Mgt_Unit!$C$5:$C$1018, 0)), "")</f>
        <v>jennifer.moore</v>
      </c>
      <c r="C6" s="28"/>
      <c r="D6" s="60" t="s">
        <v>705</v>
      </c>
      <c r="E6" s="45"/>
      <c r="F6" s="9" t="s">
        <v>43</v>
      </c>
      <c r="G6" s="60" t="s">
        <v>1564</v>
      </c>
      <c r="H6" s="75">
        <v>43280</v>
      </c>
      <c r="I6" s="60">
        <v>1500</v>
      </c>
      <c r="J6" s="60" t="s">
        <v>1578</v>
      </c>
      <c r="K6" s="9"/>
      <c r="L6" s="9"/>
      <c r="M6" s="9"/>
      <c r="N6" s="9"/>
      <c r="O6" s="9"/>
      <c r="P6" s="9"/>
    </row>
    <row r="7" spans="1:16" x14ac:dyDescent="0.25">
      <c r="A7" s="4"/>
      <c r="B7" s="28" t="str">
        <f>IF(ISNUMBER(MATCH(D7, Mgt_Unit!$C$5:$C$1018, 0)), INDEX(Mgt_Unit!$B$5:$B$1018, MATCH(D7, Mgt_Unit!$C$5:$C$1018, 0)), "")</f>
        <v>jennifer.moore</v>
      </c>
      <c r="C7" s="28"/>
      <c r="D7" s="60" t="s">
        <v>706</v>
      </c>
      <c r="E7" s="45"/>
      <c r="F7" s="9" t="s">
        <v>43</v>
      </c>
      <c r="G7" s="60" t="s">
        <v>1564</v>
      </c>
      <c r="H7" s="75">
        <v>43280</v>
      </c>
      <c r="I7" s="60">
        <v>1500</v>
      </c>
      <c r="J7" s="60" t="s">
        <v>1578</v>
      </c>
      <c r="K7" s="9"/>
      <c r="L7" s="9"/>
      <c r="M7" s="9"/>
      <c r="N7" s="9"/>
      <c r="O7" s="9"/>
      <c r="P7" s="9"/>
    </row>
    <row r="8" spans="1:16" x14ac:dyDescent="0.25">
      <c r="A8" s="4"/>
      <c r="B8" s="28" t="str">
        <f>IF(ISNUMBER(MATCH(D8, Mgt_Unit!$C$5:$C$1018, 0)), INDEX(Mgt_Unit!$B$5:$B$1018, MATCH(D8, Mgt_Unit!$C$5:$C$1018, 0)), "")</f>
        <v>jennifer.moore</v>
      </c>
      <c r="C8" s="28"/>
      <c r="D8" s="60" t="s">
        <v>706</v>
      </c>
      <c r="E8" s="45"/>
      <c r="F8" s="9" t="s">
        <v>43</v>
      </c>
      <c r="G8" s="60" t="s">
        <v>1564</v>
      </c>
      <c r="H8" s="75">
        <v>43645</v>
      </c>
      <c r="I8" s="60">
        <v>1500</v>
      </c>
      <c r="J8" s="60" t="s">
        <v>1578</v>
      </c>
      <c r="K8" s="9"/>
      <c r="L8" s="9"/>
      <c r="M8" s="9"/>
      <c r="N8" s="9"/>
      <c r="O8" s="9"/>
      <c r="P8" s="9"/>
    </row>
    <row r="9" spans="1:16" x14ac:dyDescent="0.25">
      <c r="A9" s="4"/>
      <c r="B9" s="28" t="str">
        <f>IF(ISNUMBER(MATCH(D9, Mgt_Unit!$C$5:$C$1018, 0)), INDEX(Mgt_Unit!$B$5:$B$1018, MATCH(D9, Mgt_Unit!$C$5:$C$1018, 0)), "")</f>
        <v>jennifer.moore</v>
      </c>
      <c r="C9" s="28"/>
      <c r="D9" s="60" t="s">
        <v>707</v>
      </c>
      <c r="E9" s="45"/>
      <c r="F9" s="9" t="s">
        <v>43</v>
      </c>
      <c r="G9" s="60" t="s">
        <v>1564</v>
      </c>
      <c r="H9" s="75">
        <v>43280</v>
      </c>
      <c r="I9" s="60">
        <v>1500</v>
      </c>
      <c r="J9" s="60" t="s">
        <v>1578</v>
      </c>
      <c r="K9" s="9"/>
      <c r="L9" s="9"/>
      <c r="M9" s="9"/>
      <c r="N9" s="9"/>
      <c r="O9" s="9"/>
      <c r="P9" s="9"/>
    </row>
    <row r="10" spans="1:16" x14ac:dyDescent="0.25">
      <c r="A10" s="4"/>
      <c r="B10" s="28" t="str">
        <f>IF(ISNUMBER(MATCH(D10, Mgt_Unit!$C$5:$C$1018, 0)), INDEX(Mgt_Unit!$B$5:$B$1018, MATCH(D10, Mgt_Unit!$C$5:$C$1018, 0)), "")</f>
        <v>jennifer.moore</v>
      </c>
      <c r="C10" s="28"/>
      <c r="D10" s="60" t="s">
        <v>707</v>
      </c>
      <c r="E10" s="45"/>
      <c r="F10" s="9" t="s">
        <v>43</v>
      </c>
      <c r="G10" s="60" t="s">
        <v>1564</v>
      </c>
      <c r="H10" s="75">
        <v>43645</v>
      </c>
      <c r="I10" s="60">
        <v>1500</v>
      </c>
      <c r="J10" s="60" t="s">
        <v>1578</v>
      </c>
      <c r="K10" s="9"/>
      <c r="L10" s="9"/>
      <c r="M10" s="9"/>
      <c r="N10" s="9"/>
      <c r="O10" s="9"/>
      <c r="P10" s="9"/>
    </row>
    <row r="11" spans="1:16" x14ac:dyDescent="0.25">
      <c r="A11" s="4"/>
      <c r="B11" s="28" t="str">
        <f>IF(ISNUMBER(MATCH(D11, Mgt_Unit!$C$5:$C$1018, 0)), INDEX(Mgt_Unit!$B$5:$B$1018, MATCH(D11, Mgt_Unit!$C$5:$C$1018, 0)), "")</f>
        <v>jennifer.moore</v>
      </c>
      <c r="C11" s="28"/>
      <c r="D11" s="60" t="s">
        <v>708</v>
      </c>
      <c r="E11" s="45"/>
      <c r="F11" s="9" t="s">
        <v>43</v>
      </c>
      <c r="G11" s="60" t="s">
        <v>1564</v>
      </c>
      <c r="H11" s="75">
        <v>43280</v>
      </c>
      <c r="I11" s="60">
        <v>1500</v>
      </c>
      <c r="J11" s="60" t="s">
        <v>1578</v>
      </c>
      <c r="K11" s="9"/>
      <c r="L11" s="9"/>
      <c r="M11" s="9"/>
      <c r="N11" s="9"/>
      <c r="O11" s="9"/>
      <c r="P11" s="9"/>
    </row>
    <row r="12" spans="1:16" x14ac:dyDescent="0.25">
      <c r="A12" s="4"/>
      <c r="B12" s="28" t="str">
        <f>IF(ISNUMBER(MATCH(D12, Mgt_Unit!$C$5:$C$1018, 0)), INDEX(Mgt_Unit!$B$5:$B$1018, MATCH(D12, Mgt_Unit!$C$5:$C$1018, 0)), "")</f>
        <v>jennifer.moore</v>
      </c>
      <c r="C12" s="28"/>
      <c r="D12" s="60" t="s">
        <v>709</v>
      </c>
      <c r="E12" s="45"/>
      <c r="F12" s="9" t="s">
        <v>43</v>
      </c>
      <c r="G12" s="60" t="s">
        <v>1564</v>
      </c>
      <c r="H12" s="75">
        <v>43280</v>
      </c>
      <c r="I12" s="60">
        <v>1500</v>
      </c>
      <c r="J12" s="60" t="s">
        <v>1578</v>
      </c>
      <c r="K12" s="9"/>
      <c r="L12" s="9"/>
      <c r="M12" s="9"/>
      <c r="N12" s="9"/>
      <c r="O12" s="9"/>
      <c r="P12" s="9"/>
    </row>
    <row r="13" spans="1:16" x14ac:dyDescent="0.25">
      <c r="A13" s="4"/>
      <c r="B13" s="28" t="str">
        <f>IF(ISNUMBER(MATCH(D13, Mgt_Unit!$C$5:$C$1018, 0)), INDEX(Mgt_Unit!$B$5:$B$1018, MATCH(D13, Mgt_Unit!$C$5:$C$1018, 0)), "")</f>
        <v>jennifer.moore</v>
      </c>
      <c r="C13" s="28"/>
      <c r="D13" s="60" t="s">
        <v>709</v>
      </c>
      <c r="E13" s="45"/>
      <c r="F13" s="9" t="s">
        <v>43</v>
      </c>
      <c r="G13" s="60" t="s">
        <v>1564</v>
      </c>
      <c r="H13" s="75">
        <v>43645</v>
      </c>
      <c r="I13" s="60">
        <v>1500</v>
      </c>
      <c r="J13" s="60" t="s">
        <v>1578</v>
      </c>
      <c r="K13" s="9"/>
      <c r="L13" s="9"/>
      <c r="M13" s="9"/>
      <c r="N13" s="9"/>
      <c r="O13" s="9"/>
      <c r="P13" s="9"/>
    </row>
    <row r="14" spans="1:16" x14ac:dyDescent="0.25">
      <c r="A14" s="4"/>
      <c r="B14" s="28" t="str">
        <f>IF(ISNUMBER(MATCH(D14, Mgt_Unit!$C$5:$C$1018, 0)), INDEX(Mgt_Unit!$B$5:$B$1018, MATCH(D14, Mgt_Unit!$C$5:$C$1018, 0)), "")</f>
        <v>jennifer.moore</v>
      </c>
      <c r="C14" s="28"/>
      <c r="D14" s="60" t="s">
        <v>710</v>
      </c>
      <c r="E14" s="45"/>
      <c r="F14" s="9" t="s">
        <v>43</v>
      </c>
      <c r="G14" s="60" t="s">
        <v>1564</v>
      </c>
      <c r="H14" s="75">
        <v>43280</v>
      </c>
      <c r="I14" s="60">
        <v>1500</v>
      </c>
      <c r="J14" s="60" t="s">
        <v>1578</v>
      </c>
      <c r="K14" s="9"/>
      <c r="L14" s="9"/>
      <c r="M14" s="9"/>
      <c r="N14" s="9"/>
      <c r="O14" s="9"/>
      <c r="P14" s="9"/>
    </row>
    <row r="15" spans="1:16" x14ac:dyDescent="0.25">
      <c r="A15" s="4"/>
      <c r="B15" s="28" t="str">
        <f>IF(ISNUMBER(MATCH(D15, Mgt_Unit!$C$5:$C$1018, 0)), INDEX(Mgt_Unit!$B$5:$B$1018, MATCH(D15, Mgt_Unit!$C$5:$C$1018, 0)), "")</f>
        <v>jennifer.moore</v>
      </c>
      <c r="C15" s="28"/>
      <c r="D15" s="60" t="s">
        <v>710</v>
      </c>
      <c r="E15" s="45"/>
      <c r="F15" s="9" t="s">
        <v>43</v>
      </c>
      <c r="G15" s="60" t="s">
        <v>1564</v>
      </c>
      <c r="H15" s="75">
        <v>43645</v>
      </c>
      <c r="I15" s="60">
        <v>1500</v>
      </c>
      <c r="J15" s="60" t="s">
        <v>1578</v>
      </c>
      <c r="K15" s="9"/>
      <c r="L15" s="9"/>
      <c r="M15" s="9"/>
      <c r="N15" s="9"/>
      <c r="O15" s="9"/>
      <c r="P15" s="9"/>
    </row>
    <row r="16" spans="1:16" x14ac:dyDescent="0.25">
      <c r="A16" s="4"/>
      <c r="B16" s="28" t="str">
        <f>IF(ISNUMBER(MATCH(D16, Mgt_Unit!$C$5:$C$1018, 0)), INDEX(Mgt_Unit!$B$5:$B$1018, MATCH(D16, Mgt_Unit!$C$5:$C$1018, 0)), "")</f>
        <v>jennifer.moore</v>
      </c>
      <c r="C16" s="28"/>
      <c r="D16" s="60" t="s">
        <v>773</v>
      </c>
      <c r="E16" s="45"/>
      <c r="F16" s="9" t="s">
        <v>43</v>
      </c>
      <c r="G16" s="60" t="s">
        <v>1173</v>
      </c>
      <c r="H16" s="75">
        <v>43146</v>
      </c>
      <c r="I16" s="60">
        <v>72</v>
      </c>
      <c r="J16" s="60" t="s">
        <v>1174</v>
      </c>
      <c r="K16" s="9"/>
      <c r="L16" s="9"/>
      <c r="M16" s="9"/>
      <c r="N16" s="9"/>
      <c r="O16" s="9"/>
      <c r="P16" s="9"/>
    </row>
    <row r="17" spans="1:16" x14ac:dyDescent="0.25">
      <c r="A17" s="4"/>
      <c r="B17" s="28" t="str">
        <f>IF(ISNUMBER(MATCH(D17, Mgt_Unit!$C$5:$C$1018, 0)), INDEX(Mgt_Unit!$B$5:$B$1018, MATCH(D17, Mgt_Unit!$C$5:$C$1018, 0)), "")</f>
        <v>jennifer.moore</v>
      </c>
      <c r="C17" s="28"/>
      <c r="D17" s="60" t="s">
        <v>773</v>
      </c>
      <c r="E17" s="45"/>
      <c r="F17" s="9" t="s">
        <v>43</v>
      </c>
      <c r="G17" s="60" t="s">
        <v>1173</v>
      </c>
      <c r="H17" s="75">
        <v>43439</v>
      </c>
      <c r="I17" s="60">
        <v>72</v>
      </c>
      <c r="J17" s="60" t="s">
        <v>1174</v>
      </c>
      <c r="K17" s="9"/>
      <c r="L17" s="9"/>
      <c r="M17" s="9"/>
      <c r="N17" s="9"/>
      <c r="O17" s="9"/>
      <c r="P17" s="9"/>
    </row>
    <row r="18" spans="1:16" x14ac:dyDescent="0.25">
      <c r="A18" s="4"/>
      <c r="B18" s="28" t="str">
        <f>IF(ISNUMBER(MATCH(D18, Mgt_Unit!$C$5:$C$1018, 0)), INDEX(Mgt_Unit!$B$5:$B$1018, MATCH(D18, Mgt_Unit!$C$5:$C$1018, 0)), "")</f>
        <v>jennifer.moore</v>
      </c>
      <c r="C18" s="28"/>
      <c r="D18" s="60" t="s">
        <v>773</v>
      </c>
      <c r="E18" s="45"/>
      <c r="F18" s="9" t="s">
        <v>43</v>
      </c>
      <c r="G18" s="60" t="s">
        <v>1173</v>
      </c>
      <c r="H18" s="75">
        <v>43511</v>
      </c>
      <c r="I18" s="60">
        <v>72</v>
      </c>
      <c r="J18" s="60" t="s">
        <v>1174</v>
      </c>
      <c r="K18" s="9"/>
      <c r="L18" s="9"/>
      <c r="M18" s="9"/>
      <c r="N18" s="9"/>
      <c r="O18" s="9"/>
      <c r="P18" s="9"/>
    </row>
    <row r="19" spans="1:16" x14ac:dyDescent="0.25">
      <c r="A19" s="4"/>
      <c r="B19" s="28" t="str">
        <f>IF(ISNUMBER(MATCH(D19, Mgt_Unit!$C$5:$C$1018, 0)), INDEX(Mgt_Unit!$B$5:$B$1018, MATCH(D19, Mgt_Unit!$C$5:$C$1018, 0)), "")</f>
        <v>jennifer.moore</v>
      </c>
      <c r="C19" s="28"/>
      <c r="D19" s="60" t="s">
        <v>773</v>
      </c>
      <c r="E19" s="45"/>
      <c r="F19" s="9" t="s">
        <v>43</v>
      </c>
      <c r="G19" s="60" t="s">
        <v>1173</v>
      </c>
      <c r="H19" s="75">
        <v>43804</v>
      </c>
      <c r="I19" s="60">
        <v>72</v>
      </c>
      <c r="J19" s="60" t="s">
        <v>1174</v>
      </c>
      <c r="K19" s="9"/>
      <c r="L19" s="9"/>
      <c r="M19" s="9"/>
      <c r="N19" s="9"/>
      <c r="O19" s="9"/>
      <c r="P19" s="9"/>
    </row>
    <row r="20" spans="1:16" x14ac:dyDescent="0.25">
      <c r="A20" s="4"/>
      <c r="B20" s="28" t="str">
        <f>IF(ISNUMBER(MATCH(D20, Mgt_Unit!$C$5:$C$1018, 0)), INDEX(Mgt_Unit!$B$5:$B$1018, MATCH(D20, Mgt_Unit!$C$5:$C$1018, 0)), "")</f>
        <v>jennifer.moore</v>
      </c>
      <c r="C20" s="28"/>
      <c r="D20" s="60" t="s">
        <v>774</v>
      </c>
      <c r="E20" s="45"/>
      <c r="F20" s="9" t="s">
        <v>43</v>
      </c>
      <c r="G20" s="60" t="s">
        <v>1173</v>
      </c>
      <c r="H20" s="75">
        <v>43146</v>
      </c>
      <c r="I20" s="60">
        <v>72</v>
      </c>
      <c r="J20" s="60" t="s">
        <v>1174</v>
      </c>
      <c r="K20" s="9"/>
      <c r="L20" s="9"/>
      <c r="M20" s="9"/>
      <c r="N20" s="9"/>
      <c r="O20" s="9"/>
      <c r="P20" s="9"/>
    </row>
    <row r="21" spans="1:16" x14ac:dyDescent="0.25">
      <c r="A21" s="4"/>
      <c r="B21" s="28" t="str">
        <f>IF(ISNUMBER(MATCH(D21, Mgt_Unit!$C$5:$C$1018, 0)), INDEX(Mgt_Unit!$B$5:$B$1018, MATCH(D21, Mgt_Unit!$C$5:$C$1018, 0)), "")</f>
        <v>jennifer.moore</v>
      </c>
      <c r="C21" s="28"/>
      <c r="D21" s="60" t="s">
        <v>774</v>
      </c>
      <c r="E21" s="45"/>
      <c r="F21" s="9" t="s">
        <v>43</v>
      </c>
      <c r="G21" s="60" t="s">
        <v>1173</v>
      </c>
      <c r="H21" s="75">
        <v>43439</v>
      </c>
      <c r="I21" s="60">
        <v>72</v>
      </c>
      <c r="J21" s="60" t="s">
        <v>1174</v>
      </c>
      <c r="K21" s="9"/>
      <c r="L21" s="9"/>
      <c r="M21" s="9"/>
      <c r="N21" s="9"/>
      <c r="O21" s="9"/>
      <c r="P21" s="9"/>
    </row>
    <row r="22" spans="1:16" x14ac:dyDescent="0.25">
      <c r="A22" s="4"/>
      <c r="B22" s="28" t="str">
        <f>IF(ISNUMBER(MATCH(D22, Mgt_Unit!$C$5:$C$1018, 0)), INDEX(Mgt_Unit!$B$5:$B$1018, MATCH(D22, Mgt_Unit!$C$5:$C$1018, 0)), "")</f>
        <v>jennifer.moore</v>
      </c>
      <c r="C22" s="28"/>
      <c r="D22" s="60" t="s">
        <v>774</v>
      </c>
      <c r="E22" s="45"/>
      <c r="F22" s="9" t="s">
        <v>43</v>
      </c>
      <c r="G22" s="60" t="s">
        <v>1173</v>
      </c>
      <c r="H22" s="75">
        <v>43511</v>
      </c>
      <c r="I22" s="60">
        <v>72</v>
      </c>
      <c r="J22" s="60" t="s">
        <v>1174</v>
      </c>
      <c r="K22" s="9"/>
      <c r="L22" s="9"/>
      <c r="M22" s="9"/>
      <c r="N22" s="9"/>
      <c r="O22" s="9"/>
      <c r="P22" s="9"/>
    </row>
    <row r="23" spans="1:16" x14ac:dyDescent="0.25">
      <c r="A23" s="4"/>
      <c r="B23" s="28" t="str">
        <f>IF(ISNUMBER(MATCH(D23, Mgt_Unit!$C$5:$C$1018, 0)), INDEX(Mgt_Unit!$B$5:$B$1018, MATCH(D23, Mgt_Unit!$C$5:$C$1018, 0)), "")</f>
        <v>jennifer.moore</v>
      </c>
      <c r="C23" s="28"/>
      <c r="D23" s="60" t="s">
        <v>777</v>
      </c>
      <c r="E23" s="45"/>
      <c r="F23" s="9" t="s">
        <v>43</v>
      </c>
      <c r="G23" s="60" t="s">
        <v>1173</v>
      </c>
      <c r="H23" s="75">
        <v>43146</v>
      </c>
      <c r="I23" s="60">
        <v>72</v>
      </c>
      <c r="J23" s="60" t="s">
        <v>1174</v>
      </c>
      <c r="K23" s="9"/>
      <c r="L23" s="9"/>
      <c r="M23" s="9"/>
      <c r="N23" s="9"/>
      <c r="O23" s="9"/>
      <c r="P23" s="9"/>
    </row>
    <row r="24" spans="1:16" x14ac:dyDescent="0.25">
      <c r="A24" s="4"/>
      <c r="B24" s="28" t="str">
        <f>IF(ISNUMBER(MATCH(D24, Mgt_Unit!$C$5:$C$1018, 0)), INDEX(Mgt_Unit!$B$5:$B$1018, MATCH(D24, Mgt_Unit!$C$5:$C$1018, 0)), "")</f>
        <v>jennifer.moore</v>
      </c>
      <c r="C24" s="28"/>
      <c r="D24" s="60" t="s">
        <v>777</v>
      </c>
      <c r="E24" s="45"/>
      <c r="F24" s="9" t="s">
        <v>43</v>
      </c>
      <c r="G24" s="60" t="s">
        <v>1173</v>
      </c>
      <c r="H24" s="75">
        <v>43439</v>
      </c>
      <c r="I24" s="60">
        <v>72</v>
      </c>
      <c r="J24" s="60" t="s">
        <v>1174</v>
      </c>
      <c r="K24" s="9"/>
      <c r="L24" s="9"/>
      <c r="M24" s="9"/>
      <c r="N24" s="9"/>
      <c r="O24" s="9"/>
      <c r="P24" s="9"/>
    </row>
    <row r="25" spans="1:16" x14ac:dyDescent="0.25">
      <c r="A25" s="4"/>
      <c r="B25" s="28" t="str">
        <f>IF(ISNUMBER(MATCH(D25, Mgt_Unit!$C$5:$C$1018, 0)), INDEX(Mgt_Unit!$B$5:$B$1018, MATCH(D25, Mgt_Unit!$C$5:$C$1018, 0)), "")</f>
        <v>jennifer.moore</v>
      </c>
      <c r="C25" s="28"/>
      <c r="D25" s="60" t="s">
        <v>777</v>
      </c>
      <c r="E25" s="45"/>
      <c r="F25" s="9" t="s">
        <v>43</v>
      </c>
      <c r="G25" s="60" t="s">
        <v>1173</v>
      </c>
      <c r="H25" s="75">
        <v>43511</v>
      </c>
      <c r="I25" s="60">
        <v>72</v>
      </c>
      <c r="J25" s="60" t="s">
        <v>1174</v>
      </c>
      <c r="K25" s="9"/>
      <c r="L25" s="9"/>
      <c r="M25" s="9"/>
      <c r="N25" s="9"/>
      <c r="O25" s="9"/>
      <c r="P25" s="9"/>
    </row>
    <row r="26" spans="1:16" x14ac:dyDescent="0.25">
      <c r="A26" s="4"/>
      <c r="B26" s="28" t="str">
        <f>IF(ISNUMBER(MATCH(D26, Mgt_Unit!$C$5:$C$1018, 0)), INDEX(Mgt_Unit!$B$5:$B$1018, MATCH(D26, Mgt_Unit!$C$5:$C$1018, 0)), "")</f>
        <v>jennifer.moore</v>
      </c>
      <c r="C26" s="28"/>
      <c r="D26" s="60" t="s">
        <v>777</v>
      </c>
      <c r="E26" s="45"/>
      <c r="F26" s="9" t="s">
        <v>43</v>
      </c>
      <c r="G26" s="60" t="s">
        <v>1173</v>
      </c>
      <c r="H26" s="75">
        <v>43804</v>
      </c>
      <c r="I26" s="60">
        <v>72</v>
      </c>
      <c r="J26" s="60" t="s">
        <v>1174</v>
      </c>
      <c r="K26" s="9"/>
      <c r="L26" s="9"/>
      <c r="M26" s="9"/>
      <c r="N26" s="9"/>
      <c r="O26" s="9"/>
      <c r="P26" s="9"/>
    </row>
    <row r="27" spans="1:16" x14ac:dyDescent="0.25">
      <c r="A27" s="4"/>
      <c r="B27" s="28" t="str">
        <f>IF(ISNUMBER(MATCH(D27, Mgt_Unit!$C$5:$C$1018, 0)), INDEX(Mgt_Unit!$B$5:$B$1018, MATCH(D27, Mgt_Unit!$C$5:$C$1018, 0)), "")</f>
        <v>jennifer.moore</v>
      </c>
      <c r="C27" s="28"/>
      <c r="D27" s="60" t="s">
        <v>778</v>
      </c>
      <c r="E27" s="45"/>
      <c r="F27" s="9" t="s">
        <v>43</v>
      </c>
      <c r="G27" s="60" t="s">
        <v>1173</v>
      </c>
      <c r="H27" s="75">
        <v>43146</v>
      </c>
      <c r="I27" s="60">
        <v>72</v>
      </c>
      <c r="J27" s="60" t="s">
        <v>1174</v>
      </c>
      <c r="K27" s="9"/>
      <c r="L27" s="9"/>
      <c r="M27" s="9"/>
      <c r="N27" s="9"/>
      <c r="O27" s="9"/>
      <c r="P27" s="9"/>
    </row>
    <row r="28" spans="1:16" x14ac:dyDescent="0.25">
      <c r="A28" s="4"/>
      <c r="B28" s="28" t="str">
        <f>IF(ISNUMBER(MATCH(D28, Mgt_Unit!$C$5:$C$1018, 0)), INDEX(Mgt_Unit!$B$5:$B$1018, MATCH(D28, Mgt_Unit!$C$5:$C$1018, 0)), "")</f>
        <v>jennifer.moore</v>
      </c>
      <c r="C28" s="28"/>
      <c r="D28" s="60" t="s">
        <v>778</v>
      </c>
      <c r="E28" s="45"/>
      <c r="F28" s="9" t="s">
        <v>43</v>
      </c>
      <c r="G28" s="60" t="s">
        <v>1173</v>
      </c>
      <c r="H28" s="75">
        <v>43439</v>
      </c>
      <c r="I28" s="60">
        <v>72</v>
      </c>
      <c r="J28" s="60" t="s">
        <v>1174</v>
      </c>
      <c r="K28" s="9"/>
      <c r="L28" s="9"/>
      <c r="M28" s="9"/>
      <c r="N28" s="9"/>
      <c r="O28" s="9"/>
      <c r="P28" s="9"/>
    </row>
    <row r="29" spans="1:16" x14ac:dyDescent="0.25">
      <c r="A29" s="4"/>
      <c r="B29" s="28" t="str">
        <f>IF(ISNUMBER(MATCH(D29, Mgt_Unit!$C$5:$C$1018, 0)), INDEX(Mgt_Unit!$B$5:$B$1018, MATCH(D29, Mgt_Unit!$C$5:$C$1018, 0)), "")</f>
        <v>jennifer.moore</v>
      </c>
      <c r="C29" s="28"/>
      <c r="D29" s="60" t="s">
        <v>778</v>
      </c>
      <c r="E29" s="45"/>
      <c r="F29" s="9" t="s">
        <v>43</v>
      </c>
      <c r="G29" s="60" t="s">
        <v>1173</v>
      </c>
      <c r="H29" s="75">
        <v>43511</v>
      </c>
      <c r="I29" s="60">
        <v>72</v>
      </c>
      <c r="J29" s="60" t="s">
        <v>1174</v>
      </c>
      <c r="K29" s="9"/>
      <c r="L29" s="9"/>
      <c r="M29" s="9"/>
      <c r="N29" s="9"/>
      <c r="O29" s="9"/>
      <c r="P29" s="9"/>
    </row>
    <row r="30" spans="1:16" x14ac:dyDescent="0.25">
      <c r="A30" s="4"/>
      <c r="B30" s="28" t="str">
        <f>IF(ISNUMBER(MATCH(D30, Mgt_Unit!$C$5:$C$1018, 0)), INDEX(Mgt_Unit!$B$5:$B$1018, MATCH(D30, Mgt_Unit!$C$5:$C$1018, 0)), "")</f>
        <v>jennifer.moore</v>
      </c>
      <c r="C30" s="28"/>
      <c r="D30" s="60" t="s">
        <v>778</v>
      </c>
      <c r="E30" s="45"/>
      <c r="F30" s="9" t="s">
        <v>43</v>
      </c>
      <c r="G30" s="60" t="s">
        <v>1173</v>
      </c>
      <c r="H30" s="75">
        <v>43804</v>
      </c>
      <c r="I30" s="60">
        <v>72</v>
      </c>
      <c r="J30" s="60" t="s">
        <v>1174</v>
      </c>
      <c r="K30" s="9"/>
      <c r="L30" s="9"/>
      <c r="M30" s="9"/>
      <c r="N30" s="9"/>
      <c r="O30" s="9"/>
      <c r="P30" s="9"/>
    </row>
    <row r="31" spans="1:16" x14ac:dyDescent="0.25">
      <c r="A31" s="4"/>
      <c r="B31" s="28" t="str">
        <f>IF(ISNUMBER(MATCH(D31, Mgt_Unit!$C$5:$C$1018, 0)), INDEX(Mgt_Unit!$B$5:$B$1018, MATCH(D31, Mgt_Unit!$C$5:$C$1018, 0)), "")</f>
        <v>jennifer.moore</v>
      </c>
      <c r="C31" s="28"/>
      <c r="D31" s="60" t="s">
        <v>1290</v>
      </c>
      <c r="E31" s="45"/>
      <c r="F31" s="9" t="s">
        <v>43</v>
      </c>
      <c r="G31" s="60" t="s">
        <v>1173</v>
      </c>
      <c r="H31" s="75">
        <v>43579</v>
      </c>
      <c r="I31" s="60">
        <v>794</v>
      </c>
      <c r="J31" s="60" t="s">
        <v>1579</v>
      </c>
      <c r="K31" s="9"/>
      <c r="L31" s="9"/>
      <c r="M31" s="9"/>
      <c r="N31" s="9"/>
      <c r="O31" s="9"/>
      <c r="P31" s="9"/>
    </row>
    <row r="32" spans="1:16" x14ac:dyDescent="0.25">
      <c r="A32" s="4"/>
      <c r="B32" s="28" t="str">
        <f>IF(ISNUMBER(MATCH(D32, Mgt_Unit!$C$5:$C$1018, 0)), INDEX(Mgt_Unit!$B$5:$B$1018, MATCH(D32, Mgt_Unit!$C$5:$C$1018, 0)), "")</f>
        <v>jennifer.moore</v>
      </c>
      <c r="C32" s="28"/>
      <c r="D32" s="60" t="s">
        <v>1291</v>
      </c>
      <c r="E32" s="45"/>
      <c r="F32" s="9" t="s">
        <v>43</v>
      </c>
      <c r="G32" s="60" t="s">
        <v>1173</v>
      </c>
      <c r="H32" s="75">
        <v>43579</v>
      </c>
      <c r="I32" s="60">
        <v>794</v>
      </c>
      <c r="J32" s="60" t="s">
        <v>1579</v>
      </c>
      <c r="K32" s="9"/>
      <c r="L32" s="9"/>
      <c r="M32" s="9"/>
      <c r="N32" s="9"/>
      <c r="O32" s="9"/>
      <c r="P32" s="9"/>
    </row>
    <row r="33" spans="1:16" x14ac:dyDescent="0.25">
      <c r="A33" s="4"/>
      <c r="B33" s="28" t="str">
        <f>IF(ISNUMBER(MATCH(D33, Mgt_Unit!$C$5:$C$1018, 0)), INDEX(Mgt_Unit!$B$5:$B$1018, MATCH(D33, Mgt_Unit!$C$5:$C$1018, 0)), "")</f>
        <v>jennifer.moore</v>
      </c>
      <c r="C33" s="28"/>
      <c r="D33" s="60" t="s">
        <v>1289</v>
      </c>
      <c r="E33" s="45"/>
      <c r="F33" s="9" t="s">
        <v>43</v>
      </c>
      <c r="G33" s="60" t="s">
        <v>1173</v>
      </c>
      <c r="H33" s="75">
        <v>43579</v>
      </c>
      <c r="I33" s="60">
        <v>794</v>
      </c>
      <c r="J33" s="60" t="s">
        <v>1579</v>
      </c>
      <c r="K33" s="9"/>
      <c r="L33" s="9"/>
      <c r="M33" s="9"/>
      <c r="N33" s="9"/>
      <c r="O33" s="9"/>
      <c r="P33" s="9"/>
    </row>
    <row r="34" spans="1:16" x14ac:dyDescent="0.25">
      <c r="A34" s="4"/>
      <c r="B34" s="28" t="str">
        <f>IF(ISNUMBER(MATCH(D34, Mgt_Unit!$C$5:$C$1018, 0)), INDEX(Mgt_Unit!$B$5:$B$1018, MATCH(D34, Mgt_Unit!$C$5:$C$1018, 0)), "")</f>
        <v>jennifer.moore</v>
      </c>
      <c r="C34" s="28"/>
      <c r="D34" s="60" t="s">
        <v>801</v>
      </c>
      <c r="E34" s="45"/>
      <c r="F34" s="9" t="s">
        <v>43</v>
      </c>
      <c r="G34" s="60" t="s">
        <v>1565</v>
      </c>
      <c r="H34" s="75">
        <v>42808</v>
      </c>
      <c r="I34" s="60">
        <v>4</v>
      </c>
      <c r="J34" s="60" t="s">
        <v>1580</v>
      </c>
      <c r="K34" s="9"/>
      <c r="L34" s="9"/>
      <c r="M34" s="9"/>
      <c r="N34" s="9"/>
      <c r="O34" s="9"/>
      <c r="P34" s="9"/>
    </row>
    <row r="35" spans="1:16" x14ac:dyDescent="0.25">
      <c r="A35" s="4"/>
      <c r="B35" s="28" t="str">
        <f>IF(ISNUMBER(MATCH(D35, Mgt_Unit!$C$5:$C$1018, 0)), INDEX(Mgt_Unit!$B$5:$B$1018, MATCH(D35, Mgt_Unit!$C$5:$C$1018, 0)), "")</f>
        <v>jennifer.moore</v>
      </c>
      <c r="C35" s="28"/>
      <c r="D35" s="60" t="s">
        <v>801</v>
      </c>
      <c r="E35" s="45"/>
      <c r="F35" s="9" t="s">
        <v>43</v>
      </c>
      <c r="G35" s="60" t="s">
        <v>1565</v>
      </c>
      <c r="H35" s="75">
        <v>43210</v>
      </c>
      <c r="I35" s="60">
        <v>4</v>
      </c>
      <c r="J35" s="60" t="s">
        <v>1580</v>
      </c>
      <c r="K35" s="9"/>
      <c r="L35" s="9"/>
      <c r="M35" s="9"/>
      <c r="N35" s="9"/>
      <c r="O35" s="9"/>
      <c r="P35" s="9"/>
    </row>
    <row r="36" spans="1:16" x14ac:dyDescent="0.25">
      <c r="A36" s="4"/>
      <c r="B36" s="28" t="str">
        <f>IF(ISNUMBER(MATCH(D36, Mgt_Unit!$C$5:$C$1018, 0)), INDEX(Mgt_Unit!$B$5:$B$1018, MATCH(D36, Mgt_Unit!$C$5:$C$1018, 0)), "")</f>
        <v>jennifer.moore</v>
      </c>
      <c r="C36" s="28"/>
      <c r="D36" s="60" t="s">
        <v>801</v>
      </c>
      <c r="E36" s="45"/>
      <c r="F36" s="9" t="s">
        <v>43</v>
      </c>
      <c r="G36" s="60" t="s">
        <v>1565</v>
      </c>
      <c r="H36" s="75">
        <v>43396</v>
      </c>
      <c r="I36" s="60">
        <v>4</v>
      </c>
      <c r="J36" s="60" t="s">
        <v>1580</v>
      </c>
      <c r="K36" s="9"/>
      <c r="L36" s="9"/>
      <c r="M36" s="9"/>
      <c r="N36" s="9"/>
      <c r="O36" s="9"/>
      <c r="P36" s="9"/>
    </row>
    <row r="37" spans="1:16" x14ac:dyDescent="0.25">
      <c r="A37" s="4"/>
      <c r="B37" s="28" t="str">
        <f>IF(ISNUMBER(MATCH(D37, Mgt_Unit!$C$5:$C$1018, 0)), INDEX(Mgt_Unit!$B$5:$B$1018, MATCH(D37, Mgt_Unit!$C$5:$C$1018, 0)), "")</f>
        <v>jennifer.moore</v>
      </c>
      <c r="C37" s="28"/>
      <c r="D37" s="60" t="s">
        <v>835</v>
      </c>
      <c r="E37" s="45"/>
      <c r="F37" s="9" t="s">
        <v>43</v>
      </c>
      <c r="G37" s="60" t="s">
        <v>1566</v>
      </c>
      <c r="H37" s="75">
        <v>42631</v>
      </c>
      <c r="I37" s="60">
        <v>2</v>
      </c>
      <c r="J37" s="60" t="s">
        <v>1580</v>
      </c>
      <c r="K37" s="9"/>
      <c r="L37" s="9"/>
      <c r="M37" s="9"/>
      <c r="N37" s="9"/>
      <c r="O37" s="9"/>
      <c r="P37" s="9"/>
    </row>
    <row r="38" spans="1:16" x14ac:dyDescent="0.25">
      <c r="A38" s="4"/>
      <c r="B38" s="28" t="str">
        <f>IF(ISNUMBER(MATCH(D38, Mgt_Unit!$C$5:$C$1018, 0)), INDEX(Mgt_Unit!$B$5:$B$1018, MATCH(D38, Mgt_Unit!$C$5:$C$1018, 0)), "")</f>
        <v>jennifer.moore</v>
      </c>
      <c r="C38" s="28"/>
      <c r="D38" s="60" t="s">
        <v>837</v>
      </c>
      <c r="E38" s="45"/>
      <c r="F38" s="9" t="s">
        <v>43</v>
      </c>
      <c r="G38" s="60" t="s">
        <v>1566</v>
      </c>
      <c r="H38" s="75">
        <v>42996</v>
      </c>
      <c r="I38" s="60">
        <v>2</v>
      </c>
      <c r="J38" s="60" t="s">
        <v>1580</v>
      </c>
      <c r="K38" s="9"/>
      <c r="L38" s="9"/>
      <c r="M38" s="9"/>
      <c r="N38" s="9"/>
      <c r="O38" s="9"/>
      <c r="P38" s="9"/>
    </row>
    <row r="39" spans="1:16" x14ac:dyDescent="0.25">
      <c r="A39" s="4"/>
      <c r="B39" s="28" t="str">
        <f>IF(ISNUMBER(MATCH(D39, Mgt_Unit!$C$5:$C$1018, 0)), INDEX(Mgt_Unit!$B$5:$B$1018, MATCH(D39, Mgt_Unit!$C$5:$C$1018, 0)), "")</f>
        <v>jennifer.moore</v>
      </c>
      <c r="C39" s="28"/>
      <c r="D39" s="60" t="s">
        <v>840</v>
      </c>
      <c r="E39" s="45"/>
      <c r="F39" s="9" t="s">
        <v>43</v>
      </c>
      <c r="G39" s="60" t="s">
        <v>1567</v>
      </c>
      <c r="H39" s="75">
        <v>43196</v>
      </c>
      <c r="I39" s="60">
        <v>4</v>
      </c>
      <c r="J39" s="60" t="s">
        <v>1580</v>
      </c>
      <c r="K39" s="9"/>
      <c r="L39" s="9"/>
      <c r="M39" s="9"/>
      <c r="N39" s="9"/>
      <c r="O39" s="9"/>
      <c r="P39" s="9"/>
    </row>
    <row r="40" spans="1:16" x14ac:dyDescent="0.25">
      <c r="A40" s="4"/>
      <c r="B40" s="28" t="str">
        <f>IF(ISNUMBER(MATCH(D40, Mgt_Unit!$C$5:$C$1018, 0)), INDEX(Mgt_Unit!$B$5:$B$1018, MATCH(D40, Mgt_Unit!$C$5:$C$1018, 0)), "")</f>
        <v>jennifer.moore</v>
      </c>
      <c r="C40" s="28"/>
      <c r="D40" s="60" t="s">
        <v>854</v>
      </c>
      <c r="E40" s="45"/>
      <c r="F40" s="9" t="s">
        <v>43</v>
      </c>
      <c r="G40" s="60" t="s">
        <v>1568</v>
      </c>
      <c r="H40" s="75">
        <v>43418</v>
      </c>
      <c r="I40" s="60">
        <v>8</v>
      </c>
      <c r="J40" s="60" t="s">
        <v>1580</v>
      </c>
      <c r="K40" s="9"/>
      <c r="L40" s="9"/>
      <c r="M40" s="9"/>
      <c r="N40" s="9"/>
      <c r="O40" s="9"/>
      <c r="P40" s="9"/>
    </row>
    <row r="41" spans="1:16" x14ac:dyDescent="0.25">
      <c r="A41" s="4"/>
      <c r="B41" s="28" t="str">
        <f>IF(ISNUMBER(MATCH(D41, Mgt_Unit!$C$5:$C$1018, 0)), INDEX(Mgt_Unit!$B$5:$B$1018, MATCH(D41, Mgt_Unit!$C$5:$C$1018, 0)), "")</f>
        <v>jennifer.moore</v>
      </c>
      <c r="C41" s="28"/>
      <c r="D41" s="60" t="s">
        <v>855</v>
      </c>
      <c r="E41" s="45"/>
      <c r="F41" s="9" t="s">
        <v>43</v>
      </c>
      <c r="G41" s="9" t="s">
        <v>1568</v>
      </c>
      <c r="H41" s="75">
        <v>43418</v>
      </c>
      <c r="I41" s="9">
        <v>8</v>
      </c>
      <c r="J41" s="9" t="s">
        <v>1580</v>
      </c>
      <c r="K41" s="33"/>
      <c r="L41" s="33"/>
      <c r="M41" s="33"/>
      <c r="N41" s="35"/>
      <c r="O41" s="35"/>
      <c r="P41" s="9"/>
    </row>
    <row r="42" spans="1:16" x14ac:dyDescent="0.25">
      <c r="A42" s="4"/>
      <c r="B42" s="28" t="str">
        <f>IF(ISNUMBER(MATCH(D42, Mgt_Unit!$C$5:$C$1018, 0)), INDEX(Mgt_Unit!$B$5:$B$1018, MATCH(D42, Mgt_Unit!$C$5:$C$1018, 0)), "")</f>
        <v>jennifer.moore</v>
      </c>
      <c r="C42" s="28"/>
      <c r="D42" s="60" t="s">
        <v>890</v>
      </c>
      <c r="E42" s="45"/>
      <c r="F42" s="9" t="s">
        <v>43</v>
      </c>
      <c r="G42" s="9" t="s">
        <v>1569</v>
      </c>
      <c r="H42" s="75">
        <v>42529</v>
      </c>
      <c r="I42" s="9">
        <v>9</v>
      </c>
      <c r="J42" s="9" t="s">
        <v>1581</v>
      </c>
      <c r="K42" s="9"/>
      <c r="L42" s="9"/>
      <c r="M42" s="9"/>
      <c r="N42" s="35"/>
      <c r="O42" s="35"/>
      <c r="P42" s="9"/>
    </row>
    <row r="43" spans="1:16" x14ac:dyDescent="0.25">
      <c r="A43" s="4"/>
      <c r="B43" s="28" t="str">
        <f>IF(ISNUMBER(MATCH(D43, Mgt_Unit!$C$5:$C$1018, 0)), INDEX(Mgt_Unit!$B$5:$B$1018, MATCH(D43, Mgt_Unit!$C$5:$C$1018, 0)), "")</f>
        <v>jennifer.moore</v>
      </c>
      <c r="C43" s="28"/>
      <c r="D43" s="60" t="s">
        <v>890</v>
      </c>
      <c r="E43" s="45"/>
      <c r="F43" s="9" t="s">
        <v>43</v>
      </c>
      <c r="G43" s="9" t="s">
        <v>1569</v>
      </c>
      <c r="H43" s="75">
        <v>42893</v>
      </c>
      <c r="I43" s="9">
        <v>9</v>
      </c>
      <c r="J43" s="9" t="s">
        <v>1581</v>
      </c>
      <c r="K43" s="9"/>
      <c r="L43" s="9"/>
      <c r="M43" s="9"/>
      <c r="N43" s="35"/>
      <c r="O43" s="35"/>
      <c r="P43" s="9"/>
    </row>
    <row r="44" spans="1:16" x14ac:dyDescent="0.25">
      <c r="A44" s="4"/>
      <c r="B44" s="28" t="str">
        <f>IF(ISNUMBER(MATCH(D44, Mgt_Unit!$C$5:$C$1018, 0)), INDEX(Mgt_Unit!$B$5:$B$1018, MATCH(D44, Mgt_Unit!$C$5:$C$1018, 0)), "")</f>
        <v>jennifer.moore</v>
      </c>
      <c r="C44" s="28"/>
      <c r="D44" s="60" t="s">
        <v>890</v>
      </c>
      <c r="E44" s="45"/>
      <c r="F44" s="9" t="s">
        <v>43</v>
      </c>
      <c r="G44" s="9" t="s">
        <v>1569</v>
      </c>
      <c r="H44" s="75">
        <v>43266</v>
      </c>
      <c r="I44" s="9">
        <v>9</v>
      </c>
      <c r="J44" s="9" t="s">
        <v>1581</v>
      </c>
      <c r="K44" s="9"/>
      <c r="L44" s="9"/>
      <c r="M44" s="9"/>
      <c r="N44" s="9"/>
      <c r="O44" s="9"/>
      <c r="P44" s="9"/>
    </row>
    <row r="45" spans="1:16" x14ac:dyDescent="0.25">
      <c r="A45" s="4"/>
      <c r="B45" s="28" t="str">
        <f>IF(ISNUMBER(MATCH(D45, Mgt_Unit!$C$5:$C$1018, 0)), INDEX(Mgt_Unit!$B$5:$B$1018, MATCH(D45, Mgt_Unit!$C$5:$C$1018, 0)), "")</f>
        <v>jennifer.moore</v>
      </c>
      <c r="C45" s="28"/>
      <c r="D45" s="60" t="s">
        <v>890</v>
      </c>
      <c r="E45" s="45"/>
      <c r="F45" s="9" t="s">
        <v>43</v>
      </c>
      <c r="G45" s="9" t="s">
        <v>1569</v>
      </c>
      <c r="H45" s="75">
        <v>43275</v>
      </c>
      <c r="I45" s="9">
        <v>9</v>
      </c>
      <c r="J45" s="9" t="s">
        <v>1581</v>
      </c>
      <c r="K45" s="9"/>
      <c r="L45" s="9"/>
      <c r="M45" s="9"/>
      <c r="N45" s="9"/>
      <c r="O45" s="9"/>
      <c r="P45" s="9"/>
    </row>
    <row r="46" spans="1:16" x14ac:dyDescent="0.25">
      <c r="A46" s="4"/>
      <c r="B46" s="28" t="str">
        <f>IF(ISNUMBER(MATCH(D46, Mgt_Unit!$C$5:$C$1018, 0)), INDEX(Mgt_Unit!$B$5:$B$1018, MATCH(D46, Mgt_Unit!$C$5:$C$1018, 0)), "")</f>
        <v>jennifer.moore</v>
      </c>
      <c r="C46" s="28"/>
      <c r="D46" s="60" t="s">
        <v>892</v>
      </c>
      <c r="E46" s="45"/>
      <c r="F46" s="9" t="s">
        <v>43</v>
      </c>
      <c r="G46" s="9" t="s">
        <v>1569</v>
      </c>
      <c r="H46" s="75">
        <v>42179</v>
      </c>
      <c r="I46" s="9">
        <v>9</v>
      </c>
      <c r="J46" s="9" t="s">
        <v>1581</v>
      </c>
      <c r="K46" s="9"/>
      <c r="L46" s="9"/>
      <c r="M46" s="9"/>
      <c r="N46" s="9"/>
      <c r="O46" s="9"/>
      <c r="P46" s="9"/>
    </row>
    <row r="47" spans="1:16" x14ac:dyDescent="0.25">
      <c r="A47" s="4"/>
      <c r="B47" s="28" t="str">
        <f>IF(ISNUMBER(MATCH(D47, Mgt_Unit!$C$5:$C$1018, 0)), INDEX(Mgt_Unit!$B$5:$B$1018, MATCH(D47, Mgt_Unit!$C$5:$C$1018, 0)), "")</f>
        <v>jennifer.moore</v>
      </c>
      <c r="C47" s="28"/>
      <c r="D47" s="60" t="s">
        <v>892</v>
      </c>
      <c r="E47" s="45"/>
      <c r="F47" s="9" t="s">
        <v>43</v>
      </c>
      <c r="G47" s="9" t="s">
        <v>1569</v>
      </c>
      <c r="H47" s="75">
        <v>42529</v>
      </c>
      <c r="I47" s="9">
        <v>9</v>
      </c>
      <c r="J47" s="9" t="s">
        <v>1581</v>
      </c>
      <c r="K47" s="9"/>
      <c r="L47" s="9"/>
      <c r="M47" s="9"/>
      <c r="N47" s="9"/>
      <c r="O47" s="9"/>
      <c r="P47" s="9"/>
    </row>
    <row r="48" spans="1:16" x14ac:dyDescent="0.25">
      <c r="A48" s="4"/>
      <c r="B48" s="28" t="str">
        <f>IF(ISNUMBER(MATCH(D48, Mgt_Unit!$C$5:$C$1018, 0)), INDEX(Mgt_Unit!$B$5:$B$1018, MATCH(D48, Mgt_Unit!$C$5:$C$1018, 0)), "")</f>
        <v>jennifer.moore</v>
      </c>
      <c r="C48" s="28"/>
      <c r="D48" s="60" t="s">
        <v>892</v>
      </c>
      <c r="E48" s="45"/>
      <c r="F48" s="9" t="s">
        <v>43</v>
      </c>
      <c r="G48" s="9" t="s">
        <v>1569</v>
      </c>
      <c r="H48" s="75">
        <v>42893</v>
      </c>
      <c r="I48" s="9">
        <v>9</v>
      </c>
      <c r="J48" s="9" t="s">
        <v>1581</v>
      </c>
      <c r="K48" s="9"/>
      <c r="L48" s="9"/>
      <c r="M48" s="9"/>
      <c r="N48" s="9"/>
      <c r="O48" s="9"/>
      <c r="P48" s="9"/>
    </row>
    <row r="49" spans="1:16" x14ac:dyDescent="0.25">
      <c r="A49" s="4"/>
      <c r="B49" s="28" t="str">
        <f>IF(ISNUMBER(MATCH(D49, Mgt_Unit!$C$5:$C$1018, 0)), INDEX(Mgt_Unit!$B$5:$B$1018, MATCH(D49, Mgt_Unit!$C$5:$C$1018, 0)), "")</f>
        <v>jennifer.moore</v>
      </c>
      <c r="C49" s="28"/>
      <c r="D49" s="60" t="s">
        <v>892</v>
      </c>
      <c r="E49" s="45"/>
      <c r="F49" s="9" t="s">
        <v>43</v>
      </c>
      <c r="G49" s="9" t="s">
        <v>1569</v>
      </c>
      <c r="H49" s="75">
        <v>43266</v>
      </c>
      <c r="I49" s="9">
        <v>9</v>
      </c>
      <c r="J49" s="9" t="s">
        <v>1581</v>
      </c>
      <c r="K49" s="9"/>
      <c r="L49" s="9"/>
      <c r="M49" s="9"/>
      <c r="N49" s="9"/>
      <c r="O49" s="9"/>
      <c r="P49" s="9"/>
    </row>
    <row r="50" spans="1:16" x14ac:dyDescent="0.25">
      <c r="A50" s="4"/>
      <c r="B50" s="28" t="str">
        <f>IF(ISNUMBER(MATCH(D50, Mgt_Unit!$C$5:$C$1018, 0)), INDEX(Mgt_Unit!$B$5:$B$1018, MATCH(D50, Mgt_Unit!$C$5:$C$1018, 0)), "")</f>
        <v>jennifer.moore</v>
      </c>
      <c r="C50" s="28"/>
      <c r="D50" s="60" t="s">
        <v>923</v>
      </c>
      <c r="E50" s="45"/>
      <c r="F50" s="9" t="s">
        <v>43</v>
      </c>
      <c r="G50" s="9" t="s">
        <v>1570</v>
      </c>
      <c r="H50" s="75">
        <v>43205</v>
      </c>
      <c r="I50" s="9">
        <v>6</v>
      </c>
      <c r="J50" s="9" t="s">
        <v>1580</v>
      </c>
      <c r="K50" s="9"/>
      <c r="L50" s="9"/>
      <c r="M50" s="9"/>
      <c r="N50" s="9"/>
      <c r="O50" s="9"/>
      <c r="P50" s="9"/>
    </row>
    <row r="51" spans="1:16" x14ac:dyDescent="0.25">
      <c r="A51" s="4"/>
      <c r="B51" s="28" t="str">
        <f>IF(ISNUMBER(MATCH(D51, Mgt_Unit!$C$5:$C$1018, 0)), INDEX(Mgt_Unit!$B$5:$B$1018, MATCH(D51, Mgt_Unit!$C$5:$C$1018, 0)), "")</f>
        <v>jennifer.moore</v>
      </c>
      <c r="C51" s="28"/>
      <c r="D51" s="60" t="s">
        <v>923</v>
      </c>
      <c r="E51" s="45"/>
      <c r="F51" s="9" t="s">
        <v>43</v>
      </c>
      <c r="G51" s="9" t="s">
        <v>1570</v>
      </c>
      <c r="H51" s="75">
        <v>43570</v>
      </c>
      <c r="I51" s="9">
        <v>6</v>
      </c>
      <c r="J51" s="9" t="s">
        <v>1580</v>
      </c>
      <c r="K51" s="9"/>
      <c r="L51" s="9"/>
      <c r="M51" s="9"/>
      <c r="N51" s="9"/>
      <c r="O51" s="9"/>
      <c r="P51" s="9"/>
    </row>
    <row r="52" spans="1:16" x14ac:dyDescent="0.25">
      <c r="A52" s="4"/>
      <c r="B52" s="28" t="str">
        <f>IF(ISNUMBER(MATCH(D52, Mgt_Unit!$C$5:$C$1018, 0)), INDEX(Mgt_Unit!$B$5:$B$1018, MATCH(D52, Mgt_Unit!$C$5:$C$1018, 0)), "")</f>
        <v>jennifer.moore</v>
      </c>
      <c r="C52" s="28"/>
      <c r="D52" s="60" t="s">
        <v>923</v>
      </c>
      <c r="E52" s="45"/>
      <c r="F52" s="9" t="s">
        <v>43</v>
      </c>
      <c r="G52" s="9" t="s">
        <v>1570</v>
      </c>
      <c r="H52" s="75">
        <v>43739</v>
      </c>
      <c r="I52" s="9">
        <v>6</v>
      </c>
      <c r="J52" s="9" t="s">
        <v>1580</v>
      </c>
      <c r="K52" s="9"/>
      <c r="L52" s="9"/>
      <c r="M52" s="9"/>
      <c r="N52" s="9"/>
      <c r="O52" s="9"/>
      <c r="P52" s="9"/>
    </row>
    <row r="53" spans="1:16" x14ac:dyDescent="0.25">
      <c r="A53" s="4"/>
      <c r="B53" s="28" t="str">
        <f>IF(ISNUMBER(MATCH(D53, Mgt_Unit!$C$5:$C$1018, 0)), INDEX(Mgt_Unit!$B$5:$B$1018, MATCH(D53, Mgt_Unit!$C$5:$C$1018, 0)), "")</f>
        <v>jennifer.moore</v>
      </c>
      <c r="C53" s="28"/>
      <c r="D53" s="60" t="s">
        <v>926</v>
      </c>
      <c r="E53" s="45"/>
      <c r="F53" s="9" t="s">
        <v>43</v>
      </c>
      <c r="G53" s="9" t="s">
        <v>1570</v>
      </c>
      <c r="H53" s="75">
        <v>43009</v>
      </c>
      <c r="I53" s="9">
        <v>6</v>
      </c>
      <c r="J53" s="9" t="s">
        <v>1580</v>
      </c>
      <c r="K53" s="9"/>
      <c r="L53" s="9"/>
      <c r="M53" s="9"/>
      <c r="N53" s="9"/>
      <c r="O53" s="9"/>
      <c r="P53" s="9"/>
    </row>
    <row r="54" spans="1:16" x14ac:dyDescent="0.25">
      <c r="A54" s="4"/>
      <c r="B54" s="28" t="str">
        <f>IF(ISNUMBER(MATCH(D54, Mgt_Unit!$C$5:$C$1018, 0)), INDEX(Mgt_Unit!$B$5:$B$1018, MATCH(D54, Mgt_Unit!$C$5:$C$1018, 0)), "")</f>
        <v>jennifer.moore</v>
      </c>
      <c r="C54" s="28"/>
      <c r="D54" s="60" t="s">
        <v>926</v>
      </c>
      <c r="E54" s="45"/>
      <c r="F54" s="9" t="s">
        <v>43</v>
      </c>
      <c r="G54" s="9" t="s">
        <v>1570</v>
      </c>
      <c r="H54" s="75">
        <v>43009</v>
      </c>
      <c r="I54" s="9">
        <v>6</v>
      </c>
      <c r="J54" s="9" t="s">
        <v>1580</v>
      </c>
      <c r="K54" s="9"/>
      <c r="L54" s="9"/>
      <c r="M54" s="9"/>
      <c r="N54" s="9"/>
      <c r="O54" s="9"/>
      <c r="P54" s="9"/>
    </row>
    <row r="55" spans="1:16" x14ac:dyDescent="0.25">
      <c r="A55" s="4"/>
      <c r="B55" s="28" t="str">
        <f>IF(ISNUMBER(MATCH(D55, Mgt_Unit!$C$5:$C$1018, 0)), INDEX(Mgt_Unit!$B$5:$B$1018, MATCH(D55, Mgt_Unit!$C$5:$C$1018, 0)), "")</f>
        <v>jennifer.moore</v>
      </c>
      <c r="C55" s="28"/>
      <c r="D55" s="60" t="s">
        <v>926</v>
      </c>
      <c r="E55" s="45"/>
      <c r="F55" s="9" t="s">
        <v>43</v>
      </c>
      <c r="G55" s="9" t="s">
        <v>1570</v>
      </c>
      <c r="H55" s="75">
        <v>43374</v>
      </c>
      <c r="I55" s="9">
        <v>6</v>
      </c>
      <c r="J55" s="9" t="s">
        <v>1580</v>
      </c>
      <c r="K55" s="33"/>
      <c r="L55" s="33"/>
      <c r="M55" s="33"/>
      <c r="N55" s="9"/>
      <c r="O55" s="9"/>
      <c r="P55" s="9"/>
    </row>
    <row r="56" spans="1:16" x14ac:dyDescent="0.25">
      <c r="A56" s="4"/>
      <c r="B56" s="28" t="str">
        <f>IF(ISNUMBER(MATCH(D56, Mgt_Unit!$C$5:$C$1018, 0)), INDEX(Mgt_Unit!$B$5:$B$1018, MATCH(D56, Mgt_Unit!$C$5:$C$1018, 0)), "")</f>
        <v>jennifer.moore</v>
      </c>
      <c r="C56" s="28"/>
      <c r="D56" s="60" t="s">
        <v>929</v>
      </c>
      <c r="E56" s="45"/>
      <c r="F56" s="9" t="s">
        <v>43</v>
      </c>
      <c r="G56" s="9" t="s">
        <v>1570</v>
      </c>
      <c r="H56" s="75">
        <v>43374</v>
      </c>
      <c r="I56" s="9">
        <v>6</v>
      </c>
      <c r="J56" s="9" t="s">
        <v>1580</v>
      </c>
      <c r="K56" s="9"/>
      <c r="L56" s="9"/>
      <c r="M56" s="9"/>
      <c r="N56" s="9"/>
      <c r="O56" s="9"/>
      <c r="P56" s="9"/>
    </row>
    <row r="57" spans="1:16" x14ac:dyDescent="0.25">
      <c r="A57" s="4"/>
      <c r="B57" s="28" t="str">
        <f>IF(ISNUMBER(MATCH(D57, Mgt_Unit!$C$5:$C$1018, 0)), INDEX(Mgt_Unit!$B$5:$B$1018, MATCH(D57, Mgt_Unit!$C$5:$C$1018, 0)), "")</f>
        <v>jennifer.moore</v>
      </c>
      <c r="C57" s="28"/>
      <c r="D57" s="60" t="s">
        <v>931</v>
      </c>
      <c r="E57" s="45"/>
      <c r="F57" s="9" t="s">
        <v>43</v>
      </c>
      <c r="G57" s="9" t="s">
        <v>1570</v>
      </c>
      <c r="H57" s="75">
        <v>38626</v>
      </c>
      <c r="I57" s="9">
        <v>6</v>
      </c>
      <c r="J57" s="9" t="s">
        <v>1580</v>
      </c>
      <c r="K57" s="9"/>
      <c r="L57" s="9"/>
      <c r="M57" s="9"/>
      <c r="N57" s="9"/>
      <c r="O57" s="9"/>
      <c r="P57" s="9"/>
    </row>
    <row r="58" spans="1:16" x14ac:dyDescent="0.25">
      <c r="A58" s="4"/>
      <c r="B58" s="28" t="str">
        <f>IF(ISNUMBER(MATCH(D58, Mgt_Unit!$C$5:$C$1018, 0)), INDEX(Mgt_Unit!$B$5:$B$1018, MATCH(D58, Mgt_Unit!$C$5:$C$1018, 0)), "")</f>
        <v>jennifer.moore</v>
      </c>
      <c r="C58" s="28"/>
      <c r="D58" s="60" t="s">
        <v>931</v>
      </c>
      <c r="E58" s="45"/>
      <c r="F58" s="9" t="s">
        <v>43</v>
      </c>
      <c r="G58" s="9" t="s">
        <v>1570</v>
      </c>
      <c r="H58" s="75">
        <v>38991</v>
      </c>
      <c r="I58" s="9">
        <v>6</v>
      </c>
      <c r="J58" s="9" t="s">
        <v>1580</v>
      </c>
      <c r="K58" s="9"/>
      <c r="L58" s="9"/>
      <c r="M58" s="9"/>
      <c r="N58" s="9"/>
      <c r="O58" s="9"/>
      <c r="P58" s="9"/>
    </row>
    <row r="59" spans="1:16" x14ac:dyDescent="0.25">
      <c r="A59" s="4"/>
      <c r="B59" s="28" t="str">
        <f>IF(ISNUMBER(MATCH(D59, Mgt_Unit!$C$5:$C$1018, 0)), INDEX(Mgt_Unit!$B$5:$B$1018, MATCH(D59, Mgt_Unit!$C$5:$C$1018, 0)), "")</f>
        <v>jennifer.moore</v>
      </c>
      <c r="C59" s="28"/>
      <c r="D59" s="60" t="s">
        <v>931</v>
      </c>
      <c r="E59" s="45"/>
      <c r="F59" s="9" t="s">
        <v>43</v>
      </c>
      <c r="G59" s="9" t="s">
        <v>1570</v>
      </c>
      <c r="H59" s="75">
        <v>39356</v>
      </c>
      <c r="I59" s="9">
        <v>6</v>
      </c>
      <c r="J59" s="9" t="s">
        <v>1580</v>
      </c>
      <c r="K59" s="9"/>
      <c r="L59" s="9"/>
      <c r="M59" s="9"/>
      <c r="N59" s="9"/>
      <c r="O59" s="9"/>
      <c r="P59" s="9"/>
    </row>
    <row r="60" spans="1:16" x14ac:dyDescent="0.25">
      <c r="A60" s="4"/>
      <c r="B60" s="28" t="str">
        <f>IF(ISNUMBER(MATCH(D60, Mgt_Unit!$C$5:$C$1018, 0)), INDEX(Mgt_Unit!$B$5:$B$1018, MATCH(D60, Mgt_Unit!$C$5:$C$1018, 0)), "")</f>
        <v>jennifer.moore</v>
      </c>
      <c r="C60" s="28"/>
      <c r="D60" s="60" t="s">
        <v>931</v>
      </c>
      <c r="E60" s="45"/>
      <c r="F60" s="9" t="s">
        <v>43</v>
      </c>
      <c r="G60" s="9" t="s">
        <v>1570</v>
      </c>
      <c r="H60" s="75">
        <v>39722</v>
      </c>
      <c r="I60" s="9">
        <v>6</v>
      </c>
      <c r="J60" s="9" t="s">
        <v>1580</v>
      </c>
      <c r="K60" s="9"/>
      <c r="L60" s="9"/>
      <c r="M60" s="9"/>
      <c r="N60" s="9"/>
      <c r="O60" s="9"/>
      <c r="P60" s="9"/>
    </row>
    <row r="61" spans="1:16" x14ac:dyDescent="0.25">
      <c r="A61" s="4"/>
      <c r="B61" s="28" t="str">
        <f>IF(ISNUMBER(MATCH(D61, Mgt_Unit!$C$5:$C$1018, 0)), INDEX(Mgt_Unit!$B$5:$B$1018, MATCH(D61, Mgt_Unit!$C$5:$C$1018, 0)), "")</f>
        <v>jennifer.moore</v>
      </c>
      <c r="C61" s="28"/>
      <c r="D61" s="60" t="s">
        <v>931</v>
      </c>
      <c r="E61" s="45"/>
      <c r="F61" s="9" t="s">
        <v>43</v>
      </c>
      <c r="G61" s="9" t="s">
        <v>1570</v>
      </c>
      <c r="H61" s="75">
        <v>40087</v>
      </c>
      <c r="I61" s="9">
        <v>6</v>
      </c>
      <c r="J61" s="9" t="s">
        <v>1580</v>
      </c>
      <c r="K61" s="9"/>
      <c r="L61" s="9"/>
      <c r="M61" s="9"/>
      <c r="N61" s="9"/>
      <c r="O61" s="9"/>
      <c r="P61" s="9"/>
    </row>
    <row r="62" spans="1:16" x14ac:dyDescent="0.25">
      <c r="A62" s="4"/>
      <c r="B62" s="28" t="str">
        <f>IF(ISNUMBER(MATCH(D62, Mgt_Unit!$C$5:$C$1018, 0)), INDEX(Mgt_Unit!$B$5:$B$1018, MATCH(D62, Mgt_Unit!$C$5:$C$1018, 0)), "")</f>
        <v>jennifer.moore</v>
      </c>
      <c r="C62" s="28"/>
      <c r="D62" s="60" t="s">
        <v>931</v>
      </c>
      <c r="E62" s="45"/>
      <c r="F62" s="9" t="s">
        <v>43</v>
      </c>
      <c r="G62" s="9" t="s">
        <v>1570</v>
      </c>
      <c r="H62" s="75">
        <v>40452</v>
      </c>
      <c r="I62" s="9">
        <v>6</v>
      </c>
      <c r="J62" s="9" t="s">
        <v>1580</v>
      </c>
      <c r="K62" s="9"/>
      <c r="L62" s="9"/>
      <c r="M62" s="9"/>
      <c r="N62" s="9"/>
      <c r="O62" s="9"/>
      <c r="P62" s="9"/>
    </row>
    <row r="63" spans="1:16" x14ac:dyDescent="0.25">
      <c r="A63" s="4"/>
      <c r="B63" s="28" t="str">
        <f>IF(ISNUMBER(MATCH(D63, Mgt_Unit!$C$5:$C$1018, 0)), INDEX(Mgt_Unit!$B$5:$B$1018, MATCH(D63, Mgt_Unit!$C$5:$C$1018, 0)), "")</f>
        <v>jennifer.moore</v>
      </c>
      <c r="C63" s="28"/>
      <c r="D63" s="60" t="s">
        <v>931</v>
      </c>
      <c r="E63" s="45"/>
      <c r="F63" s="9" t="s">
        <v>43</v>
      </c>
      <c r="G63" s="9" t="s">
        <v>1570</v>
      </c>
      <c r="H63" s="75">
        <v>40817</v>
      </c>
      <c r="I63" s="9">
        <v>6</v>
      </c>
      <c r="J63" s="9" t="s">
        <v>1580</v>
      </c>
      <c r="K63" s="9"/>
      <c r="L63" s="9"/>
      <c r="M63" s="9"/>
      <c r="N63" s="9"/>
      <c r="O63" s="9"/>
      <c r="P63" s="9"/>
    </row>
    <row r="64" spans="1:16" x14ac:dyDescent="0.25">
      <c r="A64" s="4"/>
      <c r="B64" s="28" t="str">
        <f>IF(ISNUMBER(MATCH(D64, Mgt_Unit!$C$5:$C$1018, 0)), INDEX(Mgt_Unit!$B$5:$B$1018, MATCH(D64, Mgt_Unit!$C$5:$C$1018, 0)), "")</f>
        <v>jennifer.moore</v>
      </c>
      <c r="C64" s="28"/>
      <c r="D64" s="60" t="s">
        <v>931</v>
      </c>
      <c r="E64" s="45"/>
      <c r="F64" s="9" t="s">
        <v>43</v>
      </c>
      <c r="G64" s="9" t="s">
        <v>1570</v>
      </c>
      <c r="H64" s="75">
        <v>41183</v>
      </c>
      <c r="I64" s="9">
        <v>6</v>
      </c>
      <c r="J64" s="9" t="s">
        <v>1580</v>
      </c>
      <c r="K64" s="9"/>
      <c r="L64" s="9"/>
      <c r="M64" s="9"/>
      <c r="N64" s="9"/>
      <c r="O64" s="9"/>
      <c r="P64" s="9"/>
    </row>
    <row r="65" spans="1:16" x14ac:dyDescent="0.25">
      <c r="A65" s="4"/>
      <c r="B65" s="28" t="str">
        <f>IF(ISNUMBER(MATCH(D65, Mgt_Unit!$C$5:$C$1018, 0)), INDEX(Mgt_Unit!$B$5:$B$1018, MATCH(D65, Mgt_Unit!$C$5:$C$1018, 0)), "")</f>
        <v>jennifer.moore</v>
      </c>
      <c r="C65" s="28"/>
      <c r="D65" s="60" t="s">
        <v>931</v>
      </c>
      <c r="E65" s="45"/>
      <c r="F65" s="9" t="s">
        <v>43</v>
      </c>
      <c r="G65" s="9" t="s">
        <v>1570</v>
      </c>
      <c r="H65" s="75">
        <v>41548</v>
      </c>
      <c r="I65" s="9">
        <v>6</v>
      </c>
      <c r="J65" s="9" t="s">
        <v>1580</v>
      </c>
      <c r="K65" s="9"/>
      <c r="L65" s="9"/>
      <c r="M65" s="9"/>
      <c r="N65" s="9"/>
      <c r="O65" s="9"/>
      <c r="P65" s="9"/>
    </row>
    <row r="66" spans="1:16" x14ac:dyDescent="0.25">
      <c r="A66" s="4"/>
      <c r="B66" s="28" t="str">
        <f>IF(ISNUMBER(MATCH(D66, Mgt_Unit!$C$5:$C$1018, 0)), INDEX(Mgt_Unit!$B$5:$B$1018, MATCH(D66, Mgt_Unit!$C$5:$C$1018, 0)), "")</f>
        <v>jennifer.moore</v>
      </c>
      <c r="C66" s="28"/>
      <c r="D66" s="60" t="s">
        <v>931</v>
      </c>
      <c r="E66" s="45"/>
      <c r="F66" s="9" t="s">
        <v>43</v>
      </c>
      <c r="G66" s="9" t="s">
        <v>1570</v>
      </c>
      <c r="H66" s="75">
        <v>41913</v>
      </c>
      <c r="I66" s="9">
        <v>6</v>
      </c>
      <c r="J66" s="9" t="s">
        <v>1580</v>
      </c>
      <c r="K66" s="9"/>
      <c r="L66" s="9"/>
      <c r="M66" s="9"/>
      <c r="N66" s="9"/>
      <c r="O66" s="9"/>
      <c r="P66" s="9"/>
    </row>
    <row r="67" spans="1:16" x14ac:dyDescent="0.25">
      <c r="A67" s="4"/>
      <c r="B67" s="28" t="str">
        <f>IF(ISNUMBER(MATCH(D67, Mgt_Unit!$C$5:$C$1018, 0)), INDEX(Mgt_Unit!$B$5:$B$1018, MATCH(D67, Mgt_Unit!$C$5:$C$1018, 0)), "")</f>
        <v>jennifer.moore</v>
      </c>
      <c r="C67" s="28"/>
      <c r="D67" s="60" t="s">
        <v>931</v>
      </c>
      <c r="E67" s="45"/>
      <c r="F67" s="9" t="s">
        <v>43</v>
      </c>
      <c r="G67" s="9" t="s">
        <v>1570</v>
      </c>
      <c r="H67" s="75">
        <v>42278</v>
      </c>
      <c r="I67" s="9">
        <v>6</v>
      </c>
      <c r="J67" s="9" t="s">
        <v>1580</v>
      </c>
      <c r="K67" s="9"/>
      <c r="L67" s="9"/>
      <c r="M67" s="9"/>
      <c r="N67" s="9"/>
      <c r="O67" s="9"/>
      <c r="P67" s="9"/>
    </row>
    <row r="68" spans="1:16" x14ac:dyDescent="0.25">
      <c r="A68" s="4"/>
      <c r="B68" s="28" t="str">
        <f>IF(ISNUMBER(MATCH(D68, Mgt_Unit!$C$5:$C$1018, 0)), INDEX(Mgt_Unit!$B$5:$B$1018, MATCH(D68, Mgt_Unit!$C$5:$C$1018, 0)), "")</f>
        <v>jennifer.moore</v>
      </c>
      <c r="C68" s="28"/>
      <c r="D68" s="60" t="s">
        <v>931</v>
      </c>
      <c r="E68" s="45"/>
      <c r="F68" s="9" t="s">
        <v>43</v>
      </c>
      <c r="G68" s="9" t="s">
        <v>1570</v>
      </c>
      <c r="H68" s="75">
        <v>42644</v>
      </c>
      <c r="I68" s="9">
        <v>6</v>
      </c>
      <c r="J68" s="9" t="s">
        <v>1580</v>
      </c>
      <c r="K68" s="9"/>
      <c r="L68" s="9"/>
      <c r="M68" s="9"/>
      <c r="N68" s="9"/>
      <c r="O68" s="9"/>
      <c r="P68" s="9"/>
    </row>
    <row r="69" spans="1:16" x14ac:dyDescent="0.25">
      <c r="A69" s="4"/>
      <c r="B69" s="28" t="str">
        <f>IF(ISNUMBER(MATCH(D69, Mgt_Unit!$C$5:$C$1018, 0)), INDEX(Mgt_Unit!$B$5:$B$1018, MATCH(D69, Mgt_Unit!$C$5:$C$1018, 0)), "")</f>
        <v>jennifer.moore</v>
      </c>
      <c r="C69" s="28"/>
      <c r="D69" s="60" t="s">
        <v>931</v>
      </c>
      <c r="E69" s="45"/>
      <c r="F69" s="9" t="s">
        <v>43</v>
      </c>
      <c r="G69" s="9" t="s">
        <v>1570</v>
      </c>
      <c r="H69" s="75">
        <v>43009</v>
      </c>
      <c r="I69" s="9">
        <v>6</v>
      </c>
      <c r="J69" s="9" t="s">
        <v>1580</v>
      </c>
      <c r="K69" s="9"/>
      <c r="L69" s="9"/>
      <c r="M69" s="9"/>
      <c r="N69" s="9"/>
      <c r="O69" s="9"/>
      <c r="P69" s="9"/>
    </row>
    <row r="70" spans="1:16" x14ac:dyDescent="0.25">
      <c r="A70" s="4"/>
      <c r="B70" s="28" t="str">
        <f>IF(ISNUMBER(MATCH(D70, Mgt_Unit!$C$5:$C$1018, 0)), INDEX(Mgt_Unit!$B$5:$B$1018, MATCH(D70, Mgt_Unit!$C$5:$C$1018, 0)), "")</f>
        <v>jennifer.moore</v>
      </c>
      <c r="C70" s="28"/>
      <c r="D70" s="60" t="s">
        <v>934</v>
      </c>
      <c r="E70" s="45"/>
      <c r="F70" s="9" t="s">
        <v>43</v>
      </c>
      <c r="G70" s="9" t="s">
        <v>1570</v>
      </c>
      <c r="H70" s="75">
        <v>43374</v>
      </c>
      <c r="I70" s="9">
        <v>6</v>
      </c>
      <c r="J70" s="9" t="s">
        <v>1580</v>
      </c>
      <c r="K70" s="9"/>
      <c r="L70" s="9"/>
      <c r="M70" s="9"/>
      <c r="N70" s="9"/>
      <c r="O70" s="9"/>
      <c r="P70" s="9"/>
    </row>
    <row r="71" spans="1:16" x14ac:dyDescent="0.25">
      <c r="A71" s="4"/>
      <c r="B71" s="28" t="str">
        <f>IF(ISNUMBER(MATCH(D71, Mgt_Unit!$C$5:$C$1018, 0)), INDEX(Mgt_Unit!$B$5:$B$1018, MATCH(D71, Mgt_Unit!$C$5:$C$1018, 0)), "")</f>
        <v>jennifer.moore</v>
      </c>
      <c r="C71" s="28"/>
      <c r="D71" s="60" t="s">
        <v>963</v>
      </c>
      <c r="E71" s="45"/>
      <c r="F71" s="9" t="s">
        <v>43</v>
      </c>
      <c r="G71" s="9" t="s">
        <v>1173</v>
      </c>
      <c r="H71" s="75">
        <v>43560</v>
      </c>
      <c r="I71" s="9">
        <v>6</v>
      </c>
      <c r="J71" s="9" t="s">
        <v>1580</v>
      </c>
      <c r="K71" s="9"/>
      <c r="L71" s="9"/>
      <c r="M71" s="9"/>
      <c r="N71" s="9"/>
      <c r="O71" s="9"/>
      <c r="P71" s="9"/>
    </row>
    <row r="72" spans="1:16" x14ac:dyDescent="0.25">
      <c r="A72" s="4"/>
      <c r="B72" s="28" t="str">
        <f>IF(ISNUMBER(MATCH(D72, Mgt_Unit!$C$5:$C$1018, 0)), INDEX(Mgt_Unit!$B$5:$B$1018, MATCH(D72, Mgt_Unit!$C$5:$C$1018, 0)), "")</f>
        <v>jennifer.moore</v>
      </c>
      <c r="C72" s="28"/>
      <c r="D72" s="60" t="s">
        <v>964</v>
      </c>
      <c r="E72" s="45"/>
      <c r="F72" s="9" t="s">
        <v>43</v>
      </c>
      <c r="G72" s="9" t="s">
        <v>1173</v>
      </c>
      <c r="H72" s="75">
        <v>43560</v>
      </c>
      <c r="I72" s="9">
        <v>6</v>
      </c>
      <c r="J72" s="9" t="s">
        <v>1580</v>
      </c>
      <c r="K72" s="9"/>
      <c r="L72" s="9"/>
      <c r="M72" s="9"/>
      <c r="N72" s="9"/>
      <c r="O72" s="9"/>
      <c r="P72" s="9"/>
    </row>
    <row r="73" spans="1:16" x14ac:dyDescent="0.25">
      <c r="A73" s="4"/>
      <c r="B73" s="28" t="str">
        <f>IF(ISNUMBER(MATCH(D73, Mgt_Unit!$C$5:$C$1018, 0)), INDEX(Mgt_Unit!$B$5:$B$1018, MATCH(D73, Mgt_Unit!$C$5:$C$1018, 0)), "")</f>
        <v>jennifer.moore</v>
      </c>
      <c r="C73" s="28"/>
      <c r="D73" s="60" t="s">
        <v>965</v>
      </c>
      <c r="E73" s="45"/>
      <c r="F73" s="9" t="s">
        <v>43</v>
      </c>
      <c r="G73" s="9" t="s">
        <v>1173</v>
      </c>
      <c r="H73" s="75">
        <v>43222</v>
      </c>
      <c r="I73" s="9">
        <v>1</v>
      </c>
      <c r="J73" s="9" t="s">
        <v>1580</v>
      </c>
      <c r="K73" s="9"/>
      <c r="L73" s="9"/>
      <c r="M73" s="9"/>
      <c r="N73" s="9"/>
      <c r="O73" s="9"/>
      <c r="P73" s="9"/>
    </row>
    <row r="74" spans="1:16" x14ac:dyDescent="0.25">
      <c r="A74" s="4"/>
      <c r="B74" s="28" t="str">
        <f>IF(ISNUMBER(MATCH(D74, Mgt_Unit!$C$5:$C$1018, 0)), INDEX(Mgt_Unit!$B$5:$B$1018, MATCH(D74, Mgt_Unit!$C$5:$C$1018, 0)), "")</f>
        <v>jennifer.moore</v>
      </c>
      <c r="C74" s="28"/>
      <c r="D74" s="60" t="s">
        <v>965</v>
      </c>
      <c r="E74" s="45"/>
      <c r="F74" s="9" t="s">
        <v>43</v>
      </c>
      <c r="G74" s="9" t="s">
        <v>1173</v>
      </c>
      <c r="H74" s="75">
        <v>43560</v>
      </c>
      <c r="I74" s="9">
        <v>6</v>
      </c>
      <c r="J74" s="9" t="s">
        <v>1580</v>
      </c>
      <c r="K74" s="9"/>
      <c r="L74" s="9"/>
      <c r="M74" s="9"/>
      <c r="N74" s="9"/>
      <c r="O74" s="9"/>
      <c r="P74" s="9"/>
    </row>
    <row r="75" spans="1:16" x14ac:dyDescent="0.25">
      <c r="A75" s="4"/>
      <c r="B75" s="28" t="str">
        <f>IF(ISNUMBER(MATCH(D75, Mgt_Unit!$C$5:$C$1018, 0)), INDEX(Mgt_Unit!$B$5:$B$1018, MATCH(D75, Mgt_Unit!$C$5:$C$1018, 0)), "")</f>
        <v>jennifer.moore</v>
      </c>
      <c r="C75" s="28"/>
      <c r="D75" s="60" t="s">
        <v>966</v>
      </c>
      <c r="E75" s="45"/>
      <c r="F75" s="9" t="s">
        <v>43</v>
      </c>
      <c r="G75" s="9" t="s">
        <v>1173</v>
      </c>
      <c r="H75" s="75">
        <v>42122</v>
      </c>
      <c r="I75" s="9">
        <v>4</v>
      </c>
      <c r="J75" s="9" t="s">
        <v>1580</v>
      </c>
      <c r="K75" s="9"/>
      <c r="L75" s="9"/>
      <c r="M75" s="9"/>
      <c r="N75" s="9"/>
      <c r="O75" s="9"/>
      <c r="P75" s="9"/>
    </row>
    <row r="76" spans="1:16" x14ac:dyDescent="0.25">
      <c r="A76" s="4"/>
      <c r="B76" s="28" t="str">
        <f>IF(ISNUMBER(MATCH(D76, Mgt_Unit!$C$5:$C$1018, 0)), INDEX(Mgt_Unit!$B$5:$B$1018, MATCH(D76, Mgt_Unit!$C$5:$C$1018, 0)), "")</f>
        <v>jennifer.moore</v>
      </c>
      <c r="C76" s="28"/>
      <c r="D76" s="60" t="s">
        <v>966</v>
      </c>
      <c r="E76" s="45"/>
      <c r="F76" s="9" t="s">
        <v>43</v>
      </c>
      <c r="G76" s="9" t="s">
        <v>1173</v>
      </c>
      <c r="H76" s="75">
        <v>43560</v>
      </c>
      <c r="I76" s="9">
        <v>6</v>
      </c>
      <c r="J76" s="9" t="s">
        <v>1580</v>
      </c>
      <c r="K76" s="9"/>
      <c r="L76" s="9"/>
      <c r="M76" s="9"/>
      <c r="N76" s="9"/>
      <c r="O76" s="9"/>
      <c r="P76" s="9"/>
    </row>
    <row r="77" spans="1:16" x14ac:dyDescent="0.25">
      <c r="A77" s="4"/>
      <c r="B77" s="28" t="str">
        <f>IF(ISNUMBER(MATCH(D77, Mgt_Unit!$C$5:$C$1018, 0)), INDEX(Mgt_Unit!$B$5:$B$1018, MATCH(D77, Mgt_Unit!$C$5:$C$1018, 0)), "")</f>
        <v>jennifer.moore</v>
      </c>
      <c r="C77" s="28"/>
      <c r="D77" s="60" t="s">
        <v>1030</v>
      </c>
      <c r="E77" s="45"/>
      <c r="F77" s="9" t="s">
        <v>43</v>
      </c>
      <c r="G77" s="9" t="s">
        <v>1571</v>
      </c>
      <c r="H77" s="75">
        <v>43191</v>
      </c>
      <c r="I77" s="9">
        <v>18</v>
      </c>
      <c r="J77" s="9" t="s">
        <v>1580</v>
      </c>
      <c r="K77" s="9"/>
      <c r="L77" s="9"/>
      <c r="M77" s="9"/>
      <c r="N77" s="9"/>
      <c r="O77" s="9"/>
      <c r="P77" s="9"/>
    </row>
    <row r="78" spans="1:16" x14ac:dyDescent="0.25">
      <c r="A78" s="4"/>
      <c r="B78" s="28" t="str">
        <f>IF(ISNUMBER(MATCH(D78, Mgt_Unit!$C$5:$C$1018, 0)), INDEX(Mgt_Unit!$B$5:$B$1018, MATCH(D78, Mgt_Unit!$C$5:$C$1018, 0)), "")</f>
        <v>jennifer.moore</v>
      </c>
      <c r="C78" s="28"/>
      <c r="D78" s="60" t="s">
        <v>1031</v>
      </c>
      <c r="E78" s="45"/>
      <c r="F78" s="9" t="s">
        <v>43</v>
      </c>
      <c r="G78" s="9" t="s">
        <v>1572</v>
      </c>
      <c r="H78" s="75">
        <v>42139</v>
      </c>
      <c r="I78" s="9">
        <v>18</v>
      </c>
      <c r="J78" s="9" t="s">
        <v>1580</v>
      </c>
      <c r="K78" s="9"/>
      <c r="L78" s="9"/>
      <c r="M78" s="9"/>
      <c r="N78" s="9"/>
      <c r="O78" s="9"/>
      <c r="P78" s="9"/>
    </row>
    <row r="79" spans="1:16" x14ac:dyDescent="0.25">
      <c r="A79" s="4"/>
      <c r="B79" s="28" t="str">
        <f>IF(ISNUMBER(MATCH(D79, Mgt_Unit!$C$5:$C$1018, 0)), INDEX(Mgt_Unit!$B$5:$B$1018, MATCH(D79, Mgt_Unit!$C$5:$C$1018, 0)), "")</f>
        <v>jennifer.moore</v>
      </c>
      <c r="C79" s="28"/>
      <c r="D79" s="60" t="s">
        <v>1031</v>
      </c>
      <c r="E79" s="45"/>
      <c r="F79" s="9" t="s">
        <v>43</v>
      </c>
      <c r="G79" s="9" t="s">
        <v>1571</v>
      </c>
      <c r="H79" s="75">
        <v>43191</v>
      </c>
      <c r="I79" s="9">
        <v>18</v>
      </c>
      <c r="J79" s="9" t="s">
        <v>1580</v>
      </c>
      <c r="K79" s="9"/>
      <c r="L79" s="9"/>
      <c r="M79" s="9"/>
      <c r="N79" s="9"/>
      <c r="O79" s="9"/>
      <c r="P79" s="9"/>
    </row>
    <row r="80" spans="1:16" x14ac:dyDescent="0.25">
      <c r="A80" s="4"/>
      <c r="B80" s="28" t="str">
        <f>IF(ISNUMBER(MATCH(D80, Mgt_Unit!$C$5:$C$1018, 0)), INDEX(Mgt_Unit!$B$5:$B$1018, MATCH(D80, Mgt_Unit!$C$5:$C$1018, 0)), "")</f>
        <v>jennifer.moore</v>
      </c>
      <c r="C80" s="28"/>
      <c r="D80" s="60" t="s">
        <v>1036</v>
      </c>
      <c r="E80" s="45"/>
      <c r="F80" s="9" t="s">
        <v>43</v>
      </c>
      <c r="G80" s="9" t="s">
        <v>1571</v>
      </c>
      <c r="H80" s="75">
        <v>43191</v>
      </c>
      <c r="I80" s="9">
        <v>18</v>
      </c>
      <c r="J80" s="9" t="s">
        <v>1580</v>
      </c>
      <c r="K80" s="9"/>
      <c r="L80" s="9"/>
      <c r="M80" s="9"/>
      <c r="N80" s="9"/>
      <c r="O80" s="9"/>
      <c r="P80" s="9"/>
    </row>
    <row r="81" spans="1:16" x14ac:dyDescent="0.25">
      <c r="A81" s="4"/>
      <c r="B81" s="28" t="str">
        <f>IF(ISNUMBER(MATCH(D81, Mgt_Unit!$C$5:$C$1018, 0)), INDEX(Mgt_Unit!$B$5:$B$1018, MATCH(D81, Mgt_Unit!$C$5:$C$1018, 0)), "")</f>
        <v>jennifer.moore</v>
      </c>
      <c r="C81" s="28"/>
      <c r="D81" s="60" t="s">
        <v>1037</v>
      </c>
      <c r="E81" s="45"/>
      <c r="F81" s="9" t="s">
        <v>43</v>
      </c>
      <c r="G81" s="9" t="s">
        <v>1571</v>
      </c>
      <c r="H81" s="75">
        <v>42139</v>
      </c>
      <c r="I81" s="9">
        <v>18</v>
      </c>
      <c r="J81" s="9" t="s">
        <v>1580</v>
      </c>
      <c r="K81" s="9"/>
      <c r="L81" s="9"/>
      <c r="M81" s="9"/>
      <c r="N81" s="9"/>
      <c r="O81" s="9"/>
      <c r="P81" s="9"/>
    </row>
    <row r="82" spans="1:16" x14ac:dyDescent="0.25">
      <c r="A82" s="4"/>
      <c r="B82" s="28" t="str">
        <f>IF(ISNUMBER(MATCH(D82, Mgt_Unit!$C$5:$C$1018, 0)), INDEX(Mgt_Unit!$B$5:$B$1018, MATCH(D82, Mgt_Unit!$C$5:$C$1018, 0)), "")</f>
        <v>jennifer.moore</v>
      </c>
      <c r="C82" s="28"/>
      <c r="D82" s="60" t="s">
        <v>1037</v>
      </c>
      <c r="E82" s="45"/>
      <c r="F82" s="9" t="s">
        <v>43</v>
      </c>
      <c r="G82" s="9" t="s">
        <v>1572</v>
      </c>
      <c r="H82" s="75">
        <v>43191</v>
      </c>
      <c r="I82" s="9">
        <v>18</v>
      </c>
      <c r="J82" s="9" t="s">
        <v>1580</v>
      </c>
      <c r="K82" s="9"/>
      <c r="L82" s="9"/>
      <c r="M82" s="9"/>
      <c r="N82" s="9"/>
      <c r="O82" s="9"/>
      <c r="P82" s="9"/>
    </row>
    <row r="83" spans="1:16" x14ac:dyDescent="0.25">
      <c r="A83" s="4"/>
      <c r="B83" s="28" t="str">
        <f>IF(ISNUMBER(MATCH(D83, Mgt_Unit!$C$5:$C$1018, 0)), INDEX(Mgt_Unit!$B$5:$B$1018, MATCH(D83, Mgt_Unit!$C$5:$C$1018, 0)), "")</f>
        <v>jennifer.moore</v>
      </c>
      <c r="C83" s="28"/>
      <c r="D83" s="60" t="s">
        <v>1038</v>
      </c>
      <c r="E83" s="45"/>
      <c r="F83" s="9" t="s">
        <v>43</v>
      </c>
      <c r="G83" s="9" t="s">
        <v>1573</v>
      </c>
      <c r="H83" s="75">
        <v>43570</v>
      </c>
      <c r="I83" s="9">
        <v>25</v>
      </c>
      <c r="J83" s="9" t="s">
        <v>1580</v>
      </c>
      <c r="K83" s="9"/>
      <c r="L83" s="9"/>
      <c r="M83" s="9"/>
      <c r="N83" s="9"/>
      <c r="O83" s="9"/>
      <c r="P83" s="9"/>
    </row>
    <row r="84" spans="1:16" x14ac:dyDescent="0.25">
      <c r="A84" s="4"/>
      <c r="B84" s="28" t="str">
        <f>IF(ISNUMBER(MATCH(D84, Mgt_Unit!$C$5:$C$1018, 0)), INDEX(Mgt_Unit!$B$5:$B$1018, MATCH(D84, Mgt_Unit!$C$5:$C$1018, 0)), "")</f>
        <v>jennifer.moore</v>
      </c>
      <c r="C84" s="28"/>
      <c r="D84" s="60" t="s">
        <v>1038</v>
      </c>
      <c r="E84" s="45"/>
      <c r="F84" s="9" t="s">
        <v>43</v>
      </c>
      <c r="G84" s="9" t="s">
        <v>1573</v>
      </c>
      <c r="H84" s="75">
        <v>43739</v>
      </c>
      <c r="I84" s="9">
        <v>25</v>
      </c>
      <c r="J84" s="9" t="s">
        <v>1580</v>
      </c>
      <c r="K84" s="9"/>
      <c r="L84" s="9"/>
      <c r="M84" s="9"/>
      <c r="N84" s="9"/>
      <c r="O84" s="9"/>
      <c r="P84" s="9"/>
    </row>
    <row r="85" spans="1:16" x14ac:dyDescent="0.25">
      <c r="A85" s="4"/>
      <c r="B85" s="28" t="str">
        <f>IF(ISNUMBER(MATCH(D85, Mgt_Unit!$C$5:$C$1018, 0)), INDEX(Mgt_Unit!$B$5:$B$1018, MATCH(D85, Mgt_Unit!$C$5:$C$1018, 0)), "")</f>
        <v>jennifer.moore</v>
      </c>
      <c r="C85" s="28"/>
      <c r="D85" s="60" t="s">
        <v>1038</v>
      </c>
      <c r="E85" s="45"/>
      <c r="F85" s="9" t="s">
        <v>43</v>
      </c>
      <c r="G85" s="9" t="s">
        <v>1573</v>
      </c>
      <c r="H85" s="75">
        <v>44301</v>
      </c>
      <c r="I85" s="9">
        <v>25</v>
      </c>
      <c r="J85" s="9" t="s">
        <v>1580</v>
      </c>
      <c r="K85" s="9"/>
      <c r="L85" s="9"/>
      <c r="M85" s="9"/>
      <c r="N85" s="9"/>
      <c r="O85" s="9"/>
      <c r="P85" s="9"/>
    </row>
    <row r="86" spans="1:16" x14ac:dyDescent="0.25">
      <c r="A86" s="4"/>
      <c r="B86" s="28" t="str">
        <f>IF(ISNUMBER(MATCH(D86, Mgt_Unit!$C$5:$C$1018, 0)), INDEX(Mgt_Unit!$B$5:$B$1018, MATCH(D86, Mgt_Unit!$C$5:$C$1018, 0)), "")</f>
        <v>jennifer.moore</v>
      </c>
      <c r="C86" s="28"/>
      <c r="D86" s="60" t="s">
        <v>1038</v>
      </c>
      <c r="E86" s="45"/>
      <c r="F86" s="9" t="s">
        <v>43</v>
      </c>
      <c r="G86" s="9" t="s">
        <v>1573</v>
      </c>
      <c r="H86" s="75">
        <v>44666</v>
      </c>
      <c r="I86" s="9">
        <v>25</v>
      </c>
      <c r="J86" s="9" t="s">
        <v>1580</v>
      </c>
      <c r="K86" s="9"/>
      <c r="L86" s="9"/>
      <c r="M86" s="9"/>
      <c r="N86" s="9"/>
      <c r="O86" s="9"/>
      <c r="P86" s="9"/>
    </row>
    <row r="87" spans="1:16" x14ac:dyDescent="0.25">
      <c r="A87" s="4"/>
      <c r="B87" s="28" t="str">
        <f>IF(ISNUMBER(MATCH(D87, Mgt_Unit!$C$5:$C$1018, 0)), INDEX(Mgt_Unit!$B$5:$B$1018, MATCH(D87, Mgt_Unit!$C$5:$C$1018, 0)), "")</f>
        <v>jennifer.moore</v>
      </c>
      <c r="C87" s="28"/>
      <c r="D87" s="60" t="s">
        <v>1039</v>
      </c>
      <c r="E87" s="45"/>
      <c r="F87" s="9" t="s">
        <v>43</v>
      </c>
      <c r="G87" s="9" t="s">
        <v>1573</v>
      </c>
      <c r="H87" s="75">
        <v>43570</v>
      </c>
      <c r="I87" s="9">
        <v>25</v>
      </c>
      <c r="J87" s="9" t="s">
        <v>1580</v>
      </c>
      <c r="K87" s="9"/>
      <c r="L87" s="9"/>
      <c r="M87" s="9"/>
      <c r="N87" s="9"/>
      <c r="O87" s="9"/>
      <c r="P87" s="9"/>
    </row>
    <row r="88" spans="1:16" x14ac:dyDescent="0.25">
      <c r="A88" s="4"/>
      <c r="B88" s="28" t="str">
        <f>IF(ISNUMBER(MATCH(D88, Mgt_Unit!$C$5:$C$1018, 0)), INDEX(Mgt_Unit!$B$5:$B$1018, MATCH(D88, Mgt_Unit!$C$5:$C$1018, 0)), "")</f>
        <v>jennifer.moore</v>
      </c>
      <c r="C88" s="28"/>
      <c r="D88" s="60" t="s">
        <v>1040</v>
      </c>
      <c r="E88" s="45"/>
      <c r="F88" s="9" t="s">
        <v>43</v>
      </c>
      <c r="G88" s="9" t="s">
        <v>1573</v>
      </c>
      <c r="H88" s="75">
        <v>43570</v>
      </c>
      <c r="I88" s="9">
        <v>25</v>
      </c>
      <c r="J88" s="9" t="s">
        <v>1580</v>
      </c>
      <c r="K88" s="9"/>
      <c r="L88" s="9"/>
      <c r="M88" s="9"/>
      <c r="N88" s="9"/>
      <c r="O88" s="9"/>
      <c r="P88" s="9"/>
    </row>
    <row r="89" spans="1:16" x14ac:dyDescent="0.25">
      <c r="A89" s="4"/>
      <c r="B89" s="28" t="str">
        <f>IF(ISNUMBER(MATCH(D89, Mgt_Unit!$C$5:$C$1018, 0)), INDEX(Mgt_Unit!$B$5:$B$1018, MATCH(D89, Mgt_Unit!$C$5:$C$1018, 0)), "")</f>
        <v>jennifer.moore</v>
      </c>
      <c r="C89" s="28"/>
      <c r="D89" s="60" t="s">
        <v>1041</v>
      </c>
      <c r="E89" s="45"/>
      <c r="F89" s="9" t="s">
        <v>43</v>
      </c>
      <c r="G89" s="9" t="s">
        <v>1573</v>
      </c>
      <c r="H89" s="75">
        <v>44411</v>
      </c>
      <c r="I89" s="9">
        <v>25</v>
      </c>
      <c r="J89" s="9" t="s">
        <v>1580</v>
      </c>
      <c r="K89" s="9"/>
      <c r="L89" s="9"/>
      <c r="M89" s="9"/>
      <c r="N89" s="9"/>
      <c r="O89" s="9"/>
      <c r="P89" s="9"/>
    </row>
    <row r="90" spans="1:16" x14ac:dyDescent="0.25">
      <c r="A90" s="4"/>
      <c r="B90" s="28" t="str">
        <f>IF(ISNUMBER(MATCH(D90, Mgt_Unit!$C$5:$C$1018, 0)), INDEX(Mgt_Unit!$B$5:$B$1018, MATCH(D90, Mgt_Unit!$C$5:$C$1018, 0)), "")</f>
        <v>jennifer.moore</v>
      </c>
      <c r="C90" s="28"/>
      <c r="D90" s="60" t="s">
        <v>1041</v>
      </c>
      <c r="E90" s="45"/>
      <c r="F90" s="9" t="s">
        <v>43</v>
      </c>
      <c r="G90" s="9" t="s">
        <v>1573</v>
      </c>
      <c r="H90" s="75">
        <v>44682</v>
      </c>
      <c r="I90" s="9">
        <v>25</v>
      </c>
      <c r="J90" s="9" t="s">
        <v>1580</v>
      </c>
      <c r="K90" s="9"/>
      <c r="L90" s="9"/>
      <c r="M90" s="9"/>
      <c r="N90" s="9"/>
      <c r="O90" s="9"/>
      <c r="P90" s="9"/>
    </row>
    <row r="91" spans="1:16" x14ac:dyDescent="0.25">
      <c r="A91" s="4"/>
      <c r="B91" s="28" t="str">
        <f>IF(ISNUMBER(MATCH(D91, Mgt_Unit!$C$5:$C$1018, 0)), INDEX(Mgt_Unit!$B$5:$B$1018, MATCH(D91, Mgt_Unit!$C$5:$C$1018, 0)), "")</f>
        <v>jennifer.moore</v>
      </c>
      <c r="C91" s="28"/>
      <c r="D91" s="60" t="s">
        <v>1041</v>
      </c>
      <c r="E91" s="45"/>
      <c r="F91" s="9" t="s">
        <v>43</v>
      </c>
      <c r="G91" s="9" t="s">
        <v>1573</v>
      </c>
      <c r="H91" s="75">
        <v>45047</v>
      </c>
      <c r="I91" s="9">
        <v>25</v>
      </c>
      <c r="J91" s="9" t="s">
        <v>1580</v>
      </c>
      <c r="K91" s="9"/>
      <c r="L91" s="9"/>
      <c r="M91" s="9"/>
      <c r="N91" s="9"/>
      <c r="O91" s="9"/>
      <c r="P91" s="9"/>
    </row>
    <row r="92" spans="1:16" x14ac:dyDescent="0.25">
      <c r="A92" s="4"/>
      <c r="B92" s="28" t="str">
        <f>IF(ISNUMBER(MATCH(D92, Mgt_Unit!$C$5:$C$1018, 0)), INDEX(Mgt_Unit!$B$5:$B$1018, MATCH(D92, Mgt_Unit!$C$5:$C$1018, 0)), "")</f>
        <v>jennifer.moore</v>
      </c>
      <c r="C92" s="28"/>
      <c r="D92" s="60" t="s">
        <v>1041</v>
      </c>
      <c r="E92" s="45"/>
      <c r="F92" s="9" t="s">
        <v>43</v>
      </c>
      <c r="G92" s="9" t="s">
        <v>1573</v>
      </c>
      <c r="H92" s="75">
        <v>45200</v>
      </c>
      <c r="I92" s="9">
        <v>25</v>
      </c>
      <c r="J92" s="9" t="s">
        <v>1580</v>
      </c>
      <c r="K92" s="9"/>
      <c r="L92" s="9"/>
      <c r="M92" s="9"/>
      <c r="N92" s="9"/>
      <c r="O92" s="9"/>
      <c r="P92" s="9"/>
    </row>
    <row r="93" spans="1:16" x14ac:dyDescent="0.25">
      <c r="A93" s="4"/>
      <c r="B93" s="28" t="str">
        <f>IF(ISNUMBER(MATCH(D93, Mgt_Unit!$C$5:$C$1018, 0)), INDEX(Mgt_Unit!$B$5:$B$1018, MATCH(D93, Mgt_Unit!$C$5:$C$1018, 0)), "")</f>
        <v>jennifer.moore</v>
      </c>
      <c r="C93" s="28"/>
      <c r="D93" s="60" t="s">
        <v>1041</v>
      </c>
      <c r="E93" s="45"/>
      <c r="F93" s="9" t="s">
        <v>43</v>
      </c>
      <c r="G93" s="9" t="s">
        <v>1573</v>
      </c>
      <c r="H93" s="75">
        <v>45414</v>
      </c>
      <c r="I93" s="9">
        <v>25</v>
      </c>
      <c r="J93" s="9" t="s">
        <v>1580</v>
      </c>
      <c r="K93" s="9"/>
      <c r="L93" s="9"/>
      <c r="M93" s="9"/>
      <c r="N93" s="9"/>
      <c r="O93" s="9"/>
      <c r="P93" s="9"/>
    </row>
    <row r="94" spans="1:16" x14ac:dyDescent="0.25">
      <c r="A94" s="4"/>
      <c r="B94" s="28" t="str">
        <f>IF(ISNUMBER(MATCH(D94, Mgt_Unit!$C$5:$C$1018, 0)), INDEX(Mgt_Unit!$B$5:$B$1018, MATCH(D94, Mgt_Unit!$C$5:$C$1018, 0)), "")</f>
        <v>jennifer.moore</v>
      </c>
      <c r="C94" s="28"/>
      <c r="D94" s="60" t="s">
        <v>1043</v>
      </c>
      <c r="E94" s="45"/>
      <c r="F94" s="9" t="s">
        <v>43</v>
      </c>
      <c r="G94" s="9" t="s">
        <v>1573</v>
      </c>
      <c r="H94" s="75">
        <v>43678</v>
      </c>
      <c r="I94" s="9">
        <v>25</v>
      </c>
      <c r="J94" s="9" t="s">
        <v>1580</v>
      </c>
      <c r="K94" s="9"/>
      <c r="L94" s="9"/>
      <c r="M94" s="9"/>
      <c r="N94" s="9"/>
      <c r="O94" s="9"/>
      <c r="P94" s="9"/>
    </row>
    <row r="95" spans="1:16" x14ac:dyDescent="0.25">
      <c r="A95" s="4"/>
      <c r="B95" s="28" t="str">
        <f>IF(ISNUMBER(MATCH(D95, Mgt_Unit!$C$5:$C$1018, 0)), INDEX(Mgt_Unit!$B$5:$B$1018, MATCH(D95, Mgt_Unit!$C$5:$C$1018, 0)), "")</f>
        <v>jennifer.moore</v>
      </c>
      <c r="C95" s="28"/>
      <c r="D95" s="60" t="s">
        <v>1043</v>
      </c>
      <c r="E95" s="45"/>
      <c r="F95" s="9" t="s">
        <v>43</v>
      </c>
      <c r="G95" s="9" t="s">
        <v>1573</v>
      </c>
      <c r="H95" s="75">
        <v>44484</v>
      </c>
      <c r="I95" s="9">
        <v>25</v>
      </c>
      <c r="J95" s="9" t="s">
        <v>1580</v>
      </c>
      <c r="K95" s="9"/>
      <c r="L95" s="9"/>
      <c r="M95" s="9"/>
      <c r="N95" s="9"/>
      <c r="O95" s="9"/>
      <c r="P95" s="9"/>
    </row>
    <row r="96" spans="1:16" x14ac:dyDescent="0.25">
      <c r="A96" s="4"/>
      <c r="B96" s="28" t="str">
        <f>IF(ISNUMBER(MATCH(D96, Mgt_Unit!$C$5:$C$1018, 0)), INDEX(Mgt_Unit!$B$5:$B$1018, MATCH(D96, Mgt_Unit!$C$5:$C$1018, 0)), "")</f>
        <v>jennifer.moore</v>
      </c>
      <c r="C96" s="28"/>
      <c r="D96" s="60" t="s">
        <v>1066</v>
      </c>
      <c r="E96" s="45"/>
      <c r="F96" s="9" t="s">
        <v>43</v>
      </c>
      <c r="G96" s="9" t="s">
        <v>1574</v>
      </c>
      <c r="H96" s="75">
        <v>40765</v>
      </c>
      <c r="I96" s="9">
        <v>4.9000000000000004</v>
      </c>
      <c r="J96" s="9" t="s">
        <v>1581</v>
      </c>
      <c r="K96" s="9"/>
      <c r="L96" s="9"/>
      <c r="M96" s="9"/>
      <c r="N96" s="9"/>
      <c r="O96" s="9"/>
      <c r="P96" s="9"/>
    </row>
    <row r="97" spans="1:16" x14ac:dyDescent="0.25">
      <c r="A97" s="4"/>
      <c r="B97" s="28" t="str">
        <f>IF(ISNUMBER(MATCH(D97, Mgt_Unit!$C$5:$C$1018, 0)), INDEX(Mgt_Unit!$B$5:$B$1018, MATCH(D97, Mgt_Unit!$C$5:$C$1018, 0)), "")</f>
        <v>jennifer.moore</v>
      </c>
      <c r="C97" s="28"/>
      <c r="D97" s="60" t="s">
        <v>1066</v>
      </c>
      <c r="E97" s="45"/>
      <c r="F97" s="9" t="s">
        <v>43</v>
      </c>
      <c r="G97" s="9" t="s">
        <v>1574</v>
      </c>
      <c r="H97" s="75">
        <v>42210</v>
      </c>
      <c r="I97" s="9">
        <v>4.9000000000000004</v>
      </c>
      <c r="J97" s="9" t="s">
        <v>1581</v>
      </c>
      <c r="K97" s="9"/>
      <c r="L97" s="9"/>
      <c r="M97" s="9"/>
      <c r="N97" s="9"/>
      <c r="O97" s="9"/>
      <c r="P97" s="9"/>
    </row>
    <row r="98" spans="1:16" x14ac:dyDescent="0.25">
      <c r="A98" s="4"/>
      <c r="B98" s="28" t="str">
        <f>IF(ISNUMBER(MATCH(D98, Mgt_Unit!$C$5:$C$1018, 0)), INDEX(Mgt_Unit!$B$5:$B$1018, MATCH(D98, Mgt_Unit!$C$5:$C$1018, 0)), "")</f>
        <v>jennifer.moore</v>
      </c>
      <c r="C98" s="28"/>
      <c r="D98" s="60" t="s">
        <v>1066</v>
      </c>
      <c r="E98" s="45"/>
      <c r="F98" s="9" t="s">
        <v>43</v>
      </c>
      <c r="G98" s="9" t="s">
        <v>1574</v>
      </c>
      <c r="H98" s="75">
        <v>43575</v>
      </c>
      <c r="I98" s="9">
        <v>4.9000000000000004</v>
      </c>
      <c r="J98" s="9" t="s">
        <v>1581</v>
      </c>
      <c r="K98" s="9"/>
      <c r="L98" s="9"/>
      <c r="M98" s="9"/>
      <c r="N98" s="9"/>
      <c r="O98" s="9"/>
      <c r="P98" s="9"/>
    </row>
    <row r="99" spans="1:16" x14ac:dyDescent="0.25">
      <c r="A99" s="4"/>
      <c r="B99" s="28" t="str">
        <f>IF(ISNUMBER(MATCH(D99, Mgt_Unit!$C$5:$C$1018, 0)), INDEX(Mgt_Unit!$B$5:$B$1018, MATCH(D99, Mgt_Unit!$C$5:$C$1018, 0)), "")</f>
        <v>jennifer.moore</v>
      </c>
      <c r="C99" s="28"/>
      <c r="D99" s="60" t="s">
        <v>1067</v>
      </c>
      <c r="E99" s="45"/>
      <c r="F99" s="9" t="s">
        <v>43</v>
      </c>
      <c r="G99" s="9" t="s">
        <v>1574</v>
      </c>
      <c r="H99" s="75">
        <v>40765</v>
      </c>
      <c r="I99" s="9">
        <v>6.9</v>
      </c>
      <c r="J99" s="9" t="s">
        <v>1581</v>
      </c>
      <c r="K99" s="9"/>
      <c r="L99" s="9"/>
      <c r="M99" s="9"/>
      <c r="N99" s="9"/>
      <c r="O99" s="9"/>
      <c r="P99" s="9"/>
    </row>
    <row r="100" spans="1:16" x14ac:dyDescent="0.25">
      <c r="A100" s="4"/>
      <c r="B100" s="28" t="str">
        <f>IF(ISNUMBER(MATCH(D100, Mgt_Unit!$C$5:$C$1018, 0)), INDEX(Mgt_Unit!$B$5:$B$1018, MATCH(D100, Mgt_Unit!$C$5:$C$1018, 0)), "")</f>
        <v>jennifer.moore</v>
      </c>
      <c r="C100" s="28"/>
      <c r="D100" s="60" t="s">
        <v>1067</v>
      </c>
      <c r="E100" s="45"/>
      <c r="F100" s="9" t="s">
        <v>43</v>
      </c>
      <c r="G100" s="9" t="s">
        <v>1574</v>
      </c>
      <c r="H100" s="75">
        <v>42210</v>
      </c>
      <c r="I100" s="9">
        <v>6.9</v>
      </c>
      <c r="J100" s="9" t="s">
        <v>1581</v>
      </c>
      <c r="K100" s="9"/>
      <c r="L100" s="9"/>
      <c r="M100" s="9"/>
      <c r="N100" s="9"/>
      <c r="O100" s="9"/>
      <c r="P100" s="9"/>
    </row>
    <row r="101" spans="1:16" x14ac:dyDescent="0.25">
      <c r="A101" s="4"/>
      <c r="B101" s="28" t="str">
        <f>IF(ISNUMBER(MATCH(D101, Mgt_Unit!$C$5:$C$1018, 0)), INDEX(Mgt_Unit!$B$5:$B$1018, MATCH(D101, Mgt_Unit!$C$5:$C$1018, 0)), "")</f>
        <v>jennifer.moore</v>
      </c>
      <c r="C101" s="28"/>
      <c r="D101" s="60" t="s">
        <v>1067</v>
      </c>
      <c r="E101" s="45"/>
      <c r="F101" s="9" t="s">
        <v>43</v>
      </c>
      <c r="G101" s="9" t="s">
        <v>1574</v>
      </c>
      <c r="H101" s="75">
        <v>43575</v>
      </c>
      <c r="I101" s="9">
        <v>6.9</v>
      </c>
      <c r="J101" s="9" t="s">
        <v>1581</v>
      </c>
      <c r="K101" s="9"/>
      <c r="L101" s="9"/>
      <c r="M101" s="9"/>
      <c r="N101" s="9"/>
      <c r="O101" s="9"/>
      <c r="P101" s="9"/>
    </row>
    <row r="102" spans="1:16" x14ac:dyDescent="0.25">
      <c r="A102" s="4"/>
      <c r="B102" s="28" t="str">
        <f>IF(ISNUMBER(MATCH(D102, Mgt_Unit!$C$5:$C$1018, 0)), INDEX(Mgt_Unit!$B$5:$B$1018, MATCH(D102, Mgt_Unit!$C$5:$C$1018, 0)), "")</f>
        <v>jennifer.moore</v>
      </c>
      <c r="C102" s="28"/>
      <c r="D102" s="60" t="s">
        <v>1068</v>
      </c>
      <c r="E102" s="45"/>
      <c r="F102" s="9" t="s">
        <v>43</v>
      </c>
      <c r="G102" s="9" t="s">
        <v>1574</v>
      </c>
      <c r="H102" s="75">
        <v>40765</v>
      </c>
      <c r="I102" s="9">
        <v>9</v>
      </c>
      <c r="J102" s="9" t="s">
        <v>1581</v>
      </c>
      <c r="K102" s="9"/>
      <c r="L102" s="9"/>
      <c r="M102" s="9"/>
      <c r="N102" s="9"/>
      <c r="O102" s="9"/>
      <c r="P102" s="9"/>
    </row>
    <row r="103" spans="1:16" x14ac:dyDescent="0.25">
      <c r="A103" s="4"/>
      <c r="B103" s="28" t="str">
        <f>IF(ISNUMBER(MATCH(D103, Mgt_Unit!$C$5:$C$1018, 0)), INDEX(Mgt_Unit!$B$5:$B$1018, MATCH(D103, Mgt_Unit!$C$5:$C$1018, 0)), "")</f>
        <v>jennifer.moore</v>
      </c>
      <c r="C103" s="28"/>
      <c r="D103" s="60" t="s">
        <v>1068</v>
      </c>
      <c r="E103" s="45"/>
      <c r="F103" s="9" t="s">
        <v>43</v>
      </c>
      <c r="G103" s="9" t="s">
        <v>1574</v>
      </c>
      <c r="H103" s="75">
        <v>42210</v>
      </c>
      <c r="I103" s="9">
        <v>9</v>
      </c>
      <c r="J103" s="9" t="s">
        <v>1581</v>
      </c>
      <c r="K103" s="9"/>
      <c r="L103" s="9"/>
      <c r="M103" s="9"/>
      <c r="N103" s="9"/>
      <c r="O103" s="9"/>
      <c r="P103" s="9"/>
    </row>
    <row r="104" spans="1:16" x14ac:dyDescent="0.25">
      <c r="A104" s="4"/>
      <c r="B104" s="28" t="str">
        <f>IF(ISNUMBER(MATCH(D104, Mgt_Unit!$C$5:$C$1018, 0)), INDEX(Mgt_Unit!$B$5:$B$1018, MATCH(D104, Mgt_Unit!$C$5:$C$1018, 0)), "")</f>
        <v>jennifer.moore</v>
      </c>
      <c r="C104" s="28"/>
      <c r="D104" s="60" t="s">
        <v>1068</v>
      </c>
      <c r="E104" s="45"/>
      <c r="F104" s="9" t="s">
        <v>43</v>
      </c>
      <c r="G104" s="9" t="s">
        <v>1574</v>
      </c>
      <c r="H104" s="75">
        <v>43575</v>
      </c>
      <c r="I104" s="9">
        <v>9</v>
      </c>
      <c r="J104" s="9" t="s">
        <v>1581</v>
      </c>
      <c r="K104" s="9"/>
      <c r="L104" s="9"/>
      <c r="M104" s="9"/>
      <c r="N104" s="9"/>
      <c r="O104" s="9"/>
      <c r="P104" s="9"/>
    </row>
    <row r="105" spans="1:16" x14ac:dyDescent="0.25">
      <c r="A105" s="4"/>
      <c r="B105" s="28" t="str">
        <f>IF(ISNUMBER(MATCH(D105, Mgt_Unit!$C$5:$C$1018, 0)), INDEX(Mgt_Unit!$B$5:$B$1018, MATCH(D105, Mgt_Unit!$C$5:$C$1018, 0)), "")</f>
        <v>jennifer.moore</v>
      </c>
      <c r="C105" s="28"/>
      <c r="D105" s="60" t="s">
        <v>1076</v>
      </c>
      <c r="E105" s="45"/>
      <c r="F105" s="9" t="s">
        <v>43</v>
      </c>
      <c r="G105" s="9" t="s">
        <v>1575</v>
      </c>
      <c r="H105" s="75">
        <v>42328</v>
      </c>
      <c r="I105" s="9">
        <v>14000</v>
      </c>
      <c r="J105" s="9" t="s">
        <v>1582</v>
      </c>
      <c r="K105" s="9"/>
      <c r="L105" s="9"/>
      <c r="M105" s="9"/>
      <c r="N105" s="9"/>
      <c r="O105" s="9"/>
      <c r="P105" s="9"/>
    </row>
    <row r="106" spans="1:16" x14ac:dyDescent="0.25">
      <c r="A106" s="4"/>
      <c r="B106" s="28" t="str">
        <f>IF(ISNUMBER(MATCH(D106, Mgt_Unit!$C$5:$C$1018, 0)), INDEX(Mgt_Unit!$B$5:$B$1018, MATCH(D106, Mgt_Unit!$C$5:$C$1018, 0)), "")</f>
        <v>jennifer.moore</v>
      </c>
      <c r="C106" s="28"/>
      <c r="D106" s="60" t="s">
        <v>1076</v>
      </c>
      <c r="E106" s="45"/>
      <c r="F106" s="9" t="s">
        <v>43</v>
      </c>
      <c r="G106" s="9" t="s">
        <v>1575</v>
      </c>
      <c r="H106" s="75">
        <v>43416</v>
      </c>
      <c r="I106" s="9">
        <v>12000</v>
      </c>
      <c r="J106" s="9" t="s">
        <v>1582</v>
      </c>
      <c r="K106" s="9"/>
      <c r="L106" s="9"/>
      <c r="M106" s="9"/>
      <c r="N106" s="9"/>
      <c r="O106" s="9"/>
      <c r="P106" s="9"/>
    </row>
    <row r="107" spans="1:16" x14ac:dyDescent="0.25">
      <c r="A107" s="4"/>
      <c r="B107" s="28" t="str">
        <f>IF(ISNUMBER(MATCH(D107, Mgt_Unit!$C$5:$C$1018, 0)), INDEX(Mgt_Unit!$B$5:$B$1018, MATCH(D107, Mgt_Unit!$C$5:$C$1018, 0)), "")</f>
        <v>jennifer.moore</v>
      </c>
      <c r="C107" s="28"/>
      <c r="D107" s="60" t="s">
        <v>1077</v>
      </c>
      <c r="E107" s="45"/>
      <c r="F107" s="9" t="s">
        <v>43</v>
      </c>
      <c r="G107" s="9" t="s">
        <v>1575</v>
      </c>
      <c r="H107" s="75">
        <v>42675</v>
      </c>
      <c r="I107" s="9">
        <v>14000</v>
      </c>
      <c r="J107" s="9" t="s">
        <v>1582</v>
      </c>
      <c r="K107" s="9"/>
      <c r="L107" s="9"/>
      <c r="M107" s="9"/>
      <c r="N107" s="9"/>
      <c r="O107" s="9"/>
      <c r="P107" s="9"/>
    </row>
    <row r="108" spans="1:16" x14ac:dyDescent="0.25">
      <c r="A108" s="4"/>
      <c r="B108" s="28" t="str">
        <f>IF(ISNUMBER(MATCH(D108, Mgt_Unit!$C$5:$C$1018, 0)), INDEX(Mgt_Unit!$B$5:$B$1018, MATCH(D108, Mgt_Unit!$C$5:$C$1018, 0)), "")</f>
        <v>jennifer.moore</v>
      </c>
      <c r="C108" s="28"/>
      <c r="D108" s="60" t="s">
        <v>1077</v>
      </c>
      <c r="E108" s="45"/>
      <c r="F108" s="9" t="s">
        <v>43</v>
      </c>
      <c r="G108" s="9" t="s">
        <v>1575</v>
      </c>
      <c r="H108" s="75">
        <v>43391</v>
      </c>
      <c r="I108" s="9">
        <v>7000</v>
      </c>
      <c r="J108" s="9" t="s">
        <v>1582</v>
      </c>
      <c r="K108" s="9"/>
      <c r="L108" s="9"/>
      <c r="M108" s="9"/>
      <c r="N108" s="9"/>
      <c r="O108" s="9"/>
      <c r="P108" s="9"/>
    </row>
    <row r="109" spans="1:16" x14ac:dyDescent="0.25">
      <c r="A109" s="4"/>
      <c r="B109" s="28" t="str">
        <f>IF(ISNUMBER(MATCH(D109, Mgt_Unit!$C$5:$C$1018, 0)), INDEX(Mgt_Unit!$B$5:$B$1018, MATCH(D109, Mgt_Unit!$C$5:$C$1018, 0)), "")</f>
        <v>jennifer.moore</v>
      </c>
      <c r="C109" s="28"/>
      <c r="D109" s="60" t="s">
        <v>1079</v>
      </c>
      <c r="E109" s="45"/>
      <c r="F109" s="9" t="s">
        <v>43</v>
      </c>
      <c r="G109" s="9" t="s">
        <v>1576</v>
      </c>
      <c r="H109" s="75">
        <v>42462</v>
      </c>
      <c r="I109" s="9">
        <v>1.8</v>
      </c>
      <c r="J109" s="9" t="s">
        <v>1580</v>
      </c>
      <c r="K109" s="9"/>
      <c r="L109" s="9"/>
      <c r="M109" s="9"/>
      <c r="N109" s="9"/>
      <c r="O109" s="9"/>
      <c r="P109" s="9"/>
    </row>
    <row r="110" spans="1:16" x14ac:dyDescent="0.25">
      <c r="A110" s="4"/>
      <c r="B110" s="28" t="str">
        <f>IF(ISNUMBER(MATCH(D110, Mgt_Unit!$C$5:$C$1018, 0)), INDEX(Mgt_Unit!$B$5:$B$1018, MATCH(D110, Mgt_Unit!$C$5:$C$1018, 0)), "")</f>
        <v>jennifer.moore</v>
      </c>
      <c r="C110" s="28"/>
      <c r="D110" s="60" t="s">
        <v>1079</v>
      </c>
      <c r="E110" s="45"/>
      <c r="F110" s="9" t="s">
        <v>43</v>
      </c>
      <c r="G110" s="9" t="s">
        <v>1576</v>
      </c>
      <c r="H110" s="75">
        <v>43216</v>
      </c>
      <c r="I110" s="9">
        <v>1.8</v>
      </c>
      <c r="J110" s="9" t="s">
        <v>1580</v>
      </c>
      <c r="K110" s="9"/>
      <c r="L110" s="9"/>
      <c r="M110" s="9"/>
      <c r="N110" s="9"/>
      <c r="O110" s="9"/>
      <c r="P110" s="9"/>
    </row>
    <row r="111" spans="1:16" x14ac:dyDescent="0.25">
      <c r="A111" s="4"/>
      <c r="B111" s="28" t="str">
        <f>IF(ISNUMBER(MATCH(D111, Mgt_Unit!$C$5:$C$1018, 0)), INDEX(Mgt_Unit!$B$5:$B$1018, MATCH(D111, Mgt_Unit!$C$5:$C$1018, 0)), "")</f>
        <v>jennifer.moore</v>
      </c>
      <c r="C111" s="28"/>
      <c r="D111" s="60" t="s">
        <v>1348</v>
      </c>
      <c r="E111" s="45"/>
      <c r="F111" s="9" t="s">
        <v>43</v>
      </c>
      <c r="G111" s="9" t="s">
        <v>1577</v>
      </c>
      <c r="H111" s="75">
        <v>43556</v>
      </c>
      <c r="I111" s="9">
        <v>31800</v>
      </c>
      <c r="J111" s="9" t="s">
        <v>1578</v>
      </c>
      <c r="K111" s="9"/>
      <c r="L111" s="9"/>
      <c r="M111" s="9"/>
      <c r="N111" s="9"/>
      <c r="O111" s="9"/>
      <c r="P111" s="9"/>
    </row>
    <row r="112" spans="1:16" x14ac:dyDescent="0.25">
      <c r="A112" s="4"/>
      <c r="B112" s="28" t="str">
        <f>IF(ISNUMBER(MATCH(D112, Mgt_Unit!$C$5:$C$1018, 0)), INDEX(Mgt_Unit!$B$5:$B$1018, MATCH(D112, Mgt_Unit!$C$5:$C$1018, 0)), "")</f>
        <v>jennifer.moore</v>
      </c>
      <c r="C112" s="28"/>
      <c r="D112" s="60" t="s">
        <v>1346</v>
      </c>
      <c r="E112" s="45"/>
      <c r="F112" s="9" t="s">
        <v>43</v>
      </c>
      <c r="G112" s="9" t="s">
        <v>1577</v>
      </c>
      <c r="H112" s="75">
        <v>43556</v>
      </c>
      <c r="I112" s="9">
        <v>31800</v>
      </c>
      <c r="J112" s="9" t="s">
        <v>1578</v>
      </c>
      <c r="K112" s="9"/>
      <c r="L112" s="9"/>
      <c r="M112" s="9"/>
      <c r="N112" s="9"/>
      <c r="O112" s="9"/>
      <c r="P112" s="9"/>
    </row>
    <row r="113" spans="1:16" x14ac:dyDescent="0.25">
      <c r="A113" s="4"/>
      <c r="B113" s="28" t="str">
        <f>IF(ISNUMBER(MATCH(D113, Mgt_Unit!$C$5:$C$1018, 0)), INDEX(Mgt_Unit!$B$5:$B$1018, MATCH(D113, Mgt_Unit!$C$5:$C$1018, 0)), "")</f>
        <v/>
      </c>
      <c r="C113" s="28"/>
      <c r="D113" s="9"/>
      <c r="E113" s="45"/>
      <c r="F113" s="9"/>
      <c r="G113" s="9"/>
      <c r="H113" s="50"/>
      <c r="I113" s="9"/>
      <c r="J113" s="9"/>
      <c r="K113" s="9"/>
      <c r="L113" s="9"/>
      <c r="M113" s="9"/>
      <c r="N113" s="9"/>
      <c r="O113" s="9"/>
      <c r="P113" s="9"/>
    </row>
    <row r="114" spans="1:16" x14ac:dyDescent="0.25">
      <c r="A114" s="4"/>
      <c r="B114" s="28" t="str">
        <f>IF(ISNUMBER(MATCH(D114, Mgt_Unit!$C$5:$C$1018, 0)), INDEX(Mgt_Unit!$B$5:$B$1018, MATCH(D114, Mgt_Unit!$C$5:$C$1018, 0)), "")</f>
        <v/>
      </c>
      <c r="C114" s="28"/>
      <c r="D114" s="9"/>
      <c r="E114" s="45"/>
      <c r="F114" s="9"/>
      <c r="G114" s="9"/>
      <c r="H114" s="50"/>
      <c r="I114" s="9"/>
      <c r="J114" s="9"/>
      <c r="K114" s="9"/>
      <c r="L114" s="9"/>
      <c r="M114" s="9"/>
      <c r="N114" s="9"/>
      <c r="O114" s="9"/>
      <c r="P114" s="9"/>
    </row>
    <row r="115" spans="1:16" x14ac:dyDescent="0.25">
      <c r="A115" s="4"/>
      <c r="B115" s="28" t="str">
        <f>IF(ISNUMBER(MATCH(D115, Mgt_Unit!$C$5:$C$1018, 0)), INDEX(Mgt_Unit!$B$5:$B$1018, MATCH(D115, Mgt_Unit!$C$5:$C$1018, 0)), "")</f>
        <v/>
      </c>
      <c r="C115" s="28"/>
      <c r="D115" s="9"/>
      <c r="E115" s="45"/>
      <c r="F115" s="9"/>
      <c r="G115" s="9"/>
      <c r="H115" s="50"/>
      <c r="I115" s="9"/>
      <c r="J115" s="9"/>
      <c r="K115" s="9"/>
      <c r="L115" s="9"/>
      <c r="M115" s="9"/>
      <c r="N115" s="9"/>
      <c r="O115" s="9"/>
      <c r="P115" s="9"/>
    </row>
    <row r="116" spans="1:16" x14ac:dyDescent="0.25">
      <c r="A116" s="4"/>
      <c r="B116" s="28" t="str">
        <f>IF(ISNUMBER(MATCH(D116, Mgt_Unit!$C$5:$C$1018, 0)), INDEX(Mgt_Unit!$B$5:$B$1018, MATCH(D116, Mgt_Unit!$C$5:$C$1018, 0)), "")</f>
        <v/>
      </c>
      <c r="C116" s="28"/>
      <c r="D116" s="9"/>
      <c r="E116" s="45"/>
      <c r="F116" s="9"/>
      <c r="G116" s="9"/>
      <c r="H116" s="50"/>
      <c r="I116" s="9"/>
      <c r="J116" s="9"/>
      <c r="K116" s="9"/>
      <c r="L116" s="9"/>
      <c r="M116" s="9"/>
      <c r="N116" s="9"/>
      <c r="O116" s="9"/>
      <c r="P116" s="9"/>
    </row>
    <row r="117" spans="1:16" x14ac:dyDescent="0.25">
      <c r="A117" s="4"/>
      <c r="B117" s="28" t="str">
        <f>IF(ISNUMBER(MATCH(D117, Mgt_Unit!$C$5:$C$1018, 0)), INDEX(Mgt_Unit!$B$5:$B$1018, MATCH(D117, Mgt_Unit!$C$5:$C$1018, 0)), "")</f>
        <v/>
      </c>
      <c r="C117" s="28"/>
      <c r="D117" s="9"/>
      <c r="E117" s="45"/>
      <c r="F117" s="9"/>
      <c r="G117" s="9"/>
      <c r="H117" s="50"/>
      <c r="I117" s="9"/>
      <c r="J117" s="9"/>
      <c r="K117" s="9"/>
      <c r="L117" s="9"/>
      <c r="M117" s="9"/>
      <c r="N117" s="9"/>
      <c r="O117" s="9"/>
      <c r="P117" s="9"/>
    </row>
    <row r="118" spans="1:16" x14ac:dyDescent="0.25">
      <c r="A118" s="4"/>
      <c r="B118" s="28" t="str">
        <f>IF(ISNUMBER(MATCH(D118, Mgt_Unit!$C$5:$C$1018, 0)), INDEX(Mgt_Unit!$B$5:$B$1018, MATCH(D118, Mgt_Unit!$C$5:$C$1018, 0)), "")</f>
        <v/>
      </c>
      <c r="C118" s="28"/>
      <c r="D118" s="9"/>
      <c r="E118" s="45"/>
      <c r="F118" s="9"/>
      <c r="G118" s="9"/>
      <c r="H118" s="50"/>
      <c r="I118" s="9"/>
      <c r="J118" s="9"/>
      <c r="K118" s="9"/>
      <c r="L118" s="9"/>
      <c r="M118" s="9"/>
      <c r="N118" s="9"/>
      <c r="O118" s="9"/>
      <c r="P118" s="9"/>
    </row>
    <row r="119" spans="1:16" x14ac:dyDescent="0.25">
      <c r="A119" s="4"/>
      <c r="B119" s="28" t="str">
        <f>IF(ISNUMBER(MATCH(D119, Mgt_Unit!$C$5:$C$1018, 0)), INDEX(Mgt_Unit!$B$5:$B$1018, MATCH(D119, Mgt_Unit!$C$5:$C$1018, 0)), "")</f>
        <v/>
      </c>
      <c r="C119" s="28"/>
      <c r="D119" s="9"/>
      <c r="E119" s="45"/>
      <c r="F119" s="9"/>
      <c r="G119" s="9"/>
      <c r="H119" s="50"/>
      <c r="I119" s="9"/>
      <c r="J119" s="9"/>
      <c r="K119" s="9"/>
      <c r="L119" s="9"/>
      <c r="M119" s="9"/>
      <c r="N119" s="9"/>
      <c r="O119" s="9"/>
      <c r="P119" s="9"/>
    </row>
    <row r="120" spans="1:16" x14ac:dyDescent="0.25">
      <c r="A120" s="4"/>
      <c r="B120" s="28" t="str">
        <f>IF(ISNUMBER(MATCH(D120, Mgt_Unit!$C$5:$C$1018, 0)), INDEX(Mgt_Unit!$B$5:$B$1018, MATCH(D120, Mgt_Unit!$C$5:$C$1018, 0)), "")</f>
        <v/>
      </c>
      <c r="C120" s="28"/>
      <c r="D120" s="9"/>
      <c r="E120" s="45"/>
      <c r="F120" s="9"/>
      <c r="G120" s="9"/>
      <c r="H120" s="50"/>
      <c r="I120" s="9"/>
      <c r="J120" s="9"/>
      <c r="K120" s="9"/>
      <c r="L120" s="9"/>
      <c r="M120" s="9"/>
      <c r="N120" s="9"/>
      <c r="O120" s="9"/>
      <c r="P120" s="9"/>
    </row>
    <row r="121" spans="1:16" x14ac:dyDescent="0.25">
      <c r="A121" s="4"/>
      <c r="B121" s="28" t="str">
        <f>IF(ISNUMBER(MATCH(D121, Mgt_Unit!$C$5:$C$1018, 0)), INDEX(Mgt_Unit!$B$5:$B$1018, MATCH(D121, Mgt_Unit!$C$5:$C$1018, 0)), "")</f>
        <v/>
      </c>
      <c r="C121" s="28"/>
      <c r="D121" s="9"/>
      <c r="E121" s="45"/>
      <c r="F121" s="9"/>
      <c r="G121" s="9"/>
      <c r="H121" s="50"/>
      <c r="I121" s="9"/>
      <c r="J121" s="9"/>
      <c r="K121" s="9"/>
      <c r="L121" s="9"/>
      <c r="M121" s="9"/>
      <c r="N121" s="9"/>
      <c r="O121" s="9"/>
      <c r="P121" s="9"/>
    </row>
    <row r="122" spans="1:16" x14ac:dyDescent="0.25">
      <c r="A122" s="4"/>
      <c r="B122" s="28" t="str">
        <f>IF(ISNUMBER(MATCH(D122, Mgt_Unit!$C$5:$C$1018, 0)), INDEX(Mgt_Unit!$B$5:$B$1018, MATCH(D122, Mgt_Unit!$C$5:$C$1018, 0)), "")</f>
        <v/>
      </c>
      <c r="C122" s="28"/>
      <c r="D122" s="9"/>
      <c r="E122" s="45"/>
      <c r="F122" s="9"/>
      <c r="G122" s="9"/>
      <c r="H122" s="50"/>
      <c r="I122" s="9"/>
      <c r="J122" s="9"/>
      <c r="K122" s="9"/>
      <c r="L122" s="9"/>
      <c r="M122" s="9"/>
      <c r="N122" s="9"/>
      <c r="O122" s="9"/>
      <c r="P122" s="9"/>
    </row>
    <row r="123" spans="1:16" x14ac:dyDescent="0.25">
      <c r="A123" s="4"/>
      <c r="B123" s="28" t="str">
        <f>IF(ISNUMBER(MATCH(D123, Mgt_Unit!$C$5:$C$1018, 0)), INDEX(Mgt_Unit!$B$5:$B$1018, MATCH(D123, Mgt_Unit!$C$5:$C$1018, 0)), "")</f>
        <v/>
      </c>
      <c r="C123" s="28"/>
      <c r="D123" s="9"/>
      <c r="E123" s="45"/>
      <c r="F123" s="9"/>
      <c r="G123" s="9"/>
      <c r="H123" s="50"/>
      <c r="I123" s="9"/>
      <c r="J123" s="9"/>
      <c r="K123" s="9"/>
      <c r="L123" s="9"/>
      <c r="M123" s="9"/>
      <c r="N123" s="9"/>
      <c r="O123" s="9"/>
      <c r="P123" s="9"/>
    </row>
    <row r="124" spans="1:16" x14ac:dyDescent="0.25">
      <c r="A124" s="4"/>
      <c r="B124" s="28" t="str">
        <f>IF(ISNUMBER(MATCH(D124, Mgt_Unit!$C$5:$C$1018, 0)), INDEX(Mgt_Unit!$B$5:$B$1018, MATCH(D124, Mgt_Unit!$C$5:$C$1018, 0)), "")</f>
        <v/>
      </c>
      <c r="C124" s="28"/>
      <c r="D124" s="9"/>
      <c r="E124" s="45"/>
      <c r="F124" s="9"/>
      <c r="G124" s="9"/>
      <c r="H124" s="50"/>
      <c r="I124" s="9"/>
      <c r="J124" s="9"/>
      <c r="K124" s="9"/>
      <c r="L124" s="9"/>
      <c r="M124" s="9"/>
      <c r="N124" s="9"/>
      <c r="O124" s="9"/>
      <c r="P124" s="9"/>
    </row>
    <row r="125" spans="1:16" x14ac:dyDescent="0.25">
      <c r="A125" s="4"/>
      <c r="B125" s="28" t="str">
        <f>IF(ISNUMBER(MATCH(D125, Mgt_Unit!$C$5:$C$1018, 0)), INDEX(Mgt_Unit!$B$5:$B$1018, MATCH(D125, Mgt_Unit!$C$5:$C$1018, 0)), "")</f>
        <v/>
      </c>
      <c r="C125" s="28"/>
      <c r="D125" s="9"/>
      <c r="E125" s="45"/>
      <c r="F125" s="9"/>
      <c r="G125" s="9"/>
      <c r="H125" s="50"/>
      <c r="I125" s="9"/>
      <c r="J125" s="9"/>
      <c r="K125" s="9"/>
      <c r="L125" s="9"/>
      <c r="M125" s="9"/>
      <c r="N125" s="9"/>
      <c r="O125" s="9"/>
      <c r="P125" s="9"/>
    </row>
    <row r="126" spans="1:16" x14ac:dyDescent="0.25">
      <c r="A126" s="4"/>
      <c r="B126" s="28" t="str">
        <f>IF(ISNUMBER(MATCH(D126, Mgt_Unit!$C$5:$C$1018, 0)), INDEX(Mgt_Unit!$B$5:$B$1018, MATCH(D126, Mgt_Unit!$C$5:$C$1018, 0)), "")</f>
        <v/>
      </c>
      <c r="C126" s="28"/>
      <c r="D126" s="9"/>
      <c r="E126" s="45"/>
      <c r="F126" s="9"/>
      <c r="G126" s="9"/>
      <c r="H126" s="50"/>
      <c r="I126" s="9"/>
      <c r="J126" s="9"/>
      <c r="K126" s="9"/>
      <c r="L126" s="9"/>
      <c r="M126" s="9"/>
      <c r="N126" s="9"/>
      <c r="O126" s="9"/>
      <c r="P126" s="9"/>
    </row>
    <row r="127" spans="1:16" x14ac:dyDescent="0.25">
      <c r="A127" s="4"/>
      <c r="B127" s="28" t="str">
        <f>IF(ISNUMBER(MATCH(D127, Mgt_Unit!$C$5:$C$1018, 0)), INDEX(Mgt_Unit!$B$5:$B$1018, MATCH(D127, Mgt_Unit!$C$5:$C$1018, 0)), "")</f>
        <v/>
      </c>
      <c r="C127" s="28"/>
      <c r="D127" s="9"/>
      <c r="E127" s="45"/>
      <c r="F127" s="9"/>
      <c r="G127" s="9"/>
      <c r="H127" s="50"/>
      <c r="I127" s="9"/>
      <c r="J127" s="9"/>
      <c r="K127" s="9"/>
      <c r="L127" s="9"/>
      <c r="M127" s="9"/>
      <c r="N127" s="9"/>
      <c r="O127" s="9"/>
      <c r="P127" s="9"/>
    </row>
    <row r="128" spans="1:16" x14ac:dyDescent="0.25">
      <c r="A128" s="4"/>
      <c r="B128" s="28" t="str">
        <f>IF(ISNUMBER(MATCH(D128, Mgt_Unit!$C$5:$C$1018, 0)), INDEX(Mgt_Unit!$B$5:$B$1018, MATCH(D128, Mgt_Unit!$C$5:$C$1018, 0)), "")</f>
        <v/>
      </c>
      <c r="C128" s="28"/>
      <c r="D128" s="9"/>
      <c r="E128" s="45"/>
      <c r="F128" s="9"/>
      <c r="G128" s="9"/>
      <c r="H128" s="50"/>
      <c r="I128" s="9"/>
      <c r="J128" s="9"/>
      <c r="K128" s="9"/>
      <c r="L128" s="9"/>
      <c r="M128" s="9"/>
      <c r="N128" s="9"/>
      <c r="O128" s="9"/>
      <c r="P128" s="9"/>
    </row>
    <row r="129" spans="1:16" x14ac:dyDescent="0.25">
      <c r="A129" s="4"/>
      <c r="B129" s="28" t="str">
        <f>IF(ISNUMBER(MATCH(D129, Mgt_Unit!$C$5:$C$1018, 0)), INDEX(Mgt_Unit!$B$5:$B$1018, MATCH(D129, Mgt_Unit!$C$5:$C$1018, 0)), "")</f>
        <v/>
      </c>
      <c r="C129" s="28"/>
      <c r="D129" s="9"/>
      <c r="E129" s="45"/>
      <c r="F129" s="9"/>
      <c r="G129" s="9"/>
      <c r="H129" s="50"/>
      <c r="I129" s="9"/>
      <c r="J129" s="9"/>
      <c r="K129" s="9"/>
      <c r="L129" s="9"/>
      <c r="M129" s="9"/>
      <c r="N129" s="9"/>
      <c r="O129" s="9"/>
      <c r="P129" s="9"/>
    </row>
    <row r="130" spans="1:16" x14ac:dyDescent="0.25">
      <c r="A130" s="4"/>
      <c r="B130" s="28" t="str">
        <f>IF(ISNUMBER(MATCH(D130, Mgt_Unit!$C$5:$C$1018, 0)), INDEX(Mgt_Unit!$B$5:$B$1018, MATCH(D130, Mgt_Unit!$C$5:$C$1018, 0)), "")</f>
        <v/>
      </c>
      <c r="C130" s="28"/>
      <c r="D130" s="9"/>
      <c r="E130" s="45"/>
      <c r="F130" s="9"/>
      <c r="G130" s="9"/>
      <c r="H130" s="50"/>
      <c r="I130" s="9"/>
      <c r="J130" s="9"/>
      <c r="K130" s="9"/>
      <c r="L130" s="9"/>
      <c r="M130" s="9"/>
      <c r="N130" s="9"/>
      <c r="O130" s="9"/>
      <c r="P130" s="9"/>
    </row>
    <row r="131" spans="1:16" x14ac:dyDescent="0.25">
      <c r="A131" s="4"/>
      <c r="B131" s="28" t="str">
        <f>IF(ISNUMBER(MATCH(D131, Mgt_Unit!$C$5:$C$1018, 0)), INDEX(Mgt_Unit!$B$5:$B$1018, MATCH(D131, Mgt_Unit!$C$5:$C$1018, 0)), "")</f>
        <v/>
      </c>
      <c r="C131" s="28"/>
      <c r="D131" s="9"/>
      <c r="E131" s="45"/>
      <c r="F131" s="9"/>
      <c r="G131" s="9"/>
      <c r="H131" s="50"/>
      <c r="I131" s="9"/>
      <c r="J131" s="9"/>
      <c r="K131" s="9"/>
      <c r="L131" s="9"/>
      <c r="M131" s="9"/>
      <c r="N131" s="9"/>
      <c r="O131" s="9"/>
      <c r="P131" s="9"/>
    </row>
    <row r="132" spans="1:16" x14ac:dyDescent="0.25">
      <c r="A132" s="4"/>
      <c r="B132" s="28" t="str">
        <f>IF(ISNUMBER(MATCH(D132, Mgt_Unit!$C$5:$C$1018, 0)), INDEX(Mgt_Unit!$B$5:$B$1018, MATCH(D132, Mgt_Unit!$C$5:$C$1018, 0)), "")</f>
        <v/>
      </c>
      <c r="C132" s="28"/>
      <c r="D132" s="9"/>
      <c r="E132" s="45"/>
      <c r="F132" s="9"/>
      <c r="G132" s="9"/>
      <c r="H132" s="50"/>
      <c r="I132" s="9"/>
      <c r="J132" s="9"/>
      <c r="K132" s="9"/>
      <c r="L132" s="9"/>
      <c r="M132" s="9"/>
      <c r="N132" s="9"/>
      <c r="O132" s="9"/>
      <c r="P132" s="9"/>
    </row>
    <row r="133" spans="1:16" x14ac:dyDescent="0.25">
      <c r="A133" s="4"/>
      <c r="B133" s="28" t="str">
        <f>IF(ISNUMBER(MATCH(D133, Mgt_Unit!$C$5:$C$1018, 0)), INDEX(Mgt_Unit!$B$5:$B$1018, MATCH(D133, Mgt_Unit!$C$5:$C$1018, 0)), "")</f>
        <v/>
      </c>
      <c r="C133" s="28"/>
      <c r="D133" s="9"/>
      <c r="E133" s="45"/>
      <c r="F133" s="9"/>
      <c r="G133" s="9"/>
      <c r="H133" s="50"/>
      <c r="I133" s="9"/>
      <c r="J133" s="9"/>
      <c r="K133" s="9"/>
      <c r="L133" s="9"/>
      <c r="M133" s="9"/>
      <c r="N133" s="9"/>
      <c r="O133" s="9"/>
      <c r="P133" s="9"/>
    </row>
    <row r="134" spans="1:16" x14ac:dyDescent="0.25">
      <c r="A134" s="4"/>
      <c r="B134" s="28" t="str">
        <f>IF(ISNUMBER(MATCH(D134, Mgt_Unit!$C$5:$C$1018, 0)), INDEX(Mgt_Unit!$B$5:$B$1018, MATCH(D134, Mgt_Unit!$C$5:$C$1018, 0)), "")</f>
        <v/>
      </c>
      <c r="C134" s="28"/>
      <c r="D134" s="9"/>
      <c r="E134" s="45"/>
      <c r="F134" s="9"/>
      <c r="G134" s="9"/>
      <c r="H134" s="50"/>
      <c r="I134" s="9"/>
      <c r="J134" s="9"/>
      <c r="K134" s="9"/>
      <c r="L134" s="9"/>
      <c r="M134" s="9"/>
      <c r="N134" s="9"/>
      <c r="O134" s="9"/>
      <c r="P134" s="9"/>
    </row>
    <row r="135" spans="1:16" x14ac:dyDescent="0.25">
      <c r="A135" s="4"/>
      <c r="B135" s="28" t="str">
        <f>IF(ISNUMBER(MATCH(D135, Mgt_Unit!$C$5:$C$1018, 0)), INDEX(Mgt_Unit!$B$5:$B$1018, MATCH(D135, Mgt_Unit!$C$5:$C$1018, 0)), "")</f>
        <v/>
      </c>
      <c r="C135" s="28"/>
      <c r="D135" s="9"/>
      <c r="E135" s="45"/>
      <c r="F135" s="9"/>
      <c r="G135" s="9"/>
      <c r="H135" s="50"/>
      <c r="I135" s="9"/>
      <c r="J135" s="9"/>
      <c r="K135" s="9"/>
      <c r="L135" s="9"/>
      <c r="M135" s="9"/>
      <c r="N135" s="9"/>
      <c r="O135" s="9"/>
      <c r="P135" s="9"/>
    </row>
    <row r="136" spans="1:16" x14ac:dyDescent="0.25">
      <c r="A136" s="4"/>
      <c r="B136" s="28" t="str">
        <f>IF(ISNUMBER(MATCH(D136, Mgt_Unit!$C$5:$C$1018, 0)), INDEX(Mgt_Unit!$B$5:$B$1018, MATCH(D136, Mgt_Unit!$C$5:$C$1018, 0)), "")</f>
        <v/>
      </c>
      <c r="C136" s="28"/>
      <c r="D136" s="9"/>
      <c r="E136" s="45"/>
      <c r="F136" s="9"/>
      <c r="G136" s="9"/>
      <c r="H136" s="50"/>
      <c r="I136" s="9"/>
      <c r="J136" s="9"/>
      <c r="K136" s="9"/>
      <c r="L136" s="9"/>
      <c r="M136" s="9"/>
      <c r="N136" s="9"/>
      <c r="O136" s="9"/>
      <c r="P136" s="9"/>
    </row>
    <row r="137" spans="1:16" x14ac:dyDescent="0.25">
      <c r="A137" s="4"/>
      <c r="B137" s="28" t="str">
        <f>IF(ISNUMBER(MATCH(D137, Mgt_Unit!$C$5:$C$1018, 0)), INDEX(Mgt_Unit!$B$5:$B$1018, MATCH(D137, Mgt_Unit!$C$5:$C$1018, 0)), "")</f>
        <v/>
      </c>
      <c r="C137" s="28"/>
      <c r="D137" s="9"/>
      <c r="E137" s="45"/>
      <c r="F137" s="9"/>
      <c r="G137" s="9"/>
      <c r="H137" s="50"/>
      <c r="I137" s="9"/>
      <c r="J137" s="9"/>
      <c r="K137" s="9"/>
      <c r="L137" s="9"/>
      <c r="M137" s="9"/>
      <c r="N137" s="9"/>
      <c r="O137" s="9"/>
      <c r="P137" s="9"/>
    </row>
    <row r="138" spans="1:16" x14ac:dyDescent="0.25">
      <c r="A138" s="4"/>
      <c r="B138" s="28" t="str">
        <f>IF(ISNUMBER(MATCH(D138, Mgt_Unit!$C$5:$C$1018, 0)), INDEX(Mgt_Unit!$B$5:$B$1018, MATCH(D138, Mgt_Unit!$C$5:$C$1018, 0)), "")</f>
        <v/>
      </c>
      <c r="C138" s="28"/>
      <c r="D138" s="9"/>
      <c r="E138" s="45"/>
      <c r="F138" s="9"/>
      <c r="G138" s="9"/>
      <c r="H138" s="50"/>
      <c r="I138" s="9"/>
      <c r="J138" s="9"/>
      <c r="K138" s="9"/>
      <c r="L138" s="9"/>
      <c r="M138" s="9"/>
      <c r="N138" s="9"/>
      <c r="O138" s="9"/>
      <c r="P138" s="9"/>
    </row>
    <row r="139" spans="1:16" x14ac:dyDescent="0.25">
      <c r="A139" s="4"/>
      <c r="B139" s="28" t="str">
        <f>IF(ISNUMBER(MATCH(D139, Mgt_Unit!$C$5:$C$1018, 0)), INDEX(Mgt_Unit!$B$5:$B$1018, MATCH(D139, Mgt_Unit!$C$5:$C$1018, 0)), "")</f>
        <v/>
      </c>
      <c r="C139" s="28"/>
      <c r="D139" s="9"/>
      <c r="E139" s="45"/>
      <c r="F139" s="9"/>
      <c r="G139" s="9"/>
      <c r="H139" s="50"/>
      <c r="I139" s="9"/>
      <c r="J139" s="9"/>
      <c r="K139" s="9"/>
      <c r="L139" s="9"/>
      <c r="M139" s="9"/>
      <c r="N139" s="9"/>
      <c r="O139" s="9"/>
      <c r="P139" s="9"/>
    </row>
    <row r="140" spans="1:16" x14ac:dyDescent="0.25">
      <c r="A140" s="4"/>
      <c r="B140" s="28" t="str">
        <f>IF(ISNUMBER(MATCH(D140, Mgt_Unit!$C$5:$C$1018, 0)), INDEX(Mgt_Unit!$B$5:$B$1018, MATCH(D140, Mgt_Unit!$C$5:$C$1018, 0)), "")</f>
        <v/>
      </c>
      <c r="C140" s="28"/>
      <c r="D140" s="9"/>
      <c r="E140" s="45"/>
      <c r="F140" s="9"/>
      <c r="G140" s="9"/>
      <c r="H140" s="50"/>
      <c r="I140" s="9"/>
      <c r="J140" s="9"/>
      <c r="K140" s="9"/>
      <c r="L140" s="9"/>
      <c r="M140" s="9"/>
      <c r="N140" s="9"/>
      <c r="O140" s="9"/>
      <c r="P140" s="9"/>
    </row>
    <row r="141" spans="1:16" x14ac:dyDescent="0.25">
      <c r="A141" s="4"/>
      <c r="B141" s="28" t="str">
        <f>IF(ISNUMBER(MATCH(D141, Mgt_Unit!$C$5:$C$1018, 0)), INDEX(Mgt_Unit!$B$5:$B$1018, MATCH(D141, Mgt_Unit!$C$5:$C$1018, 0)), "")</f>
        <v/>
      </c>
      <c r="C141" s="28"/>
      <c r="D141" s="9"/>
      <c r="E141" s="45"/>
      <c r="F141" s="9"/>
      <c r="G141" s="9"/>
      <c r="H141" s="50"/>
      <c r="I141" s="9"/>
      <c r="J141" s="9"/>
      <c r="K141" s="9"/>
      <c r="L141" s="9"/>
      <c r="M141" s="9"/>
      <c r="N141" s="9"/>
      <c r="O141" s="9"/>
      <c r="P141" s="9"/>
    </row>
    <row r="142" spans="1:16" x14ac:dyDescent="0.25">
      <c r="A142" s="4"/>
      <c r="B142" s="28" t="str">
        <f>IF(ISNUMBER(MATCH(D142, Mgt_Unit!$C$5:$C$1018, 0)), INDEX(Mgt_Unit!$B$5:$B$1018, MATCH(D142, Mgt_Unit!$C$5:$C$1018, 0)), "")</f>
        <v/>
      </c>
      <c r="C142" s="28"/>
      <c r="D142" s="9"/>
      <c r="E142" s="45"/>
      <c r="F142" s="9"/>
      <c r="G142" s="9"/>
      <c r="H142" s="50"/>
      <c r="I142" s="9"/>
      <c r="J142" s="9"/>
      <c r="K142" s="9"/>
      <c r="L142" s="9"/>
      <c r="M142" s="9"/>
      <c r="N142" s="9"/>
      <c r="O142" s="9"/>
      <c r="P142" s="9"/>
    </row>
    <row r="143" spans="1:16" x14ac:dyDescent="0.25">
      <c r="A143" s="4"/>
      <c r="B143" s="28" t="str">
        <f>IF(ISNUMBER(MATCH(D143, Mgt_Unit!$C$5:$C$1018, 0)), INDEX(Mgt_Unit!$B$5:$B$1018, MATCH(D143, Mgt_Unit!$C$5:$C$1018, 0)), "")</f>
        <v/>
      </c>
      <c r="C143" s="28"/>
      <c r="D143" s="9"/>
      <c r="E143" s="45"/>
      <c r="F143" s="9"/>
      <c r="G143" s="9"/>
      <c r="H143" s="50"/>
      <c r="I143" s="9"/>
      <c r="J143" s="9"/>
      <c r="K143" s="9"/>
      <c r="L143" s="9"/>
      <c r="M143" s="9"/>
      <c r="N143" s="9"/>
      <c r="O143" s="9"/>
      <c r="P143" s="9"/>
    </row>
    <row r="144" spans="1:16" x14ac:dyDescent="0.25">
      <c r="A144" s="4"/>
      <c r="B144" s="28" t="str">
        <f>IF(ISNUMBER(MATCH(D144, Mgt_Unit!$C$5:$C$1018, 0)), INDEX(Mgt_Unit!$B$5:$B$1018, MATCH(D144, Mgt_Unit!$C$5:$C$1018, 0)), "")</f>
        <v/>
      </c>
      <c r="C144" s="28"/>
      <c r="D144" s="9"/>
      <c r="E144" s="45"/>
      <c r="F144" s="9"/>
      <c r="G144" s="9"/>
      <c r="H144" s="50"/>
      <c r="I144" s="9"/>
      <c r="J144" s="9"/>
      <c r="K144" s="9"/>
      <c r="L144" s="9"/>
      <c r="M144" s="9"/>
      <c r="N144" s="9"/>
      <c r="O144" s="9"/>
      <c r="P144" s="9"/>
    </row>
    <row r="145" spans="1:16" x14ac:dyDescent="0.25">
      <c r="A145" s="4"/>
      <c r="B145" s="28" t="str">
        <f>IF(ISNUMBER(MATCH(D145, Mgt_Unit!$C$5:$C$1018, 0)), INDEX(Mgt_Unit!$B$5:$B$1018, MATCH(D145, Mgt_Unit!$C$5:$C$1018, 0)), "")</f>
        <v/>
      </c>
      <c r="C145" s="28"/>
      <c r="D145" s="9"/>
      <c r="E145" s="45"/>
      <c r="F145" s="9"/>
      <c r="G145" s="9"/>
      <c r="H145" s="50"/>
      <c r="I145" s="9"/>
      <c r="J145" s="9"/>
      <c r="K145" s="9"/>
      <c r="L145" s="9"/>
      <c r="M145" s="9"/>
      <c r="N145" s="9"/>
      <c r="O145" s="9"/>
      <c r="P145" s="9"/>
    </row>
    <row r="146" spans="1:16" x14ac:dyDescent="0.25">
      <c r="A146" s="4"/>
      <c r="B146" s="28" t="str">
        <f>IF(ISNUMBER(MATCH(D146, Mgt_Unit!$C$5:$C$1018, 0)), INDEX(Mgt_Unit!$B$5:$B$1018, MATCH(D146, Mgt_Unit!$C$5:$C$1018, 0)), "")</f>
        <v/>
      </c>
      <c r="C146" s="28"/>
      <c r="D146" s="9"/>
      <c r="E146" s="45"/>
      <c r="F146" s="9"/>
      <c r="G146" s="9"/>
      <c r="H146" s="50"/>
      <c r="I146" s="9"/>
      <c r="J146" s="9"/>
      <c r="K146" s="9"/>
      <c r="L146" s="9"/>
      <c r="M146" s="9"/>
      <c r="N146" s="9"/>
      <c r="O146" s="9"/>
      <c r="P146" s="9"/>
    </row>
    <row r="147" spans="1:16" x14ac:dyDescent="0.25">
      <c r="A147" s="4"/>
      <c r="B147" s="28" t="str">
        <f>IF(ISNUMBER(MATCH(D147, Mgt_Unit!$C$5:$C$1018, 0)), INDEX(Mgt_Unit!$B$5:$B$1018, MATCH(D147, Mgt_Unit!$C$5:$C$1018, 0)), "")</f>
        <v/>
      </c>
      <c r="C147" s="28"/>
      <c r="D147" s="9"/>
      <c r="E147" s="45"/>
      <c r="F147" s="9"/>
      <c r="G147" s="9"/>
      <c r="H147" s="50"/>
      <c r="I147" s="9"/>
      <c r="J147" s="9"/>
      <c r="K147" s="9"/>
      <c r="L147" s="9"/>
      <c r="M147" s="9"/>
      <c r="N147" s="9"/>
      <c r="O147" s="9"/>
      <c r="P147" s="9"/>
    </row>
    <row r="148" spans="1:16" x14ac:dyDescent="0.25">
      <c r="A148" s="4"/>
      <c r="B148" s="28" t="str">
        <f>IF(ISNUMBER(MATCH(D148, Mgt_Unit!$C$5:$C$1018, 0)), INDEX(Mgt_Unit!$B$5:$B$1018, MATCH(D148, Mgt_Unit!$C$5:$C$1018, 0)), "")</f>
        <v/>
      </c>
      <c r="C148" s="28"/>
      <c r="D148" s="9"/>
      <c r="E148" s="45"/>
      <c r="F148" s="9"/>
      <c r="G148" s="9"/>
      <c r="H148" s="50"/>
      <c r="I148" s="9"/>
      <c r="J148" s="9"/>
      <c r="K148" s="9"/>
      <c r="L148" s="9"/>
      <c r="M148" s="9"/>
      <c r="N148" s="9"/>
      <c r="O148" s="9"/>
      <c r="P148" s="9"/>
    </row>
    <row r="149" spans="1:16" x14ac:dyDescent="0.25">
      <c r="A149" s="4"/>
      <c r="B149" s="28" t="str">
        <f>IF(ISNUMBER(MATCH(D149, Mgt_Unit!$C$5:$C$1018, 0)), INDEX(Mgt_Unit!$B$5:$B$1018, MATCH(D149, Mgt_Unit!$C$5:$C$1018, 0)), "")</f>
        <v/>
      </c>
      <c r="C149" s="28"/>
      <c r="D149" s="9"/>
      <c r="E149" s="45"/>
      <c r="F149" s="9"/>
      <c r="G149" s="9"/>
      <c r="H149" s="50"/>
      <c r="I149" s="9"/>
      <c r="J149" s="9"/>
      <c r="K149" s="9"/>
      <c r="L149" s="9"/>
      <c r="M149" s="9"/>
      <c r="N149" s="9"/>
      <c r="O149" s="9"/>
      <c r="P149" s="9"/>
    </row>
    <row r="150" spans="1:16" x14ac:dyDescent="0.25">
      <c r="A150" s="4"/>
      <c r="B150" s="28" t="str">
        <f>IF(ISNUMBER(MATCH(D150, Mgt_Unit!$C$5:$C$1018, 0)), INDEX(Mgt_Unit!$B$5:$B$1018, MATCH(D150, Mgt_Unit!$C$5:$C$1018, 0)), "")</f>
        <v/>
      </c>
      <c r="C150" s="28"/>
      <c r="D150" s="9"/>
      <c r="E150" s="45"/>
      <c r="F150" s="9"/>
      <c r="G150" s="9"/>
      <c r="H150" s="50"/>
      <c r="I150" s="9"/>
      <c r="J150" s="9"/>
      <c r="K150" s="9"/>
      <c r="L150" s="9"/>
      <c r="M150" s="9"/>
      <c r="N150" s="9"/>
      <c r="O150" s="9"/>
      <c r="P150" s="9"/>
    </row>
    <row r="151" spans="1:16" x14ac:dyDescent="0.25">
      <c r="A151" s="4"/>
      <c r="B151" s="28" t="str">
        <f>IF(ISNUMBER(MATCH(D151, Mgt_Unit!$C$5:$C$1018, 0)), INDEX(Mgt_Unit!$B$5:$B$1018, MATCH(D151, Mgt_Unit!$C$5:$C$1018, 0)), "")</f>
        <v/>
      </c>
      <c r="C151" s="28"/>
      <c r="D151" s="9"/>
      <c r="E151" s="45"/>
      <c r="F151" s="9"/>
      <c r="G151" s="9"/>
      <c r="H151" s="50"/>
      <c r="I151" s="9"/>
      <c r="J151" s="9"/>
      <c r="K151" s="9"/>
      <c r="L151" s="9"/>
      <c r="M151" s="9"/>
      <c r="N151" s="9"/>
      <c r="O151" s="9"/>
      <c r="P151" s="9"/>
    </row>
    <row r="152" spans="1:16" x14ac:dyDescent="0.25">
      <c r="A152" s="4"/>
      <c r="B152" s="28" t="str">
        <f>IF(ISNUMBER(MATCH(D152, Mgt_Unit!$C$5:$C$1018, 0)), INDEX(Mgt_Unit!$B$5:$B$1018, MATCH(D152, Mgt_Unit!$C$5:$C$1018, 0)), "")</f>
        <v/>
      </c>
      <c r="C152" s="28"/>
      <c r="D152" s="9"/>
      <c r="E152" s="45"/>
      <c r="F152" s="9"/>
      <c r="G152" s="9"/>
      <c r="H152" s="50"/>
      <c r="I152" s="9"/>
      <c r="J152" s="9"/>
      <c r="K152" s="9"/>
      <c r="L152" s="9"/>
      <c r="M152" s="9"/>
      <c r="N152" s="9"/>
      <c r="O152" s="9"/>
      <c r="P152" s="9"/>
    </row>
    <row r="153" spans="1:16" x14ac:dyDescent="0.25">
      <c r="A153" s="4"/>
      <c r="B153" s="28" t="str">
        <f>IF(ISNUMBER(MATCH(D153, Mgt_Unit!$C$5:$C$1018, 0)), INDEX(Mgt_Unit!$B$5:$B$1018, MATCH(D153, Mgt_Unit!$C$5:$C$1018, 0)), "")</f>
        <v/>
      </c>
      <c r="C153" s="28"/>
      <c r="D153" s="9"/>
      <c r="E153" s="45"/>
      <c r="F153" s="9"/>
      <c r="G153" s="9"/>
      <c r="H153" s="50"/>
      <c r="I153" s="9"/>
      <c r="J153" s="9"/>
      <c r="K153" s="9"/>
      <c r="L153" s="9"/>
      <c r="M153" s="9"/>
      <c r="N153" s="9"/>
      <c r="O153" s="9"/>
      <c r="P153" s="9"/>
    </row>
    <row r="154" spans="1:16" x14ac:dyDescent="0.25">
      <c r="A154" s="4"/>
      <c r="B154" s="28" t="str">
        <f>IF(ISNUMBER(MATCH(D154, Mgt_Unit!$C$5:$C$1018, 0)), INDEX(Mgt_Unit!$B$5:$B$1018, MATCH(D154, Mgt_Unit!$C$5:$C$1018, 0)), "")</f>
        <v/>
      </c>
      <c r="C154" s="28"/>
      <c r="D154" s="9"/>
      <c r="E154" s="45"/>
      <c r="F154" s="9"/>
      <c r="G154" s="9"/>
      <c r="H154" s="50"/>
      <c r="I154" s="9"/>
      <c r="J154" s="9"/>
      <c r="K154" s="9"/>
      <c r="L154" s="9"/>
      <c r="M154" s="9"/>
      <c r="N154" s="9"/>
      <c r="O154" s="9"/>
      <c r="P154" s="9"/>
    </row>
    <row r="155" spans="1:16" x14ac:dyDescent="0.25">
      <c r="A155" s="4"/>
      <c r="B155" s="28" t="str">
        <f>IF(ISNUMBER(MATCH(D155, Mgt_Unit!$C$5:$C$1018, 0)), INDEX(Mgt_Unit!$B$5:$B$1018, MATCH(D155, Mgt_Unit!$C$5:$C$1018, 0)), "")</f>
        <v/>
      </c>
      <c r="C155" s="28"/>
      <c r="D155" s="9"/>
      <c r="E155" s="45"/>
      <c r="F155" s="9"/>
      <c r="G155" s="9"/>
      <c r="H155" s="50"/>
      <c r="I155" s="9"/>
      <c r="J155" s="9"/>
      <c r="K155" s="9"/>
      <c r="L155" s="9"/>
      <c r="M155" s="9"/>
      <c r="N155" s="9"/>
      <c r="O155" s="9"/>
      <c r="P155" s="9"/>
    </row>
    <row r="156" spans="1:16" x14ac:dyDescent="0.25">
      <c r="A156" s="4"/>
      <c r="B156" s="28" t="str">
        <f>IF(ISNUMBER(MATCH(D156, Mgt_Unit!$C$5:$C$1018, 0)), INDEX(Mgt_Unit!$B$5:$B$1018, MATCH(D156, Mgt_Unit!$C$5:$C$1018, 0)), "")</f>
        <v/>
      </c>
      <c r="C156" s="28"/>
      <c r="D156" s="9"/>
      <c r="E156" s="45"/>
      <c r="F156" s="9"/>
      <c r="G156" s="9"/>
      <c r="H156" s="50"/>
      <c r="I156" s="9"/>
      <c r="J156" s="9"/>
      <c r="K156" s="9"/>
      <c r="L156" s="9"/>
      <c r="M156" s="9"/>
      <c r="N156" s="9"/>
      <c r="O156" s="9"/>
      <c r="P156" s="9"/>
    </row>
    <row r="157" spans="1:16" x14ac:dyDescent="0.25">
      <c r="A157" s="4"/>
      <c r="B157" s="28" t="str">
        <f>IF(ISNUMBER(MATCH(D157, Mgt_Unit!$C$5:$C$1018, 0)), INDEX(Mgt_Unit!$B$5:$B$1018, MATCH(D157, Mgt_Unit!$C$5:$C$1018, 0)), "")</f>
        <v/>
      </c>
      <c r="C157" s="28"/>
      <c r="D157" s="9"/>
      <c r="E157" s="45"/>
      <c r="F157" s="9"/>
      <c r="G157" s="9"/>
      <c r="H157" s="50"/>
      <c r="I157" s="9"/>
      <c r="J157" s="9"/>
      <c r="K157" s="9"/>
      <c r="L157" s="9"/>
      <c r="M157" s="9"/>
      <c r="N157" s="9"/>
      <c r="O157" s="9"/>
      <c r="P157" s="9"/>
    </row>
    <row r="158" spans="1:16" x14ac:dyDescent="0.25">
      <c r="A158" s="4"/>
      <c r="B158" s="28" t="str">
        <f>IF(ISNUMBER(MATCH(D158, Mgt_Unit!$C$5:$C$1018, 0)), INDEX(Mgt_Unit!$B$5:$B$1018, MATCH(D158, Mgt_Unit!$C$5:$C$1018, 0)), "")</f>
        <v/>
      </c>
      <c r="C158" s="28"/>
      <c r="D158" s="9"/>
      <c r="E158" s="45"/>
      <c r="F158" s="9"/>
      <c r="G158" s="9"/>
      <c r="H158" s="50"/>
      <c r="I158" s="9"/>
      <c r="J158" s="9"/>
      <c r="K158" s="9"/>
      <c r="L158" s="9"/>
      <c r="M158" s="9"/>
      <c r="N158" s="9"/>
      <c r="O158" s="9"/>
      <c r="P158" s="9"/>
    </row>
    <row r="159" spans="1:16" x14ac:dyDescent="0.25">
      <c r="A159" s="4"/>
      <c r="B159" s="28" t="str">
        <f>IF(ISNUMBER(MATCH(D159, Mgt_Unit!$C$5:$C$1018, 0)), INDEX(Mgt_Unit!$B$5:$B$1018, MATCH(D159, Mgt_Unit!$C$5:$C$1018, 0)), "")</f>
        <v/>
      </c>
      <c r="C159" s="28"/>
      <c r="D159" s="9"/>
      <c r="E159" s="45"/>
      <c r="F159" s="9"/>
      <c r="G159" s="9"/>
      <c r="H159" s="50"/>
      <c r="I159" s="9"/>
      <c r="J159" s="9"/>
      <c r="K159" s="9"/>
      <c r="L159" s="9"/>
      <c r="M159" s="9"/>
      <c r="N159" s="9"/>
      <c r="O159" s="9"/>
      <c r="P159" s="9"/>
    </row>
    <row r="160" spans="1:16" x14ac:dyDescent="0.25">
      <c r="A160" s="4"/>
      <c r="B160" s="28" t="str">
        <f>IF(ISNUMBER(MATCH(D160, Mgt_Unit!$C$5:$C$1018, 0)), INDEX(Mgt_Unit!$B$5:$B$1018, MATCH(D160, Mgt_Unit!$C$5:$C$1018, 0)), "")</f>
        <v/>
      </c>
      <c r="C160" s="28"/>
      <c r="D160" s="9"/>
      <c r="E160" s="45"/>
      <c r="F160" s="9"/>
      <c r="G160" s="9"/>
      <c r="H160" s="50"/>
      <c r="I160" s="9"/>
      <c r="J160" s="9"/>
      <c r="K160" s="9"/>
      <c r="L160" s="9"/>
      <c r="M160" s="9"/>
      <c r="N160" s="9"/>
      <c r="O160" s="9"/>
      <c r="P160" s="9"/>
    </row>
    <row r="161" spans="1:16" x14ac:dyDescent="0.25">
      <c r="A161" s="4"/>
      <c r="B161" s="28" t="str">
        <f>IF(ISNUMBER(MATCH(D161, Mgt_Unit!$C$5:$C$1018, 0)), INDEX(Mgt_Unit!$B$5:$B$1018, MATCH(D161, Mgt_Unit!$C$5:$C$1018, 0)), "")</f>
        <v/>
      </c>
      <c r="C161" s="28"/>
      <c r="D161" s="9"/>
      <c r="E161" s="45"/>
      <c r="F161" s="9"/>
      <c r="G161" s="9"/>
      <c r="H161" s="50"/>
      <c r="I161" s="9"/>
      <c r="J161" s="9"/>
      <c r="K161" s="9"/>
      <c r="L161" s="9"/>
      <c r="M161" s="9"/>
      <c r="N161" s="9"/>
      <c r="O161" s="9"/>
      <c r="P161" s="9"/>
    </row>
    <row r="162" spans="1:16" x14ac:dyDescent="0.25">
      <c r="A162" s="4"/>
      <c r="B162" s="28" t="str">
        <f>IF(ISNUMBER(MATCH(D162, Mgt_Unit!$C$5:$C$1018, 0)), INDEX(Mgt_Unit!$B$5:$B$1018, MATCH(D162, Mgt_Unit!$C$5:$C$1018, 0)), "")</f>
        <v/>
      </c>
      <c r="C162" s="28"/>
      <c r="D162" s="9"/>
      <c r="E162" s="45"/>
      <c r="F162" s="9"/>
      <c r="G162" s="9"/>
      <c r="H162" s="50"/>
      <c r="I162" s="9"/>
      <c r="J162" s="9"/>
      <c r="K162" s="9"/>
      <c r="L162" s="9"/>
      <c r="M162" s="9"/>
      <c r="N162" s="9"/>
      <c r="O162" s="9"/>
      <c r="P162" s="9"/>
    </row>
    <row r="163" spans="1:16" x14ac:dyDescent="0.25">
      <c r="A163" s="4"/>
      <c r="B163" s="28" t="str">
        <f>IF(ISNUMBER(MATCH(D163, Mgt_Unit!$C$5:$C$1018, 0)), INDEX(Mgt_Unit!$B$5:$B$1018, MATCH(D163, Mgt_Unit!$C$5:$C$1018, 0)), "")</f>
        <v/>
      </c>
      <c r="C163" s="28"/>
      <c r="D163" s="9"/>
      <c r="E163" s="45"/>
      <c r="F163" s="9"/>
      <c r="G163" s="9"/>
      <c r="H163" s="50"/>
      <c r="I163" s="9"/>
      <c r="J163" s="9"/>
      <c r="K163" s="9"/>
      <c r="L163" s="9"/>
      <c r="M163" s="9"/>
      <c r="N163" s="9"/>
      <c r="O163" s="9"/>
      <c r="P163" s="9"/>
    </row>
    <row r="164" spans="1:16" x14ac:dyDescent="0.25">
      <c r="A164" s="4"/>
      <c r="B164" s="28" t="str">
        <f>IF(ISNUMBER(MATCH(D164, Mgt_Unit!$C$5:$C$1018, 0)), INDEX(Mgt_Unit!$B$5:$B$1018, MATCH(D164, Mgt_Unit!$C$5:$C$1018, 0)), "")</f>
        <v/>
      </c>
      <c r="C164" s="28"/>
      <c r="D164" s="9"/>
      <c r="E164" s="45"/>
      <c r="F164" s="9"/>
      <c r="G164" s="9"/>
      <c r="H164" s="50"/>
      <c r="I164" s="9"/>
      <c r="J164" s="9"/>
      <c r="K164" s="9"/>
      <c r="L164" s="9"/>
      <c r="M164" s="9"/>
      <c r="N164" s="9"/>
      <c r="O164" s="9"/>
      <c r="P164" s="9"/>
    </row>
    <row r="165" spans="1:16" x14ac:dyDescent="0.25">
      <c r="A165" s="4"/>
      <c r="B165" s="28" t="str">
        <f>IF(ISNUMBER(MATCH(D165, Mgt_Unit!$C$5:$C$1018, 0)), INDEX(Mgt_Unit!$B$5:$B$1018, MATCH(D165, Mgt_Unit!$C$5:$C$1018, 0)), "")</f>
        <v/>
      </c>
      <c r="C165" s="28"/>
      <c r="D165" s="9"/>
      <c r="E165" s="45"/>
      <c r="F165" s="9"/>
      <c r="G165" s="9"/>
      <c r="H165" s="50"/>
      <c r="I165" s="9"/>
      <c r="J165" s="9"/>
      <c r="K165" s="9"/>
      <c r="L165" s="9"/>
      <c r="M165" s="9"/>
      <c r="N165" s="9"/>
      <c r="O165" s="9"/>
      <c r="P165" s="9"/>
    </row>
    <row r="166" spans="1:16" x14ac:dyDescent="0.25">
      <c r="A166" s="4"/>
      <c r="B166" s="28" t="str">
        <f>IF(ISNUMBER(MATCH(D166, Mgt_Unit!$C$5:$C$1018, 0)), INDEX(Mgt_Unit!$B$5:$B$1018, MATCH(D166, Mgt_Unit!$C$5:$C$1018, 0)), "")</f>
        <v/>
      </c>
      <c r="C166" s="28"/>
      <c r="D166" s="9"/>
      <c r="E166" s="45"/>
      <c r="F166" s="9"/>
      <c r="G166" s="9"/>
      <c r="H166" s="50"/>
      <c r="I166" s="9"/>
      <c r="J166" s="9"/>
      <c r="K166" s="9"/>
      <c r="L166" s="9"/>
      <c r="M166" s="9"/>
      <c r="N166" s="9"/>
      <c r="O166" s="9"/>
      <c r="P166" s="9"/>
    </row>
    <row r="167" spans="1:16" x14ac:dyDescent="0.25">
      <c r="A167" s="4"/>
      <c r="B167" s="28" t="str">
        <f>IF(ISNUMBER(MATCH(D167, Mgt_Unit!$C$5:$C$1018, 0)), INDEX(Mgt_Unit!$B$5:$B$1018, MATCH(D167, Mgt_Unit!$C$5:$C$1018, 0)), "")</f>
        <v/>
      </c>
      <c r="C167" s="28"/>
      <c r="D167" s="9"/>
      <c r="E167" s="45"/>
      <c r="F167" s="9"/>
      <c r="G167" s="9"/>
      <c r="H167" s="50"/>
      <c r="I167" s="9"/>
      <c r="J167" s="9"/>
      <c r="K167" s="9"/>
      <c r="L167" s="9"/>
      <c r="M167" s="9"/>
      <c r="N167" s="9"/>
      <c r="O167" s="9"/>
      <c r="P167" s="9"/>
    </row>
    <row r="168" spans="1:16" x14ac:dyDescent="0.25">
      <c r="A168" s="4"/>
      <c r="B168" s="28" t="str">
        <f>IF(ISNUMBER(MATCH(D168, Mgt_Unit!$C$5:$C$1018, 0)), INDEX(Mgt_Unit!$B$5:$B$1018, MATCH(D168, Mgt_Unit!$C$5:$C$1018, 0)), "")</f>
        <v/>
      </c>
      <c r="C168" s="28"/>
      <c r="D168" s="9"/>
      <c r="E168" s="45"/>
      <c r="F168" s="9"/>
      <c r="G168" s="9"/>
      <c r="H168" s="50"/>
      <c r="I168" s="9"/>
      <c r="J168" s="9"/>
      <c r="K168" s="9"/>
      <c r="L168" s="9"/>
      <c r="M168" s="9"/>
      <c r="N168" s="9"/>
      <c r="O168" s="9"/>
      <c r="P168" s="9"/>
    </row>
    <row r="169" spans="1:16" x14ac:dyDescent="0.25">
      <c r="A169" s="4"/>
      <c r="B169" s="28" t="str">
        <f>IF(ISNUMBER(MATCH(D169, Mgt_Unit!$C$5:$C$1018, 0)), INDEX(Mgt_Unit!$B$5:$B$1018, MATCH(D169, Mgt_Unit!$C$5:$C$1018, 0)), "")</f>
        <v/>
      </c>
      <c r="C169" s="28"/>
      <c r="D169" s="9"/>
      <c r="E169" s="45"/>
      <c r="F169" s="9"/>
      <c r="G169" s="9"/>
      <c r="H169" s="50"/>
      <c r="I169" s="9"/>
      <c r="J169" s="9"/>
      <c r="K169" s="9"/>
      <c r="L169" s="9"/>
      <c r="M169" s="9"/>
      <c r="N169" s="9"/>
      <c r="O169" s="9"/>
      <c r="P169" s="9"/>
    </row>
    <row r="170" spans="1:16" x14ac:dyDescent="0.25">
      <c r="A170" s="4"/>
      <c r="B170" s="28" t="str">
        <f>IF(ISNUMBER(MATCH(D170, Mgt_Unit!$C$5:$C$1018, 0)), INDEX(Mgt_Unit!$B$5:$B$1018, MATCH(D170, Mgt_Unit!$C$5:$C$1018, 0)), "")</f>
        <v/>
      </c>
      <c r="C170" s="28"/>
      <c r="D170" s="9"/>
      <c r="E170" s="45"/>
      <c r="F170" s="9"/>
      <c r="G170" s="9"/>
      <c r="H170" s="50"/>
      <c r="I170" s="9"/>
      <c r="J170" s="9"/>
      <c r="K170" s="9"/>
      <c r="L170" s="9"/>
      <c r="M170" s="9"/>
      <c r="N170" s="9"/>
      <c r="O170" s="9"/>
      <c r="P170" s="9"/>
    </row>
    <row r="171" spans="1:16" x14ac:dyDescent="0.25">
      <c r="A171" s="4"/>
      <c r="B171" s="28" t="str">
        <f>IF(ISNUMBER(MATCH(D171, Mgt_Unit!$C$5:$C$1018, 0)), INDEX(Mgt_Unit!$B$5:$B$1018, MATCH(D171, Mgt_Unit!$C$5:$C$1018, 0)), "")</f>
        <v/>
      </c>
      <c r="C171" s="28"/>
      <c r="D171" s="9"/>
      <c r="E171" s="45"/>
      <c r="F171" s="9"/>
      <c r="G171" s="9"/>
      <c r="H171" s="50"/>
      <c r="I171" s="9"/>
      <c r="J171" s="9"/>
      <c r="K171" s="9"/>
      <c r="L171" s="9"/>
      <c r="M171" s="9"/>
      <c r="N171" s="9"/>
      <c r="O171" s="9"/>
      <c r="P171" s="9"/>
    </row>
    <row r="172" spans="1:16" x14ac:dyDescent="0.25">
      <c r="A172" s="4"/>
      <c r="B172" s="28" t="str">
        <f>IF(ISNUMBER(MATCH(D172, Mgt_Unit!$C$5:$C$1018, 0)), INDEX(Mgt_Unit!$B$5:$B$1018, MATCH(D172, Mgt_Unit!$C$5:$C$1018, 0)), "")</f>
        <v/>
      </c>
      <c r="C172" s="28"/>
      <c r="D172" s="9"/>
      <c r="E172" s="45"/>
      <c r="F172" s="9"/>
      <c r="G172" s="9"/>
      <c r="H172" s="50"/>
      <c r="I172" s="9"/>
      <c r="J172" s="9"/>
      <c r="K172" s="9"/>
      <c r="L172" s="9"/>
      <c r="M172" s="9"/>
      <c r="N172" s="9"/>
      <c r="O172" s="9"/>
      <c r="P172" s="9"/>
    </row>
    <row r="173" spans="1:16" x14ac:dyDescent="0.25">
      <c r="A173" s="4"/>
      <c r="B173" s="28" t="str">
        <f>IF(ISNUMBER(MATCH(D173, Mgt_Unit!$C$5:$C$1018, 0)), INDEX(Mgt_Unit!$B$5:$B$1018, MATCH(D173, Mgt_Unit!$C$5:$C$1018, 0)), "")</f>
        <v/>
      </c>
      <c r="C173" s="28"/>
      <c r="D173" s="9"/>
      <c r="E173" s="45"/>
      <c r="F173" s="9"/>
      <c r="G173" s="9"/>
      <c r="H173" s="50"/>
      <c r="I173" s="9"/>
      <c r="J173" s="9"/>
      <c r="K173" s="9"/>
      <c r="L173" s="9"/>
      <c r="M173" s="9"/>
      <c r="N173" s="9"/>
      <c r="O173" s="9"/>
      <c r="P173" s="9"/>
    </row>
    <row r="174" spans="1:16" x14ac:dyDescent="0.25">
      <c r="A174" s="4"/>
      <c r="B174" s="28" t="str">
        <f>IF(ISNUMBER(MATCH(D174, Mgt_Unit!$C$5:$C$1018, 0)), INDEX(Mgt_Unit!$B$5:$B$1018, MATCH(D174, Mgt_Unit!$C$5:$C$1018, 0)), "")</f>
        <v/>
      </c>
      <c r="C174" s="28"/>
      <c r="D174" s="9"/>
      <c r="E174" s="45"/>
      <c r="F174" s="9"/>
      <c r="G174" s="9"/>
      <c r="H174" s="50"/>
      <c r="I174" s="9"/>
      <c r="J174" s="9"/>
      <c r="K174" s="9"/>
      <c r="L174" s="9"/>
      <c r="M174" s="9"/>
      <c r="N174" s="9"/>
      <c r="O174" s="9"/>
      <c r="P174" s="9"/>
    </row>
    <row r="175" spans="1:16" x14ac:dyDescent="0.25">
      <c r="A175" s="4"/>
      <c r="B175" s="28" t="str">
        <f>IF(ISNUMBER(MATCH(D175, Mgt_Unit!$C$5:$C$1018, 0)), INDEX(Mgt_Unit!$B$5:$B$1018, MATCH(D175, Mgt_Unit!$C$5:$C$1018, 0)), "")</f>
        <v/>
      </c>
      <c r="C175" s="28"/>
      <c r="D175" s="9"/>
      <c r="E175" s="45"/>
      <c r="F175" s="9"/>
      <c r="G175" s="9"/>
      <c r="H175" s="50"/>
      <c r="I175" s="9"/>
      <c r="J175" s="9"/>
      <c r="K175" s="9"/>
      <c r="L175" s="9"/>
      <c r="M175" s="9"/>
      <c r="N175" s="9"/>
      <c r="O175" s="9"/>
      <c r="P175" s="9"/>
    </row>
    <row r="176" spans="1:16" x14ac:dyDescent="0.25">
      <c r="A176" s="4"/>
      <c r="B176" s="28" t="str">
        <f>IF(ISNUMBER(MATCH(D176, Mgt_Unit!$C$5:$C$1018, 0)), INDEX(Mgt_Unit!$B$5:$B$1018, MATCH(D176, Mgt_Unit!$C$5:$C$1018, 0)), "")</f>
        <v/>
      </c>
      <c r="C176" s="28"/>
      <c r="D176" s="9"/>
      <c r="E176" s="45"/>
      <c r="F176" s="9"/>
      <c r="G176" s="9"/>
      <c r="H176" s="50"/>
      <c r="I176" s="9"/>
      <c r="J176" s="9"/>
      <c r="K176" s="9"/>
      <c r="L176" s="9"/>
      <c r="M176" s="9"/>
      <c r="N176" s="9"/>
      <c r="O176" s="9"/>
      <c r="P176" s="9"/>
    </row>
    <row r="177" spans="1:16" x14ac:dyDescent="0.25">
      <c r="A177" s="4"/>
      <c r="B177" s="28" t="str">
        <f>IF(ISNUMBER(MATCH(D177, Mgt_Unit!$C$5:$C$1018, 0)), INDEX(Mgt_Unit!$B$5:$B$1018, MATCH(D177, Mgt_Unit!$C$5:$C$1018, 0)), "")</f>
        <v/>
      </c>
      <c r="C177" s="28"/>
      <c r="D177" s="9"/>
      <c r="E177" s="45"/>
      <c r="F177" s="9"/>
      <c r="G177" s="9"/>
      <c r="H177" s="50"/>
      <c r="I177" s="9"/>
      <c r="J177" s="9"/>
      <c r="K177" s="9"/>
      <c r="L177" s="9"/>
      <c r="M177" s="9"/>
      <c r="N177" s="9"/>
      <c r="O177" s="9"/>
      <c r="P177" s="9"/>
    </row>
    <row r="178" spans="1:16" x14ac:dyDescent="0.25">
      <c r="A178" s="4"/>
      <c r="B178" s="28" t="str">
        <f>IF(ISNUMBER(MATCH(D178, Mgt_Unit!$C$5:$C$1018, 0)), INDEX(Mgt_Unit!$B$5:$B$1018, MATCH(D178, Mgt_Unit!$C$5:$C$1018, 0)), "")</f>
        <v/>
      </c>
      <c r="C178" s="28"/>
      <c r="D178" s="9"/>
      <c r="E178" s="45"/>
      <c r="F178" s="9"/>
      <c r="G178" s="9"/>
      <c r="H178" s="50"/>
      <c r="I178" s="9"/>
      <c r="J178" s="9"/>
      <c r="K178" s="9"/>
      <c r="L178" s="9"/>
      <c r="M178" s="9"/>
      <c r="N178" s="9"/>
      <c r="O178" s="9"/>
      <c r="P178" s="9"/>
    </row>
    <row r="179" spans="1:16" x14ac:dyDescent="0.25">
      <c r="A179" s="4"/>
      <c r="B179" s="28" t="str">
        <f>IF(ISNUMBER(MATCH(D179, Mgt_Unit!$C$5:$C$1018, 0)), INDEX(Mgt_Unit!$B$5:$B$1018, MATCH(D179, Mgt_Unit!$C$5:$C$1018, 0)), "")</f>
        <v/>
      </c>
      <c r="C179" s="28"/>
      <c r="D179" s="9"/>
      <c r="E179" s="45"/>
      <c r="F179" s="9"/>
      <c r="G179" s="9"/>
      <c r="H179" s="50"/>
      <c r="I179" s="9"/>
      <c r="J179" s="9"/>
      <c r="K179" s="9"/>
      <c r="L179" s="9"/>
      <c r="M179" s="9"/>
      <c r="N179" s="9"/>
      <c r="O179" s="9"/>
      <c r="P179" s="9"/>
    </row>
    <row r="180" spans="1:16" x14ac:dyDescent="0.25">
      <c r="A180" s="4"/>
      <c r="B180" s="28" t="str">
        <f>IF(ISNUMBER(MATCH(D180, Mgt_Unit!$C$5:$C$1018, 0)), INDEX(Mgt_Unit!$B$5:$B$1018, MATCH(D180, Mgt_Unit!$C$5:$C$1018, 0)), "")</f>
        <v/>
      </c>
      <c r="C180" s="28"/>
      <c r="D180" s="9"/>
      <c r="E180" s="45"/>
      <c r="F180" s="9"/>
      <c r="G180" s="9"/>
      <c r="H180" s="50"/>
      <c r="I180" s="9"/>
      <c r="J180" s="9"/>
      <c r="K180" s="9"/>
      <c r="L180" s="9"/>
      <c r="M180" s="9"/>
      <c r="N180" s="9"/>
      <c r="O180" s="9"/>
      <c r="P180" s="9"/>
    </row>
    <row r="181" spans="1:16" x14ac:dyDescent="0.25">
      <c r="A181" s="4"/>
      <c r="B181" s="28" t="str">
        <f>IF(ISNUMBER(MATCH(D181, Mgt_Unit!$C$5:$C$1018, 0)), INDEX(Mgt_Unit!$B$5:$B$1018, MATCH(D181, Mgt_Unit!$C$5:$C$1018, 0)), "")</f>
        <v/>
      </c>
      <c r="C181" s="28"/>
      <c r="D181" s="9"/>
      <c r="E181" s="45"/>
      <c r="F181" s="9"/>
      <c r="G181" s="9"/>
      <c r="H181" s="50"/>
      <c r="I181" s="9"/>
      <c r="J181" s="9"/>
      <c r="K181" s="9"/>
      <c r="L181" s="9"/>
      <c r="M181" s="9"/>
      <c r="N181" s="9"/>
      <c r="O181" s="9"/>
      <c r="P181" s="9"/>
    </row>
    <row r="182" spans="1:16" x14ac:dyDescent="0.25">
      <c r="A182" s="4"/>
      <c r="B182" s="28" t="str">
        <f>IF(ISNUMBER(MATCH(D182, Mgt_Unit!$C$5:$C$1018, 0)), INDEX(Mgt_Unit!$B$5:$B$1018, MATCH(D182, Mgt_Unit!$C$5:$C$1018, 0)), "")</f>
        <v/>
      </c>
      <c r="C182" s="28"/>
      <c r="D182" s="9"/>
      <c r="E182" s="45"/>
      <c r="F182" s="9"/>
      <c r="G182" s="9"/>
      <c r="H182" s="50"/>
      <c r="I182" s="9"/>
      <c r="J182" s="9"/>
      <c r="K182" s="9"/>
      <c r="L182" s="9"/>
      <c r="M182" s="9"/>
      <c r="N182" s="9"/>
      <c r="O182" s="9"/>
      <c r="P182" s="9"/>
    </row>
    <row r="183" spans="1:16" x14ac:dyDescent="0.25">
      <c r="A183" s="4"/>
      <c r="B183" s="28" t="str">
        <f>IF(ISNUMBER(MATCH(D183, Mgt_Unit!$C$5:$C$1018, 0)), INDEX(Mgt_Unit!$B$5:$B$1018, MATCH(D183, Mgt_Unit!$C$5:$C$1018, 0)), "")</f>
        <v/>
      </c>
      <c r="C183" s="28"/>
      <c r="D183" s="9"/>
      <c r="E183" s="45"/>
      <c r="F183" s="9"/>
      <c r="G183" s="9"/>
      <c r="H183" s="50"/>
      <c r="I183" s="9"/>
      <c r="J183" s="9"/>
      <c r="K183" s="9"/>
      <c r="L183" s="9"/>
      <c r="M183" s="9"/>
      <c r="N183" s="9"/>
      <c r="O183" s="9"/>
      <c r="P183" s="9"/>
    </row>
    <row r="184" spans="1:16" x14ac:dyDescent="0.25">
      <c r="A184" s="4"/>
      <c r="B184" s="28" t="str">
        <f>IF(ISNUMBER(MATCH(D184, Mgt_Unit!$C$5:$C$1018, 0)), INDEX(Mgt_Unit!$B$5:$B$1018, MATCH(D184, Mgt_Unit!$C$5:$C$1018, 0)), "")</f>
        <v/>
      </c>
      <c r="C184" s="28"/>
      <c r="D184" s="9"/>
      <c r="E184" s="45"/>
      <c r="F184" s="9"/>
      <c r="G184" s="9"/>
      <c r="H184" s="50"/>
      <c r="I184" s="9"/>
      <c r="J184" s="9"/>
      <c r="K184" s="9"/>
      <c r="L184" s="9"/>
      <c r="M184" s="9"/>
      <c r="N184" s="9"/>
      <c r="O184" s="9"/>
      <c r="P184" s="9"/>
    </row>
    <row r="185" spans="1:16" x14ac:dyDescent="0.25">
      <c r="A185" s="4"/>
      <c r="B185" s="28" t="str">
        <f>IF(ISNUMBER(MATCH(D185, Mgt_Unit!$C$5:$C$1018, 0)), INDEX(Mgt_Unit!$B$5:$B$1018, MATCH(D185, Mgt_Unit!$C$5:$C$1018, 0)), "")</f>
        <v/>
      </c>
      <c r="C185" s="28"/>
      <c r="D185" s="9"/>
      <c r="E185" s="45"/>
      <c r="F185" s="9"/>
      <c r="G185" s="9"/>
      <c r="H185" s="50"/>
      <c r="I185" s="9"/>
      <c r="J185" s="9"/>
      <c r="K185" s="9"/>
      <c r="L185" s="9"/>
      <c r="M185" s="9"/>
      <c r="N185" s="9"/>
      <c r="O185" s="9"/>
      <c r="P185" s="9"/>
    </row>
    <row r="186" spans="1:16" x14ac:dyDescent="0.25">
      <c r="A186" s="4"/>
      <c r="B186" s="28" t="str">
        <f>IF(ISNUMBER(MATCH(D186, Mgt_Unit!$C$5:$C$1018, 0)), INDEX(Mgt_Unit!$B$5:$B$1018, MATCH(D186, Mgt_Unit!$C$5:$C$1018, 0)), "")</f>
        <v/>
      </c>
      <c r="C186" s="28"/>
      <c r="D186" s="9"/>
      <c r="E186" s="45"/>
      <c r="F186" s="9"/>
      <c r="G186" s="9"/>
      <c r="H186" s="50"/>
      <c r="I186" s="9"/>
      <c r="J186" s="9"/>
      <c r="K186" s="9"/>
      <c r="L186" s="9"/>
      <c r="M186" s="9"/>
      <c r="N186" s="9"/>
      <c r="O186" s="9"/>
      <c r="P186" s="9"/>
    </row>
    <row r="187" spans="1:16" x14ac:dyDescent="0.25">
      <c r="A187" s="4"/>
      <c r="B187" s="28" t="str">
        <f>IF(ISNUMBER(MATCH(D187, Mgt_Unit!$C$5:$C$1018, 0)), INDEX(Mgt_Unit!$B$5:$B$1018, MATCH(D187, Mgt_Unit!$C$5:$C$1018, 0)), "")</f>
        <v/>
      </c>
      <c r="C187" s="28"/>
      <c r="D187" s="9"/>
      <c r="E187" s="45"/>
      <c r="F187" s="9"/>
      <c r="G187" s="9"/>
      <c r="H187" s="50"/>
      <c r="I187" s="9"/>
      <c r="J187" s="9"/>
      <c r="K187" s="9"/>
      <c r="L187" s="9"/>
      <c r="M187" s="9"/>
      <c r="N187" s="9"/>
      <c r="O187" s="9"/>
      <c r="P187" s="9"/>
    </row>
    <row r="188" spans="1:16" x14ac:dyDescent="0.25">
      <c r="A188" s="4"/>
      <c r="B188" s="28" t="str">
        <f>IF(ISNUMBER(MATCH(D188, Mgt_Unit!$C$5:$C$1018, 0)), INDEX(Mgt_Unit!$B$5:$B$1018, MATCH(D188, Mgt_Unit!$C$5:$C$1018, 0)), "")</f>
        <v/>
      </c>
      <c r="C188" s="28"/>
      <c r="D188" s="9"/>
      <c r="E188" s="45"/>
      <c r="F188" s="9"/>
      <c r="G188" s="9"/>
      <c r="H188" s="50"/>
      <c r="I188" s="9"/>
      <c r="J188" s="9"/>
      <c r="K188" s="9"/>
      <c r="L188" s="9"/>
      <c r="M188" s="9"/>
      <c r="N188" s="9"/>
      <c r="O188" s="9"/>
      <c r="P188" s="9"/>
    </row>
    <row r="189" spans="1:16" x14ac:dyDescent="0.25">
      <c r="A189" s="4"/>
      <c r="B189" s="28" t="str">
        <f>IF(ISNUMBER(MATCH(D189, Mgt_Unit!$C$5:$C$1018, 0)), INDEX(Mgt_Unit!$B$5:$B$1018, MATCH(D189, Mgt_Unit!$C$5:$C$1018, 0)), "")</f>
        <v/>
      </c>
      <c r="C189" s="28"/>
      <c r="D189" s="9"/>
      <c r="E189" s="45"/>
      <c r="F189" s="9"/>
      <c r="G189" s="9"/>
      <c r="H189" s="50"/>
      <c r="I189" s="9"/>
      <c r="J189" s="9"/>
      <c r="K189" s="9"/>
      <c r="L189" s="9"/>
      <c r="M189" s="9"/>
      <c r="N189" s="9"/>
      <c r="O189" s="9"/>
      <c r="P189" s="9"/>
    </row>
    <row r="190" spans="1:16" x14ac:dyDescent="0.25">
      <c r="A190" s="4"/>
      <c r="B190" s="28" t="str">
        <f>IF(ISNUMBER(MATCH(D190, Mgt_Unit!$C$5:$C$1018, 0)), INDEX(Mgt_Unit!$B$5:$B$1018, MATCH(D190, Mgt_Unit!$C$5:$C$1018, 0)), "")</f>
        <v/>
      </c>
      <c r="C190" s="28"/>
      <c r="D190" s="9"/>
      <c r="E190" s="45"/>
      <c r="F190" s="9"/>
      <c r="G190" s="9"/>
      <c r="H190" s="50"/>
      <c r="I190" s="9"/>
      <c r="J190" s="9"/>
      <c r="K190" s="9"/>
      <c r="L190" s="9"/>
      <c r="M190" s="9"/>
      <c r="N190" s="9"/>
      <c r="O190" s="9"/>
      <c r="P190" s="9"/>
    </row>
    <row r="191" spans="1:16" x14ac:dyDescent="0.25">
      <c r="A191" s="4"/>
      <c r="B191" s="28" t="str">
        <f>IF(ISNUMBER(MATCH(D191, Mgt_Unit!$C$5:$C$1018, 0)), INDEX(Mgt_Unit!$B$5:$B$1018, MATCH(D191, Mgt_Unit!$C$5:$C$1018, 0)), "")</f>
        <v/>
      </c>
      <c r="C191" s="28"/>
      <c r="D191" s="9"/>
      <c r="E191" s="45"/>
      <c r="F191" s="9"/>
      <c r="G191" s="9"/>
      <c r="H191" s="50"/>
      <c r="I191" s="9"/>
      <c r="J191" s="9"/>
      <c r="K191" s="9"/>
      <c r="L191" s="9"/>
      <c r="M191" s="9"/>
      <c r="N191" s="9"/>
      <c r="O191" s="9"/>
      <c r="P191" s="9"/>
    </row>
    <row r="192" spans="1:16" x14ac:dyDescent="0.25">
      <c r="A192" s="4"/>
      <c r="B192" s="28" t="str">
        <f>IF(ISNUMBER(MATCH(D192, Mgt_Unit!$C$5:$C$1018, 0)), INDEX(Mgt_Unit!$B$5:$B$1018, MATCH(D192, Mgt_Unit!$C$5:$C$1018, 0)), "")</f>
        <v/>
      </c>
      <c r="C192" s="28"/>
      <c r="D192" s="9"/>
      <c r="E192" s="45"/>
      <c r="F192" s="9"/>
      <c r="G192" s="9"/>
      <c r="H192" s="50"/>
      <c r="I192" s="9"/>
      <c r="J192" s="9"/>
      <c r="K192" s="9"/>
      <c r="L192" s="9"/>
      <c r="M192" s="9"/>
      <c r="N192" s="9"/>
      <c r="O192" s="9"/>
      <c r="P192" s="9"/>
    </row>
    <row r="193" spans="1:16" x14ac:dyDescent="0.25">
      <c r="A193" s="4"/>
      <c r="B193" s="28" t="str">
        <f>IF(ISNUMBER(MATCH(D193, Mgt_Unit!$C$5:$C$1018, 0)), INDEX(Mgt_Unit!$B$5:$B$1018, MATCH(D193, Mgt_Unit!$C$5:$C$1018, 0)), "")</f>
        <v/>
      </c>
      <c r="C193" s="28"/>
      <c r="D193" s="9"/>
      <c r="E193" s="45"/>
      <c r="F193" s="9"/>
      <c r="G193" s="9"/>
      <c r="H193" s="50"/>
      <c r="I193" s="9"/>
      <c r="J193" s="9"/>
      <c r="K193" s="9"/>
      <c r="L193" s="9"/>
      <c r="M193" s="9"/>
      <c r="N193" s="9"/>
      <c r="O193" s="9"/>
      <c r="P193" s="9"/>
    </row>
    <row r="194" spans="1:16" x14ac:dyDescent="0.25">
      <c r="A194" s="4"/>
      <c r="B194" s="28" t="str">
        <f>IF(ISNUMBER(MATCH(D194, Mgt_Unit!$C$5:$C$1018, 0)), INDEX(Mgt_Unit!$B$5:$B$1018, MATCH(D194, Mgt_Unit!$C$5:$C$1018, 0)), "")</f>
        <v/>
      </c>
      <c r="C194" s="28"/>
      <c r="D194" s="9"/>
      <c r="E194" s="45"/>
      <c r="F194" s="9"/>
      <c r="G194" s="9"/>
      <c r="H194" s="50"/>
      <c r="I194" s="9"/>
      <c r="J194" s="9"/>
      <c r="K194" s="9"/>
      <c r="L194" s="9"/>
      <c r="M194" s="9"/>
      <c r="N194" s="9"/>
      <c r="O194" s="9"/>
      <c r="P194" s="9"/>
    </row>
    <row r="195" spans="1:16" x14ac:dyDescent="0.25">
      <c r="A195" s="4"/>
      <c r="B195" s="28" t="str">
        <f>IF(ISNUMBER(MATCH(D195, Mgt_Unit!$C$5:$C$1018, 0)), INDEX(Mgt_Unit!$B$5:$B$1018, MATCH(D195, Mgt_Unit!$C$5:$C$1018, 0)), "")</f>
        <v/>
      </c>
      <c r="C195" s="28"/>
      <c r="D195" s="9"/>
      <c r="E195" s="45"/>
      <c r="F195" s="9"/>
      <c r="G195" s="9"/>
      <c r="H195" s="50"/>
      <c r="I195" s="9"/>
      <c r="J195" s="9"/>
      <c r="K195" s="9"/>
      <c r="L195" s="9"/>
      <c r="M195" s="9"/>
      <c r="N195" s="9"/>
      <c r="O195" s="9"/>
      <c r="P195" s="9"/>
    </row>
    <row r="196" spans="1:16" x14ac:dyDescent="0.25">
      <c r="A196" s="4"/>
      <c r="B196" s="28" t="str">
        <f>IF(ISNUMBER(MATCH(D196, Mgt_Unit!$C$5:$C$1018, 0)), INDEX(Mgt_Unit!$B$5:$B$1018, MATCH(D196, Mgt_Unit!$C$5:$C$1018, 0)), "")</f>
        <v/>
      </c>
      <c r="C196" s="28"/>
      <c r="D196" s="9"/>
      <c r="E196" s="45"/>
      <c r="F196" s="9"/>
      <c r="G196" s="9"/>
      <c r="H196" s="50"/>
      <c r="I196" s="9"/>
      <c r="J196" s="9"/>
      <c r="K196" s="9"/>
      <c r="L196" s="9"/>
      <c r="M196" s="9"/>
      <c r="N196" s="9"/>
      <c r="O196" s="9"/>
      <c r="P196" s="9"/>
    </row>
    <row r="197" spans="1:16" x14ac:dyDescent="0.25">
      <c r="A197" s="4"/>
      <c r="B197" s="28" t="str">
        <f>IF(ISNUMBER(MATCH(D197, Mgt_Unit!$C$5:$C$1018, 0)), INDEX(Mgt_Unit!$B$5:$B$1018, MATCH(D197, Mgt_Unit!$C$5:$C$1018, 0)), "")</f>
        <v/>
      </c>
      <c r="C197" s="28"/>
      <c r="D197" s="9"/>
      <c r="E197" s="45"/>
      <c r="F197" s="9"/>
      <c r="G197" s="9"/>
      <c r="H197" s="50"/>
      <c r="I197" s="9"/>
      <c r="J197" s="9"/>
      <c r="K197" s="9"/>
      <c r="L197" s="9"/>
      <c r="M197" s="9"/>
      <c r="N197" s="9"/>
      <c r="O197" s="9"/>
      <c r="P197" s="9"/>
    </row>
    <row r="198" spans="1:16" x14ac:dyDescent="0.25">
      <c r="A198" s="4"/>
      <c r="B198" s="28" t="str">
        <f>IF(ISNUMBER(MATCH(D198, Mgt_Unit!$C$5:$C$1018, 0)), INDEX(Mgt_Unit!$B$5:$B$1018, MATCH(D198, Mgt_Unit!$C$5:$C$1018, 0)), "")</f>
        <v/>
      </c>
      <c r="C198" s="28"/>
      <c r="D198" s="9"/>
      <c r="E198" s="45"/>
      <c r="F198" s="9"/>
      <c r="G198" s="9"/>
      <c r="H198" s="50"/>
      <c r="I198" s="9"/>
      <c r="J198" s="9"/>
      <c r="K198" s="9"/>
      <c r="L198" s="9"/>
      <c r="M198" s="9"/>
      <c r="N198" s="9"/>
      <c r="O198" s="9"/>
      <c r="P198" s="9"/>
    </row>
    <row r="199" spans="1:16" x14ac:dyDescent="0.25">
      <c r="A199" s="4"/>
      <c r="B199" s="28" t="str">
        <f>IF(ISNUMBER(MATCH(D199, Mgt_Unit!$C$5:$C$1018, 0)), INDEX(Mgt_Unit!$B$5:$B$1018, MATCH(D199, Mgt_Unit!$C$5:$C$1018, 0)), "")</f>
        <v/>
      </c>
      <c r="C199" s="28"/>
      <c r="D199" s="9"/>
      <c r="E199" s="45"/>
      <c r="F199" s="9"/>
      <c r="G199" s="9"/>
      <c r="H199" s="50"/>
      <c r="I199" s="9"/>
      <c r="J199" s="9"/>
      <c r="K199" s="9"/>
      <c r="L199" s="9"/>
      <c r="M199" s="9"/>
      <c r="N199" s="9"/>
      <c r="O199" s="9"/>
      <c r="P199" s="9"/>
    </row>
    <row r="200" spans="1:16" x14ac:dyDescent="0.25">
      <c r="A200" s="4"/>
      <c r="B200" s="28" t="str">
        <f>IF(ISNUMBER(MATCH(D200, Mgt_Unit!$C$5:$C$1018, 0)), INDEX(Mgt_Unit!$B$5:$B$1018, MATCH(D200, Mgt_Unit!$C$5:$C$1018, 0)), "")</f>
        <v/>
      </c>
      <c r="C200" s="28"/>
      <c r="D200" s="9"/>
      <c r="E200" s="45"/>
      <c r="F200" s="9"/>
      <c r="G200" s="9"/>
      <c r="H200" s="50"/>
      <c r="I200" s="9"/>
      <c r="J200" s="9"/>
      <c r="K200" s="9"/>
      <c r="L200" s="9"/>
      <c r="M200" s="9"/>
      <c r="N200" s="9"/>
      <c r="O200" s="9"/>
      <c r="P200" s="9"/>
    </row>
    <row r="201" spans="1:16" x14ac:dyDescent="0.25">
      <c r="A201" s="4"/>
      <c r="B201" s="28" t="str">
        <f>IF(ISNUMBER(MATCH(D201, Mgt_Unit!$C$5:$C$1018, 0)), INDEX(Mgt_Unit!$B$5:$B$1018, MATCH(D201, Mgt_Unit!$C$5:$C$1018, 0)), "")</f>
        <v/>
      </c>
      <c r="C201" s="28"/>
      <c r="D201" s="9"/>
      <c r="E201" s="45"/>
      <c r="F201" s="9"/>
      <c r="G201" s="9"/>
      <c r="H201" s="50"/>
      <c r="I201" s="9"/>
      <c r="J201" s="9"/>
      <c r="K201" s="9"/>
      <c r="L201" s="9"/>
      <c r="M201" s="9"/>
      <c r="N201" s="9"/>
      <c r="O201" s="9"/>
      <c r="P201" s="9"/>
    </row>
    <row r="202" spans="1:16" x14ac:dyDescent="0.25">
      <c r="A202" s="4"/>
      <c r="B202" s="28" t="str">
        <f>IF(ISNUMBER(MATCH(D202, Mgt_Unit!$C$5:$C$1018, 0)), INDEX(Mgt_Unit!$B$5:$B$1018, MATCH(D202, Mgt_Unit!$C$5:$C$1018, 0)), "")</f>
        <v/>
      </c>
      <c r="C202" s="28"/>
      <c r="D202" s="9"/>
      <c r="E202" s="45"/>
      <c r="F202" s="9"/>
      <c r="G202" s="9"/>
      <c r="H202" s="50"/>
      <c r="I202" s="9"/>
      <c r="J202" s="9"/>
      <c r="K202" s="9"/>
      <c r="L202" s="9"/>
      <c r="M202" s="9"/>
      <c r="N202" s="9"/>
      <c r="O202" s="9"/>
      <c r="P202" s="9"/>
    </row>
    <row r="203" spans="1:16" x14ac:dyDescent="0.25">
      <c r="A203" s="4"/>
      <c r="B203" s="28" t="str">
        <f>IF(ISNUMBER(MATCH(D203, Mgt_Unit!$C$5:$C$1018, 0)), INDEX(Mgt_Unit!$B$5:$B$1018, MATCH(D203, Mgt_Unit!$C$5:$C$1018, 0)), "")</f>
        <v/>
      </c>
      <c r="C203" s="28"/>
      <c r="D203" s="9"/>
      <c r="E203" s="45"/>
      <c r="F203" s="9"/>
      <c r="G203" s="9"/>
      <c r="H203" s="50"/>
      <c r="I203" s="9"/>
      <c r="J203" s="9"/>
      <c r="K203" s="9"/>
      <c r="L203" s="9"/>
      <c r="M203" s="9"/>
      <c r="N203" s="9"/>
      <c r="O203" s="9"/>
      <c r="P203" s="9"/>
    </row>
    <row r="204" spans="1:16" x14ac:dyDescent="0.25">
      <c r="A204" s="4"/>
      <c r="B204" s="28" t="str">
        <f>IF(ISNUMBER(MATCH(D204, Mgt_Unit!$C$5:$C$1018, 0)), INDEX(Mgt_Unit!$B$5:$B$1018, MATCH(D204, Mgt_Unit!$C$5:$C$1018, 0)), "")</f>
        <v/>
      </c>
      <c r="C204" s="28"/>
      <c r="D204" s="9"/>
      <c r="E204" s="45"/>
      <c r="F204" s="9"/>
      <c r="G204" s="9"/>
      <c r="H204" s="50"/>
      <c r="I204" s="9"/>
      <c r="J204" s="9"/>
      <c r="K204" s="9"/>
      <c r="L204" s="9"/>
      <c r="M204" s="9"/>
      <c r="N204" s="9"/>
      <c r="O204" s="9"/>
      <c r="P204" s="9"/>
    </row>
    <row r="205" spans="1:16" x14ac:dyDescent="0.25">
      <c r="A205" s="4"/>
      <c r="B205" s="28" t="str">
        <f>IF(ISNUMBER(MATCH(D205, Mgt_Unit!$C$5:$C$1018, 0)), INDEX(Mgt_Unit!$B$5:$B$1018, MATCH(D205, Mgt_Unit!$C$5:$C$1018, 0)), "")</f>
        <v/>
      </c>
      <c r="C205" s="28"/>
      <c r="D205" s="9"/>
      <c r="E205" s="45"/>
      <c r="F205" s="9"/>
      <c r="G205" s="9"/>
      <c r="H205" s="50"/>
      <c r="I205" s="9"/>
      <c r="J205" s="9"/>
      <c r="K205" s="9"/>
      <c r="L205" s="9"/>
      <c r="M205" s="9"/>
      <c r="N205" s="9"/>
      <c r="O205" s="9"/>
      <c r="P205" s="9"/>
    </row>
    <row r="206" spans="1:16" x14ac:dyDescent="0.25">
      <c r="A206" s="4"/>
      <c r="B206" s="28" t="str">
        <f>IF(ISNUMBER(MATCH(D206, Mgt_Unit!$C$5:$C$1018, 0)), INDEX(Mgt_Unit!$B$5:$B$1018, MATCH(D206, Mgt_Unit!$C$5:$C$1018, 0)), "")</f>
        <v/>
      </c>
      <c r="C206" s="28"/>
      <c r="D206" s="9"/>
      <c r="E206" s="45"/>
      <c r="F206" s="9"/>
      <c r="G206" s="9"/>
      <c r="H206" s="50"/>
      <c r="I206" s="9"/>
      <c r="J206" s="9"/>
      <c r="K206" s="9"/>
      <c r="L206" s="9"/>
      <c r="M206" s="9"/>
      <c r="N206" s="9"/>
      <c r="O206" s="9"/>
      <c r="P206" s="9"/>
    </row>
    <row r="207" spans="1:16" x14ac:dyDescent="0.25">
      <c r="A207" s="4"/>
      <c r="B207" s="28" t="str">
        <f>IF(ISNUMBER(MATCH(D207, Mgt_Unit!$C$5:$C$1018, 0)), INDEX(Mgt_Unit!$B$5:$B$1018, MATCH(D207, Mgt_Unit!$C$5:$C$1018, 0)), "")</f>
        <v/>
      </c>
      <c r="C207" s="28"/>
      <c r="D207" s="9"/>
      <c r="E207" s="45"/>
      <c r="F207" s="9"/>
      <c r="G207" s="9"/>
      <c r="H207" s="50"/>
      <c r="I207" s="9"/>
      <c r="J207" s="9"/>
      <c r="K207" s="9"/>
      <c r="L207" s="9"/>
      <c r="M207" s="9"/>
      <c r="N207" s="9"/>
      <c r="O207" s="9"/>
      <c r="P207" s="9"/>
    </row>
    <row r="208" spans="1:16" x14ac:dyDescent="0.25">
      <c r="A208" s="4"/>
      <c r="B208" s="28" t="str">
        <f>IF(ISNUMBER(MATCH(D208, Mgt_Unit!$C$5:$C$1018, 0)), INDEX(Mgt_Unit!$B$5:$B$1018, MATCH(D208, Mgt_Unit!$C$5:$C$1018, 0)), "")</f>
        <v/>
      </c>
      <c r="C208" s="28"/>
      <c r="D208" s="9"/>
      <c r="E208" s="45"/>
      <c r="F208" s="9"/>
      <c r="G208" s="9"/>
      <c r="H208" s="50"/>
      <c r="I208" s="9"/>
      <c r="J208" s="9"/>
      <c r="K208" s="9"/>
      <c r="L208" s="9"/>
      <c r="M208" s="9"/>
      <c r="N208" s="9"/>
      <c r="O208" s="9"/>
      <c r="P208" s="9"/>
    </row>
    <row r="209" spans="1:16" x14ac:dyDescent="0.25">
      <c r="A209" s="4"/>
      <c r="B209" s="28" t="str">
        <f>IF(ISNUMBER(MATCH(D209, Mgt_Unit!$C$5:$C$1018, 0)), INDEX(Mgt_Unit!$B$5:$B$1018, MATCH(D209, Mgt_Unit!$C$5:$C$1018, 0)), "")</f>
        <v/>
      </c>
      <c r="C209" s="28"/>
      <c r="D209" s="9"/>
      <c r="E209" s="45"/>
      <c r="F209" s="9"/>
      <c r="G209" s="9"/>
      <c r="H209" s="50"/>
      <c r="I209" s="9"/>
      <c r="J209" s="9"/>
      <c r="K209" s="9"/>
      <c r="L209" s="9"/>
      <c r="M209" s="9"/>
      <c r="N209" s="9"/>
      <c r="O209" s="9"/>
      <c r="P209" s="9"/>
    </row>
    <row r="210" spans="1:16" x14ac:dyDescent="0.25">
      <c r="A210" s="4"/>
      <c r="B210" s="28" t="str">
        <f>IF(ISNUMBER(MATCH(D210, Mgt_Unit!$C$5:$C$1018, 0)), INDEX(Mgt_Unit!$B$5:$B$1018, MATCH(D210, Mgt_Unit!$C$5:$C$1018, 0)), "")</f>
        <v/>
      </c>
      <c r="C210" s="28"/>
      <c r="D210" s="9"/>
      <c r="E210" s="45"/>
      <c r="F210" s="9"/>
      <c r="G210" s="9"/>
      <c r="H210" s="50"/>
      <c r="I210" s="9"/>
      <c r="J210" s="9"/>
      <c r="K210" s="9"/>
      <c r="L210" s="9"/>
      <c r="M210" s="9"/>
      <c r="N210" s="9"/>
      <c r="O210" s="9"/>
      <c r="P210" s="9"/>
    </row>
    <row r="211" spans="1:16" x14ac:dyDescent="0.25">
      <c r="A211" s="4"/>
      <c r="B211" s="28" t="str">
        <f>IF(ISNUMBER(MATCH(D211, Mgt_Unit!$C$5:$C$1018, 0)), INDEX(Mgt_Unit!$B$5:$B$1018, MATCH(D211, Mgt_Unit!$C$5:$C$1018, 0)), "")</f>
        <v/>
      </c>
      <c r="C211" s="28"/>
      <c r="D211" s="9"/>
      <c r="E211" s="45"/>
      <c r="F211" s="9"/>
      <c r="G211" s="9"/>
      <c r="H211" s="50"/>
      <c r="I211" s="9"/>
      <c r="J211" s="9"/>
      <c r="K211" s="9"/>
      <c r="L211" s="9"/>
      <c r="M211" s="9"/>
      <c r="N211" s="9"/>
      <c r="O211" s="9"/>
      <c r="P211" s="9"/>
    </row>
    <row r="212" spans="1:16" x14ac:dyDescent="0.25">
      <c r="A212" s="4"/>
      <c r="B212" s="28" t="str">
        <f>IF(ISNUMBER(MATCH(D212, Mgt_Unit!$C$5:$C$1018, 0)), INDEX(Mgt_Unit!$B$5:$B$1018, MATCH(D212, Mgt_Unit!$C$5:$C$1018, 0)), "")</f>
        <v/>
      </c>
      <c r="C212" s="28"/>
      <c r="D212" s="9"/>
      <c r="E212" s="45"/>
      <c r="F212" s="9"/>
      <c r="G212" s="9"/>
      <c r="H212" s="50"/>
      <c r="I212" s="9"/>
      <c r="J212" s="9"/>
      <c r="K212" s="9"/>
      <c r="L212" s="9"/>
      <c r="M212" s="9"/>
      <c r="N212" s="9"/>
      <c r="O212" s="9"/>
      <c r="P212" s="9"/>
    </row>
    <row r="213" spans="1:16" x14ac:dyDescent="0.25">
      <c r="A213" s="4"/>
      <c r="B213" s="28" t="str">
        <f>IF(ISNUMBER(MATCH(D213, Mgt_Unit!$C$5:$C$1018, 0)), INDEX(Mgt_Unit!$B$5:$B$1018, MATCH(D213, Mgt_Unit!$C$5:$C$1018, 0)), "")</f>
        <v/>
      </c>
      <c r="C213" s="28"/>
      <c r="D213" s="9"/>
      <c r="E213" s="45"/>
      <c r="F213" s="9"/>
      <c r="G213" s="9"/>
      <c r="H213" s="50"/>
      <c r="I213" s="9"/>
      <c r="J213" s="9"/>
      <c r="K213" s="9"/>
      <c r="L213" s="9"/>
      <c r="M213" s="9"/>
      <c r="N213" s="9"/>
      <c r="O213" s="9"/>
      <c r="P213" s="9"/>
    </row>
    <row r="214" spans="1:16" x14ac:dyDescent="0.25">
      <c r="A214" s="4"/>
      <c r="B214" s="28" t="str">
        <f>IF(ISNUMBER(MATCH(D214, Mgt_Unit!$C$5:$C$1018, 0)), INDEX(Mgt_Unit!$B$5:$B$1018, MATCH(D214, Mgt_Unit!$C$5:$C$1018, 0)), "")</f>
        <v/>
      </c>
      <c r="C214" s="28"/>
      <c r="D214" s="9"/>
      <c r="E214" s="45"/>
      <c r="F214" s="9"/>
      <c r="G214" s="9"/>
      <c r="H214" s="50"/>
      <c r="I214" s="9"/>
      <c r="J214" s="9"/>
      <c r="K214" s="9"/>
      <c r="L214" s="9"/>
      <c r="M214" s="9"/>
      <c r="N214" s="9"/>
      <c r="O214" s="9"/>
      <c r="P214" s="9"/>
    </row>
    <row r="215" spans="1:16" x14ac:dyDescent="0.25">
      <c r="A215" s="4"/>
      <c r="B215" s="28" t="str">
        <f>IF(ISNUMBER(MATCH(D215, Mgt_Unit!$C$5:$C$1018, 0)), INDEX(Mgt_Unit!$B$5:$B$1018, MATCH(D215, Mgt_Unit!$C$5:$C$1018, 0)), "")</f>
        <v/>
      </c>
      <c r="C215" s="28"/>
      <c r="D215" s="9"/>
      <c r="E215" s="45"/>
      <c r="F215" s="9"/>
      <c r="G215" s="9"/>
      <c r="H215" s="50"/>
      <c r="I215" s="9"/>
      <c r="J215" s="9"/>
      <c r="K215" s="9"/>
      <c r="L215" s="9"/>
      <c r="M215" s="9"/>
      <c r="N215" s="9"/>
      <c r="O215" s="9"/>
      <c r="P215" s="9"/>
    </row>
    <row r="216" spans="1:16" x14ac:dyDescent="0.25">
      <c r="A216" s="4"/>
      <c r="B216" s="28" t="str">
        <f>IF(ISNUMBER(MATCH(D216, Mgt_Unit!$C$5:$C$1018, 0)), INDEX(Mgt_Unit!$B$5:$B$1018, MATCH(D216, Mgt_Unit!$C$5:$C$1018, 0)), "")</f>
        <v/>
      </c>
      <c r="C216" s="28"/>
      <c r="D216" s="9"/>
      <c r="E216" s="45"/>
      <c r="F216" s="9"/>
      <c r="G216" s="9"/>
      <c r="H216" s="50"/>
      <c r="I216" s="9"/>
      <c r="J216" s="9"/>
      <c r="K216" s="9"/>
      <c r="L216" s="9"/>
      <c r="M216" s="9"/>
      <c r="N216" s="9"/>
      <c r="O216" s="9"/>
      <c r="P216" s="9"/>
    </row>
    <row r="217" spans="1:16" x14ac:dyDescent="0.25">
      <c r="A217" s="4"/>
      <c r="B217" s="28" t="str">
        <f>IF(ISNUMBER(MATCH(D217, Mgt_Unit!$C$5:$C$1018, 0)), INDEX(Mgt_Unit!$B$5:$B$1018, MATCH(D217, Mgt_Unit!$C$5:$C$1018, 0)), "")</f>
        <v/>
      </c>
      <c r="C217" s="28"/>
      <c r="D217" s="9"/>
      <c r="E217" s="45"/>
      <c r="F217" s="9"/>
      <c r="G217" s="9"/>
      <c r="H217" s="50"/>
      <c r="I217" s="9"/>
      <c r="J217" s="9"/>
      <c r="K217" s="9"/>
      <c r="L217" s="9"/>
      <c r="M217" s="9"/>
      <c r="N217" s="9"/>
      <c r="O217" s="9"/>
      <c r="P217" s="9"/>
    </row>
    <row r="218" spans="1:16" x14ac:dyDescent="0.25">
      <c r="A218" s="4"/>
      <c r="B218" s="28" t="str">
        <f>IF(ISNUMBER(MATCH(D218, Mgt_Unit!$C$5:$C$1018, 0)), INDEX(Mgt_Unit!$B$5:$B$1018, MATCH(D218, Mgt_Unit!$C$5:$C$1018, 0)), "")</f>
        <v/>
      </c>
      <c r="C218" s="28"/>
      <c r="D218" s="9"/>
      <c r="E218" s="45"/>
      <c r="F218" s="9"/>
      <c r="G218" s="9"/>
      <c r="H218" s="50"/>
      <c r="I218" s="9"/>
      <c r="J218" s="9"/>
      <c r="K218" s="9"/>
      <c r="L218" s="9"/>
      <c r="M218" s="9"/>
      <c r="N218" s="9"/>
      <c r="O218" s="9"/>
      <c r="P218" s="9"/>
    </row>
    <row r="219" spans="1:16" x14ac:dyDescent="0.25">
      <c r="A219" s="4"/>
      <c r="B219" s="28" t="str">
        <f>IF(ISNUMBER(MATCH(D219, Mgt_Unit!$C$5:$C$1018, 0)), INDEX(Mgt_Unit!$B$5:$B$1018, MATCH(D219, Mgt_Unit!$C$5:$C$1018, 0)), "")</f>
        <v/>
      </c>
      <c r="C219" s="28"/>
      <c r="D219" s="9"/>
      <c r="E219" s="45"/>
      <c r="F219" s="9"/>
      <c r="G219" s="9"/>
      <c r="H219" s="50"/>
      <c r="I219" s="9"/>
      <c r="J219" s="9"/>
      <c r="K219" s="9"/>
      <c r="L219" s="9"/>
      <c r="M219" s="9"/>
      <c r="N219" s="9"/>
      <c r="O219" s="9"/>
      <c r="P219" s="9"/>
    </row>
    <row r="220" spans="1:16" x14ac:dyDescent="0.25">
      <c r="A220" s="4"/>
      <c r="B220" s="28" t="str">
        <f>IF(ISNUMBER(MATCH(D220, Mgt_Unit!$C$5:$C$1018, 0)), INDEX(Mgt_Unit!$B$5:$B$1018, MATCH(D220, Mgt_Unit!$C$5:$C$1018, 0)), "")</f>
        <v/>
      </c>
      <c r="C220" s="28"/>
      <c r="D220" s="9"/>
      <c r="E220" s="45"/>
      <c r="F220" s="9"/>
      <c r="G220" s="9"/>
      <c r="H220" s="50"/>
      <c r="I220" s="9"/>
      <c r="J220" s="9"/>
      <c r="K220" s="9"/>
      <c r="L220" s="9"/>
      <c r="M220" s="9"/>
      <c r="N220" s="9"/>
      <c r="O220" s="9"/>
      <c r="P220" s="9"/>
    </row>
    <row r="221" spans="1:16" x14ac:dyDescent="0.25">
      <c r="A221" s="4"/>
      <c r="B221" s="28" t="str">
        <f>IF(ISNUMBER(MATCH(D221, Mgt_Unit!$C$5:$C$1018, 0)), INDEX(Mgt_Unit!$B$5:$B$1018, MATCH(D221, Mgt_Unit!$C$5:$C$1018, 0)), "")</f>
        <v/>
      </c>
      <c r="C221" s="28"/>
      <c r="D221" s="9"/>
      <c r="E221" s="45"/>
      <c r="F221" s="9"/>
      <c r="G221" s="9"/>
      <c r="H221" s="50"/>
      <c r="I221" s="9"/>
      <c r="J221" s="9"/>
      <c r="K221" s="9"/>
      <c r="L221" s="9"/>
      <c r="M221" s="9"/>
      <c r="N221" s="9"/>
      <c r="O221" s="9"/>
      <c r="P221" s="9"/>
    </row>
    <row r="222" spans="1:16" x14ac:dyDescent="0.25">
      <c r="A222" s="4"/>
      <c r="B222" s="28" t="str">
        <f>IF(ISNUMBER(MATCH(D222, Mgt_Unit!$C$5:$C$1018, 0)), INDEX(Mgt_Unit!$B$5:$B$1018, MATCH(D222, Mgt_Unit!$C$5:$C$1018, 0)), "")</f>
        <v/>
      </c>
      <c r="C222" s="28"/>
      <c r="D222" s="9"/>
      <c r="E222" s="45"/>
      <c r="F222" s="9"/>
      <c r="G222" s="9"/>
      <c r="H222" s="50"/>
      <c r="I222" s="9"/>
      <c r="J222" s="9"/>
      <c r="K222" s="9"/>
      <c r="L222" s="9"/>
      <c r="M222" s="9"/>
      <c r="N222" s="9"/>
      <c r="O222" s="9"/>
      <c r="P222" s="9"/>
    </row>
    <row r="223" spans="1:16" x14ac:dyDescent="0.25">
      <c r="A223" s="4"/>
      <c r="B223" s="28" t="str">
        <f>IF(ISNUMBER(MATCH(D223, Mgt_Unit!$C$5:$C$1018, 0)), INDEX(Mgt_Unit!$B$5:$B$1018, MATCH(D223, Mgt_Unit!$C$5:$C$1018, 0)), "")</f>
        <v/>
      </c>
      <c r="C223" s="28"/>
      <c r="D223" s="9"/>
      <c r="E223" s="45"/>
      <c r="F223" s="9"/>
      <c r="G223" s="9"/>
      <c r="H223" s="50"/>
      <c r="I223" s="9"/>
      <c r="J223" s="9"/>
      <c r="K223" s="9"/>
      <c r="L223" s="9"/>
      <c r="M223" s="9"/>
      <c r="N223" s="9"/>
      <c r="O223" s="9"/>
      <c r="P223" s="9"/>
    </row>
    <row r="224" spans="1:16" x14ac:dyDescent="0.25">
      <c r="A224" s="4"/>
      <c r="B224" s="28" t="str">
        <f>IF(ISNUMBER(MATCH(D224, Mgt_Unit!$C$5:$C$1018, 0)), INDEX(Mgt_Unit!$B$5:$B$1018, MATCH(D224, Mgt_Unit!$C$5:$C$1018, 0)), "")</f>
        <v/>
      </c>
      <c r="C224" s="28"/>
      <c r="D224" s="9"/>
      <c r="E224" s="45"/>
      <c r="F224" s="9"/>
      <c r="G224" s="9"/>
      <c r="H224" s="50"/>
      <c r="I224" s="9"/>
      <c r="J224" s="9"/>
      <c r="K224" s="9"/>
      <c r="L224" s="9"/>
      <c r="M224" s="9"/>
      <c r="N224" s="9"/>
      <c r="O224" s="9"/>
      <c r="P224" s="9"/>
    </row>
    <row r="225" spans="1:16" x14ac:dyDescent="0.25">
      <c r="A225" s="4"/>
      <c r="B225" s="28" t="str">
        <f>IF(ISNUMBER(MATCH(D225, Mgt_Unit!$C$5:$C$1018, 0)), INDEX(Mgt_Unit!$B$5:$B$1018, MATCH(D225, Mgt_Unit!$C$5:$C$1018, 0)), "")</f>
        <v/>
      </c>
      <c r="C225" s="28"/>
      <c r="D225" s="9"/>
      <c r="E225" s="45"/>
      <c r="F225" s="9"/>
      <c r="G225" s="9"/>
      <c r="H225" s="50"/>
      <c r="I225" s="9"/>
      <c r="J225" s="9"/>
      <c r="K225" s="9"/>
      <c r="L225" s="9"/>
      <c r="M225" s="9"/>
      <c r="N225" s="9"/>
      <c r="O225" s="9"/>
      <c r="P225" s="9"/>
    </row>
    <row r="226" spans="1:16" x14ac:dyDescent="0.25">
      <c r="A226" s="4"/>
      <c r="B226" s="28" t="str">
        <f>IF(ISNUMBER(MATCH(D226, Mgt_Unit!$C$5:$C$1018, 0)), INDEX(Mgt_Unit!$B$5:$B$1018, MATCH(D226, Mgt_Unit!$C$5:$C$1018, 0)), "")</f>
        <v/>
      </c>
      <c r="C226" s="28"/>
      <c r="D226" s="9"/>
      <c r="E226" s="45"/>
      <c r="F226" s="9"/>
      <c r="G226" s="9"/>
      <c r="H226" s="50"/>
      <c r="I226" s="9"/>
      <c r="J226" s="9"/>
      <c r="K226" s="9"/>
      <c r="L226" s="9"/>
      <c r="M226" s="9"/>
      <c r="N226" s="9"/>
      <c r="O226" s="9"/>
      <c r="P226" s="9"/>
    </row>
    <row r="227" spans="1:16" x14ac:dyDescent="0.25">
      <c r="A227" s="4"/>
      <c r="B227" s="28" t="str">
        <f>IF(ISNUMBER(MATCH(D227, Mgt_Unit!$C$5:$C$1018, 0)), INDEX(Mgt_Unit!$B$5:$B$1018, MATCH(D227, Mgt_Unit!$C$5:$C$1018, 0)), "")</f>
        <v/>
      </c>
      <c r="C227" s="28"/>
      <c r="D227" s="9"/>
      <c r="E227" s="45"/>
      <c r="F227" s="9"/>
      <c r="G227" s="9"/>
      <c r="H227" s="50"/>
      <c r="I227" s="9"/>
      <c r="J227" s="9"/>
      <c r="K227" s="9"/>
      <c r="L227" s="9"/>
      <c r="M227" s="9"/>
      <c r="N227" s="9"/>
      <c r="O227" s="9"/>
      <c r="P227" s="9"/>
    </row>
    <row r="228" spans="1:16" x14ac:dyDescent="0.25">
      <c r="A228" s="4"/>
      <c r="B228" s="28" t="str">
        <f>IF(ISNUMBER(MATCH(D228, Mgt_Unit!$C$5:$C$1018, 0)), INDEX(Mgt_Unit!$B$5:$B$1018, MATCH(D228, Mgt_Unit!$C$5:$C$1018, 0)), "")</f>
        <v/>
      </c>
      <c r="C228" s="28"/>
      <c r="D228" s="9"/>
      <c r="E228" s="45"/>
      <c r="F228" s="9"/>
      <c r="G228" s="9"/>
      <c r="H228" s="50"/>
      <c r="I228" s="9"/>
      <c r="J228" s="9"/>
      <c r="K228" s="9"/>
      <c r="L228" s="9"/>
      <c r="M228" s="9"/>
      <c r="N228" s="9"/>
      <c r="O228" s="9"/>
      <c r="P228" s="9"/>
    </row>
    <row r="229" spans="1:16" x14ac:dyDescent="0.25">
      <c r="A229" s="4"/>
      <c r="B229" s="28" t="str">
        <f>IF(ISNUMBER(MATCH(D229, Mgt_Unit!$C$5:$C$1018, 0)), INDEX(Mgt_Unit!$B$5:$B$1018, MATCH(D229, Mgt_Unit!$C$5:$C$1018, 0)), "")</f>
        <v/>
      </c>
      <c r="C229" s="28"/>
      <c r="D229" s="9"/>
      <c r="E229" s="45"/>
      <c r="F229" s="9"/>
      <c r="G229" s="9"/>
      <c r="H229" s="50"/>
      <c r="I229" s="9"/>
      <c r="J229" s="9"/>
      <c r="K229" s="9"/>
      <c r="L229" s="9"/>
      <c r="M229" s="9"/>
      <c r="N229" s="9"/>
      <c r="O229" s="9"/>
      <c r="P229" s="9"/>
    </row>
    <row r="230" spans="1:16" x14ac:dyDescent="0.25">
      <c r="A230" s="4"/>
      <c r="B230" s="28" t="str">
        <f>IF(ISNUMBER(MATCH(D230, Mgt_Unit!$C$5:$C$1018, 0)), INDEX(Mgt_Unit!$B$5:$B$1018, MATCH(D230, Mgt_Unit!$C$5:$C$1018, 0)), "")</f>
        <v/>
      </c>
      <c r="C230" s="28"/>
      <c r="D230" s="9"/>
      <c r="E230" s="45"/>
      <c r="F230" s="9"/>
      <c r="G230" s="9"/>
      <c r="H230" s="50"/>
      <c r="I230" s="9"/>
      <c r="J230" s="9"/>
      <c r="K230" s="9"/>
      <c r="L230" s="9"/>
      <c r="M230" s="9"/>
      <c r="N230" s="9"/>
      <c r="O230" s="9"/>
      <c r="P230" s="9"/>
    </row>
    <row r="231" spans="1:16" x14ac:dyDescent="0.25">
      <c r="A231" s="4"/>
      <c r="B231" s="28" t="str">
        <f>IF(ISNUMBER(MATCH(D231, Mgt_Unit!$C$5:$C$1018, 0)), INDEX(Mgt_Unit!$B$5:$B$1018, MATCH(D231, Mgt_Unit!$C$5:$C$1018, 0)), "")</f>
        <v/>
      </c>
      <c r="C231" s="28"/>
      <c r="D231" s="9"/>
      <c r="E231" s="45"/>
      <c r="F231" s="9"/>
      <c r="G231" s="9"/>
      <c r="H231" s="50"/>
      <c r="I231" s="9"/>
      <c r="J231" s="9"/>
      <c r="K231" s="9"/>
      <c r="L231" s="9"/>
      <c r="M231" s="9"/>
      <c r="N231" s="9"/>
      <c r="O231" s="9"/>
      <c r="P231" s="9"/>
    </row>
    <row r="232" spans="1:16" x14ac:dyDescent="0.25">
      <c r="A232" s="4"/>
      <c r="B232" s="28" t="str">
        <f>IF(ISNUMBER(MATCH(D232, Mgt_Unit!$C$5:$C$1018, 0)), INDEX(Mgt_Unit!$B$5:$B$1018, MATCH(D232, Mgt_Unit!$C$5:$C$1018, 0)), "")</f>
        <v/>
      </c>
      <c r="C232" s="28"/>
      <c r="D232" s="9"/>
      <c r="E232" s="45"/>
      <c r="F232" s="9"/>
      <c r="G232" s="9"/>
      <c r="H232" s="50"/>
      <c r="I232" s="9"/>
      <c r="J232" s="9"/>
      <c r="K232" s="9"/>
      <c r="L232" s="9"/>
      <c r="M232" s="9"/>
      <c r="N232" s="9"/>
      <c r="O232" s="9"/>
      <c r="P232" s="9"/>
    </row>
    <row r="233" spans="1:16" x14ac:dyDescent="0.25">
      <c r="A233" s="4"/>
      <c r="B233" s="28" t="str">
        <f>IF(ISNUMBER(MATCH(D233, Mgt_Unit!$C$5:$C$1018, 0)), INDEX(Mgt_Unit!$B$5:$B$1018, MATCH(D233, Mgt_Unit!$C$5:$C$1018, 0)), "")</f>
        <v/>
      </c>
      <c r="C233" s="28"/>
      <c r="D233" s="9"/>
      <c r="E233" s="45"/>
      <c r="F233" s="9"/>
      <c r="G233" s="9"/>
      <c r="H233" s="50"/>
      <c r="I233" s="9"/>
      <c r="J233" s="9"/>
      <c r="K233" s="9"/>
      <c r="L233" s="9"/>
      <c r="M233" s="9"/>
      <c r="N233" s="9"/>
      <c r="O233" s="9"/>
      <c r="P233" s="9"/>
    </row>
    <row r="234" spans="1:16" x14ac:dyDescent="0.25">
      <c r="A234" s="4"/>
      <c r="B234" s="28" t="str">
        <f>IF(ISNUMBER(MATCH(D234, Mgt_Unit!$C$5:$C$1018, 0)), INDEX(Mgt_Unit!$B$5:$B$1018, MATCH(D234, Mgt_Unit!$C$5:$C$1018, 0)), "")</f>
        <v/>
      </c>
      <c r="C234" s="28"/>
      <c r="D234" s="9"/>
      <c r="E234" s="45"/>
      <c r="F234" s="9"/>
      <c r="G234" s="9"/>
      <c r="H234" s="50"/>
      <c r="I234" s="9"/>
      <c r="J234" s="9"/>
      <c r="K234" s="9"/>
      <c r="L234" s="9"/>
      <c r="M234" s="9"/>
      <c r="N234" s="9"/>
      <c r="O234" s="9"/>
      <c r="P234" s="9"/>
    </row>
    <row r="235" spans="1:16" x14ac:dyDescent="0.25">
      <c r="A235" s="4"/>
      <c r="B235" s="28" t="str">
        <f>IF(ISNUMBER(MATCH(D235, Mgt_Unit!$C$5:$C$1018, 0)), INDEX(Mgt_Unit!$B$5:$B$1018, MATCH(D235, Mgt_Unit!$C$5:$C$1018, 0)), "")</f>
        <v/>
      </c>
      <c r="C235" s="28"/>
      <c r="D235" s="9"/>
      <c r="E235" s="45"/>
      <c r="F235" s="9"/>
      <c r="G235" s="9"/>
      <c r="H235" s="50"/>
      <c r="I235" s="9"/>
      <c r="J235" s="9"/>
      <c r="K235" s="9"/>
      <c r="L235" s="9"/>
      <c r="M235" s="9"/>
      <c r="N235" s="9"/>
      <c r="O235" s="9"/>
      <c r="P235" s="9"/>
    </row>
    <row r="236" spans="1:16" x14ac:dyDescent="0.25">
      <c r="A236" s="4"/>
      <c r="B236" s="28" t="str">
        <f>IF(ISNUMBER(MATCH(D236, Mgt_Unit!$C$5:$C$1018, 0)), INDEX(Mgt_Unit!$B$5:$B$1018, MATCH(D236, Mgt_Unit!$C$5:$C$1018, 0)), "")</f>
        <v/>
      </c>
      <c r="C236" s="28"/>
      <c r="D236" s="9"/>
      <c r="E236" s="45"/>
      <c r="F236" s="9"/>
      <c r="G236" s="9"/>
      <c r="H236" s="50"/>
      <c r="I236" s="9"/>
      <c r="J236" s="9"/>
      <c r="K236" s="9"/>
      <c r="L236" s="9"/>
      <c r="M236" s="9"/>
      <c r="N236" s="9"/>
      <c r="O236" s="9"/>
      <c r="P236" s="9"/>
    </row>
    <row r="237" spans="1:16" x14ac:dyDescent="0.25">
      <c r="A237" s="4"/>
      <c r="B237" s="28" t="str">
        <f>IF(ISNUMBER(MATCH(D237, Mgt_Unit!$C$5:$C$1018, 0)), INDEX(Mgt_Unit!$B$5:$B$1018, MATCH(D237, Mgt_Unit!$C$5:$C$1018, 0)), "")</f>
        <v/>
      </c>
      <c r="C237" s="28"/>
      <c r="D237" s="9"/>
      <c r="E237" s="45"/>
      <c r="F237" s="9"/>
      <c r="G237" s="9"/>
      <c r="H237" s="50"/>
      <c r="I237" s="9"/>
      <c r="J237" s="9"/>
      <c r="K237" s="9"/>
      <c r="L237" s="9"/>
      <c r="M237" s="9"/>
      <c r="N237" s="9"/>
      <c r="O237" s="9"/>
      <c r="P237" s="9"/>
    </row>
    <row r="238" spans="1:16" x14ac:dyDescent="0.25">
      <c r="A238" s="4"/>
      <c r="B238" s="28" t="str">
        <f>IF(ISNUMBER(MATCH(D238, Mgt_Unit!$C$5:$C$1018, 0)), INDEX(Mgt_Unit!$B$5:$B$1018, MATCH(D238, Mgt_Unit!$C$5:$C$1018, 0)), "")</f>
        <v/>
      </c>
      <c r="C238" s="28"/>
      <c r="D238" s="9"/>
      <c r="E238" s="45"/>
      <c r="F238" s="9"/>
      <c r="G238" s="9"/>
      <c r="H238" s="50"/>
      <c r="I238" s="9"/>
      <c r="J238" s="9"/>
      <c r="K238" s="9"/>
      <c r="L238" s="9"/>
      <c r="M238" s="9"/>
      <c r="N238" s="9"/>
      <c r="O238" s="9"/>
      <c r="P238" s="9"/>
    </row>
    <row r="239" spans="1:16" x14ac:dyDescent="0.25">
      <c r="A239" s="4"/>
      <c r="B239" s="28" t="str">
        <f>IF(ISNUMBER(MATCH(D239, Mgt_Unit!$C$5:$C$1018, 0)), INDEX(Mgt_Unit!$B$5:$B$1018, MATCH(D239, Mgt_Unit!$C$5:$C$1018, 0)), "")</f>
        <v/>
      </c>
      <c r="C239" s="28"/>
      <c r="D239" s="9"/>
      <c r="E239" s="45"/>
      <c r="F239" s="9"/>
      <c r="G239" s="9"/>
      <c r="H239" s="50"/>
      <c r="I239" s="9"/>
      <c r="J239" s="9"/>
      <c r="K239" s="9"/>
      <c r="L239" s="9"/>
      <c r="M239" s="9"/>
      <c r="N239" s="9"/>
      <c r="O239" s="9"/>
      <c r="P239" s="9"/>
    </row>
    <row r="240" spans="1:16" x14ac:dyDescent="0.25">
      <c r="A240" s="4"/>
      <c r="B240" s="28" t="str">
        <f>IF(ISNUMBER(MATCH(D240, Mgt_Unit!$C$5:$C$1018, 0)), INDEX(Mgt_Unit!$B$5:$B$1018, MATCH(D240, Mgt_Unit!$C$5:$C$1018, 0)), "")</f>
        <v/>
      </c>
      <c r="C240" s="28"/>
      <c r="D240" s="9"/>
      <c r="E240" s="45"/>
      <c r="F240" s="9"/>
      <c r="G240" s="9"/>
      <c r="H240" s="50"/>
      <c r="I240" s="9"/>
      <c r="J240" s="9"/>
      <c r="K240" s="9"/>
      <c r="L240" s="9"/>
      <c r="M240" s="9"/>
      <c r="N240" s="9"/>
      <c r="O240" s="9"/>
      <c r="P240" s="9"/>
    </row>
    <row r="241" spans="1:16" x14ac:dyDescent="0.25">
      <c r="A241" s="4"/>
      <c r="B241" s="28" t="str">
        <f>IF(ISNUMBER(MATCH(D241, Mgt_Unit!$C$5:$C$1018, 0)), INDEX(Mgt_Unit!$B$5:$B$1018, MATCH(D241, Mgt_Unit!$C$5:$C$1018, 0)), "")</f>
        <v/>
      </c>
      <c r="C241" s="28"/>
      <c r="D241" s="9"/>
      <c r="E241" s="45"/>
      <c r="F241" s="9"/>
      <c r="G241" s="9"/>
      <c r="H241" s="50"/>
      <c r="I241" s="9"/>
      <c r="J241" s="9"/>
      <c r="K241" s="9"/>
      <c r="L241" s="9"/>
      <c r="M241" s="9"/>
      <c r="N241" s="9"/>
      <c r="O241" s="9"/>
      <c r="P241" s="9"/>
    </row>
    <row r="242" spans="1:16" x14ac:dyDescent="0.25">
      <c r="A242" s="4"/>
      <c r="B242" s="28" t="str">
        <f>IF(ISNUMBER(MATCH(D242, Mgt_Unit!$C$5:$C$1018, 0)), INDEX(Mgt_Unit!$B$5:$B$1018, MATCH(D242, Mgt_Unit!$C$5:$C$1018, 0)), "")</f>
        <v/>
      </c>
      <c r="C242" s="28"/>
      <c r="D242" s="9"/>
      <c r="E242" s="45"/>
      <c r="F242" s="9"/>
      <c r="G242" s="9"/>
      <c r="H242" s="50"/>
      <c r="I242" s="9"/>
      <c r="J242" s="9"/>
      <c r="K242" s="9"/>
      <c r="L242" s="9"/>
      <c r="M242" s="9"/>
      <c r="N242" s="9"/>
      <c r="O242" s="9"/>
      <c r="P242" s="9"/>
    </row>
    <row r="243" spans="1:16" x14ac:dyDescent="0.25">
      <c r="A243" s="4"/>
      <c r="B243" s="28" t="str">
        <f>IF(ISNUMBER(MATCH(D243, Mgt_Unit!$C$5:$C$1018, 0)), INDEX(Mgt_Unit!$B$5:$B$1018, MATCH(D243, Mgt_Unit!$C$5:$C$1018, 0)), "")</f>
        <v/>
      </c>
      <c r="C243" s="28"/>
      <c r="D243" s="9"/>
      <c r="E243" s="45"/>
      <c r="F243" s="9"/>
      <c r="G243" s="9"/>
      <c r="H243" s="50"/>
      <c r="I243" s="9"/>
      <c r="J243" s="9"/>
      <c r="K243" s="9"/>
      <c r="L243" s="9"/>
      <c r="M243" s="9"/>
      <c r="N243" s="9"/>
      <c r="O243" s="9"/>
      <c r="P243" s="9"/>
    </row>
    <row r="244" spans="1:16" x14ac:dyDescent="0.25">
      <c r="A244" s="4"/>
      <c r="B244" s="28" t="str">
        <f>IF(ISNUMBER(MATCH(D244, Mgt_Unit!$C$5:$C$1018, 0)), INDEX(Mgt_Unit!$B$5:$B$1018, MATCH(D244, Mgt_Unit!$C$5:$C$1018, 0)), "")</f>
        <v/>
      </c>
      <c r="C244" s="28"/>
      <c r="D244" s="9"/>
      <c r="E244" s="45"/>
      <c r="F244" s="9"/>
      <c r="G244" s="9"/>
      <c r="H244" s="50"/>
      <c r="I244" s="9"/>
      <c r="J244" s="9"/>
      <c r="K244" s="9"/>
      <c r="L244" s="9"/>
      <c r="M244" s="9"/>
      <c r="N244" s="9"/>
      <c r="O244" s="9"/>
      <c r="P244" s="9"/>
    </row>
    <row r="245" spans="1:16" x14ac:dyDescent="0.25">
      <c r="A245" s="4"/>
      <c r="B245" s="28" t="str">
        <f>IF(ISNUMBER(MATCH(D245, Mgt_Unit!$C$5:$C$1018, 0)), INDEX(Mgt_Unit!$B$5:$B$1018, MATCH(D245, Mgt_Unit!$C$5:$C$1018, 0)), "")</f>
        <v/>
      </c>
      <c r="C245" s="28"/>
      <c r="D245" s="9"/>
      <c r="E245" s="45"/>
      <c r="F245" s="9"/>
      <c r="G245" s="9"/>
      <c r="H245" s="50"/>
      <c r="I245" s="9"/>
      <c r="J245" s="9"/>
      <c r="K245" s="9"/>
      <c r="L245" s="9"/>
      <c r="M245" s="9"/>
      <c r="N245" s="9"/>
      <c r="O245" s="9"/>
      <c r="P245" s="9"/>
    </row>
    <row r="246" spans="1:16" x14ac:dyDescent="0.25">
      <c r="A246" s="4"/>
      <c r="B246" s="28" t="str">
        <f>IF(ISNUMBER(MATCH(D246, Mgt_Unit!$C$5:$C$1018, 0)), INDEX(Mgt_Unit!$B$5:$B$1018, MATCH(D246, Mgt_Unit!$C$5:$C$1018, 0)), "")</f>
        <v/>
      </c>
      <c r="C246" s="28"/>
      <c r="D246" s="9"/>
      <c r="E246" s="45"/>
      <c r="F246" s="9"/>
      <c r="G246" s="9"/>
      <c r="H246" s="50"/>
      <c r="I246" s="9"/>
      <c r="J246" s="9"/>
      <c r="K246" s="9"/>
      <c r="L246" s="9"/>
      <c r="M246" s="9"/>
      <c r="N246" s="9"/>
      <c r="O246" s="9"/>
      <c r="P246" s="9"/>
    </row>
    <row r="247" spans="1:16" x14ac:dyDescent="0.25">
      <c r="A247" s="4"/>
      <c r="B247" s="28" t="str">
        <f>IF(ISNUMBER(MATCH(D247, Mgt_Unit!$C$5:$C$1018, 0)), INDEX(Mgt_Unit!$B$5:$B$1018, MATCH(D247, Mgt_Unit!$C$5:$C$1018, 0)), "")</f>
        <v/>
      </c>
      <c r="C247" s="28"/>
      <c r="D247" s="9"/>
      <c r="E247" s="45"/>
      <c r="F247" s="9"/>
      <c r="G247" s="9"/>
      <c r="H247" s="50"/>
      <c r="I247" s="9"/>
      <c r="J247" s="9"/>
      <c r="K247" s="9"/>
      <c r="L247" s="9"/>
      <c r="M247" s="9"/>
      <c r="N247" s="9"/>
      <c r="O247" s="9"/>
      <c r="P247" s="9"/>
    </row>
    <row r="248" spans="1:16" x14ac:dyDescent="0.25">
      <c r="A248" s="4"/>
      <c r="B248" s="28" t="str">
        <f>IF(ISNUMBER(MATCH(D248, Mgt_Unit!$C$5:$C$1018, 0)), INDEX(Mgt_Unit!$B$5:$B$1018, MATCH(D248, Mgt_Unit!$C$5:$C$1018, 0)), "")</f>
        <v/>
      </c>
      <c r="C248" s="28"/>
      <c r="D248" s="9"/>
      <c r="E248" s="45"/>
      <c r="F248" s="9"/>
      <c r="G248" s="9"/>
      <c r="H248" s="50"/>
      <c r="I248" s="9"/>
      <c r="J248" s="9"/>
      <c r="K248" s="9"/>
      <c r="L248" s="9"/>
      <c r="M248" s="9"/>
      <c r="N248" s="9"/>
      <c r="O248" s="9"/>
      <c r="P248" s="9"/>
    </row>
    <row r="249" spans="1:16" x14ac:dyDescent="0.25">
      <c r="A249" s="4"/>
      <c r="B249" s="28" t="str">
        <f>IF(ISNUMBER(MATCH(D249, Mgt_Unit!$C$5:$C$1018, 0)), INDEX(Mgt_Unit!$B$5:$B$1018, MATCH(D249, Mgt_Unit!$C$5:$C$1018, 0)), "")</f>
        <v/>
      </c>
      <c r="C249" s="28"/>
      <c r="D249" s="9"/>
      <c r="E249" s="45"/>
      <c r="F249" s="9"/>
      <c r="G249" s="9"/>
      <c r="H249" s="50"/>
      <c r="I249" s="9"/>
      <c r="J249" s="9"/>
      <c r="K249" s="9"/>
      <c r="L249" s="9"/>
      <c r="M249" s="9"/>
      <c r="N249" s="9"/>
      <c r="O249" s="9"/>
      <c r="P249" s="9"/>
    </row>
    <row r="250" spans="1:16" x14ac:dyDescent="0.25">
      <c r="A250" s="4"/>
      <c r="B250" s="28" t="str">
        <f>IF(ISNUMBER(MATCH(D250, Mgt_Unit!$C$5:$C$1018, 0)), INDEX(Mgt_Unit!$B$5:$B$1018, MATCH(D250, Mgt_Unit!$C$5:$C$1018, 0)), "")</f>
        <v/>
      </c>
      <c r="C250" s="28"/>
      <c r="D250" s="9"/>
      <c r="E250" s="45"/>
      <c r="F250" s="9"/>
      <c r="G250" s="9"/>
      <c r="H250" s="50"/>
      <c r="I250" s="9"/>
      <c r="J250" s="9"/>
      <c r="K250" s="9"/>
      <c r="L250" s="9"/>
      <c r="M250" s="9"/>
      <c r="N250" s="9"/>
      <c r="O250" s="9"/>
      <c r="P250" s="9"/>
    </row>
    <row r="251" spans="1:16" x14ac:dyDescent="0.25">
      <c r="A251" s="4"/>
      <c r="B251" s="28" t="str">
        <f>IF(ISNUMBER(MATCH(D251, Mgt_Unit!$C$5:$C$1018, 0)), INDEX(Mgt_Unit!$B$5:$B$1018, MATCH(D251, Mgt_Unit!$C$5:$C$1018, 0)), "")</f>
        <v/>
      </c>
      <c r="C251" s="28"/>
      <c r="D251" s="9"/>
      <c r="E251" s="45"/>
      <c r="F251" s="9"/>
      <c r="G251" s="9"/>
      <c r="H251" s="50"/>
      <c r="I251" s="9"/>
      <c r="J251" s="9"/>
      <c r="K251" s="9"/>
      <c r="L251" s="9"/>
      <c r="M251" s="9"/>
      <c r="N251" s="9"/>
      <c r="O251" s="9"/>
      <c r="P251" s="9"/>
    </row>
    <row r="252" spans="1:16" x14ac:dyDescent="0.25">
      <c r="A252" s="4"/>
      <c r="B252" s="28" t="str">
        <f>IF(ISNUMBER(MATCH(D252, Mgt_Unit!$C$5:$C$1018, 0)), INDEX(Mgt_Unit!$B$5:$B$1018, MATCH(D252, Mgt_Unit!$C$5:$C$1018, 0)), "")</f>
        <v/>
      </c>
      <c r="C252" s="28"/>
      <c r="D252" s="9"/>
      <c r="E252" s="45"/>
      <c r="F252" s="9"/>
      <c r="G252" s="9"/>
      <c r="H252" s="50"/>
      <c r="I252" s="9"/>
      <c r="J252" s="9"/>
      <c r="K252" s="9"/>
      <c r="L252" s="9"/>
      <c r="M252" s="9"/>
      <c r="N252" s="9"/>
      <c r="O252" s="9"/>
      <c r="P252" s="9"/>
    </row>
    <row r="253" spans="1:16" x14ac:dyDescent="0.25">
      <c r="A253" s="4"/>
      <c r="B253" s="28" t="str">
        <f>IF(ISNUMBER(MATCH(D253, Mgt_Unit!$C$5:$C$1018, 0)), INDEX(Mgt_Unit!$B$5:$B$1018, MATCH(D253, Mgt_Unit!$C$5:$C$1018, 0)), "")</f>
        <v/>
      </c>
      <c r="C253" s="28"/>
      <c r="D253" s="9"/>
      <c r="E253" s="45"/>
      <c r="F253" s="9"/>
      <c r="G253" s="9"/>
      <c r="H253" s="50"/>
      <c r="I253" s="9"/>
      <c r="J253" s="9"/>
      <c r="K253" s="9"/>
      <c r="L253" s="9"/>
      <c r="M253" s="9"/>
      <c r="N253" s="9"/>
      <c r="O253" s="9"/>
      <c r="P253" s="9"/>
    </row>
    <row r="254" spans="1:16" x14ac:dyDescent="0.25">
      <c r="A254" s="4"/>
      <c r="B254" s="28" t="str">
        <f>IF(ISNUMBER(MATCH(D254, Mgt_Unit!$C$5:$C$1018, 0)), INDEX(Mgt_Unit!$B$5:$B$1018, MATCH(D254, Mgt_Unit!$C$5:$C$1018, 0)), "")</f>
        <v/>
      </c>
      <c r="C254" s="28"/>
      <c r="D254" s="9"/>
      <c r="E254" s="45"/>
      <c r="F254" s="9"/>
      <c r="G254" s="9"/>
      <c r="H254" s="50"/>
      <c r="I254" s="9"/>
      <c r="J254" s="9"/>
      <c r="K254" s="9"/>
      <c r="L254" s="9"/>
      <c r="M254" s="9"/>
      <c r="N254" s="9"/>
      <c r="O254" s="9"/>
      <c r="P254" s="9"/>
    </row>
    <row r="255" spans="1:16" x14ac:dyDescent="0.25">
      <c r="A255" s="4"/>
      <c r="B255" s="28" t="str">
        <f>IF(ISNUMBER(MATCH(D255, Mgt_Unit!$C$5:$C$1018, 0)), INDEX(Mgt_Unit!$B$5:$B$1018, MATCH(D255, Mgt_Unit!$C$5:$C$1018, 0)), "")</f>
        <v/>
      </c>
      <c r="C255" s="28"/>
      <c r="D255" s="9"/>
      <c r="E255" s="45"/>
      <c r="F255" s="9"/>
      <c r="G255" s="9"/>
      <c r="H255" s="50"/>
      <c r="I255" s="9"/>
      <c r="J255" s="9"/>
      <c r="K255" s="9"/>
      <c r="L255" s="9"/>
      <c r="M255" s="9"/>
      <c r="N255" s="9"/>
      <c r="O255" s="9"/>
      <c r="P255" s="9"/>
    </row>
    <row r="256" spans="1:16" x14ac:dyDescent="0.25">
      <c r="A256" s="4"/>
      <c r="B256" s="28" t="str">
        <f>IF(ISNUMBER(MATCH(D256, Mgt_Unit!$C$5:$C$1018, 0)), INDEX(Mgt_Unit!$B$5:$B$1018, MATCH(D256, Mgt_Unit!$C$5:$C$1018, 0)), "")</f>
        <v/>
      </c>
      <c r="C256" s="28"/>
      <c r="D256" s="9"/>
      <c r="E256" s="45"/>
      <c r="F256" s="9"/>
      <c r="G256" s="9"/>
      <c r="H256" s="50"/>
      <c r="I256" s="9"/>
      <c r="J256" s="9"/>
      <c r="K256" s="9"/>
      <c r="L256" s="9"/>
      <c r="M256" s="9"/>
      <c r="N256" s="9"/>
      <c r="O256" s="9"/>
      <c r="P256" s="9"/>
    </row>
    <row r="257" spans="1:16" x14ac:dyDescent="0.25">
      <c r="A257" s="4"/>
      <c r="B257" s="28" t="str">
        <f>IF(ISNUMBER(MATCH(D257, Mgt_Unit!$C$5:$C$1018, 0)), INDEX(Mgt_Unit!$B$5:$B$1018, MATCH(D257, Mgt_Unit!$C$5:$C$1018, 0)), "")</f>
        <v/>
      </c>
      <c r="C257" s="28"/>
      <c r="D257" s="9"/>
      <c r="E257" s="45"/>
      <c r="F257" s="9"/>
      <c r="G257" s="9"/>
      <c r="H257" s="50"/>
      <c r="I257" s="9"/>
      <c r="J257" s="9"/>
      <c r="K257" s="9"/>
      <c r="L257" s="9"/>
      <c r="M257" s="9"/>
      <c r="N257" s="9"/>
      <c r="O257" s="9"/>
      <c r="P257" s="9"/>
    </row>
    <row r="258" spans="1:16" x14ac:dyDescent="0.25">
      <c r="A258" s="4"/>
      <c r="B258" s="28" t="str">
        <f>IF(ISNUMBER(MATCH(D258, Mgt_Unit!$C$5:$C$1018, 0)), INDEX(Mgt_Unit!$B$5:$B$1018, MATCH(D258, Mgt_Unit!$C$5:$C$1018, 0)), "")</f>
        <v/>
      </c>
      <c r="C258" s="28"/>
      <c r="D258" s="9"/>
      <c r="E258" s="45"/>
      <c r="F258" s="9"/>
      <c r="G258" s="9"/>
      <c r="H258" s="50"/>
      <c r="I258" s="9"/>
      <c r="J258" s="9"/>
      <c r="K258" s="9"/>
      <c r="L258" s="9"/>
      <c r="M258" s="9"/>
      <c r="N258" s="9"/>
      <c r="O258" s="9"/>
      <c r="P258" s="9"/>
    </row>
    <row r="259" spans="1:16" x14ac:dyDescent="0.25">
      <c r="A259" s="4"/>
      <c r="B259" s="28" t="str">
        <f>IF(ISNUMBER(MATCH(D259, Mgt_Unit!$C$5:$C$1018, 0)), INDEX(Mgt_Unit!$B$5:$B$1018, MATCH(D259, Mgt_Unit!$C$5:$C$1018, 0)), "")</f>
        <v/>
      </c>
      <c r="C259" s="28"/>
      <c r="D259" s="9"/>
      <c r="E259" s="45"/>
      <c r="F259" s="9"/>
      <c r="G259" s="9"/>
      <c r="H259" s="50"/>
      <c r="I259" s="9"/>
      <c r="J259" s="9"/>
      <c r="K259" s="9"/>
      <c r="L259" s="9"/>
      <c r="M259" s="9"/>
      <c r="N259" s="9"/>
      <c r="O259" s="9"/>
      <c r="P259" s="9"/>
    </row>
    <row r="260" spans="1:16" x14ac:dyDescent="0.25">
      <c r="A260" s="4"/>
      <c r="B260" s="28" t="str">
        <f>IF(ISNUMBER(MATCH(D260, Mgt_Unit!$C$5:$C$1018, 0)), INDEX(Mgt_Unit!$B$5:$B$1018, MATCH(D260, Mgt_Unit!$C$5:$C$1018, 0)), "")</f>
        <v/>
      </c>
      <c r="C260" s="28"/>
      <c r="D260" s="9"/>
      <c r="E260" s="45"/>
      <c r="F260" s="9"/>
      <c r="G260" s="9"/>
      <c r="H260" s="50"/>
      <c r="I260" s="9"/>
      <c r="J260" s="9"/>
      <c r="K260" s="9"/>
      <c r="L260" s="9"/>
      <c r="M260" s="9"/>
      <c r="N260" s="9"/>
      <c r="O260" s="9"/>
      <c r="P260" s="9"/>
    </row>
    <row r="261" spans="1:16" x14ac:dyDescent="0.25">
      <c r="A261" s="4"/>
      <c r="B261" s="28" t="str">
        <f>IF(ISNUMBER(MATCH(D261, Mgt_Unit!$C$5:$C$1018, 0)), INDEX(Mgt_Unit!$B$5:$B$1018, MATCH(D261, Mgt_Unit!$C$5:$C$1018, 0)), "")</f>
        <v/>
      </c>
      <c r="C261" s="28"/>
      <c r="D261" s="9"/>
      <c r="E261" s="45"/>
      <c r="F261" s="9"/>
      <c r="G261" s="9"/>
      <c r="H261" s="50"/>
      <c r="I261" s="9"/>
      <c r="J261" s="9"/>
      <c r="K261" s="9"/>
      <c r="L261" s="9"/>
      <c r="M261" s="9"/>
      <c r="N261" s="9"/>
      <c r="O261" s="9"/>
      <c r="P261" s="9"/>
    </row>
    <row r="262" spans="1:16" x14ac:dyDescent="0.25">
      <c r="A262" s="4"/>
      <c r="B262" s="28" t="str">
        <f>IF(ISNUMBER(MATCH(D262, Mgt_Unit!$C$5:$C$1018, 0)), INDEX(Mgt_Unit!$B$5:$B$1018, MATCH(D262, Mgt_Unit!$C$5:$C$1018, 0)), "")</f>
        <v/>
      </c>
      <c r="C262" s="28"/>
      <c r="D262" s="9"/>
      <c r="E262" s="45"/>
      <c r="F262" s="9"/>
      <c r="G262" s="9"/>
      <c r="H262" s="50"/>
      <c r="I262" s="9"/>
      <c r="J262" s="9"/>
      <c r="K262" s="9"/>
      <c r="L262" s="9"/>
      <c r="M262" s="9"/>
      <c r="N262" s="9"/>
      <c r="O262" s="9"/>
      <c r="P262" s="9"/>
    </row>
    <row r="263" spans="1:16" x14ac:dyDescent="0.25">
      <c r="A263" s="4"/>
      <c r="B263" s="28" t="str">
        <f>IF(ISNUMBER(MATCH(D263, Mgt_Unit!$C$5:$C$1018, 0)), INDEX(Mgt_Unit!$B$5:$B$1018, MATCH(D263, Mgt_Unit!$C$5:$C$1018, 0)), "")</f>
        <v/>
      </c>
      <c r="C263" s="28"/>
      <c r="D263" s="9"/>
      <c r="E263" s="45"/>
      <c r="F263" s="9"/>
      <c r="G263" s="9"/>
      <c r="H263" s="50"/>
      <c r="I263" s="9"/>
      <c r="J263" s="9"/>
      <c r="K263" s="9"/>
      <c r="L263" s="9"/>
      <c r="M263" s="9"/>
      <c r="N263" s="9"/>
      <c r="O263" s="9"/>
      <c r="P263" s="9"/>
    </row>
    <row r="264" spans="1:16" x14ac:dyDescent="0.25">
      <c r="A264" s="4"/>
      <c r="B264" s="28" t="str">
        <f>IF(ISNUMBER(MATCH(D264, Mgt_Unit!$C$5:$C$1018, 0)), INDEX(Mgt_Unit!$B$5:$B$1018, MATCH(D264, Mgt_Unit!$C$5:$C$1018, 0)), "")</f>
        <v/>
      </c>
      <c r="C264" s="28"/>
      <c r="D264" s="9"/>
      <c r="E264" s="45"/>
      <c r="F264" s="9"/>
      <c r="G264" s="9"/>
      <c r="H264" s="50"/>
      <c r="I264" s="9"/>
      <c r="J264" s="9"/>
      <c r="K264" s="9"/>
      <c r="L264" s="9"/>
      <c r="M264" s="9"/>
      <c r="N264" s="9"/>
      <c r="O264" s="9"/>
      <c r="P264" s="9"/>
    </row>
    <row r="265" spans="1:16" x14ac:dyDescent="0.25">
      <c r="A265" s="4"/>
      <c r="B265" s="28" t="str">
        <f>IF(ISNUMBER(MATCH(D265, Mgt_Unit!$C$5:$C$1018, 0)), INDEX(Mgt_Unit!$B$5:$B$1018, MATCH(D265, Mgt_Unit!$C$5:$C$1018, 0)), "")</f>
        <v/>
      </c>
      <c r="C265" s="28"/>
      <c r="D265" s="9"/>
      <c r="E265" s="45"/>
      <c r="F265" s="9"/>
      <c r="G265" s="9"/>
      <c r="H265" s="50"/>
      <c r="I265" s="9"/>
      <c r="J265" s="9"/>
      <c r="K265" s="9"/>
      <c r="L265" s="9"/>
      <c r="M265" s="9"/>
      <c r="N265" s="9"/>
      <c r="O265" s="9"/>
      <c r="P265" s="9"/>
    </row>
    <row r="266" spans="1:16" x14ac:dyDescent="0.25">
      <c r="A266" s="4"/>
      <c r="B266" s="28" t="str">
        <f>IF(ISNUMBER(MATCH(D266, Mgt_Unit!$C$5:$C$1018, 0)), INDEX(Mgt_Unit!$B$5:$B$1018, MATCH(D266, Mgt_Unit!$C$5:$C$1018, 0)), "")</f>
        <v/>
      </c>
      <c r="C266" s="28"/>
      <c r="D266" s="9"/>
      <c r="E266" s="45"/>
      <c r="F266" s="9"/>
      <c r="G266" s="9"/>
      <c r="H266" s="50"/>
      <c r="I266" s="9"/>
      <c r="J266" s="9"/>
      <c r="K266" s="9"/>
      <c r="L266" s="9"/>
      <c r="M266" s="9"/>
      <c r="N266" s="9"/>
      <c r="O266" s="9"/>
      <c r="P266" s="9"/>
    </row>
    <row r="267" spans="1:16" x14ac:dyDescent="0.25">
      <c r="A267" s="4"/>
      <c r="B267" s="28" t="str">
        <f>IF(ISNUMBER(MATCH(D267, Mgt_Unit!$C$5:$C$1018, 0)), INDEX(Mgt_Unit!$B$5:$B$1018, MATCH(D267, Mgt_Unit!$C$5:$C$1018, 0)), "")</f>
        <v/>
      </c>
      <c r="C267" s="28"/>
      <c r="D267" s="9"/>
      <c r="E267" s="45"/>
      <c r="F267" s="9"/>
      <c r="G267" s="9"/>
      <c r="H267" s="50"/>
      <c r="I267" s="9"/>
      <c r="J267" s="9"/>
      <c r="K267" s="9"/>
      <c r="L267" s="9"/>
      <c r="M267" s="9"/>
      <c r="N267" s="9"/>
      <c r="O267" s="9"/>
      <c r="P267" s="9"/>
    </row>
    <row r="268" spans="1:16" x14ac:dyDescent="0.25">
      <c r="A268" s="4"/>
      <c r="B268" s="28" t="str">
        <f>IF(ISNUMBER(MATCH(D268, Mgt_Unit!$C$5:$C$1018, 0)), INDEX(Mgt_Unit!$B$5:$B$1018, MATCH(D268, Mgt_Unit!$C$5:$C$1018, 0)), "")</f>
        <v/>
      </c>
      <c r="C268" s="28"/>
      <c r="D268" s="9"/>
      <c r="E268" s="45"/>
      <c r="F268" s="9"/>
      <c r="G268" s="9"/>
      <c r="H268" s="50"/>
      <c r="I268" s="9"/>
      <c r="J268" s="9"/>
      <c r="K268" s="9"/>
      <c r="L268" s="9"/>
      <c r="M268" s="9"/>
      <c r="N268" s="9"/>
      <c r="O268" s="9"/>
      <c r="P268" s="9"/>
    </row>
    <row r="269" spans="1:16" x14ac:dyDescent="0.25">
      <c r="A269" s="4"/>
      <c r="B269" s="28" t="str">
        <f>IF(ISNUMBER(MATCH(D269, Mgt_Unit!$C$5:$C$1018, 0)), INDEX(Mgt_Unit!$B$5:$B$1018, MATCH(D269, Mgt_Unit!$C$5:$C$1018, 0)), "")</f>
        <v/>
      </c>
      <c r="C269" s="28"/>
      <c r="D269" s="9"/>
      <c r="E269" s="45"/>
      <c r="F269" s="9"/>
      <c r="G269" s="9"/>
      <c r="H269" s="50"/>
      <c r="I269" s="9"/>
      <c r="J269" s="9"/>
      <c r="K269" s="9"/>
      <c r="L269" s="9"/>
      <c r="M269" s="9"/>
      <c r="N269" s="9"/>
      <c r="O269" s="9"/>
      <c r="P269" s="9"/>
    </row>
    <row r="270" spans="1:16" x14ac:dyDescent="0.25">
      <c r="A270" s="4"/>
      <c r="B270" s="28" t="str">
        <f>IF(ISNUMBER(MATCH(D270, Mgt_Unit!$C$5:$C$1018, 0)), INDEX(Mgt_Unit!$B$5:$B$1018, MATCH(D270, Mgt_Unit!$C$5:$C$1018, 0)), "")</f>
        <v/>
      </c>
      <c r="C270" s="28"/>
      <c r="D270" s="9"/>
      <c r="E270" s="45"/>
      <c r="F270" s="9"/>
      <c r="G270" s="9"/>
      <c r="H270" s="50"/>
      <c r="I270" s="9"/>
      <c r="J270" s="9"/>
      <c r="K270" s="9"/>
      <c r="L270" s="9"/>
      <c r="M270" s="9"/>
      <c r="N270" s="9"/>
      <c r="O270" s="9"/>
      <c r="P270" s="9"/>
    </row>
    <row r="271" spans="1:16" x14ac:dyDescent="0.25">
      <c r="A271" s="4"/>
      <c r="B271" s="28" t="str">
        <f>IF(ISNUMBER(MATCH(D271, Mgt_Unit!$C$5:$C$1018, 0)), INDEX(Mgt_Unit!$B$5:$B$1018, MATCH(D271, Mgt_Unit!$C$5:$C$1018, 0)), "")</f>
        <v/>
      </c>
      <c r="C271" s="28"/>
      <c r="D271" s="9"/>
      <c r="E271" s="45"/>
      <c r="F271" s="9"/>
      <c r="G271" s="9"/>
      <c r="H271" s="50"/>
      <c r="I271" s="9"/>
      <c r="J271" s="9"/>
      <c r="K271" s="9"/>
      <c r="L271" s="9"/>
      <c r="M271" s="9"/>
      <c r="N271" s="9"/>
      <c r="O271" s="9"/>
      <c r="P271" s="9"/>
    </row>
    <row r="272" spans="1:16" x14ac:dyDescent="0.25">
      <c r="A272" s="4"/>
      <c r="B272" s="28" t="str">
        <f>IF(ISNUMBER(MATCH(D272, Mgt_Unit!$C$5:$C$1018, 0)), INDEX(Mgt_Unit!$B$5:$B$1018, MATCH(D272, Mgt_Unit!$C$5:$C$1018, 0)), "")</f>
        <v/>
      </c>
      <c r="C272" s="28"/>
      <c r="D272" s="9"/>
      <c r="E272" s="45"/>
      <c r="F272" s="9"/>
      <c r="G272" s="9"/>
      <c r="H272" s="50"/>
      <c r="I272" s="9"/>
      <c r="J272" s="9"/>
      <c r="K272" s="9"/>
      <c r="L272" s="9"/>
      <c r="M272" s="9"/>
      <c r="N272" s="9"/>
      <c r="O272" s="9"/>
      <c r="P272" s="9"/>
    </row>
    <row r="273" spans="1:16" x14ac:dyDescent="0.25">
      <c r="A273" s="4"/>
      <c r="B273" s="28" t="str">
        <f>IF(ISNUMBER(MATCH(D273, Mgt_Unit!$C$5:$C$1018, 0)), INDEX(Mgt_Unit!$B$5:$B$1018, MATCH(D273, Mgt_Unit!$C$5:$C$1018, 0)), "")</f>
        <v/>
      </c>
      <c r="C273" s="28"/>
      <c r="D273" s="9"/>
      <c r="E273" s="45"/>
      <c r="F273" s="9"/>
      <c r="G273" s="9"/>
      <c r="H273" s="50"/>
      <c r="I273" s="9"/>
      <c r="J273" s="9"/>
      <c r="K273" s="9"/>
      <c r="L273" s="9"/>
      <c r="M273" s="9"/>
      <c r="N273" s="9"/>
      <c r="O273" s="9"/>
      <c r="P273" s="9"/>
    </row>
    <row r="274" spans="1:16" x14ac:dyDescent="0.25">
      <c r="A274" s="4"/>
      <c r="B274" s="28" t="str">
        <f>IF(ISNUMBER(MATCH(D274, Mgt_Unit!$C$5:$C$1018, 0)), INDEX(Mgt_Unit!$B$5:$B$1018, MATCH(D274, Mgt_Unit!$C$5:$C$1018, 0)), "")</f>
        <v/>
      </c>
      <c r="C274" s="28"/>
      <c r="D274" s="9"/>
      <c r="E274" s="45"/>
      <c r="F274" s="9"/>
      <c r="G274" s="9"/>
      <c r="H274" s="50"/>
      <c r="I274" s="9"/>
      <c r="J274" s="9"/>
      <c r="K274" s="9"/>
      <c r="L274" s="9"/>
      <c r="M274" s="9"/>
      <c r="N274" s="9"/>
      <c r="O274" s="9"/>
      <c r="P274" s="9"/>
    </row>
    <row r="275" spans="1:16" x14ac:dyDescent="0.25">
      <c r="A275" s="4"/>
      <c r="B275" s="28" t="str">
        <f>IF(ISNUMBER(MATCH(D275, Mgt_Unit!$C$5:$C$1018, 0)), INDEX(Mgt_Unit!$B$5:$B$1018, MATCH(D275, Mgt_Unit!$C$5:$C$1018, 0)), "")</f>
        <v/>
      </c>
      <c r="C275" s="28"/>
      <c r="D275" s="9"/>
      <c r="E275" s="45"/>
      <c r="F275" s="9"/>
      <c r="G275" s="9"/>
      <c r="H275" s="50"/>
      <c r="I275" s="9"/>
      <c r="J275" s="9"/>
      <c r="K275" s="9"/>
      <c r="L275" s="9"/>
      <c r="M275" s="9"/>
      <c r="N275" s="9"/>
      <c r="O275" s="9"/>
      <c r="P275" s="9"/>
    </row>
    <row r="276" spans="1:16" x14ac:dyDescent="0.25">
      <c r="A276" s="4"/>
      <c r="B276" s="28" t="str">
        <f>IF(ISNUMBER(MATCH(D276, Mgt_Unit!$C$5:$C$1018, 0)), INDEX(Mgt_Unit!$B$5:$B$1018, MATCH(D276, Mgt_Unit!$C$5:$C$1018, 0)), "")</f>
        <v/>
      </c>
      <c r="C276" s="28"/>
      <c r="D276" s="9"/>
      <c r="E276" s="45"/>
      <c r="F276" s="9"/>
      <c r="G276" s="9"/>
      <c r="H276" s="50"/>
      <c r="I276" s="9"/>
      <c r="J276" s="9"/>
      <c r="K276" s="9"/>
      <c r="L276" s="9"/>
      <c r="M276" s="9"/>
      <c r="N276" s="9"/>
      <c r="O276" s="9"/>
      <c r="P276" s="9"/>
    </row>
    <row r="277" spans="1:16" x14ac:dyDescent="0.25">
      <c r="A277" s="4"/>
      <c r="B277" s="28" t="str">
        <f>IF(ISNUMBER(MATCH(D277, Mgt_Unit!$C$5:$C$1018, 0)), INDEX(Mgt_Unit!$B$5:$B$1018, MATCH(D277, Mgt_Unit!$C$5:$C$1018, 0)), "")</f>
        <v/>
      </c>
      <c r="C277" s="28"/>
      <c r="D277" s="9"/>
      <c r="E277" s="45"/>
      <c r="F277" s="9"/>
      <c r="G277" s="9"/>
      <c r="H277" s="50"/>
      <c r="I277" s="9"/>
      <c r="J277" s="9"/>
      <c r="K277" s="9"/>
      <c r="L277" s="9"/>
      <c r="M277" s="9"/>
      <c r="N277" s="9"/>
      <c r="O277" s="9"/>
      <c r="P277" s="9"/>
    </row>
    <row r="278" spans="1:16" x14ac:dyDescent="0.25">
      <c r="A278" s="4"/>
      <c r="B278" s="28" t="str">
        <f>IF(ISNUMBER(MATCH(D278, Mgt_Unit!$C$5:$C$1018, 0)), INDEX(Mgt_Unit!$B$5:$B$1018, MATCH(D278, Mgt_Unit!$C$5:$C$1018, 0)), "")</f>
        <v/>
      </c>
      <c r="C278" s="28"/>
      <c r="D278" s="9"/>
      <c r="E278" s="45"/>
      <c r="F278" s="9"/>
      <c r="G278" s="9"/>
      <c r="H278" s="50"/>
      <c r="I278" s="9"/>
      <c r="J278" s="9"/>
      <c r="K278" s="9"/>
      <c r="L278" s="9"/>
      <c r="M278" s="9"/>
      <c r="N278" s="9"/>
      <c r="O278" s="9"/>
      <c r="P278" s="9"/>
    </row>
    <row r="279" spans="1:16" x14ac:dyDescent="0.25">
      <c r="A279" s="4"/>
      <c r="B279" s="28" t="str">
        <f>IF(ISNUMBER(MATCH(D279, Mgt_Unit!$C$5:$C$1018, 0)), INDEX(Mgt_Unit!$B$5:$B$1018, MATCH(D279, Mgt_Unit!$C$5:$C$1018, 0)), "")</f>
        <v/>
      </c>
      <c r="C279" s="28"/>
      <c r="D279" s="9"/>
      <c r="E279" s="45"/>
      <c r="F279" s="9"/>
      <c r="G279" s="9"/>
      <c r="H279" s="50"/>
      <c r="I279" s="9"/>
      <c r="J279" s="9"/>
      <c r="K279" s="9"/>
      <c r="L279" s="9"/>
      <c r="M279" s="9"/>
      <c r="N279" s="9"/>
      <c r="O279" s="9"/>
      <c r="P279" s="9"/>
    </row>
    <row r="280" spans="1:16" x14ac:dyDescent="0.25">
      <c r="A280" s="4"/>
      <c r="B280" s="28" t="str">
        <f>IF(ISNUMBER(MATCH(D280, Mgt_Unit!$C$5:$C$1018, 0)), INDEX(Mgt_Unit!$B$5:$B$1018, MATCH(D280, Mgt_Unit!$C$5:$C$1018, 0)), "")</f>
        <v/>
      </c>
      <c r="C280" s="28"/>
      <c r="D280" s="9"/>
      <c r="E280" s="45"/>
      <c r="F280" s="9"/>
      <c r="G280" s="9"/>
      <c r="H280" s="50"/>
      <c r="I280" s="9"/>
      <c r="J280" s="9"/>
      <c r="K280" s="9"/>
      <c r="L280" s="9"/>
      <c r="M280" s="9"/>
      <c r="N280" s="9"/>
      <c r="O280" s="9"/>
      <c r="P280" s="9"/>
    </row>
    <row r="281" spans="1:16" x14ac:dyDescent="0.25">
      <c r="A281" s="4"/>
      <c r="B281" s="28" t="str">
        <f>IF(ISNUMBER(MATCH(D281, Mgt_Unit!$C$5:$C$1018, 0)), INDEX(Mgt_Unit!$B$5:$B$1018, MATCH(D281, Mgt_Unit!$C$5:$C$1018, 0)), "")</f>
        <v/>
      </c>
      <c r="C281" s="28"/>
      <c r="D281" s="9"/>
      <c r="E281" s="45"/>
      <c r="F281" s="9"/>
      <c r="G281" s="9"/>
      <c r="H281" s="50"/>
      <c r="I281" s="9"/>
      <c r="J281" s="9"/>
      <c r="K281" s="9"/>
      <c r="L281" s="9"/>
      <c r="M281" s="9"/>
      <c r="N281" s="9"/>
      <c r="O281" s="9"/>
      <c r="P281" s="9"/>
    </row>
    <row r="282" spans="1:16" x14ac:dyDescent="0.25">
      <c r="A282" s="4"/>
      <c r="B282" s="28" t="str">
        <f>IF(ISNUMBER(MATCH(D282, Mgt_Unit!$C$5:$C$1018, 0)), INDEX(Mgt_Unit!$B$5:$B$1018, MATCH(D282, Mgt_Unit!$C$5:$C$1018, 0)), "")</f>
        <v/>
      </c>
      <c r="C282" s="28"/>
      <c r="D282" s="9"/>
      <c r="E282" s="45"/>
      <c r="F282" s="9"/>
      <c r="G282" s="9"/>
      <c r="H282" s="50"/>
      <c r="I282" s="9"/>
      <c r="J282" s="9"/>
      <c r="K282" s="9"/>
      <c r="L282" s="9"/>
      <c r="M282" s="9"/>
      <c r="N282" s="9"/>
      <c r="O282" s="9"/>
      <c r="P282" s="9"/>
    </row>
    <row r="283" spans="1:16" x14ac:dyDescent="0.25">
      <c r="A283" s="4"/>
      <c r="B283" s="28" t="str">
        <f>IF(ISNUMBER(MATCH(D283, Mgt_Unit!$C$5:$C$1018, 0)), INDEX(Mgt_Unit!$B$5:$B$1018, MATCH(D283, Mgt_Unit!$C$5:$C$1018, 0)), "")</f>
        <v/>
      </c>
      <c r="C283" s="28"/>
      <c r="D283" s="9"/>
      <c r="E283" s="45"/>
      <c r="F283" s="9"/>
      <c r="G283" s="9"/>
      <c r="H283" s="50"/>
      <c r="I283" s="9"/>
      <c r="J283" s="9"/>
      <c r="K283" s="9"/>
      <c r="L283" s="9"/>
      <c r="M283" s="9"/>
      <c r="N283" s="9"/>
      <c r="O283" s="9"/>
      <c r="P283" s="9"/>
    </row>
    <row r="284" spans="1:16" x14ac:dyDescent="0.25">
      <c r="A284" s="4"/>
      <c r="B284" s="28" t="str">
        <f>IF(ISNUMBER(MATCH(D284, Mgt_Unit!$C$5:$C$1018, 0)), INDEX(Mgt_Unit!$B$5:$B$1018, MATCH(D284, Mgt_Unit!$C$5:$C$1018, 0)), "")</f>
        <v/>
      </c>
      <c r="C284" s="28"/>
      <c r="D284" s="9"/>
      <c r="E284" s="45"/>
      <c r="F284" s="9"/>
      <c r="G284" s="9"/>
      <c r="H284" s="50"/>
      <c r="I284" s="9"/>
      <c r="J284" s="9"/>
      <c r="K284" s="9"/>
      <c r="L284" s="9"/>
      <c r="M284" s="9"/>
      <c r="N284" s="9"/>
      <c r="O284" s="9"/>
      <c r="P284" s="9"/>
    </row>
    <row r="285" spans="1:16" x14ac:dyDescent="0.25">
      <c r="A285" s="4"/>
      <c r="B285" s="28" t="str">
        <f>IF(ISNUMBER(MATCH(D285, Mgt_Unit!$C$5:$C$1018, 0)), INDEX(Mgt_Unit!$B$5:$B$1018, MATCH(D285, Mgt_Unit!$C$5:$C$1018, 0)), "")</f>
        <v/>
      </c>
      <c r="C285" s="28"/>
      <c r="D285" s="9"/>
      <c r="E285" s="45"/>
      <c r="F285" s="9"/>
      <c r="G285" s="9"/>
      <c r="H285" s="50"/>
      <c r="I285" s="9"/>
      <c r="J285" s="9"/>
      <c r="K285" s="9"/>
      <c r="L285" s="9"/>
      <c r="M285" s="9"/>
      <c r="N285" s="9"/>
      <c r="O285" s="9"/>
      <c r="P285" s="9"/>
    </row>
    <row r="286" spans="1:16" x14ac:dyDescent="0.25">
      <c r="A286" s="4"/>
      <c r="B286" s="28" t="str">
        <f>IF(ISNUMBER(MATCH(D286, Mgt_Unit!$C$5:$C$1018, 0)), INDEX(Mgt_Unit!$B$5:$B$1018, MATCH(D286, Mgt_Unit!$C$5:$C$1018, 0)), "")</f>
        <v/>
      </c>
      <c r="C286" s="28"/>
      <c r="D286" s="9"/>
      <c r="E286" s="45"/>
      <c r="F286" s="9"/>
      <c r="G286" s="9"/>
      <c r="H286" s="50"/>
      <c r="I286" s="9"/>
      <c r="J286" s="9"/>
      <c r="K286" s="9"/>
      <c r="L286" s="9"/>
      <c r="M286" s="9"/>
      <c r="N286" s="9"/>
      <c r="O286" s="9"/>
      <c r="P286" s="9"/>
    </row>
    <row r="287" spans="1:16" x14ac:dyDescent="0.25">
      <c r="A287" s="4"/>
      <c r="B287" s="28" t="str">
        <f>IF(ISNUMBER(MATCH(D287, Mgt_Unit!$C$5:$C$1018, 0)), INDEX(Mgt_Unit!$B$5:$B$1018, MATCH(D287, Mgt_Unit!$C$5:$C$1018, 0)), "")</f>
        <v/>
      </c>
      <c r="C287" s="28"/>
      <c r="D287" s="9"/>
      <c r="E287" s="45"/>
      <c r="F287" s="9"/>
      <c r="G287" s="9"/>
      <c r="H287" s="50"/>
      <c r="I287" s="9"/>
      <c r="J287" s="9"/>
      <c r="K287" s="9"/>
      <c r="L287" s="9"/>
      <c r="M287" s="9"/>
      <c r="N287" s="9"/>
      <c r="O287" s="9"/>
      <c r="P287" s="9"/>
    </row>
    <row r="288" spans="1:16" x14ac:dyDescent="0.25">
      <c r="A288" s="4"/>
      <c r="B288" s="28" t="str">
        <f>IF(ISNUMBER(MATCH(D288, Mgt_Unit!$C$5:$C$1018, 0)), INDEX(Mgt_Unit!$B$5:$B$1018, MATCH(D288, Mgt_Unit!$C$5:$C$1018, 0)), "")</f>
        <v/>
      </c>
      <c r="C288" s="28"/>
      <c r="D288" s="9"/>
      <c r="E288" s="45"/>
      <c r="F288" s="9"/>
      <c r="G288" s="9"/>
      <c r="H288" s="50"/>
      <c r="I288" s="9"/>
      <c r="J288" s="9"/>
      <c r="K288" s="9"/>
      <c r="L288" s="9"/>
      <c r="M288" s="9"/>
      <c r="N288" s="9"/>
      <c r="O288" s="9"/>
      <c r="P288" s="9"/>
    </row>
    <row r="289" spans="1:16" x14ac:dyDescent="0.25">
      <c r="A289" s="4"/>
      <c r="B289" s="28" t="str">
        <f>IF(ISNUMBER(MATCH(D289, Mgt_Unit!$C$5:$C$1018, 0)), INDEX(Mgt_Unit!$B$5:$B$1018, MATCH(D289, Mgt_Unit!$C$5:$C$1018, 0)), "")</f>
        <v/>
      </c>
      <c r="C289" s="28"/>
      <c r="D289" s="9"/>
      <c r="E289" s="45"/>
      <c r="F289" s="9"/>
      <c r="G289" s="9"/>
      <c r="H289" s="50"/>
      <c r="I289" s="9"/>
      <c r="J289" s="9"/>
      <c r="K289" s="9"/>
      <c r="L289" s="9"/>
      <c r="M289" s="9"/>
      <c r="N289" s="9"/>
      <c r="O289" s="9"/>
      <c r="P289" s="9"/>
    </row>
    <row r="290" spans="1:16" x14ac:dyDescent="0.25">
      <c r="A290" s="4"/>
      <c r="B290" s="28" t="str">
        <f>IF(ISNUMBER(MATCH(D290, Mgt_Unit!$C$5:$C$1018, 0)), INDEX(Mgt_Unit!$B$5:$B$1018, MATCH(D290, Mgt_Unit!$C$5:$C$1018, 0)), "")</f>
        <v/>
      </c>
      <c r="C290" s="28"/>
      <c r="D290" s="9"/>
      <c r="E290" s="45"/>
      <c r="F290" s="9"/>
      <c r="G290" s="9"/>
      <c r="H290" s="50"/>
      <c r="I290" s="9"/>
      <c r="J290" s="9"/>
      <c r="K290" s="9"/>
      <c r="L290" s="9"/>
      <c r="M290" s="9"/>
      <c r="N290" s="9"/>
      <c r="O290" s="9"/>
      <c r="P290" s="9"/>
    </row>
    <row r="291" spans="1:16" x14ac:dyDescent="0.25">
      <c r="A291" s="4"/>
      <c r="B291" s="28" t="str">
        <f>IF(ISNUMBER(MATCH(D291, Mgt_Unit!$C$5:$C$1018, 0)), INDEX(Mgt_Unit!$B$5:$B$1018, MATCH(D291, Mgt_Unit!$C$5:$C$1018, 0)), "")</f>
        <v/>
      </c>
      <c r="C291" s="28"/>
      <c r="D291" s="9"/>
      <c r="E291" s="45"/>
      <c r="F291" s="9"/>
      <c r="G291" s="9"/>
      <c r="H291" s="50"/>
      <c r="I291" s="9"/>
      <c r="J291" s="9"/>
      <c r="K291" s="9"/>
      <c r="L291" s="9"/>
      <c r="M291" s="9"/>
      <c r="N291" s="9"/>
      <c r="O291" s="9"/>
      <c r="P291" s="9"/>
    </row>
    <row r="292" spans="1:16" x14ac:dyDescent="0.25">
      <c r="A292" s="4"/>
      <c r="B292" s="28" t="str">
        <f>IF(ISNUMBER(MATCH(D292, Mgt_Unit!$C$5:$C$1018, 0)), INDEX(Mgt_Unit!$B$5:$B$1018, MATCH(D292, Mgt_Unit!$C$5:$C$1018, 0)), "")</f>
        <v/>
      </c>
      <c r="C292" s="28"/>
      <c r="D292" s="9"/>
      <c r="E292" s="45"/>
      <c r="F292" s="9"/>
      <c r="G292" s="9"/>
      <c r="H292" s="50"/>
      <c r="I292" s="9"/>
      <c r="J292" s="9"/>
      <c r="K292" s="9"/>
      <c r="L292" s="9"/>
      <c r="M292" s="9"/>
      <c r="N292" s="9"/>
      <c r="O292" s="9"/>
      <c r="P292" s="9"/>
    </row>
    <row r="293" spans="1:16" x14ac:dyDescent="0.25">
      <c r="A293" s="4"/>
      <c r="B293" s="28" t="str">
        <f>IF(ISNUMBER(MATCH(D293, Mgt_Unit!$C$5:$C$1018, 0)), INDEX(Mgt_Unit!$B$5:$B$1018, MATCH(D293, Mgt_Unit!$C$5:$C$1018, 0)), "")</f>
        <v/>
      </c>
      <c r="C293" s="28"/>
      <c r="D293" s="9"/>
      <c r="E293" s="45"/>
      <c r="F293" s="9"/>
      <c r="G293" s="9"/>
      <c r="H293" s="50"/>
      <c r="I293" s="9"/>
      <c r="J293" s="9"/>
      <c r="K293" s="9"/>
      <c r="L293" s="9"/>
      <c r="M293" s="9"/>
      <c r="N293" s="9"/>
      <c r="O293" s="9"/>
      <c r="P293" s="9"/>
    </row>
    <row r="294" spans="1:16" x14ac:dyDescent="0.25">
      <c r="A294" s="4"/>
      <c r="B294" s="28" t="str">
        <f>IF(ISNUMBER(MATCH(D294, Mgt_Unit!$C$5:$C$1018, 0)), INDEX(Mgt_Unit!$B$5:$B$1018, MATCH(D294, Mgt_Unit!$C$5:$C$1018, 0)), "")</f>
        <v/>
      </c>
      <c r="C294" s="28"/>
      <c r="D294" s="9"/>
      <c r="E294" s="45"/>
      <c r="F294" s="9"/>
      <c r="G294" s="9"/>
      <c r="H294" s="50"/>
      <c r="I294" s="9"/>
      <c r="J294" s="9"/>
      <c r="K294" s="9"/>
      <c r="L294" s="9"/>
      <c r="M294" s="9"/>
      <c r="N294" s="9"/>
      <c r="O294" s="9"/>
      <c r="P294" s="9"/>
    </row>
    <row r="295" spans="1:16" x14ac:dyDescent="0.25">
      <c r="A295" s="4"/>
      <c r="B295" s="28" t="str">
        <f>IF(ISNUMBER(MATCH(D295, Mgt_Unit!$C$5:$C$1018, 0)), INDEX(Mgt_Unit!$B$5:$B$1018, MATCH(D295, Mgt_Unit!$C$5:$C$1018, 0)), "")</f>
        <v/>
      </c>
      <c r="C295" s="28"/>
      <c r="D295" s="9"/>
      <c r="E295" s="45"/>
      <c r="F295" s="9"/>
      <c r="G295" s="9"/>
      <c r="H295" s="50"/>
      <c r="I295" s="9"/>
      <c r="J295" s="9"/>
      <c r="K295" s="9"/>
      <c r="L295" s="9"/>
      <c r="M295" s="9"/>
      <c r="N295" s="9"/>
      <c r="O295" s="9"/>
      <c r="P295" s="9"/>
    </row>
    <row r="296" spans="1:16" x14ac:dyDescent="0.25">
      <c r="A296" s="4"/>
      <c r="B296" s="28" t="str">
        <f>IF(ISNUMBER(MATCH(D296, Mgt_Unit!$C$5:$C$1018, 0)), INDEX(Mgt_Unit!$B$5:$B$1018, MATCH(D296, Mgt_Unit!$C$5:$C$1018, 0)), "")</f>
        <v/>
      </c>
      <c r="C296" s="28"/>
      <c r="D296" s="9"/>
      <c r="E296" s="45"/>
      <c r="F296" s="9"/>
      <c r="G296" s="9"/>
      <c r="H296" s="50"/>
      <c r="I296" s="9"/>
      <c r="J296" s="9"/>
      <c r="K296" s="9"/>
      <c r="L296" s="9"/>
      <c r="M296" s="9"/>
      <c r="N296" s="9"/>
      <c r="O296" s="9"/>
      <c r="P296" s="9"/>
    </row>
    <row r="297" spans="1:16" x14ac:dyDescent="0.25">
      <c r="A297" s="4"/>
      <c r="B297" s="28" t="str">
        <f>IF(ISNUMBER(MATCH(D297, Mgt_Unit!$C$5:$C$1018, 0)), INDEX(Mgt_Unit!$B$5:$B$1018, MATCH(D297, Mgt_Unit!$C$5:$C$1018, 0)), "")</f>
        <v/>
      </c>
      <c r="C297" s="28"/>
      <c r="D297" s="9"/>
      <c r="E297" s="45"/>
      <c r="F297" s="9"/>
      <c r="G297" s="9"/>
      <c r="H297" s="50"/>
      <c r="I297" s="9"/>
      <c r="J297" s="9"/>
      <c r="K297" s="9"/>
      <c r="L297" s="9"/>
      <c r="M297" s="9"/>
      <c r="N297" s="9"/>
      <c r="O297" s="9"/>
      <c r="P297" s="9"/>
    </row>
    <row r="298" spans="1:16" x14ac:dyDescent="0.25">
      <c r="A298" s="4"/>
      <c r="B298" s="28" t="str">
        <f>IF(ISNUMBER(MATCH(D298, Mgt_Unit!$C$5:$C$1018, 0)), INDEX(Mgt_Unit!$B$5:$B$1018, MATCH(D298, Mgt_Unit!$C$5:$C$1018, 0)), "")</f>
        <v/>
      </c>
      <c r="C298" s="28"/>
      <c r="D298" s="9"/>
      <c r="E298" s="45"/>
      <c r="F298" s="9"/>
      <c r="G298" s="9"/>
      <c r="H298" s="50"/>
      <c r="I298" s="9"/>
      <c r="J298" s="9"/>
      <c r="K298" s="9"/>
      <c r="L298" s="9"/>
      <c r="M298" s="9"/>
      <c r="N298" s="9"/>
      <c r="O298" s="9"/>
      <c r="P298" s="9"/>
    </row>
    <row r="299" spans="1:16" x14ac:dyDescent="0.25">
      <c r="A299" s="4"/>
      <c r="B299" s="28" t="str">
        <f>IF(ISNUMBER(MATCH(D299, Mgt_Unit!$C$5:$C$1018, 0)), INDEX(Mgt_Unit!$B$5:$B$1018, MATCH(D299, Mgt_Unit!$C$5:$C$1018, 0)), "")</f>
        <v/>
      </c>
      <c r="C299" s="28"/>
      <c r="D299" s="9"/>
      <c r="E299" s="45"/>
      <c r="F299" s="9"/>
      <c r="G299" s="9"/>
      <c r="H299" s="50"/>
      <c r="I299" s="9"/>
      <c r="J299" s="9"/>
      <c r="K299" s="9"/>
      <c r="L299" s="9"/>
      <c r="M299" s="9"/>
      <c r="N299" s="9"/>
      <c r="O299" s="9"/>
      <c r="P299" s="9"/>
    </row>
    <row r="300" spans="1:16" x14ac:dyDescent="0.25">
      <c r="A300" s="4"/>
      <c r="B300" s="28" t="str">
        <f>IF(ISNUMBER(MATCH(D300, Mgt_Unit!$C$5:$C$1018, 0)), INDEX(Mgt_Unit!$B$5:$B$1018, MATCH(D300, Mgt_Unit!$C$5:$C$1018, 0)), "")</f>
        <v/>
      </c>
      <c r="C300" s="28"/>
      <c r="D300" s="9"/>
      <c r="E300" s="45"/>
      <c r="F300" s="9"/>
      <c r="G300" s="9"/>
      <c r="H300" s="50"/>
      <c r="I300" s="9"/>
      <c r="J300" s="9"/>
      <c r="K300" s="9"/>
      <c r="L300" s="9"/>
      <c r="M300" s="9"/>
      <c r="N300" s="9"/>
      <c r="O300" s="9"/>
      <c r="P300" s="9"/>
    </row>
    <row r="301" spans="1:16" x14ac:dyDescent="0.25">
      <c r="A301" s="4"/>
      <c r="B301" s="28" t="str">
        <f>IF(ISNUMBER(MATCH(D301, Mgt_Unit!$C$5:$C$1018, 0)), INDEX(Mgt_Unit!$B$5:$B$1018, MATCH(D301, Mgt_Unit!$C$5:$C$1018, 0)), "")</f>
        <v/>
      </c>
      <c r="C301" s="28"/>
      <c r="D301" s="9"/>
      <c r="E301" s="45"/>
      <c r="F301" s="9"/>
      <c r="G301" s="9"/>
      <c r="H301" s="50"/>
      <c r="I301" s="9"/>
      <c r="J301" s="9"/>
      <c r="K301" s="9"/>
      <c r="L301" s="9"/>
      <c r="M301" s="9"/>
      <c r="N301" s="9"/>
      <c r="O301" s="9"/>
      <c r="P301" s="9"/>
    </row>
    <row r="302" spans="1:16" x14ac:dyDescent="0.25">
      <c r="A302" s="4"/>
      <c r="B302" s="28" t="str">
        <f>IF(ISNUMBER(MATCH(D302, Mgt_Unit!$C$5:$C$1018, 0)), INDEX(Mgt_Unit!$B$5:$B$1018, MATCH(D302, Mgt_Unit!$C$5:$C$1018, 0)), "")</f>
        <v/>
      </c>
      <c r="C302" s="28"/>
      <c r="D302" s="9"/>
      <c r="E302" s="45"/>
      <c r="F302" s="9"/>
      <c r="G302" s="9"/>
      <c r="H302" s="50"/>
      <c r="I302" s="9"/>
      <c r="J302" s="9"/>
      <c r="K302" s="9"/>
      <c r="L302" s="9"/>
      <c r="M302" s="9"/>
      <c r="N302" s="9"/>
      <c r="O302" s="9"/>
      <c r="P302" s="9"/>
    </row>
    <row r="303" spans="1:16" x14ac:dyDescent="0.25">
      <c r="A303" s="4"/>
      <c r="B303" s="28" t="str">
        <f>IF(ISNUMBER(MATCH(D303, Mgt_Unit!$C$5:$C$1018, 0)), INDEX(Mgt_Unit!$B$5:$B$1018, MATCH(D303, Mgt_Unit!$C$5:$C$1018, 0)), "")</f>
        <v/>
      </c>
      <c r="C303" s="28"/>
      <c r="D303" s="9"/>
      <c r="E303" s="45"/>
      <c r="F303" s="9"/>
      <c r="G303" s="9"/>
      <c r="H303" s="50"/>
      <c r="I303" s="9"/>
      <c r="J303" s="9"/>
      <c r="K303" s="9"/>
      <c r="L303" s="9"/>
      <c r="M303" s="9"/>
      <c r="N303" s="9"/>
      <c r="O303" s="9"/>
      <c r="P303" s="9"/>
    </row>
    <row r="304" spans="1:16" x14ac:dyDescent="0.25">
      <c r="A304" s="4"/>
      <c r="B304" s="28" t="str">
        <f>IF(ISNUMBER(MATCH(D304, Mgt_Unit!$C$5:$C$1018, 0)), INDEX(Mgt_Unit!$B$5:$B$1018, MATCH(D304, Mgt_Unit!$C$5:$C$1018, 0)), "")</f>
        <v/>
      </c>
      <c r="C304" s="28"/>
      <c r="D304" s="9"/>
      <c r="E304" s="45"/>
      <c r="F304" s="9"/>
      <c r="G304" s="9"/>
      <c r="H304" s="50"/>
      <c r="I304" s="9"/>
      <c r="J304" s="9"/>
      <c r="K304" s="9"/>
      <c r="L304" s="9"/>
      <c r="M304" s="9"/>
      <c r="N304" s="9"/>
      <c r="O304" s="9"/>
      <c r="P304" s="9"/>
    </row>
    <row r="305" spans="1:16" x14ac:dyDescent="0.25">
      <c r="A305" s="4"/>
      <c r="B305" s="28" t="str">
        <f>IF(ISNUMBER(MATCH(D305, Mgt_Unit!$C$5:$C$1018, 0)), INDEX(Mgt_Unit!$B$5:$B$1018, MATCH(D305, Mgt_Unit!$C$5:$C$1018, 0)), "")</f>
        <v/>
      </c>
      <c r="C305" s="28"/>
      <c r="D305" s="9"/>
      <c r="E305" s="45"/>
      <c r="F305" s="9"/>
      <c r="G305" s="9"/>
      <c r="H305" s="50"/>
      <c r="I305" s="9"/>
      <c r="J305" s="9"/>
      <c r="K305" s="9"/>
      <c r="L305" s="9"/>
      <c r="M305" s="9"/>
      <c r="N305" s="9"/>
      <c r="O305" s="9"/>
      <c r="P305" s="9"/>
    </row>
    <row r="306" spans="1:16" x14ac:dyDescent="0.25">
      <c r="A306" s="4"/>
      <c r="B306" s="28" t="str">
        <f>IF(ISNUMBER(MATCH(D306, Mgt_Unit!$C$5:$C$1018, 0)), INDEX(Mgt_Unit!$B$5:$B$1018, MATCH(D306, Mgt_Unit!$C$5:$C$1018, 0)), "")</f>
        <v/>
      </c>
      <c r="C306" s="28"/>
      <c r="D306" s="9"/>
      <c r="E306" s="45"/>
      <c r="F306" s="9"/>
      <c r="G306" s="9"/>
      <c r="H306" s="50"/>
      <c r="I306" s="9"/>
      <c r="J306" s="9"/>
      <c r="K306" s="9"/>
      <c r="L306" s="9"/>
      <c r="M306" s="9"/>
      <c r="N306" s="9"/>
      <c r="O306" s="9"/>
      <c r="P306" s="9"/>
    </row>
    <row r="307" spans="1:16" x14ac:dyDescent="0.25">
      <c r="A307" s="4"/>
      <c r="B307" s="28" t="str">
        <f>IF(ISNUMBER(MATCH(D307, Mgt_Unit!$C$5:$C$1018, 0)), INDEX(Mgt_Unit!$B$5:$B$1018, MATCH(D307, Mgt_Unit!$C$5:$C$1018, 0)), "")</f>
        <v/>
      </c>
      <c r="C307" s="28"/>
      <c r="D307" s="9"/>
      <c r="E307" s="45"/>
      <c r="F307" s="9"/>
      <c r="G307" s="9"/>
      <c r="H307" s="50"/>
      <c r="I307" s="9"/>
      <c r="J307" s="9"/>
      <c r="K307" s="9"/>
      <c r="L307" s="9"/>
      <c r="M307" s="9"/>
      <c r="N307" s="9"/>
      <c r="O307" s="9"/>
      <c r="P307" s="9"/>
    </row>
    <row r="308" spans="1:16" x14ac:dyDescent="0.25">
      <c r="A308" s="4"/>
      <c r="B308" s="28" t="str">
        <f>IF(ISNUMBER(MATCH(D308, Mgt_Unit!$C$5:$C$1018, 0)), INDEX(Mgt_Unit!$B$5:$B$1018, MATCH(D308, Mgt_Unit!$C$5:$C$1018, 0)), "")</f>
        <v/>
      </c>
      <c r="C308" s="28"/>
      <c r="D308" s="9"/>
      <c r="E308" s="45"/>
      <c r="F308" s="9"/>
      <c r="G308" s="9"/>
      <c r="H308" s="50"/>
      <c r="I308" s="9"/>
      <c r="J308" s="9"/>
      <c r="K308" s="9"/>
      <c r="L308" s="9"/>
      <c r="M308" s="9"/>
      <c r="N308" s="9"/>
      <c r="O308" s="9"/>
      <c r="P308" s="9"/>
    </row>
    <row r="309" spans="1:16" x14ac:dyDescent="0.25">
      <c r="A309" s="4"/>
      <c r="B309" s="28" t="str">
        <f>IF(ISNUMBER(MATCH(D309, Mgt_Unit!$C$5:$C$1018, 0)), INDEX(Mgt_Unit!$B$5:$B$1018, MATCH(D309, Mgt_Unit!$C$5:$C$1018, 0)), "")</f>
        <v/>
      </c>
      <c r="C309" s="28"/>
      <c r="D309" s="9"/>
      <c r="E309" s="45"/>
      <c r="F309" s="9"/>
      <c r="G309" s="9"/>
      <c r="H309" s="50"/>
      <c r="I309" s="9"/>
      <c r="J309" s="9"/>
      <c r="K309" s="9"/>
      <c r="L309" s="9"/>
      <c r="M309" s="9"/>
      <c r="N309" s="9"/>
      <c r="O309" s="9"/>
      <c r="P309" s="9"/>
    </row>
    <row r="310" spans="1:16" x14ac:dyDescent="0.25">
      <c r="A310" s="4"/>
      <c r="B310" s="28" t="str">
        <f>IF(ISNUMBER(MATCH(D310, Mgt_Unit!$C$5:$C$1018, 0)), INDEX(Mgt_Unit!$B$5:$B$1018, MATCH(D310, Mgt_Unit!$C$5:$C$1018, 0)), "")</f>
        <v/>
      </c>
      <c r="C310" s="28"/>
      <c r="D310" s="9"/>
      <c r="E310" s="45"/>
      <c r="F310" s="9"/>
      <c r="G310" s="9"/>
      <c r="H310" s="50"/>
      <c r="I310" s="9"/>
      <c r="J310" s="9"/>
      <c r="K310" s="9"/>
      <c r="L310" s="9"/>
      <c r="M310" s="9"/>
      <c r="N310" s="9"/>
      <c r="O310" s="9"/>
      <c r="P310" s="9"/>
    </row>
    <row r="311" spans="1:16" x14ac:dyDescent="0.25">
      <c r="A311" s="4"/>
      <c r="B311" s="28" t="str">
        <f>IF(ISNUMBER(MATCH(D311, Mgt_Unit!$C$5:$C$1018, 0)), INDEX(Mgt_Unit!$B$5:$B$1018, MATCH(D311, Mgt_Unit!$C$5:$C$1018, 0)), "")</f>
        <v/>
      </c>
      <c r="C311" s="28"/>
      <c r="D311" s="9"/>
      <c r="E311" s="45"/>
      <c r="F311" s="9"/>
      <c r="G311" s="9"/>
      <c r="H311" s="50"/>
      <c r="I311" s="9"/>
      <c r="J311" s="9"/>
      <c r="K311" s="9"/>
      <c r="L311" s="9"/>
      <c r="M311" s="9"/>
      <c r="N311" s="9"/>
      <c r="O311" s="9"/>
      <c r="P311" s="9"/>
    </row>
    <row r="312" spans="1:16" x14ac:dyDescent="0.25">
      <c r="A312" s="4"/>
      <c r="B312" s="28" t="str">
        <f>IF(ISNUMBER(MATCH(D312, Mgt_Unit!$C$5:$C$1018, 0)), INDEX(Mgt_Unit!$B$5:$B$1018, MATCH(D312, Mgt_Unit!$C$5:$C$1018, 0)), "")</f>
        <v/>
      </c>
      <c r="C312" s="28"/>
      <c r="D312" s="9"/>
      <c r="E312" s="45"/>
      <c r="F312" s="9"/>
      <c r="G312" s="9"/>
      <c r="H312" s="50"/>
      <c r="I312" s="9"/>
      <c r="J312" s="9"/>
      <c r="K312" s="9"/>
      <c r="L312" s="9"/>
      <c r="M312" s="9"/>
      <c r="N312" s="9"/>
      <c r="O312" s="9"/>
      <c r="P312" s="9"/>
    </row>
    <row r="313" spans="1:16" x14ac:dyDescent="0.25">
      <c r="A313" s="4"/>
      <c r="B313" s="28" t="str">
        <f>IF(ISNUMBER(MATCH(D313, Mgt_Unit!$C$5:$C$1018, 0)), INDEX(Mgt_Unit!$B$5:$B$1018, MATCH(D313, Mgt_Unit!$C$5:$C$1018, 0)), "")</f>
        <v/>
      </c>
      <c r="C313" s="28"/>
      <c r="D313" s="9"/>
      <c r="E313" s="45"/>
      <c r="F313" s="9"/>
      <c r="G313" s="9"/>
      <c r="H313" s="50"/>
      <c r="I313" s="9"/>
      <c r="J313" s="9"/>
      <c r="K313" s="9"/>
      <c r="L313" s="9"/>
      <c r="M313" s="9"/>
      <c r="N313" s="9"/>
      <c r="O313" s="9"/>
      <c r="P313" s="9"/>
    </row>
    <row r="314" spans="1:16" x14ac:dyDescent="0.25">
      <c r="A314" s="4"/>
      <c r="B314" s="28" t="str">
        <f>IF(ISNUMBER(MATCH(D314, Mgt_Unit!$C$5:$C$1018, 0)), INDEX(Mgt_Unit!$B$5:$B$1018, MATCH(D314, Mgt_Unit!$C$5:$C$1018, 0)), "")</f>
        <v/>
      </c>
      <c r="C314" s="28"/>
      <c r="D314" s="9"/>
      <c r="E314" s="45"/>
      <c r="F314" s="9"/>
      <c r="G314" s="9"/>
      <c r="H314" s="50"/>
      <c r="I314" s="9"/>
      <c r="J314" s="9"/>
      <c r="K314" s="9"/>
      <c r="L314" s="9"/>
      <c r="M314" s="9"/>
      <c r="N314" s="9"/>
      <c r="O314" s="9"/>
      <c r="P314" s="9"/>
    </row>
    <row r="315" spans="1:16" x14ac:dyDescent="0.25">
      <c r="A315" s="4"/>
      <c r="B315" s="28" t="str">
        <f>IF(ISNUMBER(MATCH(D315, Mgt_Unit!$C$5:$C$1018, 0)), INDEX(Mgt_Unit!$B$5:$B$1018, MATCH(D315, Mgt_Unit!$C$5:$C$1018, 0)), "")</f>
        <v/>
      </c>
      <c r="C315" s="28"/>
      <c r="D315" s="9"/>
      <c r="E315" s="45"/>
      <c r="F315" s="9"/>
      <c r="G315" s="9"/>
      <c r="H315" s="50"/>
      <c r="I315" s="9"/>
      <c r="J315" s="9"/>
      <c r="K315" s="9"/>
      <c r="L315" s="9"/>
      <c r="M315" s="9"/>
      <c r="N315" s="9"/>
      <c r="O315" s="9"/>
      <c r="P315" s="9"/>
    </row>
    <row r="316" spans="1:16" x14ac:dyDescent="0.25">
      <c r="A316" s="4"/>
      <c r="B316" s="28" t="str">
        <f>IF(ISNUMBER(MATCH(D316, Mgt_Unit!$C$5:$C$1018, 0)), INDEX(Mgt_Unit!$B$5:$B$1018, MATCH(D316, Mgt_Unit!$C$5:$C$1018, 0)), "")</f>
        <v/>
      </c>
      <c r="C316" s="28"/>
      <c r="D316" s="9"/>
      <c r="E316" s="45"/>
      <c r="F316" s="9"/>
      <c r="G316" s="9"/>
      <c r="H316" s="50"/>
      <c r="I316" s="9"/>
      <c r="J316" s="9"/>
      <c r="K316" s="9"/>
      <c r="L316" s="9"/>
      <c r="M316" s="9"/>
      <c r="N316" s="9"/>
      <c r="O316" s="9"/>
      <c r="P316" s="9"/>
    </row>
    <row r="317" spans="1:16" x14ac:dyDescent="0.25">
      <c r="A317" s="4"/>
      <c r="B317" s="28" t="str">
        <f>IF(ISNUMBER(MATCH(D317, Mgt_Unit!$C$5:$C$1018, 0)), INDEX(Mgt_Unit!$B$5:$B$1018, MATCH(D317, Mgt_Unit!$C$5:$C$1018, 0)), "")</f>
        <v/>
      </c>
      <c r="C317" s="28"/>
      <c r="D317" s="9"/>
      <c r="E317" s="45"/>
      <c r="F317" s="9"/>
      <c r="G317" s="9"/>
      <c r="H317" s="50"/>
      <c r="I317" s="9"/>
      <c r="J317" s="9"/>
      <c r="K317" s="9"/>
      <c r="L317" s="9"/>
      <c r="M317" s="9"/>
      <c r="N317" s="9"/>
      <c r="O317" s="9"/>
      <c r="P317" s="9"/>
    </row>
    <row r="318" spans="1:16" x14ac:dyDescent="0.25">
      <c r="A318" s="4"/>
      <c r="B318" s="28" t="str">
        <f>IF(ISNUMBER(MATCH(D318, Mgt_Unit!$C$5:$C$1018, 0)), INDEX(Mgt_Unit!$B$5:$B$1018, MATCH(D318, Mgt_Unit!$C$5:$C$1018, 0)), "")</f>
        <v/>
      </c>
      <c r="C318" s="28"/>
      <c r="D318" s="9"/>
      <c r="E318" s="45"/>
      <c r="F318" s="9"/>
      <c r="G318" s="9"/>
      <c r="H318" s="50"/>
      <c r="I318" s="9"/>
      <c r="J318" s="9"/>
      <c r="K318" s="9"/>
      <c r="L318" s="9"/>
      <c r="M318" s="9"/>
      <c r="N318" s="9"/>
      <c r="O318" s="9"/>
      <c r="P318" s="9"/>
    </row>
    <row r="319" spans="1:16" x14ac:dyDescent="0.25">
      <c r="A319" s="4"/>
      <c r="B319" s="28" t="str">
        <f>IF(ISNUMBER(MATCH(D319, Mgt_Unit!$C$5:$C$1018, 0)), INDEX(Mgt_Unit!$B$5:$B$1018, MATCH(D319, Mgt_Unit!$C$5:$C$1018, 0)), "")</f>
        <v/>
      </c>
      <c r="C319" s="28"/>
      <c r="D319" s="9"/>
      <c r="E319" s="45"/>
      <c r="F319" s="9"/>
      <c r="G319" s="9"/>
      <c r="H319" s="50"/>
      <c r="I319" s="9"/>
      <c r="J319" s="9"/>
      <c r="K319" s="9"/>
      <c r="L319" s="9"/>
      <c r="M319" s="9"/>
      <c r="N319" s="9"/>
      <c r="O319" s="9"/>
      <c r="P319" s="9"/>
    </row>
    <row r="320" spans="1:16" x14ac:dyDescent="0.25">
      <c r="A320" s="4"/>
      <c r="B320" s="28" t="str">
        <f>IF(ISNUMBER(MATCH(D320, Mgt_Unit!$C$5:$C$1018, 0)), INDEX(Mgt_Unit!$B$5:$B$1018, MATCH(D320, Mgt_Unit!$C$5:$C$1018, 0)), "")</f>
        <v/>
      </c>
      <c r="C320" s="28"/>
      <c r="D320" s="9"/>
      <c r="E320" s="45"/>
      <c r="F320" s="9"/>
      <c r="G320" s="9"/>
      <c r="H320" s="50"/>
      <c r="I320" s="9"/>
      <c r="J320" s="9"/>
      <c r="K320" s="9"/>
      <c r="L320" s="9"/>
      <c r="M320" s="9"/>
      <c r="N320" s="9"/>
      <c r="O320" s="9"/>
      <c r="P320" s="9"/>
    </row>
    <row r="321" spans="1:16" x14ac:dyDescent="0.25">
      <c r="A321" s="4"/>
      <c r="B321" s="28" t="str">
        <f>IF(ISNUMBER(MATCH(D321, Mgt_Unit!$C$5:$C$1018, 0)), INDEX(Mgt_Unit!$B$5:$B$1018, MATCH(D321, Mgt_Unit!$C$5:$C$1018, 0)), "")</f>
        <v/>
      </c>
      <c r="C321" s="28"/>
      <c r="D321" s="9"/>
      <c r="E321" s="45"/>
      <c r="F321" s="9"/>
      <c r="G321" s="9"/>
      <c r="H321" s="50"/>
      <c r="I321" s="9"/>
      <c r="J321" s="9"/>
      <c r="K321" s="9"/>
      <c r="L321" s="9"/>
      <c r="M321" s="9"/>
      <c r="N321" s="9"/>
      <c r="O321" s="9"/>
      <c r="P321" s="9"/>
    </row>
    <row r="322" spans="1:16" x14ac:dyDescent="0.25">
      <c r="A322" s="4"/>
      <c r="B322" s="28" t="str">
        <f>IF(ISNUMBER(MATCH(D322, Mgt_Unit!$C$5:$C$1018, 0)), INDEX(Mgt_Unit!$B$5:$B$1018, MATCH(D322, Mgt_Unit!$C$5:$C$1018, 0)), "")</f>
        <v/>
      </c>
      <c r="C322" s="28"/>
      <c r="D322" s="9"/>
      <c r="E322" s="45"/>
      <c r="F322" s="9"/>
      <c r="G322" s="9"/>
      <c r="H322" s="50"/>
      <c r="I322" s="9"/>
      <c r="J322" s="9"/>
      <c r="K322" s="9"/>
      <c r="L322" s="9"/>
      <c r="M322" s="9"/>
      <c r="N322" s="9"/>
      <c r="O322" s="9"/>
      <c r="P322" s="9"/>
    </row>
    <row r="323" spans="1:16" x14ac:dyDescent="0.25">
      <c r="A323" s="4"/>
      <c r="B323" s="28" t="str">
        <f>IF(ISNUMBER(MATCH(D323, Mgt_Unit!$C$5:$C$1018, 0)), INDEX(Mgt_Unit!$B$5:$B$1018, MATCH(D323, Mgt_Unit!$C$5:$C$1018, 0)), "")</f>
        <v/>
      </c>
      <c r="C323" s="28"/>
      <c r="D323" s="9"/>
      <c r="E323" s="45"/>
      <c r="F323" s="9"/>
      <c r="G323" s="9"/>
      <c r="H323" s="50"/>
      <c r="I323" s="9"/>
      <c r="J323" s="9"/>
      <c r="K323" s="9"/>
      <c r="L323" s="9"/>
      <c r="M323" s="9"/>
      <c r="N323" s="9"/>
      <c r="O323" s="9"/>
      <c r="P323" s="9"/>
    </row>
    <row r="324" spans="1:16" x14ac:dyDescent="0.25">
      <c r="A324" s="4"/>
      <c r="B324" s="28" t="str">
        <f>IF(ISNUMBER(MATCH(D324, Mgt_Unit!$C$5:$C$1018, 0)), INDEX(Mgt_Unit!$B$5:$B$1018, MATCH(D324, Mgt_Unit!$C$5:$C$1018, 0)), "")</f>
        <v/>
      </c>
      <c r="C324" s="28"/>
      <c r="D324" s="9"/>
      <c r="E324" s="45"/>
      <c r="F324" s="9"/>
      <c r="G324" s="9"/>
      <c r="H324" s="50"/>
      <c r="I324" s="9"/>
      <c r="J324" s="9"/>
      <c r="K324" s="9"/>
      <c r="L324" s="9"/>
      <c r="M324" s="9"/>
      <c r="N324" s="9"/>
      <c r="O324" s="9"/>
      <c r="P324" s="9"/>
    </row>
    <row r="325" spans="1:16" x14ac:dyDescent="0.25">
      <c r="A325" s="4"/>
      <c r="B325" s="28" t="str">
        <f>IF(ISNUMBER(MATCH(D325, Mgt_Unit!$C$5:$C$1018, 0)), INDEX(Mgt_Unit!$B$5:$B$1018, MATCH(D325, Mgt_Unit!$C$5:$C$1018, 0)), "")</f>
        <v/>
      </c>
      <c r="C325" s="28"/>
      <c r="D325" s="9"/>
      <c r="E325" s="45"/>
      <c r="F325" s="9"/>
      <c r="G325" s="9"/>
      <c r="H325" s="50"/>
      <c r="I325" s="9"/>
      <c r="J325" s="9"/>
      <c r="K325" s="9"/>
      <c r="L325" s="9"/>
      <c r="M325" s="9"/>
      <c r="N325" s="9"/>
      <c r="O325" s="9"/>
      <c r="P325" s="9"/>
    </row>
    <row r="326" spans="1:16" x14ac:dyDescent="0.25">
      <c r="A326" s="4"/>
      <c r="B326" s="28" t="str">
        <f>IF(ISNUMBER(MATCH(D326, Mgt_Unit!$C$5:$C$1018, 0)), INDEX(Mgt_Unit!$B$5:$B$1018, MATCH(D326, Mgt_Unit!$C$5:$C$1018, 0)), "")</f>
        <v/>
      </c>
      <c r="C326" s="28"/>
      <c r="D326" s="9"/>
      <c r="E326" s="45"/>
      <c r="F326" s="9"/>
      <c r="G326" s="9"/>
      <c r="H326" s="50"/>
      <c r="I326" s="9"/>
      <c r="J326" s="9"/>
      <c r="K326" s="9"/>
      <c r="L326" s="9"/>
      <c r="M326" s="9"/>
      <c r="N326" s="9"/>
      <c r="O326" s="9"/>
      <c r="P326" s="9"/>
    </row>
    <row r="327" spans="1:16" x14ac:dyDescent="0.25">
      <c r="A327" s="4"/>
      <c r="B327" s="28" t="str">
        <f>IF(ISNUMBER(MATCH(D327, Mgt_Unit!$C$5:$C$1018, 0)), INDEX(Mgt_Unit!$B$5:$B$1018, MATCH(D327, Mgt_Unit!$C$5:$C$1018, 0)), "")</f>
        <v/>
      </c>
      <c r="C327" s="28"/>
      <c r="D327" s="9"/>
      <c r="E327" s="45"/>
      <c r="F327" s="9"/>
      <c r="G327" s="9"/>
      <c r="H327" s="50"/>
      <c r="I327" s="9"/>
      <c r="J327" s="9"/>
      <c r="K327" s="9"/>
      <c r="L327" s="9"/>
      <c r="M327" s="9"/>
      <c r="N327" s="9"/>
      <c r="O327" s="9"/>
      <c r="P327" s="9"/>
    </row>
    <row r="328" spans="1:16" x14ac:dyDescent="0.25">
      <c r="A328" s="4"/>
      <c r="B328" s="28" t="str">
        <f>IF(ISNUMBER(MATCH(D328, Mgt_Unit!$C$5:$C$1018, 0)), INDEX(Mgt_Unit!$B$5:$B$1018, MATCH(D328, Mgt_Unit!$C$5:$C$1018, 0)), "")</f>
        <v/>
      </c>
      <c r="C328" s="28"/>
      <c r="D328" s="9"/>
      <c r="E328" s="45"/>
      <c r="F328" s="9"/>
      <c r="G328" s="9"/>
      <c r="H328" s="50"/>
      <c r="I328" s="9"/>
      <c r="J328" s="9"/>
      <c r="K328" s="9"/>
      <c r="L328" s="9"/>
      <c r="M328" s="9"/>
      <c r="N328" s="9"/>
      <c r="O328" s="9"/>
      <c r="P328" s="9"/>
    </row>
    <row r="329" spans="1:16" x14ac:dyDescent="0.25">
      <c r="A329" s="4"/>
      <c r="B329" s="28" t="str">
        <f>IF(ISNUMBER(MATCH(D329, Mgt_Unit!$C$5:$C$1018, 0)), INDEX(Mgt_Unit!$B$5:$B$1018, MATCH(D329, Mgt_Unit!$C$5:$C$1018, 0)), "")</f>
        <v/>
      </c>
      <c r="C329" s="28"/>
      <c r="D329" s="9"/>
      <c r="E329" s="45"/>
      <c r="F329" s="9"/>
      <c r="G329" s="9"/>
      <c r="H329" s="50"/>
      <c r="I329" s="9"/>
      <c r="J329" s="9"/>
      <c r="K329" s="9"/>
      <c r="L329" s="9"/>
      <c r="M329" s="9"/>
      <c r="N329" s="9"/>
      <c r="O329" s="9"/>
      <c r="P329" s="9"/>
    </row>
    <row r="330" spans="1:16" x14ac:dyDescent="0.25">
      <c r="A330" s="4"/>
      <c r="B330" s="28" t="str">
        <f>IF(ISNUMBER(MATCH(D330, Mgt_Unit!$C$5:$C$1018, 0)), INDEX(Mgt_Unit!$B$5:$B$1018, MATCH(D330, Mgt_Unit!$C$5:$C$1018, 0)), "")</f>
        <v/>
      </c>
      <c r="C330" s="28"/>
      <c r="D330" s="9"/>
      <c r="E330" s="45"/>
      <c r="F330" s="9"/>
      <c r="G330" s="9"/>
      <c r="H330" s="50"/>
      <c r="I330" s="9"/>
      <c r="J330" s="9"/>
      <c r="K330" s="9"/>
      <c r="L330" s="9"/>
      <c r="M330" s="9"/>
      <c r="N330" s="9"/>
      <c r="O330" s="9"/>
      <c r="P330" s="9"/>
    </row>
    <row r="331" spans="1:16" x14ac:dyDescent="0.25">
      <c r="A331" s="4"/>
      <c r="B331" s="28" t="str">
        <f>IF(ISNUMBER(MATCH(D331, Mgt_Unit!$C$5:$C$1018, 0)), INDEX(Mgt_Unit!$B$5:$B$1018, MATCH(D331, Mgt_Unit!$C$5:$C$1018, 0)), "")</f>
        <v/>
      </c>
      <c r="C331" s="28"/>
      <c r="D331" s="9"/>
      <c r="E331" s="45"/>
      <c r="F331" s="9"/>
      <c r="G331" s="9"/>
      <c r="H331" s="50"/>
      <c r="I331" s="9"/>
      <c r="J331" s="9"/>
      <c r="K331" s="9"/>
      <c r="L331" s="9"/>
      <c r="M331" s="9"/>
      <c r="N331" s="9"/>
      <c r="O331" s="9"/>
      <c r="P331" s="9"/>
    </row>
    <row r="332" spans="1:16" x14ac:dyDescent="0.25">
      <c r="A332" s="4"/>
      <c r="B332" s="28" t="str">
        <f>IF(ISNUMBER(MATCH(D332, Mgt_Unit!$C$5:$C$1018, 0)), INDEX(Mgt_Unit!$B$5:$B$1018, MATCH(D332, Mgt_Unit!$C$5:$C$1018, 0)), "")</f>
        <v/>
      </c>
      <c r="C332" s="28"/>
      <c r="D332" s="9"/>
      <c r="E332" s="45"/>
      <c r="F332" s="9"/>
      <c r="G332" s="9"/>
      <c r="H332" s="50"/>
      <c r="I332" s="9"/>
      <c r="J332" s="9"/>
      <c r="K332" s="9"/>
      <c r="L332" s="9"/>
      <c r="M332" s="9"/>
      <c r="N332" s="9"/>
      <c r="O332" s="9"/>
      <c r="P332" s="9"/>
    </row>
    <row r="333" spans="1:16" x14ac:dyDescent="0.25">
      <c r="A333" s="4"/>
      <c r="B333" s="28" t="str">
        <f>IF(ISNUMBER(MATCH(D333, Mgt_Unit!$C$5:$C$1018, 0)), INDEX(Mgt_Unit!$B$5:$B$1018, MATCH(D333, Mgt_Unit!$C$5:$C$1018, 0)), "")</f>
        <v/>
      </c>
      <c r="C333" s="28"/>
      <c r="D333" s="9"/>
      <c r="E333" s="45"/>
      <c r="F333" s="9"/>
      <c r="G333" s="9"/>
      <c r="H333" s="50"/>
      <c r="I333" s="9"/>
      <c r="J333" s="9"/>
      <c r="K333" s="9"/>
      <c r="L333" s="9"/>
      <c r="M333" s="9"/>
      <c r="N333" s="9"/>
      <c r="O333" s="9"/>
      <c r="P333" s="9"/>
    </row>
    <row r="334" spans="1:16" x14ac:dyDescent="0.25">
      <c r="A334" s="4"/>
      <c r="B334" s="28" t="str">
        <f>IF(ISNUMBER(MATCH(D334, Mgt_Unit!$C$5:$C$1018, 0)), INDEX(Mgt_Unit!$B$5:$B$1018, MATCH(D334, Mgt_Unit!$C$5:$C$1018, 0)), "")</f>
        <v/>
      </c>
      <c r="C334" s="28"/>
      <c r="D334" s="9"/>
      <c r="E334" s="45"/>
      <c r="F334" s="9"/>
      <c r="G334" s="9"/>
      <c r="H334" s="50"/>
      <c r="I334" s="9"/>
      <c r="J334" s="9"/>
      <c r="K334" s="9"/>
      <c r="L334" s="9"/>
      <c r="M334" s="9"/>
      <c r="N334" s="9"/>
      <c r="O334" s="9"/>
      <c r="P334" s="9"/>
    </row>
    <row r="335" spans="1:16" x14ac:dyDescent="0.25">
      <c r="A335" s="4"/>
      <c r="B335" s="28" t="str">
        <f>IF(ISNUMBER(MATCH(D335, Mgt_Unit!$C$5:$C$1018, 0)), INDEX(Mgt_Unit!$B$5:$B$1018, MATCH(D335, Mgt_Unit!$C$5:$C$1018, 0)), "")</f>
        <v/>
      </c>
      <c r="C335" s="28"/>
      <c r="D335" s="9"/>
      <c r="E335" s="45"/>
      <c r="F335" s="9"/>
      <c r="G335" s="9"/>
      <c r="H335" s="50"/>
      <c r="I335" s="9"/>
      <c r="J335" s="9"/>
      <c r="K335" s="9"/>
      <c r="L335" s="9"/>
      <c r="M335" s="9"/>
      <c r="N335" s="9"/>
      <c r="O335" s="9"/>
      <c r="P335" s="9"/>
    </row>
    <row r="336" spans="1:16" x14ac:dyDescent="0.25">
      <c r="A336" s="4"/>
      <c r="B336" s="28" t="str">
        <f>IF(ISNUMBER(MATCH(D336, Mgt_Unit!$C$5:$C$1018, 0)), INDEX(Mgt_Unit!$B$5:$B$1018, MATCH(D336, Mgt_Unit!$C$5:$C$1018, 0)), "")</f>
        <v/>
      </c>
      <c r="C336" s="28"/>
      <c r="D336" s="9"/>
      <c r="E336" s="45"/>
      <c r="F336" s="9"/>
      <c r="G336" s="9"/>
      <c r="H336" s="50"/>
      <c r="I336" s="9"/>
      <c r="J336" s="9"/>
      <c r="K336" s="9"/>
      <c r="L336" s="9"/>
      <c r="M336" s="9"/>
      <c r="N336" s="9"/>
      <c r="O336" s="9"/>
      <c r="P336" s="9"/>
    </row>
    <row r="337" spans="1:16" x14ac:dyDescent="0.25">
      <c r="A337" s="4"/>
      <c r="B337" s="28" t="str">
        <f>IF(ISNUMBER(MATCH(D337, Mgt_Unit!$C$5:$C$1018, 0)), INDEX(Mgt_Unit!$B$5:$B$1018, MATCH(D337, Mgt_Unit!$C$5:$C$1018, 0)), "")</f>
        <v/>
      </c>
      <c r="C337" s="28"/>
      <c r="D337" s="9"/>
      <c r="E337" s="45"/>
      <c r="F337" s="9"/>
      <c r="G337" s="9"/>
      <c r="H337" s="50"/>
      <c r="I337" s="9"/>
      <c r="J337" s="9"/>
      <c r="K337" s="9"/>
      <c r="L337" s="9"/>
      <c r="M337" s="9"/>
      <c r="N337" s="9"/>
      <c r="O337" s="9"/>
      <c r="P337" s="9"/>
    </row>
    <row r="338" spans="1:16" x14ac:dyDescent="0.25">
      <c r="A338" s="4"/>
      <c r="B338" s="28" t="str">
        <f>IF(ISNUMBER(MATCH(D338, Mgt_Unit!$C$5:$C$1018, 0)), INDEX(Mgt_Unit!$B$5:$B$1018, MATCH(D338, Mgt_Unit!$C$5:$C$1018, 0)), "")</f>
        <v/>
      </c>
      <c r="C338" s="28"/>
      <c r="D338" s="9"/>
      <c r="E338" s="45"/>
      <c r="F338" s="9"/>
      <c r="G338" s="9"/>
      <c r="H338" s="50"/>
      <c r="I338" s="9"/>
      <c r="J338" s="9"/>
      <c r="K338" s="9"/>
      <c r="L338" s="9"/>
      <c r="M338" s="9"/>
      <c r="N338" s="9"/>
      <c r="O338" s="9"/>
      <c r="P338" s="9"/>
    </row>
    <row r="339" spans="1:16" x14ac:dyDescent="0.25">
      <c r="A339" s="4"/>
      <c r="B339" s="28" t="str">
        <f>IF(ISNUMBER(MATCH(D339, Mgt_Unit!$C$5:$C$1018, 0)), INDEX(Mgt_Unit!$B$5:$B$1018, MATCH(D339, Mgt_Unit!$C$5:$C$1018, 0)), "")</f>
        <v/>
      </c>
      <c r="C339" s="28"/>
      <c r="D339" s="9"/>
      <c r="E339" s="45"/>
      <c r="F339" s="9"/>
      <c r="G339" s="9"/>
      <c r="H339" s="50"/>
      <c r="I339" s="9"/>
      <c r="J339" s="9"/>
      <c r="K339" s="9"/>
      <c r="L339" s="9"/>
      <c r="M339" s="9"/>
      <c r="N339" s="9"/>
      <c r="O339" s="9"/>
      <c r="P339" s="9"/>
    </row>
    <row r="340" spans="1:16" x14ac:dyDescent="0.25">
      <c r="A340" s="4"/>
      <c r="B340" s="28" t="str">
        <f>IF(ISNUMBER(MATCH(D340, Mgt_Unit!$C$5:$C$1018, 0)), INDEX(Mgt_Unit!$B$5:$B$1018, MATCH(D340, Mgt_Unit!$C$5:$C$1018, 0)), "")</f>
        <v/>
      </c>
      <c r="C340" s="28"/>
      <c r="D340" s="9"/>
      <c r="E340" s="45"/>
      <c r="F340" s="9"/>
      <c r="G340" s="9"/>
      <c r="H340" s="50"/>
      <c r="I340" s="9"/>
      <c r="J340" s="9"/>
      <c r="K340" s="9"/>
      <c r="L340" s="9"/>
      <c r="M340" s="9"/>
      <c r="N340" s="9"/>
      <c r="O340" s="9"/>
      <c r="P340" s="9"/>
    </row>
    <row r="341" spans="1:16" x14ac:dyDescent="0.25">
      <c r="A341" s="4"/>
      <c r="B341" s="28" t="str">
        <f>IF(ISNUMBER(MATCH(D341, Mgt_Unit!$C$5:$C$1018, 0)), INDEX(Mgt_Unit!$B$5:$B$1018, MATCH(D341, Mgt_Unit!$C$5:$C$1018, 0)), "")</f>
        <v/>
      </c>
      <c r="C341" s="28"/>
      <c r="D341" s="9"/>
      <c r="E341" s="45"/>
      <c r="F341" s="9"/>
      <c r="G341" s="9"/>
      <c r="H341" s="50"/>
      <c r="I341" s="9"/>
      <c r="J341" s="9"/>
      <c r="K341" s="9"/>
      <c r="L341" s="9"/>
      <c r="M341" s="9"/>
      <c r="N341" s="9"/>
      <c r="O341" s="9"/>
      <c r="P341" s="9"/>
    </row>
    <row r="342" spans="1:16" x14ac:dyDescent="0.25">
      <c r="A342" s="4"/>
      <c r="B342" s="28" t="str">
        <f>IF(ISNUMBER(MATCH(D342, Mgt_Unit!$C$5:$C$1018, 0)), INDEX(Mgt_Unit!$B$5:$B$1018, MATCH(D342, Mgt_Unit!$C$5:$C$1018, 0)), "")</f>
        <v/>
      </c>
      <c r="C342" s="28"/>
      <c r="D342" s="9"/>
      <c r="E342" s="45"/>
      <c r="F342" s="9"/>
      <c r="G342" s="9"/>
      <c r="H342" s="50"/>
      <c r="I342" s="9"/>
      <c r="J342" s="9"/>
      <c r="K342" s="9"/>
      <c r="L342" s="9"/>
      <c r="M342" s="9"/>
      <c r="N342" s="9"/>
      <c r="O342" s="9"/>
      <c r="P342" s="9"/>
    </row>
    <row r="343" spans="1:16" x14ac:dyDescent="0.25">
      <c r="A343" s="4"/>
      <c r="B343" s="28" t="str">
        <f>IF(ISNUMBER(MATCH(D343, Mgt_Unit!$C$5:$C$1018, 0)), INDEX(Mgt_Unit!$B$5:$B$1018, MATCH(D343, Mgt_Unit!$C$5:$C$1018, 0)), "")</f>
        <v/>
      </c>
      <c r="C343" s="28"/>
      <c r="D343" s="9"/>
      <c r="E343" s="45"/>
      <c r="F343" s="9"/>
      <c r="G343" s="9"/>
      <c r="H343" s="50"/>
      <c r="I343" s="9"/>
      <c r="J343" s="9"/>
      <c r="K343" s="9"/>
      <c r="L343" s="9"/>
      <c r="M343" s="9"/>
      <c r="N343" s="9"/>
      <c r="O343" s="9"/>
      <c r="P343" s="9"/>
    </row>
    <row r="344" spans="1:16" x14ac:dyDescent="0.25">
      <c r="A344" s="4"/>
      <c r="B344" s="28" t="str">
        <f>IF(ISNUMBER(MATCH(D344, Mgt_Unit!$C$5:$C$1018, 0)), INDEX(Mgt_Unit!$B$5:$B$1018, MATCH(D344, Mgt_Unit!$C$5:$C$1018, 0)), "")</f>
        <v/>
      </c>
      <c r="C344" s="28"/>
      <c r="D344" s="9"/>
      <c r="E344" s="45"/>
      <c r="F344" s="9"/>
      <c r="G344" s="9"/>
      <c r="H344" s="50"/>
      <c r="I344" s="9"/>
      <c r="J344" s="9"/>
      <c r="K344" s="9"/>
      <c r="L344" s="9"/>
      <c r="M344" s="9"/>
      <c r="N344" s="9"/>
      <c r="O344" s="9"/>
      <c r="P344" s="9"/>
    </row>
    <row r="345" spans="1:16" x14ac:dyDescent="0.25">
      <c r="A345" s="4"/>
      <c r="B345" s="28" t="str">
        <f>IF(ISNUMBER(MATCH(D345, Mgt_Unit!$C$5:$C$1018, 0)), INDEX(Mgt_Unit!$B$5:$B$1018, MATCH(D345, Mgt_Unit!$C$5:$C$1018, 0)), "")</f>
        <v/>
      </c>
      <c r="C345" s="28"/>
      <c r="D345" s="9"/>
      <c r="E345" s="45"/>
      <c r="F345" s="9"/>
      <c r="G345" s="9"/>
      <c r="H345" s="50"/>
      <c r="I345" s="9"/>
      <c r="J345" s="9"/>
      <c r="K345" s="9"/>
      <c r="L345" s="9"/>
      <c r="M345" s="9"/>
      <c r="N345" s="9"/>
      <c r="O345" s="9"/>
      <c r="P345" s="9"/>
    </row>
    <row r="346" spans="1:16" x14ac:dyDescent="0.25">
      <c r="A346" s="4"/>
      <c r="B346" s="28" t="str">
        <f>IF(ISNUMBER(MATCH(D346, Mgt_Unit!$C$5:$C$1018, 0)), INDEX(Mgt_Unit!$B$5:$B$1018, MATCH(D346, Mgt_Unit!$C$5:$C$1018, 0)), "")</f>
        <v/>
      </c>
      <c r="C346" s="28"/>
      <c r="D346" s="9"/>
      <c r="E346" s="45"/>
      <c r="F346" s="9"/>
      <c r="G346" s="9"/>
      <c r="H346" s="50"/>
      <c r="I346" s="9"/>
      <c r="J346" s="9"/>
      <c r="K346" s="9"/>
      <c r="L346" s="9"/>
      <c r="M346" s="9"/>
      <c r="N346" s="9"/>
      <c r="O346" s="9"/>
      <c r="P346" s="9"/>
    </row>
    <row r="347" spans="1:16" x14ac:dyDescent="0.25">
      <c r="A347" s="4"/>
      <c r="B347" s="28" t="str">
        <f>IF(ISNUMBER(MATCH(D347, Mgt_Unit!$C$5:$C$1018, 0)), INDEX(Mgt_Unit!$B$5:$B$1018, MATCH(D347, Mgt_Unit!$C$5:$C$1018, 0)), "")</f>
        <v/>
      </c>
      <c r="C347" s="28"/>
      <c r="D347" s="9"/>
      <c r="E347" s="45"/>
      <c r="F347" s="9"/>
      <c r="G347" s="9"/>
      <c r="H347" s="50"/>
      <c r="I347" s="9"/>
      <c r="J347" s="9"/>
      <c r="K347" s="9"/>
      <c r="L347" s="9"/>
      <c r="M347" s="9"/>
      <c r="N347" s="9"/>
      <c r="O347" s="9"/>
      <c r="P347" s="9"/>
    </row>
    <row r="348" spans="1:16" x14ac:dyDescent="0.25">
      <c r="A348" s="4"/>
      <c r="B348" s="28" t="str">
        <f>IF(ISNUMBER(MATCH(D348, Mgt_Unit!$C$5:$C$1018, 0)), INDEX(Mgt_Unit!$B$5:$B$1018, MATCH(D348, Mgt_Unit!$C$5:$C$1018, 0)), "")</f>
        <v/>
      </c>
      <c r="C348" s="28"/>
      <c r="D348" s="9"/>
      <c r="E348" s="45"/>
      <c r="F348" s="9"/>
      <c r="G348" s="9"/>
      <c r="H348" s="50"/>
      <c r="I348" s="9"/>
      <c r="J348" s="9"/>
      <c r="K348" s="9"/>
      <c r="L348" s="9"/>
      <c r="M348" s="9"/>
      <c r="N348" s="9"/>
      <c r="O348" s="9"/>
      <c r="P348" s="9"/>
    </row>
    <row r="349" spans="1:16" x14ac:dyDescent="0.25">
      <c r="A349" s="4"/>
      <c r="B349" s="28" t="str">
        <f>IF(ISNUMBER(MATCH(D349, Mgt_Unit!$C$5:$C$1018, 0)), INDEX(Mgt_Unit!$B$5:$B$1018, MATCH(D349, Mgt_Unit!$C$5:$C$1018, 0)), "")</f>
        <v/>
      </c>
      <c r="C349" s="28"/>
      <c r="D349" s="9"/>
      <c r="E349" s="45"/>
      <c r="F349" s="9"/>
      <c r="G349" s="9"/>
      <c r="H349" s="50"/>
      <c r="I349" s="9"/>
      <c r="J349" s="9"/>
      <c r="K349" s="9"/>
      <c r="L349" s="9"/>
      <c r="M349" s="9"/>
      <c r="N349" s="9"/>
      <c r="O349" s="9"/>
      <c r="P349" s="9"/>
    </row>
    <row r="350" spans="1:16" x14ac:dyDescent="0.25">
      <c r="A350" s="4"/>
      <c r="B350" s="28" t="str">
        <f>IF(ISNUMBER(MATCH(D350, Mgt_Unit!$C$5:$C$1018, 0)), INDEX(Mgt_Unit!$B$5:$B$1018, MATCH(D350, Mgt_Unit!$C$5:$C$1018, 0)), "")</f>
        <v/>
      </c>
      <c r="C350" s="28"/>
      <c r="D350" s="9"/>
      <c r="E350" s="45"/>
      <c r="F350" s="9"/>
      <c r="G350" s="9"/>
      <c r="H350" s="50"/>
      <c r="I350" s="9"/>
      <c r="J350" s="9"/>
      <c r="K350" s="9"/>
      <c r="L350" s="9"/>
      <c r="M350" s="9"/>
      <c r="N350" s="9"/>
      <c r="O350" s="9"/>
      <c r="P350" s="9"/>
    </row>
    <row r="351" spans="1:16" x14ac:dyDescent="0.25">
      <c r="A351" s="4"/>
      <c r="B351" s="28" t="str">
        <f>IF(ISNUMBER(MATCH(D351, Mgt_Unit!$C$5:$C$1018, 0)), INDEX(Mgt_Unit!$B$5:$B$1018, MATCH(D351, Mgt_Unit!$C$5:$C$1018, 0)), "")</f>
        <v/>
      </c>
      <c r="C351" s="28"/>
      <c r="D351" s="9"/>
      <c r="E351" s="45"/>
      <c r="F351" s="9"/>
      <c r="G351" s="9"/>
      <c r="H351" s="50"/>
      <c r="I351" s="9"/>
      <c r="J351" s="9"/>
      <c r="K351" s="9"/>
      <c r="L351" s="9"/>
      <c r="M351" s="9"/>
      <c r="N351" s="9"/>
      <c r="O351" s="9"/>
      <c r="P351" s="9"/>
    </row>
    <row r="352" spans="1:16" x14ac:dyDescent="0.25">
      <c r="A352" s="4"/>
      <c r="B352" s="28" t="str">
        <f>IF(ISNUMBER(MATCH(D352, Mgt_Unit!$C$5:$C$1018, 0)), INDEX(Mgt_Unit!$B$5:$B$1018, MATCH(D352, Mgt_Unit!$C$5:$C$1018, 0)), "")</f>
        <v/>
      </c>
      <c r="C352" s="28"/>
      <c r="D352" s="9"/>
      <c r="E352" s="45"/>
      <c r="F352" s="9"/>
      <c r="G352" s="9"/>
      <c r="H352" s="50"/>
      <c r="I352" s="9"/>
      <c r="J352" s="9"/>
      <c r="K352" s="9"/>
      <c r="L352" s="9"/>
      <c r="M352" s="9"/>
      <c r="N352" s="9"/>
      <c r="O352" s="9"/>
      <c r="P352" s="9"/>
    </row>
    <row r="353" spans="1:16" x14ac:dyDescent="0.25">
      <c r="A353" s="4"/>
      <c r="B353" s="28" t="str">
        <f>IF(ISNUMBER(MATCH(D353, Mgt_Unit!$C$5:$C$1018, 0)), INDEX(Mgt_Unit!$B$5:$B$1018, MATCH(D353, Mgt_Unit!$C$5:$C$1018, 0)), "")</f>
        <v/>
      </c>
      <c r="C353" s="28"/>
      <c r="D353" s="9"/>
      <c r="E353" s="45"/>
      <c r="F353" s="9"/>
      <c r="G353" s="9"/>
      <c r="H353" s="50"/>
      <c r="I353" s="9"/>
      <c r="J353" s="9"/>
      <c r="K353" s="9"/>
      <c r="L353" s="9"/>
      <c r="M353" s="9"/>
      <c r="N353" s="9"/>
      <c r="O353" s="9"/>
      <c r="P353" s="9"/>
    </row>
    <row r="354" spans="1:16" x14ac:dyDescent="0.25">
      <c r="A354" s="4"/>
      <c r="B354" s="28" t="str">
        <f>IF(ISNUMBER(MATCH(D354, Mgt_Unit!$C$5:$C$1018, 0)), INDEX(Mgt_Unit!$B$5:$B$1018, MATCH(D354, Mgt_Unit!$C$5:$C$1018, 0)), "")</f>
        <v/>
      </c>
      <c r="C354" s="28"/>
      <c r="D354" s="9"/>
      <c r="E354" s="45"/>
      <c r="F354" s="9"/>
      <c r="G354" s="9"/>
      <c r="H354" s="50"/>
      <c r="I354" s="9"/>
      <c r="J354" s="9"/>
      <c r="K354" s="9"/>
      <c r="L354" s="9"/>
      <c r="M354" s="9"/>
      <c r="N354" s="9"/>
      <c r="O354" s="9"/>
      <c r="P354" s="9"/>
    </row>
    <row r="355" spans="1:16" x14ac:dyDescent="0.25">
      <c r="A355" s="4"/>
      <c r="B355" s="28" t="str">
        <f>IF(ISNUMBER(MATCH(D355, Mgt_Unit!$C$5:$C$1018, 0)), INDEX(Mgt_Unit!$B$5:$B$1018, MATCH(D355, Mgt_Unit!$C$5:$C$1018, 0)), "")</f>
        <v/>
      </c>
      <c r="C355" s="28"/>
      <c r="D355" s="9"/>
      <c r="E355" s="45"/>
      <c r="F355" s="9"/>
      <c r="G355" s="9"/>
      <c r="H355" s="50"/>
      <c r="I355" s="9"/>
      <c r="J355" s="9"/>
      <c r="K355" s="9"/>
      <c r="L355" s="9"/>
      <c r="M355" s="9"/>
      <c r="N355" s="9"/>
      <c r="O355" s="9"/>
      <c r="P355" s="9"/>
    </row>
    <row r="356" spans="1:16" x14ac:dyDescent="0.25">
      <c r="A356" s="4"/>
      <c r="B356" s="28" t="str">
        <f>IF(ISNUMBER(MATCH(D356, Mgt_Unit!$C$5:$C$1018, 0)), INDEX(Mgt_Unit!$B$5:$B$1018, MATCH(D356, Mgt_Unit!$C$5:$C$1018, 0)), "")</f>
        <v/>
      </c>
      <c r="C356" s="28"/>
      <c r="D356" s="9"/>
      <c r="E356" s="45"/>
      <c r="F356" s="9"/>
      <c r="G356" s="9"/>
      <c r="H356" s="50"/>
      <c r="I356" s="9"/>
      <c r="J356" s="9"/>
      <c r="K356" s="9"/>
      <c r="L356" s="9"/>
      <c r="M356" s="9"/>
      <c r="N356" s="9"/>
      <c r="O356" s="9"/>
      <c r="P356" s="9"/>
    </row>
    <row r="357" spans="1:16" x14ac:dyDescent="0.25">
      <c r="A357" s="4"/>
      <c r="B357" s="28" t="str">
        <f>IF(ISNUMBER(MATCH(D357, Mgt_Unit!$C$5:$C$1018, 0)), INDEX(Mgt_Unit!$B$5:$B$1018, MATCH(D357, Mgt_Unit!$C$5:$C$1018, 0)), "")</f>
        <v/>
      </c>
      <c r="C357" s="28"/>
      <c r="D357" s="9"/>
      <c r="E357" s="45"/>
      <c r="F357" s="9"/>
      <c r="G357" s="9"/>
      <c r="H357" s="50"/>
      <c r="I357" s="9"/>
      <c r="J357" s="9"/>
      <c r="K357" s="9"/>
      <c r="L357" s="9"/>
      <c r="M357" s="9"/>
      <c r="N357" s="9"/>
      <c r="O357" s="9"/>
      <c r="P357" s="9"/>
    </row>
    <row r="358" spans="1:16" x14ac:dyDescent="0.25">
      <c r="A358" s="4"/>
      <c r="B358" s="28" t="str">
        <f>IF(ISNUMBER(MATCH(D358, Mgt_Unit!$C$5:$C$1018, 0)), INDEX(Mgt_Unit!$B$5:$B$1018, MATCH(D358, Mgt_Unit!$C$5:$C$1018, 0)), "")</f>
        <v/>
      </c>
      <c r="C358" s="28"/>
      <c r="D358" s="9"/>
      <c r="E358" s="45"/>
      <c r="F358" s="9"/>
      <c r="G358" s="9"/>
      <c r="H358" s="50"/>
      <c r="I358" s="9"/>
      <c r="J358" s="9"/>
      <c r="K358" s="9"/>
      <c r="L358" s="9"/>
      <c r="M358" s="9"/>
      <c r="N358" s="9"/>
      <c r="O358" s="9"/>
      <c r="P358" s="9"/>
    </row>
    <row r="359" spans="1:16" x14ac:dyDescent="0.25">
      <c r="A359" s="4"/>
      <c r="B359" s="28" t="str">
        <f>IF(ISNUMBER(MATCH(D359, Mgt_Unit!$C$5:$C$1018, 0)), INDEX(Mgt_Unit!$B$5:$B$1018, MATCH(D359, Mgt_Unit!$C$5:$C$1018, 0)), "")</f>
        <v/>
      </c>
      <c r="C359" s="28"/>
      <c r="D359" s="9"/>
      <c r="E359" s="45"/>
      <c r="F359" s="9"/>
      <c r="G359" s="9"/>
      <c r="H359" s="50"/>
      <c r="I359" s="9"/>
      <c r="J359" s="9"/>
      <c r="K359" s="9"/>
      <c r="L359" s="9"/>
      <c r="M359" s="9"/>
      <c r="N359" s="9"/>
      <c r="O359" s="9"/>
      <c r="P359" s="9"/>
    </row>
    <row r="360" spans="1:16" x14ac:dyDescent="0.25">
      <c r="A360" s="4"/>
      <c r="B360" s="28" t="str">
        <f>IF(ISNUMBER(MATCH(D360, Mgt_Unit!$C$5:$C$1018, 0)), INDEX(Mgt_Unit!$B$5:$B$1018, MATCH(D360, Mgt_Unit!$C$5:$C$1018, 0)), "")</f>
        <v/>
      </c>
      <c r="C360" s="28"/>
      <c r="D360" s="9"/>
      <c r="E360" s="45"/>
      <c r="F360" s="9"/>
      <c r="G360" s="9"/>
      <c r="H360" s="50"/>
      <c r="I360" s="9"/>
      <c r="J360" s="9"/>
      <c r="K360" s="9"/>
      <c r="L360" s="9"/>
      <c r="M360" s="9"/>
      <c r="N360" s="9"/>
      <c r="O360" s="9"/>
      <c r="P360" s="9"/>
    </row>
    <row r="361" spans="1:16" x14ac:dyDescent="0.25">
      <c r="A361" s="4"/>
      <c r="B361" s="28" t="str">
        <f>IF(ISNUMBER(MATCH(D361, Mgt_Unit!$C$5:$C$1018, 0)), INDEX(Mgt_Unit!$B$5:$B$1018, MATCH(D361, Mgt_Unit!$C$5:$C$1018, 0)), "")</f>
        <v/>
      </c>
      <c r="C361" s="28"/>
      <c r="D361" s="9"/>
      <c r="E361" s="45"/>
      <c r="F361" s="9"/>
      <c r="G361" s="9"/>
      <c r="H361" s="50"/>
      <c r="I361" s="9"/>
      <c r="J361" s="9"/>
      <c r="K361" s="9"/>
      <c r="L361" s="9"/>
      <c r="M361" s="9"/>
      <c r="N361" s="9"/>
      <c r="O361" s="9"/>
      <c r="P361" s="9"/>
    </row>
    <row r="362" spans="1:16" x14ac:dyDescent="0.25">
      <c r="A362" s="4"/>
      <c r="B362" s="28" t="str">
        <f>IF(ISNUMBER(MATCH(D362, Mgt_Unit!$C$5:$C$1018, 0)), INDEX(Mgt_Unit!$B$5:$B$1018, MATCH(D362, Mgt_Unit!$C$5:$C$1018, 0)), "")</f>
        <v/>
      </c>
      <c r="C362" s="28"/>
      <c r="D362" s="9"/>
      <c r="E362" s="45"/>
      <c r="F362" s="9"/>
      <c r="G362" s="9"/>
      <c r="H362" s="50"/>
      <c r="I362" s="9"/>
      <c r="J362" s="9"/>
      <c r="K362" s="9"/>
      <c r="L362" s="9"/>
      <c r="M362" s="9"/>
      <c r="N362" s="9"/>
      <c r="O362" s="9"/>
      <c r="P362" s="9"/>
    </row>
    <row r="363" spans="1:16" x14ac:dyDescent="0.25">
      <c r="A363" s="4"/>
      <c r="B363" s="28" t="str">
        <f>IF(ISNUMBER(MATCH(D363, Mgt_Unit!$C$5:$C$1018, 0)), INDEX(Mgt_Unit!$B$5:$B$1018, MATCH(D363, Mgt_Unit!$C$5:$C$1018, 0)), "")</f>
        <v/>
      </c>
      <c r="C363" s="28"/>
      <c r="D363" s="9"/>
      <c r="E363" s="45"/>
      <c r="F363" s="9"/>
      <c r="G363" s="9"/>
      <c r="H363" s="50"/>
      <c r="I363" s="9"/>
      <c r="J363" s="9"/>
      <c r="K363" s="9"/>
      <c r="L363" s="9"/>
      <c r="M363" s="9"/>
      <c r="N363" s="9"/>
      <c r="O363" s="9"/>
      <c r="P363" s="9"/>
    </row>
    <row r="364" spans="1:16" x14ac:dyDescent="0.25">
      <c r="A364" s="4"/>
      <c r="B364" s="28" t="str">
        <f>IF(ISNUMBER(MATCH(D364, Mgt_Unit!$C$5:$C$1018, 0)), INDEX(Mgt_Unit!$B$5:$B$1018, MATCH(D364, Mgt_Unit!$C$5:$C$1018, 0)), "")</f>
        <v/>
      </c>
      <c r="C364" s="28"/>
      <c r="D364" s="9"/>
      <c r="E364" s="45"/>
      <c r="F364" s="9"/>
      <c r="G364" s="9"/>
      <c r="H364" s="50"/>
      <c r="I364" s="9"/>
      <c r="J364" s="9"/>
      <c r="K364" s="9"/>
      <c r="L364" s="9"/>
      <c r="M364" s="9"/>
      <c r="N364" s="9"/>
      <c r="O364" s="9"/>
      <c r="P364" s="9"/>
    </row>
    <row r="365" spans="1:16" x14ac:dyDescent="0.25">
      <c r="A365" s="4"/>
      <c r="B365" s="28" t="str">
        <f>IF(ISNUMBER(MATCH(D365, Mgt_Unit!$C$5:$C$1018, 0)), INDEX(Mgt_Unit!$B$5:$B$1018, MATCH(D365, Mgt_Unit!$C$5:$C$1018, 0)), "")</f>
        <v/>
      </c>
      <c r="C365" s="28"/>
      <c r="D365" s="9"/>
      <c r="E365" s="45"/>
      <c r="F365" s="9"/>
      <c r="G365" s="9"/>
      <c r="H365" s="50"/>
      <c r="I365" s="9"/>
      <c r="J365" s="9"/>
      <c r="K365" s="9"/>
      <c r="L365" s="9"/>
      <c r="M365" s="9"/>
      <c r="N365" s="9"/>
      <c r="O365" s="9"/>
      <c r="P365" s="9"/>
    </row>
    <row r="366" spans="1:16" x14ac:dyDescent="0.25">
      <c r="A366" s="4"/>
      <c r="B366" s="28" t="str">
        <f>IF(ISNUMBER(MATCH(D366, Mgt_Unit!$C$5:$C$1018, 0)), INDEX(Mgt_Unit!$B$5:$B$1018, MATCH(D366, Mgt_Unit!$C$5:$C$1018, 0)), "")</f>
        <v/>
      </c>
      <c r="C366" s="28"/>
      <c r="D366" s="9"/>
      <c r="E366" s="45"/>
      <c r="F366" s="9"/>
      <c r="G366" s="9"/>
      <c r="H366" s="50"/>
      <c r="I366" s="9"/>
      <c r="J366" s="9"/>
      <c r="K366" s="9"/>
      <c r="L366" s="9"/>
      <c r="M366" s="9"/>
      <c r="N366" s="9"/>
      <c r="O366" s="9"/>
      <c r="P366" s="9"/>
    </row>
    <row r="367" spans="1:16" x14ac:dyDescent="0.25">
      <c r="A367" s="4"/>
      <c r="B367" s="28" t="str">
        <f>IF(ISNUMBER(MATCH(D367, Mgt_Unit!$C$5:$C$1018, 0)), INDEX(Mgt_Unit!$B$5:$B$1018, MATCH(D367, Mgt_Unit!$C$5:$C$1018, 0)), "")</f>
        <v/>
      </c>
      <c r="C367" s="28"/>
      <c r="D367" s="9"/>
      <c r="E367" s="45"/>
      <c r="F367" s="9"/>
      <c r="G367" s="9"/>
      <c r="H367" s="50"/>
      <c r="I367" s="9"/>
      <c r="J367" s="9"/>
      <c r="K367" s="9"/>
      <c r="L367" s="9"/>
      <c r="M367" s="9"/>
      <c r="N367" s="9"/>
      <c r="O367" s="9"/>
      <c r="P367" s="9"/>
    </row>
    <row r="368" spans="1:16" x14ac:dyDescent="0.25">
      <c r="A368" s="4"/>
      <c r="B368" s="28" t="str">
        <f>IF(ISNUMBER(MATCH(D368, Mgt_Unit!$C$5:$C$1018, 0)), INDEX(Mgt_Unit!$B$5:$B$1018, MATCH(D368, Mgt_Unit!$C$5:$C$1018, 0)), "")</f>
        <v/>
      </c>
      <c r="C368" s="28"/>
      <c r="D368" s="9"/>
      <c r="E368" s="45"/>
      <c r="F368" s="9"/>
      <c r="G368" s="9"/>
      <c r="H368" s="50"/>
      <c r="I368" s="9"/>
      <c r="J368" s="9"/>
      <c r="K368" s="9"/>
      <c r="L368" s="9"/>
      <c r="M368" s="9"/>
      <c r="N368" s="9"/>
      <c r="O368" s="9"/>
      <c r="P368" s="9"/>
    </row>
    <row r="369" spans="1:16" x14ac:dyDescent="0.25">
      <c r="A369" s="4"/>
      <c r="B369" s="28" t="str">
        <f>IF(ISNUMBER(MATCH(D369, Mgt_Unit!$C$5:$C$1018, 0)), INDEX(Mgt_Unit!$B$5:$B$1018, MATCH(D369, Mgt_Unit!$C$5:$C$1018, 0)), "")</f>
        <v/>
      </c>
      <c r="C369" s="28"/>
      <c r="D369" s="9"/>
      <c r="E369" s="45"/>
      <c r="F369" s="9"/>
      <c r="G369" s="9"/>
      <c r="H369" s="50"/>
      <c r="I369" s="9"/>
      <c r="J369" s="9"/>
      <c r="K369" s="9"/>
      <c r="L369" s="9"/>
      <c r="M369" s="9"/>
      <c r="N369" s="9"/>
      <c r="O369" s="9"/>
      <c r="P369" s="9"/>
    </row>
    <row r="370" spans="1:16" x14ac:dyDescent="0.25">
      <c r="A370" s="4"/>
      <c r="B370" s="28" t="str">
        <f>IF(ISNUMBER(MATCH(D370, Mgt_Unit!$C$5:$C$1018, 0)), INDEX(Mgt_Unit!$B$5:$B$1018, MATCH(D370, Mgt_Unit!$C$5:$C$1018, 0)), "")</f>
        <v/>
      </c>
      <c r="C370" s="28"/>
      <c r="D370" s="9"/>
      <c r="E370" s="45"/>
      <c r="F370" s="9"/>
      <c r="G370" s="9"/>
      <c r="H370" s="50"/>
      <c r="I370" s="9"/>
      <c r="J370" s="9"/>
      <c r="K370" s="9"/>
      <c r="L370" s="9"/>
      <c r="M370" s="9"/>
      <c r="N370" s="9"/>
      <c r="O370" s="9"/>
      <c r="P370" s="9"/>
    </row>
    <row r="371" spans="1:16" x14ac:dyDescent="0.25">
      <c r="A371" s="4"/>
      <c r="B371" s="28" t="str">
        <f>IF(ISNUMBER(MATCH(D371, Mgt_Unit!$C$5:$C$1018, 0)), INDEX(Mgt_Unit!$B$5:$B$1018, MATCH(D371, Mgt_Unit!$C$5:$C$1018, 0)), "")</f>
        <v/>
      </c>
      <c r="C371" s="28"/>
      <c r="D371" s="9"/>
      <c r="E371" s="45"/>
      <c r="F371" s="9"/>
      <c r="G371" s="9"/>
      <c r="H371" s="50"/>
      <c r="I371" s="9"/>
      <c r="J371" s="9"/>
      <c r="K371" s="9"/>
      <c r="L371" s="9"/>
      <c r="M371" s="9"/>
      <c r="N371" s="9"/>
      <c r="O371" s="9"/>
      <c r="P371" s="9"/>
    </row>
    <row r="372" spans="1:16" x14ac:dyDescent="0.25">
      <c r="A372" s="4"/>
      <c r="B372" s="28" t="str">
        <f>IF(ISNUMBER(MATCH(D372, Mgt_Unit!$C$5:$C$1018, 0)), INDEX(Mgt_Unit!$B$5:$B$1018, MATCH(D372, Mgt_Unit!$C$5:$C$1018, 0)), "")</f>
        <v/>
      </c>
      <c r="C372" s="28"/>
      <c r="D372" s="9"/>
      <c r="E372" s="45"/>
      <c r="F372" s="9"/>
      <c r="G372" s="9"/>
      <c r="H372" s="50"/>
      <c r="I372" s="9"/>
      <c r="J372" s="9"/>
      <c r="K372" s="9"/>
      <c r="L372" s="9"/>
      <c r="M372" s="9"/>
      <c r="N372" s="9"/>
      <c r="O372" s="9"/>
      <c r="P372" s="9"/>
    </row>
    <row r="373" spans="1:16" x14ac:dyDescent="0.25">
      <c r="A373" s="4"/>
      <c r="B373" s="28" t="str">
        <f>IF(ISNUMBER(MATCH(D373, Mgt_Unit!$C$5:$C$1018, 0)), INDEX(Mgt_Unit!$B$5:$B$1018, MATCH(D373, Mgt_Unit!$C$5:$C$1018, 0)), "")</f>
        <v/>
      </c>
      <c r="C373" s="28"/>
      <c r="D373" s="9"/>
      <c r="E373" s="45"/>
      <c r="F373" s="9"/>
      <c r="G373" s="9"/>
      <c r="H373" s="50"/>
      <c r="I373" s="9"/>
      <c r="J373" s="9"/>
      <c r="K373" s="9"/>
      <c r="L373" s="9"/>
      <c r="M373" s="9"/>
      <c r="N373" s="9"/>
      <c r="O373" s="9"/>
      <c r="P373" s="9"/>
    </row>
    <row r="374" spans="1:16" x14ac:dyDescent="0.25">
      <c r="A374" s="4"/>
      <c r="B374" s="28" t="str">
        <f>IF(ISNUMBER(MATCH(D374, Mgt_Unit!$C$5:$C$1018, 0)), INDEX(Mgt_Unit!$B$5:$B$1018, MATCH(D374, Mgt_Unit!$C$5:$C$1018, 0)), "")</f>
        <v/>
      </c>
      <c r="C374" s="28"/>
      <c r="D374" s="9"/>
      <c r="E374" s="45"/>
      <c r="F374" s="9"/>
      <c r="G374" s="9"/>
      <c r="H374" s="50"/>
      <c r="I374" s="9"/>
      <c r="J374" s="9"/>
      <c r="K374" s="9"/>
      <c r="L374" s="9"/>
      <c r="M374" s="9"/>
      <c r="N374" s="9"/>
      <c r="O374" s="9"/>
      <c r="P374" s="9"/>
    </row>
    <row r="375" spans="1:16" x14ac:dyDescent="0.25">
      <c r="A375" s="4"/>
      <c r="B375" s="28" t="str">
        <f>IF(ISNUMBER(MATCH(D375, Mgt_Unit!$C$5:$C$1018, 0)), INDEX(Mgt_Unit!$B$5:$B$1018, MATCH(D375, Mgt_Unit!$C$5:$C$1018, 0)), "")</f>
        <v/>
      </c>
      <c r="C375" s="28"/>
      <c r="D375" s="9"/>
      <c r="E375" s="45"/>
      <c r="F375" s="9"/>
      <c r="G375" s="9"/>
      <c r="H375" s="50"/>
      <c r="I375" s="9"/>
      <c r="J375" s="9"/>
      <c r="K375" s="9"/>
      <c r="L375" s="9"/>
      <c r="M375" s="9"/>
      <c r="N375" s="9"/>
      <c r="O375" s="9"/>
      <c r="P375" s="9"/>
    </row>
    <row r="376" spans="1:16" x14ac:dyDescent="0.25">
      <c r="A376" s="4"/>
      <c r="B376" s="28" t="str">
        <f>IF(ISNUMBER(MATCH(D376, Mgt_Unit!$C$5:$C$1018, 0)), INDEX(Mgt_Unit!$B$5:$B$1018, MATCH(D376, Mgt_Unit!$C$5:$C$1018, 0)), "")</f>
        <v/>
      </c>
      <c r="C376" s="28"/>
      <c r="D376" s="9"/>
      <c r="E376" s="45"/>
      <c r="F376" s="9"/>
      <c r="G376" s="9"/>
      <c r="H376" s="50"/>
      <c r="I376" s="9"/>
      <c r="J376" s="9"/>
      <c r="K376" s="9"/>
      <c r="L376" s="9"/>
      <c r="M376" s="9"/>
      <c r="N376" s="9"/>
      <c r="O376" s="9"/>
      <c r="P376" s="9"/>
    </row>
    <row r="377" spans="1:16" x14ac:dyDescent="0.25">
      <c r="A377" s="4"/>
      <c r="B377" s="28" t="str">
        <f>IF(ISNUMBER(MATCH(D377, Mgt_Unit!$C$5:$C$1018, 0)), INDEX(Mgt_Unit!$B$5:$B$1018, MATCH(D377, Mgt_Unit!$C$5:$C$1018, 0)), "")</f>
        <v/>
      </c>
      <c r="C377" s="28"/>
      <c r="D377" s="9"/>
      <c r="E377" s="45"/>
      <c r="F377" s="9"/>
      <c r="G377" s="9"/>
      <c r="H377" s="50"/>
      <c r="I377" s="9"/>
      <c r="J377" s="9"/>
      <c r="K377" s="9"/>
      <c r="L377" s="9"/>
      <c r="M377" s="9"/>
      <c r="N377" s="9"/>
      <c r="O377" s="9"/>
      <c r="P377" s="9"/>
    </row>
    <row r="378" spans="1:16" x14ac:dyDescent="0.25">
      <c r="A378" s="4"/>
      <c r="B378" s="28" t="str">
        <f>IF(ISNUMBER(MATCH(D378, Mgt_Unit!$C$5:$C$1018, 0)), INDEX(Mgt_Unit!$B$5:$B$1018, MATCH(D378, Mgt_Unit!$C$5:$C$1018, 0)), "")</f>
        <v/>
      </c>
      <c r="C378" s="28"/>
      <c r="D378" s="9"/>
      <c r="E378" s="45"/>
      <c r="F378" s="9"/>
      <c r="G378" s="9"/>
      <c r="H378" s="50"/>
      <c r="I378" s="9"/>
      <c r="J378" s="9"/>
      <c r="K378" s="9"/>
      <c r="L378" s="9"/>
      <c r="M378" s="9"/>
      <c r="N378" s="9"/>
      <c r="O378" s="9"/>
      <c r="P378" s="9"/>
    </row>
    <row r="379" spans="1:16" x14ac:dyDescent="0.25">
      <c r="A379" s="4"/>
      <c r="B379" s="28" t="str">
        <f>IF(ISNUMBER(MATCH(D379, Mgt_Unit!$C$5:$C$1018, 0)), INDEX(Mgt_Unit!$B$5:$B$1018, MATCH(D379, Mgt_Unit!$C$5:$C$1018, 0)), "")</f>
        <v/>
      </c>
      <c r="C379" s="28"/>
      <c r="D379" s="9"/>
      <c r="E379" s="45"/>
      <c r="F379" s="9"/>
      <c r="G379" s="9"/>
      <c r="H379" s="50"/>
      <c r="I379" s="9"/>
      <c r="J379" s="9"/>
      <c r="K379" s="9"/>
      <c r="L379" s="9"/>
      <c r="M379" s="9"/>
      <c r="N379" s="9"/>
      <c r="O379" s="9"/>
      <c r="P379" s="9"/>
    </row>
    <row r="380" spans="1:16" x14ac:dyDescent="0.25">
      <c r="A380" s="4"/>
      <c r="B380" s="28" t="str">
        <f>IF(ISNUMBER(MATCH(D380, Mgt_Unit!$C$5:$C$1018, 0)), INDEX(Mgt_Unit!$B$5:$B$1018, MATCH(D380, Mgt_Unit!$C$5:$C$1018, 0)), "")</f>
        <v/>
      </c>
      <c r="C380" s="28"/>
      <c r="D380" s="9"/>
      <c r="E380" s="45"/>
      <c r="F380" s="9"/>
      <c r="G380" s="9"/>
      <c r="H380" s="50"/>
      <c r="I380" s="9"/>
      <c r="J380" s="9"/>
      <c r="K380" s="9"/>
      <c r="L380" s="9"/>
      <c r="M380" s="9"/>
      <c r="N380" s="9"/>
      <c r="O380" s="9"/>
      <c r="P380" s="9"/>
    </row>
    <row r="381" spans="1:16" x14ac:dyDescent="0.25">
      <c r="A381" s="4"/>
      <c r="B381" s="28" t="str">
        <f>IF(ISNUMBER(MATCH(D381, Mgt_Unit!$C$5:$C$1018, 0)), INDEX(Mgt_Unit!$B$5:$B$1018, MATCH(D381, Mgt_Unit!$C$5:$C$1018, 0)), "")</f>
        <v/>
      </c>
      <c r="C381" s="28"/>
      <c r="D381" s="9"/>
      <c r="E381" s="45"/>
      <c r="F381" s="9"/>
      <c r="G381" s="9"/>
      <c r="H381" s="50"/>
      <c r="I381" s="9"/>
      <c r="J381" s="9"/>
      <c r="K381" s="9"/>
      <c r="L381" s="9"/>
      <c r="M381" s="9"/>
      <c r="N381" s="9"/>
      <c r="O381" s="9"/>
      <c r="P381" s="9"/>
    </row>
    <row r="382" spans="1:16" x14ac:dyDescent="0.25">
      <c r="A382" s="4"/>
      <c r="B382" s="28" t="str">
        <f>IF(ISNUMBER(MATCH(D382, Mgt_Unit!$C$5:$C$1018, 0)), INDEX(Mgt_Unit!$B$5:$B$1018, MATCH(D382, Mgt_Unit!$C$5:$C$1018, 0)), "")</f>
        <v/>
      </c>
      <c r="C382" s="28"/>
      <c r="D382" s="9"/>
      <c r="E382" s="45"/>
      <c r="F382" s="9"/>
      <c r="G382" s="9"/>
      <c r="H382" s="50"/>
      <c r="I382" s="9"/>
      <c r="J382" s="9"/>
      <c r="K382" s="9"/>
      <c r="L382" s="9"/>
      <c r="M382" s="9"/>
      <c r="N382" s="9"/>
      <c r="O382" s="9"/>
      <c r="P382" s="9"/>
    </row>
    <row r="383" spans="1:16" x14ac:dyDescent="0.25">
      <c r="A383" s="4"/>
      <c r="B383" s="28" t="str">
        <f>IF(ISNUMBER(MATCH(D383, Mgt_Unit!$C$5:$C$1018, 0)), INDEX(Mgt_Unit!$B$5:$B$1018, MATCH(D383, Mgt_Unit!$C$5:$C$1018, 0)), "")</f>
        <v/>
      </c>
      <c r="C383" s="28"/>
      <c r="D383" s="9"/>
      <c r="E383" s="45"/>
      <c r="F383" s="9"/>
      <c r="G383" s="9"/>
      <c r="H383" s="50"/>
      <c r="I383" s="9"/>
      <c r="J383" s="9"/>
      <c r="K383" s="9"/>
      <c r="L383" s="9"/>
      <c r="M383" s="9"/>
      <c r="N383" s="9"/>
      <c r="O383" s="9"/>
      <c r="P383" s="9"/>
    </row>
    <row r="384" spans="1:16" x14ac:dyDescent="0.25">
      <c r="A384" s="4"/>
      <c r="B384" s="28" t="str">
        <f>IF(ISNUMBER(MATCH(D384, Mgt_Unit!$C$5:$C$1018, 0)), INDEX(Mgt_Unit!$B$5:$B$1018, MATCH(D384, Mgt_Unit!$C$5:$C$1018, 0)), "")</f>
        <v/>
      </c>
      <c r="C384" s="28"/>
      <c r="D384" s="9"/>
      <c r="E384" s="45"/>
      <c r="F384" s="9"/>
      <c r="G384" s="9"/>
      <c r="H384" s="50"/>
      <c r="I384" s="9"/>
      <c r="J384" s="9"/>
      <c r="K384" s="9"/>
      <c r="L384" s="9"/>
      <c r="M384" s="9"/>
      <c r="N384" s="9"/>
      <c r="O384" s="9"/>
      <c r="P384" s="9"/>
    </row>
    <row r="385" spans="1:16" x14ac:dyDescent="0.25">
      <c r="A385" s="4"/>
      <c r="B385" s="28" t="str">
        <f>IF(ISNUMBER(MATCH(D385, Mgt_Unit!$C$5:$C$1018, 0)), INDEX(Mgt_Unit!$B$5:$B$1018, MATCH(D385, Mgt_Unit!$C$5:$C$1018, 0)), "")</f>
        <v/>
      </c>
      <c r="C385" s="28"/>
      <c r="D385" s="9"/>
      <c r="E385" s="45"/>
      <c r="F385" s="9"/>
      <c r="G385" s="9"/>
      <c r="H385" s="50"/>
      <c r="I385" s="9"/>
      <c r="J385" s="9"/>
      <c r="K385" s="9"/>
      <c r="L385" s="9"/>
      <c r="M385" s="9"/>
      <c r="N385" s="9"/>
      <c r="O385" s="9"/>
      <c r="P385" s="9"/>
    </row>
    <row r="386" spans="1:16" x14ac:dyDescent="0.25">
      <c r="A386" s="4"/>
      <c r="B386" s="28" t="str">
        <f>IF(ISNUMBER(MATCH(D386, Mgt_Unit!$C$5:$C$1018, 0)), INDEX(Mgt_Unit!$B$5:$B$1018, MATCH(D386, Mgt_Unit!$C$5:$C$1018, 0)), "")</f>
        <v/>
      </c>
      <c r="C386" s="28"/>
      <c r="D386" s="9"/>
      <c r="E386" s="45"/>
      <c r="F386" s="9"/>
      <c r="G386" s="9"/>
      <c r="H386" s="50"/>
      <c r="I386" s="9"/>
      <c r="J386" s="9"/>
      <c r="K386" s="9"/>
      <c r="L386" s="9"/>
      <c r="M386" s="9"/>
      <c r="N386" s="9"/>
      <c r="O386" s="9"/>
      <c r="P386" s="9"/>
    </row>
    <row r="387" spans="1:16" x14ac:dyDescent="0.25">
      <c r="A387" s="4"/>
      <c r="B387" s="28" t="str">
        <f>IF(ISNUMBER(MATCH(D387, Mgt_Unit!$C$5:$C$1018, 0)), INDEX(Mgt_Unit!$B$5:$B$1018, MATCH(D387, Mgt_Unit!$C$5:$C$1018, 0)), "")</f>
        <v/>
      </c>
      <c r="C387" s="28"/>
      <c r="D387" s="9"/>
      <c r="E387" s="45"/>
      <c r="F387" s="9"/>
      <c r="G387" s="9"/>
      <c r="H387" s="50"/>
      <c r="I387" s="9"/>
      <c r="J387" s="9"/>
      <c r="K387" s="9"/>
      <c r="L387" s="9"/>
      <c r="M387" s="9"/>
      <c r="N387" s="9"/>
      <c r="O387" s="9"/>
      <c r="P387" s="9"/>
    </row>
    <row r="388" spans="1:16" x14ac:dyDescent="0.25">
      <c r="A388" s="4"/>
      <c r="B388" s="28" t="str">
        <f>IF(ISNUMBER(MATCH(D388, Mgt_Unit!$C$5:$C$1018, 0)), INDEX(Mgt_Unit!$B$5:$B$1018, MATCH(D388, Mgt_Unit!$C$5:$C$1018, 0)), "")</f>
        <v/>
      </c>
      <c r="C388" s="28"/>
      <c r="D388" s="9"/>
      <c r="E388" s="45"/>
      <c r="F388" s="9"/>
      <c r="G388" s="9"/>
      <c r="H388" s="50"/>
      <c r="I388" s="9"/>
      <c r="J388" s="9"/>
      <c r="K388" s="9"/>
      <c r="L388" s="9"/>
      <c r="M388" s="9"/>
      <c r="N388" s="9"/>
      <c r="O388" s="9"/>
      <c r="P388" s="9"/>
    </row>
    <row r="389" spans="1:16" x14ac:dyDescent="0.25">
      <c r="A389" s="4"/>
      <c r="B389" s="28" t="str">
        <f>IF(ISNUMBER(MATCH(D389, Mgt_Unit!$C$5:$C$1018, 0)), INDEX(Mgt_Unit!$B$5:$B$1018, MATCH(D389, Mgt_Unit!$C$5:$C$1018, 0)), "")</f>
        <v/>
      </c>
      <c r="C389" s="28"/>
      <c r="D389" s="9"/>
      <c r="E389" s="45"/>
      <c r="F389" s="9"/>
      <c r="G389" s="9"/>
      <c r="H389" s="50"/>
      <c r="I389" s="9"/>
      <c r="J389" s="9"/>
      <c r="K389" s="9"/>
      <c r="L389" s="9"/>
      <c r="M389" s="9"/>
      <c r="N389" s="9"/>
      <c r="O389" s="9"/>
      <c r="P389" s="9"/>
    </row>
    <row r="390" spans="1:16" x14ac:dyDescent="0.25">
      <c r="A390" s="4"/>
      <c r="B390" s="28" t="str">
        <f>IF(ISNUMBER(MATCH(D390, Mgt_Unit!$C$5:$C$1018, 0)), INDEX(Mgt_Unit!$B$5:$B$1018, MATCH(D390, Mgt_Unit!$C$5:$C$1018, 0)), "")</f>
        <v/>
      </c>
      <c r="C390" s="28"/>
      <c r="D390" s="9"/>
      <c r="E390" s="45"/>
      <c r="F390" s="9"/>
      <c r="G390" s="9"/>
      <c r="H390" s="50"/>
      <c r="I390" s="9"/>
      <c r="J390" s="9"/>
      <c r="K390" s="9"/>
      <c r="L390" s="9"/>
      <c r="M390" s="9"/>
      <c r="N390" s="9"/>
      <c r="O390" s="9"/>
      <c r="P390" s="9"/>
    </row>
    <row r="391" spans="1:16" x14ac:dyDescent="0.25">
      <c r="A391" s="4"/>
      <c r="B391" s="28" t="str">
        <f>IF(ISNUMBER(MATCH(D391, Mgt_Unit!$C$5:$C$1018, 0)), INDEX(Mgt_Unit!$B$5:$B$1018, MATCH(D391, Mgt_Unit!$C$5:$C$1018, 0)), "")</f>
        <v/>
      </c>
      <c r="C391" s="28"/>
      <c r="D391" s="9"/>
      <c r="E391" s="45"/>
      <c r="F391" s="9"/>
      <c r="G391" s="9"/>
      <c r="H391" s="50"/>
      <c r="I391" s="9"/>
      <c r="J391" s="9"/>
      <c r="K391" s="9"/>
      <c r="L391" s="9"/>
      <c r="M391" s="9"/>
      <c r="N391" s="9"/>
      <c r="O391" s="9"/>
      <c r="P391" s="9"/>
    </row>
    <row r="392" spans="1:16" x14ac:dyDescent="0.25">
      <c r="A392" s="4"/>
      <c r="B392" s="28" t="str">
        <f>IF(ISNUMBER(MATCH(D392, Mgt_Unit!$C$5:$C$1018, 0)), INDEX(Mgt_Unit!$B$5:$B$1018, MATCH(D392, Mgt_Unit!$C$5:$C$1018, 0)), "")</f>
        <v/>
      </c>
      <c r="C392" s="28"/>
      <c r="D392" s="9"/>
      <c r="E392" s="45"/>
      <c r="F392" s="9"/>
      <c r="G392" s="9"/>
      <c r="H392" s="50"/>
      <c r="I392" s="9"/>
      <c r="J392" s="9"/>
      <c r="K392" s="9"/>
      <c r="L392" s="9"/>
      <c r="M392" s="9"/>
      <c r="N392" s="9"/>
      <c r="O392" s="9"/>
      <c r="P392" s="9"/>
    </row>
    <row r="393" spans="1:16" x14ac:dyDescent="0.25">
      <c r="A393" s="4"/>
      <c r="B393" s="28" t="str">
        <f>IF(ISNUMBER(MATCH(D393, Mgt_Unit!$C$5:$C$1018, 0)), INDEX(Mgt_Unit!$B$5:$B$1018, MATCH(D393, Mgt_Unit!$C$5:$C$1018, 0)), "")</f>
        <v/>
      </c>
      <c r="C393" s="28"/>
      <c r="D393" s="9"/>
      <c r="E393" s="45"/>
      <c r="F393" s="9"/>
      <c r="G393" s="9"/>
      <c r="H393" s="50"/>
      <c r="I393" s="9"/>
      <c r="J393" s="9"/>
      <c r="K393" s="9"/>
      <c r="L393" s="9"/>
      <c r="M393" s="9"/>
      <c r="N393" s="9"/>
      <c r="O393" s="9"/>
      <c r="P393" s="9"/>
    </row>
    <row r="394" spans="1:16" x14ac:dyDescent="0.25">
      <c r="A394" s="4"/>
      <c r="B394" s="28" t="str">
        <f>IF(ISNUMBER(MATCH(D394, Mgt_Unit!$C$5:$C$1018, 0)), INDEX(Mgt_Unit!$B$5:$B$1018, MATCH(D394, Mgt_Unit!$C$5:$C$1018, 0)), "")</f>
        <v/>
      </c>
      <c r="C394" s="28"/>
      <c r="D394" s="9"/>
      <c r="E394" s="45"/>
      <c r="F394" s="9"/>
      <c r="G394" s="9"/>
      <c r="H394" s="50"/>
      <c r="I394" s="9"/>
      <c r="J394" s="9"/>
      <c r="K394" s="9"/>
      <c r="L394" s="9"/>
      <c r="M394" s="9"/>
      <c r="N394" s="9"/>
      <c r="O394" s="9"/>
      <c r="P394" s="9"/>
    </row>
    <row r="395" spans="1:16" x14ac:dyDescent="0.25">
      <c r="A395" s="4"/>
      <c r="B395" s="28" t="str">
        <f>IF(ISNUMBER(MATCH(D395, Mgt_Unit!$C$5:$C$1018, 0)), INDEX(Mgt_Unit!$B$5:$B$1018, MATCH(D395, Mgt_Unit!$C$5:$C$1018, 0)), "")</f>
        <v/>
      </c>
      <c r="C395" s="28"/>
      <c r="D395" s="9"/>
      <c r="E395" s="45"/>
      <c r="F395" s="9"/>
      <c r="G395" s="9"/>
      <c r="H395" s="50"/>
      <c r="I395" s="9"/>
      <c r="J395" s="9"/>
      <c r="K395" s="9"/>
      <c r="L395" s="9"/>
      <c r="M395" s="9"/>
      <c r="N395" s="9"/>
      <c r="O395" s="9"/>
      <c r="P395" s="9"/>
    </row>
    <row r="396" spans="1:16" x14ac:dyDescent="0.25">
      <c r="A396" s="4"/>
      <c r="B396" s="28" t="str">
        <f>IF(ISNUMBER(MATCH(D396, Mgt_Unit!$C$5:$C$1018, 0)), INDEX(Mgt_Unit!$B$5:$B$1018, MATCH(D396, Mgt_Unit!$C$5:$C$1018, 0)), "")</f>
        <v/>
      </c>
      <c r="C396" s="28"/>
      <c r="D396" s="9"/>
      <c r="E396" s="45"/>
      <c r="F396" s="9"/>
      <c r="G396" s="9"/>
      <c r="H396" s="50"/>
      <c r="I396" s="9"/>
      <c r="J396" s="9"/>
      <c r="K396" s="9"/>
      <c r="L396" s="9"/>
      <c r="M396" s="9"/>
      <c r="N396" s="9"/>
      <c r="O396" s="9"/>
      <c r="P396" s="9"/>
    </row>
    <row r="397" spans="1:16" x14ac:dyDescent="0.25">
      <c r="A397" s="4"/>
      <c r="B397" s="28" t="str">
        <f>IF(ISNUMBER(MATCH(D397, Mgt_Unit!$C$5:$C$1018, 0)), INDEX(Mgt_Unit!$B$5:$B$1018, MATCH(D397, Mgt_Unit!$C$5:$C$1018, 0)), "")</f>
        <v/>
      </c>
      <c r="C397" s="28"/>
      <c r="D397" s="9"/>
      <c r="E397" s="45"/>
      <c r="F397" s="9"/>
      <c r="G397" s="9"/>
      <c r="H397" s="50"/>
      <c r="I397" s="9"/>
      <c r="J397" s="9"/>
      <c r="K397" s="9"/>
      <c r="L397" s="9"/>
      <c r="M397" s="9"/>
      <c r="N397" s="9"/>
      <c r="O397" s="9"/>
      <c r="P397" s="9"/>
    </row>
    <row r="398" spans="1:16" x14ac:dyDescent="0.25">
      <c r="A398" s="4"/>
      <c r="B398" s="28" t="str">
        <f>IF(ISNUMBER(MATCH(D398, Mgt_Unit!$C$5:$C$1018, 0)), INDEX(Mgt_Unit!$B$5:$B$1018, MATCH(D398, Mgt_Unit!$C$5:$C$1018, 0)), "")</f>
        <v/>
      </c>
      <c r="C398" s="28"/>
      <c r="D398" s="9"/>
      <c r="E398" s="45"/>
      <c r="F398" s="9"/>
      <c r="G398" s="9"/>
      <c r="H398" s="50"/>
      <c r="I398" s="9"/>
      <c r="J398" s="9"/>
      <c r="K398" s="9"/>
      <c r="L398" s="9"/>
      <c r="M398" s="9"/>
      <c r="N398" s="9"/>
      <c r="O398" s="9"/>
      <c r="P398" s="9"/>
    </row>
    <row r="399" spans="1:16" x14ac:dyDescent="0.25">
      <c r="A399" s="4"/>
      <c r="B399" s="28" t="str">
        <f>IF(ISNUMBER(MATCH(D399, Mgt_Unit!$C$5:$C$1018, 0)), INDEX(Mgt_Unit!$B$5:$B$1018, MATCH(D399, Mgt_Unit!$C$5:$C$1018, 0)), "")</f>
        <v/>
      </c>
      <c r="C399" s="28"/>
      <c r="D399" s="9"/>
      <c r="E399" s="45"/>
      <c r="F399" s="9"/>
      <c r="G399" s="9"/>
      <c r="H399" s="50"/>
      <c r="I399" s="9"/>
      <c r="J399" s="9"/>
      <c r="K399" s="9"/>
      <c r="L399" s="9"/>
      <c r="M399" s="9"/>
      <c r="N399" s="9"/>
      <c r="O399" s="9"/>
      <c r="P399" s="9"/>
    </row>
    <row r="400" spans="1:16" x14ac:dyDescent="0.25">
      <c r="A400" s="4"/>
      <c r="B400" s="28" t="str">
        <f>IF(ISNUMBER(MATCH(D400, Mgt_Unit!$C$5:$C$1018, 0)), INDEX(Mgt_Unit!$B$5:$B$1018, MATCH(D400, Mgt_Unit!$C$5:$C$1018, 0)), "")</f>
        <v/>
      </c>
      <c r="C400" s="28"/>
      <c r="D400" s="9"/>
      <c r="E400" s="45"/>
      <c r="F400" s="9"/>
      <c r="G400" s="9"/>
      <c r="H400" s="50"/>
      <c r="I400" s="9"/>
      <c r="J400" s="9"/>
      <c r="K400" s="9"/>
      <c r="L400" s="9"/>
      <c r="M400" s="9"/>
      <c r="N400" s="9"/>
      <c r="O400" s="9"/>
      <c r="P400" s="9"/>
    </row>
    <row r="401" spans="1:16" x14ac:dyDescent="0.25">
      <c r="A401" s="4"/>
      <c r="B401" s="28" t="str">
        <f>IF(ISNUMBER(MATCH(D401, Mgt_Unit!$C$5:$C$1018, 0)), INDEX(Mgt_Unit!$B$5:$B$1018, MATCH(D401, Mgt_Unit!$C$5:$C$1018, 0)), "")</f>
        <v/>
      </c>
      <c r="C401" s="28"/>
      <c r="D401" s="9"/>
      <c r="E401" s="45"/>
      <c r="F401" s="9"/>
      <c r="G401" s="9"/>
      <c r="H401" s="50"/>
      <c r="I401" s="9"/>
      <c r="J401" s="9"/>
      <c r="K401" s="9"/>
      <c r="L401" s="9"/>
      <c r="M401" s="9"/>
      <c r="N401" s="9"/>
      <c r="O401" s="9"/>
      <c r="P401" s="9"/>
    </row>
    <row r="402" spans="1:16" x14ac:dyDescent="0.25">
      <c r="A402" s="4"/>
      <c r="B402" s="28" t="str">
        <f>IF(ISNUMBER(MATCH(D402, Mgt_Unit!$C$5:$C$1018, 0)), INDEX(Mgt_Unit!$B$5:$B$1018, MATCH(D402, Mgt_Unit!$C$5:$C$1018, 0)), "")</f>
        <v/>
      </c>
      <c r="C402" s="28"/>
      <c r="D402" s="9"/>
      <c r="E402" s="45"/>
      <c r="F402" s="9"/>
      <c r="G402" s="9"/>
      <c r="H402" s="50"/>
      <c r="I402" s="9"/>
      <c r="J402" s="9"/>
      <c r="K402" s="9"/>
      <c r="L402" s="9"/>
      <c r="M402" s="9"/>
      <c r="N402" s="9"/>
      <c r="O402" s="9"/>
      <c r="P402" s="9"/>
    </row>
    <row r="403" spans="1:16" x14ac:dyDescent="0.25">
      <c r="A403" s="4"/>
      <c r="B403" s="28" t="str">
        <f>IF(ISNUMBER(MATCH(D403, Mgt_Unit!$C$5:$C$1018, 0)), INDEX(Mgt_Unit!$B$5:$B$1018, MATCH(D403, Mgt_Unit!$C$5:$C$1018, 0)), "")</f>
        <v/>
      </c>
      <c r="C403" s="28"/>
      <c r="D403" s="9"/>
      <c r="E403" s="45"/>
      <c r="F403" s="9"/>
      <c r="G403" s="9"/>
      <c r="H403" s="50"/>
      <c r="I403" s="9"/>
      <c r="J403" s="9"/>
      <c r="K403" s="9"/>
      <c r="L403" s="9"/>
      <c r="M403" s="9"/>
      <c r="N403" s="9"/>
      <c r="O403" s="9"/>
      <c r="P403" s="9"/>
    </row>
    <row r="404" spans="1:16" x14ac:dyDescent="0.25">
      <c r="A404" s="4"/>
      <c r="B404" s="28" t="str">
        <f>IF(ISNUMBER(MATCH(D404, Mgt_Unit!$C$5:$C$1018, 0)), INDEX(Mgt_Unit!$B$5:$B$1018, MATCH(D404, Mgt_Unit!$C$5:$C$1018, 0)), "")</f>
        <v/>
      </c>
      <c r="C404" s="28"/>
      <c r="D404" s="9"/>
      <c r="E404" s="45"/>
      <c r="F404" s="9"/>
      <c r="G404" s="9"/>
      <c r="H404" s="50"/>
      <c r="I404" s="9"/>
      <c r="J404" s="9"/>
      <c r="K404" s="9"/>
      <c r="L404" s="9"/>
      <c r="M404" s="9"/>
      <c r="N404" s="9"/>
      <c r="O404" s="9"/>
      <c r="P404" s="9"/>
    </row>
    <row r="405" spans="1:16" x14ac:dyDescent="0.25">
      <c r="A405" s="4"/>
      <c r="B405" s="28" t="str">
        <f>IF(ISNUMBER(MATCH(D405, Mgt_Unit!$C$5:$C$1018, 0)), INDEX(Mgt_Unit!$B$5:$B$1018, MATCH(D405, Mgt_Unit!$C$5:$C$1018, 0)), "")</f>
        <v/>
      </c>
      <c r="C405" s="28"/>
      <c r="D405" s="9"/>
      <c r="E405" s="45"/>
      <c r="F405" s="9"/>
      <c r="G405" s="9"/>
      <c r="H405" s="50"/>
      <c r="I405" s="9"/>
      <c r="J405" s="9"/>
      <c r="K405" s="9"/>
      <c r="L405" s="9"/>
      <c r="M405" s="9"/>
      <c r="N405" s="9"/>
      <c r="O405" s="9"/>
      <c r="P405" s="9"/>
    </row>
    <row r="406" spans="1:16" x14ac:dyDescent="0.25">
      <c r="A406" s="4"/>
      <c r="B406" s="28" t="str">
        <f>IF(ISNUMBER(MATCH(D406, Mgt_Unit!$C$5:$C$1018, 0)), INDEX(Mgt_Unit!$B$5:$B$1018, MATCH(D406, Mgt_Unit!$C$5:$C$1018, 0)), "")</f>
        <v/>
      </c>
      <c r="C406" s="28"/>
      <c r="D406" s="9"/>
      <c r="E406" s="45"/>
      <c r="F406" s="9"/>
      <c r="G406" s="9"/>
      <c r="H406" s="50"/>
      <c r="I406" s="9"/>
      <c r="J406" s="9"/>
      <c r="K406" s="9"/>
      <c r="L406" s="9"/>
      <c r="M406" s="9"/>
      <c r="N406" s="9"/>
      <c r="O406" s="9"/>
      <c r="P406" s="9"/>
    </row>
    <row r="407" spans="1:16" x14ac:dyDescent="0.25">
      <c r="A407" s="4"/>
      <c r="B407" s="28" t="str">
        <f>IF(ISNUMBER(MATCH(D407, Mgt_Unit!$C$5:$C$1018, 0)), INDEX(Mgt_Unit!$B$5:$B$1018, MATCH(D407, Mgt_Unit!$C$5:$C$1018, 0)), "")</f>
        <v/>
      </c>
      <c r="C407" s="28"/>
      <c r="D407" s="9"/>
      <c r="E407" s="45"/>
      <c r="F407" s="9"/>
      <c r="G407" s="9"/>
      <c r="H407" s="50"/>
      <c r="I407" s="9"/>
      <c r="J407" s="9"/>
      <c r="K407" s="9"/>
      <c r="L407" s="9"/>
      <c r="M407" s="9"/>
      <c r="N407" s="9"/>
      <c r="O407" s="9"/>
      <c r="P407" s="9"/>
    </row>
    <row r="408" spans="1:16" x14ac:dyDescent="0.25">
      <c r="A408" s="4"/>
      <c r="B408" s="28" t="str">
        <f>IF(ISNUMBER(MATCH(D408, Mgt_Unit!$C$5:$C$1018, 0)), INDEX(Mgt_Unit!$B$5:$B$1018, MATCH(D408, Mgt_Unit!$C$5:$C$1018, 0)), "")</f>
        <v/>
      </c>
      <c r="C408" s="28"/>
      <c r="D408" s="9"/>
      <c r="E408" s="45"/>
      <c r="F408" s="9"/>
      <c r="G408" s="9"/>
      <c r="H408" s="50"/>
      <c r="I408" s="9"/>
      <c r="J408" s="9"/>
      <c r="K408" s="9"/>
      <c r="L408" s="9"/>
      <c r="M408" s="9"/>
      <c r="N408" s="9"/>
      <c r="O408" s="9"/>
      <c r="P408" s="9"/>
    </row>
    <row r="409" spans="1:16" x14ac:dyDescent="0.25">
      <c r="A409" s="4"/>
      <c r="B409" s="28" t="str">
        <f>IF(ISNUMBER(MATCH(D409, Mgt_Unit!$C$5:$C$1018, 0)), INDEX(Mgt_Unit!$B$5:$B$1018, MATCH(D409, Mgt_Unit!$C$5:$C$1018, 0)), "")</f>
        <v/>
      </c>
      <c r="C409" s="28"/>
      <c r="D409" s="9"/>
      <c r="E409" s="45"/>
      <c r="F409" s="9"/>
      <c r="G409" s="9"/>
      <c r="H409" s="50"/>
      <c r="I409" s="9"/>
      <c r="J409" s="9"/>
      <c r="K409" s="9"/>
      <c r="L409" s="9"/>
      <c r="M409" s="9"/>
      <c r="N409" s="9"/>
      <c r="O409" s="9"/>
      <c r="P409" s="9"/>
    </row>
    <row r="410" spans="1:16" x14ac:dyDescent="0.25">
      <c r="A410" s="4"/>
      <c r="B410" s="28" t="str">
        <f>IF(ISNUMBER(MATCH(D410, Mgt_Unit!$C$5:$C$1018, 0)), INDEX(Mgt_Unit!$B$5:$B$1018, MATCH(D410, Mgt_Unit!$C$5:$C$1018, 0)), "")</f>
        <v/>
      </c>
      <c r="C410" s="28"/>
      <c r="D410" s="9"/>
      <c r="E410" s="45"/>
      <c r="F410" s="9"/>
      <c r="G410" s="9"/>
      <c r="H410" s="50"/>
      <c r="I410" s="9"/>
      <c r="J410" s="9"/>
      <c r="K410" s="9"/>
      <c r="L410" s="9"/>
      <c r="M410" s="9"/>
      <c r="N410" s="9"/>
      <c r="O410" s="9"/>
      <c r="P410" s="9"/>
    </row>
    <row r="411" spans="1:16" x14ac:dyDescent="0.25">
      <c r="A411" s="4"/>
      <c r="B411" s="28" t="str">
        <f>IF(ISNUMBER(MATCH(D411, Mgt_Unit!$C$5:$C$1018, 0)), INDEX(Mgt_Unit!$B$5:$B$1018, MATCH(D411, Mgt_Unit!$C$5:$C$1018, 0)), "")</f>
        <v/>
      </c>
      <c r="C411" s="28"/>
      <c r="D411" s="9"/>
      <c r="E411" s="45"/>
      <c r="F411" s="9"/>
      <c r="G411" s="9"/>
      <c r="H411" s="50"/>
      <c r="I411" s="9"/>
      <c r="J411" s="9"/>
      <c r="K411" s="9"/>
      <c r="L411" s="9"/>
      <c r="M411" s="9"/>
      <c r="N411" s="9"/>
      <c r="O411" s="9"/>
      <c r="P411" s="9"/>
    </row>
    <row r="412" spans="1:16" x14ac:dyDescent="0.25">
      <c r="A412" s="4"/>
      <c r="B412" s="28" t="str">
        <f>IF(ISNUMBER(MATCH(D412, Mgt_Unit!$C$5:$C$1018, 0)), INDEX(Mgt_Unit!$B$5:$B$1018, MATCH(D412, Mgt_Unit!$C$5:$C$1018, 0)), "")</f>
        <v/>
      </c>
      <c r="C412" s="28"/>
      <c r="D412" s="9"/>
      <c r="E412" s="45"/>
      <c r="F412" s="9"/>
      <c r="G412" s="9"/>
      <c r="H412" s="50"/>
      <c r="I412" s="9"/>
      <c r="J412" s="9"/>
      <c r="K412" s="9"/>
      <c r="L412" s="9"/>
      <c r="M412" s="9"/>
      <c r="N412" s="9"/>
      <c r="O412" s="9"/>
      <c r="P412" s="9"/>
    </row>
    <row r="413" spans="1:16" x14ac:dyDescent="0.25">
      <c r="A413" s="4"/>
      <c r="B413" s="28" t="str">
        <f>IF(ISNUMBER(MATCH(D413, Mgt_Unit!$C$5:$C$1018, 0)), INDEX(Mgt_Unit!$B$5:$B$1018, MATCH(D413, Mgt_Unit!$C$5:$C$1018, 0)), "")</f>
        <v/>
      </c>
      <c r="C413" s="28"/>
      <c r="D413" s="9"/>
      <c r="E413" s="45"/>
      <c r="F413" s="9"/>
      <c r="G413" s="9"/>
      <c r="H413" s="50"/>
      <c r="I413" s="9"/>
      <c r="J413" s="9"/>
      <c r="K413" s="9"/>
      <c r="L413" s="9"/>
      <c r="M413" s="9"/>
      <c r="N413" s="9"/>
      <c r="O413" s="9"/>
      <c r="P413" s="9"/>
    </row>
    <row r="414" spans="1:16" x14ac:dyDescent="0.25">
      <c r="A414" s="4"/>
      <c r="B414" s="28" t="str">
        <f>IF(ISNUMBER(MATCH(D414, Mgt_Unit!$C$5:$C$1018, 0)), INDEX(Mgt_Unit!$B$5:$B$1018, MATCH(D414, Mgt_Unit!$C$5:$C$1018, 0)), "")</f>
        <v/>
      </c>
      <c r="C414" s="28"/>
      <c r="D414" s="9"/>
      <c r="E414" s="45"/>
      <c r="F414" s="9"/>
      <c r="G414" s="9"/>
      <c r="H414" s="50"/>
      <c r="I414" s="9"/>
      <c r="J414" s="9"/>
      <c r="K414" s="9"/>
      <c r="L414" s="9"/>
      <c r="M414" s="9"/>
      <c r="N414" s="9"/>
      <c r="O414" s="9"/>
      <c r="P414" s="9"/>
    </row>
    <row r="415" spans="1:16" x14ac:dyDescent="0.25">
      <c r="A415" s="4"/>
      <c r="B415" s="28" t="str">
        <f>IF(ISNUMBER(MATCH(D415, Mgt_Unit!$C$5:$C$1018, 0)), INDEX(Mgt_Unit!$B$5:$B$1018, MATCH(D415, Mgt_Unit!$C$5:$C$1018, 0)), "")</f>
        <v/>
      </c>
      <c r="C415" s="28"/>
      <c r="D415" s="9"/>
      <c r="E415" s="45"/>
      <c r="F415" s="9"/>
      <c r="G415" s="9"/>
      <c r="H415" s="50"/>
      <c r="I415" s="9"/>
      <c r="J415" s="9"/>
      <c r="K415" s="9"/>
      <c r="L415" s="9"/>
      <c r="M415" s="9"/>
      <c r="N415" s="9"/>
      <c r="O415" s="9"/>
      <c r="P415" s="9"/>
    </row>
    <row r="416" spans="1:16" x14ac:dyDescent="0.25">
      <c r="A416" s="4"/>
      <c r="B416" s="28" t="str">
        <f>IF(ISNUMBER(MATCH(D416, Mgt_Unit!$C$5:$C$1018, 0)), INDEX(Mgt_Unit!$B$5:$B$1018, MATCH(D416, Mgt_Unit!$C$5:$C$1018, 0)), "")</f>
        <v/>
      </c>
      <c r="C416" s="28"/>
      <c r="D416" s="9"/>
      <c r="E416" s="45"/>
      <c r="F416" s="9"/>
      <c r="G416" s="9"/>
      <c r="H416" s="50"/>
      <c r="I416" s="9"/>
      <c r="J416" s="9"/>
      <c r="K416" s="9"/>
      <c r="L416" s="9"/>
      <c r="M416" s="9"/>
      <c r="N416" s="9"/>
      <c r="O416" s="9"/>
      <c r="P416" s="9"/>
    </row>
    <row r="417" spans="1:16" x14ac:dyDescent="0.25">
      <c r="A417" s="4"/>
      <c r="B417" s="28" t="str">
        <f>IF(ISNUMBER(MATCH(D417, Mgt_Unit!$C$5:$C$1018, 0)), INDEX(Mgt_Unit!$B$5:$B$1018, MATCH(D417, Mgt_Unit!$C$5:$C$1018, 0)), "")</f>
        <v/>
      </c>
      <c r="C417" s="28"/>
      <c r="D417" s="9"/>
      <c r="E417" s="45"/>
      <c r="F417" s="9"/>
      <c r="G417" s="9"/>
      <c r="H417" s="50"/>
      <c r="I417" s="9"/>
      <c r="J417" s="9"/>
      <c r="K417" s="9"/>
      <c r="L417" s="9"/>
      <c r="M417" s="9"/>
      <c r="N417" s="9"/>
      <c r="O417" s="9"/>
      <c r="P417" s="9"/>
    </row>
    <row r="418" spans="1:16" x14ac:dyDescent="0.25">
      <c r="A418" s="4"/>
      <c r="B418" s="28" t="str">
        <f>IF(ISNUMBER(MATCH(D418, Mgt_Unit!$C$5:$C$1018, 0)), INDEX(Mgt_Unit!$B$5:$B$1018, MATCH(D418, Mgt_Unit!$C$5:$C$1018, 0)), "")</f>
        <v/>
      </c>
      <c r="C418" s="28"/>
      <c r="D418" s="9"/>
      <c r="E418" s="45"/>
      <c r="F418" s="9"/>
      <c r="G418" s="9"/>
      <c r="H418" s="50"/>
      <c r="I418" s="9"/>
      <c r="J418" s="9"/>
      <c r="K418" s="9"/>
      <c r="L418" s="9"/>
      <c r="M418" s="9"/>
      <c r="N418" s="9"/>
      <c r="O418" s="9"/>
      <c r="P418" s="9"/>
    </row>
    <row r="419" spans="1:16" x14ac:dyDescent="0.25">
      <c r="A419" s="4"/>
      <c r="B419" s="28" t="str">
        <f>IF(ISNUMBER(MATCH(D419, Mgt_Unit!$C$5:$C$1018, 0)), INDEX(Mgt_Unit!$B$5:$B$1018, MATCH(D419, Mgt_Unit!$C$5:$C$1018, 0)), "")</f>
        <v/>
      </c>
      <c r="C419" s="28"/>
      <c r="D419" s="9"/>
      <c r="E419" s="45"/>
      <c r="F419" s="9"/>
      <c r="G419" s="9"/>
      <c r="H419" s="50"/>
      <c r="I419" s="9"/>
      <c r="J419" s="9"/>
      <c r="K419" s="9"/>
      <c r="L419" s="9"/>
      <c r="M419" s="9"/>
      <c r="N419" s="9"/>
      <c r="O419" s="9"/>
      <c r="P419" s="9"/>
    </row>
    <row r="420" spans="1:16" x14ac:dyDescent="0.25">
      <c r="A420" s="4"/>
      <c r="B420" s="28" t="str">
        <f>IF(ISNUMBER(MATCH(D420, Mgt_Unit!$C$5:$C$1018, 0)), INDEX(Mgt_Unit!$B$5:$B$1018, MATCH(D420, Mgt_Unit!$C$5:$C$1018, 0)), "")</f>
        <v/>
      </c>
      <c r="C420" s="28"/>
      <c r="D420" s="9"/>
      <c r="E420" s="45"/>
      <c r="F420" s="9"/>
      <c r="G420" s="9"/>
      <c r="H420" s="50"/>
      <c r="I420" s="9"/>
      <c r="J420" s="9"/>
      <c r="K420" s="9"/>
      <c r="L420" s="9"/>
      <c r="M420" s="9"/>
      <c r="N420" s="9"/>
      <c r="O420" s="9"/>
      <c r="P420" s="9"/>
    </row>
    <row r="421" spans="1:16" x14ac:dyDescent="0.25">
      <c r="A421" s="4"/>
      <c r="B421" s="28" t="str">
        <f>IF(ISNUMBER(MATCH(D421, Mgt_Unit!$C$5:$C$1018, 0)), INDEX(Mgt_Unit!$B$5:$B$1018, MATCH(D421, Mgt_Unit!$C$5:$C$1018, 0)), "")</f>
        <v/>
      </c>
      <c r="C421" s="28"/>
      <c r="D421" s="9"/>
      <c r="E421" s="45"/>
      <c r="F421" s="9"/>
      <c r="G421" s="9"/>
      <c r="H421" s="50"/>
      <c r="I421" s="9"/>
      <c r="J421" s="9"/>
      <c r="K421" s="9"/>
      <c r="L421" s="9"/>
      <c r="M421" s="9"/>
      <c r="N421" s="9"/>
      <c r="O421" s="9"/>
      <c r="P421" s="9"/>
    </row>
    <row r="422" spans="1:16" x14ac:dyDescent="0.25">
      <c r="A422" s="4"/>
      <c r="B422" s="28" t="str">
        <f>IF(ISNUMBER(MATCH(D422, Mgt_Unit!$C$5:$C$1018, 0)), INDEX(Mgt_Unit!$B$5:$B$1018, MATCH(D422, Mgt_Unit!$C$5:$C$1018, 0)), "")</f>
        <v/>
      </c>
      <c r="C422" s="28"/>
      <c r="D422" s="9"/>
      <c r="E422" s="45"/>
      <c r="F422" s="9"/>
      <c r="G422" s="9"/>
      <c r="H422" s="50"/>
      <c r="I422" s="9"/>
      <c r="J422" s="9"/>
      <c r="K422" s="9"/>
      <c r="L422" s="9"/>
      <c r="M422" s="9"/>
      <c r="N422" s="9"/>
      <c r="O422" s="9"/>
      <c r="P422" s="9"/>
    </row>
    <row r="423" spans="1:16" x14ac:dyDescent="0.25">
      <c r="A423" s="4"/>
      <c r="B423" s="28" t="str">
        <f>IF(ISNUMBER(MATCH(D423, Mgt_Unit!$C$5:$C$1018, 0)), INDEX(Mgt_Unit!$B$5:$B$1018, MATCH(D423, Mgt_Unit!$C$5:$C$1018, 0)), "")</f>
        <v/>
      </c>
      <c r="C423" s="28"/>
      <c r="D423" s="9"/>
      <c r="E423" s="45"/>
      <c r="F423" s="9"/>
      <c r="G423" s="9"/>
      <c r="H423" s="50"/>
      <c r="I423" s="9"/>
      <c r="J423" s="9"/>
      <c r="K423" s="9"/>
      <c r="L423" s="9"/>
      <c r="M423" s="9"/>
      <c r="N423" s="9"/>
      <c r="O423" s="9"/>
      <c r="P423" s="9"/>
    </row>
    <row r="424" spans="1:16" x14ac:dyDescent="0.25">
      <c r="A424" s="4"/>
      <c r="B424" s="28" t="str">
        <f>IF(ISNUMBER(MATCH(D424, Mgt_Unit!$C$5:$C$1018, 0)), INDEX(Mgt_Unit!$B$5:$B$1018, MATCH(D424, Mgt_Unit!$C$5:$C$1018, 0)), "")</f>
        <v/>
      </c>
      <c r="C424" s="28"/>
      <c r="D424" s="9"/>
      <c r="E424" s="45"/>
      <c r="F424" s="9"/>
      <c r="G424" s="9"/>
      <c r="H424" s="50"/>
      <c r="I424" s="9"/>
      <c r="J424" s="9"/>
      <c r="K424" s="9"/>
      <c r="L424" s="9"/>
      <c r="M424" s="9"/>
      <c r="N424" s="9"/>
      <c r="O424" s="9"/>
      <c r="P424" s="9"/>
    </row>
    <row r="425" spans="1:16" x14ac:dyDescent="0.25">
      <c r="A425" s="4"/>
      <c r="B425" s="28" t="str">
        <f>IF(ISNUMBER(MATCH(D425, Mgt_Unit!$C$5:$C$1018, 0)), INDEX(Mgt_Unit!$B$5:$B$1018, MATCH(D425, Mgt_Unit!$C$5:$C$1018, 0)), "")</f>
        <v/>
      </c>
      <c r="C425" s="28"/>
      <c r="D425" s="9"/>
      <c r="E425" s="45"/>
      <c r="F425" s="9"/>
      <c r="G425" s="9"/>
      <c r="H425" s="50"/>
      <c r="I425" s="9"/>
      <c r="J425" s="9"/>
      <c r="K425" s="9"/>
      <c r="L425" s="9"/>
      <c r="M425" s="9"/>
      <c r="N425" s="9"/>
      <c r="O425" s="9"/>
      <c r="P425" s="9"/>
    </row>
    <row r="426" spans="1:16" x14ac:dyDescent="0.25">
      <c r="A426" s="4"/>
      <c r="B426" s="28" t="str">
        <f>IF(ISNUMBER(MATCH(D426, Mgt_Unit!$C$5:$C$1018, 0)), INDEX(Mgt_Unit!$B$5:$B$1018, MATCH(D426, Mgt_Unit!$C$5:$C$1018, 0)), "")</f>
        <v/>
      </c>
      <c r="C426" s="28"/>
      <c r="D426" s="9"/>
      <c r="E426" s="45"/>
      <c r="F426" s="9"/>
      <c r="G426" s="9"/>
      <c r="H426" s="50"/>
      <c r="I426" s="9"/>
      <c r="J426" s="9"/>
      <c r="K426" s="9"/>
      <c r="L426" s="9"/>
      <c r="M426" s="9"/>
      <c r="N426" s="9"/>
      <c r="O426" s="9"/>
      <c r="P426" s="9"/>
    </row>
    <row r="427" spans="1:16" x14ac:dyDescent="0.25">
      <c r="A427" s="4"/>
      <c r="B427" s="28" t="str">
        <f>IF(ISNUMBER(MATCH(D427, Mgt_Unit!$C$5:$C$1018, 0)), INDEX(Mgt_Unit!$B$5:$B$1018, MATCH(D427, Mgt_Unit!$C$5:$C$1018, 0)), "")</f>
        <v/>
      </c>
      <c r="C427" s="28"/>
      <c r="D427" s="9"/>
      <c r="E427" s="45"/>
      <c r="F427" s="9"/>
      <c r="G427" s="9"/>
      <c r="H427" s="50"/>
      <c r="I427" s="9"/>
      <c r="J427" s="9"/>
      <c r="K427" s="9"/>
      <c r="L427" s="9"/>
      <c r="M427" s="9"/>
      <c r="N427" s="9"/>
      <c r="O427" s="9"/>
      <c r="P427" s="9"/>
    </row>
    <row r="428" spans="1:16" x14ac:dyDescent="0.25">
      <c r="A428" s="4"/>
      <c r="B428" s="28" t="str">
        <f>IF(ISNUMBER(MATCH(D428, Mgt_Unit!$C$5:$C$1018, 0)), INDEX(Mgt_Unit!$B$5:$B$1018, MATCH(D428, Mgt_Unit!$C$5:$C$1018, 0)), "")</f>
        <v/>
      </c>
      <c r="C428" s="28"/>
      <c r="D428" s="9"/>
      <c r="E428" s="45"/>
      <c r="F428" s="9"/>
      <c r="G428" s="9"/>
      <c r="H428" s="50"/>
      <c r="I428" s="9"/>
      <c r="J428" s="9"/>
      <c r="K428" s="9"/>
      <c r="L428" s="9"/>
      <c r="M428" s="9"/>
      <c r="N428" s="9"/>
      <c r="O428" s="9"/>
      <c r="P428" s="9"/>
    </row>
    <row r="429" spans="1:16" x14ac:dyDescent="0.25">
      <c r="A429" s="4"/>
      <c r="B429" s="28" t="str">
        <f>IF(ISNUMBER(MATCH(D429, Mgt_Unit!$C$5:$C$1018, 0)), INDEX(Mgt_Unit!$B$5:$B$1018, MATCH(D429, Mgt_Unit!$C$5:$C$1018, 0)), "")</f>
        <v/>
      </c>
      <c r="C429" s="28"/>
      <c r="D429" s="9"/>
      <c r="E429" s="45"/>
      <c r="F429" s="9"/>
      <c r="G429" s="9"/>
      <c r="H429" s="50"/>
      <c r="I429" s="9"/>
      <c r="J429" s="9"/>
      <c r="K429" s="9"/>
      <c r="L429" s="9"/>
      <c r="M429" s="9"/>
      <c r="N429" s="9"/>
      <c r="O429" s="9"/>
      <c r="P429" s="9"/>
    </row>
    <row r="430" spans="1:16" x14ac:dyDescent="0.25">
      <c r="A430" s="4"/>
      <c r="B430" s="28" t="str">
        <f>IF(ISNUMBER(MATCH(D430, Mgt_Unit!$C$5:$C$1018, 0)), INDEX(Mgt_Unit!$B$5:$B$1018, MATCH(D430, Mgt_Unit!$C$5:$C$1018, 0)), "")</f>
        <v/>
      </c>
      <c r="C430" s="28"/>
      <c r="D430" s="9"/>
      <c r="E430" s="45"/>
      <c r="F430" s="9"/>
      <c r="G430" s="9"/>
      <c r="H430" s="50"/>
      <c r="I430" s="9"/>
      <c r="J430" s="9"/>
      <c r="K430" s="9"/>
      <c r="L430" s="9"/>
      <c r="M430" s="9"/>
      <c r="N430" s="9"/>
      <c r="O430" s="9"/>
      <c r="P430" s="9"/>
    </row>
    <row r="431" spans="1:16" x14ac:dyDescent="0.25">
      <c r="A431" s="4"/>
      <c r="B431" s="28" t="str">
        <f>IF(ISNUMBER(MATCH(D431, Mgt_Unit!$C$5:$C$1018, 0)), INDEX(Mgt_Unit!$B$5:$B$1018, MATCH(D431, Mgt_Unit!$C$5:$C$1018, 0)), "")</f>
        <v/>
      </c>
      <c r="C431" s="28"/>
      <c r="D431" s="9"/>
      <c r="E431" s="45"/>
      <c r="F431" s="9"/>
      <c r="G431" s="9"/>
      <c r="H431" s="50"/>
      <c r="I431" s="9"/>
      <c r="J431" s="9"/>
      <c r="K431" s="9"/>
      <c r="L431" s="9"/>
      <c r="M431" s="9"/>
      <c r="N431" s="9"/>
      <c r="O431" s="9"/>
      <c r="P431" s="9"/>
    </row>
    <row r="432" spans="1:16" x14ac:dyDescent="0.25">
      <c r="A432" s="4"/>
      <c r="B432" s="28" t="str">
        <f>IF(ISNUMBER(MATCH(D432, Mgt_Unit!$C$5:$C$1018, 0)), INDEX(Mgt_Unit!$B$5:$B$1018, MATCH(D432, Mgt_Unit!$C$5:$C$1018, 0)), "")</f>
        <v/>
      </c>
      <c r="C432" s="28"/>
      <c r="D432" s="9"/>
      <c r="E432" s="45"/>
      <c r="F432" s="9"/>
      <c r="G432" s="9"/>
      <c r="H432" s="50"/>
      <c r="I432" s="9"/>
      <c r="J432" s="9"/>
      <c r="K432" s="9"/>
      <c r="L432" s="9"/>
      <c r="M432" s="9"/>
      <c r="N432" s="9"/>
      <c r="O432" s="9"/>
      <c r="P432" s="9"/>
    </row>
    <row r="433" spans="1:16" x14ac:dyDescent="0.25">
      <c r="A433" s="4"/>
      <c r="B433" s="28" t="str">
        <f>IF(ISNUMBER(MATCH(D433, Mgt_Unit!$C$5:$C$1018, 0)), INDEX(Mgt_Unit!$B$5:$B$1018, MATCH(D433, Mgt_Unit!$C$5:$C$1018, 0)), "")</f>
        <v/>
      </c>
      <c r="C433" s="28"/>
      <c r="D433" s="9"/>
      <c r="E433" s="45"/>
      <c r="F433" s="9"/>
      <c r="G433" s="9"/>
      <c r="H433" s="50"/>
      <c r="I433" s="9"/>
      <c r="J433" s="9"/>
      <c r="K433" s="9"/>
      <c r="L433" s="9"/>
      <c r="M433" s="9"/>
      <c r="N433" s="9"/>
      <c r="O433" s="9"/>
      <c r="P433" s="9"/>
    </row>
    <row r="434" spans="1:16" x14ac:dyDescent="0.25">
      <c r="A434" s="4"/>
      <c r="B434" s="28" t="str">
        <f>IF(ISNUMBER(MATCH(D434, Mgt_Unit!$C$5:$C$1018, 0)), INDEX(Mgt_Unit!$B$5:$B$1018, MATCH(D434, Mgt_Unit!$C$5:$C$1018, 0)), "")</f>
        <v/>
      </c>
      <c r="C434" s="28"/>
      <c r="D434" s="9"/>
      <c r="E434" s="45"/>
      <c r="F434" s="9"/>
      <c r="G434" s="9"/>
      <c r="H434" s="50"/>
      <c r="I434" s="9"/>
      <c r="J434" s="9"/>
      <c r="K434" s="9"/>
      <c r="L434" s="9"/>
      <c r="M434" s="9"/>
      <c r="N434" s="9"/>
      <c r="O434" s="9"/>
      <c r="P434" s="9"/>
    </row>
    <row r="435" spans="1:16" x14ac:dyDescent="0.25">
      <c r="A435" s="4"/>
      <c r="B435" s="28" t="str">
        <f>IF(ISNUMBER(MATCH(D435, Mgt_Unit!$C$5:$C$1018, 0)), INDEX(Mgt_Unit!$B$5:$B$1018, MATCH(D435, Mgt_Unit!$C$5:$C$1018, 0)), "")</f>
        <v/>
      </c>
      <c r="C435" s="28"/>
      <c r="D435" s="9"/>
      <c r="E435" s="45"/>
      <c r="F435" s="9"/>
      <c r="G435" s="9"/>
      <c r="H435" s="50"/>
      <c r="I435" s="9"/>
      <c r="J435" s="9"/>
      <c r="K435" s="9"/>
      <c r="L435" s="9"/>
      <c r="M435" s="9"/>
      <c r="N435" s="9"/>
      <c r="O435" s="9"/>
      <c r="P435" s="9"/>
    </row>
    <row r="436" spans="1:16" x14ac:dyDescent="0.25">
      <c r="A436" s="4"/>
      <c r="B436" s="28" t="str">
        <f>IF(ISNUMBER(MATCH(D436, Mgt_Unit!$C$5:$C$1018, 0)), INDEX(Mgt_Unit!$B$5:$B$1018, MATCH(D436, Mgt_Unit!$C$5:$C$1018, 0)), "")</f>
        <v/>
      </c>
      <c r="C436" s="28"/>
      <c r="D436" s="9"/>
      <c r="E436" s="45"/>
      <c r="F436" s="9"/>
      <c r="G436" s="9"/>
      <c r="H436" s="50"/>
      <c r="I436" s="9"/>
      <c r="J436" s="9"/>
      <c r="K436" s="9"/>
      <c r="L436" s="9"/>
      <c r="M436" s="9"/>
      <c r="N436" s="9"/>
      <c r="O436" s="9"/>
      <c r="P436" s="9"/>
    </row>
    <row r="437" spans="1:16" x14ac:dyDescent="0.25">
      <c r="A437" s="4"/>
      <c r="B437" s="28" t="str">
        <f>IF(ISNUMBER(MATCH(D437, Mgt_Unit!$C$5:$C$1018, 0)), INDEX(Mgt_Unit!$B$5:$B$1018, MATCH(D437, Mgt_Unit!$C$5:$C$1018, 0)), "")</f>
        <v/>
      </c>
      <c r="C437" s="28"/>
      <c r="D437" s="9"/>
      <c r="E437" s="45"/>
      <c r="F437" s="9"/>
      <c r="G437" s="9"/>
      <c r="H437" s="50"/>
      <c r="I437" s="9"/>
      <c r="J437" s="9"/>
      <c r="K437" s="9"/>
      <c r="L437" s="9"/>
      <c r="M437" s="9"/>
      <c r="N437" s="9"/>
      <c r="O437" s="9"/>
      <c r="P437" s="9"/>
    </row>
    <row r="438" spans="1:16" x14ac:dyDescent="0.25">
      <c r="A438" s="4"/>
      <c r="B438" s="28" t="str">
        <f>IF(ISNUMBER(MATCH(D438, Mgt_Unit!$C$5:$C$1018, 0)), INDEX(Mgt_Unit!$B$5:$B$1018, MATCH(D438, Mgt_Unit!$C$5:$C$1018, 0)), "")</f>
        <v/>
      </c>
      <c r="C438" s="28"/>
      <c r="D438" s="9"/>
      <c r="E438" s="45"/>
      <c r="F438" s="9"/>
      <c r="G438" s="9"/>
      <c r="H438" s="50"/>
      <c r="I438" s="9"/>
      <c r="J438" s="9"/>
      <c r="K438" s="9"/>
      <c r="L438" s="9"/>
      <c r="M438" s="9"/>
      <c r="N438" s="9"/>
      <c r="O438" s="9"/>
      <c r="P438" s="9"/>
    </row>
    <row r="439" spans="1:16" x14ac:dyDescent="0.25">
      <c r="A439" s="4"/>
      <c r="B439" s="28" t="str">
        <f>IF(ISNUMBER(MATCH(D439, Mgt_Unit!$C$5:$C$1018, 0)), INDEX(Mgt_Unit!$B$5:$B$1018, MATCH(D439, Mgt_Unit!$C$5:$C$1018, 0)), "")</f>
        <v/>
      </c>
      <c r="C439" s="28"/>
      <c r="D439" s="9"/>
      <c r="E439" s="45"/>
      <c r="F439" s="9"/>
      <c r="G439" s="9"/>
      <c r="H439" s="50"/>
      <c r="I439" s="9"/>
      <c r="J439" s="9"/>
      <c r="K439" s="9"/>
      <c r="L439" s="9"/>
      <c r="M439" s="9"/>
      <c r="N439" s="9"/>
      <c r="O439" s="9"/>
      <c r="P439" s="9"/>
    </row>
    <row r="440" spans="1:16" x14ac:dyDescent="0.25">
      <c r="A440" s="4"/>
      <c r="B440" s="28" t="str">
        <f>IF(ISNUMBER(MATCH(D440, Mgt_Unit!$C$5:$C$1018, 0)), INDEX(Mgt_Unit!$B$5:$B$1018, MATCH(D440, Mgt_Unit!$C$5:$C$1018, 0)), "")</f>
        <v/>
      </c>
      <c r="C440" s="28"/>
      <c r="D440" s="9"/>
      <c r="E440" s="45"/>
      <c r="F440" s="9"/>
      <c r="G440" s="9"/>
      <c r="H440" s="50"/>
      <c r="I440" s="9"/>
      <c r="J440" s="9"/>
      <c r="K440" s="9"/>
      <c r="L440" s="9"/>
      <c r="M440" s="9"/>
      <c r="N440" s="9"/>
      <c r="O440" s="9"/>
      <c r="P440" s="9"/>
    </row>
    <row r="441" spans="1:16" x14ac:dyDescent="0.25">
      <c r="A441" s="4"/>
      <c r="B441" s="28" t="str">
        <f>IF(ISNUMBER(MATCH(D441, Mgt_Unit!$C$5:$C$1018, 0)), INDEX(Mgt_Unit!$B$5:$B$1018, MATCH(D441, Mgt_Unit!$C$5:$C$1018, 0)), "")</f>
        <v/>
      </c>
      <c r="C441" s="28"/>
      <c r="D441" s="9"/>
      <c r="E441" s="45"/>
      <c r="F441" s="9"/>
      <c r="G441" s="9"/>
      <c r="H441" s="50"/>
      <c r="I441" s="9"/>
      <c r="J441" s="9"/>
      <c r="K441" s="9"/>
      <c r="L441" s="9"/>
      <c r="M441" s="9"/>
      <c r="N441" s="9"/>
      <c r="O441" s="9"/>
      <c r="P441" s="9"/>
    </row>
    <row r="442" spans="1:16" x14ac:dyDescent="0.25">
      <c r="A442" s="4"/>
      <c r="B442" s="28" t="str">
        <f>IF(ISNUMBER(MATCH(D442, Mgt_Unit!$C$5:$C$1018, 0)), INDEX(Mgt_Unit!$B$5:$B$1018, MATCH(D442, Mgt_Unit!$C$5:$C$1018, 0)), "")</f>
        <v/>
      </c>
      <c r="C442" s="28"/>
      <c r="D442" s="9"/>
      <c r="E442" s="45"/>
      <c r="F442" s="9"/>
      <c r="G442" s="9"/>
      <c r="H442" s="50"/>
      <c r="I442" s="9"/>
      <c r="J442" s="9"/>
      <c r="K442" s="9"/>
      <c r="L442" s="9"/>
      <c r="M442" s="9"/>
      <c r="N442" s="9"/>
      <c r="O442" s="9"/>
      <c r="P442" s="9"/>
    </row>
    <row r="443" spans="1:16" x14ac:dyDescent="0.25">
      <c r="A443" s="4"/>
      <c r="B443" s="28" t="str">
        <f>IF(ISNUMBER(MATCH(D443, Mgt_Unit!$C$5:$C$1018, 0)), INDEX(Mgt_Unit!$B$5:$B$1018, MATCH(D443, Mgt_Unit!$C$5:$C$1018, 0)), "")</f>
        <v/>
      </c>
      <c r="C443" s="28"/>
      <c r="D443" s="9"/>
      <c r="E443" s="45"/>
      <c r="F443" s="9"/>
      <c r="G443" s="9"/>
      <c r="H443" s="50"/>
      <c r="I443" s="9"/>
      <c r="J443" s="9"/>
      <c r="K443" s="9"/>
      <c r="L443" s="9"/>
      <c r="M443" s="9"/>
      <c r="N443" s="9"/>
      <c r="O443" s="9"/>
      <c r="P443" s="9"/>
    </row>
    <row r="444" spans="1:16" x14ac:dyDescent="0.25">
      <c r="A444" s="4"/>
      <c r="B444" s="28" t="str">
        <f>IF(ISNUMBER(MATCH(D444, Mgt_Unit!$C$5:$C$1018, 0)), INDEX(Mgt_Unit!$B$5:$B$1018, MATCH(D444, Mgt_Unit!$C$5:$C$1018, 0)), "")</f>
        <v/>
      </c>
      <c r="C444" s="28"/>
      <c r="D444" s="9"/>
      <c r="E444" s="45"/>
      <c r="F444" s="9"/>
      <c r="G444" s="9"/>
      <c r="H444" s="50"/>
      <c r="I444" s="9"/>
      <c r="J444" s="9"/>
      <c r="K444" s="9"/>
      <c r="L444" s="9"/>
      <c r="M444" s="9"/>
      <c r="N444" s="9"/>
      <c r="O444" s="9"/>
      <c r="P444" s="9"/>
    </row>
    <row r="445" spans="1:16" x14ac:dyDescent="0.25">
      <c r="A445" s="4"/>
      <c r="B445" s="28" t="str">
        <f>IF(ISNUMBER(MATCH(D445, Mgt_Unit!$C$5:$C$1018, 0)), INDEX(Mgt_Unit!$B$5:$B$1018, MATCH(D445, Mgt_Unit!$C$5:$C$1018, 0)), "")</f>
        <v/>
      </c>
      <c r="C445" s="28"/>
      <c r="D445" s="9"/>
      <c r="E445" s="45"/>
      <c r="F445" s="9"/>
      <c r="G445" s="9"/>
      <c r="H445" s="50"/>
      <c r="I445" s="9"/>
      <c r="J445" s="9"/>
      <c r="K445" s="9"/>
      <c r="L445" s="9"/>
      <c r="M445" s="9"/>
      <c r="N445" s="9"/>
      <c r="O445" s="9"/>
      <c r="P445" s="9"/>
    </row>
    <row r="446" spans="1:16" x14ac:dyDescent="0.25">
      <c r="A446" s="4"/>
      <c r="B446" s="28" t="str">
        <f>IF(ISNUMBER(MATCH(D446, Mgt_Unit!$C$5:$C$1018, 0)), INDEX(Mgt_Unit!$B$5:$B$1018, MATCH(D446, Mgt_Unit!$C$5:$C$1018, 0)), "")</f>
        <v/>
      </c>
      <c r="C446" s="28"/>
      <c r="D446" s="9"/>
      <c r="E446" s="45"/>
      <c r="F446" s="9"/>
      <c r="G446" s="9"/>
      <c r="H446" s="50"/>
      <c r="I446" s="9"/>
      <c r="J446" s="9"/>
      <c r="K446" s="9"/>
      <c r="L446" s="9"/>
      <c r="M446" s="9"/>
      <c r="N446" s="9"/>
      <c r="O446" s="9"/>
      <c r="P446" s="9"/>
    </row>
    <row r="447" spans="1:16" x14ac:dyDescent="0.25">
      <c r="A447" s="4"/>
      <c r="B447" s="28" t="str">
        <f>IF(ISNUMBER(MATCH(D447, Mgt_Unit!$C$5:$C$1018, 0)), INDEX(Mgt_Unit!$B$5:$B$1018, MATCH(D447, Mgt_Unit!$C$5:$C$1018, 0)), "")</f>
        <v/>
      </c>
      <c r="C447" s="28"/>
      <c r="D447" s="9"/>
      <c r="E447" s="45"/>
      <c r="F447" s="9"/>
      <c r="G447" s="9"/>
      <c r="H447" s="50"/>
      <c r="I447" s="9"/>
      <c r="J447" s="9"/>
      <c r="K447" s="9"/>
      <c r="L447" s="9"/>
      <c r="M447" s="9"/>
      <c r="N447" s="9"/>
      <c r="O447" s="9"/>
      <c r="P447" s="9"/>
    </row>
    <row r="448" spans="1:16" x14ac:dyDescent="0.25">
      <c r="A448" s="4"/>
      <c r="B448" s="28" t="str">
        <f>IF(ISNUMBER(MATCH(D448, Mgt_Unit!$C$5:$C$1018, 0)), INDEX(Mgt_Unit!$B$5:$B$1018, MATCH(D448, Mgt_Unit!$C$5:$C$1018, 0)), "")</f>
        <v/>
      </c>
      <c r="C448" s="28"/>
      <c r="D448" s="9"/>
      <c r="E448" s="45"/>
      <c r="F448" s="9"/>
      <c r="G448" s="9"/>
      <c r="H448" s="50"/>
      <c r="I448" s="9"/>
      <c r="J448" s="9"/>
      <c r="K448" s="9"/>
      <c r="L448" s="9"/>
      <c r="M448" s="9"/>
      <c r="N448" s="9"/>
      <c r="O448" s="9"/>
      <c r="P448" s="9"/>
    </row>
    <row r="449" spans="1:16" x14ac:dyDescent="0.25">
      <c r="A449" s="4"/>
      <c r="B449" s="28" t="str">
        <f>IF(ISNUMBER(MATCH(D449, Mgt_Unit!$C$5:$C$1018, 0)), INDEX(Mgt_Unit!$B$5:$B$1018, MATCH(D449, Mgt_Unit!$C$5:$C$1018, 0)), "")</f>
        <v/>
      </c>
      <c r="C449" s="28"/>
      <c r="D449" s="9"/>
      <c r="E449" s="45"/>
      <c r="F449" s="9"/>
      <c r="G449" s="9"/>
      <c r="H449" s="50"/>
      <c r="I449" s="9"/>
      <c r="J449" s="9"/>
      <c r="K449" s="9"/>
      <c r="L449" s="9"/>
      <c r="M449" s="9"/>
      <c r="N449" s="9"/>
      <c r="O449" s="9"/>
      <c r="P449" s="9"/>
    </row>
    <row r="450" spans="1:16" x14ac:dyDescent="0.25">
      <c r="A450" s="4"/>
      <c r="B450" s="28" t="str">
        <f>IF(ISNUMBER(MATCH(D450, Mgt_Unit!$C$5:$C$1018, 0)), INDEX(Mgt_Unit!$B$5:$B$1018, MATCH(D450, Mgt_Unit!$C$5:$C$1018, 0)), "")</f>
        <v/>
      </c>
      <c r="C450" s="28"/>
      <c r="D450" s="9"/>
      <c r="E450" s="45"/>
      <c r="F450" s="9"/>
      <c r="G450" s="9"/>
      <c r="H450" s="50"/>
      <c r="I450" s="9"/>
      <c r="J450" s="9"/>
      <c r="K450" s="9"/>
      <c r="L450" s="9"/>
      <c r="M450" s="9"/>
      <c r="N450" s="9"/>
      <c r="O450" s="9"/>
      <c r="P450" s="9"/>
    </row>
    <row r="451" spans="1:16" x14ac:dyDescent="0.25">
      <c r="A451" s="4"/>
      <c r="B451" s="28" t="str">
        <f>IF(ISNUMBER(MATCH(D451, Mgt_Unit!$C$5:$C$1018, 0)), INDEX(Mgt_Unit!$B$5:$B$1018, MATCH(D451, Mgt_Unit!$C$5:$C$1018, 0)), "")</f>
        <v/>
      </c>
      <c r="C451" s="28"/>
      <c r="D451" s="9"/>
      <c r="E451" s="45"/>
      <c r="F451" s="9"/>
      <c r="G451" s="9"/>
      <c r="H451" s="50"/>
      <c r="I451" s="9"/>
      <c r="J451" s="9"/>
      <c r="K451" s="9"/>
      <c r="L451" s="9"/>
      <c r="M451" s="9"/>
      <c r="N451" s="9"/>
      <c r="O451" s="9"/>
      <c r="P451" s="9"/>
    </row>
    <row r="452" spans="1:16" x14ac:dyDescent="0.25">
      <c r="A452" s="4"/>
      <c r="B452" s="28" t="str">
        <f>IF(ISNUMBER(MATCH(D452, Mgt_Unit!$C$5:$C$1018, 0)), INDEX(Mgt_Unit!$B$5:$B$1018, MATCH(D452, Mgt_Unit!$C$5:$C$1018, 0)), "")</f>
        <v/>
      </c>
      <c r="C452" s="28"/>
      <c r="D452" s="9"/>
      <c r="E452" s="45"/>
      <c r="F452" s="9"/>
      <c r="G452" s="9"/>
      <c r="H452" s="50"/>
      <c r="I452" s="9"/>
      <c r="J452" s="9"/>
      <c r="K452" s="9"/>
      <c r="L452" s="9"/>
      <c r="M452" s="9"/>
      <c r="N452" s="9"/>
      <c r="O452" s="9"/>
      <c r="P452" s="9"/>
    </row>
    <row r="453" spans="1:16" x14ac:dyDescent="0.25">
      <c r="A453" s="4"/>
      <c r="B453" s="28" t="str">
        <f>IF(ISNUMBER(MATCH(D453, Mgt_Unit!$C$5:$C$1018, 0)), INDEX(Mgt_Unit!$B$5:$B$1018, MATCH(D453, Mgt_Unit!$C$5:$C$1018, 0)), "")</f>
        <v/>
      </c>
      <c r="C453" s="28"/>
      <c r="D453" s="9"/>
      <c r="E453" s="45"/>
      <c r="F453" s="9"/>
      <c r="G453" s="9"/>
      <c r="H453" s="50"/>
      <c r="I453" s="9"/>
      <c r="J453" s="9"/>
      <c r="K453" s="9"/>
      <c r="L453" s="9"/>
      <c r="M453" s="9"/>
      <c r="N453" s="9"/>
      <c r="O453" s="9"/>
      <c r="P453" s="9"/>
    </row>
    <row r="454" spans="1:16" x14ac:dyDescent="0.25">
      <c r="A454" s="4"/>
      <c r="B454" s="28" t="str">
        <f>IF(ISNUMBER(MATCH(D454, Mgt_Unit!$C$5:$C$1018, 0)), INDEX(Mgt_Unit!$B$5:$B$1018, MATCH(D454, Mgt_Unit!$C$5:$C$1018, 0)), "")</f>
        <v/>
      </c>
      <c r="C454" s="28"/>
      <c r="D454" s="9"/>
      <c r="E454" s="45"/>
      <c r="F454" s="9"/>
      <c r="G454" s="9"/>
      <c r="H454" s="50"/>
      <c r="I454" s="9"/>
      <c r="J454" s="9"/>
      <c r="K454" s="9"/>
      <c r="L454" s="9"/>
      <c r="M454" s="9"/>
      <c r="N454" s="9"/>
      <c r="O454" s="9"/>
      <c r="P454" s="9"/>
    </row>
    <row r="455" spans="1:16" x14ac:dyDescent="0.25">
      <c r="A455" s="4"/>
      <c r="B455" s="28" t="str">
        <f>IF(ISNUMBER(MATCH(D455, Mgt_Unit!$C$5:$C$1018, 0)), INDEX(Mgt_Unit!$B$5:$B$1018, MATCH(D455, Mgt_Unit!$C$5:$C$1018, 0)), "")</f>
        <v/>
      </c>
      <c r="C455" s="28"/>
      <c r="D455" s="9"/>
      <c r="E455" s="45"/>
      <c r="F455" s="9"/>
      <c r="G455" s="9"/>
      <c r="H455" s="50"/>
      <c r="I455" s="9"/>
      <c r="J455" s="9"/>
      <c r="K455" s="9"/>
      <c r="L455" s="9"/>
      <c r="M455" s="9"/>
      <c r="N455" s="9"/>
      <c r="O455" s="9"/>
      <c r="P455" s="9"/>
    </row>
    <row r="456" spans="1:16" x14ac:dyDescent="0.25">
      <c r="A456" s="4"/>
      <c r="B456" s="28" t="str">
        <f>IF(ISNUMBER(MATCH(D456, Mgt_Unit!$C$5:$C$1018, 0)), INDEX(Mgt_Unit!$B$5:$B$1018, MATCH(D456, Mgt_Unit!$C$5:$C$1018, 0)), "")</f>
        <v/>
      </c>
      <c r="C456" s="28"/>
      <c r="D456" s="9"/>
      <c r="E456" s="45"/>
      <c r="F456" s="9"/>
      <c r="G456" s="9"/>
      <c r="H456" s="50"/>
      <c r="I456" s="9"/>
      <c r="J456" s="9"/>
      <c r="K456" s="9"/>
      <c r="L456" s="9"/>
      <c r="M456" s="9"/>
      <c r="N456" s="9"/>
      <c r="O456" s="9"/>
      <c r="P456" s="9"/>
    </row>
    <row r="457" spans="1:16" x14ac:dyDescent="0.25">
      <c r="A457" s="4"/>
      <c r="B457" s="28" t="str">
        <f>IF(ISNUMBER(MATCH(D457, Mgt_Unit!$C$5:$C$1018, 0)), INDEX(Mgt_Unit!$B$5:$B$1018, MATCH(D457, Mgt_Unit!$C$5:$C$1018, 0)), "")</f>
        <v/>
      </c>
      <c r="C457" s="28"/>
      <c r="D457" s="9"/>
      <c r="E457" s="45"/>
      <c r="F457" s="9"/>
      <c r="G457" s="9"/>
      <c r="H457" s="50"/>
      <c r="I457" s="9"/>
      <c r="J457" s="9"/>
      <c r="K457" s="9"/>
      <c r="L457" s="9"/>
      <c r="M457" s="9"/>
      <c r="N457" s="9"/>
      <c r="O457" s="9"/>
      <c r="P457" s="9"/>
    </row>
    <row r="458" spans="1:16" x14ac:dyDescent="0.25">
      <c r="A458" s="4"/>
      <c r="B458" s="28" t="str">
        <f>IF(ISNUMBER(MATCH(D458, Mgt_Unit!$C$5:$C$1018, 0)), INDEX(Mgt_Unit!$B$5:$B$1018, MATCH(D458, Mgt_Unit!$C$5:$C$1018, 0)), "")</f>
        <v/>
      </c>
      <c r="C458" s="28"/>
      <c r="D458" s="9"/>
      <c r="E458" s="45"/>
      <c r="F458" s="9"/>
      <c r="G458" s="9"/>
      <c r="H458" s="50"/>
      <c r="I458" s="9"/>
      <c r="J458" s="9"/>
      <c r="K458" s="9"/>
      <c r="L458" s="9"/>
      <c r="M458" s="9"/>
      <c r="N458" s="9"/>
      <c r="O458" s="9"/>
      <c r="P458" s="9"/>
    </row>
    <row r="459" spans="1:16" x14ac:dyDescent="0.25">
      <c r="A459" s="4"/>
      <c r="B459" s="28" t="str">
        <f>IF(ISNUMBER(MATCH(D459, Mgt_Unit!$C$5:$C$1018, 0)), INDEX(Mgt_Unit!$B$5:$B$1018, MATCH(D459, Mgt_Unit!$C$5:$C$1018, 0)), "")</f>
        <v/>
      </c>
      <c r="C459" s="28"/>
      <c r="D459" s="9"/>
      <c r="E459" s="45"/>
      <c r="F459" s="9"/>
      <c r="G459" s="9"/>
      <c r="H459" s="50"/>
      <c r="I459" s="9"/>
      <c r="J459" s="9"/>
      <c r="K459" s="9"/>
      <c r="L459" s="9"/>
      <c r="M459" s="9"/>
      <c r="N459" s="9"/>
      <c r="O459" s="9"/>
      <c r="P459" s="9"/>
    </row>
    <row r="460" spans="1:16" x14ac:dyDescent="0.25">
      <c r="A460" s="4"/>
      <c r="B460" s="28" t="str">
        <f>IF(ISNUMBER(MATCH(D460, Mgt_Unit!$C$5:$C$1018, 0)), INDEX(Mgt_Unit!$B$5:$B$1018, MATCH(D460, Mgt_Unit!$C$5:$C$1018, 0)), "")</f>
        <v/>
      </c>
      <c r="C460" s="28"/>
      <c r="D460" s="9"/>
      <c r="E460" s="45"/>
      <c r="F460" s="9"/>
      <c r="G460" s="9"/>
      <c r="H460" s="50"/>
      <c r="I460" s="9"/>
      <c r="J460" s="9"/>
      <c r="K460" s="9"/>
      <c r="L460" s="9"/>
      <c r="M460" s="9"/>
      <c r="N460" s="9"/>
      <c r="O460" s="9"/>
      <c r="P460" s="9"/>
    </row>
    <row r="461" spans="1:16" x14ac:dyDescent="0.25">
      <c r="A461" s="4"/>
      <c r="B461" s="28" t="str">
        <f>IF(ISNUMBER(MATCH(D461, Mgt_Unit!$C$5:$C$1018, 0)), INDEX(Mgt_Unit!$B$5:$B$1018, MATCH(D461, Mgt_Unit!$C$5:$C$1018, 0)), "")</f>
        <v/>
      </c>
      <c r="C461" s="28"/>
      <c r="D461" s="9"/>
      <c r="E461" s="45"/>
      <c r="F461" s="9"/>
      <c r="G461" s="9"/>
      <c r="H461" s="50"/>
      <c r="I461" s="9"/>
      <c r="J461" s="9"/>
      <c r="K461" s="9"/>
      <c r="L461" s="9"/>
      <c r="M461" s="9"/>
      <c r="N461" s="9"/>
      <c r="O461" s="9"/>
      <c r="P461" s="9"/>
    </row>
    <row r="462" spans="1:16" x14ac:dyDescent="0.25">
      <c r="A462" s="4"/>
      <c r="B462" s="28" t="str">
        <f>IF(ISNUMBER(MATCH(D462, Mgt_Unit!$C$5:$C$1018, 0)), INDEX(Mgt_Unit!$B$5:$B$1018, MATCH(D462, Mgt_Unit!$C$5:$C$1018, 0)), "")</f>
        <v/>
      </c>
      <c r="C462" s="28"/>
      <c r="D462" s="9"/>
      <c r="E462" s="45"/>
      <c r="F462" s="9"/>
      <c r="G462" s="9"/>
      <c r="H462" s="50"/>
      <c r="I462" s="9"/>
      <c r="J462" s="9"/>
      <c r="K462" s="9"/>
      <c r="L462" s="9"/>
      <c r="M462" s="9"/>
      <c r="N462" s="9"/>
      <c r="O462" s="9"/>
      <c r="P462" s="9"/>
    </row>
    <row r="463" spans="1:16" x14ac:dyDescent="0.25">
      <c r="A463" s="4"/>
      <c r="B463" s="28" t="str">
        <f>IF(ISNUMBER(MATCH(D463, Mgt_Unit!$C$5:$C$1018, 0)), INDEX(Mgt_Unit!$B$5:$B$1018, MATCH(D463, Mgt_Unit!$C$5:$C$1018, 0)), "")</f>
        <v/>
      </c>
      <c r="C463" s="28"/>
      <c r="D463" s="9"/>
      <c r="E463" s="45"/>
      <c r="F463" s="9"/>
      <c r="G463" s="9"/>
      <c r="H463" s="50"/>
      <c r="I463" s="9"/>
      <c r="J463" s="9"/>
      <c r="K463" s="9"/>
      <c r="L463" s="9"/>
      <c r="M463" s="9"/>
      <c r="N463" s="9"/>
      <c r="O463" s="9"/>
      <c r="P463" s="9"/>
    </row>
    <row r="464" spans="1:16" x14ac:dyDescent="0.25">
      <c r="A464" s="4"/>
      <c r="B464" s="28" t="str">
        <f>IF(ISNUMBER(MATCH(D464, Mgt_Unit!$C$5:$C$1018, 0)), INDEX(Mgt_Unit!$B$5:$B$1018, MATCH(D464, Mgt_Unit!$C$5:$C$1018, 0)), "")</f>
        <v/>
      </c>
      <c r="C464" s="28"/>
      <c r="D464" s="9"/>
      <c r="E464" s="45"/>
      <c r="F464" s="9"/>
      <c r="G464" s="9"/>
      <c r="H464" s="50"/>
      <c r="I464" s="9"/>
      <c r="J464" s="9"/>
      <c r="K464" s="9"/>
      <c r="L464" s="9"/>
      <c r="M464" s="9"/>
      <c r="N464" s="9"/>
      <c r="O464" s="9"/>
      <c r="P464" s="9"/>
    </row>
    <row r="465" spans="1:16" x14ac:dyDescent="0.25">
      <c r="A465" s="4"/>
      <c r="B465" s="28" t="str">
        <f>IF(ISNUMBER(MATCH(D465, Mgt_Unit!$C$5:$C$1018, 0)), INDEX(Mgt_Unit!$B$5:$B$1018, MATCH(D465, Mgt_Unit!$C$5:$C$1018, 0)), "")</f>
        <v/>
      </c>
      <c r="C465" s="28"/>
      <c r="D465" s="9"/>
      <c r="E465" s="45"/>
      <c r="F465" s="9"/>
      <c r="G465" s="9"/>
      <c r="H465" s="50"/>
      <c r="I465" s="9"/>
      <c r="J465" s="9"/>
      <c r="K465" s="9"/>
      <c r="L465" s="9"/>
      <c r="M465" s="9"/>
      <c r="N465" s="9"/>
      <c r="O465" s="9"/>
      <c r="P465" s="9"/>
    </row>
    <row r="466" spans="1:16" x14ac:dyDescent="0.25">
      <c r="A466" s="4"/>
      <c r="B466" s="28" t="str">
        <f>IF(ISNUMBER(MATCH(D466, Mgt_Unit!$C$5:$C$1018, 0)), INDEX(Mgt_Unit!$B$5:$B$1018, MATCH(D466, Mgt_Unit!$C$5:$C$1018, 0)), "")</f>
        <v/>
      </c>
      <c r="C466" s="28"/>
      <c r="D466" s="9"/>
      <c r="E466" s="45"/>
      <c r="F466" s="9"/>
      <c r="G466" s="9"/>
      <c r="H466" s="50"/>
      <c r="I466" s="9"/>
      <c r="J466" s="9"/>
      <c r="K466" s="9"/>
      <c r="L466" s="9"/>
      <c r="M466" s="9"/>
      <c r="N466" s="9"/>
      <c r="O466" s="9"/>
      <c r="P466" s="9"/>
    </row>
    <row r="467" spans="1:16" x14ac:dyDescent="0.25">
      <c r="A467" s="4"/>
      <c r="B467" s="28" t="str">
        <f>IF(ISNUMBER(MATCH(D467, Mgt_Unit!$C$5:$C$1018, 0)), INDEX(Mgt_Unit!$B$5:$B$1018, MATCH(D467, Mgt_Unit!$C$5:$C$1018, 0)), "")</f>
        <v/>
      </c>
      <c r="C467" s="28"/>
      <c r="D467" s="9"/>
      <c r="E467" s="45"/>
      <c r="F467" s="9"/>
      <c r="G467" s="9"/>
      <c r="H467" s="50"/>
      <c r="I467" s="9"/>
      <c r="J467" s="9"/>
      <c r="K467" s="9"/>
      <c r="L467" s="9"/>
      <c r="M467" s="9"/>
      <c r="N467" s="9"/>
      <c r="O467" s="9"/>
      <c r="P467" s="9"/>
    </row>
    <row r="468" spans="1:16" x14ac:dyDescent="0.25">
      <c r="A468" s="4"/>
      <c r="B468" s="28" t="str">
        <f>IF(ISNUMBER(MATCH(D468, Mgt_Unit!$C$5:$C$1018, 0)), INDEX(Mgt_Unit!$B$5:$B$1018, MATCH(D468, Mgt_Unit!$C$5:$C$1018, 0)), "")</f>
        <v/>
      </c>
      <c r="C468" s="28"/>
      <c r="D468" s="9"/>
      <c r="E468" s="45"/>
      <c r="F468" s="9"/>
      <c r="G468" s="9"/>
      <c r="H468" s="50"/>
      <c r="I468" s="9"/>
      <c r="J468" s="9"/>
      <c r="K468" s="9"/>
      <c r="L468" s="9"/>
      <c r="M468" s="9"/>
      <c r="N468" s="9"/>
      <c r="O468" s="9"/>
      <c r="P468" s="9"/>
    </row>
    <row r="469" spans="1:16" x14ac:dyDescent="0.25">
      <c r="A469" s="4"/>
      <c r="B469" s="28" t="str">
        <f>IF(ISNUMBER(MATCH(D469, Mgt_Unit!$C$5:$C$1018, 0)), INDEX(Mgt_Unit!$B$5:$B$1018, MATCH(D469, Mgt_Unit!$C$5:$C$1018, 0)), "")</f>
        <v/>
      </c>
      <c r="C469" s="28"/>
      <c r="D469" s="9"/>
      <c r="E469" s="45"/>
      <c r="F469" s="9"/>
      <c r="G469" s="9"/>
      <c r="H469" s="50"/>
      <c r="I469" s="9"/>
      <c r="J469" s="9"/>
      <c r="K469" s="9"/>
      <c r="L469" s="9"/>
      <c r="M469" s="9"/>
      <c r="N469" s="9"/>
      <c r="O469" s="9"/>
      <c r="P469" s="9"/>
    </row>
    <row r="470" spans="1:16" x14ac:dyDescent="0.25">
      <c r="A470" s="4"/>
      <c r="B470" s="28" t="str">
        <f>IF(ISNUMBER(MATCH(D470, Mgt_Unit!$C$5:$C$1018, 0)), INDEX(Mgt_Unit!$B$5:$B$1018, MATCH(D470, Mgt_Unit!$C$5:$C$1018, 0)), "")</f>
        <v/>
      </c>
      <c r="C470" s="28"/>
      <c r="D470" s="9"/>
      <c r="E470" s="45"/>
      <c r="F470" s="9"/>
      <c r="G470" s="9"/>
      <c r="H470" s="50"/>
      <c r="I470" s="9"/>
      <c r="J470" s="9"/>
      <c r="K470" s="9"/>
      <c r="L470" s="9"/>
      <c r="M470" s="9"/>
      <c r="N470" s="9"/>
      <c r="O470" s="9"/>
      <c r="P470" s="9"/>
    </row>
    <row r="471" spans="1:16" x14ac:dyDescent="0.25">
      <c r="A471" s="4"/>
      <c r="B471" s="28" t="str">
        <f>IF(ISNUMBER(MATCH(D471, Mgt_Unit!$C$5:$C$1018, 0)), INDEX(Mgt_Unit!$B$5:$B$1018, MATCH(D471, Mgt_Unit!$C$5:$C$1018, 0)), "")</f>
        <v/>
      </c>
      <c r="C471" s="28"/>
      <c r="D471" s="9"/>
      <c r="E471" s="45"/>
      <c r="F471" s="9"/>
      <c r="G471" s="9"/>
      <c r="H471" s="50"/>
      <c r="I471" s="9"/>
      <c r="J471" s="9"/>
      <c r="K471" s="9"/>
      <c r="L471" s="9"/>
      <c r="M471" s="9"/>
      <c r="N471" s="9"/>
      <c r="O471" s="9"/>
      <c r="P471" s="9"/>
    </row>
    <row r="472" spans="1:16" x14ac:dyDescent="0.25">
      <c r="A472" s="4"/>
      <c r="B472" s="28" t="str">
        <f>IF(ISNUMBER(MATCH(D472, Mgt_Unit!$C$5:$C$1018, 0)), INDEX(Mgt_Unit!$B$5:$B$1018, MATCH(D472, Mgt_Unit!$C$5:$C$1018, 0)), "")</f>
        <v/>
      </c>
      <c r="C472" s="28"/>
      <c r="D472" s="9"/>
      <c r="E472" s="45"/>
      <c r="F472" s="9"/>
      <c r="G472" s="9"/>
      <c r="H472" s="50"/>
      <c r="I472" s="9"/>
      <c r="J472" s="9"/>
      <c r="K472" s="9"/>
      <c r="L472" s="9"/>
      <c r="M472" s="9"/>
      <c r="N472" s="9"/>
      <c r="O472" s="9"/>
      <c r="P472" s="9"/>
    </row>
    <row r="473" spans="1:16" x14ac:dyDescent="0.25">
      <c r="A473" s="4"/>
      <c r="B473" s="28" t="str">
        <f>IF(ISNUMBER(MATCH(D473, Mgt_Unit!$C$5:$C$1018, 0)), INDEX(Mgt_Unit!$B$5:$B$1018, MATCH(D473, Mgt_Unit!$C$5:$C$1018, 0)), "")</f>
        <v/>
      </c>
      <c r="C473" s="28"/>
      <c r="D473" s="9"/>
      <c r="E473" s="45"/>
      <c r="F473" s="9"/>
      <c r="G473" s="9"/>
      <c r="H473" s="50"/>
      <c r="I473" s="9"/>
      <c r="J473" s="9"/>
      <c r="K473" s="9"/>
      <c r="L473" s="9"/>
      <c r="M473" s="9"/>
      <c r="N473" s="9"/>
      <c r="O473" s="9"/>
      <c r="P473" s="9"/>
    </row>
    <row r="474" spans="1:16" x14ac:dyDescent="0.25">
      <c r="A474" s="4"/>
      <c r="B474" s="28" t="str">
        <f>IF(ISNUMBER(MATCH(D474, Mgt_Unit!$C$5:$C$1018, 0)), INDEX(Mgt_Unit!$B$5:$B$1018, MATCH(D474, Mgt_Unit!$C$5:$C$1018, 0)), "")</f>
        <v/>
      </c>
      <c r="C474" s="28"/>
      <c r="D474" s="9"/>
      <c r="E474" s="45"/>
      <c r="F474" s="9"/>
      <c r="G474" s="9"/>
      <c r="H474" s="50"/>
      <c r="I474" s="9"/>
      <c r="J474" s="9"/>
      <c r="K474" s="9"/>
      <c r="L474" s="9"/>
      <c r="M474" s="9"/>
      <c r="N474" s="9"/>
      <c r="O474" s="9"/>
      <c r="P474" s="9"/>
    </row>
    <row r="475" spans="1:16" x14ac:dyDescent="0.25">
      <c r="A475" s="4"/>
      <c r="B475" s="28" t="str">
        <f>IF(ISNUMBER(MATCH(D475, Mgt_Unit!$C$5:$C$1018, 0)), INDEX(Mgt_Unit!$B$5:$B$1018, MATCH(D475, Mgt_Unit!$C$5:$C$1018, 0)), "")</f>
        <v/>
      </c>
      <c r="C475" s="28"/>
      <c r="D475" s="9"/>
      <c r="E475" s="45"/>
      <c r="F475" s="9"/>
      <c r="G475" s="9"/>
      <c r="H475" s="50"/>
      <c r="I475" s="9"/>
      <c r="J475" s="9"/>
      <c r="K475" s="9"/>
      <c r="L475" s="9"/>
      <c r="M475" s="9"/>
      <c r="N475" s="9"/>
      <c r="O475" s="9"/>
      <c r="P475" s="9"/>
    </row>
    <row r="476" spans="1:16" x14ac:dyDescent="0.25">
      <c r="A476" s="4"/>
      <c r="B476" s="28" t="str">
        <f>IF(ISNUMBER(MATCH(D476, Mgt_Unit!$C$5:$C$1018, 0)), INDEX(Mgt_Unit!$B$5:$B$1018, MATCH(D476, Mgt_Unit!$C$5:$C$1018, 0)), "")</f>
        <v/>
      </c>
      <c r="C476" s="28"/>
      <c r="D476" s="9"/>
      <c r="E476" s="45"/>
      <c r="F476" s="9"/>
      <c r="G476" s="9"/>
      <c r="H476" s="50"/>
      <c r="I476" s="9"/>
      <c r="J476" s="9"/>
      <c r="K476" s="9"/>
      <c r="L476" s="9"/>
      <c r="M476" s="9"/>
      <c r="N476" s="9"/>
      <c r="O476" s="9"/>
      <c r="P476" s="9"/>
    </row>
    <row r="477" spans="1:16" x14ac:dyDescent="0.25">
      <c r="A477" s="4"/>
      <c r="B477" s="28" t="str">
        <f>IF(ISNUMBER(MATCH(D477, Mgt_Unit!$C$5:$C$1018, 0)), INDEX(Mgt_Unit!$B$5:$B$1018, MATCH(D477, Mgt_Unit!$C$5:$C$1018, 0)), "")</f>
        <v/>
      </c>
      <c r="C477" s="28"/>
      <c r="D477" s="9"/>
      <c r="E477" s="45"/>
      <c r="F477" s="9"/>
      <c r="G477" s="9"/>
      <c r="H477" s="50"/>
      <c r="I477" s="9"/>
      <c r="J477" s="9"/>
      <c r="K477" s="9"/>
      <c r="L477" s="9"/>
      <c r="M477" s="9"/>
      <c r="N477" s="9"/>
      <c r="O477" s="9"/>
      <c r="P477" s="9"/>
    </row>
    <row r="478" spans="1:16" x14ac:dyDescent="0.25">
      <c r="A478" s="4"/>
      <c r="B478" s="28" t="str">
        <f>IF(ISNUMBER(MATCH(D478, Mgt_Unit!$C$5:$C$1018, 0)), INDEX(Mgt_Unit!$B$5:$B$1018, MATCH(D478, Mgt_Unit!$C$5:$C$1018, 0)), "")</f>
        <v/>
      </c>
      <c r="C478" s="28"/>
      <c r="D478" s="9"/>
      <c r="E478" s="45"/>
      <c r="F478" s="9"/>
      <c r="G478" s="9"/>
      <c r="H478" s="50"/>
      <c r="I478" s="9"/>
      <c r="J478" s="9"/>
      <c r="K478" s="9"/>
      <c r="L478" s="9"/>
      <c r="M478" s="9"/>
      <c r="N478" s="9"/>
      <c r="O478" s="9"/>
      <c r="P478" s="9"/>
    </row>
    <row r="479" spans="1:16" x14ac:dyDescent="0.25">
      <c r="A479" s="4"/>
      <c r="B479" s="28" t="str">
        <f>IF(ISNUMBER(MATCH(D479, Mgt_Unit!$C$5:$C$1018, 0)), INDEX(Mgt_Unit!$B$5:$B$1018, MATCH(D479, Mgt_Unit!$C$5:$C$1018, 0)), "")</f>
        <v/>
      </c>
      <c r="C479" s="28"/>
      <c r="D479" s="9"/>
      <c r="E479" s="45"/>
      <c r="F479" s="9"/>
      <c r="G479" s="9"/>
      <c r="H479" s="50"/>
      <c r="I479" s="9"/>
      <c r="J479" s="9"/>
      <c r="K479" s="9"/>
      <c r="L479" s="9"/>
      <c r="M479" s="9"/>
      <c r="N479" s="9"/>
      <c r="O479" s="9"/>
      <c r="P479" s="9"/>
    </row>
    <row r="480" spans="1:16" x14ac:dyDescent="0.25">
      <c r="A480" s="4"/>
      <c r="B480" s="28" t="str">
        <f>IF(ISNUMBER(MATCH(D480, Mgt_Unit!$C$5:$C$1018, 0)), INDEX(Mgt_Unit!$B$5:$B$1018, MATCH(D480, Mgt_Unit!$C$5:$C$1018, 0)), "")</f>
        <v/>
      </c>
      <c r="C480" s="28"/>
      <c r="D480" s="9"/>
      <c r="E480" s="45"/>
      <c r="F480" s="9"/>
      <c r="G480" s="9"/>
      <c r="H480" s="50"/>
      <c r="I480" s="9"/>
      <c r="J480" s="9"/>
      <c r="K480" s="9"/>
      <c r="L480" s="9"/>
      <c r="M480" s="9"/>
      <c r="N480" s="9"/>
      <c r="O480" s="9"/>
      <c r="P480" s="9"/>
    </row>
    <row r="481" spans="1:16" x14ac:dyDescent="0.25">
      <c r="A481" s="4"/>
      <c r="B481" s="28" t="str">
        <f>IF(ISNUMBER(MATCH(D481, Mgt_Unit!$C$5:$C$1018, 0)), INDEX(Mgt_Unit!$B$5:$B$1018, MATCH(D481, Mgt_Unit!$C$5:$C$1018, 0)), "")</f>
        <v/>
      </c>
      <c r="C481" s="28"/>
      <c r="D481" s="9"/>
      <c r="E481" s="45"/>
      <c r="F481" s="9"/>
      <c r="G481" s="9"/>
      <c r="H481" s="50"/>
      <c r="I481" s="9"/>
      <c r="J481" s="9"/>
      <c r="K481" s="9"/>
      <c r="L481" s="9"/>
      <c r="M481" s="9"/>
      <c r="N481" s="9"/>
      <c r="O481" s="9"/>
      <c r="P481" s="9"/>
    </row>
    <row r="482" spans="1:16" x14ac:dyDescent="0.25">
      <c r="A482" s="4"/>
      <c r="B482" s="28" t="str">
        <f>IF(ISNUMBER(MATCH(D482, Mgt_Unit!$C$5:$C$1018, 0)), INDEX(Mgt_Unit!$B$5:$B$1018, MATCH(D482, Mgt_Unit!$C$5:$C$1018, 0)), "")</f>
        <v/>
      </c>
      <c r="C482" s="28"/>
      <c r="D482" s="9"/>
      <c r="E482" s="45"/>
      <c r="F482" s="9"/>
      <c r="G482" s="9"/>
      <c r="H482" s="50"/>
      <c r="I482" s="9"/>
      <c r="J482" s="9"/>
      <c r="K482" s="9"/>
      <c r="L482" s="9"/>
      <c r="M482" s="9"/>
      <c r="N482" s="9"/>
      <c r="O482" s="9"/>
      <c r="P482" s="9"/>
    </row>
    <row r="483" spans="1:16" x14ac:dyDescent="0.25">
      <c r="A483" s="4"/>
      <c r="B483" s="28" t="str">
        <f>IF(ISNUMBER(MATCH(D483, Mgt_Unit!$C$5:$C$1018, 0)), INDEX(Mgt_Unit!$B$5:$B$1018, MATCH(D483, Mgt_Unit!$C$5:$C$1018, 0)), "")</f>
        <v/>
      </c>
      <c r="C483" s="28"/>
      <c r="D483" s="9"/>
      <c r="E483" s="45"/>
      <c r="F483" s="9"/>
      <c r="G483" s="9"/>
      <c r="H483" s="50"/>
      <c r="I483" s="9"/>
      <c r="J483" s="9"/>
      <c r="K483" s="9"/>
      <c r="L483" s="9"/>
      <c r="M483" s="9"/>
      <c r="N483" s="9"/>
      <c r="O483" s="9"/>
      <c r="P483" s="9"/>
    </row>
    <row r="484" spans="1:16" x14ac:dyDescent="0.25">
      <c r="A484" s="4"/>
      <c r="B484" s="28" t="str">
        <f>IF(ISNUMBER(MATCH(D484, Mgt_Unit!$C$5:$C$1018, 0)), INDEX(Mgt_Unit!$B$5:$B$1018, MATCH(D484, Mgt_Unit!$C$5:$C$1018, 0)), "")</f>
        <v/>
      </c>
      <c r="C484" s="28"/>
      <c r="D484" s="9"/>
      <c r="E484" s="45"/>
      <c r="F484" s="9"/>
      <c r="G484" s="9"/>
      <c r="H484" s="50"/>
      <c r="I484" s="9"/>
      <c r="J484" s="9"/>
      <c r="K484" s="9"/>
      <c r="L484" s="9"/>
      <c r="M484" s="9"/>
      <c r="N484" s="9"/>
      <c r="O484" s="9"/>
      <c r="P484" s="9"/>
    </row>
    <row r="485" spans="1:16" x14ac:dyDescent="0.25">
      <c r="A485" s="4"/>
      <c r="B485" s="28" t="str">
        <f>IF(ISNUMBER(MATCH(D485, Mgt_Unit!$C$5:$C$1018, 0)), INDEX(Mgt_Unit!$B$5:$B$1018, MATCH(D485, Mgt_Unit!$C$5:$C$1018, 0)), "")</f>
        <v/>
      </c>
      <c r="C485" s="28"/>
      <c r="D485" s="9"/>
      <c r="E485" s="45"/>
      <c r="F485" s="9"/>
      <c r="G485" s="9"/>
      <c r="H485" s="50"/>
      <c r="I485" s="9"/>
      <c r="J485" s="9"/>
      <c r="K485" s="9"/>
      <c r="L485" s="9"/>
      <c r="M485" s="9"/>
      <c r="N485" s="9"/>
      <c r="O485" s="9"/>
      <c r="P485" s="9"/>
    </row>
    <row r="486" spans="1:16" x14ac:dyDescent="0.25">
      <c r="A486" s="4"/>
      <c r="B486" s="28" t="str">
        <f>IF(ISNUMBER(MATCH(D486, Mgt_Unit!$C$5:$C$1018, 0)), INDEX(Mgt_Unit!$B$5:$B$1018, MATCH(D486, Mgt_Unit!$C$5:$C$1018, 0)), "")</f>
        <v/>
      </c>
      <c r="C486" s="28"/>
      <c r="D486" s="9"/>
      <c r="E486" s="45"/>
      <c r="F486" s="9"/>
      <c r="G486" s="9"/>
      <c r="H486" s="50"/>
      <c r="I486" s="9"/>
      <c r="J486" s="9"/>
      <c r="K486" s="9"/>
      <c r="L486" s="9"/>
      <c r="M486" s="9"/>
      <c r="N486" s="9"/>
      <c r="O486" s="9"/>
      <c r="P486" s="9"/>
    </row>
    <row r="487" spans="1:16" x14ac:dyDescent="0.25">
      <c r="A487" s="4"/>
      <c r="B487" s="28" t="str">
        <f>IF(ISNUMBER(MATCH(D487, Mgt_Unit!$C$5:$C$1018, 0)), INDEX(Mgt_Unit!$B$5:$B$1018, MATCH(D487, Mgt_Unit!$C$5:$C$1018, 0)), "")</f>
        <v/>
      </c>
      <c r="C487" s="28"/>
      <c r="D487" s="9"/>
      <c r="E487" s="45"/>
      <c r="F487" s="9"/>
      <c r="G487" s="9"/>
      <c r="H487" s="50"/>
      <c r="I487" s="9"/>
      <c r="J487" s="9"/>
      <c r="K487" s="9"/>
      <c r="L487" s="9"/>
      <c r="M487" s="9"/>
      <c r="N487" s="9"/>
      <c r="O487" s="9"/>
      <c r="P487" s="9"/>
    </row>
    <row r="488" spans="1:16" x14ac:dyDescent="0.25">
      <c r="A488" s="4"/>
      <c r="B488" s="28" t="str">
        <f>IF(ISNUMBER(MATCH(D488, Mgt_Unit!$C$5:$C$1018, 0)), INDEX(Mgt_Unit!$B$5:$B$1018, MATCH(D488, Mgt_Unit!$C$5:$C$1018, 0)), "")</f>
        <v/>
      </c>
      <c r="C488" s="28"/>
      <c r="D488" s="9"/>
      <c r="E488" s="45"/>
      <c r="F488" s="9"/>
      <c r="G488" s="9"/>
      <c r="H488" s="50"/>
      <c r="I488" s="9"/>
      <c r="J488" s="9"/>
      <c r="K488" s="9"/>
      <c r="L488" s="9"/>
      <c r="M488" s="9"/>
      <c r="N488" s="9"/>
      <c r="O488" s="9"/>
      <c r="P488" s="9"/>
    </row>
    <row r="489" spans="1:16" x14ac:dyDescent="0.25">
      <c r="A489" s="4"/>
      <c r="B489" s="28" t="str">
        <f>IF(ISNUMBER(MATCH(D489, Mgt_Unit!$C$5:$C$1018, 0)), INDEX(Mgt_Unit!$B$5:$B$1018, MATCH(D489, Mgt_Unit!$C$5:$C$1018, 0)), "")</f>
        <v/>
      </c>
      <c r="C489" s="28"/>
      <c r="D489" s="9"/>
      <c r="E489" s="45"/>
      <c r="F489" s="9"/>
      <c r="G489" s="9"/>
      <c r="H489" s="50"/>
      <c r="I489" s="9"/>
      <c r="J489" s="9"/>
      <c r="K489" s="9"/>
      <c r="L489" s="9"/>
      <c r="M489" s="9"/>
      <c r="N489" s="9"/>
      <c r="O489" s="9"/>
      <c r="P489" s="9"/>
    </row>
    <row r="490" spans="1:16" x14ac:dyDescent="0.25">
      <c r="A490" s="4"/>
      <c r="B490" s="28" t="str">
        <f>IF(ISNUMBER(MATCH(D490, Mgt_Unit!$C$5:$C$1018, 0)), INDEX(Mgt_Unit!$B$5:$B$1018, MATCH(D490, Mgt_Unit!$C$5:$C$1018, 0)), "")</f>
        <v/>
      </c>
      <c r="C490" s="28"/>
      <c r="D490" s="9"/>
      <c r="E490" s="45"/>
      <c r="F490" s="9"/>
      <c r="G490" s="9"/>
      <c r="H490" s="50"/>
      <c r="I490" s="9"/>
      <c r="J490" s="9"/>
      <c r="K490" s="9"/>
      <c r="L490" s="9"/>
      <c r="M490" s="9"/>
      <c r="N490" s="9"/>
      <c r="O490" s="9"/>
      <c r="P490" s="9"/>
    </row>
    <row r="491" spans="1:16" x14ac:dyDescent="0.25">
      <c r="A491" s="4"/>
      <c r="B491" s="28" t="str">
        <f>IF(ISNUMBER(MATCH(D491, Mgt_Unit!$C$5:$C$1018, 0)), INDEX(Mgt_Unit!$B$5:$B$1018, MATCH(D491, Mgt_Unit!$C$5:$C$1018, 0)), "")</f>
        <v/>
      </c>
      <c r="C491" s="28"/>
      <c r="D491" s="9"/>
      <c r="E491" s="45"/>
      <c r="F491" s="9"/>
      <c r="G491" s="9"/>
      <c r="H491" s="50"/>
      <c r="I491" s="9"/>
      <c r="J491" s="9"/>
      <c r="K491" s="9"/>
      <c r="L491" s="9"/>
      <c r="M491" s="9"/>
      <c r="N491" s="9"/>
      <c r="O491" s="9"/>
      <c r="P491" s="9"/>
    </row>
    <row r="492" spans="1:16" x14ac:dyDescent="0.25">
      <c r="A492" s="4"/>
      <c r="B492" s="28" t="str">
        <f>IF(ISNUMBER(MATCH(D492, Mgt_Unit!$C$5:$C$1018, 0)), INDEX(Mgt_Unit!$B$5:$B$1018, MATCH(D492, Mgt_Unit!$C$5:$C$1018, 0)), "")</f>
        <v/>
      </c>
      <c r="C492" s="28"/>
      <c r="D492" s="9"/>
      <c r="E492" s="45"/>
      <c r="F492" s="9"/>
      <c r="G492" s="9"/>
      <c r="H492" s="50"/>
      <c r="I492" s="9"/>
      <c r="J492" s="9"/>
      <c r="K492" s="9"/>
      <c r="L492" s="9"/>
      <c r="M492" s="9"/>
      <c r="N492" s="9"/>
      <c r="O492" s="9"/>
      <c r="P492" s="9"/>
    </row>
    <row r="493" spans="1:16" x14ac:dyDescent="0.25">
      <c r="A493" s="4"/>
      <c r="B493" s="28" t="str">
        <f>IF(ISNUMBER(MATCH(D493, Mgt_Unit!$C$5:$C$1018, 0)), INDEX(Mgt_Unit!$B$5:$B$1018, MATCH(D493, Mgt_Unit!$C$5:$C$1018, 0)), "")</f>
        <v/>
      </c>
      <c r="C493" s="28"/>
      <c r="D493" s="9"/>
      <c r="E493" s="45"/>
      <c r="F493" s="9"/>
      <c r="G493" s="9"/>
      <c r="H493" s="50"/>
      <c r="I493" s="9"/>
      <c r="J493" s="9"/>
      <c r="K493" s="9"/>
      <c r="L493" s="9"/>
      <c r="M493" s="9"/>
      <c r="N493" s="9"/>
      <c r="O493" s="9"/>
      <c r="P493" s="9"/>
    </row>
    <row r="494" spans="1:16" x14ac:dyDescent="0.25">
      <c r="A494" s="4"/>
      <c r="B494" s="28" t="str">
        <f>IF(ISNUMBER(MATCH(D494, Mgt_Unit!$C$5:$C$1018, 0)), INDEX(Mgt_Unit!$B$5:$B$1018, MATCH(D494, Mgt_Unit!$C$5:$C$1018, 0)), "")</f>
        <v/>
      </c>
      <c r="C494" s="28"/>
      <c r="D494" s="9"/>
      <c r="E494" s="45"/>
      <c r="F494" s="9"/>
      <c r="G494" s="9"/>
      <c r="H494" s="50"/>
      <c r="I494" s="9"/>
      <c r="J494" s="9"/>
      <c r="K494" s="9"/>
      <c r="L494" s="9"/>
      <c r="M494" s="9"/>
      <c r="N494" s="9"/>
      <c r="O494" s="9"/>
      <c r="P494" s="9"/>
    </row>
    <row r="495" spans="1:16" x14ac:dyDescent="0.25">
      <c r="A495" s="4"/>
      <c r="B495" s="28" t="str">
        <f>IF(ISNUMBER(MATCH(D495, Mgt_Unit!$C$5:$C$1018, 0)), INDEX(Mgt_Unit!$B$5:$B$1018, MATCH(D495, Mgt_Unit!$C$5:$C$1018, 0)), "")</f>
        <v/>
      </c>
      <c r="C495" s="28"/>
      <c r="D495" s="9"/>
      <c r="E495" s="45"/>
      <c r="F495" s="9"/>
      <c r="G495" s="9"/>
      <c r="H495" s="50"/>
      <c r="I495" s="9"/>
      <c r="J495" s="9"/>
      <c r="K495" s="9"/>
      <c r="L495" s="9"/>
      <c r="M495" s="9"/>
      <c r="N495" s="9"/>
      <c r="O495" s="9"/>
      <c r="P495" s="9"/>
    </row>
    <row r="496" spans="1:16" x14ac:dyDescent="0.25">
      <c r="A496" s="4"/>
      <c r="B496" s="28" t="str">
        <f>IF(ISNUMBER(MATCH(D496, Mgt_Unit!$C$5:$C$1018, 0)), INDEX(Mgt_Unit!$B$5:$B$1018, MATCH(D496, Mgt_Unit!$C$5:$C$1018, 0)), "")</f>
        <v/>
      </c>
      <c r="C496" s="28"/>
      <c r="D496" s="9"/>
      <c r="E496" s="45"/>
      <c r="F496" s="9"/>
      <c r="G496" s="9"/>
      <c r="H496" s="50"/>
      <c r="I496" s="9"/>
      <c r="J496" s="9"/>
      <c r="K496" s="9"/>
      <c r="L496" s="9"/>
      <c r="M496" s="9"/>
      <c r="N496" s="9"/>
      <c r="O496" s="9"/>
      <c r="P496" s="9"/>
    </row>
    <row r="497" spans="1:16" x14ac:dyDescent="0.25">
      <c r="A497" s="4"/>
      <c r="B497" s="28" t="str">
        <f>IF(ISNUMBER(MATCH(D497, Mgt_Unit!$C$5:$C$1018, 0)), INDEX(Mgt_Unit!$B$5:$B$1018, MATCH(D497, Mgt_Unit!$C$5:$C$1018, 0)), "")</f>
        <v/>
      </c>
      <c r="C497" s="28"/>
      <c r="D497" s="9"/>
      <c r="E497" s="45"/>
      <c r="F497" s="9"/>
      <c r="G497" s="9"/>
      <c r="H497" s="50"/>
      <c r="I497" s="9"/>
      <c r="J497" s="9"/>
      <c r="K497" s="9"/>
      <c r="L497" s="9"/>
      <c r="M497" s="9"/>
      <c r="N497" s="9"/>
      <c r="O497" s="9"/>
      <c r="P497" s="9"/>
    </row>
    <row r="498" spans="1:16" x14ac:dyDescent="0.25">
      <c r="A498" s="4"/>
      <c r="B498" s="28" t="str">
        <f>IF(ISNUMBER(MATCH(D498, Mgt_Unit!$C$5:$C$1018, 0)), INDEX(Mgt_Unit!$B$5:$B$1018, MATCH(D498, Mgt_Unit!$C$5:$C$1018, 0)), "")</f>
        <v/>
      </c>
      <c r="C498" s="28"/>
      <c r="D498" s="9"/>
      <c r="E498" s="45"/>
      <c r="F498" s="9"/>
      <c r="G498" s="9"/>
      <c r="H498" s="50"/>
      <c r="I498" s="9"/>
      <c r="J498" s="9"/>
      <c r="K498" s="9"/>
      <c r="L498" s="9"/>
      <c r="M498" s="9"/>
      <c r="N498" s="9"/>
      <c r="O498" s="9"/>
      <c r="P498" s="9"/>
    </row>
    <row r="499" spans="1:16" x14ac:dyDescent="0.25">
      <c r="A499" s="4"/>
      <c r="B499" s="28" t="str">
        <f>IF(ISNUMBER(MATCH(D499, Mgt_Unit!$C$5:$C$1018, 0)), INDEX(Mgt_Unit!$B$5:$B$1018, MATCH(D499, Mgt_Unit!$C$5:$C$1018, 0)), "")</f>
        <v/>
      </c>
      <c r="C499" s="28"/>
      <c r="D499" s="9"/>
      <c r="E499" s="45"/>
      <c r="F499" s="9"/>
      <c r="G499" s="9"/>
      <c r="H499" s="50"/>
      <c r="I499" s="9"/>
      <c r="J499" s="9"/>
      <c r="K499" s="9"/>
      <c r="L499" s="9"/>
      <c r="M499" s="9"/>
      <c r="N499" s="9"/>
      <c r="O499" s="9"/>
      <c r="P499" s="9"/>
    </row>
    <row r="500" spans="1:16" x14ac:dyDescent="0.25">
      <c r="A500" s="4"/>
      <c r="B500" s="28" t="str">
        <f>IF(ISNUMBER(MATCH(D500, Mgt_Unit!$C$5:$C$1018, 0)), INDEX(Mgt_Unit!$B$5:$B$1018, MATCH(D500, Mgt_Unit!$C$5:$C$1018, 0)), "")</f>
        <v/>
      </c>
      <c r="C500" s="28"/>
      <c r="D500" s="9"/>
      <c r="E500" s="45"/>
      <c r="F500" s="9"/>
      <c r="G500" s="9"/>
      <c r="H500" s="50"/>
      <c r="I500" s="9"/>
      <c r="J500" s="9"/>
      <c r="K500" s="9"/>
      <c r="L500" s="9"/>
      <c r="M500" s="9"/>
      <c r="N500" s="9"/>
      <c r="O500" s="9"/>
      <c r="P500" s="9"/>
    </row>
    <row r="501" spans="1:16" x14ac:dyDescent="0.25">
      <c r="A501" s="4"/>
      <c r="B501" s="28" t="str">
        <f>IF(ISNUMBER(MATCH(D501, Mgt_Unit!$C$5:$C$1018, 0)), INDEX(Mgt_Unit!$B$5:$B$1018, MATCH(D501, Mgt_Unit!$C$5:$C$1018, 0)), "")</f>
        <v/>
      </c>
      <c r="C501" s="28"/>
      <c r="D501" s="9"/>
      <c r="E501" s="45"/>
      <c r="F501" s="9"/>
      <c r="G501" s="9"/>
      <c r="H501" s="50"/>
      <c r="I501" s="9"/>
      <c r="J501" s="9"/>
      <c r="K501" s="9"/>
      <c r="L501" s="9"/>
      <c r="M501" s="9"/>
      <c r="N501" s="9"/>
      <c r="O501" s="9"/>
      <c r="P501" s="9"/>
    </row>
    <row r="502" spans="1:16" x14ac:dyDescent="0.25">
      <c r="A502" s="4"/>
      <c r="B502" s="28" t="str">
        <f>IF(ISNUMBER(MATCH(D502, Mgt_Unit!$C$5:$C$1018, 0)), INDEX(Mgt_Unit!$B$5:$B$1018, MATCH(D502, Mgt_Unit!$C$5:$C$1018, 0)), "")</f>
        <v/>
      </c>
      <c r="C502" s="28"/>
      <c r="D502" s="9"/>
      <c r="E502" s="45"/>
      <c r="F502" s="9"/>
      <c r="G502" s="9"/>
      <c r="H502" s="50"/>
      <c r="I502" s="9"/>
      <c r="J502" s="9"/>
      <c r="K502" s="9"/>
      <c r="L502" s="9"/>
      <c r="M502" s="9"/>
      <c r="N502" s="9"/>
      <c r="O502" s="9"/>
      <c r="P502" s="9"/>
    </row>
    <row r="503" spans="1:16" x14ac:dyDescent="0.25">
      <c r="A503" s="14"/>
      <c r="B503" s="28" t="str">
        <f>IF(ISNUMBER(MATCH(D503, Mgt_Unit!$C$5:$C$1018, 0)), INDEX(Mgt_Unit!$B$5:$B$1018, MATCH(D503, Mgt_Unit!$C$5:$C$1018, 0)), "")</f>
        <v/>
      </c>
      <c r="C503" s="28"/>
      <c r="D503" s="9"/>
      <c r="E503" s="45"/>
      <c r="F503" s="9"/>
      <c r="G503" s="9"/>
      <c r="H503" s="50"/>
      <c r="I503" s="9"/>
      <c r="J503" s="9"/>
      <c r="K503" s="9"/>
      <c r="L503" s="9"/>
      <c r="M503" s="9"/>
      <c r="N503" s="9"/>
      <c r="O503" s="9"/>
      <c r="P503" s="9"/>
    </row>
    <row r="504" spans="1:16" x14ac:dyDescent="0.25">
      <c r="A504" s="4"/>
      <c r="B504" s="28" t="str">
        <f>IF(ISNUMBER(MATCH(D504, Mgt_Unit!$C$5:$C$1018, 0)), INDEX(Mgt_Unit!$B$5:$B$1018, MATCH(D504, Mgt_Unit!$C$5:$C$1018, 0)), "")</f>
        <v/>
      </c>
      <c r="C504" s="28"/>
      <c r="D504" s="9"/>
      <c r="E504" s="45"/>
      <c r="F504" s="9"/>
      <c r="G504" s="9"/>
      <c r="H504" s="50"/>
      <c r="I504" s="9"/>
      <c r="J504" s="9"/>
      <c r="K504" s="33"/>
      <c r="L504" s="33"/>
      <c r="M504" s="33"/>
      <c r="N504" s="35"/>
      <c r="O504" s="35"/>
      <c r="P504" s="9"/>
    </row>
    <row r="505" spans="1:16" x14ac:dyDescent="0.25">
      <c r="A505" s="4"/>
      <c r="B505" s="28" t="str">
        <f>IF(ISNUMBER(MATCH(D505, Mgt_Unit!$C$5:$C$1018, 0)), INDEX(Mgt_Unit!$B$5:$B$1018, MATCH(D505, Mgt_Unit!$C$5:$C$1018, 0)), "")</f>
        <v/>
      </c>
      <c r="C505" s="28"/>
      <c r="D505" s="9"/>
      <c r="E505" s="45"/>
      <c r="F505" s="9"/>
      <c r="G505" s="9"/>
      <c r="H505" s="50"/>
      <c r="I505" s="9"/>
      <c r="J505" s="9"/>
      <c r="K505" s="9"/>
      <c r="L505" s="9"/>
      <c r="M505" s="9"/>
      <c r="N505" s="35"/>
      <c r="O505" s="35"/>
      <c r="P505" s="9"/>
    </row>
    <row r="506" spans="1:16" x14ac:dyDescent="0.25">
      <c r="A506" s="4"/>
      <c r="B506" s="28" t="str">
        <f>IF(ISNUMBER(MATCH(D506, Mgt_Unit!$C$5:$C$1018, 0)), INDEX(Mgt_Unit!$B$5:$B$1018, MATCH(D506, Mgt_Unit!$C$5:$C$1018, 0)), "")</f>
        <v/>
      </c>
      <c r="C506" s="28"/>
      <c r="D506" s="9"/>
      <c r="E506" s="45"/>
      <c r="F506" s="9"/>
      <c r="G506" s="9"/>
      <c r="H506" s="50"/>
      <c r="I506" s="9"/>
      <c r="J506" s="9"/>
      <c r="K506" s="9"/>
      <c r="L506" s="9"/>
      <c r="M506" s="9"/>
      <c r="N506" s="35"/>
      <c r="O506" s="35"/>
      <c r="P506" s="9"/>
    </row>
    <row r="507" spans="1:16" x14ac:dyDescent="0.25">
      <c r="A507" s="4"/>
      <c r="B507" s="28" t="str">
        <f>IF(ISNUMBER(MATCH(D507, Mgt_Unit!$C$5:$C$1018, 0)), INDEX(Mgt_Unit!$B$5:$B$1018, MATCH(D507, Mgt_Unit!$C$5:$C$1018, 0)), "")</f>
        <v/>
      </c>
      <c r="C507" s="28"/>
      <c r="D507" s="9"/>
      <c r="E507" s="45"/>
      <c r="F507" s="9"/>
      <c r="G507" s="9"/>
      <c r="H507" s="50"/>
      <c r="I507" s="9"/>
      <c r="J507" s="9"/>
      <c r="K507" s="9"/>
      <c r="L507" s="9"/>
      <c r="M507" s="9"/>
      <c r="N507" s="9"/>
      <c r="O507" s="9"/>
      <c r="P507" s="9"/>
    </row>
    <row r="508" spans="1:16" x14ac:dyDescent="0.25">
      <c r="A508" s="4"/>
      <c r="B508" s="28" t="str">
        <f>IF(ISNUMBER(MATCH(D508, Mgt_Unit!$C$5:$C$1018, 0)), INDEX(Mgt_Unit!$B$5:$B$1018, MATCH(D508, Mgt_Unit!$C$5:$C$1018, 0)), "")</f>
        <v/>
      </c>
      <c r="C508" s="28"/>
      <c r="D508" s="9"/>
      <c r="E508" s="45"/>
      <c r="F508" s="9"/>
      <c r="G508" s="9"/>
      <c r="H508" s="50"/>
      <c r="I508" s="9"/>
      <c r="J508" s="9"/>
      <c r="K508" s="9"/>
      <c r="L508" s="9"/>
      <c r="M508" s="9"/>
      <c r="N508" s="9"/>
      <c r="O508" s="9"/>
      <c r="P508" s="9"/>
    </row>
    <row r="509" spans="1:16" x14ac:dyDescent="0.25">
      <c r="A509" s="4"/>
      <c r="B509" s="28" t="str">
        <f>IF(ISNUMBER(MATCH(D509, Mgt_Unit!$C$5:$C$1018, 0)), INDEX(Mgt_Unit!$B$5:$B$1018, MATCH(D509, Mgt_Unit!$C$5:$C$1018, 0)), "")</f>
        <v/>
      </c>
      <c r="C509" s="28"/>
      <c r="D509" s="9"/>
      <c r="E509" s="45"/>
      <c r="F509" s="9"/>
      <c r="G509" s="9"/>
      <c r="H509" s="50"/>
      <c r="I509" s="9"/>
      <c r="J509" s="9"/>
      <c r="K509" s="9"/>
      <c r="L509" s="9"/>
      <c r="M509" s="9"/>
      <c r="N509" s="9"/>
      <c r="O509" s="9"/>
      <c r="P509" s="9"/>
    </row>
    <row r="510" spans="1:16" x14ac:dyDescent="0.25">
      <c r="A510" s="4"/>
      <c r="B510" s="28" t="str">
        <f>IF(ISNUMBER(MATCH(D510, Mgt_Unit!$C$5:$C$1018, 0)), INDEX(Mgt_Unit!$B$5:$B$1018, MATCH(D510, Mgt_Unit!$C$5:$C$1018, 0)), "")</f>
        <v/>
      </c>
      <c r="C510" s="28"/>
      <c r="D510" s="9"/>
      <c r="E510" s="45"/>
      <c r="F510" s="9"/>
      <c r="G510" s="9"/>
      <c r="H510" s="50"/>
      <c r="I510" s="9"/>
      <c r="J510" s="9"/>
      <c r="K510" s="9"/>
      <c r="L510" s="9"/>
      <c r="M510" s="9"/>
      <c r="N510" s="9"/>
      <c r="O510" s="9"/>
      <c r="P510" s="9"/>
    </row>
    <row r="511" spans="1:16" x14ac:dyDescent="0.25">
      <c r="A511" s="4"/>
      <c r="B511" s="28" t="str">
        <f>IF(ISNUMBER(MATCH(D511, Mgt_Unit!$C$5:$C$1018, 0)), INDEX(Mgt_Unit!$B$5:$B$1018, MATCH(D511, Mgt_Unit!$C$5:$C$1018, 0)), "")</f>
        <v/>
      </c>
      <c r="C511" s="28"/>
      <c r="D511" s="9"/>
      <c r="E511" s="45"/>
      <c r="F511" s="9"/>
      <c r="G511" s="9"/>
      <c r="H511" s="50"/>
      <c r="I511" s="9"/>
      <c r="J511" s="9"/>
      <c r="K511" s="9"/>
      <c r="L511" s="9"/>
      <c r="M511" s="9"/>
      <c r="N511" s="9"/>
      <c r="O511" s="9"/>
      <c r="P511" s="9"/>
    </row>
    <row r="512" spans="1:16" x14ac:dyDescent="0.25">
      <c r="A512" s="4"/>
      <c r="B512" s="28" t="str">
        <f>IF(ISNUMBER(MATCH(D512, Mgt_Unit!$C$5:$C$1018, 0)), INDEX(Mgt_Unit!$B$5:$B$1018, MATCH(D512, Mgt_Unit!$C$5:$C$1018, 0)), "")</f>
        <v/>
      </c>
      <c r="C512" s="28"/>
      <c r="D512" s="9"/>
      <c r="E512" s="45"/>
      <c r="F512" s="9"/>
      <c r="G512" s="9"/>
      <c r="H512" s="50"/>
      <c r="I512" s="9"/>
      <c r="J512" s="9"/>
      <c r="K512" s="9"/>
      <c r="L512" s="9"/>
      <c r="M512" s="9"/>
      <c r="N512" s="9"/>
      <c r="O512" s="9"/>
      <c r="P512" s="9"/>
    </row>
    <row r="513" spans="1:16" x14ac:dyDescent="0.25">
      <c r="A513" s="4"/>
      <c r="B513" s="28" t="str">
        <f>IF(ISNUMBER(MATCH(D513, Mgt_Unit!$C$5:$C$1018, 0)), INDEX(Mgt_Unit!$B$5:$B$1018, MATCH(D513, Mgt_Unit!$C$5:$C$1018, 0)), "")</f>
        <v/>
      </c>
      <c r="C513" s="28"/>
      <c r="D513" s="9"/>
      <c r="E513" s="45"/>
      <c r="F513" s="9"/>
      <c r="G513" s="9"/>
      <c r="H513" s="50"/>
      <c r="I513" s="9"/>
      <c r="J513" s="9"/>
      <c r="K513" s="9"/>
      <c r="L513" s="9"/>
      <c r="M513" s="9"/>
      <c r="N513" s="9"/>
      <c r="O513" s="9"/>
      <c r="P513" s="9"/>
    </row>
    <row r="514" spans="1:16" x14ac:dyDescent="0.25">
      <c r="A514" s="4"/>
      <c r="B514" s="28" t="str">
        <f>IF(ISNUMBER(MATCH(D514, Mgt_Unit!$C$5:$C$1018, 0)), INDEX(Mgt_Unit!$B$5:$B$1018, MATCH(D514, Mgt_Unit!$C$5:$C$1018, 0)), "")</f>
        <v/>
      </c>
      <c r="C514" s="28"/>
      <c r="D514" s="9"/>
      <c r="E514" s="45"/>
      <c r="F514" s="9"/>
      <c r="G514" s="9"/>
      <c r="H514" s="50"/>
      <c r="I514" s="9"/>
      <c r="J514" s="9"/>
      <c r="K514" s="9"/>
      <c r="L514" s="9"/>
      <c r="M514" s="9"/>
      <c r="N514" s="9"/>
      <c r="O514" s="9"/>
      <c r="P514" s="9"/>
    </row>
    <row r="515" spans="1:16" x14ac:dyDescent="0.25">
      <c r="A515" s="4"/>
      <c r="B515" s="28" t="str">
        <f>IF(ISNUMBER(MATCH(D515, Mgt_Unit!$C$5:$C$1018, 0)), INDEX(Mgt_Unit!$B$5:$B$1018, MATCH(D515, Mgt_Unit!$C$5:$C$1018, 0)), "")</f>
        <v/>
      </c>
      <c r="C515" s="28"/>
      <c r="D515" s="9"/>
      <c r="E515" s="45"/>
      <c r="F515" s="9"/>
      <c r="G515" s="9"/>
      <c r="H515" s="50"/>
      <c r="I515" s="9"/>
      <c r="J515" s="9"/>
      <c r="K515" s="9"/>
      <c r="L515" s="9"/>
      <c r="M515" s="9"/>
      <c r="N515" s="9"/>
      <c r="O515" s="9"/>
      <c r="P515" s="9"/>
    </row>
    <row r="516" spans="1:16" x14ac:dyDescent="0.25">
      <c r="A516" s="4"/>
      <c r="B516" s="28" t="str">
        <f>IF(ISNUMBER(MATCH(D516, Mgt_Unit!$C$5:$C$1018, 0)), INDEX(Mgt_Unit!$B$5:$B$1018, MATCH(D516, Mgt_Unit!$C$5:$C$1018, 0)), "")</f>
        <v/>
      </c>
      <c r="C516" s="28"/>
      <c r="D516" s="9"/>
      <c r="E516" s="45"/>
      <c r="F516" s="9"/>
      <c r="G516" s="9"/>
      <c r="H516" s="50"/>
      <c r="I516" s="9"/>
      <c r="J516" s="9"/>
      <c r="K516" s="9"/>
      <c r="L516" s="9"/>
      <c r="M516" s="9"/>
      <c r="N516" s="9"/>
      <c r="O516" s="9"/>
      <c r="P516" s="9"/>
    </row>
    <row r="517" spans="1:16" x14ac:dyDescent="0.25">
      <c r="A517" s="4"/>
      <c r="B517" s="28" t="str">
        <f>IF(ISNUMBER(MATCH(D517, Mgt_Unit!$C$5:$C$1018, 0)), INDEX(Mgt_Unit!$B$5:$B$1018, MATCH(D517, Mgt_Unit!$C$5:$C$1018, 0)), "")</f>
        <v/>
      </c>
      <c r="C517" s="28"/>
      <c r="D517" s="9"/>
      <c r="E517" s="45"/>
      <c r="F517" s="9"/>
      <c r="G517" s="9"/>
      <c r="H517" s="50"/>
      <c r="I517" s="9"/>
      <c r="J517" s="9"/>
      <c r="K517" s="9"/>
      <c r="L517" s="9"/>
      <c r="M517" s="9"/>
      <c r="N517" s="9"/>
      <c r="O517" s="9"/>
      <c r="P517" s="9"/>
    </row>
    <row r="518" spans="1:16" x14ac:dyDescent="0.25">
      <c r="A518" s="4"/>
      <c r="B518" s="28" t="str">
        <f>IF(ISNUMBER(MATCH(D518, Mgt_Unit!$C$5:$C$1018, 0)), INDEX(Mgt_Unit!$B$5:$B$1018, MATCH(D518, Mgt_Unit!$C$5:$C$1018, 0)), "")</f>
        <v/>
      </c>
      <c r="C518" s="28"/>
      <c r="D518" s="9"/>
      <c r="E518" s="45"/>
      <c r="F518" s="9"/>
      <c r="G518" s="9"/>
      <c r="H518" s="50"/>
      <c r="I518" s="9"/>
      <c r="J518" s="9"/>
      <c r="K518" s="9"/>
      <c r="L518" s="9"/>
      <c r="M518" s="9"/>
      <c r="N518" s="9"/>
      <c r="O518" s="9"/>
      <c r="P518" s="9"/>
    </row>
    <row r="519" spans="1:16" x14ac:dyDescent="0.25">
      <c r="A519" s="4"/>
      <c r="B519" s="28" t="str">
        <f>IF(ISNUMBER(MATCH(D519, Mgt_Unit!$C$5:$C$1018, 0)), INDEX(Mgt_Unit!$B$5:$B$1018, MATCH(D519, Mgt_Unit!$C$5:$C$1018, 0)), "")</f>
        <v/>
      </c>
      <c r="C519" s="28"/>
      <c r="D519" s="9"/>
      <c r="E519" s="45"/>
      <c r="F519" s="9"/>
      <c r="G519" s="9"/>
      <c r="H519" s="50"/>
      <c r="I519" s="9"/>
      <c r="J519" s="9"/>
      <c r="K519" s="9"/>
      <c r="L519" s="9"/>
      <c r="M519" s="9"/>
      <c r="N519" s="9"/>
      <c r="O519" s="9"/>
      <c r="P519" s="9"/>
    </row>
    <row r="520" spans="1:16" x14ac:dyDescent="0.25">
      <c r="A520" s="4"/>
      <c r="B520" s="28" t="str">
        <f>IF(ISNUMBER(MATCH(D520, Mgt_Unit!$C$5:$C$1018, 0)), INDEX(Mgt_Unit!$B$5:$B$1018, MATCH(D520, Mgt_Unit!$C$5:$C$1018, 0)), "")</f>
        <v/>
      </c>
      <c r="C520" s="28"/>
      <c r="D520" s="9"/>
      <c r="E520" s="45"/>
      <c r="F520" s="9"/>
      <c r="G520" s="9"/>
      <c r="H520" s="50"/>
      <c r="I520" s="9"/>
      <c r="J520" s="9"/>
      <c r="K520" s="9"/>
      <c r="L520" s="9"/>
      <c r="M520" s="9"/>
      <c r="N520" s="9"/>
      <c r="O520" s="9"/>
      <c r="P520" s="9"/>
    </row>
    <row r="521" spans="1:16" x14ac:dyDescent="0.25">
      <c r="A521" s="4"/>
      <c r="B521" s="28" t="str">
        <f>IF(ISNUMBER(MATCH(D521, Mgt_Unit!$C$5:$C$1018, 0)), INDEX(Mgt_Unit!$B$5:$B$1018, MATCH(D521, Mgt_Unit!$C$5:$C$1018, 0)), "")</f>
        <v/>
      </c>
      <c r="C521" s="28"/>
      <c r="D521" s="9"/>
      <c r="E521" s="45"/>
      <c r="F521" s="9"/>
      <c r="G521" s="9"/>
      <c r="H521" s="50"/>
      <c r="I521" s="9"/>
      <c r="J521" s="9"/>
      <c r="K521" s="9"/>
      <c r="L521" s="9"/>
      <c r="M521" s="9"/>
      <c r="N521" s="9"/>
      <c r="O521" s="9"/>
      <c r="P521" s="9"/>
    </row>
    <row r="522" spans="1:16" x14ac:dyDescent="0.25">
      <c r="A522" s="4"/>
      <c r="B522" s="28" t="str">
        <f>IF(ISNUMBER(MATCH(D522, Mgt_Unit!$C$5:$C$1018, 0)), INDEX(Mgt_Unit!$B$5:$B$1018, MATCH(D522, Mgt_Unit!$C$5:$C$1018, 0)), "")</f>
        <v/>
      </c>
      <c r="C522" s="28"/>
      <c r="D522" s="9"/>
      <c r="E522" s="45"/>
      <c r="F522" s="9"/>
      <c r="G522" s="9"/>
      <c r="H522" s="50"/>
      <c r="I522" s="9"/>
      <c r="J522" s="9"/>
      <c r="K522" s="9"/>
      <c r="L522" s="9"/>
      <c r="M522" s="9"/>
      <c r="N522" s="9"/>
      <c r="O522" s="9"/>
      <c r="P522" s="9"/>
    </row>
    <row r="523" spans="1:16" x14ac:dyDescent="0.25">
      <c r="A523" s="4"/>
      <c r="B523" s="28" t="str">
        <f>IF(ISNUMBER(MATCH(D523, Mgt_Unit!$C$5:$C$1018, 0)), INDEX(Mgt_Unit!$B$5:$B$1018, MATCH(D523, Mgt_Unit!$C$5:$C$1018, 0)), "")</f>
        <v/>
      </c>
      <c r="C523" s="28"/>
      <c r="D523" s="9"/>
      <c r="E523" s="45"/>
      <c r="F523" s="9"/>
      <c r="G523" s="9"/>
      <c r="H523" s="50"/>
      <c r="I523" s="9"/>
      <c r="J523" s="9"/>
      <c r="K523" s="9"/>
      <c r="L523" s="9"/>
      <c r="M523" s="9"/>
      <c r="N523" s="9"/>
      <c r="O523" s="9"/>
      <c r="P523" s="9"/>
    </row>
    <row r="524" spans="1:16" x14ac:dyDescent="0.25">
      <c r="A524" s="4"/>
      <c r="B524" s="28" t="str">
        <f>IF(ISNUMBER(MATCH(D524, Mgt_Unit!$C$5:$C$1018, 0)), INDEX(Mgt_Unit!$B$5:$B$1018, MATCH(D524, Mgt_Unit!$C$5:$C$1018, 0)), "")</f>
        <v/>
      </c>
      <c r="C524" s="28"/>
      <c r="D524" s="9"/>
      <c r="E524" s="45"/>
      <c r="F524" s="9"/>
      <c r="G524" s="9"/>
      <c r="H524" s="50"/>
      <c r="I524" s="9"/>
      <c r="J524" s="9"/>
      <c r="K524" s="9"/>
      <c r="L524" s="9"/>
      <c r="M524" s="9"/>
      <c r="N524" s="9"/>
      <c r="O524" s="9"/>
      <c r="P524" s="9"/>
    </row>
    <row r="525" spans="1:16" x14ac:dyDescent="0.25">
      <c r="A525" s="4"/>
      <c r="B525" s="28" t="str">
        <f>IF(ISNUMBER(MATCH(D525, Mgt_Unit!$C$5:$C$1018, 0)), INDEX(Mgt_Unit!$B$5:$B$1018, MATCH(D525, Mgt_Unit!$C$5:$C$1018, 0)), "")</f>
        <v/>
      </c>
      <c r="C525" s="28"/>
      <c r="D525" s="9"/>
      <c r="E525" s="45"/>
      <c r="F525" s="9"/>
      <c r="G525" s="9"/>
      <c r="H525" s="50"/>
      <c r="I525" s="9"/>
      <c r="J525" s="9"/>
      <c r="K525" s="9"/>
      <c r="L525" s="9"/>
      <c r="M525" s="9"/>
      <c r="N525" s="9"/>
      <c r="O525" s="9"/>
      <c r="P525" s="9"/>
    </row>
    <row r="526" spans="1:16" x14ac:dyDescent="0.25">
      <c r="A526" s="4"/>
      <c r="B526" s="28" t="str">
        <f>IF(ISNUMBER(MATCH(D526, Mgt_Unit!$C$5:$C$1018, 0)), INDEX(Mgt_Unit!$B$5:$B$1018, MATCH(D526, Mgt_Unit!$C$5:$C$1018, 0)), "")</f>
        <v/>
      </c>
      <c r="C526" s="28"/>
      <c r="D526" s="9"/>
      <c r="E526" s="45"/>
      <c r="F526" s="9"/>
      <c r="G526" s="9"/>
      <c r="H526" s="50"/>
      <c r="I526" s="9"/>
      <c r="J526" s="9"/>
      <c r="K526" s="9"/>
      <c r="L526" s="9"/>
      <c r="M526" s="9"/>
      <c r="N526" s="9"/>
      <c r="O526" s="9"/>
      <c r="P526" s="9"/>
    </row>
    <row r="527" spans="1:16" x14ac:dyDescent="0.25">
      <c r="A527" s="4"/>
      <c r="B527" s="28" t="str">
        <f>IF(ISNUMBER(MATCH(D527, Mgt_Unit!$C$5:$C$1018, 0)), INDEX(Mgt_Unit!$B$5:$B$1018, MATCH(D527, Mgt_Unit!$C$5:$C$1018, 0)), "")</f>
        <v/>
      </c>
      <c r="C527" s="28"/>
      <c r="D527" s="9"/>
      <c r="E527" s="45"/>
      <c r="F527" s="9"/>
      <c r="G527" s="9"/>
      <c r="H527" s="50"/>
      <c r="I527" s="9"/>
      <c r="J527" s="9"/>
      <c r="K527" s="9"/>
      <c r="L527" s="9"/>
      <c r="M527" s="9"/>
      <c r="N527" s="9"/>
      <c r="O527" s="9"/>
      <c r="P527" s="9"/>
    </row>
    <row r="528" spans="1:16" x14ac:dyDescent="0.25">
      <c r="A528" s="4"/>
      <c r="B528" s="28" t="str">
        <f>IF(ISNUMBER(MATCH(D528, Mgt_Unit!$C$5:$C$1018, 0)), INDEX(Mgt_Unit!$B$5:$B$1018, MATCH(D528, Mgt_Unit!$C$5:$C$1018, 0)), "")</f>
        <v/>
      </c>
      <c r="C528" s="28"/>
      <c r="D528" s="9"/>
      <c r="E528" s="45"/>
      <c r="F528" s="9"/>
      <c r="G528" s="9"/>
      <c r="H528" s="50"/>
      <c r="I528" s="9"/>
      <c r="J528" s="9"/>
      <c r="K528" s="9"/>
      <c r="L528" s="9"/>
      <c r="M528" s="9"/>
      <c r="N528" s="9"/>
      <c r="O528" s="9"/>
      <c r="P528" s="9"/>
    </row>
    <row r="529" spans="1:16" x14ac:dyDescent="0.25">
      <c r="A529" s="4"/>
      <c r="B529" s="28" t="str">
        <f>IF(ISNUMBER(MATCH(D529, Mgt_Unit!$C$5:$C$1018, 0)), INDEX(Mgt_Unit!$B$5:$B$1018, MATCH(D529, Mgt_Unit!$C$5:$C$1018, 0)), "")</f>
        <v/>
      </c>
      <c r="C529" s="28"/>
      <c r="D529" s="9"/>
      <c r="E529" s="45"/>
      <c r="F529" s="9"/>
      <c r="G529" s="9"/>
      <c r="H529" s="50"/>
      <c r="I529" s="9"/>
      <c r="J529" s="9"/>
      <c r="K529" s="9"/>
      <c r="L529" s="9"/>
      <c r="M529" s="9"/>
      <c r="N529" s="9"/>
      <c r="O529" s="9"/>
      <c r="P529" s="9"/>
    </row>
    <row r="530" spans="1:16" x14ac:dyDescent="0.25">
      <c r="A530" s="4"/>
      <c r="B530" s="28" t="str">
        <f>IF(ISNUMBER(MATCH(D530, Mgt_Unit!$C$5:$C$1018, 0)), INDEX(Mgt_Unit!$B$5:$B$1018, MATCH(D530, Mgt_Unit!$C$5:$C$1018, 0)), "")</f>
        <v/>
      </c>
      <c r="C530" s="28"/>
      <c r="D530" s="9"/>
      <c r="E530" s="45"/>
      <c r="F530" s="9"/>
      <c r="G530" s="9"/>
      <c r="H530" s="50"/>
      <c r="I530" s="9"/>
      <c r="J530" s="9"/>
      <c r="K530" s="9"/>
      <c r="L530" s="9"/>
      <c r="M530" s="9"/>
      <c r="N530" s="9"/>
      <c r="O530" s="9"/>
      <c r="P530" s="9"/>
    </row>
    <row r="531" spans="1:16" x14ac:dyDescent="0.25">
      <c r="A531" s="4"/>
      <c r="B531" s="28" t="str">
        <f>IF(ISNUMBER(MATCH(D531, Mgt_Unit!$C$5:$C$1018, 0)), INDEX(Mgt_Unit!$B$5:$B$1018, MATCH(D531, Mgt_Unit!$C$5:$C$1018, 0)), "")</f>
        <v/>
      </c>
      <c r="C531" s="28"/>
      <c r="D531" s="9"/>
      <c r="E531" s="45"/>
      <c r="F531" s="9"/>
      <c r="G531" s="9"/>
      <c r="H531" s="50"/>
      <c r="I531" s="9"/>
      <c r="J531" s="9"/>
      <c r="K531" s="9"/>
      <c r="L531" s="9"/>
      <c r="M531" s="9"/>
      <c r="N531" s="9"/>
      <c r="O531" s="9"/>
      <c r="P531" s="9"/>
    </row>
    <row r="532" spans="1:16" x14ac:dyDescent="0.25">
      <c r="A532" s="4"/>
      <c r="B532" s="28" t="str">
        <f>IF(ISNUMBER(MATCH(D532, Mgt_Unit!$C$5:$C$1018, 0)), INDEX(Mgt_Unit!$B$5:$B$1018, MATCH(D532, Mgt_Unit!$C$5:$C$1018, 0)), "")</f>
        <v/>
      </c>
      <c r="C532" s="28"/>
      <c r="D532" s="9"/>
      <c r="E532" s="45"/>
      <c r="F532" s="9"/>
      <c r="G532" s="9"/>
      <c r="H532" s="50"/>
      <c r="I532" s="9"/>
      <c r="J532" s="9"/>
      <c r="K532" s="9"/>
      <c r="L532" s="9"/>
      <c r="M532" s="9"/>
      <c r="N532" s="9"/>
      <c r="O532" s="9"/>
      <c r="P532" s="9"/>
    </row>
    <row r="533" spans="1:16" x14ac:dyDescent="0.25">
      <c r="A533" s="4"/>
      <c r="B533" s="28" t="str">
        <f>IF(ISNUMBER(MATCH(D533, Mgt_Unit!$C$5:$C$1018, 0)), INDEX(Mgt_Unit!$B$5:$B$1018, MATCH(D533, Mgt_Unit!$C$5:$C$1018, 0)), "")</f>
        <v/>
      </c>
      <c r="C533" s="28"/>
      <c r="D533" s="9"/>
      <c r="E533" s="45"/>
      <c r="F533" s="9"/>
      <c r="G533" s="9"/>
      <c r="H533" s="50"/>
      <c r="I533" s="9"/>
      <c r="J533" s="9"/>
      <c r="K533" s="9"/>
      <c r="L533" s="9"/>
      <c r="M533" s="9"/>
      <c r="N533" s="9"/>
      <c r="O533" s="9"/>
      <c r="P533" s="9"/>
    </row>
    <row r="534" spans="1:16" x14ac:dyDescent="0.25">
      <c r="A534" s="4"/>
      <c r="B534" s="28" t="str">
        <f>IF(ISNUMBER(MATCH(D534, Mgt_Unit!$C$5:$C$1018, 0)), INDEX(Mgt_Unit!$B$5:$B$1018, MATCH(D534, Mgt_Unit!$C$5:$C$1018, 0)), "")</f>
        <v/>
      </c>
      <c r="C534" s="28"/>
      <c r="D534" s="9"/>
      <c r="E534" s="45"/>
      <c r="F534" s="9"/>
      <c r="G534" s="9"/>
      <c r="H534" s="50"/>
      <c r="I534" s="9"/>
      <c r="J534" s="9"/>
      <c r="K534" s="9"/>
      <c r="L534" s="9"/>
      <c r="M534" s="9"/>
      <c r="N534" s="9"/>
      <c r="O534" s="9"/>
      <c r="P534" s="9"/>
    </row>
    <row r="535" spans="1:16" x14ac:dyDescent="0.25">
      <c r="A535" s="4"/>
      <c r="B535" s="28" t="str">
        <f>IF(ISNUMBER(MATCH(D535, Mgt_Unit!$C$5:$C$1018, 0)), INDEX(Mgt_Unit!$B$5:$B$1018, MATCH(D535, Mgt_Unit!$C$5:$C$1018, 0)), "")</f>
        <v/>
      </c>
      <c r="C535" s="28"/>
      <c r="D535" s="9"/>
      <c r="E535" s="45"/>
      <c r="F535" s="9"/>
      <c r="G535" s="9"/>
      <c r="H535" s="50"/>
      <c r="I535" s="9"/>
      <c r="J535" s="9"/>
      <c r="K535" s="9"/>
      <c r="L535" s="9"/>
      <c r="M535" s="9"/>
      <c r="N535" s="9"/>
      <c r="O535" s="9"/>
      <c r="P535" s="9"/>
    </row>
    <row r="536" spans="1:16" x14ac:dyDescent="0.25">
      <c r="A536" s="4"/>
      <c r="B536" s="28" t="str">
        <f>IF(ISNUMBER(MATCH(D536, Mgt_Unit!$C$5:$C$1018, 0)), INDEX(Mgt_Unit!$B$5:$B$1018, MATCH(D536, Mgt_Unit!$C$5:$C$1018, 0)), "")</f>
        <v/>
      </c>
      <c r="C536" s="28"/>
      <c r="D536" s="9"/>
      <c r="E536" s="45"/>
      <c r="F536" s="9"/>
      <c r="G536" s="9"/>
      <c r="H536" s="50"/>
      <c r="I536" s="9"/>
      <c r="J536" s="9"/>
      <c r="K536" s="9"/>
      <c r="L536" s="9"/>
      <c r="M536" s="9"/>
      <c r="N536" s="9"/>
      <c r="O536" s="9"/>
      <c r="P536" s="9"/>
    </row>
    <row r="537" spans="1:16" x14ac:dyDescent="0.25">
      <c r="A537" s="4"/>
      <c r="B537" s="28" t="str">
        <f>IF(ISNUMBER(MATCH(D537, Mgt_Unit!$C$5:$C$1018, 0)), INDEX(Mgt_Unit!$B$5:$B$1018, MATCH(D537, Mgt_Unit!$C$5:$C$1018, 0)), "")</f>
        <v/>
      </c>
      <c r="C537" s="28"/>
      <c r="D537" s="9"/>
      <c r="E537" s="45"/>
      <c r="F537" s="9"/>
      <c r="G537" s="9"/>
      <c r="H537" s="50"/>
      <c r="I537" s="9"/>
      <c r="J537" s="9"/>
      <c r="K537" s="9"/>
      <c r="L537" s="9"/>
      <c r="M537" s="9"/>
      <c r="N537" s="9"/>
      <c r="O537" s="9"/>
      <c r="P537" s="9"/>
    </row>
    <row r="538" spans="1:16" x14ac:dyDescent="0.25">
      <c r="A538" s="4"/>
      <c r="B538" s="28" t="str">
        <f>IF(ISNUMBER(MATCH(D538, Mgt_Unit!$C$5:$C$1018, 0)), INDEX(Mgt_Unit!$B$5:$B$1018, MATCH(D538, Mgt_Unit!$C$5:$C$1018, 0)), "")</f>
        <v/>
      </c>
      <c r="C538" s="28"/>
      <c r="D538" s="9"/>
      <c r="E538" s="45"/>
      <c r="F538" s="9"/>
      <c r="G538" s="9"/>
      <c r="H538" s="50"/>
      <c r="I538" s="9"/>
      <c r="J538" s="9"/>
      <c r="K538" s="9"/>
      <c r="L538" s="9"/>
      <c r="M538" s="9"/>
      <c r="N538" s="9"/>
      <c r="O538" s="9"/>
      <c r="P538" s="9"/>
    </row>
    <row r="539" spans="1:16" x14ac:dyDescent="0.25">
      <c r="A539" s="4"/>
      <c r="B539" s="28" t="str">
        <f>IF(ISNUMBER(MATCH(D539, Mgt_Unit!$C$5:$C$1018, 0)), INDEX(Mgt_Unit!$B$5:$B$1018, MATCH(D539, Mgt_Unit!$C$5:$C$1018, 0)), "")</f>
        <v/>
      </c>
      <c r="C539" s="28"/>
      <c r="D539" s="9"/>
      <c r="E539" s="45"/>
      <c r="F539" s="9"/>
      <c r="G539" s="9"/>
      <c r="H539" s="50"/>
      <c r="I539" s="9"/>
      <c r="J539" s="9"/>
      <c r="K539" s="9"/>
      <c r="L539" s="9"/>
      <c r="M539" s="9"/>
      <c r="N539" s="9"/>
      <c r="O539" s="9"/>
      <c r="P539" s="9"/>
    </row>
    <row r="540" spans="1:16" x14ac:dyDescent="0.25">
      <c r="A540" s="4"/>
      <c r="B540" s="28" t="str">
        <f>IF(ISNUMBER(MATCH(D540, Mgt_Unit!$C$5:$C$1018, 0)), INDEX(Mgt_Unit!$B$5:$B$1018, MATCH(D540, Mgt_Unit!$C$5:$C$1018, 0)), "")</f>
        <v/>
      </c>
      <c r="C540" s="28"/>
      <c r="D540" s="9"/>
      <c r="E540" s="45"/>
      <c r="F540" s="9"/>
      <c r="G540" s="9"/>
      <c r="H540" s="50"/>
      <c r="I540" s="9"/>
      <c r="J540" s="9"/>
      <c r="K540" s="9"/>
      <c r="L540" s="9"/>
      <c r="M540" s="9"/>
      <c r="N540" s="9"/>
      <c r="O540" s="9"/>
      <c r="P540" s="9"/>
    </row>
    <row r="541" spans="1:16" x14ac:dyDescent="0.25">
      <c r="A541" s="4"/>
      <c r="B541" s="28" t="str">
        <f>IF(ISNUMBER(MATCH(D541, Mgt_Unit!$C$5:$C$1018, 0)), INDEX(Mgt_Unit!$B$5:$B$1018, MATCH(D541, Mgt_Unit!$C$5:$C$1018, 0)), "")</f>
        <v/>
      </c>
      <c r="C541" s="28"/>
      <c r="D541" s="9"/>
      <c r="E541" s="45"/>
      <c r="F541" s="9"/>
      <c r="G541" s="9"/>
      <c r="H541" s="50"/>
      <c r="I541" s="9"/>
      <c r="J541" s="9"/>
      <c r="K541" s="9"/>
      <c r="L541" s="9"/>
      <c r="M541" s="9"/>
      <c r="N541" s="9"/>
      <c r="O541" s="9"/>
      <c r="P541" s="9"/>
    </row>
    <row r="542" spans="1:16" x14ac:dyDescent="0.25">
      <c r="A542" s="4"/>
      <c r="B542" s="28" t="str">
        <f>IF(ISNUMBER(MATCH(D542, Mgt_Unit!$C$5:$C$1018, 0)), INDEX(Mgt_Unit!$B$5:$B$1018, MATCH(D542, Mgt_Unit!$C$5:$C$1018, 0)), "")</f>
        <v/>
      </c>
      <c r="C542" s="28"/>
      <c r="D542" s="9"/>
      <c r="E542" s="45"/>
      <c r="F542" s="9"/>
      <c r="G542" s="9"/>
      <c r="H542" s="50"/>
      <c r="I542" s="9"/>
      <c r="J542" s="9"/>
      <c r="K542" s="9"/>
      <c r="L542" s="9"/>
      <c r="M542" s="9"/>
      <c r="N542" s="9"/>
      <c r="O542" s="9"/>
      <c r="P542" s="9"/>
    </row>
    <row r="543" spans="1:16" x14ac:dyDescent="0.25">
      <c r="A543" s="4"/>
      <c r="B543" s="28" t="str">
        <f>IF(ISNUMBER(MATCH(D543, Mgt_Unit!$C$5:$C$1018, 0)), INDEX(Mgt_Unit!$B$5:$B$1018, MATCH(D543, Mgt_Unit!$C$5:$C$1018, 0)), "")</f>
        <v/>
      </c>
      <c r="C543" s="28"/>
      <c r="D543" s="9"/>
      <c r="E543" s="45"/>
      <c r="F543" s="9"/>
      <c r="G543" s="9"/>
      <c r="H543" s="50"/>
      <c r="I543" s="9"/>
      <c r="J543" s="9"/>
      <c r="K543" s="9"/>
      <c r="L543" s="9"/>
      <c r="M543" s="9"/>
      <c r="N543" s="9"/>
      <c r="O543" s="9"/>
      <c r="P543" s="9"/>
    </row>
    <row r="544" spans="1:16" x14ac:dyDescent="0.25">
      <c r="A544" s="4"/>
      <c r="B544" s="28" t="str">
        <f>IF(ISNUMBER(MATCH(D544, Mgt_Unit!$C$5:$C$1018, 0)), INDEX(Mgt_Unit!$B$5:$B$1018, MATCH(D544, Mgt_Unit!$C$5:$C$1018, 0)), "")</f>
        <v/>
      </c>
      <c r="C544" s="28"/>
      <c r="D544" s="9"/>
      <c r="E544" s="45"/>
      <c r="F544" s="9"/>
      <c r="G544" s="9"/>
      <c r="H544" s="50"/>
      <c r="I544" s="9"/>
      <c r="J544" s="9"/>
      <c r="K544" s="9"/>
      <c r="L544" s="9"/>
      <c r="M544" s="9"/>
      <c r="N544" s="9"/>
      <c r="O544" s="9"/>
      <c r="P544" s="9"/>
    </row>
    <row r="545" spans="1:16" x14ac:dyDescent="0.25">
      <c r="A545" s="4"/>
      <c r="B545" s="28" t="str">
        <f>IF(ISNUMBER(MATCH(D545, Mgt_Unit!$C$5:$C$1018, 0)), INDEX(Mgt_Unit!$B$5:$B$1018, MATCH(D545, Mgt_Unit!$C$5:$C$1018, 0)), "")</f>
        <v/>
      </c>
      <c r="C545" s="28"/>
      <c r="D545" s="9"/>
      <c r="E545" s="45"/>
      <c r="F545" s="9"/>
      <c r="G545" s="9"/>
      <c r="H545" s="50"/>
      <c r="I545" s="9"/>
      <c r="J545" s="9"/>
      <c r="K545" s="9"/>
      <c r="L545" s="9"/>
      <c r="M545" s="9"/>
      <c r="N545" s="9"/>
      <c r="O545" s="9"/>
      <c r="P545" s="9"/>
    </row>
    <row r="546" spans="1:16" x14ac:dyDescent="0.25">
      <c r="A546" s="4"/>
      <c r="B546" s="28" t="str">
        <f>IF(ISNUMBER(MATCH(D546, Mgt_Unit!$C$5:$C$1018, 0)), INDEX(Mgt_Unit!$B$5:$B$1018, MATCH(D546, Mgt_Unit!$C$5:$C$1018, 0)), "")</f>
        <v/>
      </c>
      <c r="C546" s="28"/>
      <c r="D546" s="9"/>
      <c r="E546" s="45"/>
      <c r="F546" s="9"/>
      <c r="G546" s="9"/>
      <c r="H546" s="50"/>
      <c r="I546" s="9"/>
      <c r="J546" s="9"/>
      <c r="K546" s="9"/>
      <c r="L546" s="9"/>
      <c r="M546" s="9"/>
      <c r="N546" s="9"/>
      <c r="O546" s="9"/>
      <c r="P546" s="9"/>
    </row>
    <row r="547" spans="1:16" x14ac:dyDescent="0.25">
      <c r="A547" s="4"/>
      <c r="B547" s="28" t="str">
        <f>IF(ISNUMBER(MATCH(D547, Mgt_Unit!$C$5:$C$1018, 0)), INDEX(Mgt_Unit!$B$5:$B$1018, MATCH(D547, Mgt_Unit!$C$5:$C$1018, 0)), "")</f>
        <v/>
      </c>
      <c r="C547" s="28"/>
      <c r="D547" s="9"/>
      <c r="E547" s="45"/>
      <c r="F547" s="9"/>
      <c r="G547" s="9"/>
      <c r="H547" s="50"/>
      <c r="I547" s="9"/>
      <c r="J547" s="9"/>
      <c r="K547" s="9"/>
      <c r="L547" s="9"/>
      <c r="M547" s="9"/>
      <c r="N547" s="9"/>
      <c r="O547" s="9"/>
      <c r="P547" s="9"/>
    </row>
    <row r="548" spans="1:16" x14ac:dyDescent="0.25">
      <c r="A548" s="4"/>
      <c r="B548" s="28" t="str">
        <f>IF(ISNUMBER(MATCH(D548, Mgt_Unit!$C$5:$C$1018, 0)), INDEX(Mgt_Unit!$B$5:$B$1018, MATCH(D548, Mgt_Unit!$C$5:$C$1018, 0)), "")</f>
        <v/>
      </c>
      <c r="C548" s="28"/>
      <c r="D548" s="9"/>
      <c r="E548" s="45"/>
      <c r="F548" s="9"/>
      <c r="G548" s="9"/>
      <c r="H548" s="50"/>
      <c r="I548" s="9"/>
      <c r="J548" s="9"/>
      <c r="K548" s="9"/>
      <c r="L548" s="9"/>
      <c r="M548" s="9"/>
      <c r="N548" s="9"/>
      <c r="O548" s="9"/>
      <c r="P548" s="9"/>
    </row>
    <row r="549" spans="1:16" x14ac:dyDescent="0.25">
      <c r="A549" s="4"/>
      <c r="B549" s="28" t="str">
        <f>IF(ISNUMBER(MATCH(D549, Mgt_Unit!$C$5:$C$1018, 0)), INDEX(Mgt_Unit!$B$5:$B$1018, MATCH(D549, Mgt_Unit!$C$5:$C$1018, 0)), "")</f>
        <v/>
      </c>
      <c r="C549" s="28"/>
      <c r="D549" s="9"/>
      <c r="E549" s="45"/>
      <c r="F549" s="9"/>
      <c r="G549" s="9"/>
      <c r="H549" s="50"/>
      <c r="I549" s="9"/>
      <c r="J549" s="9"/>
      <c r="K549" s="9"/>
      <c r="L549" s="9"/>
      <c r="M549" s="9"/>
      <c r="N549" s="9"/>
      <c r="O549" s="9"/>
      <c r="P549" s="9"/>
    </row>
    <row r="550" spans="1:16" x14ac:dyDescent="0.25">
      <c r="A550" s="4"/>
      <c r="B550" s="28" t="str">
        <f>IF(ISNUMBER(MATCH(D550, Mgt_Unit!$C$5:$C$1018, 0)), INDEX(Mgt_Unit!$B$5:$B$1018, MATCH(D550, Mgt_Unit!$C$5:$C$1018, 0)), "")</f>
        <v/>
      </c>
      <c r="C550" s="28"/>
      <c r="D550" s="9"/>
      <c r="E550" s="45"/>
      <c r="F550" s="9"/>
      <c r="G550" s="9"/>
      <c r="H550" s="50"/>
      <c r="I550" s="9"/>
      <c r="J550" s="9"/>
      <c r="K550" s="9"/>
      <c r="L550" s="9"/>
      <c r="M550" s="9"/>
      <c r="N550" s="9"/>
      <c r="O550" s="9"/>
      <c r="P550" s="9"/>
    </row>
    <row r="551" spans="1:16" x14ac:dyDescent="0.25">
      <c r="A551" s="4"/>
      <c r="B551" s="28" t="str">
        <f>IF(ISNUMBER(MATCH(D551, Mgt_Unit!$C$5:$C$1018, 0)), INDEX(Mgt_Unit!$B$5:$B$1018, MATCH(D551, Mgt_Unit!$C$5:$C$1018, 0)), "")</f>
        <v/>
      </c>
      <c r="C551" s="28"/>
      <c r="D551" s="9"/>
      <c r="E551" s="45"/>
      <c r="F551" s="9"/>
      <c r="G551" s="9"/>
      <c r="H551" s="50"/>
      <c r="I551" s="9"/>
      <c r="J551" s="9"/>
      <c r="K551" s="9"/>
      <c r="L551" s="9"/>
      <c r="M551" s="9"/>
      <c r="N551" s="9"/>
      <c r="O551" s="9"/>
      <c r="P551" s="9"/>
    </row>
    <row r="552" spans="1:16" x14ac:dyDescent="0.25">
      <c r="A552" s="4"/>
      <c r="B552" s="28" t="str">
        <f>IF(ISNUMBER(MATCH(D552, Mgt_Unit!$C$5:$C$1018, 0)), INDEX(Mgt_Unit!$B$5:$B$1018, MATCH(D552, Mgt_Unit!$C$5:$C$1018, 0)), "")</f>
        <v/>
      </c>
      <c r="C552" s="28"/>
      <c r="D552" s="9"/>
      <c r="E552" s="45"/>
      <c r="F552" s="9"/>
      <c r="G552" s="9"/>
      <c r="H552" s="50"/>
      <c r="I552" s="9"/>
      <c r="J552" s="9"/>
      <c r="K552" s="9"/>
      <c r="L552" s="9"/>
      <c r="M552" s="9"/>
      <c r="N552" s="9"/>
      <c r="O552" s="9"/>
      <c r="P552" s="9"/>
    </row>
    <row r="553" spans="1:16" x14ac:dyDescent="0.25">
      <c r="A553" s="4"/>
      <c r="B553" s="28" t="str">
        <f>IF(ISNUMBER(MATCH(D553, Mgt_Unit!$C$5:$C$1018, 0)), INDEX(Mgt_Unit!$B$5:$B$1018, MATCH(D553, Mgt_Unit!$C$5:$C$1018, 0)), "")</f>
        <v/>
      </c>
      <c r="C553" s="28"/>
      <c r="D553" s="9"/>
      <c r="E553" s="45"/>
      <c r="F553" s="9"/>
      <c r="G553" s="9"/>
      <c r="H553" s="50"/>
      <c r="I553" s="9"/>
      <c r="J553" s="9"/>
      <c r="K553" s="9"/>
      <c r="L553" s="9"/>
      <c r="M553" s="9"/>
      <c r="N553" s="9"/>
      <c r="O553" s="9"/>
      <c r="P553" s="9"/>
    </row>
    <row r="554" spans="1:16" x14ac:dyDescent="0.25">
      <c r="A554" s="4"/>
      <c r="B554" s="28" t="str">
        <f>IF(ISNUMBER(MATCH(D554, Mgt_Unit!$C$5:$C$1018, 0)), INDEX(Mgt_Unit!$B$5:$B$1018, MATCH(D554, Mgt_Unit!$C$5:$C$1018, 0)), "")</f>
        <v/>
      </c>
      <c r="C554" s="28"/>
      <c r="D554" s="9"/>
      <c r="E554" s="45"/>
      <c r="F554" s="9"/>
      <c r="G554" s="9"/>
      <c r="H554" s="50"/>
      <c r="I554" s="9"/>
      <c r="J554" s="9"/>
      <c r="K554" s="9"/>
      <c r="L554" s="9"/>
      <c r="M554" s="9"/>
      <c r="N554" s="9"/>
      <c r="O554" s="9"/>
      <c r="P554" s="9"/>
    </row>
    <row r="555" spans="1:16" x14ac:dyDescent="0.25">
      <c r="A555" s="4"/>
      <c r="B555" s="28" t="str">
        <f>IF(ISNUMBER(MATCH(D555, Mgt_Unit!$C$5:$C$1018, 0)), INDEX(Mgt_Unit!$B$5:$B$1018, MATCH(D555, Mgt_Unit!$C$5:$C$1018, 0)), "")</f>
        <v/>
      </c>
      <c r="C555" s="28"/>
      <c r="D555" s="9"/>
      <c r="E555" s="45"/>
      <c r="F555" s="9"/>
      <c r="G555" s="9"/>
      <c r="H555" s="50"/>
      <c r="I555" s="9"/>
      <c r="J555" s="9"/>
      <c r="K555" s="9"/>
      <c r="L555" s="9"/>
      <c r="M555" s="9"/>
      <c r="N555" s="9"/>
      <c r="O555" s="9"/>
      <c r="P555" s="9"/>
    </row>
    <row r="556" spans="1:16" x14ac:dyDescent="0.25">
      <c r="A556" s="4"/>
      <c r="B556" s="28" t="str">
        <f>IF(ISNUMBER(MATCH(D556, Mgt_Unit!$C$5:$C$1018, 0)), INDEX(Mgt_Unit!$B$5:$B$1018, MATCH(D556, Mgt_Unit!$C$5:$C$1018, 0)), "")</f>
        <v/>
      </c>
      <c r="C556" s="28"/>
      <c r="D556" s="9"/>
      <c r="E556" s="45"/>
      <c r="F556" s="9"/>
      <c r="G556" s="9"/>
      <c r="H556" s="50"/>
      <c r="I556" s="9"/>
      <c r="J556" s="9"/>
      <c r="K556" s="9"/>
      <c r="L556" s="9"/>
      <c r="M556" s="9"/>
      <c r="N556" s="9"/>
      <c r="O556" s="9"/>
      <c r="P556" s="9"/>
    </row>
    <row r="557" spans="1:16" x14ac:dyDescent="0.25">
      <c r="A557" s="4"/>
      <c r="B557" s="28" t="str">
        <f>IF(ISNUMBER(MATCH(D557, Mgt_Unit!$C$5:$C$1018, 0)), INDEX(Mgt_Unit!$B$5:$B$1018, MATCH(D557, Mgt_Unit!$C$5:$C$1018, 0)), "")</f>
        <v/>
      </c>
      <c r="C557" s="28"/>
      <c r="D557" s="9"/>
      <c r="E557" s="45"/>
      <c r="F557" s="9"/>
      <c r="G557" s="9"/>
      <c r="H557" s="50"/>
      <c r="I557" s="9"/>
      <c r="J557" s="9"/>
      <c r="K557" s="9"/>
      <c r="L557" s="9"/>
      <c r="M557" s="9"/>
      <c r="N557" s="9"/>
      <c r="O557" s="9"/>
      <c r="P557" s="9"/>
    </row>
    <row r="558" spans="1:16" x14ac:dyDescent="0.25">
      <c r="A558" s="4"/>
      <c r="B558" s="28" t="str">
        <f>IF(ISNUMBER(MATCH(D558, Mgt_Unit!$C$5:$C$1018, 0)), INDEX(Mgt_Unit!$B$5:$B$1018, MATCH(D558, Mgt_Unit!$C$5:$C$1018, 0)), "")</f>
        <v/>
      </c>
      <c r="C558" s="28"/>
      <c r="D558" s="9"/>
      <c r="E558" s="45"/>
      <c r="F558" s="9"/>
      <c r="G558" s="9"/>
      <c r="H558" s="50"/>
      <c r="I558" s="9"/>
      <c r="J558" s="9"/>
      <c r="K558" s="9"/>
      <c r="L558" s="9"/>
      <c r="M558" s="9"/>
      <c r="N558" s="9"/>
      <c r="O558" s="9"/>
      <c r="P558" s="9"/>
    </row>
    <row r="559" spans="1:16" x14ac:dyDescent="0.25">
      <c r="A559" s="4"/>
      <c r="B559" s="28" t="str">
        <f>IF(ISNUMBER(MATCH(D559, Mgt_Unit!$C$5:$C$1018, 0)), INDEX(Mgt_Unit!$B$5:$B$1018, MATCH(D559, Mgt_Unit!$C$5:$C$1018, 0)), "")</f>
        <v/>
      </c>
      <c r="C559" s="28"/>
      <c r="D559" s="9"/>
      <c r="E559" s="45"/>
      <c r="F559" s="9"/>
      <c r="G559" s="9"/>
      <c r="H559" s="50"/>
      <c r="I559" s="9"/>
      <c r="J559" s="9"/>
      <c r="K559" s="9"/>
      <c r="L559" s="9"/>
      <c r="M559" s="9"/>
      <c r="N559" s="9"/>
      <c r="O559" s="9"/>
      <c r="P559" s="9"/>
    </row>
    <row r="560" spans="1:16" x14ac:dyDescent="0.25">
      <c r="A560" s="4"/>
      <c r="B560" s="28" t="str">
        <f>IF(ISNUMBER(MATCH(D560, Mgt_Unit!$C$5:$C$1018, 0)), INDEX(Mgt_Unit!$B$5:$B$1018, MATCH(D560, Mgt_Unit!$C$5:$C$1018, 0)), "")</f>
        <v/>
      </c>
      <c r="C560" s="28"/>
      <c r="D560" s="9"/>
      <c r="E560" s="45"/>
      <c r="F560" s="9"/>
      <c r="G560" s="9"/>
      <c r="H560" s="50"/>
      <c r="I560" s="9"/>
      <c r="J560" s="9"/>
      <c r="K560" s="9"/>
      <c r="L560" s="9"/>
      <c r="M560" s="9"/>
      <c r="N560" s="9"/>
      <c r="O560" s="9"/>
      <c r="P560" s="9"/>
    </row>
    <row r="561" spans="1:16" x14ac:dyDescent="0.25">
      <c r="A561" s="4"/>
      <c r="B561" s="28" t="str">
        <f>IF(ISNUMBER(MATCH(D561, Mgt_Unit!$C$5:$C$1018, 0)), INDEX(Mgt_Unit!$B$5:$B$1018, MATCH(D561, Mgt_Unit!$C$5:$C$1018, 0)), "")</f>
        <v/>
      </c>
      <c r="C561" s="28"/>
      <c r="D561" s="9"/>
      <c r="E561" s="45"/>
      <c r="F561" s="9"/>
      <c r="G561" s="9"/>
      <c r="H561" s="50"/>
      <c r="I561" s="9"/>
      <c r="J561" s="9"/>
      <c r="K561" s="9"/>
      <c r="L561" s="9"/>
      <c r="M561" s="9"/>
      <c r="N561" s="9"/>
      <c r="O561" s="9"/>
      <c r="P561" s="9"/>
    </row>
    <row r="562" spans="1:16" x14ac:dyDescent="0.25">
      <c r="A562" s="4"/>
      <c r="B562" s="28" t="str">
        <f>IF(ISNUMBER(MATCH(D562, Mgt_Unit!$C$5:$C$1018, 0)), INDEX(Mgt_Unit!$B$5:$B$1018, MATCH(D562, Mgt_Unit!$C$5:$C$1018, 0)), "")</f>
        <v/>
      </c>
      <c r="C562" s="28"/>
      <c r="D562" s="9"/>
      <c r="E562" s="45"/>
      <c r="F562" s="9"/>
      <c r="G562" s="9"/>
      <c r="H562" s="50"/>
      <c r="I562" s="9"/>
      <c r="J562" s="9"/>
      <c r="K562" s="9"/>
      <c r="L562" s="9"/>
      <c r="M562" s="9"/>
      <c r="N562" s="9"/>
      <c r="O562" s="9"/>
      <c r="P562" s="9"/>
    </row>
    <row r="563" spans="1:16" x14ac:dyDescent="0.25">
      <c r="A563" s="4"/>
      <c r="B563" s="28" t="str">
        <f>IF(ISNUMBER(MATCH(D563, Mgt_Unit!$C$5:$C$1018, 0)), INDEX(Mgt_Unit!$B$5:$B$1018, MATCH(D563, Mgt_Unit!$C$5:$C$1018, 0)), "")</f>
        <v/>
      </c>
      <c r="C563" s="28"/>
      <c r="D563" s="9"/>
      <c r="E563" s="45"/>
      <c r="F563" s="9"/>
      <c r="G563" s="9"/>
      <c r="H563" s="50"/>
      <c r="I563" s="9"/>
      <c r="J563" s="9"/>
      <c r="K563" s="9"/>
      <c r="L563" s="9"/>
      <c r="M563" s="9"/>
      <c r="N563" s="9"/>
      <c r="O563" s="9"/>
      <c r="P563" s="9"/>
    </row>
    <row r="564" spans="1:16" x14ac:dyDescent="0.25">
      <c r="A564" s="4"/>
      <c r="B564" s="28" t="str">
        <f>IF(ISNUMBER(MATCH(D564, Mgt_Unit!$C$5:$C$1018, 0)), INDEX(Mgt_Unit!$B$5:$B$1018, MATCH(D564, Mgt_Unit!$C$5:$C$1018, 0)), "")</f>
        <v/>
      </c>
      <c r="C564" s="28"/>
      <c r="D564" s="9"/>
      <c r="E564" s="45"/>
      <c r="F564" s="9"/>
      <c r="G564" s="9"/>
      <c r="H564" s="50"/>
      <c r="I564" s="9"/>
      <c r="J564" s="9"/>
      <c r="K564" s="9"/>
      <c r="L564" s="9"/>
      <c r="M564" s="9"/>
      <c r="N564" s="9"/>
      <c r="O564" s="9"/>
      <c r="P564" s="9"/>
    </row>
    <row r="565" spans="1:16" x14ac:dyDescent="0.25">
      <c r="A565" s="4"/>
      <c r="B565" s="28" t="str">
        <f>IF(ISNUMBER(MATCH(D565, Mgt_Unit!$C$5:$C$1018, 0)), INDEX(Mgt_Unit!$B$5:$B$1018, MATCH(D565, Mgt_Unit!$C$5:$C$1018, 0)), "")</f>
        <v/>
      </c>
      <c r="C565" s="28"/>
      <c r="D565" s="9"/>
      <c r="E565" s="45"/>
      <c r="F565" s="9"/>
      <c r="G565" s="9"/>
      <c r="H565" s="50"/>
      <c r="I565" s="9"/>
      <c r="J565" s="9"/>
      <c r="K565" s="9"/>
      <c r="L565" s="9"/>
      <c r="M565" s="9"/>
      <c r="N565" s="9"/>
      <c r="O565" s="9"/>
      <c r="P565" s="9"/>
    </row>
    <row r="566" spans="1:16" x14ac:dyDescent="0.25">
      <c r="A566" s="4"/>
      <c r="B566" s="28" t="str">
        <f>IF(ISNUMBER(MATCH(D566, Mgt_Unit!$C$5:$C$1018, 0)), INDEX(Mgt_Unit!$B$5:$B$1018, MATCH(D566, Mgt_Unit!$C$5:$C$1018, 0)), "")</f>
        <v/>
      </c>
      <c r="C566" s="28"/>
      <c r="D566" s="9"/>
      <c r="E566" s="45"/>
      <c r="F566" s="9"/>
      <c r="G566" s="9"/>
      <c r="H566" s="50"/>
      <c r="I566" s="9"/>
      <c r="J566" s="9"/>
      <c r="K566" s="9"/>
      <c r="L566" s="9"/>
      <c r="M566" s="9"/>
      <c r="N566" s="9"/>
      <c r="O566" s="9"/>
      <c r="P566" s="9"/>
    </row>
    <row r="567" spans="1:16" x14ac:dyDescent="0.25">
      <c r="A567" s="4"/>
      <c r="B567" s="28" t="str">
        <f>IF(ISNUMBER(MATCH(D567, Mgt_Unit!$C$5:$C$1018, 0)), INDEX(Mgt_Unit!$B$5:$B$1018, MATCH(D567, Mgt_Unit!$C$5:$C$1018, 0)), "")</f>
        <v/>
      </c>
      <c r="C567" s="28"/>
      <c r="D567" s="9"/>
      <c r="E567" s="45"/>
      <c r="F567" s="9"/>
      <c r="G567" s="9"/>
      <c r="H567" s="50"/>
      <c r="I567" s="9"/>
      <c r="J567" s="9"/>
      <c r="K567" s="9"/>
      <c r="L567" s="9"/>
      <c r="M567" s="9"/>
      <c r="N567" s="9"/>
      <c r="O567" s="9"/>
      <c r="P567" s="9"/>
    </row>
    <row r="568" spans="1:16" x14ac:dyDescent="0.25">
      <c r="A568" s="4"/>
      <c r="B568" s="28" t="str">
        <f>IF(ISNUMBER(MATCH(D568, Mgt_Unit!$C$5:$C$1018, 0)), INDEX(Mgt_Unit!$B$5:$B$1018, MATCH(D568, Mgt_Unit!$C$5:$C$1018, 0)), "")</f>
        <v/>
      </c>
      <c r="C568" s="28"/>
      <c r="D568" s="9"/>
      <c r="E568" s="45"/>
      <c r="F568" s="9"/>
      <c r="G568" s="9"/>
      <c r="H568" s="50"/>
      <c r="I568" s="9"/>
      <c r="J568" s="9"/>
      <c r="K568" s="9"/>
      <c r="L568" s="9"/>
      <c r="M568" s="9"/>
      <c r="N568" s="9"/>
      <c r="O568" s="9"/>
      <c r="P568" s="9"/>
    </row>
    <row r="569" spans="1:16" x14ac:dyDescent="0.25">
      <c r="A569" s="4"/>
      <c r="B569" s="28" t="str">
        <f>IF(ISNUMBER(MATCH(D569, Mgt_Unit!$C$5:$C$1018, 0)), INDEX(Mgt_Unit!$B$5:$B$1018, MATCH(D569, Mgt_Unit!$C$5:$C$1018, 0)), "")</f>
        <v/>
      </c>
      <c r="C569" s="28"/>
      <c r="D569" s="9"/>
      <c r="E569" s="45"/>
      <c r="F569" s="9"/>
      <c r="G569" s="9"/>
      <c r="H569" s="50"/>
      <c r="I569" s="9"/>
      <c r="J569" s="9"/>
      <c r="K569" s="9"/>
      <c r="L569" s="9"/>
      <c r="M569" s="9"/>
      <c r="N569" s="9"/>
      <c r="O569" s="9"/>
      <c r="P569" s="9"/>
    </row>
    <row r="570" spans="1:16" x14ac:dyDescent="0.25">
      <c r="A570" s="4"/>
      <c r="B570" s="28" t="str">
        <f>IF(ISNUMBER(MATCH(D570, Mgt_Unit!$C$5:$C$1018, 0)), INDEX(Mgt_Unit!$B$5:$B$1018, MATCH(D570, Mgt_Unit!$C$5:$C$1018, 0)), "")</f>
        <v/>
      </c>
      <c r="C570" s="28"/>
      <c r="D570" s="9"/>
      <c r="E570" s="45"/>
      <c r="F570" s="9"/>
      <c r="G570" s="9"/>
      <c r="H570" s="50"/>
      <c r="I570" s="9"/>
      <c r="J570" s="9"/>
      <c r="K570" s="9"/>
      <c r="L570" s="9"/>
      <c r="M570" s="9"/>
      <c r="N570" s="9"/>
      <c r="O570" s="9"/>
      <c r="P570" s="9"/>
    </row>
    <row r="571" spans="1:16" x14ac:dyDescent="0.25">
      <c r="A571" s="4"/>
      <c r="B571" s="28" t="str">
        <f>IF(ISNUMBER(MATCH(D571, Mgt_Unit!$C$5:$C$1018, 0)), INDEX(Mgt_Unit!$B$5:$B$1018, MATCH(D571, Mgt_Unit!$C$5:$C$1018, 0)), "")</f>
        <v/>
      </c>
      <c r="C571" s="28"/>
      <c r="D571" s="9"/>
      <c r="E571" s="45"/>
      <c r="F571" s="9"/>
      <c r="G571" s="9"/>
      <c r="H571" s="50"/>
      <c r="I571" s="9"/>
      <c r="J571" s="9"/>
      <c r="K571" s="9"/>
      <c r="L571" s="9"/>
      <c r="M571" s="9"/>
      <c r="N571" s="9"/>
      <c r="O571" s="9"/>
      <c r="P571" s="9"/>
    </row>
    <row r="572" spans="1:16" x14ac:dyDescent="0.25">
      <c r="A572" s="4"/>
      <c r="B572" s="28" t="str">
        <f>IF(ISNUMBER(MATCH(D572, Mgt_Unit!$C$5:$C$1018, 0)), INDEX(Mgt_Unit!$B$5:$B$1018, MATCH(D572, Mgt_Unit!$C$5:$C$1018, 0)), "")</f>
        <v/>
      </c>
      <c r="C572" s="28"/>
      <c r="D572" s="9"/>
      <c r="E572" s="45"/>
      <c r="F572" s="9"/>
      <c r="G572" s="9"/>
      <c r="H572" s="50"/>
      <c r="I572" s="9"/>
      <c r="J572" s="9"/>
      <c r="K572" s="9"/>
      <c r="L572" s="9"/>
      <c r="M572" s="9"/>
      <c r="N572" s="9"/>
      <c r="O572" s="9"/>
      <c r="P572" s="9"/>
    </row>
    <row r="573" spans="1:16" x14ac:dyDescent="0.25">
      <c r="A573" s="4"/>
      <c r="B573" s="28" t="str">
        <f>IF(ISNUMBER(MATCH(D573, Mgt_Unit!$C$5:$C$1018, 0)), INDEX(Mgt_Unit!$B$5:$B$1018, MATCH(D573, Mgt_Unit!$C$5:$C$1018, 0)), "")</f>
        <v/>
      </c>
      <c r="C573" s="28"/>
      <c r="D573" s="9"/>
      <c r="E573" s="45"/>
      <c r="F573" s="9"/>
      <c r="G573" s="9"/>
      <c r="H573" s="50"/>
      <c r="I573" s="9"/>
      <c r="J573" s="9"/>
      <c r="K573" s="9"/>
      <c r="L573" s="9"/>
      <c r="M573" s="9"/>
      <c r="N573" s="9"/>
      <c r="O573" s="9"/>
      <c r="P573" s="9"/>
    </row>
    <row r="574" spans="1:16" x14ac:dyDescent="0.25">
      <c r="A574" s="4"/>
      <c r="B574" s="28" t="str">
        <f>IF(ISNUMBER(MATCH(D574, Mgt_Unit!$C$5:$C$1018, 0)), INDEX(Mgt_Unit!$B$5:$B$1018, MATCH(D574, Mgt_Unit!$C$5:$C$1018, 0)), "")</f>
        <v/>
      </c>
      <c r="C574" s="28"/>
      <c r="D574" s="9"/>
      <c r="E574" s="45"/>
      <c r="F574" s="9"/>
      <c r="G574" s="9"/>
      <c r="H574" s="50"/>
      <c r="I574" s="9"/>
      <c r="J574" s="9"/>
      <c r="K574" s="9"/>
      <c r="L574" s="9"/>
      <c r="M574" s="9"/>
      <c r="N574" s="9"/>
      <c r="O574" s="9"/>
      <c r="P574" s="9"/>
    </row>
    <row r="575" spans="1:16" x14ac:dyDescent="0.25">
      <c r="A575" s="4"/>
      <c r="B575" s="28" t="str">
        <f>IF(ISNUMBER(MATCH(D575, Mgt_Unit!$C$5:$C$1018, 0)), INDEX(Mgt_Unit!$B$5:$B$1018, MATCH(D575, Mgt_Unit!$C$5:$C$1018, 0)), "")</f>
        <v/>
      </c>
      <c r="C575" s="28"/>
      <c r="D575" s="9"/>
      <c r="E575" s="45"/>
      <c r="F575" s="9"/>
      <c r="G575" s="9"/>
      <c r="H575" s="50"/>
      <c r="I575" s="9"/>
      <c r="J575" s="9"/>
      <c r="K575" s="9"/>
      <c r="L575" s="9"/>
      <c r="M575" s="9"/>
      <c r="N575" s="9"/>
      <c r="O575" s="9"/>
      <c r="P575" s="9"/>
    </row>
    <row r="576" spans="1:16" x14ac:dyDescent="0.25">
      <c r="A576" s="4"/>
      <c r="B576" s="28" t="str">
        <f>IF(ISNUMBER(MATCH(D576, Mgt_Unit!$C$5:$C$1018, 0)), INDEX(Mgt_Unit!$B$5:$B$1018, MATCH(D576, Mgt_Unit!$C$5:$C$1018, 0)), "")</f>
        <v/>
      </c>
      <c r="C576" s="28"/>
      <c r="D576" s="9"/>
      <c r="E576" s="45"/>
      <c r="F576" s="9"/>
      <c r="G576" s="9"/>
      <c r="H576" s="50"/>
      <c r="I576" s="9"/>
      <c r="J576" s="9"/>
      <c r="K576" s="9"/>
      <c r="L576" s="9"/>
      <c r="M576" s="9"/>
      <c r="N576" s="9"/>
      <c r="O576" s="9"/>
      <c r="P576" s="9"/>
    </row>
    <row r="577" spans="1:16" x14ac:dyDescent="0.25">
      <c r="A577" s="4"/>
      <c r="B577" s="28" t="str">
        <f>IF(ISNUMBER(MATCH(D577, Mgt_Unit!$C$5:$C$1018, 0)), INDEX(Mgt_Unit!$B$5:$B$1018, MATCH(D577, Mgt_Unit!$C$5:$C$1018, 0)), "")</f>
        <v/>
      </c>
      <c r="C577" s="28"/>
      <c r="D577" s="9"/>
      <c r="E577" s="45"/>
      <c r="F577" s="9"/>
      <c r="G577" s="9"/>
      <c r="H577" s="50"/>
      <c r="I577" s="9"/>
      <c r="J577" s="9"/>
      <c r="K577" s="9"/>
      <c r="L577" s="9"/>
      <c r="M577" s="9"/>
      <c r="N577" s="9"/>
      <c r="O577" s="9"/>
      <c r="P577" s="9"/>
    </row>
    <row r="578" spans="1:16" x14ac:dyDescent="0.25">
      <c r="A578" s="4"/>
      <c r="B578" s="28" t="str">
        <f>IF(ISNUMBER(MATCH(D578, Mgt_Unit!$C$5:$C$1018, 0)), INDEX(Mgt_Unit!$B$5:$B$1018, MATCH(D578, Mgt_Unit!$C$5:$C$1018, 0)), "")</f>
        <v/>
      </c>
      <c r="C578" s="28"/>
      <c r="D578" s="9"/>
      <c r="E578" s="45"/>
      <c r="F578" s="9"/>
      <c r="G578" s="9"/>
      <c r="H578" s="50"/>
      <c r="I578" s="9"/>
      <c r="J578" s="9"/>
      <c r="K578" s="9"/>
      <c r="L578" s="9"/>
      <c r="M578" s="9"/>
      <c r="N578" s="9"/>
      <c r="O578" s="9"/>
      <c r="P578" s="9"/>
    </row>
    <row r="579" spans="1:16" x14ac:dyDescent="0.25">
      <c r="A579" s="4"/>
      <c r="B579" s="28" t="str">
        <f>IF(ISNUMBER(MATCH(D579, Mgt_Unit!$C$5:$C$1018, 0)), INDEX(Mgt_Unit!$B$5:$B$1018, MATCH(D579, Mgt_Unit!$C$5:$C$1018, 0)), "")</f>
        <v/>
      </c>
      <c r="C579" s="28"/>
      <c r="D579" s="9"/>
      <c r="E579" s="45"/>
      <c r="F579" s="9"/>
      <c r="G579" s="9"/>
      <c r="H579" s="50"/>
      <c r="I579" s="9"/>
      <c r="J579" s="9"/>
      <c r="K579" s="9"/>
      <c r="L579" s="9"/>
      <c r="M579" s="9"/>
      <c r="N579" s="9"/>
      <c r="O579" s="9"/>
      <c r="P579" s="9"/>
    </row>
    <row r="580" spans="1:16" x14ac:dyDescent="0.25">
      <c r="A580" s="4"/>
      <c r="B580" s="28" t="str">
        <f>IF(ISNUMBER(MATCH(D580, Mgt_Unit!$C$5:$C$1018, 0)), INDEX(Mgt_Unit!$B$5:$B$1018, MATCH(D580, Mgt_Unit!$C$5:$C$1018, 0)), "")</f>
        <v/>
      </c>
      <c r="C580" s="28"/>
      <c r="D580" s="9"/>
      <c r="E580" s="45"/>
      <c r="F580" s="9"/>
      <c r="G580" s="9"/>
      <c r="H580" s="50"/>
      <c r="I580" s="9"/>
      <c r="J580" s="9"/>
      <c r="K580" s="9"/>
      <c r="L580" s="9"/>
      <c r="M580" s="9"/>
      <c r="N580" s="9"/>
      <c r="O580" s="9"/>
      <c r="P580" s="9"/>
    </row>
    <row r="581" spans="1:16" x14ac:dyDescent="0.25">
      <c r="A581" s="4"/>
      <c r="B581" s="28" t="str">
        <f>IF(ISNUMBER(MATCH(D581, Mgt_Unit!$C$5:$C$1018, 0)), INDEX(Mgt_Unit!$B$5:$B$1018, MATCH(D581, Mgt_Unit!$C$5:$C$1018, 0)), "")</f>
        <v/>
      </c>
      <c r="C581" s="28"/>
      <c r="D581" s="9"/>
      <c r="E581" s="45"/>
      <c r="F581" s="9"/>
      <c r="G581" s="9"/>
      <c r="H581" s="50"/>
      <c r="I581" s="9"/>
      <c r="J581" s="9"/>
      <c r="K581" s="9"/>
      <c r="L581" s="9"/>
      <c r="M581" s="9"/>
      <c r="N581" s="9"/>
      <c r="O581" s="9"/>
      <c r="P581" s="9"/>
    </row>
    <row r="582" spans="1:16" x14ac:dyDescent="0.25">
      <c r="A582" s="4"/>
      <c r="B582" s="28" t="str">
        <f>IF(ISNUMBER(MATCH(D582, Mgt_Unit!$C$5:$C$1018, 0)), INDEX(Mgt_Unit!$B$5:$B$1018, MATCH(D582, Mgt_Unit!$C$5:$C$1018, 0)), "")</f>
        <v/>
      </c>
      <c r="C582" s="28"/>
      <c r="D582" s="9"/>
      <c r="E582" s="45"/>
      <c r="F582" s="9"/>
      <c r="G582" s="9"/>
      <c r="H582" s="50"/>
      <c r="I582" s="9"/>
      <c r="J582" s="9"/>
      <c r="K582" s="9"/>
      <c r="L582" s="9"/>
      <c r="M582" s="9"/>
      <c r="N582" s="9"/>
      <c r="O582" s="9"/>
      <c r="P582" s="9"/>
    </row>
    <row r="583" spans="1:16" x14ac:dyDescent="0.25">
      <c r="A583" s="4"/>
      <c r="B583" s="28" t="str">
        <f>IF(ISNUMBER(MATCH(D583, Mgt_Unit!$C$5:$C$1018, 0)), INDEX(Mgt_Unit!$B$5:$B$1018, MATCH(D583, Mgt_Unit!$C$5:$C$1018, 0)), "")</f>
        <v/>
      </c>
      <c r="C583" s="28"/>
      <c r="D583" s="9"/>
      <c r="E583" s="45"/>
      <c r="F583" s="9"/>
      <c r="G583" s="9"/>
      <c r="H583" s="50"/>
      <c r="I583" s="9"/>
      <c r="J583" s="9"/>
      <c r="K583" s="9"/>
      <c r="L583" s="9"/>
      <c r="M583" s="9"/>
      <c r="N583" s="9"/>
      <c r="O583" s="9"/>
      <c r="P583" s="9"/>
    </row>
    <row r="584" spans="1:16" x14ac:dyDescent="0.25">
      <c r="A584" s="4"/>
      <c r="B584" s="28" t="str">
        <f>IF(ISNUMBER(MATCH(D584, Mgt_Unit!$C$5:$C$1018, 0)), INDEX(Mgt_Unit!$B$5:$B$1018, MATCH(D584, Mgt_Unit!$C$5:$C$1018, 0)), "")</f>
        <v/>
      </c>
      <c r="C584" s="28"/>
      <c r="D584" s="9"/>
      <c r="E584" s="45"/>
      <c r="F584" s="9"/>
      <c r="G584" s="9"/>
      <c r="H584" s="50"/>
      <c r="I584" s="9"/>
      <c r="J584" s="9"/>
      <c r="K584" s="9"/>
      <c r="L584" s="9"/>
      <c r="M584" s="9"/>
      <c r="N584" s="9"/>
      <c r="O584" s="9"/>
      <c r="P584" s="9"/>
    </row>
    <row r="585" spans="1:16" x14ac:dyDescent="0.25">
      <c r="A585" s="4"/>
      <c r="B585" s="28" t="str">
        <f>IF(ISNUMBER(MATCH(D585, Mgt_Unit!$C$5:$C$1018, 0)), INDEX(Mgt_Unit!$B$5:$B$1018, MATCH(D585, Mgt_Unit!$C$5:$C$1018, 0)), "")</f>
        <v/>
      </c>
      <c r="C585" s="28"/>
      <c r="D585" s="9"/>
      <c r="E585" s="45"/>
      <c r="F585" s="9"/>
      <c r="G585" s="9"/>
      <c r="H585" s="50"/>
      <c r="I585" s="9"/>
      <c r="J585" s="9"/>
      <c r="K585" s="9"/>
      <c r="L585" s="9"/>
      <c r="M585" s="9"/>
      <c r="N585" s="9"/>
      <c r="O585" s="9"/>
      <c r="P585" s="9"/>
    </row>
    <row r="586" spans="1:16" x14ac:dyDescent="0.25">
      <c r="A586" s="4"/>
      <c r="B586" s="28" t="str">
        <f>IF(ISNUMBER(MATCH(D586, Mgt_Unit!$C$5:$C$1018, 0)), INDEX(Mgt_Unit!$B$5:$B$1018, MATCH(D586, Mgt_Unit!$C$5:$C$1018, 0)), "")</f>
        <v/>
      </c>
      <c r="C586" s="28"/>
      <c r="D586" s="9"/>
      <c r="E586" s="45"/>
      <c r="F586" s="9"/>
      <c r="G586" s="9"/>
      <c r="H586" s="50"/>
      <c r="I586" s="9"/>
      <c r="J586" s="9"/>
      <c r="K586" s="9"/>
      <c r="L586" s="9"/>
      <c r="M586" s="9"/>
      <c r="N586" s="9"/>
      <c r="O586" s="9"/>
      <c r="P586" s="9"/>
    </row>
    <row r="587" spans="1:16" x14ac:dyDescent="0.25">
      <c r="A587" s="4"/>
      <c r="B587" s="28" t="str">
        <f>IF(ISNUMBER(MATCH(D587, Mgt_Unit!$C$5:$C$1018, 0)), INDEX(Mgt_Unit!$B$5:$B$1018, MATCH(D587, Mgt_Unit!$C$5:$C$1018, 0)), "")</f>
        <v/>
      </c>
      <c r="C587" s="28"/>
      <c r="D587" s="9"/>
      <c r="E587" s="45"/>
      <c r="F587" s="9"/>
      <c r="G587" s="9"/>
      <c r="H587" s="50"/>
      <c r="I587" s="9"/>
      <c r="J587" s="9"/>
      <c r="K587" s="9"/>
      <c r="L587" s="9"/>
      <c r="M587" s="9"/>
      <c r="N587" s="9"/>
      <c r="O587" s="9"/>
      <c r="P587" s="9"/>
    </row>
    <row r="588" spans="1:16" x14ac:dyDescent="0.25">
      <c r="A588" s="4"/>
      <c r="B588" s="28" t="str">
        <f>IF(ISNUMBER(MATCH(D588, Mgt_Unit!$C$5:$C$1018, 0)), INDEX(Mgt_Unit!$B$5:$B$1018, MATCH(D588, Mgt_Unit!$C$5:$C$1018, 0)), "")</f>
        <v/>
      </c>
      <c r="C588" s="28"/>
      <c r="D588" s="9"/>
      <c r="E588" s="45"/>
      <c r="F588" s="9"/>
      <c r="G588" s="9"/>
      <c r="H588" s="50"/>
      <c r="I588" s="9"/>
      <c r="J588" s="9"/>
      <c r="K588" s="9"/>
      <c r="L588" s="9"/>
      <c r="M588" s="9"/>
      <c r="N588" s="9"/>
      <c r="O588" s="9"/>
      <c r="P588" s="9"/>
    </row>
    <row r="589" spans="1:16" x14ac:dyDescent="0.25">
      <c r="A589" s="4"/>
      <c r="B589" s="28" t="str">
        <f>IF(ISNUMBER(MATCH(D589, Mgt_Unit!$C$5:$C$1018, 0)), INDEX(Mgt_Unit!$B$5:$B$1018, MATCH(D589, Mgt_Unit!$C$5:$C$1018, 0)), "")</f>
        <v/>
      </c>
      <c r="C589" s="28"/>
      <c r="D589" s="9"/>
      <c r="E589" s="45"/>
      <c r="F589" s="9"/>
      <c r="G589" s="9"/>
      <c r="H589" s="50"/>
      <c r="I589" s="9"/>
      <c r="J589" s="9"/>
      <c r="K589" s="9"/>
      <c r="L589" s="9"/>
      <c r="M589" s="9"/>
      <c r="N589" s="9"/>
      <c r="O589" s="9"/>
      <c r="P589" s="9"/>
    </row>
    <row r="590" spans="1:16" x14ac:dyDescent="0.25">
      <c r="A590" s="4"/>
      <c r="B590" s="28" t="str">
        <f>IF(ISNUMBER(MATCH(D590, Mgt_Unit!$C$5:$C$1018, 0)), INDEX(Mgt_Unit!$B$5:$B$1018, MATCH(D590, Mgt_Unit!$C$5:$C$1018, 0)), "")</f>
        <v/>
      </c>
      <c r="C590" s="28"/>
      <c r="D590" s="9"/>
      <c r="E590" s="45"/>
      <c r="F590" s="9"/>
      <c r="G590" s="9"/>
      <c r="H590" s="50"/>
      <c r="I590" s="9"/>
      <c r="J590" s="9"/>
      <c r="K590" s="9"/>
      <c r="L590" s="9"/>
      <c r="M590" s="9"/>
      <c r="N590" s="9"/>
      <c r="O590" s="9"/>
      <c r="P590" s="9"/>
    </row>
    <row r="591" spans="1:16" x14ac:dyDescent="0.25">
      <c r="A591" s="4"/>
      <c r="B591" s="28" t="str">
        <f>IF(ISNUMBER(MATCH(D591, Mgt_Unit!$C$5:$C$1018, 0)), INDEX(Mgt_Unit!$B$5:$B$1018, MATCH(D591, Mgt_Unit!$C$5:$C$1018, 0)), "")</f>
        <v/>
      </c>
      <c r="C591" s="28"/>
      <c r="D591" s="9"/>
      <c r="E591" s="45"/>
      <c r="F591" s="9"/>
      <c r="G591" s="9"/>
      <c r="H591" s="50"/>
      <c r="I591" s="9"/>
      <c r="J591" s="9"/>
      <c r="K591" s="9"/>
      <c r="L591" s="9"/>
      <c r="M591" s="9"/>
      <c r="N591" s="9"/>
      <c r="O591" s="9"/>
      <c r="P591" s="9"/>
    </row>
    <row r="592" spans="1:16" x14ac:dyDescent="0.25">
      <c r="A592" s="4"/>
      <c r="B592" s="28" t="str">
        <f>IF(ISNUMBER(MATCH(D592, Mgt_Unit!$C$5:$C$1018, 0)), INDEX(Mgt_Unit!$B$5:$B$1018, MATCH(D592, Mgt_Unit!$C$5:$C$1018, 0)), "")</f>
        <v/>
      </c>
      <c r="C592" s="28"/>
      <c r="D592" s="9"/>
      <c r="E592" s="45"/>
      <c r="F592" s="9"/>
      <c r="G592" s="9"/>
      <c r="H592" s="50"/>
      <c r="I592" s="9"/>
      <c r="J592" s="9"/>
      <c r="K592" s="9"/>
      <c r="L592" s="9"/>
      <c r="M592" s="9"/>
      <c r="N592" s="9"/>
      <c r="O592" s="9"/>
      <c r="P592" s="9"/>
    </row>
    <row r="593" spans="1:16" x14ac:dyDescent="0.25">
      <c r="A593" s="4"/>
      <c r="B593" s="28" t="str">
        <f>IF(ISNUMBER(MATCH(D593, Mgt_Unit!$C$5:$C$1018, 0)), INDEX(Mgt_Unit!$B$5:$B$1018, MATCH(D593, Mgt_Unit!$C$5:$C$1018, 0)), "")</f>
        <v/>
      </c>
      <c r="C593" s="28"/>
      <c r="D593" s="9"/>
      <c r="E593" s="45"/>
      <c r="F593" s="9"/>
      <c r="G593" s="9"/>
      <c r="H593" s="50"/>
      <c r="I593" s="9"/>
      <c r="J593" s="9"/>
      <c r="K593" s="9"/>
      <c r="L593" s="9"/>
      <c r="M593" s="9"/>
      <c r="N593" s="9"/>
      <c r="O593" s="9"/>
      <c r="P593" s="9"/>
    </row>
    <row r="594" spans="1:16" x14ac:dyDescent="0.25">
      <c r="A594" s="4"/>
      <c r="B594" s="28" t="str">
        <f>IF(ISNUMBER(MATCH(D594, Mgt_Unit!$C$5:$C$1018, 0)), INDEX(Mgt_Unit!$B$5:$B$1018, MATCH(D594, Mgt_Unit!$C$5:$C$1018, 0)), "")</f>
        <v/>
      </c>
      <c r="C594" s="28"/>
      <c r="D594" s="9"/>
      <c r="E594" s="45"/>
      <c r="F594" s="9"/>
      <c r="G594" s="9"/>
      <c r="H594" s="50"/>
      <c r="I594" s="9"/>
      <c r="J594" s="9"/>
      <c r="K594" s="9"/>
      <c r="L594" s="9"/>
      <c r="M594" s="9"/>
      <c r="N594" s="9"/>
      <c r="O594" s="9"/>
      <c r="P594" s="9"/>
    </row>
    <row r="595" spans="1:16" x14ac:dyDescent="0.25">
      <c r="A595" s="4"/>
      <c r="B595" s="28" t="str">
        <f>IF(ISNUMBER(MATCH(D595, Mgt_Unit!$C$5:$C$1018, 0)), INDEX(Mgt_Unit!$B$5:$B$1018, MATCH(D595, Mgt_Unit!$C$5:$C$1018, 0)), "")</f>
        <v/>
      </c>
      <c r="C595" s="28"/>
      <c r="D595" s="9"/>
      <c r="E595" s="45"/>
      <c r="F595" s="9"/>
      <c r="G595" s="9"/>
      <c r="H595" s="50"/>
      <c r="I595" s="9"/>
      <c r="J595" s="9"/>
      <c r="K595" s="9"/>
      <c r="L595" s="9"/>
      <c r="M595" s="9"/>
      <c r="N595" s="9"/>
      <c r="O595" s="9"/>
      <c r="P595" s="9"/>
    </row>
    <row r="596" spans="1:16" x14ac:dyDescent="0.25">
      <c r="A596" s="4"/>
      <c r="B596" s="28" t="str">
        <f>IF(ISNUMBER(MATCH(D596, Mgt_Unit!$C$5:$C$1018, 0)), INDEX(Mgt_Unit!$B$5:$B$1018, MATCH(D596, Mgt_Unit!$C$5:$C$1018, 0)), "")</f>
        <v/>
      </c>
      <c r="C596" s="28"/>
      <c r="D596" s="9"/>
      <c r="E596" s="45"/>
      <c r="F596" s="9"/>
      <c r="G596" s="9"/>
      <c r="H596" s="50"/>
      <c r="I596" s="9"/>
      <c r="J596" s="9"/>
      <c r="K596" s="9"/>
      <c r="L596" s="9"/>
      <c r="M596" s="9"/>
      <c r="N596" s="9"/>
      <c r="O596" s="9"/>
      <c r="P596" s="9"/>
    </row>
    <row r="597" spans="1:16" x14ac:dyDescent="0.25">
      <c r="A597" s="4"/>
      <c r="B597" s="28" t="str">
        <f>IF(ISNUMBER(MATCH(D597, Mgt_Unit!$C$5:$C$1018, 0)), INDEX(Mgt_Unit!$B$5:$B$1018, MATCH(D597, Mgt_Unit!$C$5:$C$1018, 0)), "")</f>
        <v/>
      </c>
      <c r="C597" s="28"/>
      <c r="D597" s="9"/>
      <c r="E597" s="45"/>
      <c r="F597" s="9"/>
      <c r="G597" s="9"/>
      <c r="H597" s="50"/>
      <c r="I597" s="9"/>
      <c r="J597" s="9"/>
      <c r="K597" s="9"/>
      <c r="L597" s="9"/>
      <c r="M597" s="9"/>
      <c r="N597" s="9"/>
      <c r="O597" s="9"/>
      <c r="P597" s="9"/>
    </row>
    <row r="598" spans="1:16" x14ac:dyDescent="0.25">
      <c r="A598" s="4"/>
      <c r="B598" s="28" t="str">
        <f>IF(ISNUMBER(MATCH(D598, Mgt_Unit!$C$5:$C$1018, 0)), INDEX(Mgt_Unit!$B$5:$B$1018, MATCH(D598, Mgt_Unit!$C$5:$C$1018, 0)), "")</f>
        <v/>
      </c>
      <c r="C598" s="28"/>
      <c r="D598" s="9"/>
      <c r="E598" s="45"/>
      <c r="F598" s="9"/>
      <c r="G598" s="9"/>
      <c r="H598" s="50"/>
      <c r="I598" s="9"/>
      <c r="J598" s="9"/>
      <c r="K598" s="9"/>
      <c r="L598" s="9"/>
      <c r="M598" s="9"/>
      <c r="N598" s="9"/>
      <c r="O598" s="9"/>
      <c r="P598" s="9"/>
    </row>
    <row r="599" spans="1:16" x14ac:dyDescent="0.25">
      <c r="A599" s="4"/>
      <c r="B599" s="28" t="str">
        <f>IF(ISNUMBER(MATCH(D599, Mgt_Unit!$C$5:$C$1018, 0)), INDEX(Mgt_Unit!$B$5:$B$1018, MATCH(D599, Mgt_Unit!$C$5:$C$1018, 0)), "")</f>
        <v/>
      </c>
      <c r="C599" s="28"/>
      <c r="D599" s="9"/>
      <c r="E599" s="45"/>
      <c r="F599" s="9"/>
      <c r="G599" s="9"/>
      <c r="H599" s="50"/>
      <c r="I599" s="9"/>
      <c r="J599" s="9"/>
      <c r="K599" s="9"/>
      <c r="L599" s="9"/>
      <c r="M599" s="9"/>
      <c r="N599" s="9"/>
      <c r="O599" s="9"/>
      <c r="P599" s="9"/>
    </row>
    <row r="600" spans="1:16" x14ac:dyDescent="0.25">
      <c r="A600" s="4"/>
      <c r="B600" s="28" t="str">
        <f>IF(ISNUMBER(MATCH(D600, Mgt_Unit!$C$5:$C$1018, 0)), INDEX(Mgt_Unit!$B$5:$B$1018, MATCH(D600, Mgt_Unit!$C$5:$C$1018, 0)), "")</f>
        <v/>
      </c>
      <c r="C600" s="28"/>
      <c r="D600" s="9"/>
      <c r="E600" s="45"/>
      <c r="F600" s="9"/>
      <c r="G600" s="9"/>
      <c r="H600" s="50"/>
      <c r="I600" s="9"/>
      <c r="J600" s="9"/>
      <c r="K600" s="9"/>
      <c r="L600" s="9"/>
      <c r="M600" s="9"/>
      <c r="N600" s="9"/>
      <c r="O600" s="9"/>
      <c r="P600" s="9"/>
    </row>
    <row r="601" spans="1:16" x14ac:dyDescent="0.25">
      <c r="A601" s="4"/>
      <c r="B601" s="28" t="str">
        <f>IF(ISNUMBER(MATCH(D601, Mgt_Unit!$C$5:$C$1018, 0)), INDEX(Mgt_Unit!$B$5:$B$1018, MATCH(D601, Mgt_Unit!$C$5:$C$1018, 0)), "")</f>
        <v/>
      </c>
      <c r="C601" s="28"/>
      <c r="D601" s="9"/>
      <c r="E601" s="45"/>
      <c r="F601" s="9"/>
      <c r="G601" s="9"/>
      <c r="H601" s="50"/>
      <c r="I601" s="9"/>
      <c r="J601" s="9"/>
      <c r="K601" s="9"/>
      <c r="L601" s="9"/>
      <c r="M601" s="9"/>
      <c r="N601" s="9"/>
      <c r="O601" s="9"/>
      <c r="P601" s="9"/>
    </row>
    <row r="602" spans="1:16" x14ac:dyDescent="0.25">
      <c r="A602" s="4"/>
      <c r="B602" s="28" t="str">
        <f>IF(ISNUMBER(MATCH(D602, Mgt_Unit!$C$5:$C$1018, 0)), INDEX(Mgt_Unit!$B$5:$B$1018, MATCH(D602, Mgt_Unit!$C$5:$C$1018, 0)), "")</f>
        <v/>
      </c>
      <c r="C602" s="28"/>
      <c r="D602" s="9"/>
      <c r="E602" s="45"/>
      <c r="F602" s="9"/>
      <c r="G602" s="9"/>
      <c r="H602" s="50"/>
      <c r="I602" s="9"/>
      <c r="J602" s="9"/>
      <c r="K602" s="9"/>
      <c r="L602" s="9"/>
      <c r="M602" s="9"/>
      <c r="N602" s="9"/>
      <c r="O602" s="9"/>
      <c r="P602" s="9"/>
    </row>
    <row r="603" spans="1:16" x14ac:dyDescent="0.25">
      <c r="A603" s="4"/>
      <c r="B603" s="28" t="str">
        <f>IF(ISNUMBER(MATCH(D603, Mgt_Unit!$C$5:$C$1018, 0)), INDEX(Mgt_Unit!$B$5:$B$1018, MATCH(D603, Mgt_Unit!$C$5:$C$1018, 0)), "")</f>
        <v/>
      </c>
      <c r="C603" s="28"/>
      <c r="D603" s="9"/>
      <c r="E603" s="45"/>
      <c r="F603" s="9"/>
      <c r="G603" s="9"/>
      <c r="H603" s="50"/>
      <c r="I603" s="9"/>
      <c r="J603" s="9"/>
      <c r="K603" s="9"/>
      <c r="L603" s="9"/>
      <c r="M603" s="9"/>
      <c r="N603" s="9"/>
      <c r="O603" s="9"/>
      <c r="P603" s="9"/>
    </row>
    <row r="604" spans="1:16" x14ac:dyDescent="0.25">
      <c r="A604" s="4"/>
      <c r="B604" s="28" t="str">
        <f>IF(ISNUMBER(MATCH(D604, Mgt_Unit!$C$5:$C$1018, 0)), INDEX(Mgt_Unit!$B$5:$B$1018, MATCH(D604, Mgt_Unit!$C$5:$C$1018, 0)), "")</f>
        <v/>
      </c>
      <c r="C604" s="28"/>
      <c r="D604" s="9"/>
      <c r="E604" s="45"/>
      <c r="F604" s="9"/>
      <c r="G604" s="9"/>
      <c r="H604" s="50"/>
      <c r="I604" s="9"/>
      <c r="J604" s="9"/>
      <c r="K604" s="9"/>
      <c r="L604" s="9"/>
      <c r="M604" s="9"/>
      <c r="N604" s="9"/>
      <c r="O604" s="9"/>
      <c r="P604" s="9"/>
    </row>
    <row r="605" spans="1:16" x14ac:dyDescent="0.25">
      <c r="A605" s="4"/>
      <c r="B605" s="28" t="str">
        <f>IF(ISNUMBER(MATCH(D605, Mgt_Unit!$C$5:$C$1018, 0)), INDEX(Mgt_Unit!$B$5:$B$1018, MATCH(D605, Mgt_Unit!$C$5:$C$1018, 0)), "")</f>
        <v/>
      </c>
      <c r="C605" s="28"/>
      <c r="D605" s="9"/>
      <c r="E605" s="45"/>
      <c r="F605" s="9"/>
      <c r="G605" s="9"/>
      <c r="H605" s="50"/>
      <c r="I605" s="9"/>
      <c r="J605" s="9"/>
      <c r="K605" s="9"/>
      <c r="L605" s="9"/>
      <c r="M605" s="9"/>
      <c r="N605" s="9"/>
      <c r="O605" s="9"/>
      <c r="P605" s="9"/>
    </row>
    <row r="606" spans="1:16" x14ac:dyDescent="0.25">
      <c r="A606" s="4"/>
      <c r="B606" s="28" t="str">
        <f>IF(ISNUMBER(MATCH(D606, Mgt_Unit!$C$5:$C$1018, 0)), INDEX(Mgt_Unit!$B$5:$B$1018, MATCH(D606, Mgt_Unit!$C$5:$C$1018, 0)), "")</f>
        <v/>
      </c>
      <c r="C606" s="28"/>
      <c r="D606" s="9"/>
      <c r="E606" s="45"/>
      <c r="F606" s="9"/>
      <c r="G606" s="9"/>
      <c r="H606" s="50"/>
      <c r="I606" s="9"/>
      <c r="J606" s="9"/>
      <c r="K606" s="9"/>
      <c r="L606" s="9"/>
      <c r="M606" s="9"/>
      <c r="N606" s="9"/>
      <c r="O606" s="9"/>
      <c r="P606" s="9"/>
    </row>
    <row r="607" spans="1:16" x14ac:dyDescent="0.25">
      <c r="A607" s="4"/>
      <c r="B607" s="28" t="str">
        <f>IF(ISNUMBER(MATCH(D607, Mgt_Unit!$C$5:$C$1018, 0)), INDEX(Mgt_Unit!$B$5:$B$1018, MATCH(D607, Mgt_Unit!$C$5:$C$1018, 0)), "")</f>
        <v/>
      </c>
      <c r="C607" s="28"/>
      <c r="D607" s="9"/>
      <c r="E607" s="45"/>
      <c r="F607" s="9"/>
      <c r="G607" s="9"/>
      <c r="H607" s="50"/>
      <c r="I607" s="9"/>
      <c r="J607" s="9"/>
      <c r="K607" s="9"/>
      <c r="L607" s="9"/>
      <c r="M607" s="9"/>
      <c r="N607" s="9"/>
      <c r="O607" s="9"/>
      <c r="P607" s="9"/>
    </row>
    <row r="608" spans="1:16" x14ac:dyDescent="0.25">
      <c r="A608" s="4"/>
      <c r="B608" s="28" t="str">
        <f>IF(ISNUMBER(MATCH(D608, Mgt_Unit!$C$5:$C$1018, 0)), INDEX(Mgt_Unit!$B$5:$B$1018, MATCH(D608, Mgt_Unit!$C$5:$C$1018, 0)), "")</f>
        <v/>
      </c>
      <c r="C608" s="28"/>
      <c r="D608" s="9"/>
      <c r="E608" s="45"/>
      <c r="F608" s="9"/>
      <c r="G608" s="9"/>
      <c r="H608" s="50"/>
      <c r="I608" s="9"/>
      <c r="J608" s="9"/>
      <c r="K608" s="9"/>
      <c r="L608" s="9"/>
      <c r="M608" s="9"/>
      <c r="N608" s="9"/>
      <c r="O608" s="9"/>
      <c r="P608" s="9"/>
    </row>
    <row r="609" spans="1:16" x14ac:dyDescent="0.25">
      <c r="A609" s="4"/>
      <c r="B609" s="28" t="str">
        <f>IF(ISNUMBER(MATCH(D609, Mgt_Unit!$C$5:$C$1018, 0)), INDEX(Mgt_Unit!$B$5:$B$1018, MATCH(D609, Mgt_Unit!$C$5:$C$1018, 0)), "")</f>
        <v/>
      </c>
      <c r="C609" s="28"/>
      <c r="D609" s="9"/>
      <c r="E609" s="45"/>
      <c r="F609" s="9"/>
      <c r="G609" s="9"/>
      <c r="H609" s="50"/>
      <c r="I609" s="9"/>
      <c r="J609" s="9"/>
      <c r="K609" s="9"/>
      <c r="L609" s="9"/>
      <c r="M609" s="9"/>
      <c r="N609" s="9"/>
      <c r="O609" s="9"/>
      <c r="P609" s="9"/>
    </row>
    <row r="610" spans="1:16" x14ac:dyDescent="0.25">
      <c r="A610" s="4"/>
      <c r="B610" s="28" t="str">
        <f>IF(ISNUMBER(MATCH(D610, Mgt_Unit!$C$5:$C$1018, 0)), INDEX(Mgt_Unit!$B$5:$B$1018, MATCH(D610, Mgt_Unit!$C$5:$C$1018, 0)), "")</f>
        <v/>
      </c>
      <c r="C610" s="28"/>
      <c r="D610" s="9"/>
      <c r="E610" s="45"/>
      <c r="F610" s="9"/>
      <c r="G610" s="9"/>
      <c r="H610" s="50"/>
      <c r="I610" s="9"/>
      <c r="J610" s="9"/>
      <c r="K610" s="9"/>
      <c r="L610" s="9"/>
      <c r="M610" s="9"/>
      <c r="N610" s="9"/>
      <c r="O610" s="9"/>
      <c r="P610" s="9"/>
    </row>
    <row r="611" spans="1:16" x14ac:dyDescent="0.25">
      <c r="A611" s="4"/>
      <c r="B611" s="28" t="str">
        <f>IF(ISNUMBER(MATCH(D611, Mgt_Unit!$C$5:$C$1018, 0)), INDEX(Mgt_Unit!$B$5:$B$1018, MATCH(D611, Mgt_Unit!$C$5:$C$1018, 0)), "")</f>
        <v/>
      </c>
      <c r="C611" s="28"/>
      <c r="D611" s="9"/>
      <c r="E611" s="45"/>
      <c r="F611" s="9"/>
      <c r="G611" s="9"/>
      <c r="H611" s="50"/>
      <c r="I611" s="9"/>
      <c r="J611" s="9"/>
      <c r="K611" s="9"/>
      <c r="L611" s="9"/>
      <c r="M611" s="9"/>
      <c r="N611" s="9"/>
      <c r="O611" s="9"/>
      <c r="P611" s="9"/>
    </row>
    <row r="612" spans="1:16" x14ac:dyDescent="0.25">
      <c r="A612" s="4"/>
      <c r="B612" s="28" t="str">
        <f>IF(ISNUMBER(MATCH(D612, Mgt_Unit!$C$5:$C$1018, 0)), INDEX(Mgt_Unit!$B$5:$B$1018, MATCH(D612, Mgt_Unit!$C$5:$C$1018, 0)), "")</f>
        <v/>
      </c>
      <c r="C612" s="28"/>
      <c r="D612" s="9"/>
      <c r="E612" s="45"/>
      <c r="F612" s="9"/>
      <c r="G612" s="9"/>
      <c r="H612" s="50"/>
      <c r="I612" s="9"/>
      <c r="J612" s="9"/>
      <c r="K612" s="9"/>
      <c r="L612" s="9"/>
      <c r="M612" s="9"/>
      <c r="N612" s="9"/>
      <c r="O612" s="9"/>
      <c r="P612" s="9"/>
    </row>
    <row r="613" spans="1:16" x14ac:dyDescent="0.25">
      <c r="A613" s="4"/>
      <c r="B613" s="28" t="str">
        <f>IF(ISNUMBER(MATCH(D613, Mgt_Unit!$C$5:$C$1018, 0)), INDEX(Mgt_Unit!$B$5:$B$1018, MATCH(D613, Mgt_Unit!$C$5:$C$1018, 0)), "")</f>
        <v/>
      </c>
      <c r="C613" s="28"/>
      <c r="D613" s="9"/>
      <c r="E613" s="45"/>
      <c r="F613" s="9"/>
      <c r="G613" s="9"/>
      <c r="H613" s="50"/>
      <c r="I613" s="9"/>
      <c r="J613" s="9"/>
      <c r="K613" s="9"/>
      <c r="L613" s="9"/>
      <c r="M613" s="9"/>
      <c r="N613" s="9"/>
      <c r="O613" s="9"/>
      <c r="P613" s="9"/>
    </row>
    <row r="614" spans="1:16" x14ac:dyDescent="0.25">
      <c r="A614" s="4"/>
      <c r="B614" s="28" t="str">
        <f>IF(ISNUMBER(MATCH(D614, Mgt_Unit!$C$5:$C$1018, 0)), INDEX(Mgt_Unit!$B$5:$B$1018, MATCH(D614, Mgt_Unit!$C$5:$C$1018, 0)), "")</f>
        <v/>
      </c>
      <c r="C614" s="28"/>
      <c r="D614" s="9"/>
      <c r="E614" s="45"/>
      <c r="F614" s="9"/>
      <c r="G614" s="9"/>
      <c r="H614" s="50"/>
      <c r="I614" s="9"/>
      <c r="J614" s="9"/>
      <c r="K614" s="9"/>
      <c r="L614" s="9"/>
      <c r="M614" s="9"/>
      <c r="N614" s="9"/>
      <c r="O614" s="9"/>
      <c r="P614" s="9"/>
    </row>
    <row r="615" spans="1:16" x14ac:dyDescent="0.25">
      <c r="A615" s="4"/>
      <c r="B615" s="28" t="str">
        <f>IF(ISNUMBER(MATCH(D615, Mgt_Unit!$C$5:$C$1018, 0)), INDEX(Mgt_Unit!$B$5:$B$1018, MATCH(D615, Mgt_Unit!$C$5:$C$1018, 0)), "")</f>
        <v/>
      </c>
      <c r="C615" s="28"/>
      <c r="D615" s="9"/>
      <c r="E615" s="45"/>
      <c r="F615" s="9"/>
      <c r="G615" s="9"/>
      <c r="H615" s="50"/>
      <c r="I615" s="9"/>
      <c r="J615" s="9"/>
      <c r="K615" s="9"/>
      <c r="L615" s="9"/>
      <c r="M615" s="9"/>
      <c r="N615" s="9"/>
      <c r="O615" s="9"/>
      <c r="P615" s="9"/>
    </row>
    <row r="616" spans="1:16" x14ac:dyDescent="0.25">
      <c r="A616" s="4"/>
      <c r="B616" s="28" t="str">
        <f>IF(ISNUMBER(MATCH(D616, Mgt_Unit!$C$5:$C$1018, 0)), INDEX(Mgt_Unit!$B$5:$B$1018, MATCH(D616, Mgt_Unit!$C$5:$C$1018, 0)), "")</f>
        <v/>
      </c>
      <c r="C616" s="28"/>
      <c r="D616" s="9"/>
      <c r="E616" s="45"/>
      <c r="F616" s="9"/>
      <c r="G616" s="9"/>
      <c r="H616" s="50"/>
      <c r="I616" s="9"/>
      <c r="J616" s="9"/>
      <c r="K616" s="9"/>
      <c r="L616" s="9"/>
      <c r="M616" s="9"/>
      <c r="N616" s="9"/>
      <c r="O616" s="9"/>
      <c r="P616" s="9"/>
    </row>
    <row r="617" spans="1:16" x14ac:dyDescent="0.25">
      <c r="A617" s="4"/>
      <c r="B617" s="28" t="str">
        <f>IF(ISNUMBER(MATCH(D617, Mgt_Unit!$C$5:$C$1018, 0)), INDEX(Mgt_Unit!$B$5:$B$1018, MATCH(D617, Mgt_Unit!$C$5:$C$1018, 0)), "")</f>
        <v/>
      </c>
      <c r="C617" s="28"/>
      <c r="D617" s="9"/>
      <c r="E617" s="45"/>
      <c r="F617" s="9"/>
      <c r="G617" s="9"/>
      <c r="H617" s="50"/>
      <c r="I617" s="9"/>
      <c r="J617" s="9"/>
      <c r="K617" s="9"/>
      <c r="L617" s="9"/>
      <c r="M617" s="9"/>
      <c r="N617" s="9"/>
      <c r="O617" s="9"/>
      <c r="P617" s="9"/>
    </row>
    <row r="618" spans="1:16" x14ac:dyDescent="0.25">
      <c r="A618" s="4"/>
      <c r="B618" s="28" t="str">
        <f>IF(ISNUMBER(MATCH(D618, Mgt_Unit!$C$5:$C$1018, 0)), INDEX(Mgt_Unit!$B$5:$B$1018, MATCH(D618, Mgt_Unit!$C$5:$C$1018, 0)), "")</f>
        <v/>
      </c>
      <c r="C618" s="28"/>
      <c r="D618" s="9"/>
      <c r="E618" s="45"/>
      <c r="F618" s="9"/>
      <c r="G618" s="9"/>
      <c r="H618" s="50"/>
      <c r="I618" s="9"/>
      <c r="J618" s="9"/>
      <c r="K618" s="9"/>
      <c r="L618" s="9"/>
      <c r="M618" s="9"/>
      <c r="N618" s="9"/>
      <c r="O618" s="9"/>
      <c r="P618" s="9"/>
    </row>
    <row r="619" spans="1:16" x14ac:dyDescent="0.25">
      <c r="A619" s="4"/>
      <c r="B619" s="28" t="str">
        <f>IF(ISNUMBER(MATCH(D619, Mgt_Unit!$C$5:$C$1018, 0)), INDEX(Mgt_Unit!$B$5:$B$1018, MATCH(D619, Mgt_Unit!$C$5:$C$1018, 0)), "")</f>
        <v/>
      </c>
      <c r="C619" s="28"/>
      <c r="D619" s="9"/>
      <c r="E619" s="45"/>
      <c r="F619" s="9"/>
      <c r="G619" s="9"/>
      <c r="H619" s="50"/>
      <c r="I619" s="9"/>
      <c r="J619" s="9"/>
      <c r="K619" s="9"/>
      <c r="L619" s="9"/>
      <c r="M619" s="9"/>
      <c r="N619" s="9"/>
      <c r="O619" s="9"/>
      <c r="P619" s="9"/>
    </row>
    <row r="620" spans="1:16" x14ac:dyDescent="0.25">
      <c r="A620" s="4"/>
      <c r="B620" s="28" t="str">
        <f>IF(ISNUMBER(MATCH(D620, Mgt_Unit!$C$5:$C$1018, 0)), INDEX(Mgt_Unit!$B$5:$B$1018, MATCH(D620, Mgt_Unit!$C$5:$C$1018, 0)), "")</f>
        <v/>
      </c>
      <c r="C620" s="28"/>
      <c r="D620" s="9"/>
      <c r="E620" s="45"/>
      <c r="F620" s="9"/>
      <c r="G620" s="9"/>
      <c r="H620" s="50"/>
      <c r="I620" s="9"/>
      <c r="J620" s="9"/>
      <c r="K620" s="9"/>
      <c r="L620" s="9"/>
      <c r="M620" s="9"/>
      <c r="N620" s="9"/>
      <c r="O620" s="9"/>
      <c r="P620" s="9"/>
    </row>
    <row r="621" spans="1:16" x14ac:dyDescent="0.25">
      <c r="A621" s="4"/>
      <c r="B621" s="28" t="str">
        <f>IF(ISNUMBER(MATCH(D621, Mgt_Unit!$C$5:$C$1018, 0)), INDEX(Mgt_Unit!$B$5:$B$1018, MATCH(D621, Mgt_Unit!$C$5:$C$1018, 0)), "")</f>
        <v/>
      </c>
      <c r="C621" s="28"/>
      <c r="D621" s="9"/>
      <c r="E621" s="45"/>
      <c r="F621" s="9"/>
      <c r="G621" s="9"/>
      <c r="H621" s="50"/>
      <c r="I621" s="9"/>
      <c r="J621" s="9"/>
      <c r="K621" s="9"/>
      <c r="L621" s="9"/>
      <c r="M621" s="9"/>
      <c r="N621" s="9"/>
      <c r="O621" s="9"/>
      <c r="P621" s="9"/>
    </row>
    <row r="622" spans="1:16" x14ac:dyDescent="0.25">
      <c r="A622" s="4"/>
      <c r="B622" s="28" t="str">
        <f>IF(ISNUMBER(MATCH(D622, Mgt_Unit!$C$5:$C$1018, 0)), INDEX(Mgt_Unit!$B$5:$B$1018, MATCH(D622, Mgt_Unit!$C$5:$C$1018, 0)), "")</f>
        <v/>
      </c>
      <c r="C622" s="28"/>
      <c r="D622" s="9"/>
      <c r="E622" s="45"/>
      <c r="F622" s="9"/>
      <c r="G622" s="9"/>
      <c r="H622" s="50"/>
      <c r="I622" s="9"/>
      <c r="J622" s="9"/>
      <c r="K622" s="9"/>
      <c r="L622" s="9"/>
      <c r="M622" s="9"/>
      <c r="N622" s="9"/>
      <c r="O622" s="9"/>
      <c r="P622" s="9"/>
    </row>
    <row r="623" spans="1:16" x14ac:dyDescent="0.25">
      <c r="A623" s="4"/>
      <c r="B623" s="28" t="str">
        <f>IF(ISNUMBER(MATCH(D623, Mgt_Unit!$C$5:$C$1018, 0)), INDEX(Mgt_Unit!$B$5:$B$1018, MATCH(D623, Mgt_Unit!$C$5:$C$1018, 0)), "")</f>
        <v/>
      </c>
      <c r="C623" s="28"/>
      <c r="D623" s="9"/>
      <c r="E623" s="45"/>
      <c r="F623" s="9"/>
      <c r="G623" s="9"/>
      <c r="H623" s="50"/>
      <c r="I623" s="9"/>
      <c r="J623" s="9"/>
      <c r="K623" s="9"/>
      <c r="L623" s="9"/>
      <c r="M623" s="9"/>
      <c r="N623" s="9"/>
      <c r="O623" s="9"/>
      <c r="P623" s="9"/>
    </row>
    <row r="624" spans="1:16" x14ac:dyDescent="0.25">
      <c r="A624" s="4"/>
      <c r="B624" s="28" t="str">
        <f>IF(ISNUMBER(MATCH(D624, Mgt_Unit!$C$5:$C$1018, 0)), INDEX(Mgt_Unit!$B$5:$B$1018, MATCH(D624, Mgt_Unit!$C$5:$C$1018, 0)), "")</f>
        <v/>
      </c>
      <c r="C624" s="28"/>
      <c r="D624" s="9"/>
      <c r="E624" s="45"/>
      <c r="F624" s="9"/>
      <c r="G624" s="9"/>
      <c r="H624" s="50"/>
      <c r="I624" s="9"/>
      <c r="J624" s="9"/>
      <c r="K624" s="9"/>
      <c r="L624" s="9"/>
      <c r="M624" s="9"/>
      <c r="N624" s="9"/>
      <c r="O624" s="9"/>
      <c r="P624" s="9"/>
    </row>
    <row r="625" spans="1:16" x14ac:dyDescent="0.25">
      <c r="A625" s="4"/>
      <c r="B625" s="28" t="str">
        <f>IF(ISNUMBER(MATCH(D625, Mgt_Unit!$C$5:$C$1018, 0)), INDEX(Mgt_Unit!$B$5:$B$1018, MATCH(D625, Mgt_Unit!$C$5:$C$1018, 0)), "")</f>
        <v/>
      </c>
      <c r="C625" s="28"/>
      <c r="D625" s="9"/>
      <c r="E625" s="45"/>
      <c r="F625" s="9"/>
      <c r="G625" s="9"/>
      <c r="H625" s="50"/>
      <c r="I625" s="9"/>
      <c r="J625" s="9"/>
      <c r="K625" s="9"/>
      <c r="L625" s="9"/>
      <c r="M625" s="9"/>
      <c r="N625" s="9"/>
      <c r="O625" s="9"/>
      <c r="P625" s="9"/>
    </row>
    <row r="626" spans="1:16" x14ac:dyDescent="0.25">
      <c r="A626" s="4"/>
      <c r="B626" s="28" t="str">
        <f>IF(ISNUMBER(MATCH(D626, Mgt_Unit!$C$5:$C$1018, 0)), INDEX(Mgt_Unit!$B$5:$B$1018, MATCH(D626, Mgt_Unit!$C$5:$C$1018, 0)), "")</f>
        <v/>
      </c>
      <c r="C626" s="28"/>
      <c r="D626" s="9"/>
      <c r="E626" s="45"/>
      <c r="F626" s="9"/>
      <c r="G626" s="9"/>
      <c r="H626" s="50"/>
      <c r="I626" s="9"/>
      <c r="J626" s="9"/>
      <c r="K626" s="9"/>
      <c r="L626" s="9"/>
      <c r="M626" s="9"/>
      <c r="N626" s="9"/>
      <c r="O626" s="9"/>
      <c r="P626" s="9"/>
    </row>
    <row r="627" spans="1:16" x14ac:dyDescent="0.25">
      <c r="A627" s="4"/>
      <c r="B627" s="28" t="str">
        <f>IF(ISNUMBER(MATCH(D627, Mgt_Unit!$C$5:$C$1018, 0)), INDEX(Mgt_Unit!$B$5:$B$1018, MATCH(D627, Mgt_Unit!$C$5:$C$1018, 0)), "")</f>
        <v/>
      </c>
      <c r="C627" s="28"/>
      <c r="D627" s="9"/>
      <c r="E627" s="45"/>
      <c r="F627" s="9"/>
      <c r="G627" s="9"/>
      <c r="H627" s="50"/>
      <c r="I627" s="9"/>
      <c r="J627" s="9"/>
      <c r="K627" s="9"/>
      <c r="L627" s="9"/>
      <c r="M627" s="9"/>
      <c r="N627" s="9"/>
      <c r="O627" s="9"/>
      <c r="P627" s="9"/>
    </row>
    <row r="628" spans="1:16" x14ac:dyDescent="0.25">
      <c r="A628" s="4"/>
      <c r="B628" s="28" t="str">
        <f>IF(ISNUMBER(MATCH(D628, Mgt_Unit!$C$5:$C$1018, 0)), INDEX(Mgt_Unit!$B$5:$B$1018, MATCH(D628, Mgt_Unit!$C$5:$C$1018, 0)), "")</f>
        <v/>
      </c>
      <c r="C628" s="28"/>
      <c r="D628" s="9"/>
      <c r="E628" s="45"/>
      <c r="F628" s="9"/>
      <c r="G628" s="9"/>
      <c r="H628" s="50"/>
      <c r="I628" s="9"/>
      <c r="J628" s="9"/>
      <c r="K628" s="9"/>
      <c r="L628" s="9"/>
      <c r="M628" s="9"/>
      <c r="N628" s="9"/>
      <c r="O628" s="9"/>
      <c r="P628" s="9"/>
    </row>
    <row r="629" spans="1:16" x14ac:dyDescent="0.25">
      <c r="A629" s="4"/>
      <c r="B629" s="28" t="str">
        <f>IF(ISNUMBER(MATCH(D629, Mgt_Unit!$C$5:$C$1018, 0)), INDEX(Mgt_Unit!$B$5:$B$1018, MATCH(D629, Mgt_Unit!$C$5:$C$1018, 0)), "")</f>
        <v/>
      </c>
      <c r="C629" s="28"/>
      <c r="D629" s="9"/>
      <c r="E629" s="45"/>
      <c r="F629" s="9"/>
      <c r="G629" s="9"/>
      <c r="H629" s="50"/>
      <c r="I629" s="9"/>
      <c r="J629" s="9"/>
      <c r="K629" s="9"/>
      <c r="L629" s="9"/>
      <c r="M629" s="9"/>
      <c r="N629" s="9"/>
      <c r="O629" s="9"/>
      <c r="P629" s="9"/>
    </row>
    <row r="630" spans="1:16" x14ac:dyDescent="0.25">
      <c r="A630" s="4"/>
      <c r="B630" s="28" t="str">
        <f>IF(ISNUMBER(MATCH(D630, Mgt_Unit!$C$5:$C$1018, 0)), INDEX(Mgt_Unit!$B$5:$B$1018, MATCH(D630, Mgt_Unit!$C$5:$C$1018, 0)), "")</f>
        <v/>
      </c>
      <c r="C630" s="28"/>
      <c r="D630" s="9"/>
      <c r="E630" s="45"/>
      <c r="F630" s="9"/>
      <c r="G630" s="9"/>
      <c r="H630" s="50"/>
      <c r="I630" s="9"/>
      <c r="J630" s="9"/>
      <c r="K630" s="9"/>
      <c r="L630" s="9"/>
      <c r="M630" s="9"/>
      <c r="N630" s="9"/>
      <c r="O630" s="9"/>
      <c r="P630" s="9"/>
    </row>
    <row r="631" spans="1:16" x14ac:dyDescent="0.25">
      <c r="A631" s="4"/>
      <c r="B631" s="28" t="str">
        <f>IF(ISNUMBER(MATCH(D631, Mgt_Unit!$C$5:$C$1018, 0)), INDEX(Mgt_Unit!$B$5:$B$1018, MATCH(D631, Mgt_Unit!$C$5:$C$1018, 0)), "")</f>
        <v/>
      </c>
      <c r="C631" s="28"/>
      <c r="D631" s="9"/>
      <c r="E631" s="45"/>
      <c r="F631" s="9"/>
      <c r="G631" s="9"/>
      <c r="H631" s="50"/>
      <c r="I631" s="9"/>
      <c r="J631" s="9"/>
      <c r="K631" s="9"/>
      <c r="L631" s="9"/>
      <c r="M631" s="9"/>
      <c r="N631" s="9"/>
      <c r="O631" s="9"/>
      <c r="P631" s="9"/>
    </row>
    <row r="632" spans="1:16" x14ac:dyDescent="0.25">
      <c r="A632" s="4"/>
      <c r="B632" s="28" t="str">
        <f>IF(ISNUMBER(MATCH(D632, Mgt_Unit!$C$5:$C$1018, 0)), INDEX(Mgt_Unit!$B$5:$B$1018, MATCH(D632, Mgt_Unit!$C$5:$C$1018, 0)), "")</f>
        <v/>
      </c>
      <c r="C632" s="28"/>
      <c r="D632" s="9"/>
      <c r="E632" s="45"/>
      <c r="F632" s="9"/>
      <c r="G632" s="9"/>
      <c r="H632" s="50"/>
      <c r="I632" s="9"/>
      <c r="J632" s="9"/>
      <c r="K632" s="9"/>
      <c r="L632" s="9"/>
      <c r="M632" s="9"/>
      <c r="N632" s="9"/>
      <c r="O632" s="9"/>
      <c r="P632" s="9"/>
    </row>
    <row r="633" spans="1:16" x14ac:dyDescent="0.25">
      <c r="A633" s="4"/>
      <c r="B633" s="28" t="str">
        <f>IF(ISNUMBER(MATCH(D633, Mgt_Unit!$C$5:$C$1018, 0)), INDEX(Mgt_Unit!$B$5:$B$1018, MATCH(D633, Mgt_Unit!$C$5:$C$1018, 0)), "")</f>
        <v/>
      </c>
      <c r="C633" s="28"/>
      <c r="D633" s="9"/>
      <c r="E633" s="45"/>
      <c r="F633" s="9"/>
      <c r="G633" s="9"/>
      <c r="H633" s="50"/>
      <c r="I633" s="9"/>
      <c r="J633" s="9"/>
      <c r="K633" s="9"/>
      <c r="L633" s="9"/>
      <c r="M633" s="9"/>
      <c r="N633" s="9"/>
      <c r="O633" s="9"/>
      <c r="P633" s="9"/>
    </row>
    <row r="634" spans="1:16" x14ac:dyDescent="0.25">
      <c r="A634" s="4"/>
      <c r="B634" s="28" t="str">
        <f>IF(ISNUMBER(MATCH(D634, Mgt_Unit!$C$5:$C$1018, 0)), INDEX(Mgt_Unit!$B$5:$B$1018, MATCH(D634, Mgt_Unit!$C$5:$C$1018, 0)), "")</f>
        <v/>
      </c>
      <c r="C634" s="28"/>
      <c r="D634" s="9"/>
      <c r="E634" s="45"/>
      <c r="F634" s="9"/>
      <c r="G634" s="9"/>
      <c r="H634" s="50"/>
      <c r="I634" s="9"/>
      <c r="J634" s="9"/>
      <c r="K634" s="9"/>
      <c r="L634" s="9"/>
      <c r="M634" s="9"/>
      <c r="N634" s="9"/>
      <c r="O634" s="9"/>
      <c r="P634" s="9"/>
    </row>
    <row r="635" spans="1:16" x14ac:dyDescent="0.25">
      <c r="A635" s="4"/>
      <c r="B635" s="28" t="str">
        <f>IF(ISNUMBER(MATCH(D635, Mgt_Unit!$C$5:$C$1018, 0)), INDEX(Mgt_Unit!$B$5:$B$1018, MATCH(D635, Mgt_Unit!$C$5:$C$1018, 0)), "")</f>
        <v/>
      </c>
      <c r="C635" s="28"/>
      <c r="D635" s="9"/>
      <c r="E635" s="45"/>
      <c r="F635" s="9"/>
      <c r="G635" s="9"/>
      <c r="H635" s="50"/>
      <c r="I635" s="9"/>
      <c r="J635" s="9"/>
      <c r="K635" s="9"/>
      <c r="L635" s="9"/>
      <c r="M635" s="9"/>
      <c r="N635" s="9"/>
      <c r="O635" s="9"/>
      <c r="P635" s="9"/>
    </row>
    <row r="636" spans="1:16" x14ac:dyDescent="0.25">
      <c r="A636" s="4"/>
      <c r="B636" s="28" t="str">
        <f>IF(ISNUMBER(MATCH(D636, Mgt_Unit!$C$5:$C$1018, 0)), INDEX(Mgt_Unit!$B$5:$B$1018, MATCH(D636, Mgt_Unit!$C$5:$C$1018, 0)), "")</f>
        <v/>
      </c>
      <c r="C636" s="28"/>
      <c r="D636" s="9"/>
      <c r="E636" s="45"/>
      <c r="F636" s="9"/>
      <c r="G636" s="9"/>
      <c r="H636" s="50"/>
      <c r="I636" s="9"/>
      <c r="J636" s="9"/>
      <c r="K636" s="9"/>
      <c r="L636" s="9"/>
      <c r="M636" s="9"/>
      <c r="N636" s="9"/>
      <c r="O636" s="9"/>
      <c r="P636" s="9"/>
    </row>
    <row r="637" spans="1:16" x14ac:dyDescent="0.25">
      <c r="A637" s="4"/>
      <c r="B637" s="28" t="str">
        <f>IF(ISNUMBER(MATCH(D637, Mgt_Unit!$C$5:$C$1018, 0)), INDEX(Mgt_Unit!$B$5:$B$1018, MATCH(D637, Mgt_Unit!$C$5:$C$1018, 0)), "")</f>
        <v/>
      </c>
      <c r="C637" s="28"/>
      <c r="D637" s="9"/>
      <c r="E637" s="45"/>
      <c r="F637" s="9"/>
      <c r="G637" s="9"/>
      <c r="H637" s="50"/>
      <c r="I637" s="9"/>
      <c r="J637" s="9"/>
      <c r="K637" s="9"/>
      <c r="L637" s="9"/>
      <c r="M637" s="9"/>
      <c r="N637" s="9"/>
      <c r="O637" s="9"/>
      <c r="P637" s="9"/>
    </row>
    <row r="638" spans="1:16" x14ac:dyDescent="0.25">
      <c r="A638" s="4"/>
      <c r="B638" s="28" t="str">
        <f>IF(ISNUMBER(MATCH(D638, Mgt_Unit!$C$5:$C$1018, 0)), INDEX(Mgt_Unit!$B$5:$B$1018, MATCH(D638, Mgt_Unit!$C$5:$C$1018, 0)), "")</f>
        <v/>
      </c>
      <c r="C638" s="28"/>
      <c r="D638" s="9"/>
      <c r="E638" s="45"/>
      <c r="F638" s="9"/>
      <c r="G638" s="9"/>
      <c r="H638" s="50"/>
      <c r="I638" s="9"/>
      <c r="J638" s="9"/>
      <c r="K638" s="9"/>
      <c r="L638" s="9"/>
      <c r="M638" s="9"/>
      <c r="N638" s="9"/>
      <c r="O638" s="9"/>
      <c r="P638" s="9"/>
    </row>
    <row r="639" spans="1:16" x14ac:dyDescent="0.25">
      <c r="A639" s="4"/>
      <c r="B639" s="28" t="str">
        <f>IF(ISNUMBER(MATCH(D639, Mgt_Unit!$C$5:$C$1018, 0)), INDEX(Mgt_Unit!$B$5:$B$1018, MATCH(D639, Mgt_Unit!$C$5:$C$1018, 0)), "")</f>
        <v/>
      </c>
      <c r="C639" s="28"/>
      <c r="D639" s="9"/>
      <c r="E639" s="45"/>
      <c r="F639" s="9"/>
      <c r="G639" s="9"/>
      <c r="H639" s="50"/>
      <c r="I639" s="9"/>
      <c r="J639" s="9"/>
      <c r="K639" s="9"/>
      <c r="L639" s="9"/>
      <c r="M639" s="9"/>
      <c r="N639" s="9"/>
      <c r="O639" s="9"/>
      <c r="P639" s="9"/>
    </row>
    <row r="640" spans="1:16" x14ac:dyDescent="0.25">
      <c r="A640" s="4"/>
      <c r="B640" s="28" t="str">
        <f>IF(ISNUMBER(MATCH(D640, Mgt_Unit!$C$5:$C$1018, 0)), INDEX(Mgt_Unit!$B$5:$B$1018, MATCH(D640, Mgt_Unit!$C$5:$C$1018, 0)), "")</f>
        <v/>
      </c>
      <c r="C640" s="28"/>
      <c r="D640" s="9"/>
      <c r="E640" s="45"/>
      <c r="F640" s="9"/>
      <c r="G640" s="9"/>
      <c r="H640" s="50"/>
      <c r="I640" s="9"/>
      <c r="J640" s="9"/>
      <c r="K640" s="9"/>
      <c r="L640" s="9"/>
      <c r="M640" s="9"/>
      <c r="N640" s="9"/>
      <c r="O640" s="9"/>
      <c r="P640" s="9"/>
    </row>
    <row r="641" spans="1:16" x14ac:dyDescent="0.25">
      <c r="A641" s="4"/>
      <c r="B641" s="28" t="str">
        <f>IF(ISNUMBER(MATCH(D641, Mgt_Unit!$C$5:$C$1018, 0)), INDEX(Mgt_Unit!$B$5:$B$1018, MATCH(D641, Mgt_Unit!$C$5:$C$1018, 0)), "")</f>
        <v/>
      </c>
      <c r="C641" s="28"/>
      <c r="D641" s="9"/>
      <c r="E641" s="45"/>
      <c r="F641" s="9"/>
      <c r="G641" s="9"/>
      <c r="H641" s="50"/>
      <c r="I641" s="9"/>
      <c r="J641" s="9"/>
      <c r="K641" s="9"/>
      <c r="L641" s="9"/>
      <c r="M641" s="9"/>
      <c r="N641" s="9"/>
      <c r="O641" s="9"/>
      <c r="P641" s="9"/>
    </row>
    <row r="642" spans="1:16" x14ac:dyDescent="0.25">
      <c r="A642" s="4"/>
      <c r="B642" s="28" t="str">
        <f>IF(ISNUMBER(MATCH(D642, Mgt_Unit!$C$5:$C$1018, 0)), INDEX(Mgt_Unit!$B$5:$B$1018, MATCH(D642, Mgt_Unit!$C$5:$C$1018, 0)), "")</f>
        <v/>
      </c>
      <c r="C642" s="28"/>
      <c r="D642" s="9"/>
      <c r="E642" s="45"/>
      <c r="F642" s="9"/>
      <c r="G642" s="9"/>
      <c r="H642" s="50"/>
      <c r="I642" s="9"/>
      <c r="J642" s="9"/>
      <c r="K642" s="9"/>
      <c r="L642" s="9"/>
      <c r="M642" s="9"/>
      <c r="N642" s="9"/>
      <c r="O642" s="9"/>
      <c r="P642" s="9"/>
    </row>
    <row r="643" spans="1:16" x14ac:dyDescent="0.25">
      <c r="A643" s="4"/>
      <c r="B643" s="28" t="str">
        <f>IF(ISNUMBER(MATCH(D643, Mgt_Unit!$C$5:$C$1018, 0)), INDEX(Mgt_Unit!$B$5:$B$1018, MATCH(D643, Mgt_Unit!$C$5:$C$1018, 0)), "")</f>
        <v/>
      </c>
      <c r="C643" s="28"/>
      <c r="D643" s="9"/>
      <c r="E643" s="45"/>
      <c r="F643" s="9"/>
      <c r="G643" s="9"/>
      <c r="H643" s="50"/>
      <c r="I643" s="9"/>
      <c r="J643" s="9"/>
      <c r="K643" s="9"/>
      <c r="L643" s="9"/>
      <c r="M643" s="9"/>
      <c r="N643" s="9"/>
      <c r="O643" s="9"/>
      <c r="P643" s="9"/>
    </row>
    <row r="644" spans="1:16" x14ac:dyDescent="0.25">
      <c r="A644" s="4"/>
      <c r="B644" s="28" t="str">
        <f>IF(ISNUMBER(MATCH(D644, Mgt_Unit!$C$5:$C$1018, 0)), INDEX(Mgt_Unit!$B$5:$B$1018, MATCH(D644, Mgt_Unit!$C$5:$C$1018, 0)), "")</f>
        <v/>
      </c>
      <c r="C644" s="28"/>
      <c r="D644" s="9"/>
      <c r="E644" s="45"/>
      <c r="F644" s="9"/>
      <c r="G644" s="9"/>
      <c r="H644" s="50"/>
      <c r="I644" s="9"/>
      <c r="J644" s="9"/>
      <c r="K644" s="9"/>
      <c r="L644" s="9"/>
      <c r="M644" s="9"/>
      <c r="N644" s="9"/>
      <c r="O644" s="9"/>
      <c r="P644" s="9"/>
    </row>
    <row r="645" spans="1:16" x14ac:dyDescent="0.25">
      <c r="A645" s="4"/>
      <c r="B645" s="28" t="str">
        <f>IF(ISNUMBER(MATCH(D645, Mgt_Unit!$C$5:$C$1018, 0)), INDEX(Mgt_Unit!$B$5:$B$1018, MATCH(D645, Mgt_Unit!$C$5:$C$1018, 0)), "")</f>
        <v/>
      </c>
      <c r="C645" s="28"/>
      <c r="D645" s="9"/>
      <c r="E645" s="45"/>
      <c r="F645" s="9"/>
      <c r="G645" s="9"/>
      <c r="H645" s="50"/>
      <c r="I645" s="9"/>
      <c r="J645" s="9"/>
      <c r="K645" s="9"/>
      <c r="L645" s="9"/>
      <c r="M645" s="9"/>
      <c r="N645" s="9"/>
      <c r="O645" s="9"/>
      <c r="P645" s="9"/>
    </row>
    <row r="646" spans="1:16" x14ac:dyDescent="0.25">
      <c r="A646" s="4"/>
      <c r="B646" s="28" t="str">
        <f>IF(ISNUMBER(MATCH(D646, Mgt_Unit!$C$5:$C$1018, 0)), INDEX(Mgt_Unit!$B$5:$B$1018, MATCH(D646, Mgt_Unit!$C$5:$C$1018, 0)), "")</f>
        <v/>
      </c>
      <c r="C646" s="28"/>
      <c r="D646" s="9"/>
      <c r="E646" s="45"/>
      <c r="F646" s="9"/>
      <c r="G646" s="9"/>
      <c r="H646" s="50"/>
      <c r="I646" s="9"/>
      <c r="J646" s="9"/>
      <c r="K646" s="9"/>
      <c r="L646" s="9"/>
      <c r="M646" s="9"/>
      <c r="N646" s="9"/>
      <c r="O646" s="9"/>
      <c r="P646" s="9"/>
    </row>
    <row r="647" spans="1:16" x14ac:dyDescent="0.25">
      <c r="A647" s="4"/>
      <c r="B647" s="28" t="str">
        <f>IF(ISNUMBER(MATCH(D647, Mgt_Unit!$C$5:$C$1018, 0)), INDEX(Mgt_Unit!$B$5:$B$1018, MATCH(D647, Mgt_Unit!$C$5:$C$1018, 0)), "")</f>
        <v/>
      </c>
      <c r="C647" s="28"/>
      <c r="D647" s="9"/>
      <c r="E647" s="45"/>
      <c r="F647" s="9"/>
      <c r="G647" s="9"/>
      <c r="H647" s="50"/>
      <c r="I647" s="9"/>
      <c r="J647" s="9"/>
      <c r="K647" s="9"/>
      <c r="L647" s="9"/>
      <c r="M647" s="9"/>
      <c r="N647" s="9"/>
      <c r="O647" s="9"/>
      <c r="P647" s="9"/>
    </row>
    <row r="648" spans="1:16" x14ac:dyDescent="0.25">
      <c r="A648" s="4"/>
      <c r="B648" s="28" t="str">
        <f>IF(ISNUMBER(MATCH(D648, Mgt_Unit!$C$5:$C$1018, 0)), INDEX(Mgt_Unit!$B$5:$B$1018, MATCH(D648, Mgt_Unit!$C$5:$C$1018, 0)), "")</f>
        <v/>
      </c>
      <c r="C648" s="28"/>
      <c r="D648" s="9"/>
      <c r="E648" s="45"/>
      <c r="F648" s="9"/>
      <c r="G648" s="9"/>
      <c r="H648" s="50"/>
      <c r="I648" s="9"/>
      <c r="J648" s="9"/>
      <c r="K648" s="9"/>
      <c r="L648" s="9"/>
      <c r="M648" s="9"/>
      <c r="N648" s="9"/>
      <c r="O648" s="9"/>
      <c r="P648" s="9"/>
    </row>
    <row r="649" spans="1:16" x14ac:dyDescent="0.25">
      <c r="A649" s="4"/>
      <c r="B649" s="28" t="str">
        <f>IF(ISNUMBER(MATCH(D649, Mgt_Unit!$C$5:$C$1018, 0)), INDEX(Mgt_Unit!$B$5:$B$1018, MATCH(D649, Mgt_Unit!$C$5:$C$1018, 0)), "")</f>
        <v/>
      </c>
      <c r="C649" s="28"/>
      <c r="D649" s="9"/>
      <c r="E649" s="45"/>
      <c r="F649" s="9"/>
      <c r="G649" s="9"/>
      <c r="H649" s="50"/>
      <c r="I649" s="9"/>
      <c r="J649" s="9"/>
      <c r="K649" s="9"/>
      <c r="L649" s="9"/>
      <c r="M649" s="9"/>
      <c r="N649" s="9"/>
      <c r="O649" s="9"/>
      <c r="P649" s="9"/>
    </row>
    <row r="650" spans="1:16" x14ac:dyDescent="0.25">
      <c r="A650" s="4"/>
      <c r="B650" s="28" t="str">
        <f>IF(ISNUMBER(MATCH(D650, Mgt_Unit!$C$5:$C$1018, 0)), INDEX(Mgt_Unit!$B$5:$B$1018, MATCH(D650, Mgt_Unit!$C$5:$C$1018, 0)), "")</f>
        <v/>
      </c>
      <c r="C650" s="28"/>
      <c r="D650" s="9"/>
      <c r="E650" s="45"/>
      <c r="F650" s="9"/>
      <c r="G650" s="9"/>
      <c r="H650" s="50"/>
      <c r="I650" s="9"/>
      <c r="J650" s="9"/>
      <c r="K650" s="9"/>
      <c r="L650" s="9"/>
      <c r="M650" s="9"/>
      <c r="N650" s="9"/>
      <c r="O650" s="9"/>
      <c r="P650" s="9"/>
    </row>
    <row r="651" spans="1:16" x14ac:dyDescent="0.25">
      <c r="A651" s="4"/>
      <c r="B651" s="28" t="str">
        <f>IF(ISNUMBER(MATCH(D651, Mgt_Unit!$C$5:$C$1018, 0)), INDEX(Mgt_Unit!$B$5:$B$1018, MATCH(D651, Mgt_Unit!$C$5:$C$1018, 0)), "")</f>
        <v/>
      </c>
      <c r="C651" s="28"/>
      <c r="D651" s="9"/>
      <c r="E651" s="45"/>
      <c r="F651" s="9"/>
      <c r="G651" s="9"/>
      <c r="H651" s="50"/>
      <c r="I651" s="9"/>
      <c r="J651" s="9"/>
      <c r="K651" s="9"/>
      <c r="L651" s="9"/>
      <c r="M651" s="9"/>
      <c r="N651" s="9"/>
      <c r="O651" s="9"/>
      <c r="P651" s="9"/>
    </row>
    <row r="652" spans="1:16" x14ac:dyDescent="0.25">
      <c r="A652" s="4"/>
      <c r="B652" s="28" t="str">
        <f>IF(ISNUMBER(MATCH(D652, Mgt_Unit!$C$5:$C$1018, 0)), INDEX(Mgt_Unit!$B$5:$B$1018, MATCH(D652, Mgt_Unit!$C$5:$C$1018, 0)), "")</f>
        <v/>
      </c>
      <c r="C652" s="28"/>
      <c r="D652" s="9"/>
      <c r="E652" s="45"/>
      <c r="F652" s="9"/>
      <c r="G652" s="9"/>
      <c r="H652" s="50"/>
      <c r="I652" s="9"/>
      <c r="J652" s="9"/>
      <c r="K652" s="9"/>
      <c r="L652" s="9"/>
      <c r="M652" s="9"/>
      <c r="N652" s="9"/>
      <c r="O652" s="9"/>
      <c r="P652" s="9"/>
    </row>
    <row r="653" spans="1:16" x14ac:dyDescent="0.25">
      <c r="A653" s="4"/>
      <c r="B653" s="28" t="str">
        <f>IF(ISNUMBER(MATCH(D653, Mgt_Unit!$C$5:$C$1018, 0)), INDEX(Mgt_Unit!$B$5:$B$1018, MATCH(D653, Mgt_Unit!$C$5:$C$1018, 0)), "")</f>
        <v/>
      </c>
      <c r="C653" s="28"/>
      <c r="D653" s="9"/>
      <c r="E653" s="45"/>
      <c r="F653" s="9"/>
      <c r="G653" s="9"/>
      <c r="H653" s="50"/>
      <c r="I653" s="9"/>
      <c r="J653" s="9"/>
      <c r="K653" s="9"/>
      <c r="L653" s="9"/>
      <c r="M653" s="9"/>
      <c r="N653" s="9"/>
      <c r="O653" s="9"/>
      <c r="P653" s="9"/>
    </row>
    <row r="654" spans="1:16" x14ac:dyDescent="0.25">
      <c r="A654" s="4"/>
      <c r="B654" s="28" t="str">
        <f>IF(ISNUMBER(MATCH(D654, Mgt_Unit!$C$5:$C$1018, 0)), INDEX(Mgt_Unit!$B$5:$B$1018, MATCH(D654, Mgt_Unit!$C$5:$C$1018, 0)), "")</f>
        <v/>
      </c>
      <c r="C654" s="28"/>
      <c r="D654" s="9"/>
      <c r="E654" s="45"/>
      <c r="F654" s="9"/>
      <c r="G654" s="9"/>
      <c r="H654" s="50"/>
      <c r="I654" s="9"/>
      <c r="J654" s="9"/>
      <c r="K654" s="9"/>
      <c r="L654" s="9"/>
      <c r="M654" s="9"/>
      <c r="N654" s="9"/>
      <c r="O654" s="9"/>
      <c r="P654" s="9"/>
    </row>
    <row r="655" spans="1:16" x14ac:dyDescent="0.25">
      <c r="A655" s="4"/>
      <c r="B655" s="28" t="str">
        <f>IF(ISNUMBER(MATCH(D655, Mgt_Unit!$C$5:$C$1018, 0)), INDEX(Mgt_Unit!$B$5:$B$1018, MATCH(D655, Mgt_Unit!$C$5:$C$1018, 0)), "")</f>
        <v/>
      </c>
      <c r="C655" s="28"/>
      <c r="D655" s="9"/>
      <c r="E655" s="45"/>
      <c r="F655" s="9"/>
      <c r="G655" s="9"/>
      <c r="H655" s="50"/>
      <c r="I655" s="9"/>
      <c r="J655" s="9"/>
      <c r="K655" s="9"/>
      <c r="L655" s="9"/>
      <c r="M655" s="9"/>
      <c r="N655" s="9"/>
      <c r="O655" s="9"/>
      <c r="P655" s="9"/>
    </row>
    <row r="656" spans="1:16" x14ac:dyDescent="0.25">
      <c r="A656" s="4"/>
      <c r="B656" s="28" t="str">
        <f>IF(ISNUMBER(MATCH(D656, Mgt_Unit!$C$5:$C$1018, 0)), INDEX(Mgt_Unit!$B$5:$B$1018, MATCH(D656, Mgt_Unit!$C$5:$C$1018, 0)), "")</f>
        <v/>
      </c>
      <c r="C656" s="28"/>
      <c r="D656" s="9"/>
      <c r="E656" s="45"/>
      <c r="F656" s="9"/>
      <c r="G656" s="9"/>
      <c r="H656" s="50"/>
      <c r="I656" s="9"/>
      <c r="J656" s="9"/>
      <c r="K656" s="9"/>
      <c r="L656" s="9"/>
      <c r="M656" s="9"/>
      <c r="N656" s="9"/>
      <c r="O656" s="9"/>
      <c r="P656" s="9"/>
    </row>
    <row r="657" spans="1:16" x14ac:dyDescent="0.25">
      <c r="A657" s="4"/>
      <c r="B657" s="28" t="str">
        <f>IF(ISNUMBER(MATCH(D657, Mgt_Unit!$C$5:$C$1018, 0)), INDEX(Mgt_Unit!$B$5:$B$1018, MATCH(D657, Mgt_Unit!$C$5:$C$1018, 0)), "")</f>
        <v/>
      </c>
      <c r="C657" s="28"/>
      <c r="D657" s="9"/>
      <c r="E657" s="45"/>
      <c r="F657" s="9"/>
      <c r="G657" s="9"/>
      <c r="H657" s="50"/>
      <c r="I657" s="9"/>
      <c r="J657" s="9"/>
      <c r="K657" s="9"/>
      <c r="L657" s="9"/>
      <c r="M657" s="9"/>
      <c r="N657" s="9"/>
      <c r="O657" s="9"/>
      <c r="P657" s="9"/>
    </row>
    <row r="658" spans="1:16" x14ac:dyDescent="0.25">
      <c r="A658" s="4"/>
      <c r="B658" s="28" t="str">
        <f>IF(ISNUMBER(MATCH(D658, Mgt_Unit!$C$5:$C$1018, 0)), INDEX(Mgt_Unit!$B$5:$B$1018, MATCH(D658, Mgt_Unit!$C$5:$C$1018, 0)), "")</f>
        <v/>
      </c>
      <c r="C658" s="28"/>
      <c r="D658" s="9"/>
      <c r="E658" s="45"/>
      <c r="F658" s="9"/>
      <c r="G658" s="9"/>
      <c r="H658" s="50"/>
      <c r="I658" s="9"/>
      <c r="J658" s="9"/>
      <c r="K658" s="9"/>
      <c r="L658" s="9"/>
      <c r="M658" s="9"/>
      <c r="N658" s="9"/>
      <c r="O658" s="9"/>
      <c r="P658" s="9"/>
    </row>
    <row r="659" spans="1:16" x14ac:dyDescent="0.25">
      <c r="A659" s="4"/>
      <c r="B659" s="28" t="str">
        <f>IF(ISNUMBER(MATCH(D659, Mgt_Unit!$C$5:$C$1018, 0)), INDEX(Mgt_Unit!$B$5:$B$1018, MATCH(D659, Mgt_Unit!$C$5:$C$1018, 0)), "")</f>
        <v/>
      </c>
      <c r="C659" s="28"/>
      <c r="D659" s="9"/>
      <c r="E659" s="45"/>
      <c r="F659" s="9"/>
      <c r="G659" s="9"/>
      <c r="H659" s="50"/>
      <c r="I659" s="9"/>
      <c r="J659" s="9"/>
      <c r="K659" s="9"/>
      <c r="L659" s="9"/>
      <c r="M659" s="9"/>
      <c r="N659" s="9"/>
      <c r="O659" s="9"/>
      <c r="P659" s="9"/>
    </row>
    <row r="660" spans="1:16" x14ac:dyDescent="0.25">
      <c r="A660" s="4"/>
      <c r="B660" s="28" t="str">
        <f>IF(ISNUMBER(MATCH(D660, Mgt_Unit!$C$5:$C$1018, 0)), INDEX(Mgt_Unit!$B$5:$B$1018, MATCH(D660, Mgt_Unit!$C$5:$C$1018, 0)), "")</f>
        <v/>
      </c>
      <c r="C660" s="28"/>
      <c r="D660" s="9"/>
      <c r="E660" s="45"/>
      <c r="F660" s="9"/>
      <c r="G660" s="9"/>
      <c r="H660" s="50"/>
      <c r="I660" s="9"/>
      <c r="J660" s="9"/>
      <c r="K660" s="9"/>
      <c r="L660" s="9"/>
      <c r="M660" s="9"/>
      <c r="N660" s="9"/>
      <c r="O660" s="9"/>
      <c r="P660" s="9"/>
    </row>
    <row r="661" spans="1:16" x14ac:dyDescent="0.25">
      <c r="A661" s="4"/>
      <c r="B661" s="28" t="str">
        <f>IF(ISNUMBER(MATCH(D661, Mgt_Unit!$C$5:$C$1018, 0)), INDEX(Mgt_Unit!$B$5:$B$1018, MATCH(D661, Mgt_Unit!$C$5:$C$1018, 0)), "")</f>
        <v/>
      </c>
      <c r="C661" s="28"/>
      <c r="D661" s="9"/>
      <c r="E661" s="45"/>
      <c r="F661" s="9"/>
      <c r="G661" s="9"/>
      <c r="H661" s="50"/>
      <c r="I661" s="9"/>
      <c r="J661" s="9"/>
      <c r="K661" s="9"/>
      <c r="L661" s="9"/>
      <c r="M661" s="9"/>
      <c r="N661" s="9"/>
      <c r="O661" s="9"/>
      <c r="P661" s="9"/>
    </row>
    <row r="662" spans="1:16" x14ac:dyDescent="0.25">
      <c r="A662" s="4"/>
      <c r="B662" s="28" t="str">
        <f>IF(ISNUMBER(MATCH(D662, Mgt_Unit!$C$5:$C$1018, 0)), INDEX(Mgt_Unit!$B$5:$B$1018, MATCH(D662, Mgt_Unit!$C$5:$C$1018, 0)), "")</f>
        <v/>
      </c>
      <c r="C662" s="28"/>
      <c r="D662" s="9"/>
      <c r="E662" s="45"/>
      <c r="F662" s="9"/>
      <c r="G662" s="9"/>
      <c r="H662" s="50"/>
      <c r="I662" s="9"/>
      <c r="J662" s="9"/>
      <c r="K662" s="9"/>
      <c r="L662" s="9"/>
      <c r="M662" s="9"/>
      <c r="N662" s="9"/>
      <c r="O662" s="9"/>
      <c r="P662" s="9"/>
    </row>
    <row r="663" spans="1:16" x14ac:dyDescent="0.25">
      <c r="A663" s="4"/>
      <c r="B663" s="28" t="str">
        <f>IF(ISNUMBER(MATCH(D663, Mgt_Unit!$C$5:$C$1018, 0)), INDEX(Mgt_Unit!$B$5:$B$1018, MATCH(D663, Mgt_Unit!$C$5:$C$1018, 0)), "")</f>
        <v/>
      </c>
      <c r="C663" s="28"/>
      <c r="D663" s="9"/>
      <c r="E663" s="45"/>
      <c r="F663" s="9"/>
      <c r="G663" s="9"/>
      <c r="H663" s="50"/>
      <c r="I663" s="9"/>
      <c r="J663" s="9"/>
      <c r="K663" s="9"/>
      <c r="L663" s="9"/>
      <c r="M663" s="9"/>
      <c r="N663" s="9"/>
      <c r="O663" s="9"/>
      <c r="P663" s="9"/>
    </row>
    <row r="664" spans="1:16" x14ac:dyDescent="0.25">
      <c r="A664" s="4"/>
      <c r="B664" s="28" t="str">
        <f>IF(ISNUMBER(MATCH(D664, Mgt_Unit!$C$5:$C$1018, 0)), INDEX(Mgt_Unit!$B$5:$B$1018, MATCH(D664, Mgt_Unit!$C$5:$C$1018, 0)), "")</f>
        <v/>
      </c>
      <c r="C664" s="28"/>
      <c r="D664" s="9"/>
      <c r="E664" s="45"/>
      <c r="F664" s="9"/>
      <c r="G664" s="9"/>
      <c r="H664" s="50"/>
      <c r="I664" s="9"/>
      <c r="J664" s="9"/>
      <c r="K664" s="9"/>
      <c r="L664" s="9"/>
      <c r="M664" s="9"/>
      <c r="N664" s="9"/>
      <c r="O664" s="9"/>
      <c r="P664" s="9"/>
    </row>
    <row r="665" spans="1:16" x14ac:dyDescent="0.25">
      <c r="A665" s="4"/>
      <c r="B665" s="28" t="str">
        <f>IF(ISNUMBER(MATCH(D665, Mgt_Unit!$C$5:$C$1018, 0)), INDEX(Mgt_Unit!$B$5:$B$1018, MATCH(D665, Mgt_Unit!$C$5:$C$1018, 0)), "")</f>
        <v/>
      </c>
      <c r="C665" s="28"/>
      <c r="D665" s="9"/>
      <c r="E665" s="45"/>
      <c r="F665" s="9"/>
      <c r="G665" s="9"/>
      <c r="H665" s="50"/>
      <c r="I665" s="9"/>
      <c r="J665" s="9"/>
      <c r="K665" s="9"/>
      <c r="L665" s="9"/>
      <c r="M665" s="9"/>
      <c r="N665" s="9"/>
      <c r="O665" s="9"/>
      <c r="P665" s="9"/>
    </row>
    <row r="666" spans="1:16" x14ac:dyDescent="0.25">
      <c r="A666" s="4"/>
      <c r="B666" s="28" t="str">
        <f>IF(ISNUMBER(MATCH(D666, Mgt_Unit!$C$5:$C$1018, 0)), INDEX(Mgt_Unit!$B$5:$B$1018, MATCH(D666, Mgt_Unit!$C$5:$C$1018, 0)), "")</f>
        <v/>
      </c>
      <c r="C666" s="28"/>
      <c r="D666" s="9"/>
      <c r="E666" s="45"/>
      <c r="F666" s="9"/>
      <c r="G666" s="9"/>
      <c r="H666" s="50"/>
      <c r="I666" s="9"/>
      <c r="J666" s="9"/>
      <c r="K666" s="9"/>
      <c r="L666" s="9"/>
      <c r="M666" s="9"/>
      <c r="N666" s="9"/>
      <c r="O666" s="9"/>
      <c r="P666" s="9"/>
    </row>
    <row r="667" spans="1:16" x14ac:dyDescent="0.25">
      <c r="A667" s="4"/>
      <c r="B667" s="28" t="str">
        <f>IF(ISNUMBER(MATCH(D667, Mgt_Unit!$C$5:$C$1018, 0)), INDEX(Mgt_Unit!$B$5:$B$1018, MATCH(D667, Mgt_Unit!$C$5:$C$1018, 0)), "")</f>
        <v/>
      </c>
      <c r="C667" s="28"/>
      <c r="D667" s="9"/>
      <c r="E667" s="45"/>
      <c r="F667" s="9"/>
      <c r="G667" s="9"/>
      <c r="H667" s="50"/>
      <c r="I667" s="9"/>
      <c r="J667" s="9"/>
      <c r="K667" s="9"/>
      <c r="L667" s="9"/>
      <c r="M667" s="9"/>
      <c r="N667" s="9"/>
      <c r="O667" s="9"/>
      <c r="P667" s="9"/>
    </row>
    <row r="668" spans="1:16" x14ac:dyDescent="0.25">
      <c r="A668" s="4"/>
      <c r="B668" s="28" t="str">
        <f>IF(ISNUMBER(MATCH(D668, Mgt_Unit!$C$5:$C$1018, 0)), INDEX(Mgt_Unit!$B$5:$B$1018, MATCH(D668, Mgt_Unit!$C$5:$C$1018, 0)), "")</f>
        <v/>
      </c>
      <c r="C668" s="28"/>
      <c r="D668" s="9"/>
      <c r="E668" s="45"/>
      <c r="F668" s="9"/>
      <c r="G668" s="9"/>
      <c r="H668" s="50"/>
      <c r="I668" s="9"/>
      <c r="J668" s="9"/>
      <c r="K668" s="9"/>
      <c r="L668" s="9"/>
      <c r="M668" s="9"/>
      <c r="N668" s="9"/>
      <c r="O668" s="9"/>
      <c r="P668" s="9"/>
    </row>
    <row r="669" spans="1:16" x14ac:dyDescent="0.25">
      <c r="A669" s="4"/>
      <c r="B669" s="28" t="str">
        <f>IF(ISNUMBER(MATCH(D669, Mgt_Unit!$C$5:$C$1018, 0)), INDEX(Mgt_Unit!$B$5:$B$1018, MATCH(D669, Mgt_Unit!$C$5:$C$1018, 0)), "")</f>
        <v/>
      </c>
      <c r="C669" s="28"/>
      <c r="D669" s="9"/>
      <c r="E669" s="45"/>
      <c r="F669" s="9"/>
      <c r="G669" s="9"/>
      <c r="H669" s="50"/>
      <c r="I669" s="9"/>
      <c r="J669" s="9"/>
      <c r="K669" s="9"/>
      <c r="L669" s="9"/>
      <c r="M669" s="9"/>
      <c r="N669" s="9"/>
      <c r="O669" s="9"/>
      <c r="P669" s="9"/>
    </row>
    <row r="670" spans="1:16" x14ac:dyDescent="0.25">
      <c r="A670" s="4"/>
      <c r="B670" s="28" t="str">
        <f>IF(ISNUMBER(MATCH(D670, Mgt_Unit!$C$5:$C$1018, 0)), INDEX(Mgt_Unit!$B$5:$B$1018, MATCH(D670, Mgt_Unit!$C$5:$C$1018, 0)), "")</f>
        <v/>
      </c>
      <c r="C670" s="28"/>
      <c r="D670" s="9"/>
      <c r="E670" s="45"/>
      <c r="F670" s="9"/>
      <c r="G670" s="9"/>
      <c r="H670" s="50"/>
      <c r="I670" s="9"/>
      <c r="J670" s="9"/>
      <c r="K670" s="9"/>
      <c r="L670" s="9"/>
      <c r="M670" s="9"/>
      <c r="N670" s="9"/>
      <c r="O670" s="9"/>
      <c r="P670" s="9"/>
    </row>
    <row r="671" spans="1:16" x14ac:dyDescent="0.25">
      <c r="A671" s="4"/>
      <c r="B671" s="28" t="str">
        <f>IF(ISNUMBER(MATCH(D671, Mgt_Unit!$C$5:$C$1018, 0)), INDEX(Mgt_Unit!$B$5:$B$1018, MATCH(D671, Mgt_Unit!$C$5:$C$1018, 0)), "")</f>
        <v/>
      </c>
      <c r="C671" s="28"/>
      <c r="D671" s="9"/>
      <c r="E671" s="45"/>
      <c r="F671" s="9"/>
      <c r="G671" s="9"/>
      <c r="H671" s="50"/>
      <c r="I671" s="9"/>
      <c r="J671" s="9"/>
      <c r="K671" s="9"/>
      <c r="L671" s="9"/>
      <c r="M671" s="9"/>
      <c r="N671" s="9"/>
      <c r="O671" s="9"/>
      <c r="P671" s="9"/>
    </row>
    <row r="672" spans="1:16" x14ac:dyDescent="0.25">
      <c r="A672" s="4"/>
      <c r="B672" s="28" t="str">
        <f>IF(ISNUMBER(MATCH(D672, Mgt_Unit!$C$5:$C$1018, 0)), INDEX(Mgt_Unit!$B$5:$B$1018, MATCH(D672, Mgt_Unit!$C$5:$C$1018, 0)), "")</f>
        <v/>
      </c>
      <c r="C672" s="28"/>
      <c r="D672" s="9"/>
      <c r="E672" s="45"/>
      <c r="F672" s="9"/>
      <c r="G672" s="9"/>
      <c r="H672" s="50"/>
      <c r="I672" s="9"/>
      <c r="J672" s="9"/>
      <c r="K672" s="9"/>
      <c r="L672" s="9"/>
      <c r="M672" s="9"/>
      <c r="N672" s="9"/>
      <c r="O672" s="9"/>
      <c r="P672" s="9"/>
    </row>
    <row r="673" spans="1:16" x14ac:dyDescent="0.25">
      <c r="A673" s="4"/>
      <c r="B673" s="28" t="str">
        <f>IF(ISNUMBER(MATCH(D673, Mgt_Unit!$C$5:$C$1018, 0)), INDEX(Mgt_Unit!$B$5:$B$1018, MATCH(D673, Mgt_Unit!$C$5:$C$1018, 0)), "")</f>
        <v/>
      </c>
      <c r="C673" s="28"/>
      <c r="D673" s="9"/>
      <c r="E673" s="45"/>
      <c r="F673" s="9"/>
      <c r="G673" s="9"/>
      <c r="H673" s="50"/>
      <c r="I673" s="9"/>
      <c r="J673" s="9"/>
      <c r="K673" s="9"/>
      <c r="L673" s="9"/>
      <c r="M673" s="9"/>
      <c r="N673" s="9"/>
      <c r="O673" s="9"/>
      <c r="P673" s="9"/>
    </row>
    <row r="674" spans="1:16" x14ac:dyDescent="0.25">
      <c r="A674" s="4"/>
      <c r="B674" s="28" t="str">
        <f>IF(ISNUMBER(MATCH(D674, Mgt_Unit!$C$5:$C$1018, 0)), INDEX(Mgt_Unit!$B$5:$B$1018, MATCH(D674, Mgt_Unit!$C$5:$C$1018, 0)), "")</f>
        <v/>
      </c>
      <c r="C674" s="28"/>
      <c r="D674" s="9"/>
      <c r="E674" s="45"/>
      <c r="F674" s="9"/>
      <c r="G674" s="9"/>
      <c r="H674" s="50"/>
      <c r="I674" s="9"/>
      <c r="J674" s="9"/>
      <c r="K674" s="9"/>
      <c r="L674" s="9"/>
      <c r="M674" s="9"/>
      <c r="N674" s="9"/>
      <c r="O674" s="9"/>
      <c r="P674" s="9"/>
    </row>
    <row r="675" spans="1:16" x14ac:dyDescent="0.25">
      <c r="A675" s="4"/>
      <c r="B675" s="28" t="str">
        <f>IF(ISNUMBER(MATCH(D675, Mgt_Unit!$C$5:$C$1018, 0)), INDEX(Mgt_Unit!$B$5:$B$1018, MATCH(D675, Mgt_Unit!$C$5:$C$1018, 0)), "")</f>
        <v/>
      </c>
      <c r="C675" s="28"/>
      <c r="D675" s="9"/>
      <c r="E675" s="45"/>
      <c r="F675" s="9"/>
      <c r="G675" s="9"/>
      <c r="H675" s="50"/>
      <c r="I675" s="9"/>
      <c r="J675" s="9"/>
      <c r="K675" s="9"/>
      <c r="L675" s="9"/>
      <c r="M675" s="9"/>
      <c r="N675" s="9"/>
      <c r="O675" s="9"/>
      <c r="P675" s="9"/>
    </row>
    <row r="676" spans="1:16" x14ac:dyDescent="0.25">
      <c r="A676" s="4"/>
      <c r="B676" s="28" t="str">
        <f>IF(ISNUMBER(MATCH(D676, Mgt_Unit!$C$5:$C$1018, 0)), INDEX(Mgt_Unit!$B$5:$B$1018, MATCH(D676, Mgt_Unit!$C$5:$C$1018, 0)), "")</f>
        <v/>
      </c>
      <c r="C676" s="28"/>
      <c r="D676" s="9"/>
      <c r="E676" s="45"/>
      <c r="F676" s="9"/>
      <c r="G676" s="9"/>
      <c r="H676" s="50"/>
      <c r="I676" s="9"/>
      <c r="J676" s="9"/>
      <c r="K676" s="9"/>
      <c r="L676" s="9"/>
      <c r="M676" s="9"/>
      <c r="N676" s="9"/>
      <c r="O676" s="9"/>
      <c r="P676" s="9"/>
    </row>
    <row r="677" spans="1:16" x14ac:dyDescent="0.25">
      <c r="A677" s="4"/>
      <c r="B677" s="28" t="str">
        <f>IF(ISNUMBER(MATCH(D677, Mgt_Unit!$C$5:$C$1018, 0)), INDEX(Mgt_Unit!$B$5:$B$1018, MATCH(D677, Mgt_Unit!$C$5:$C$1018, 0)), "")</f>
        <v/>
      </c>
      <c r="C677" s="28"/>
      <c r="D677" s="9"/>
      <c r="E677" s="45"/>
      <c r="F677" s="9"/>
      <c r="G677" s="9"/>
      <c r="H677" s="50"/>
      <c r="I677" s="9"/>
      <c r="J677" s="9"/>
      <c r="K677" s="9"/>
      <c r="L677" s="9"/>
      <c r="M677" s="9"/>
      <c r="N677" s="9"/>
      <c r="O677" s="9"/>
      <c r="P677" s="9"/>
    </row>
    <row r="678" spans="1:16" x14ac:dyDescent="0.25">
      <c r="A678" s="4"/>
      <c r="B678" s="28" t="str">
        <f>IF(ISNUMBER(MATCH(D678, Mgt_Unit!$C$5:$C$1018, 0)), INDEX(Mgt_Unit!$B$5:$B$1018, MATCH(D678, Mgt_Unit!$C$5:$C$1018, 0)), "")</f>
        <v/>
      </c>
      <c r="C678" s="28"/>
      <c r="D678" s="9"/>
      <c r="E678" s="45"/>
      <c r="F678" s="9"/>
      <c r="G678" s="9"/>
      <c r="H678" s="50"/>
      <c r="I678" s="9"/>
      <c r="J678" s="9"/>
      <c r="K678" s="9"/>
      <c r="L678" s="9"/>
      <c r="M678" s="9"/>
      <c r="N678" s="9"/>
      <c r="O678" s="9"/>
      <c r="P678" s="9"/>
    </row>
    <row r="679" spans="1:16" x14ac:dyDescent="0.25">
      <c r="A679" s="4"/>
      <c r="B679" s="28" t="str">
        <f>IF(ISNUMBER(MATCH(D679, Mgt_Unit!$C$5:$C$1018, 0)), INDEX(Mgt_Unit!$B$5:$B$1018, MATCH(D679, Mgt_Unit!$C$5:$C$1018, 0)), "")</f>
        <v/>
      </c>
      <c r="C679" s="28"/>
      <c r="D679" s="9"/>
      <c r="E679" s="45"/>
      <c r="F679" s="9"/>
      <c r="G679" s="9"/>
      <c r="H679" s="50"/>
      <c r="I679" s="9"/>
      <c r="J679" s="9"/>
      <c r="K679" s="9"/>
      <c r="L679" s="9"/>
      <c r="M679" s="9"/>
      <c r="N679" s="9"/>
      <c r="O679" s="9"/>
      <c r="P679" s="9"/>
    </row>
    <row r="680" spans="1:16" x14ac:dyDescent="0.25">
      <c r="A680" s="4"/>
      <c r="B680" s="28" t="str">
        <f>IF(ISNUMBER(MATCH(D680, Mgt_Unit!$C$5:$C$1018, 0)), INDEX(Mgt_Unit!$B$5:$B$1018, MATCH(D680, Mgt_Unit!$C$5:$C$1018, 0)), "")</f>
        <v/>
      </c>
      <c r="C680" s="28"/>
      <c r="D680" s="9"/>
      <c r="E680" s="45"/>
      <c r="F680" s="9"/>
      <c r="G680" s="9"/>
      <c r="H680" s="50"/>
      <c r="I680" s="9"/>
      <c r="J680" s="9"/>
      <c r="K680" s="9"/>
      <c r="L680" s="9"/>
      <c r="M680" s="9"/>
      <c r="N680" s="9"/>
      <c r="O680" s="9"/>
      <c r="P680" s="9"/>
    </row>
    <row r="681" spans="1:16" x14ac:dyDescent="0.25">
      <c r="A681" s="4"/>
      <c r="B681" s="28" t="str">
        <f>IF(ISNUMBER(MATCH(D681, Mgt_Unit!$C$5:$C$1018, 0)), INDEX(Mgt_Unit!$B$5:$B$1018, MATCH(D681, Mgt_Unit!$C$5:$C$1018, 0)), "")</f>
        <v/>
      </c>
      <c r="C681" s="28"/>
      <c r="D681" s="9"/>
      <c r="E681" s="45"/>
      <c r="F681" s="9"/>
      <c r="G681" s="9"/>
      <c r="H681" s="50"/>
      <c r="I681" s="9"/>
      <c r="J681" s="9"/>
      <c r="K681" s="9"/>
      <c r="L681" s="9"/>
      <c r="M681" s="9"/>
      <c r="N681" s="9"/>
      <c r="O681" s="9"/>
      <c r="P681" s="9"/>
    </row>
    <row r="682" spans="1:16" x14ac:dyDescent="0.25">
      <c r="A682" s="4"/>
      <c r="B682" s="28" t="str">
        <f>IF(ISNUMBER(MATCH(D682, Mgt_Unit!$C$5:$C$1018, 0)), INDEX(Mgt_Unit!$B$5:$B$1018, MATCH(D682, Mgt_Unit!$C$5:$C$1018, 0)), "")</f>
        <v/>
      </c>
      <c r="C682" s="28"/>
      <c r="D682" s="9"/>
      <c r="E682" s="45"/>
      <c r="F682" s="9"/>
      <c r="G682" s="9"/>
      <c r="H682" s="50"/>
      <c r="I682" s="9"/>
      <c r="J682" s="9"/>
      <c r="K682" s="9"/>
      <c r="L682" s="9"/>
      <c r="M682" s="9"/>
      <c r="N682" s="9"/>
      <c r="O682" s="9"/>
      <c r="P682" s="9"/>
    </row>
    <row r="683" spans="1:16" x14ac:dyDescent="0.25">
      <c r="A683" s="4"/>
      <c r="B683" s="28" t="str">
        <f>IF(ISNUMBER(MATCH(D683, Mgt_Unit!$C$5:$C$1018, 0)), INDEX(Mgt_Unit!$B$5:$B$1018, MATCH(D683, Mgt_Unit!$C$5:$C$1018, 0)), "")</f>
        <v/>
      </c>
      <c r="C683" s="28"/>
      <c r="D683" s="9"/>
      <c r="E683" s="45"/>
      <c r="F683" s="9"/>
      <c r="G683" s="9"/>
      <c r="H683" s="50"/>
      <c r="I683" s="9"/>
      <c r="J683" s="9"/>
      <c r="K683" s="9"/>
      <c r="L683" s="9"/>
      <c r="M683" s="9"/>
      <c r="N683" s="9"/>
      <c r="O683" s="9"/>
      <c r="P683" s="9"/>
    </row>
    <row r="684" spans="1:16" x14ac:dyDescent="0.25">
      <c r="A684" s="4"/>
      <c r="B684" s="28" t="str">
        <f>IF(ISNUMBER(MATCH(D684, Mgt_Unit!$C$5:$C$1018, 0)), INDEX(Mgt_Unit!$B$5:$B$1018, MATCH(D684, Mgt_Unit!$C$5:$C$1018, 0)), "")</f>
        <v/>
      </c>
      <c r="C684" s="28"/>
      <c r="D684" s="9"/>
      <c r="E684" s="45"/>
      <c r="F684" s="9"/>
      <c r="G684" s="9"/>
      <c r="H684" s="50"/>
      <c r="I684" s="9"/>
      <c r="J684" s="9"/>
      <c r="K684" s="9"/>
      <c r="L684" s="9"/>
      <c r="M684" s="9"/>
      <c r="N684" s="9"/>
      <c r="O684" s="9"/>
      <c r="P684" s="9"/>
    </row>
    <row r="685" spans="1:16" x14ac:dyDescent="0.25">
      <c r="A685" s="4"/>
      <c r="B685" s="28" t="str">
        <f>IF(ISNUMBER(MATCH(D685, Mgt_Unit!$C$5:$C$1018, 0)), INDEX(Mgt_Unit!$B$5:$B$1018, MATCH(D685, Mgt_Unit!$C$5:$C$1018, 0)), "")</f>
        <v/>
      </c>
      <c r="C685" s="28"/>
      <c r="D685" s="9"/>
      <c r="E685" s="45"/>
      <c r="F685" s="9"/>
      <c r="G685" s="9"/>
      <c r="H685" s="50"/>
      <c r="I685" s="9"/>
      <c r="J685" s="9"/>
      <c r="K685" s="9"/>
      <c r="L685" s="9"/>
      <c r="M685" s="9"/>
      <c r="N685" s="9"/>
      <c r="O685" s="9"/>
      <c r="P685" s="9"/>
    </row>
    <row r="686" spans="1:16" x14ac:dyDescent="0.25">
      <c r="A686" s="4"/>
      <c r="B686" s="28" t="str">
        <f>IF(ISNUMBER(MATCH(D686, Mgt_Unit!$C$5:$C$1018, 0)), INDEX(Mgt_Unit!$B$5:$B$1018, MATCH(D686, Mgt_Unit!$C$5:$C$1018, 0)), "")</f>
        <v/>
      </c>
      <c r="C686" s="28"/>
      <c r="D686" s="9"/>
      <c r="E686" s="45"/>
      <c r="F686" s="9"/>
      <c r="G686" s="9"/>
      <c r="H686" s="50"/>
      <c r="I686" s="9"/>
      <c r="J686" s="9"/>
      <c r="K686" s="9"/>
      <c r="L686" s="9"/>
      <c r="M686" s="9"/>
      <c r="N686" s="9"/>
      <c r="O686" s="9"/>
      <c r="P686" s="9"/>
    </row>
    <row r="687" spans="1:16" x14ac:dyDescent="0.25">
      <c r="A687" s="4"/>
      <c r="B687" s="28" t="str">
        <f>IF(ISNUMBER(MATCH(D687, Mgt_Unit!$C$5:$C$1018, 0)), INDEX(Mgt_Unit!$B$5:$B$1018, MATCH(D687, Mgt_Unit!$C$5:$C$1018, 0)), "")</f>
        <v/>
      </c>
      <c r="C687" s="28"/>
      <c r="D687" s="9"/>
      <c r="E687" s="45"/>
      <c r="F687" s="9"/>
      <c r="G687" s="9"/>
      <c r="H687" s="50"/>
      <c r="I687" s="9"/>
      <c r="J687" s="9"/>
      <c r="K687" s="9"/>
      <c r="L687" s="9"/>
      <c r="M687" s="9"/>
      <c r="N687" s="9"/>
      <c r="O687" s="9"/>
      <c r="P687" s="9"/>
    </row>
    <row r="688" spans="1:16" x14ac:dyDescent="0.25">
      <c r="A688" s="4"/>
      <c r="B688" s="28" t="str">
        <f>IF(ISNUMBER(MATCH(D688, Mgt_Unit!$C$5:$C$1018, 0)), INDEX(Mgt_Unit!$B$5:$B$1018, MATCH(D688, Mgt_Unit!$C$5:$C$1018, 0)), "")</f>
        <v/>
      </c>
      <c r="C688" s="28"/>
      <c r="D688" s="9"/>
      <c r="E688" s="45"/>
      <c r="F688" s="9"/>
      <c r="G688" s="9"/>
      <c r="H688" s="50"/>
      <c r="I688" s="9"/>
      <c r="J688" s="9"/>
      <c r="K688" s="9"/>
      <c r="L688" s="9"/>
      <c r="M688" s="9"/>
      <c r="N688" s="9"/>
      <c r="O688" s="9"/>
      <c r="P688" s="9"/>
    </row>
    <row r="689" spans="1:16" x14ac:dyDescent="0.25">
      <c r="A689" s="4"/>
      <c r="B689" s="28" t="str">
        <f>IF(ISNUMBER(MATCH(D689, Mgt_Unit!$C$5:$C$1018, 0)), INDEX(Mgt_Unit!$B$5:$B$1018, MATCH(D689, Mgt_Unit!$C$5:$C$1018, 0)), "")</f>
        <v/>
      </c>
      <c r="C689" s="28"/>
      <c r="D689" s="9"/>
      <c r="E689" s="45"/>
      <c r="F689" s="9"/>
      <c r="G689" s="9"/>
      <c r="H689" s="50"/>
      <c r="I689" s="9"/>
      <c r="J689" s="9"/>
      <c r="K689" s="9"/>
      <c r="L689" s="9"/>
      <c r="M689" s="9"/>
      <c r="N689" s="9"/>
      <c r="O689" s="9"/>
      <c r="P689" s="9"/>
    </row>
    <row r="690" spans="1:16" x14ac:dyDescent="0.25">
      <c r="A690" s="4"/>
      <c r="B690" s="28" t="str">
        <f>IF(ISNUMBER(MATCH(D690, Mgt_Unit!$C$5:$C$1018, 0)), INDEX(Mgt_Unit!$B$5:$B$1018, MATCH(D690, Mgt_Unit!$C$5:$C$1018, 0)), "")</f>
        <v/>
      </c>
      <c r="C690" s="28"/>
      <c r="D690" s="9"/>
      <c r="E690" s="45"/>
      <c r="F690" s="9"/>
      <c r="G690" s="9"/>
      <c r="H690" s="50"/>
      <c r="I690" s="9"/>
      <c r="J690" s="9"/>
      <c r="K690" s="9"/>
      <c r="L690" s="9"/>
      <c r="M690" s="9"/>
      <c r="N690" s="9"/>
      <c r="O690" s="9"/>
      <c r="P690" s="9"/>
    </row>
    <row r="691" spans="1:16" x14ac:dyDescent="0.25">
      <c r="A691" s="4"/>
      <c r="B691" s="28" t="str">
        <f>IF(ISNUMBER(MATCH(D691, Mgt_Unit!$C$5:$C$1018, 0)), INDEX(Mgt_Unit!$B$5:$B$1018, MATCH(D691, Mgt_Unit!$C$5:$C$1018, 0)), "")</f>
        <v/>
      </c>
      <c r="C691" s="28"/>
      <c r="D691" s="9"/>
      <c r="E691" s="45"/>
      <c r="F691" s="9"/>
      <c r="G691" s="9"/>
      <c r="H691" s="50"/>
      <c r="I691" s="9"/>
      <c r="J691" s="9"/>
      <c r="K691" s="9"/>
      <c r="L691" s="9"/>
      <c r="M691" s="9"/>
      <c r="N691" s="9"/>
      <c r="O691" s="9"/>
      <c r="P691" s="9"/>
    </row>
    <row r="692" spans="1:16" x14ac:dyDescent="0.25">
      <c r="A692" s="4"/>
      <c r="B692" s="28" t="str">
        <f>IF(ISNUMBER(MATCH(D692, Mgt_Unit!$C$5:$C$1018, 0)), INDEX(Mgt_Unit!$B$5:$B$1018, MATCH(D692, Mgt_Unit!$C$5:$C$1018, 0)), "")</f>
        <v/>
      </c>
      <c r="C692" s="28"/>
      <c r="D692" s="9"/>
      <c r="E692" s="45"/>
      <c r="F692" s="9"/>
      <c r="G692" s="9"/>
      <c r="H692" s="50"/>
      <c r="I692" s="9"/>
      <c r="J692" s="9"/>
      <c r="K692" s="9"/>
      <c r="L692" s="9"/>
      <c r="M692" s="9"/>
      <c r="N692" s="9"/>
      <c r="O692" s="9"/>
      <c r="P692" s="9"/>
    </row>
    <row r="693" spans="1:16" x14ac:dyDescent="0.25">
      <c r="A693" s="4"/>
      <c r="B693" s="28" t="str">
        <f>IF(ISNUMBER(MATCH(D693, Mgt_Unit!$C$5:$C$1018, 0)), INDEX(Mgt_Unit!$B$5:$B$1018, MATCH(D693, Mgt_Unit!$C$5:$C$1018, 0)), "")</f>
        <v/>
      </c>
      <c r="C693" s="28"/>
      <c r="D693" s="9"/>
      <c r="E693" s="45"/>
      <c r="F693" s="9"/>
      <c r="G693" s="9"/>
      <c r="H693" s="50"/>
      <c r="I693" s="9"/>
      <c r="J693" s="9"/>
      <c r="K693" s="9"/>
      <c r="L693" s="9"/>
      <c r="M693" s="9"/>
      <c r="N693" s="9"/>
      <c r="O693" s="9"/>
      <c r="P693" s="9"/>
    </row>
    <row r="694" spans="1:16" x14ac:dyDescent="0.25">
      <c r="A694" s="4"/>
      <c r="B694" s="28" t="str">
        <f>IF(ISNUMBER(MATCH(D694, Mgt_Unit!$C$5:$C$1018, 0)), INDEX(Mgt_Unit!$B$5:$B$1018, MATCH(D694, Mgt_Unit!$C$5:$C$1018, 0)), "")</f>
        <v/>
      </c>
      <c r="C694" s="28"/>
      <c r="D694" s="9"/>
      <c r="E694" s="45"/>
      <c r="F694" s="9"/>
      <c r="G694" s="9"/>
      <c r="H694" s="50"/>
      <c r="I694" s="9"/>
      <c r="J694" s="9"/>
      <c r="K694" s="9"/>
      <c r="L694" s="9"/>
      <c r="M694" s="9"/>
      <c r="N694" s="9"/>
      <c r="O694" s="9"/>
      <c r="P694" s="9"/>
    </row>
    <row r="695" spans="1:16" x14ac:dyDescent="0.25">
      <c r="A695" s="4"/>
      <c r="B695" s="28" t="str">
        <f>IF(ISNUMBER(MATCH(D695, Mgt_Unit!$C$5:$C$1018, 0)), INDEX(Mgt_Unit!$B$5:$B$1018, MATCH(D695, Mgt_Unit!$C$5:$C$1018, 0)), "")</f>
        <v/>
      </c>
      <c r="C695" s="28"/>
      <c r="D695" s="9"/>
      <c r="E695" s="45"/>
      <c r="F695" s="9"/>
      <c r="G695" s="9"/>
      <c r="H695" s="50"/>
      <c r="I695" s="9"/>
      <c r="J695" s="9"/>
      <c r="K695" s="9"/>
      <c r="L695" s="9"/>
      <c r="M695" s="9"/>
      <c r="N695" s="9"/>
      <c r="O695" s="9"/>
      <c r="P695" s="9"/>
    </row>
    <row r="696" spans="1:16" x14ac:dyDescent="0.25">
      <c r="A696" s="4"/>
      <c r="B696" s="28" t="str">
        <f>IF(ISNUMBER(MATCH(D696, Mgt_Unit!$C$5:$C$1018, 0)), INDEX(Mgt_Unit!$B$5:$B$1018, MATCH(D696, Mgt_Unit!$C$5:$C$1018, 0)), "")</f>
        <v/>
      </c>
      <c r="C696" s="28"/>
      <c r="D696" s="9"/>
      <c r="E696" s="45"/>
      <c r="F696" s="9"/>
      <c r="G696" s="9"/>
      <c r="H696" s="50"/>
      <c r="I696" s="9"/>
      <c r="J696" s="9"/>
      <c r="K696" s="9"/>
      <c r="L696" s="9"/>
      <c r="M696" s="9"/>
      <c r="N696" s="9"/>
      <c r="O696" s="9"/>
      <c r="P696" s="9"/>
    </row>
    <row r="697" spans="1:16" x14ac:dyDescent="0.25">
      <c r="A697" s="4"/>
      <c r="B697" s="28" t="str">
        <f>IF(ISNUMBER(MATCH(D697, Mgt_Unit!$C$5:$C$1018, 0)), INDEX(Mgt_Unit!$B$5:$B$1018, MATCH(D697, Mgt_Unit!$C$5:$C$1018, 0)), "")</f>
        <v/>
      </c>
      <c r="C697" s="28"/>
      <c r="D697" s="9"/>
      <c r="E697" s="45"/>
      <c r="F697" s="9"/>
      <c r="G697" s="9"/>
      <c r="H697" s="50"/>
      <c r="I697" s="9"/>
      <c r="J697" s="9"/>
      <c r="K697" s="9"/>
      <c r="L697" s="9"/>
      <c r="M697" s="9"/>
      <c r="N697" s="9"/>
      <c r="O697" s="9"/>
      <c r="P697" s="9"/>
    </row>
    <row r="698" spans="1:16" x14ac:dyDescent="0.25">
      <c r="A698" s="4"/>
      <c r="B698" s="28" t="str">
        <f>IF(ISNUMBER(MATCH(D698, Mgt_Unit!$C$5:$C$1018, 0)), INDEX(Mgt_Unit!$B$5:$B$1018, MATCH(D698, Mgt_Unit!$C$5:$C$1018, 0)), "")</f>
        <v/>
      </c>
      <c r="C698" s="28"/>
      <c r="D698" s="9"/>
      <c r="E698" s="45"/>
      <c r="F698" s="9"/>
      <c r="G698" s="9"/>
      <c r="H698" s="50"/>
      <c r="I698" s="9"/>
      <c r="J698" s="9"/>
      <c r="K698" s="9"/>
      <c r="L698" s="9"/>
      <c r="M698" s="9"/>
      <c r="N698" s="9"/>
      <c r="O698" s="9"/>
      <c r="P698" s="9"/>
    </row>
    <row r="699" spans="1:16" x14ac:dyDescent="0.25">
      <c r="A699" s="4"/>
      <c r="B699" s="28" t="str">
        <f>IF(ISNUMBER(MATCH(D699, Mgt_Unit!$C$5:$C$1018, 0)), INDEX(Mgt_Unit!$B$5:$B$1018, MATCH(D699, Mgt_Unit!$C$5:$C$1018, 0)), "")</f>
        <v/>
      </c>
      <c r="C699" s="28"/>
      <c r="D699" s="9"/>
      <c r="E699" s="45"/>
      <c r="F699" s="9"/>
      <c r="G699" s="9"/>
      <c r="H699" s="50"/>
      <c r="I699" s="9"/>
      <c r="J699" s="9"/>
      <c r="K699" s="9"/>
      <c r="L699" s="9"/>
      <c r="M699" s="9"/>
      <c r="N699" s="9"/>
      <c r="O699" s="9"/>
      <c r="P699" s="9"/>
    </row>
    <row r="700" spans="1:16" x14ac:dyDescent="0.25">
      <c r="A700" s="4"/>
      <c r="B700" s="28" t="str">
        <f>IF(ISNUMBER(MATCH(D700, Mgt_Unit!$C$5:$C$1018, 0)), INDEX(Mgt_Unit!$B$5:$B$1018, MATCH(D700, Mgt_Unit!$C$5:$C$1018, 0)), "")</f>
        <v/>
      </c>
      <c r="C700" s="28"/>
      <c r="D700" s="9"/>
      <c r="E700" s="45"/>
      <c r="F700" s="9"/>
      <c r="G700" s="9"/>
      <c r="H700" s="50"/>
      <c r="I700" s="9"/>
      <c r="J700" s="9"/>
      <c r="K700" s="9"/>
      <c r="L700" s="9"/>
      <c r="M700" s="9"/>
      <c r="N700" s="9"/>
      <c r="O700" s="9"/>
      <c r="P700" s="9"/>
    </row>
    <row r="701" spans="1:16" x14ac:dyDescent="0.25">
      <c r="A701" s="4"/>
      <c r="B701" s="28" t="str">
        <f>IF(ISNUMBER(MATCH(D701, Mgt_Unit!$C$5:$C$1018, 0)), INDEX(Mgt_Unit!$B$5:$B$1018, MATCH(D701, Mgt_Unit!$C$5:$C$1018, 0)), "")</f>
        <v/>
      </c>
      <c r="C701" s="28"/>
      <c r="D701" s="9"/>
      <c r="E701" s="45"/>
      <c r="F701" s="9"/>
      <c r="G701" s="9"/>
      <c r="H701" s="50"/>
      <c r="I701" s="9"/>
      <c r="J701" s="9"/>
      <c r="K701" s="9"/>
      <c r="L701" s="9"/>
      <c r="M701" s="9"/>
      <c r="N701" s="9"/>
      <c r="O701" s="9"/>
      <c r="P701" s="9"/>
    </row>
    <row r="702" spans="1:16" x14ac:dyDescent="0.25">
      <c r="A702" s="4"/>
      <c r="B702" s="28" t="str">
        <f>IF(ISNUMBER(MATCH(D702, Mgt_Unit!$C$5:$C$1018, 0)), INDEX(Mgt_Unit!$B$5:$B$1018, MATCH(D702, Mgt_Unit!$C$5:$C$1018, 0)), "")</f>
        <v/>
      </c>
      <c r="C702" s="28"/>
      <c r="D702" s="9"/>
      <c r="E702" s="45"/>
      <c r="F702" s="9"/>
      <c r="G702" s="9"/>
      <c r="H702" s="50"/>
      <c r="I702" s="9"/>
      <c r="J702" s="9"/>
      <c r="K702" s="9"/>
      <c r="L702" s="9"/>
      <c r="M702" s="9"/>
      <c r="N702" s="9"/>
      <c r="O702" s="9"/>
      <c r="P702" s="9"/>
    </row>
    <row r="703" spans="1:16" x14ac:dyDescent="0.25">
      <c r="A703" s="4"/>
      <c r="B703" s="28" t="str">
        <f>IF(ISNUMBER(MATCH(D703, Mgt_Unit!$C$5:$C$1018, 0)), INDEX(Mgt_Unit!$B$5:$B$1018, MATCH(D703, Mgt_Unit!$C$5:$C$1018, 0)), "")</f>
        <v/>
      </c>
      <c r="C703" s="28"/>
      <c r="D703" s="9"/>
      <c r="E703" s="45"/>
      <c r="F703" s="9"/>
      <c r="G703" s="9"/>
      <c r="H703" s="50"/>
      <c r="I703" s="9"/>
      <c r="J703" s="9"/>
      <c r="K703" s="9"/>
      <c r="L703" s="9"/>
      <c r="M703" s="9"/>
      <c r="N703" s="9"/>
      <c r="O703" s="9"/>
      <c r="P703" s="9"/>
    </row>
    <row r="704" spans="1:16" x14ac:dyDescent="0.25">
      <c r="A704" s="4"/>
      <c r="B704" s="28" t="str">
        <f>IF(ISNUMBER(MATCH(D704, Mgt_Unit!$C$5:$C$1018, 0)), INDEX(Mgt_Unit!$B$5:$B$1018, MATCH(D704, Mgt_Unit!$C$5:$C$1018, 0)), "")</f>
        <v/>
      </c>
      <c r="C704" s="28"/>
      <c r="D704" s="9"/>
      <c r="E704" s="45"/>
      <c r="F704" s="9"/>
      <c r="G704" s="9"/>
      <c r="H704" s="50"/>
      <c r="I704" s="9"/>
      <c r="J704" s="9"/>
      <c r="K704" s="9"/>
      <c r="L704" s="9"/>
      <c r="M704" s="9"/>
      <c r="N704" s="9"/>
      <c r="O704" s="9"/>
      <c r="P704" s="9"/>
    </row>
    <row r="705" spans="1:16" x14ac:dyDescent="0.25">
      <c r="A705" s="4"/>
      <c r="B705" s="28" t="str">
        <f>IF(ISNUMBER(MATCH(D705, Mgt_Unit!$C$5:$C$1018, 0)), INDEX(Mgt_Unit!$B$5:$B$1018, MATCH(D705, Mgt_Unit!$C$5:$C$1018, 0)), "")</f>
        <v/>
      </c>
      <c r="C705" s="28"/>
      <c r="D705" s="9"/>
      <c r="E705" s="45"/>
      <c r="F705" s="9"/>
      <c r="G705" s="9"/>
      <c r="H705" s="50"/>
      <c r="I705" s="9"/>
      <c r="J705" s="9"/>
      <c r="K705" s="9"/>
      <c r="L705" s="9"/>
      <c r="M705" s="9"/>
      <c r="N705" s="9"/>
      <c r="O705" s="9"/>
      <c r="P705" s="9"/>
    </row>
    <row r="706" spans="1:16" x14ac:dyDescent="0.25">
      <c r="A706" s="4"/>
      <c r="B706" s="28" t="str">
        <f>IF(ISNUMBER(MATCH(D706, Mgt_Unit!$C$5:$C$1018, 0)), INDEX(Mgt_Unit!$B$5:$B$1018, MATCH(D706, Mgt_Unit!$C$5:$C$1018, 0)), "")</f>
        <v/>
      </c>
      <c r="C706" s="28"/>
      <c r="D706" s="9"/>
      <c r="E706" s="45"/>
      <c r="F706" s="9"/>
      <c r="G706" s="9"/>
      <c r="H706" s="50"/>
      <c r="I706" s="9"/>
      <c r="J706" s="9"/>
      <c r="K706" s="9"/>
      <c r="L706" s="9"/>
      <c r="M706" s="9"/>
      <c r="N706" s="9"/>
      <c r="O706" s="9"/>
      <c r="P706" s="9"/>
    </row>
    <row r="707" spans="1:16" x14ac:dyDescent="0.25">
      <c r="A707" s="4"/>
      <c r="B707" s="28" t="str">
        <f>IF(ISNUMBER(MATCH(D707, Mgt_Unit!$C$5:$C$1018, 0)), INDEX(Mgt_Unit!$B$5:$B$1018, MATCH(D707, Mgt_Unit!$C$5:$C$1018, 0)), "")</f>
        <v/>
      </c>
      <c r="C707" s="28"/>
      <c r="D707" s="9"/>
      <c r="E707" s="45"/>
      <c r="F707" s="9"/>
      <c r="G707" s="9"/>
      <c r="H707" s="50"/>
      <c r="I707" s="9"/>
      <c r="J707" s="9"/>
      <c r="K707" s="9"/>
      <c r="L707" s="9"/>
      <c r="M707" s="9"/>
      <c r="N707" s="9"/>
      <c r="O707" s="9"/>
      <c r="P707" s="9"/>
    </row>
    <row r="708" spans="1:16" x14ac:dyDescent="0.25">
      <c r="A708" s="4"/>
      <c r="B708" s="28" t="str">
        <f>IF(ISNUMBER(MATCH(D708, Mgt_Unit!$C$5:$C$1018, 0)), INDEX(Mgt_Unit!$B$5:$B$1018, MATCH(D708, Mgt_Unit!$C$5:$C$1018, 0)), "")</f>
        <v/>
      </c>
      <c r="C708" s="28"/>
      <c r="D708" s="9"/>
      <c r="E708" s="45"/>
      <c r="F708" s="9"/>
      <c r="G708" s="9"/>
      <c r="H708" s="50"/>
      <c r="I708" s="9"/>
      <c r="J708" s="9"/>
      <c r="K708" s="9"/>
      <c r="L708" s="9"/>
      <c r="M708" s="9"/>
      <c r="N708" s="9"/>
      <c r="O708" s="9"/>
      <c r="P708" s="9"/>
    </row>
    <row r="709" spans="1:16" x14ac:dyDescent="0.25">
      <c r="A709" s="4"/>
      <c r="B709" s="28" t="str">
        <f>IF(ISNUMBER(MATCH(D709, Mgt_Unit!$C$5:$C$1018, 0)), INDEX(Mgt_Unit!$B$5:$B$1018, MATCH(D709, Mgt_Unit!$C$5:$C$1018, 0)), "")</f>
        <v/>
      </c>
      <c r="C709" s="28"/>
      <c r="D709" s="9"/>
      <c r="E709" s="45"/>
      <c r="F709" s="9"/>
      <c r="G709" s="9"/>
      <c r="H709" s="50"/>
      <c r="I709" s="9"/>
      <c r="J709" s="9"/>
      <c r="K709" s="9"/>
      <c r="L709" s="9"/>
      <c r="M709" s="9"/>
      <c r="N709" s="9"/>
      <c r="O709" s="9"/>
      <c r="P709" s="9"/>
    </row>
    <row r="710" spans="1:16" x14ac:dyDescent="0.25">
      <c r="A710" s="4"/>
      <c r="B710" s="28" t="str">
        <f>IF(ISNUMBER(MATCH(D710, Mgt_Unit!$C$5:$C$1018, 0)), INDEX(Mgt_Unit!$B$5:$B$1018, MATCH(D710, Mgt_Unit!$C$5:$C$1018, 0)), "")</f>
        <v/>
      </c>
      <c r="C710" s="28"/>
      <c r="D710" s="9"/>
      <c r="E710" s="45"/>
      <c r="F710" s="9"/>
      <c r="G710" s="9"/>
      <c r="H710" s="50"/>
      <c r="I710" s="9"/>
      <c r="J710" s="9"/>
      <c r="K710" s="9"/>
      <c r="L710" s="9"/>
      <c r="M710" s="9"/>
      <c r="N710" s="9"/>
      <c r="O710" s="9"/>
      <c r="P710" s="9"/>
    </row>
    <row r="711" spans="1:16" x14ac:dyDescent="0.25">
      <c r="A711" s="4"/>
      <c r="B711" s="28" t="str">
        <f>IF(ISNUMBER(MATCH(D711, Mgt_Unit!$C$5:$C$1018, 0)), INDEX(Mgt_Unit!$B$5:$B$1018, MATCH(D711, Mgt_Unit!$C$5:$C$1018, 0)), "")</f>
        <v/>
      </c>
      <c r="C711" s="28"/>
      <c r="D711" s="9"/>
      <c r="E711" s="45"/>
      <c r="F711" s="9"/>
      <c r="G711" s="9"/>
      <c r="H711" s="50"/>
      <c r="I711" s="9"/>
      <c r="J711" s="9"/>
      <c r="K711" s="9"/>
      <c r="L711" s="9"/>
      <c r="M711" s="9"/>
      <c r="N711" s="9"/>
      <c r="O711" s="9"/>
      <c r="P711" s="9"/>
    </row>
    <row r="712" spans="1:16" x14ac:dyDescent="0.25">
      <c r="A712" s="4"/>
      <c r="B712" s="28" t="str">
        <f>IF(ISNUMBER(MATCH(D712, Mgt_Unit!$C$5:$C$1018, 0)), INDEX(Mgt_Unit!$B$5:$B$1018, MATCH(D712, Mgt_Unit!$C$5:$C$1018, 0)), "")</f>
        <v/>
      </c>
      <c r="C712" s="28"/>
      <c r="D712" s="9"/>
      <c r="E712" s="45"/>
      <c r="F712" s="9"/>
      <c r="G712" s="9"/>
      <c r="H712" s="50"/>
      <c r="I712" s="9"/>
      <c r="J712" s="9"/>
      <c r="K712" s="9"/>
      <c r="L712" s="9"/>
      <c r="M712" s="9"/>
      <c r="N712" s="9"/>
      <c r="O712" s="9"/>
      <c r="P712" s="9"/>
    </row>
    <row r="713" spans="1:16" x14ac:dyDescent="0.25">
      <c r="A713" s="4"/>
      <c r="B713" s="28" t="str">
        <f>IF(ISNUMBER(MATCH(D713, Mgt_Unit!$C$5:$C$1018, 0)), INDEX(Mgt_Unit!$B$5:$B$1018, MATCH(D713, Mgt_Unit!$C$5:$C$1018, 0)), "")</f>
        <v/>
      </c>
      <c r="C713" s="28"/>
      <c r="D713" s="9"/>
      <c r="E713" s="45"/>
      <c r="F713" s="9"/>
      <c r="G713" s="9"/>
      <c r="H713" s="50"/>
      <c r="I713" s="9"/>
      <c r="J713" s="9"/>
      <c r="K713" s="9"/>
      <c r="L713" s="9"/>
      <c r="M713" s="9"/>
      <c r="N713" s="9"/>
      <c r="O713" s="9"/>
      <c r="P713" s="9"/>
    </row>
    <row r="714" spans="1:16" x14ac:dyDescent="0.25">
      <c r="A714" s="4"/>
      <c r="B714" s="28" t="str">
        <f>IF(ISNUMBER(MATCH(D714, Mgt_Unit!$C$5:$C$1018, 0)), INDEX(Mgt_Unit!$B$5:$B$1018, MATCH(D714, Mgt_Unit!$C$5:$C$1018, 0)), "")</f>
        <v/>
      </c>
      <c r="C714" s="28"/>
      <c r="D714" s="9"/>
      <c r="E714" s="45"/>
      <c r="F714" s="9"/>
      <c r="G714" s="9"/>
      <c r="H714" s="50"/>
      <c r="I714" s="9"/>
      <c r="J714" s="9"/>
      <c r="K714" s="9"/>
      <c r="L714" s="9"/>
      <c r="M714" s="9"/>
      <c r="N714" s="9"/>
      <c r="O714" s="9"/>
      <c r="P714" s="9"/>
    </row>
    <row r="715" spans="1:16" x14ac:dyDescent="0.25">
      <c r="A715" s="4"/>
      <c r="B715" s="28" t="str">
        <f>IF(ISNUMBER(MATCH(D715, Mgt_Unit!$C$5:$C$1018, 0)), INDEX(Mgt_Unit!$B$5:$B$1018, MATCH(D715, Mgt_Unit!$C$5:$C$1018, 0)), "")</f>
        <v/>
      </c>
      <c r="C715" s="28"/>
      <c r="D715" s="9"/>
      <c r="E715" s="45"/>
      <c r="F715" s="9"/>
      <c r="G715" s="9"/>
      <c r="H715" s="50"/>
      <c r="I715" s="9"/>
      <c r="J715" s="9"/>
      <c r="K715" s="9"/>
      <c r="L715" s="9"/>
      <c r="M715" s="9"/>
      <c r="N715" s="9"/>
      <c r="O715" s="9"/>
      <c r="P715" s="9"/>
    </row>
    <row r="716" spans="1:16" x14ac:dyDescent="0.25">
      <c r="A716" s="4"/>
      <c r="B716" s="28" t="str">
        <f>IF(ISNUMBER(MATCH(D716, Mgt_Unit!$C$5:$C$1018, 0)), INDEX(Mgt_Unit!$B$5:$B$1018, MATCH(D716, Mgt_Unit!$C$5:$C$1018, 0)), "")</f>
        <v/>
      </c>
      <c r="C716" s="28"/>
      <c r="D716" s="9"/>
      <c r="E716" s="45"/>
      <c r="F716" s="9"/>
      <c r="G716" s="9"/>
      <c r="H716" s="50"/>
      <c r="I716" s="9"/>
      <c r="J716" s="9"/>
      <c r="K716" s="9"/>
      <c r="L716" s="9"/>
      <c r="M716" s="9"/>
      <c r="N716" s="9"/>
      <c r="O716" s="9"/>
      <c r="P716" s="9"/>
    </row>
    <row r="717" spans="1:16" x14ac:dyDescent="0.25">
      <c r="A717" s="4"/>
      <c r="B717" s="28" t="str">
        <f>IF(ISNUMBER(MATCH(D717, Mgt_Unit!$C$5:$C$1018, 0)), INDEX(Mgt_Unit!$B$5:$B$1018, MATCH(D717, Mgt_Unit!$C$5:$C$1018, 0)), "")</f>
        <v/>
      </c>
      <c r="C717" s="28"/>
      <c r="D717" s="9"/>
      <c r="E717" s="45"/>
      <c r="F717" s="9"/>
      <c r="G717" s="9"/>
      <c r="H717" s="50"/>
      <c r="I717" s="9"/>
      <c r="J717" s="9"/>
      <c r="K717" s="9"/>
      <c r="L717" s="9"/>
      <c r="M717" s="9"/>
      <c r="N717" s="9"/>
      <c r="O717" s="9"/>
      <c r="P717" s="9"/>
    </row>
    <row r="718" spans="1:16" x14ac:dyDescent="0.25">
      <c r="A718" s="4"/>
      <c r="B718" s="28" t="str">
        <f>IF(ISNUMBER(MATCH(D718, Mgt_Unit!$C$5:$C$1018, 0)), INDEX(Mgt_Unit!$B$5:$B$1018, MATCH(D718, Mgt_Unit!$C$5:$C$1018, 0)), "")</f>
        <v/>
      </c>
      <c r="C718" s="28"/>
      <c r="D718" s="9"/>
      <c r="E718" s="45"/>
      <c r="F718" s="9"/>
      <c r="G718" s="9"/>
      <c r="H718" s="50"/>
      <c r="I718" s="9"/>
      <c r="J718" s="9"/>
      <c r="K718" s="9"/>
      <c r="L718" s="9"/>
      <c r="M718" s="9"/>
      <c r="N718" s="9"/>
      <c r="O718" s="9"/>
      <c r="P718" s="9"/>
    </row>
    <row r="719" spans="1:16" x14ac:dyDescent="0.25">
      <c r="A719" s="4"/>
      <c r="B719" s="28" t="str">
        <f>IF(ISNUMBER(MATCH(D719, Mgt_Unit!$C$5:$C$1018, 0)), INDEX(Mgt_Unit!$B$5:$B$1018, MATCH(D719, Mgt_Unit!$C$5:$C$1018, 0)), "")</f>
        <v/>
      </c>
      <c r="C719" s="28"/>
      <c r="D719" s="9"/>
      <c r="E719" s="45"/>
      <c r="F719" s="9"/>
      <c r="G719" s="9"/>
      <c r="H719" s="50"/>
      <c r="I719" s="9"/>
      <c r="J719" s="9"/>
      <c r="K719" s="9"/>
      <c r="L719" s="9"/>
      <c r="M719" s="9"/>
      <c r="N719" s="9"/>
      <c r="O719" s="9"/>
      <c r="P719" s="9"/>
    </row>
    <row r="720" spans="1:16" x14ac:dyDescent="0.25">
      <c r="A720" s="4"/>
      <c r="B720" s="28" t="str">
        <f>IF(ISNUMBER(MATCH(D720, Mgt_Unit!$C$5:$C$1018, 0)), INDEX(Mgt_Unit!$B$5:$B$1018, MATCH(D720, Mgt_Unit!$C$5:$C$1018, 0)), "")</f>
        <v/>
      </c>
      <c r="C720" s="28"/>
      <c r="D720" s="9"/>
      <c r="E720" s="45"/>
      <c r="F720" s="9"/>
      <c r="G720" s="9"/>
      <c r="H720" s="50"/>
      <c r="I720" s="9"/>
      <c r="J720" s="9"/>
      <c r="K720" s="9"/>
      <c r="L720" s="9"/>
      <c r="M720" s="9"/>
      <c r="N720" s="9"/>
      <c r="O720" s="9"/>
      <c r="P720" s="9"/>
    </row>
    <row r="721" spans="1:16" x14ac:dyDescent="0.25">
      <c r="A721" s="4"/>
      <c r="B721" s="28" t="str">
        <f>IF(ISNUMBER(MATCH(D721, Mgt_Unit!$C$5:$C$1018, 0)), INDEX(Mgt_Unit!$B$5:$B$1018, MATCH(D721, Mgt_Unit!$C$5:$C$1018, 0)), "")</f>
        <v/>
      </c>
      <c r="C721" s="28"/>
      <c r="D721" s="9"/>
      <c r="E721" s="45"/>
      <c r="F721" s="9"/>
      <c r="G721" s="9"/>
      <c r="H721" s="50"/>
      <c r="I721" s="9"/>
      <c r="J721" s="9"/>
      <c r="K721" s="9"/>
      <c r="L721" s="9"/>
      <c r="M721" s="9"/>
      <c r="N721" s="9"/>
      <c r="O721" s="9"/>
      <c r="P721" s="9"/>
    </row>
    <row r="722" spans="1:16" x14ac:dyDescent="0.25">
      <c r="A722" s="4"/>
      <c r="B722" s="28" t="str">
        <f>IF(ISNUMBER(MATCH(D722, Mgt_Unit!$C$5:$C$1018, 0)), INDEX(Mgt_Unit!$B$5:$B$1018, MATCH(D722, Mgt_Unit!$C$5:$C$1018, 0)), "")</f>
        <v/>
      </c>
      <c r="C722" s="28"/>
      <c r="D722" s="9"/>
      <c r="E722" s="45"/>
      <c r="F722" s="9"/>
      <c r="G722" s="9"/>
      <c r="H722" s="50"/>
      <c r="I722" s="9"/>
      <c r="J722" s="9"/>
      <c r="K722" s="9"/>
      <c r="L722" s="9"/>
      <c r="M722" s="9"/>
      <c r="N722" s="9"/>
      <c r="O722" s="9"/>
      <c r="P722" s="9"/>
    </row>
    <row r="723" spans="1:16" x14ac:dyDescent="0.25">
      <c r="A723" s="4"/>
      <c r="B723" s="28" t="str">
        <f>IF(ISNUMBER(MATCH(D723, Mgt_Unit!$C$5:$C$1018, 0)), INDEX(Mgt_Unit!$B$5:$B$1018, MATCH(D723, Mgt_Unit!$C$5:$C$1018, 0)), "")</f>
        <v/>
      </c>
      <c r="C723" s="28"/>
      <c r="D723" s="9"/>
      <c r="E723" s="45"/>
      <c r="F723" s="9"/>
      <c r="G723" s="9"/>
      <c r="H723" s="50"/>
      <c r="I723" s="9"/>
      <c r="J723" s="9"/>
      <c r="K723" s="9"/>
      <c r="L723" s="9"/>
      <c r="M723" s="9"/>
      <c r="N723" s="9"/>
      <c r="O723" s="9"/>
      <c r="P723" s="9"/>
    </row>
    <row r="724" spans="1:16" x14ac:dyDescent="0.25">
      <c r="A724" s="4"/>
      <c r="B724" s="28" t="str">
        <f>IF(ISNUMBER(MATCH(D724, Mgt_Unit!$C$5:$C$1018, 0)), INDEX(Mgt_Unit!$B$5:$B$1018, MATCH(D724, Mgt_Unit!$C$5:$C$1018, 0)), "")</f>
        <v/>
      </c>
      <c r="C724" s="28"/>
      <c r="D724" s="9"/>
      <c r="E724" s="45"/>
      <c r="F724" s="9"/>
      <c r="G724" s="9"/>
      <c r="H724" s="50"/>
      <c r="I724" s="9"/>
      <c r="J724" s="9"/>
      <c r="K724" s="9"/>
      <c r="L724" s="9"/>
      <c r="M724" s="9"/>
      <c r="N724" s="9"/>
      <c r="O724" s="9"/>
      <c r="P724" s="9"/>
    </row>
    <row r="725" spans="1:16" x14ac:dyDescent="0.25">
      <c r="A725" s="4"/>
      <c r="B725" s="28" t="str">
        <f>IF(ISNUMBER(MATCH(D725, Mgt_Unit!$C$5:$C$1018, 0)), INDEX(Mgt_Unit!$B$5:$B$1018, MATCH(D725, Mgt_Unit!$C$5:$C$1018, 0)), "")</f>
        <v/>
      </c>
      <c r="C725" s="28"/>
      <c r="D725" s="9"/>
      <c r="E725" s="45"/>
      <c r="F725" s="9"/>
      <c r="G725" s="9"/>
      <c r="H725" s="50"/>
      <c r="I725" s="9"/>
      <c r="J725" s="9"/>
      <c r="K725" s="9"/>
      <c r="L725" s="9"/>
      <c r="M725" s="9"/>
      <c r="N725" s="9"/>
      <c r="O725" s="9"/>
      <c r="P725" s="9"/>
    </row>
    <row r="726" spans="1:16" x14ac:dyDescent="0.25">
      <c r="A726" s="4"/>
      <c r="B726" s="28" t="str">
        <f>IF(ISNUMBER(MATCH(D726, Mgt_Unit!$C$5:$C$1018, 0)), INDEX(Mgt_Unit!$B$5:$B$1018, MATCH(D726, Mgt_Unit!$C$5:$C$1018, 0)), "")</f>
        <v/>
      </c>
      <c r="C726" s="28"/>
      <c r="D726" s="9"/>
      <c r="E726" s="45"/>
      <c r="F726" s="9"/>
      <c r="G726" s="9"/>
      <c r="H726" s="50"/>
      <c r="I726" s="9"/>
      <c r="J726" s="9"/>
      <c r="K726" s="9"/>
      <c r="L726" s="9"/>
      <c r="M726" s="9"/>
      <c r="N726" s="9"/>
      <c r="O726" s="9"/>
      <c r="P726" s="9"/>
    </row>
    <row r="727" spans="1:16" x14ac:dyDescent="0.25">
      <c r="A727" s="4"/>
      <c r="B727" s="28" t="str">
        <f>IF(ISNUMBER(MATCH(D727, Mgt_Unit!$C$5:$C$1018, 0)), INDEX(Mgt_Unit!$B$5:$B$1018, MATCH(D727, Mgt_Unit!$C$5:$C$1018, 0)), "")</f>
        <v/>
      </c>
      <c r="C727" s="28"/>
      <c r="D727" s="9"/>
      <c r="E727" s="45"/>
      <c r="F727" s="9"/>
      <c r="G727" s="9"/>
      <c r="H727" s="50"/>
      <c r="I727" s="9"/>
      <c r="J727" s="9"/>
      <c r="K727" s="9"/>
      <c r="L727" s="9"/>
      <c r="M727" s="9"/>
      <c r="N727" s="9"/>
      <c r="O727" s="9"/>
      <c r="P727" s="9"/>
    </row>
    <row r="728" spans="1:16" x14ac:dyDescent="0.25">
      <c r="A728" s="4"/>
      <c r="B728" s="28" t="str">
        <f>IF(ISNUMBER(MATCH(D728, Mgt_Unit!$C$5:$C$1018, 0)), INDEX(Mgt_Unit!$B$5:$B$1018, MATCH(D728, Mgt_Unit!$C$5:$C$1018, 0)), "")</f>
        <v/>
      </c>
      <c r="C728" s="28"/>
      <c r="D728" s="9"/>
      <c r="E728" s="45"/>
      <c r="F728" s="9"/>
      <c r="G728" s="9"/>
      <c r="H728" s="50"/>
      <c r="I728" s="9"/>
      <c r="J728" s="9"/>
      <c r="K728" s="9"/>
      <c r="L728" s="9"/>
      <c r="M728" s="9"/>
      <c r="N728" s="9"/>
      <c r="O728" s="9"/>
      <c r="P728" s="9"/>
    </row>
    <row r="729" spans="1:16" x14ac:dyDescent="0.25">
      <c r="A729" s="4"/>
      <c r="B729" s="28" t="str">
        <f>IF(ISNUMBER(MATCH(D729, Mgt_Unit!$C$5:$C$1018, 0)), INDEX(Mgt_Unit!$B$5:$B$1018, MATCH(D729, Mgt_Unit!$C$5:$C$1018, 0)), "")</f>
        <v/>
      </c>
      <c r="C729" s="28"/>
      <c r="D729" s="9"/>
      <c r="E729" s="45"/>
      <c r="F729" s="9"/>
      <c r="G729" s="9"/>
      <c r="H729" s="50"/>
      <c r="I729" s="9"/>
      <c r="J729" s="9"/>
      <c r="K729" s="9"/>
      <c r="L729" s="9"/>
      <c r="M729" s="9"/>
      <c r="N729" s="9"/>
      <c r="O729" s="9"/>
      <c r="P729" s="9"/>
    </row>
    <row r="730" spans="1:16" x14ac:dyDescent="0.25">
      <c r="A730" s="4"/>
      <c r="B730" s="28" t="str">
        <f>IF(ISNUMBER(MATCH(D730, Mgt_Unit!$C$5:$C$1018, 0)), INDEX(Mgt_Unit!$B$5:$B$1018, MATCH(D730, Mgt_Unit!$C$5:$C$1018, 0)), "")</f>
        <v/>
      </c>
      <c r="C730" s="28"/>
      <c r="D730" s="9"/>
      <c r="E730" s="45"/>
      <c r="F730" s="9"/>
      <c r="G730" s="9"/>
      <c r="H730" s="50"/>
      <c r="I730" s="9"/>
      <c r="J730" s="9"/>
      <c r="K730" s="9"/>
      <c r="L730" s="9"/>
      <c r="M730" s="9"/>
      <c r="N730" s="9"/>
      <c r="O730" s="9"/>
      <c r="P730" s="9"/>
    </row>
    <row r="731" spans="1:16" x14ac:dyDescent="0.25">
      <c r="A731" s="4"/>
      <c r="B731" s="28" t="str">
        <f>IF(ISNUMBER(MATCH(D731, Mgt_Unit!$C$5:$C$1018, 0)), INDEX(Mgt_Unit!$B$5:$B$1018, MATCH(D731, Mgt_Unit!$C$5:$C$1018, 0)), "")</f>
        <v/>
      </c>
      <c r="C731" s="28"/>
      <c r="D731" s="9"/>
      <c r="E731" s="45"/>
      <c r="F731" s="9"/>
      <c r="G731" s="9"/>
      <c r="H731" s="50"/>
      <c r="I731" s="9"/>
      <c r="J731" s="9"/>
      <c r="K731" s="9"/>
      <c r="L731" s="9"/>
      <c r="M731" s="9"/>
      <c r="N731" s="9"/>
      <c r="O731" s="9"/>
      <c r="P731" s="9"/>
    </row>
    <row r="732" spans="1:16" x14ac:dyDescent="0.25">
      <c r="A732" s="4"/>
      <c r="B732" s="28" t="str">
        <f>IF(ISNUMBER(MATCH(D732, Mgt_Unit!$C$5:$C$1018, 0)), INDEX(Mgt_Unit!$B$5:$B$1018, MATCH(D732, Mgt_Unit!$C$5:$C$1018, 0)), "")</f>
        <v/>
      </c>
      <c r="C732" s="28"/>
      <c r="D732" s="9"/>
      <c r="E732" s="45"/>
      <c r="F732" s="9"/>
      <c r="G732" s="9"/>
      <c r="H732" s="50"/>
      <c r="I732" s="9"/>
      <c r="J732" s="9"/>
      <c r="K732" s="9"/>
      <c r="L732" s="9"/>
      <c r="M732" s="9"/>
      <c r="N732" s="9"/>
      <c r="O732" s="9"/>
      <c r="P732" s="9"/>
    </row>
    <row r="733" spans="1:16" x14ac:dyDescent="0.25">
      <c r="A733" s="4"/>
      <c r="B733" s="28" t="str">
        <f>IF(ISNUMBER(MATCH(D733, Mgt_Unit!$C$5:$C$1018, 0)), INDEX(Mgt_Unit!$B$5:$B$1018, MATCH(D733, Mgt_Unit!$C$5:$C$1018, 0)), "")</f>
        <v/>
      </c>
      <c r="C733" s="28"/>
      <c r="D733" s="9"/>
      <c r="E733" s="45"/>
      <c r="F733" s="9"/>
      <c r="G733" s="9"/>
      <c r="H733" s="50"/>
      <c r="I733" s="9"/>
      <c r="J733" s="9"/>
      <c r="K733" s="9"/>
      <c r="L733" s="9"/>
      <c r="M733" s="9"/>
      <c r="N733" s="9"/>
      <c r="O733" s="9"/>
      <c r="P733" s="9"/>
    </row>
    <row r="734" spans="1:16" x14ac:dyDescent="0.25">
      <c r="A734" s="4"/>
      <c r="B734" s="28" t="str">
        <f>IF(ISNUMBER(MATCH(D734, Mgt_Unit!$C$5:$C$1018, 0)), INDEX(Mgt_Unit!$B$5:$B$1018, MATCH(D734, Mgt_Unit!$C$5:$C$1018, 0)), "")</f>
        <v/>
      </c>
      <c r="C734" s="28"/>
      <c r="D734" s="9"/>
      <c r="E734" s="45"/>
      <c r="F734" s="9"/>
      <c r="G734" s="9"/>
      <c r="H734" s="50"/>
      <c r="I734" s="9"/>
      <c r="J734" s="9"/>
      <c r="K734" s="9"/>
      <c r="L734" s="9"/>
      <c r="M734" s="9"/>
      <c r="N734" s="9"/>
      <c r="O734" s="9"/>
      <c r="P734" s="9"/>
    </row>
    <row r="735" spans="1:16" x14ac:dyDescent="0.25">
      <c r="A735" s="4"/>
      <c r="B735" s="28" t="str">
        <f>IF(ISNUMBER(MATCH(D735, Mgt_Unit!$C$5:$C$1018, 0)), INDEX(Mgt_Unit!$B$5:$B$1018, MATCH(D735, Mgt_Unit!$C$5:$C$1018, 0)), "")</f>
        <v/>
      </c>
      <c r="C735" s="28"/>
      <c r="D735" s="9"/>
      <c r="E735" s="45"/>
      <c r="F735" s="9"/>
      <c r="G735" s="9"/>
      <c r="H735" s="50"/>
      <c r="I735" s="9"/>
      <c r="J735" s="9"/>
      <c r="K735" s="9"/>
      <c r="L735" s="9"/>
      <c r="M735" s="9"/>
      <c r="N735" s="9"/>
      <c r="O735" s="9"/>
      <c r="P735" s="9"/>
    </row>
    <row r="736" spans="1:16" x14ac:dyDescent="0.25">
      <c r="A736" s="4"/>
      <c r="B736" s="28" t="str">
        <f>IF(ISNUMBER(MATCH(D736, Mgt_Unit!$C$5:$C$1018, 0)), INDEX(Mgt_Unit!$B$5:$B$1018, MATCH(D736, Mgt_Unit!$C$5:$C$1018, 0)), "")</f>
        <v/>
      </c>
      <c r="C736" s="28"/>
      <c r="D736" s="9"/>
      <c r="E736" s="45"/>
      <c r="F736" s="9"/>
      <c r="G736" s="9"/>
      <c r="H736" s="50"/>
      <c r="I736" s="9"/>
      <c r="J736" s="9"/>
      <c r="K736" s="9"/>
      <c r="L736" s="9"/>
      <c r="M736" s="9"/>
      <c r="N736" s="9"/>
      <c r="O736" s="9"/>
      <c r="P736" s="9"/>
    </row>
    <row r="737" spans="1:16" x14ac:dyDescent="0.25">
      <c r="A737" s="4"/>
      <c r="B737" s="28" t="str">
        <f>IF(ISNUMBER(MATCH(D737, Mgt_Unit!$C$5:$C$1018, 0)), INDEX(Mgt_Unit!$B$5:$B$1018, MATCH(D737, Mgt_Unit!$C$5:$C$1018, 0)), "")</f>
        <v/>
      </c>
      <c r="C737" s="28"/>
      <c r="D737" s="9"/>
      <c r="E737" s="45"/>
      <c r="F737" s="9"/>
      <c r="G737" s="9"/>
      <c r="H737" s="50"/>
      <c r="I737" s="9"/>
      <c r="J737" s="9"/>
      <c r="K737" s="9"/>
      <c r="L737" s="9"/>
      <c r="M737" s="9"/>
      <c r="N737" s="9"/>
      <c r="O737" s="9"/>
      <c r="P737" s="9"/>
    </row>
    <row r="738" spans="1:16" x14ac:dyDescent="0.25">
      <c r="A738" s="4"/>
      <c r="B738" s="28" t="str">
        <f>IF(ISNUMBER(MATCH(D738, Mgt_Unit!$C$5:$C$1018, 0)), INDEX(Mgt_Unit!$B$5:$B$1018, MATCH(D738, Mgt_Unit!$C$5:$C$1018, 0)), "")</f>
        <v/>
      </c>
      <c r="C738" s="28"/>
      <c r="D738" s="9"/>
      <c r="E738" s="45"/>
      <c r="F738" s="9"/>
      <c r="G738" s="9"/>
      <c r="H738" s="50"/>
      <c r="I738" s="9"/>
      <c r="J738" s="9"/>
      <c r="K738" s="9"/>
      <c r="L738" s="9"/>
      <c r="M738" s="9"/>
      <c r="N738" s="9"/>
      <c r="O738" s="9"/>
      <c r="P738" s="9"/>
    </row>
    <row r="739" spans="1:16" x14ac:dyDescent="0.25">
      <c r="A739" s="4"/>
      <c r="B739" s="28" t="str">
        <f>IF(ISNUMBER(MATCH(D739, Mgt_Unit!$C$5:$C$1018, 0)), INDEX(Mgt_Unit!$B$5:$B$1018, MATCH(D739, Mgt_Unit!$C$5:$C$1018, 0)), "")</f>
        <v/>
      </c>
      <c r="C739" s="28"/>
      <c r="D739" s="9"/>
      <c r="E739" s="45"/>
      <c r="F739" s="9"/>
      <c r="G739" s="9"/>
      <c r="H739" s="50"/>
      <c r="I739" s="9"/>
      <c r="J739" s="9"/>
      <c r="K739" s="9"/>
      <c r="L739" s="9"/>
      <c r="M739" s="9"/>
      <c r="N739" s="9"/>
      <c r="O739" s="9"/>
      <c r="P739" s="9"/>
    </row>
    <row r="740" spans="1:16" x14ac:dyDescent="0.25">
      <c r="A740" s="4"/>
      <c r="B740" s="28" t="str">
        <f>IF(ISNUMBER(MATCH(D740, Mgt_Unit!$C$5:$C$1018, 0)), INDEX(Mgt_Unit!$B$5:$B$1018, MATCH(D740, Mgt_Unit!$C$5:$C$1018, 0)), "")</f>
        <v/>
      </c>
      <c r="C740" s="28"/>
      <c r="D740" s="9"/>
      <c r="E740" s="45"/>
      <c r="F740" s="9"/>
      <c r="G740" s="9"/>
      <c r="H740" s="50"/>
      <c r="I740" s="9"/>
      <c r="J740" s="9"/>
      <c r="K740" s="9"/>
      <c r="L740" s="9"/>
      <c r="M740" s="9"/>
      <c r="N740" s="9"/>
      <c r="O740" s="9"/>
      <c r="P740" s="9"/>
    </row>
    <row r="741" spans="1:16" x14ac:dyDescent="0.25">
      <c r="A741" s="4"/>
      <c r="B741" s="28" t="str">
        <f>IF(ISNUMBER(MATCH(D741, Mgt_Unit!$C$5:$C$1018, 0)), INDEX(Mgt_Unit!$B$5:$B$1018, MATCH(D741, Mgt_Unit!$C$5:$C$1018, 0)), "")</f>
        <v/>
      </c>
      <c r="C741" s="28"/>
      <c r="D741" s="9"/>
      <c r="E741" s="45"/>
      <c r="F741" s="9"/>
      <c r="G741" s="9"/>
      <c r="H741" s="50"/>
      <c r="I741" s="9"/>
      <c r="J741" s="9"/>
      <c r="K741" s="9"/>
      <c r="L741" s="9"/>
      <c r="M741" s="9"/>
      <c r="N741" s="9"/>
      <c r="O741" s="9"/>
      <c r="P741" s="9"/>
    </row>
    <row r="742" spans="1:16" x14ac:dyDescent="0.25">
      <c r="A742" s="4"/>
      <c r="B742" s="28" t="str">
        <f>IF(ISNUMBER(MATCH(D742, Mgt_Unit!$C$5:$C$1018, 0)), INDEX(Mgt_Unit!$B$5:$B$1018, MATCH(D742, Mgt_Unit!$C$5:$C$1018, 0)), "")</f>
        <v/>
      </c>
      <c r="C742" s="28"/>
      <c r="D742" s="9"/>
      <c r="E742" s="45"/>
      <c r="F742" s="9"/>
      <c r="G742" s="9"/>
      <c r="H742" s="50"/>
      <c r="I742" s="9"/>
      <c r="J742" s="9"/>
      <c r="K742" s="9"/>
      <c r="L742" s="9"/>
      <c r="M742" s="9"/>
      <c r="N742" s="9"/>
      <c r="O742" s="9"/>
      <c r="P742" s="9"/>
    </row>
    <row r="743" spans="1:16" x14ac:dyDescent="0.25">
      <c r="A743" s="4"/>
      <c r="B743" s="28" t="str">
        <f>IF(ISNUMBER(MATCH(D743, Mgt_Unit!$C$5:$C$1018, 0)), INDEX(Mgt_Unit!$B$5:$B$1018, MATCH(D743, Mgt_Unit!$C$5:$C$1018, 0)), "")</f>
        <v/>
      </c>
      <c r="C743" s="28"/>
      <c r="D743" s="9"/>
      <c r="E743" s="45"/>
      <c r="F743" s="9"/>
      <c r="G743" s="9"/>
      <c r="H743" s="50"/>
      <c r="I743" s="9"/>
      <c r="J743" s="9"/>
      <c r="K743" s="9"/>
      <c r="L743" s="9"/>
      <c r="M743" s="9"/>
      <c r="N743" s="9"/>
      <c r="O743" s="9"/>
      <c r="P743" s="9"/>
    </row>
    <row r="744" spans="1:16" x14ac:dyDescent="0.25">
      <c r="A744" s="4"/>
      <c r="B744" s="28" t="str">
        <f>IF(ISNUMBER(MATCH(D744, Mgt_Unit!$C$5:$C$1018, 0)), INDEX(Mgt_Unit!$B$5:$B$1018, MATCH(D744, Mgt_Unit!$C$5:$C$1018, 0)), "")</f>
        <v/>
      </c>
      <c r="C744" s="28"/>
      <c r="D744" s="9"/>
      <c r="E744" s="45"/>
      <c r="F744" s="9"/>
      <c r="G744" s="9"/>
      <c r="H744" s="50"/>
      <c r="I744" s="9"/>
      <c r="J744" s="9"/>
      <c r="K744" s="9"/>
      <c r="L744" s="9"/>
      <c r="M744" s="9"/>
      <c r="N744" s="9"/>
      <c r="O744" s="9"/>
      <c r="P744" s="9"/>
    </row>
    <row r="745" spans="1:16" x14ac:dyDescent="0.25">
      <c r="A745" s="4"/>
      <c r="B745" s="28" t="str">
        <f>IF(ISNUMBER(MATCH(D745, Mgt_Unit!$C$5:$C$1018, 0)), INDEX(Mgt_Unit!$B$5:$B$1018, MATCH(D745, Mgt_Unit!$C$5:$C$1018, 0)), "")</f>
        <v/>
      </c>
      <c r="C745" s="28"/>
      <c r="D745" s="9"/>
      <c r="E745" s="45"/>
      <c r="F745" s="9"/>
      <c r="G745" s="9"/>
      <c r="H745" s="50"/>
      <c r="I745" s="9"/>
      <c r="J745" s="9"/>
      <c r="K745" s="9"/>
      <c r="L745" s="9"/>
      <c r="M745" s="9"/>
      <c r="N745" s="9"/>
      <c r="O745" s="9"/>
      <c r="P745" s="9"/>
    </row>
    <row r="746" spans="1:16" x14ac:dyDescent="0.25">
      <c r="A746" s="4"/>
      <c r="B746" s="28" t="str">
        <f>IF(ISNUMBER(MATCH(D746, Mgt_Unit!$C$5:$C$1018, 0)), INDEX(Mgt_Unit!$B$5:$B$1018, MATCH(D746, Mgt_Unit!$C$5:$C$1018, 0)), "")</f>
        <v/>
      </c>
      <c r="C746" s="28"/>
      <c r="D746" s="9"/>
      <c r="E746" s="45"/>
      <c r="F746" s="9"/>
      <c r="G746" s="9"/>
      <c r="H746" s="50"/>
      <c r="I746" s="9"/>
      <c r="J746" s="9"/>
      <c r="K746" s="9"/>
      <c r="L746" s="9"/>
      <c r="M746" s="9"/>
      <c r="N746" s="9"/>
      <c r="O746" s="9"/>
      <c r="P746" s="9"/>
    </row>
    <row r="747" spans="1:16" x14ac:dyDescent="0.25">
      <c r="A747" s="4"/>
      <c r="B747" s="28" t="str">
        <f>IF(ISNUMBER(MATCH(D747, Mgt_Unit!$C$5:$C$1018, 0)), INDEX(Mgt_Unit!$B$5:$B$1018, MATCH(D747, Mgt_Unit!$C$5:$C$1018, 0)), "")</f>
        <v/>
      </c>
      <c r="C747" s="28"/>
      <c r="D747" s="9"/>
      <c r="E747" s="45"/>
      <c r="F747" s="9"/>
      <c r="G747" s="9"/>
      <c r="H747" s="50"/>
      <c r="I747" s="9"/>
      <c r="J747" s="9"/>
      <c r="K747" s="9"/>
      <c r="L747" s="9"/>
      <c r="M747" s="9"/>
      <c r="N747" s="9"/>
      <c r="O747" s="9"/>
      <c r="P747" s="9"/>
    </row>
    <row r="748" spans="1:16" x14ac:dyDescent="0.25">
      <c r="A748" s="4"/>
      <c r="B748" s="28" t="str">
        <f>IF(ISNUMBER(MATCH(D748, Mgt_Unit!$C$5:$C$1018, 0)), INDEX(Mgt_Unit!$B$5:$B$1018, MATCH(D748, Mgt_Unit!$C$5:$C$1018, 0)), "")</f>
        <v/>
      </c>
      <c r="C748" s="28"/>
      <c r="D748" s="9"/>
      <c r="E748" s="45"/>
      <c r="F748" s="9"/>
      <c r="G748" s="9"/>
      <c r="H748" s="50"/>
      <c r="I748" s="9"/>
      <c r="J748" s="9"/>
      <c r="K748" s="9"/>
      <c r="L748" s="9"/>
      <c r="M748" s="9"/>
      <c r="N748" s="9"/>
      <c r="O748" s="9"/>
      <c r="P748" s="9"/>
    </row>
    <row r="749" spans="1:16" x14ac:dyDescent="0.25">
      <c r="A749" s="4"/>
      <c r="B749" s="28" t="str">
        <f>IF(ISNUMBER(MATCH(D749, Mgt_Unit!$C$5:$C$1018, 0)), INDEX(Mgt_Unit!$B$5:$B$1018, MATCH(D749, Mgt_Unit!$C$5:$C$1018, 0)), "")</f>
        <v/>
      </c>
      <c r="C749" s="28"/>
      <c r="D749" s="9"/>
      <c r="E749" s="45"/>
      <c r="F749" s="9"/>
      <c r="G749" s="9"/>
      <c r="H749" s="50"/>
      <c r="I749" s="9"/>
      <c r="J749" s="9"/>
      <c r="K749" s="9"/>
      <c r="L749" s="9"/>
      <c r="M749" s="9"/>
      <c r="N749" s="9"/>
      <c r="O749" s="9"/>
      <c r="P749" s="9"/>
    </row>
    <row r="750" spans="1:16" x14ac:dyDescent="0.25">
      <c r="A750" s="4"/>
      <c r="B750" s="28" t="str">
        <f>IF(ISNUMBER(MATCH(D750, Mgt_Unit!$C$5:$C$1018, 0)), INDEX(Mgt_Unit!$B$5:$B$1018, MATCH(D750, Mgt_Unit!$C$5:$C$1018, 0)), "")</f>
        <v/>
      </c>
      <c r="C750" s="28"/>
      <c r="D750" s="9"/>
      <c r="E750" s="45"/>
      <c r="F750" s="9"/>
      <c r="G750" s="9"/>
      <c r="H750" s="50"/>
      <c r="I750" s="9"/>
      <c r="J750" s="9"/>
      <c r="K750" s="9"/>
      <c r="L750" s="9"/>
      <c r="M750" s="9"/>
      <c r="N750" s="9"/>
      <c r="O750" s="9"/>
      <c r="P750" s="9"/>
    </row>
    <row r="751" spans="1:16" x14ac:dyDescent="0.25">
      <c r="A751" s="4"/>
      <c r="B751" s="28" t="str">
        <f>IF(ISNUMBER(MATCH(D751, Mgt_Unit!$C$5:$C$1018, 0)), INDEX(Mgt_Unit!$B$5:$B$1018, MATCH(D751, Mgt_Unit!$C$5:$C$1018, 0)), "")</f>
        <v/>
      </c>
      <c r="C751" s="28"/>
      <c r="D751" s="9"/>
      <c r="E751" s="45"/>
      <c r="F751" s="9"/>
      <c r="G751" s="9"/>
      <c r="H751" s="50"/>
      <c r="I751" s="9"/>
      <c r="J751" s="9"/>
      <c r="K751" s="9"/>
      <c r="L751" s="9"/>
      <c r="M751" s="9"/>
      <c r="N751" s="9"/>
      <c r="O751" s="9"/>
      <c r="P751" s="9"/>
    </row>
    <row r="752" spans="1:16" x14ac:dyDescent="0.25">
      <c r="A752" s="4"/>
      <c r="B752" s="28" t="str">
        <f>IF(ISNUMBER(MATCH(D752, Mgt_Unit!$C$5:$C$1018, 0)), INDEX(Mgt_Unit!$B$5:$B$1018, MATCH(D752, Mgt_Unit!$C$5:$C$1018, 0)), "")</f>
        <v/>
      </c>
      <c r="C752" s="28"/>
      <c r="D752" s="9"/>
      <c r="E752" s="45"/>
      <c r="F752" s="9"/>
      <c r="G752" s="9"/>
      <c r="H752" s="50"/>
      <c r="I752" s="9"/>
      <c r="J752" s="9"/>
      <c r="K752" s="9"/>
      <c r="L752" s="9"/>
      <c r="M752" s="9"/>
      <c r="N752" s="9"/>
      <c r="O752" s="9"/>
      <c r="P752" s="9"/>
    </row>
    <row r="753" spans="1:16" x14ac:dyDescent="0.25">
      <c r="A753" s="4"/>
      <c r="B753" s="28" t="str">
        <f>IF(ISNUMBER(MATCH(D753, Mgt_Unit!$C$5:$C$1018, 0)), INDEX(Mgt_Unit!$B$5:$B$1018, MATCH(D753, Mgt_Unit!$C$5:$C$1018, 0)), "")</f>
        <v/>
      </c>
      <c r="C753" s="28"/>
      <c r="D753" s="9"/>
      <c r="E753" s="45"/>
      <c r="F753" s="9"/>
      <c r="G753" s="9"/>
      <c r="H753" s="50"/>
      <c r="I753" s="9"/>
      <c r="J753" s="9"/>
      <c r="K753" s="9"/>
      <c r="L753" s="9"/>
      <c r="M753" s="9"/>
      <c r="N753" s="9"/>
      <c r="O753" s="9"/>
      <c r="P753" s="9"/>
    </row>
    <row r="754" spans="1:16" x14ac:dyDescent="0.25">
      <c r="A754" s="4"/>
      <c r="B754" s="28" t="str">
        <f>IF(ISNUMBER(MATCH(D754, Mgt_Unit!$C$5:$C$1018, 0)), INDEX(Mgt_Unit!$B$5:$B$1018, MATCH(D754, Mgt_Unit!$C$5:$C$1018, 0)), "")</f>
        <v/>
      </c>
      <c r="C754" s="28"/>
      <c r="D754" s="9"/>
      <c r="E754" s="45"/>
      <c r="F754" s="9"/>
      <c r="G754" s="9"/>
      <c r="H754" s="50"/>
      <c r="I754" s="9"/>
      <c r="J754" s="9"/>
      <c r="K754" s="9"/>
      <c r="L754" s="9"/>
      <c r="M754" s="9"/>
      <c r="N754" s="9"/>
      <c r="O754" s="9"/>
      <c r="P754" s="9"/>
    </row>
    <row r="755" spans="1:16" x14ac:dyDescent="0.25">
      <c r="A755" s="4"/>
      <c r="B755" s="28" t="str">
        <f>IF(ISNUMBER(MATCH(D755, Mgt_Unit!$C$5:$C$1018, 0)), INDEX(Mgt_Unit!$B$5:$B$1018, MATCH(D755, Mgt_Unit!$C$5:$C$1018, 0)), "")</f>
        <v/>
      </c>
      <c r="C755" s="28"/>
      <c r="D755" s="9"/>
      <c r="E755" s="45"/>
      <c r="F755" s="9"/>
      <c r="G755" s="9"/>
      <c r="H755" s="50"/>
      <c r="I755" s="9"/>
      <c r="J755" s="9"/>
      <c r="K755" s="9"/>
      <c r="L755" s="9"/>
      <c r="M755" s="9"/>
      <c r="N755" s="9"/>
      <c r="O755" s="9"/>
      <c r="P755" s="9"/>
    </row>
    <row r="756" spans="1:16" x14ac:dyDescent="0.25">
      <c r="A756" s="4"/>
      <c r="B756" s="28" t="str">
        <f>IF(ISNUMBER(MATCH(D756, Mgt_Unit!$C$5:$C$1018, 0)), INDEX(Mgt_Unit!$B$5:$B$1018, MATCH(D756, Mgt_Unit!$C$5:$C$1018, 0)), "")</f>
        <v/>
      </c>
      <c r="C756" s="28"/>
      <c r="D756" s="9"/>
      <c r="E756" s="45"/>
      <c r="F756" s="9"/>
      <c r="G756" s="9"/>
      <c r="H756" s="50"/>
      <c r="I756" s="9"/>
      <c r="J756" s="9"/>
      <c r="K756" s="9"/>
      <c r="L756" s="9"/>
      <c r="M756" s="9"/>
      <c r="N756" s="9"/>
      <c r="O756" s="9"/>
      <c r="P756" s="9"/>
    </row>
    <row r="757" spans="1:16" x14ac:dyDescent="0.25">
      <c r="A757" s="4"/>
      <c r="B757" s="28" t="str">
        <f>IF(ISNUMBER(MATCH(D757, Mgt_Unit!$C$5:$C$1018, 0)), INDEX(Mgt_Unit!$B$5:$B$1018, MATCH(D757, Mgt_Unit!$C$5:$C$1018, 0)), "")</f>
        <v/>
      </c>
      <c r="C757" s="28"/>
      <c r="D757" s="9"/>
      <c r="E757" s="45"/>
      <c r="F757" s="9"/>
      <c r="G757" s="9"/>
      <c r="H757" s="50"/>
      <c r="I757" s="9"/>
      <c r="J757" s="9"/>
      <c r="K757" s="9"/>
      <c r="L757" s="9"/>
      <c r="M757" s="9"/>
      <c r="N757" s="9"/>
      <c r="O757" s="9"/>
      <c r="P757" s="9"/>
    </row>
    <row r="758" spans="1:16" x14ac:dyDescent="0.25">
      <c r="A758" s="4"/>
      <c r="B758" s="28" t="str">
        <f>IF(ISNUMBER(MATCH(D758, Mgt_Unit!$C$5:$C$1018, 0)), INDEX(Mgt_Unit!$B$5:$B$1018, MATCH(D758, Mgt_Unit!$C$5:$C$1018, 0)), "")</f>
        <v/>
      </c>
      <c r="C758" s="28"/>
      <c r="D758" s="9"/>
      <c r="E758" s="45"/>
      <c r="F758" s="9"/>
      <c r="G758" s="9"/>
      <c r="H758" s="50"/>
      <c r="I758" s="9"/>
      <c r="J758" s="9"/>
      <c r="K758" s="9"/>
      <c r="L758" s="9"/>
      <c r="M758" s="9"/>
      <c r="N758" s="9"/>
      <c r="O758" s="9"/>
      <c r="P758" s="9"/>
    </row>
    <row r="759" spans="1:16" x14ac:dyDescent="0.25">
      <c r="A759" s="4"/>
      <c r="B759" s="28" t="str">
        <f>IF(ISNUMBER(MATCH(D759, Mgt_Unit!$C$5:$C$1018, 0)), INDEX(Mgt_Unit!$B$5:$B$1018, MATCH(D759, Mgt_Unit!$C$5:$C$1018, 0)), "")</f>
        <v/>
      </c>
      <c r="C759" s="28"/>
      <c r="D759" s="9"/>
      <c r="E759" s="45"/>
      <c r="F759" s="9"/>
      <c r="G759" s="9"/>
      <c r="H759" s="50"/>
      <c r="I759" s="9"/>
      <c r="J759" s="9"/>
      <c r="K759" s="9"/>
      <c r="L759" s="9"/>
      <c r="M759" s="9"/>
      <c r="N759" s="9"/>
      <c r="O759" s="9"/>
      <c r="P759" s="9"/>
    </row>
    <row r="760" spans="1:16" x14ac:dyDescent="0.25">
      <c r="A760" s="4"/>
      <c r="B760" s="28" t="str">
        <f>IF(ISNUMBER(MATCH(D760, Mgt_Unit!$C$5:$C$1018, 0)), INDEX(Mgt_Unit!$B$5:$B$1018, MATCH(D760, Mgt_Unit!$C$5:$C$1018, 0)), "")</f>
        <v/>
      </c>
      <c r="C760" s="28"/>
      <c r="D760" s="9"/>
      <c r="E760" s="45"/>
      <c r="F760" s="9"/>
      <c r="G760" s="9"/>
      <c r="H760" s="50"/>
      <c r="I760" s="9"/>
      <c r="J760" s="9"/>
      <c r="K760" s="9"/>
      <c r="L760" s="9"/>
      <c r="M760" s="9"/>
      <c r="N760" s="9"/>
      <c r="O760" s="9"/>
      <c r="P760" s="9"/>
    </row>
    <row r="761" spans="1:16" x14ac:dyDescent="0.25">
      <c r="A761" s="4"/>
      <c r="B761" s="28" t="str">
        <f>IF(ISNUMBER(MATCH(D761, Mgt_Unit!$C$5:$C$1018, 0)), INDEX(Mgt_Unit!$B$5:$B$1018, MATCH(D761, Mgt_Unit!$C$5:$C$1018, 0)), "")</f>
        <v/>
      </c>
      <c r="C761" s="28"/>
      <c r="D761" s="9"/>
      <c r="E761" s="45"/>
      <c r="F761" s="9"/>
      <c r="G761" s="9"/>
      <c r="H761" s="50"/>
      <c r="I761" s="9"/>
      <c r="J761" s="9"/>
      <c r="K761" s="9"/>
      <c r="L761" s="9"/>
      <c r="M761" s="9"/>
      <c r="N761" s="9"/>
      <c r="O761" s="9"/>
      <c r="P761" s="9"/>
    </row>
    <row r="762" spans="1:16" x14ac:dyDescent="0.25">
      <c r="A762" s="4"/>
      <c r="B762" s="28" t="str">
        <f>IF(ISNUMBER(MATCH(D762, Mgt_Unit!$C$5:$C$1018, 0)), INDEX(Mgt_Unit!$B$5:$B$1018, MATCH(D762, Mgt_Unit!$C$5:$C$1018, 0)), "")</f>
        <v/>
      </c>
      <c r="C762" s="28"/>
      <c r="D762" s="9"/>
      <c r="E762" s="45"/>
      <c r="F762" s="9"/>
      <c r="G762" s="9"/>
      <c r="H762" s="50"/>
      <c r="I762" s="9"/>
      <c r="J762" s="9"/>
      <c r="K762" s="9"/>
      <c r="L762" s="9"/>
      <c r="M762" s="9"/>
      <c r="N762" s="9"/>
      <c r="O762" s="9"/>
      <c r="P762" s="9"/>
    </row>
    <row r="763" spans="1:16" x14ac:dyDescent="0.25">
      <c r="A763" s="4"/>
      <c r="B763" s="28" t="str">
        <f>IF(ISNUMBER(MATCH(D763, Mgt_Unit!$C$5:$C$1018, 0)), INDEX(Mgt_Unit!$B$5:$B$1018, MATCH(D763, Mgt_Unit!$C$5:$C$1018, 0)), "")</f>
        <v/>
      </c>
      <c r="C763" s="28"/>
      <c r="D763" s="9"/>
      <c r="E763" s="45"/>
      <c r="F763" s="9"/>
      <c r="G763" s="9"/>
      <c r="H763" s="50"/>
      <c r="I763" s="9"/>
      <c r="J763" s="9"/>
      <c r="K763" s="9"/>
      <c r="L763" s="9"/>
      <c r="M763" s="9"/>
      <c r="N763" s="9"/>
      <c r="O763" s="9"/>
      <c r="P763" s="9"/>
    </row>
    <row r="764" spans="1:16" x14ac:dyDescent="0.25">
      <c r="A764" s="4"/>
      <c r="B764" s="28" t="str">
        <f>IF(ISNUMBER(MATCH(D764, Mgt_Unit!$C$5:$C$1018, 0)), INDEX(Mgt_Unit!$B$5:$B$1018, MATCH(D764, Mgt_Unit!$C$5:$C$1018, 0)), "")</f>
        <v/>
      </c>
      <c r="C764" s="28"/>
      <c r="D764" s="9"/>
      <c r="E764" s="45"/>
      <c r="F764" s="9"/>
      <c r="G764" s="9"/>
      <c r="H764" s="50"/>
      <c r="I764" s="9"/>
      <c r="J764" s="9"/>
      <c r="K764" s="9"/>
      <c r="L764" s="9"/>
      <c r="M764" s="9"/>
      <c r="N764" s="9"/>
      <c r="O764" s="9"/>
      <c r="P764" s="9"/>
    </row>
    <row r="765" spans="1:16" x14ac:dyDescent="0.25">
      <c r="A765" s="4"/>
      <c r="B765" s="28" t="str">
        <f>IF(ISNUMBER(MATCH(D765, Mgt_Unit!$C$5:$C$1018, 0)), INDEX(Mgt_Unit!$B$5:$B$1018, MATCH(D765, Mgt_Unit!$C$5:$C$1018, 0)), "")</f>
        <v/>
      </c>
      <c r="C765" s="28"/>
      <c r="D765" s="9"/>
      <c r="E765" s="45"/>
      <c r="F765" s="9"/>
      <c r="G765" s="9"/>
      <c r="H765" s="50"/>
      <c r="I765" s="9"/>
      <c r="J765" s="9"/>
      <c r="K765" s="9"/>
      <c r="L765" s="9"/>
      <c r="M765" s="9"/>
      <c r="N765" s="9"/>
      <c r="O765" s="9"/>
      <c r="P765" s="9"/>
    </row>
    <row r="766" spans="1:16" x14ac:dyDescent="0.25">
      <c r="A766" s="4"/>
      <c r="B766" s="28" t="str">
        <f>IF(ISNUMBER(MATCH(D766, Mgt_Unit!$C$5:$C$1018, 0)), INDEX(Mgt_Unit!$B$5:$B$1018, MATCH(D766, Mgt_Unit!$C$5:$C$1018, 0)), "")</f>
        <v/>
      </c>
      <c r="C766" s="28"/>
      <c r="D766" s="9"/>
      <c r="E766" s="45"/>
      <c r="F766" s="9"/>
      <c r="G766" s="9"/>
      <c r="H766" s="50"/>
      <c r="I766" s="9"/>
      <c r="J766" s="9"/>
      <c r="K766" s="9"/>
      <c r="L766" s="9"/>
      <c r="M766" s="9"/>
      <c r="N766" s="9"/>
      <c r="O766" s="9"/>
      <c r="P766" s="9"/>
    </row>
    <row r="767" spans="1:16" x14ac:dyDescent="0.25">
      <c r="A767" s="4"/>
      <c r="B767" s="28" t="str">
        <f>IF(ISNUMBER(MATCH(D767, Mgt_Unit!$C$5:$C$1018, 0)), INDEX(Mgt_Unit!$B$5:$B$1018, MATCH(D767, Mgt_Unit!$C$5:$C$1018, 0)), "")</f>
        <v/>
      </c>
      <c r="C767" s="28"/>
      <c r="D767" s="9"/>
      <c r="E767" s="45"/>
      <c r="F767" s="9"/>
      <c r="G767" s="9"/>
      <c r="H767" s="50"/>
      <c r="I767" s="9"/>
      <c r="J767" s="9"/>
      <c r="K767" s="9"/>
      <c r="L767" s="9"/>
      <c r="M767" s="9"/>
      <c r="N767" s="9"/>
      <c r="O767" s="9"/>
      <c r="P767" s="9"/>
    </row>
    <row r="768" spans="1:16" x14ac:dyDescent="0.25">
      <c r="A768" s="4"/>
      <c r="B768" s="28" t="str">
        <f>IF(ISNUMBER(MATCH(D768, Mgt_Unit!$C$5:$C$1018, 0)), INDEX(Mgt_Unit!$B$5:$B$1018, MATCH(D768, Mgt_Unit!$C$5:$C$1018, 0)), "")</f>
        <v/>
      </c>
      <c r="C768" s="28"/>
      <c r="D768" s="9"/>
      <c r="E768" s="45"/>
      <c r="F768" s="9"/>
      <c r="G768" s="9"/>
      <c r="H768" s="50"/>
      <c r="I768" s="9"/>
      <c r="J768" s="9"/>
      <c r="K768" s="9"/>
      <c r="L768" s="9"/>
      <c r="M768" s="9"/>
      <c r="N768" s="9"/>
      <c r="O768" s="9"/>
      <c r="P768" s="9"/>
    </row>
    <row r="769" spans="1:16" x14ac:dyDescent="0.25">
      <c r="A769" s="4"/>
      <c r="B769" s="28" t="str">
        <f>IF(ISNUMBER(MATCH(D769, Mgt_Unit!$C$5:$C$1018, 0)), INDEX(Mgt_Unit!$B$5:$B$1018, MATCH(D769, Mgt_Unit!$C$5:$C$1018, 0)), "")</f>
        <v/>
      </c>
      <c r="C769" s="28"/>
      <c r="D769" s="9"/>
      <c r="E769" s="45"/>
      <c r="F769" s="9"/>
      <c r="G769" s="9"/>
      <c r="H769" s="50"/>
      <c r="I769" s="9"/>
      <c r="J769" s="9"/>
      <c r="K769" s="9"/>
      <c r="L769" s="9"/>
      <c r="M769" s="9"/>
      <c r="N769" s="9"/>
      <c r="O769" s="9"/>
      <c r="P769" s="9"/>
    </row>
    <row r="770" spans="1:16" x14ac:dyDescent="0.25">
      <c r="A770" s="4"/>
      <c r="B770" s="28" t="str">
        <f>IF(ISNUMBER(MATCH(D770, Mgt_Unit!$C$5:$C$1018, 0)), INDEX(Mgt_Unit!$B$5:$B$1018, MATCH(D770, Mgt_Unit!$C$5:$C$1018, 0)), "")</f>
        <v/>
      </c>
      <c r="C770" s="28"/>
      <c r="D770" s="9"/>
      <c r="E770" s="45"/>
      <c r="F770" s="9"/>
      <c r="G770" s="9"/>
      <c r="H770" s="50"/>
      <c r="I770" s="9"/>
      <c r="J770" s="9"/>
      <c r="K770" s="9"/>
      <c r="L770" s="9"/>
      <c r="M770" s="9"/>
      <c r="N770" s="9"/>
      <c r="O770" s="9"/>
      <c r="P770" s="9"/>
    </row>
    <row r="771" spans="1:16" x14ac:dyDescent="0.25">
      <c r="A771" s="4"/>
      <c r="B771" s="28" t="str">
        <f>IF(ISNUMBER(MATCH(D771, Mgt_Unit!$C$5:$C$1018, 0)), INDEX(Mgt_Unit!$B$5:$B$1018, MATCH(D771, Mgt_Unit!$C$5:$C$1018, 0)), "")</f>
        <v/>
      </c>
      <c r="C771" s="28"/>
      <c r="D771" s="9"/>
      <c r="E771" s="45"/>
      <c r="F771" s="9"/>
      <c r="G771" s="9"/>
      <c r="H771" s="50"/>
      <c r="I771" s="9"/>
      <c r="J771" s="9"/>
      <c r="K771" s="9"/>
      <c r="L771" s="9"/>
      <c r="M771" s="9"/>
      <c r="N771" s="9"/>
      <c r="O771" s="9"/>
      <c r="P771" s="9"/>
    </row>
    <row r="772" spans="1:16" x14ac:dyDescent="0.25">
      <c r="A772" s="4"/>
      <c r="B772" s="28" t="str">
        <f>IF(ISNUMBER(MATCH(D772, Mgt_Unit!$C$5:$C$1018, 0)), INDEX(Mgt_Unit!$B$5:$B$1018, MATCH(D772, Mgt_Unit!$C$5:$C$1018, 0)), "")</f>
        <v/>
      </c>
      <c r="C772" s="28"/>
      <c r="D772" s="9"/>
      <c r="E772" s="45"/>
      <c r="F772" s="9"/>
      <c r="G772" s="9"/>
      <c r="H772" s="50"/>
      <c r="I772" s="9"/>
      <c r="J772" s="9"/>
      <c r="K772" s="9"/>
      <c r="L772" s="9"/>
      <c r="M772" s="9"/>
      <c r="N772" s="9"/>
      <c r="O772" s="9"/>
      <c r="P772" s="9"/>
    </row>
    <row r="773" spans="1:16" x14ac:dyDescent="0.25">
      <c r="A773" s="4"/>
      <c r="B773" s="28" t="str">
        <f>IF(ISNUMBER(MATCH(D773, Mgt_Unit!$C$5:$C$1018, 0)), INDEX(Mgt_Unit!$B$5:$B$1018, MATCH(D773, Mgt_Unit!$C$5:$C$1018, 0)), "")</f>
        <v/>
      </c>
      <c r="C773" s="28"/>
      <c r="D773" s="9"/>
      <c r="E773" s="45"/>
      <c r="F773" s="9"/>
      <c r="G773" s="9"/>
      <c r="H773" s="50"/>
      <c r="I773" s="9"/>
      <c r="J773" s="9"/>
      <c r="K773" s="9"/>
      <c r="L773" s="9"/>
      <c r="M773" s="9"/>
      <c r="N773" s="9"/>
      <c r="O773" s="9"/>
      <c r="P773" s="9"/>
    </row>
    <row r="774" spans="1:16" x14ac:dyDescent="0.25">
      <c r="A774" s="4"/>
      <c r="B774" s="28" t="str">
        <f>IF(ISNUMBER(MATCH(D774, Mgt_Unit!$C$5:$C$1018, 0)), INDEX(Mgt_Unit!$B$5:$B$1018, MATCH(D774, Mgt_Unit!$C$5:$C$1018, 0)), "")</f>
        <v/>
      </c>
      <c r="C774" s="28"/>
      <c r="D774" s="9"/>
      <c r="E774" s="45"/>
      <c r="F774" s="9"/>
      <c r="G774" s="9"/>
      <c r="H774" s="50"/>
      <c r="I774" s="9"/>
      <c r="J774" s="9"/>
      <c r="K774" s="9"/>
      <c r="L774" s="9"/>
      <c r="M774" s="9"/>
      <c r="N774" s="9"/>
      <c r="O774" s="9"/>
      <c r="P774" s="9"/>
    </row>
    <row r="775" spans="1:16" x14ac:dyDescent="0.25">
      <c r="A775" s="4"/>
      <c r="B775" s="28" t="str">
        <f>IF(ISNUMBER(MATCH(D775, Mgt_Unit!$C$5:$C$1018, 0)), INDEX(Mgt_Unit!$B$5:$B$1018, MATCH(D775, Mgt_Unit!$C$5:$C$1018, 0)), "")</f>
        <v/>
      </c>
      <c r="C775" s="28"/>
      <c r="D775" s="9"/>
      <c r="E775" s="45"/>
      <c r="F775" s="9"/>
      <c r="G775" s="9"/>
      <c r="H775" s="50"/>
      <c r="I775" s="9"/>
      <c r="J775" s="9"/>
      <c r="K775" s="9"/>
      <c r="L775" s="9"/>
      <c r="M775" s="9"/>
      <c r="N775" s="9"/>
      <c r="O775" s="9"/>
      <c r="P775" s="9"/>
    </row>
    <row r="776" spans="1:16" x14ac:dyDescent="0.25">
      <c r="A776" s="4"/>
      <c r="B776" s="28" t="str">
        <f>IF(ISNUMBER(MATCH(D776, Mgt_Unit!$C$5:$C$1018, 0)), INDEX(Mgt_Unit!$B$5:$B$1018, MATCH(D776, Mgt_Unit!$C$5:$C$1018, 0)), "")</f>
        <v/>
      </c>
      <c r="C776" s="28"/>
      <c r="D776" s="9"/>
      <c r="E776" s="45"/>
      <c r="F776" s="9"/>
      <c r="G776" s="9"/>
      <c r="H776" s="50"/>
      <c r="I776" s="9"/>
      <c r="J776" s="9"/>
      <c r="K776" s="9"/>
      <c r="L776" s="9"/>
      <c r="M776" s="9"/>
      <c r="N776" s="9"/>
      <c r="O776" s="9"/>
      <c r="P776" s="9"/>
    </row>
    <row r="777" spans="1:16" x14ac:dyDescent="0.25">
      <c r="A777" s="4"/>
      <c r="B777" s="28" t="str">
        <f>IF(ISNUMBER(MATCH(D777, Mgt_Unit!$C$5:$C$1018, 0)), INDEX(Mgt_Unit!$B$5:$B$1018, MATCH(D777, Mgt_Unit!$C$5:$C$1018, 0)), "")</f>
        <v/>
      </c>
      <c r="C777" s="28"/>
      <c r="D777" s="9"/>
      <c r="E777" s="45"/>
      <c r="F777" s="9"/>
      <c r="G777" s="9"/>
      <c r="H777" s="50"/>
      <c r="I777" s="9"/>
      <c r="J777" s="9"/>
      <c r="K777" s="9"/>
      <c r="L777" s="9"/>
      <c r="M777" s="9"/>
      <c r="N777" s="9"/>
      <c r="O777" s="9"/>
      <c r="P777" s="9"/>
    </row>
    <row r="778" spans="1:16" x14ac:dyDescent="0.25">
      <c r="A778" s="4"/>
      <c r="B778" s="28" t="str">
        <f>IF(ISNUMBER(MATCH(D778, Mgt_Unit!$C$5:$C$1018, 0)), INDEX(Mgt_Unit!$B$5:$B$1018, MATCH(D778, Mgt_Unit!$C$5:$C$1018, 0)), "")</f>
        <v/>
      </c>
      <c r="C778" s="28"/>
      <c r="D778" s="9"/>
      <c r="E778" s="45"/>
      <c r="F778" s="9"/>
      <c r="G778" s="9"/>
      <c r="H778" s="50"/>
      <c r="I778" s="9"/>
      <c r="J778" s="9"/>
      <c r="K778" s="9"/>
      <c r="L778" s="9"/>
      <c r="M778" s="9"/>
      <c r="N778" s="9"/>
      <c r="O778" s="9"/>
      <c r="P778" s="9"/>
    </row>
    <row r="779" spans="1:16" x14ac:dyDescent="0.25">
      <c r="A779" s="4"/>
      <c r="B779" s="28" t="str">
        <f>IF(ISNUMBER(MATCH(D779, Mgt_Unit!$C$5:$C$1018, 0)), INDEX(Mgt_Unit!$B$5:$B$1018, MATCH(D779, Mgt_Unit!$C$5:$C$1018, 0)), "")</f>
        <v/>
      </c>
      <c r="C779" s="28"/>
      <c r="D779" s="9"/>
      <c r="E779" s="45"/>
      <c r="F779" s="9"/>
      <c r="G779" s="9"/>
      <c r="H779" s="50"/>
      <c r="I779" s="9"/>
      <c r="J779" s="9"/>
      <c r="K779" s="9"/>
      <c r="L779" s="9"/>
      <c r="M779" s="9"/>
      <c r="N779" s="9"/>
      <c r="O779" s="9"/>
      <c r="P779" s="9"/>
    </row>
    <row r="780" spans="1:16" x14ac:dyDescent="0.25">
      <c r="A780" s="4"/>
      <c r="B780" s="28" t="str">
        <f>IF(ISNUMBER(MATCH(D780, Mgt_Unit!$C$5:$C$1018, 0)), INDEX(Mgt_Unit!$B$5:$B$1018, MATCH(D780, Mgt_Unit!$C$5:$C$1018, 0)), "")</f>
        <v/>
      </c>
      <c r="C780" s="28"/>
      <c r="D780" s="9"/>
      <c r="E780" s="45"/>
      <c r="F780" s="9"/>
      <c r="G780" s="9"/>
      <c r="H780" s="50"/>
      <c r="I780" s="9"/>
      <c r="J780" s="9"/>
      <c r="K780" s="9"/>
      <c r="L780" s="9"/>
      <c r="M780" s="9"/>
      <c r="N780" s="9"/>
      <c r="O780" s="9"/>
      <c r="P780" s="9"/>
    </row>
    <row r="781" spans="1:16" x14ac:dyDescent="0.25">
      <c r="A781" s="4"/>
      <c r="B781" s="28" t="str">
        <f>IF(ISNUMBER(MATCH(D781, Mgt_Unit!$C$5:$C$1018, 0)), INDEX(Mgt_Unit!$B$5:$B$1018, MATCH(D781, Mgt_Unit!$C$5:$C$1018, 0)), "")</f>
        <v/>
      </c>
      <c r="C781" s="28"/>
      <c r="D781" s="9"/>
      <c r="E781" s="45"/>
      <c r="F781" s="9"/>
      <c r="G781" s="9"/>
      <c r="H781" s="50"/>
      <c r="I781" s="9"/>
      <c r="J781" s="9"/>
      <c r="K781" s="9"/>
      <c r="L781" s="9"/>
      <c r="M781" s="9"/>
      <c r="N781" s="9"/>
      <c r="O781" s="9"/>
      <c r="P781" s="9"/>
    </row>
    <row r="782" spans="1:16" x14ac:dyDescent="0.25">
      <c r="A782" s="4"/>
      <c r="B782" s="28" t="str">
        <f>IF(ISNUMBER(MATCH(D782, Mgt_Unit!$C$5:$C$1018, 0)), INDEX(Mgt_Unit!$B$5:$B$1018, MATCH(D782, Mgt_Unit!$C$5:$C$1018, 0)), "")</f>
        <v/>
      </c>
      <c r="C782" s="28"/>
      <c r="D782" s="9"/>
      <c r="E782" s="45"/>
      <c r="F782" s="9"/>
      <c r="G782" s="9"/>
      <c r="H782" s="50"/>
      <c r="I782" s="9"/>
      <c r="J782" s="9"/>
      <c r="K782" s="9"/>
      <c r="L782" s="9"/>
      <c r="M782" s="9"/>
      <c r="N782" s="9"/>
      <c r="O782" s="9"/>
      <c r="P782" s="9"/>
    </row>
    <row r="783" spans="1:16" x14ac:dyDescent="0.25">
      <c r="A783" s="4"/>
      <c r="B783" s="28" t="str">
        <f>IF(ISNUMBER(MATCH(D783, Mgt_Unit!$C$5:$C$1018, 0)), INDEX(Mgt_Unit!$B$5:$B$1018, MATCH(D783, Mgt_Unit!$C$5:$C$1018, 0)), "")</f>
        <v/>
      </c>
      <c r="C783" s="28"/>
      <c r="D783" s="9"/>
      <c r="E783" s="45"/>
      <c r="F783" s="9"/>
      <c r="G783" s="9"/>
      <c r="H783" s="50"/>
      <c r="I783" s="9"/>
      <c r="J783" s="9"/>
      <c r="K783" s="9"/>
      <c r="L783" s="9"/>
      <c r="M783" s="9"/>
      <c r="N783" s="9"/>
      <c r="O783" s="9"/>
      <c r="P783" s="9"/>
    </row>
    <row r="784" spans="1:16" x14ac:dyDescent="0.25">
      <c r="A784" s="4"/>
      <c r="B784" s="28" t="str">
        <f>IF(ISNUMBER(MATCH(D784, Mgt_Unit!$C$5:$C$1018, 0)), INDEX(Mgt_Unit!$B$5:$B$1018, MATCH(D784, Mgt_Unit!$C$5:$C$1018, 0)), "")</f>
        <v/>
      </c>
      <c r="C784" s="28"/>
      <c r="D784" s="9"/>
      <c r="E784" s="45"/>
      <c r="F784" s="9"/>
      <c r="G784" s="9"/>
      <c r="H784" s="50"/>
      <c r="I784" s="9"/>
      <c r="J784" s="9"/>
      <c r="K784" s="9"/>
      <c r="L784" s="9"/>
      <c r="M784" s="9"/>
      <c r="N784" s="9"/>
      <c r="O784" s="9"/>
      <c r="P784" s="9"/>
    </row>
    <row r="785" spans="1:16" x14ac:dyDescent="0.25">
      <c r="A785" s="4"/>
      <c r="B785" s="28" t="str">
        <f>IF(ISNUMBER(MATCH(D785, Mgt_Unit!$C$5:$C$1018, 0)), INDEX(Mgt_Unit!$B$5:$B$1018, MATCH(D785, Mgt_Unit!$C$5:$C$1018, 0)), "")</f>
        <v/>
      </c>
      <c r="C785" s="28"/>
      <c r="D785" s="9"/>
      <c r="E785" s="45"/>
      <c r="F785" s="9"/>
      <c r="G785" s="9"/>
      <c r="H785" s="50"/>
      <c r="I785" s="9"/>
      <c r="J785" s="9"/>
      <c r="K785" s="9"/>
      <c r="L785" s="9"/>
      <c r="M785" s="9"/>
      <c r="N785" s="9"/>
      <c r="O785" s="9"/>
      <c r="P785" s="9"/>
    </row>
    <row r="786" spans="1:16" x14ac:dyDescent="0.25">
      <c r="A786" s="4"/>
      <c r="B786" s="28" t="str">
        <f>IF(ISNUMBER(MATCH(D786, Mgt_Unit!$C$5:$C$1018, 0)), INDEX(Mgt_Unit!$B$5:$B$1018, MATCH(D786, Mgt_Unit!$C$5:$C$1018, 0)), "")</f>
        <v/>
      </c>
      <c r="C786" s="28"/>
      <c r="D786" s="9"/>
      <c r="E786" s="45"/>
      <c r="F786" s="9"/>
      <c r="G786" s="9"/>
      <c r="H786" s="50"/>
      <c r="I786" s="9"/>
      <c r="J786" s="9"/>
      <c r="K786" s="9"/>
      <c r="L786" s="9"/>
      <c r="M786" s="9"/>
      <c r="N786" s="9"/>
      <c r="O786" s="9"/>
      <c r="P786" s="9"/>
    </row>
    <row r="787" spans="1:16" x14ac:dyDescent="0.25">
      <c r="A787" s="4"/>
      <c r="B787" s="28" t="str">
        <f>IF(ISNUMBER(MATCH(D787, Mgt_Unit!$C$5:$C$1018, 0)), INDEX(Mgt_Unit!$B$5:$B$1018, MATCH(D787, Mgt_Unit!$C$5:$C$1018, 0)), "")</f>
        <v/>
      </c>
      <c r="C787" s="28"/>
      <c r="D787" s="9"/>
      <c r="E787" s="45"/>
      <c r="F787" s="9"/>
      <c r="G787" s="9"/>
      <c r="H787" s="50"/>
      <c r="I787" s="9"/>
      <c r="J787" s="9"/>
      <c r="K787" s="9"/>
      <c r="L787" s="9"/>
      <c r="M787" s="9"/>
      <c r="N787" s="9"/>
      <c r="O787" s="9"/>
      <c r="P787" s="9"/>
    </row>
    <row r="788" spans="1:16" x14ac:dyDescent="0.25">
      <c r="A788" s="4"/>
      <c r="B788" s="28" t="str">
        <f>IF(ISNUMBER(MATCH(D788, Mgt_Unit!$C$5:$C$1018, 0)), INDEX(Mgt_Unit!$B$5:$B$1018, MATCH(D788, Mgt_Unit!$C$5:$C$1018, 0)), "")</f>
        <v/>
      </c>
      <c r="C788" s="28"/>
      <c r="D788" s="9"/>
      <c r="E788" s="45"/>
      <c r="F788" s="9"/>
      <c r="G788" s="9"/>
      <c r="H788" s="50"/>
      <c r="I788" s="9"/>
      <c r="J788" s="9"/>
      <c r="K788" s="9"/>
      <c r="L788" s="9"/>
      <c r="M788" s="9"/>
      <c r="N788" s="9"/>
      <c r="O788" s="9"/>
      <c r="P788" s="9"/>
    </row>
    <row r="789" spans="1:16" x14ac:dyDescent="0.25">
      <c r="A789" s="4"/>
      <c r="B789" s="28" t="str">
        <f>IF(ISNUMBER(MATCH(D789, Mgt_Unit!$C$5:$C$1018, 0)), INDEX(Mgt_Unit!$B$5:$B$1018, MATCH(D789, Mgt_Unit!$C$5:$C$1018, 0)), "")</f>
        <v/>
      </c>
      <c r="C789" s="28"/>
      <c r="D789" s="9"/>
      <c r="E789" s="45"/>
      <c r="F789" s="9"/>
      <c r="G789" s="9"/>
      <c r="H789" s="50"/>
      <c r="I789" s="9"/>
      <c r="J789" s="9"/>
      <c r="K789" s="9"/>
      <c r="L789" s="9"/>
      <c r="M789" s="9"/>
      <c r="N789" s="9"/>
      <c r="O789" s="9"/>
      <c r="P789" s="9"/>
    </row>
    <row r="790" spans="1:16" x14ac:dyDescent="0.25">
      <c r="A790" s="4"/>
      <c r="B790" s="28" t="str">
        <f>IF(ISNUMBER(MATCH(D790, Mgt_Unit!$C$5:$C$1018, 0)), INDEX(Mgt_Unit!$B$5:$B$1018, MATCH(D790, Mgt_Unit!$C$5:$C$1018, 0)), "")</f>
        <v/>
      </c>
      <c r="C790" s="28"/>
      <c r="D790" s="9"/>
      <c r="E790" s="45"/>
      <c r="F790" s="9"/>
      <c r="G790" s="9"/>
      <c r="H790" s="50"/>
      <c r="I790" s="9"/>
      <c r="J790" s="9"/>
      <c r="K790" s="9"/>
      <c r="L790" s="9"/>
      <c r="M790" s="9"/>
      <c r="N790" s="9"/>
      <c r="O790" s="9"/>
      <c r="P790" s="9"/>
    </row>
    <row r="791" spans="1:16" x14ac:dyDescent="0.25">
      <c r="A791" s="4"/>
      <c r="B791" s="28" t="str">
        <f>IF(ISNUMBER(MATCH(D791, Mgt_Unit!$C$5:$C$1018, 0)), INDEX(Mgt_Unit!$B$5:$B$1018, MATCH(D791, Mgt_Unit!$C$5:$C$1018, 0)), "")</f>
        <v/>
      </c>
      <c r="C791" s="28"/>
      <c r="D791" s="9"/>
      <c r="E791" s="45"/>
      <c r="F791" s="9"/>
      <c r="G791" s="9"/>
      <c r="H791" s="50"/>
      <c r="I791" s="9"/>
      <c r="J791" s="9"/>
      <c r="K791" s="9"/>
      <c r="L791" s="9"/>
      <c r="M791" s="9"/>
      <c r="N791" s="9"/>
      <c r="O791" s="9"/>
      <c r="P791" s="9"/>
    </row>
    <row r="792" spans="1:16" x14ac:dyDescent="0.25">
      <c r="A792" s="4"/>
      <c r="B792" s="28" t="str">
        <f>IF(ISNUMBER(MATCH(D792, Mgt_Unit!$C$5:$C$1018, 0)), INDEX(Mgt_Unit!$B$5:$B$1018, MATCH(D792, Mgt_Unit!$C$5:$C$1018, 0)), "")</f>
        <v/>
      </c>
      <c r="C792" s="28"/>
      <c r="D792" s="9"/>
      <c r="E792" s="45"/>
      <c r="F792" s="9"/>
      <c r="G792" s="9"/>
      <c r="H792" s="50"/>
      <c r="I792" s="9"/>
      <c r="J792" s="9"/>
      <c r="K792" s="9"/>
      <c r="L792" s="9"/>
      <c r="M792" s="9"/>
      <c r="N792" s="9"/>
      <c r="O792" s="9"/>
      <c r="P792" s="9"/>
    </row>
    <row r="793" spans="1:16" x14ac:dyDescent="0.25">
      <c r="A793" s="4"/>
      <c r="B793" s="28" t="str">
        <f>IF(ISNUMBER(MATCH(D793, Mgt_Unit!$C$5:$C$1018, 0)), INDEX(Mgt_Unit!$B$5:$B$1018, MATCH(D793, Mgt_Unit!$C$5:$C$1018, 0)), "")</f>
        <v/>
      </c>
      <c r="C793" s="28"/>
      <c r="D793" s="9"/>
      <c r="E793" s="45"/>
      <c r="F793" s="9"/>
      <c r="G793" s="9"/>
      <c r="H793" s="50"/>
      <c r="I793" s="9"/>
      <c r="J793" s="9"/>
      <c r="K793" s="9"/>
      <c r="L793" s="9"/>
      <c r="M793" s="9"/>
      <c r="N793" s="9"/>
      <c r="O793" s="9"/>
      <c r="P793" s="9"/>
    </row>
    <row r="794" spans="1:16" x14ac:dyDescent="0.25">
      <c r="A794" s="4"/>
      <c r="B794" s="28" t="str">
        <f>IF(ISNUMBER(MATCH(D794, Mgt_Unit!$C$5:$C$1018, 0)), INDEX(Mgt_Unit!$B$5:$B$1018, MATCH(D794, Mgt_Unit!$C$5:$C$1018, 0)), "")</f>
        <v/>
      </c>
      <c r="C794" s="28"/>
      <c r="D794" s="9"/>
      <c r="E794" s="45"/>
      <c r="F794" s="9"/>
      <c r="G794" s="9"/>
      <c r="H794" s="50"/>
      <c r="I794" s="9"/>
      <c r="J794" s="9"/>
      <c r="K794" s="9"/>
      <c r="L794" s="9"/>
      <c r="M794" s="9"/>
      <c r="N794" s="9"/>
      <c r="O794" s="9"/>
      <c r="P794" s="9"/>
    </row>
    <row r="795" spans="1:16" x14ac:dyDescent="0.25">
      <c r="A795" s="4"/>
      <c r="B795" s="28" t="str">
        <f>IF(ISNUMBER(MATCH(D795, Mgt_Unit!$C$5:$C$1018, 0)), INDEX(Mgt_Unit!$B$5:$B$1018, MATCH(D795, Mgt_Unit!$C$5:$C$1018, 0)), "")</f>
        <v/>
      </c>
      <c r="C795" s="28"/>
      <c r="D795" s="9"/>
      <c r="E795" s="45"/>
      <c r="F795" s="9"/>
      <c r="G795" s="9"/>
      <c r="H795" s="50"/>
      <c r="I795" s="9"/>
      <c r="J795" s="9"/>
      <c r="K795" s="9"/>
      <c r="L795" s="9"/>
      <c r="M795" s="9"/>
      <c r="N795" s="9"/>
      <c r="O795" s="9"/>
      <c r="P795" s="9"/>
    </row>
    <row r="796" spans="1:16" x14ac:dyDescent="0.25">
      <c r="A796" s="4"/>
      <c r="B796" s="28" t="str">
        <f>IF(ISNUMBER(MATCH(D796, Mgt_Unit!$C$5:$C$1018, 0)), INDEX(Mgt_Unit!$B$5:$B$1018, MATCH(D796, Mgt_Unit!$C$5:$C$1018, 0)), "")</f>
        <v/>
      </c>
      <c r="C796" s="28"/>
      <c r="D796" s="9"/>
      <c r="E796" s="45"/>
      <c r="F796" s="9"/>
      <c r="G796" s="9"/>
      <c r="H796" s="50"/>
      <c r="I796" s="9"/>
      <c r="J796" s="9"/>
      <c r="K796" s="9"/>
      <c r="L796" s="9"/>
      <c r="M796" s="9"/>
      <c r="N796" s="9"/>
      <c r="O796" s="9"/>
      <c r="P796" s="9"/>
    </row>
    <row r="797" spans="1:16" x14ac:dyDescent="0.25">
      <c r="A797" s="4"/>
      <c r="B797" s="28" t="str">
        <f>IF(ISNUMBER(MATCH(D797, Mgt_Unit!$C$5:$C$1018, 0)), INDEX(Mgt_Unit!$B$5:$B$1018, MATCH(D797, Mgt_Unit!$C$5:$C$1018, 0)), "")</f>
        <v/>
      </c>
      <c r="C797" s="28"/>
      <c r="D797" s="9"/>
      <c r="E797" s="45"/>
      <c r="F797" s="9"/>
      <c r="G797" s="9"/>
      <c r="H797" s="50"/>
      <c r="I797" s="9"/>
      <c r="J797" s="9"/>
      <c r="K797" s="9"/>
      <c r="L797" s="9"/>
      <c r="M797" s="9"/>
      <c r="N797" s="9"/>
      <c r="O797" s="9"/>
      <c r="P797" s="9"/>
    </row>
    <row r="798" spans="1:16" x14ac:dyDescent="0.25">
      <c r="A798" s="4"/>
      <c r="B798" s="28" t="str">
        <f>IF(ISNUMBER(MATCH(D798, Mgt_Unit!$C$5:$C$1018, 0)), INDEX(Mgt_Unit!$B$5:$B$1018, MATCH(D798, Mgt_Unit!$C$5:$C$1018, 0)), "")</f>
        <v/>
      </c>
      <c r="C798" s="28"/>
      <c r="D798" s="9"/>
      <c r="E798" s="45"/>
      <c r="F798" s="9"/>
      <c r="G798" s="9"/>
      <c r="H798" s="50"/>
      <c r="I798" s="9"/>
      <c r="J798" s="9"/>
      <c r="K798" s="9"/>
      <c r="L798" s="9"/>
      <c r="M798" s="9"/>
      <c r="N798" s="9"/>
      <c r="O798" s="9"/>
      <c r="P798" s="9"/>
    </row>
    <row r="799" spans="1:16" x14ac:dyDescent="0.25">
      <c r="A799" s="4"/>
      <c r="B799" s="28" t="str">
        <f>IF(ISNUMBER(MATCH(D799, Mgt_Unit!$C$5:$C$1018, 0)), INDEX(Mgt_Unit!$B$5:$B$1018, MATCH(D799, Mgt_Unit!$C$5:$C$1018, 0)), "")</f>
        <v/>
      </c>
      <c r="C799" s="28"/>
      <c r="D799" s="9"/>
      <c r="E799" s="45"/>
      <c r="F799" s="9"/>
      <c r="G799" s="9"/>
      <c r="H799" s="50"/>
      <c r="I799" s="9"/>
      <c r="J799" s="9"/>
      <c r="K799" s="9"/>
      <c r="L799" s="9"/>
      <c r="M799" s="9"/>
      <c r="N799" s="9"/>
      <c r="O799" s="9"/>
      <c r="P799" s="9"/>
    </row>
    <row r="800" spans="1:16" x14ac:dyDescent="0.25">
      <c r="A800" s="4"/>
      <c r="B800" s="28" t="str">
        <f>IF(ISNUMBER(MATCH(D800, Mgt_Unit!$C$5:$C$1018, 0)), INDEX(Mgt_Unit!$B$5:$B$1018, MATCH(D800, Mgt_Unit!$C$5:$C$1018, 0)), "")</f>
        <v/>
      </c>
      <c r="C800" s="28"/>
      <c r="D800" s="9"/>
      <c r="E800" s="45"/>
      <c r="F800" s="9"/>
      <c r="G800" s="9"/>
      <c r="H800" s="50"/>
      <c r="I800" s="9"/>
      <c r="J800" s="9"/>
      <c r="K800" s="9"/>
      <c r="L800" s="9"/>
      <c r="M800" s="9"/>
      <c r="N800" s="9"/>
      <c r="O800" s="9"/>
      <c r="P800" s="9"/>
    </row>
    <row r="801" spans="1:16" x14ac:dyDescent="0.25">
      <c r="A801" s="4"/>
      <c r="B801" s="28" t="str">
        <f>IF(ISNUMBER(MATCH(D801, Mgt_Unit!$C$5:$C$1018, 0)), INDEX(Mgt_Unit!$B$5:$B$1018, MATCH(D801, Mgt_Unit!$C$5:$C$1018, 0)), "")</f>
        <v/>
      </c>
      <c r="C801" s="28"/>
      <c r="D801" s="9"/>
      <c r="E801" s="45"/>
      <c r="F801" s="9"/>
      <c r="G801" s="9"/>
      <c r="H801" s="50"/>
      <c r="I801" s="9"/>
      <c r="J801" s="9"/>
      <c r="K801" s="9"/>
      <c r="L801" s="9"/>
      <c r="M801" s="9"/>
      <c r="N801" s="9"/>
      <c r="O801" s="9"/>
      <c r="P801" s="9"/>
    </row>
    <row r="802" spans="1:16" x14ac:dyDescent="0.25">
      <c r="A802" s="4"/>
      <c r="B802" s="28" t="str">
        <f>IF(ISNUMBER(MATCH(D802, Mgt_Unit!$C$5:$C$1018, 0)), INDEX(Mgt_Unit!$B$5:$B$1018, MATCH(D802, Mgt_Unit!$C$5:$C$1018, 0)), "")</f>
        <v/>
      </c>
      <c r="C802" s="28"/>
      <c r="D802" s="9"/>
      <c r="E802" s="45"/>
      <c r="F802" s="9"/>
      <c r="G802" s="9"/>
      <c r="H802" s="50"/>
      <c r="I802" s="9"/>
      <c r="J802" s="9"/>
      <c r="K802" s="9"/>
      <c r="L802" s="9"/>
      <c r="M802" s="9"/>
      <c r="N802" s="9"/>
      <c r="O802" s="9"/>
      <c r="P802" s="9"/>
    </row>
    <row r="803" spans="1:16" x14ac:dyDescent="0.25">
      <c r="A803" s="4"/>
      <c r="B803" s="28" t="str">
        <f>IF(ISNUMBER(MATCH(D803, Mgt_Unit!$C$5:$C$1018, 0)), INDEX(Mgt_Unit!$B$5:$B$1018, MATCH(D803, Mgt_Unit!$C$5:$C$1018, 0)), "")</f>
        <v/>
      </c>
      <c r="C803" s="28"/>
      <c r="D803" s="9"/>
      <c r="E803" s="45"/>
      <c r="F803" s="9"/>
      <c r="G803" s="9"/>
      <c r="H803" s="50"/>
      <c r="I803" s="9"/>
      <c r="J803" s="9"/>
      <c r="K803" s="9"/>
      <c r="L803" s="9"/>
      <c r="M803" s="9"/>
      <c r="N803" s="9"/>
      <c r="O803" s="9"/>
      <c r="P803" s="9"/>
    </row>
    <row r="804" spans="1:16" x14ac:dyDescent="0.25">
      <c r="A804" s="4"/>
      <c r="B804" s="28" t="str">
        <f>IF(ISNUMBER(MATCH(D804, Mgt_Unit!$C$5:$C$1018, 0)), INDEX(Mgt_Unit!$B$5:$B$1018, MATCH(D804, Mgt_Unit!$C$5:$C$1018, 0)), "")</f>
        <v/>
      </c>
      <c r="C804" s="28"/>
      <c r="D804" s="9"/>
      <c r="E804" s="45"/>
      <c r="F804" s="9"/>
      <c r="G804" s="9"/>
      <c r="H804" s="50"/>
      <c r="I804" s="9"/>
      <c r="J804" s="9"/>
      <c r="K804" s="9"/>
      <c r="L804" s="9"/>
      <c r="M804" s="9"/>
      <c r="N804" s="9"/>
      <c r="O804" s="9"/>
      <c r="P804" s="9"/>
    </row>
    <row r="805" spans="1:16" x14ac:dyDescent="0.25">
      <c r="A805" s="4"/>
      <c r="B805" s="28" t="str">
        <f>IF(ISNUMBER(MATCH(D805, Mgt_Unit!$C$5:$C$1018, 0)), INDEX(Mgt_Unit!$B$5:$B$1018, MATCH(D805, Mgt_Unit!$C$5:$C$1018, 0)), "")</f>
        <v/>
      </c>
      <c r="C805" s="28"/>
      <c r="D805" s="9"/>
      <c r="E805" s="45"/>
      <c r="F805" s="9"/>
      <c r="G805" s="9"/>
      <c r="H805" s="50"/>
      <c r="I805" s="9"/>
      <c r="J805" s="9"/>
      <c r="K805" s="9"/>
      <c r="L805" s="9"/>
      <c r="M805" s="9"/>
      <c r="N805" s="9"/>
      <c r="O805" s="9"/>
      <c r="P805" s="9"/>
    </row>
    <row r="806" spans="1:16" x14ac:dyDescent="0.25">
      <c r="A806" s="4"/>
      <c r="B806" s="28" t="str">
        <f>IF(ISNUMBER(MATCH(D806, Mgt_Unit!$C$5:$C$1018, 0)), INDEX(Mgt_Unit!$B$5:$B$1018, MATCH(D806, Mgt_Unit!$C$5:$C$1018, 0)), "")</f>
        <v/>
      </c>
      <c r="C806" s="28"/>
      <c r="D806" s="9"/>
      <c r="E806" s="45"/>
      <c r="F806" s="9"/>
      <c r="G806" s="9"/>
      <c r="H806" s="50"/>
      <c r="I806" s="9"/>
      <c r="J806" s="9"/>
      <c r="K806" s="9"/>
      <c r="L806" s="9"/>
      <c r="M806" s="9"/>
      <c r="N806" s="9"/>
      <c r="O806" s="9"/>
      <c r="P806" s="9"/>
    </row>
    <row r="807" spans="1:16" x14ac:dyDescent="0.25">
      <c r="A807" s="4"/>
      <c r="B807" s="28" t="str">
        <f>IF(ISNUMBER(MATCH(D807, Mgt_Unit!$C$5:$C$1018, 0)), INDEX(Mgt_Unit!$B$5:$B$1018, MATCH(D807, Mgt_Unit!$C$5:$C$1018, 0)), "")</f>
        <v/>
      </c>
      <c r="C807" s="28"/>
      <c r="D807" s="9"/>
      <c r="E807" s="45"/>
      <c r="F807" s="9"/>
      <c r="G807" s="9"/>
      <c r="H807" s="50"/>
      <c r="I807" s="9"/>
      <c r="J807" s="9"/>
      <c r="K807" s="9"/>
      <c r="L807" s="9"/>
      <c r="M807" s="9"/>
      <c r="N807" s="9"/>
      <c r="O807" s="9"/>
      <c r="P807" s="9"/>
    </row>
    <row r="808" spans="1:16" x14ac:dyDescent="0.25">
      <c r="A808" s="4"/>
      <c r="B808" s="28" t="str">
        <f>IF(ISNUMBER(MATCH(D808, Mgt_Unit!$C$5:$C$1018, 0)), INDEX(Mgt_Unit!$B$5:$B$1018, MATCH(D808, Mgt_Unit!$C$5:$C$1018, 0)), "")</f>
        <v/>
      </c>
      <c r="C808" s="28"/>
      <c r="D808" s="9"/>
      <c r="E808" s="45"/>
      <c r="F808" s="9"/>
      <c r="G808" s="9"/>
      <c r="H808" s="50"/>
      <c r="I808" s="9"/>
      <c r="J808" s="9"/>
      <c r="K808" s="9"/>
      <c r="L808" s="9"/>
      <c r="M808" s="9"/>
      <c r="N808" s="9"/>
      <c r="O808" s="9"/>
      <c r="P808" s="9"/>
    </row>
    <row r="809" spans="1:16" x14ac:dyDescent="0.25">
      <c r="A809" s="4"/>
      <c r="B809" s="28" t="str">
        <f>IF(ISNUMBER(MATCH(D809, Mgt_Unit!$C$5:$C$1018, 0)), INDEX(Mgt_Unit!$B$5:$B$1018, MATCH(D809, Mgt_Unit!$C$5:$C$1018, 0)), "")</f>
        <v/>
      </c>
      <c r="C809" s="28"/>
      <c r="D809" s="9"/>
      <c r="E809" s="45"/>
      <c r="F809" s="9"/>
      <c r="G809" s="9"/>
      <c r="H809" s="50"/>
      <c r="I809" s="9"/>
      <c r="J809" s="9"/>
      <c r="K809" s="9"/>
      <c r="L809" s="9"/>
      <c r="M809" s="9"/>
      <c r="N809" s="9"/>
      <c r="O809" s="9"/>
      <c r="P809" s="9"/>
    </row>
    <row r="810" spans="1:16" x14ac:dyDescent="0.25">
      <c r="A810" s="4"/>
      <c r="B810" s="28" t="str">
        <f>IF(ISNUMBER(MATCH(D810, Mgt_Unit!$C$5:$C$1018, 0)), INDEX(Mgt_Unit!$B$5:$B$1018, MATCH(D810, Mgt_Unit!$C$5:$C$1018, 0)), "")</f>
        <v/>
      </c>
      <c r="C810" s="28"/>
      <c r="D810" s="9"/>
      <c r="E810" s="45"/>
      <c r="F810" s="9"/>
      <c r="G810" s="9"/>
      <c r="H810" s="50"/>
      <c r="I810" s="9"/>
      <c r="J810" s="9"/>
      <c r="K810" s="9"/>
      <c r="L810" s="9"/>
      <c r="M810" s="9"/>
      <c r="N810" s="9"/>
      <c r="O810" s="9"/>
      <c r="P810" s="9"/>
    </row>
    <row r="811" spans="1:16" x14ac:dyDescent="0.25">
      <c r="A811" s="4"/>
      <c r="B811" s="28" t="str">
        <f>IF(ISNUMBER(MATCH(D811, Mgt_Unit!$C$5:$C$1018, 0)), INDEX(Mgt_Unit!$B$5:$B$1018, MATCH(D811, Mgt_Unit!$C$5:$C$1018, 0)), "")</f>
        <v/>
      </c>
      <c r="C811" s="28"/>
      <c r="D811" s="9"/>
      <c r="E811" s="45"/>
      <c r="F811" s="9"/>
      <c r="G811" s="9"/>
      <c r="H811" s="50"/>
      <c r="I811" s="9"/>
      <c r="J811" s="9"/>
      <c r="K811" s="9"/>
      <c r="L811" s="9"/>
      <c r="M811" s="9"/>
      <c r="N811" s="9"/>
      <c r="O811" s="9"/>
      <c r="P811" s="9"/>
    </row>
    <row r="812" spans="1:16" x14ac:dyDescent="0.25">
      <c r="A812" s="4"/>
      <c r="B812" s="28" t="str">
        <f>IF(ISNUMBER(MATCH(D812, Mgt_Unit!$C$5:$C$1018, 0)), INDEX(Mgt_Unit!$B$5:$B$1018, MATCH(D812, Mgt_Unit!$C$5:$C$1018, 0)), "")</f>
        <v/>
      </c>
      <c r="C812" s="28"/>
      <c r="D812" s="9"/>
      <c r="E812" s="45"/>
      <c r="F812" s="9"/>
      <c r="G812" s="9"/>
      <c r="H812" s="50"/>
      <c r="I812" s="9"/>
      <c r="J812" s="9"/>
      <c r="K812" s="9"/>
      <c r="L812" s="9"/>
      <c r="M812" s="9"/>
      <c r="N812" s="9"/>
      <c r="O812" s="9"/>
      <c r="P812" s="9"/>
    </row>
    <row r="813" spans="1:16" x14ac:dyDescent="0.25">
      <c r="A813" s="4"/>
      <c r="B813" s="28" t="str">
        <f>IF(ISNUMBER(MATCH(D813, Mgt_Unit!$C$5:$C$1018, 0)), INDEX(Mgt_Unit!$B$5:$B$1018, MATCH(D813, Mgt_Unit!$C$5:$C$1018, 0)), "")</f>
        <v/>
      </c>
      <c r="C813" s="28"/>
      <c r="D813" s="9"/>
      <c r="E813" s="45"/>
      <c r="F813" s="9"/>
      <c r="G813" s="9"/>
      <c r="H813" s="50"/>
      <c r="I813" s="9"/>
      <c r="J813" s="9"/>
      <c r="K813" s="9"/>
      <c r="L813" s="9"/>
      <c r="M813" s="9"/>
      <c r="N813" s="9"/>
      <c r="O813" s="9"/>
      <c r="P813" s="9"/>
    </row>
    <row r="814" spans="1:16" x14ac:dyDescent="0.25">
      <c r="A814" s="4"/>
      <c r="B814" s="28" t="str">
        <f>IF(ISNUMBER(MATCH(D814, Mgt_Unit!$C$5:$C$1018, 0)), INDEX(Mgt_Unit!$B$5:$B$1018, MATCH(D814, Mgt_Unit!$C$5:$C$1018, 0)), "")</f>
        <v/>
      </c>
      <c r="C814" s="28"/>
      <c r="D814" s="9"/>
      <c r="E814" s="45"/>
      <c r="F814" s="9"/>
      <c r="G814" s="9"/>
      <c r="H814" s="50"/>
      <c r="I814" s="9"/>
      <c r="J814" s="9"/>
      <c r="K814" s="9"/>
      <c r="L814" s="9"/>
      <c r="M814" s="9"/>
      <c r="N814" s="9"/>
      <c r="O814" s="9"/>
      <c r="P814" s="9"/>
    </row>
    <row r="815" spans="1:16" x14ac:dyDescent="0.25">
      <c r="A815" s="4"/>
      <c r="B815" s="28" t="str">
        <f>IF(ISNUMBER(MATCH(D815, Mgt_Unit!$C$5:$C$1018, 0)), INDEX(Mgt_Unit!$B$5:$B$1018, MATCH(D815, Mgt_Unit!$C$5:$C$1018, 0)), "")</f>
        <v/>
      </c>
      <c r="C815" s="28"/>
      <c r="D815" s="9"/>
      <c r="E815" s="45"/>
      <c r="F815" s="9"/>
      <c r="G815" s="9"/>
      <c r="H815" s="50"/>
      <c r="I815" s="9"/>
      <c r="J815" s="9"/>
      <c r="K815" s="9"/>
      <c r="L815" s="9"/>
      <c r="M815" s="9"/>
      <c r="N815" s="9"/>
      <c r="O815" s="9"/>
      <c r="P815" s="9"/>
    </row>
    <row r="816" spans="1:16" x14ac:dyDescent="0.25">
      <c r="A816" s="4"/>
      <c r="B816" s="28" t="str">
        <f>IF(ISNUMBER(MATCH(D816, Mgt_Unit!$C$5:$C$1018, 0)), INDEX(Mgt_Unit!$B$5:$B$1018, MATCH(D816, Mgt_Unit!$C$5:$C$1018, 0)), "")</f>
        <v/>
      </c>
      <c r="C816" s="28"/>
      <c r="D816" s="9"/>
      <c r="E816" s="45"/>
      <c r="F816" s="9"/>
      <c r="G816" s="9"/>
      <c r="H816" s="50"/>
      <c r="I816" s="9"/>
      <c r="J816" s="9"/>
      <c r="K816" s="9"/>
      <c r="L816" s="9"/>
      <c r="M816" s="9"/>
      <c r="N816" s="9"/>
      <c r="O816" s="9"/>
      <c r="P816" s="9"/>
    </row>
    <row r="817" spans="1:16" x14ac:dyDescent="0.25">
      <c r="A817" s="4"/>
      <c r="B817" s="28" t="str">
        <f>IF(ISNUMBER(MATCH(D817, Mgt_Unit!$C$5:$C$1018, 0)), INDEX(Mgt_Unit!$B$5:$B$1018, MATCH(D817, Mgt_Unit!$C$5:$C$1018, 0)), "")</f>
        <v/>
      </c>
      <c r="C817" s="28"/>
      <c r="D817" s="9"/>
      <c r="E817" s="45"/>
      <c r="F817" s="9"/>
      <c r="G817" s="9"/>
      <c r="H817" s="50"/>
      <c r="I817" s="9"/>
      <c r="J817" s="9"/>
      <c r="K817" s="9"/>
      <c r="L817" s="9"/>
      <c r="M817" s="9"/>
      <c r="N817" s="9"/>
      <c r="O817" s="9"/>
      <c r="P817" s="9"/>
    </row>
    <row r="818" spans="1:16" x14ac:dyDescent="0.25">
      <c r="A818" s="4"/>
      <c r="B818" s="28" t="str">
        <f>IF(ISNUMBER(MATCH(D818, Mgt_Unit!$C$5:$C$1018, 0)), INDEX(Mgt_Unit!$B$5:$B$1018, MATCH(D818, Mgt_Unit!$C$5:$C$1018, 0)), "")</f>
        <v/>
      </c>
      <c r="C818" s="28"/>
      <c r="D818" s="9"/>
      <c r="E818" s="45"/>
      <c r="F818" s="9"/>
      <c r="G818" s="9"/>
      <c r="H818" s="50"/>
      <c r="I818" s="9"/>
      <c r="J818" s="9"/>
      <c r="K818" s="9"/>
      <c r="L818" s="9"/>
      <c r="M818" s="9"/>
      <c r="N818" s="9"/>
      <c r="O818" s="9"/>
      <c r="P818" s="9"/>
    </row>
    <row r="819" spans="1:16" x14ac:dyDescent="0.25">
      <c r="A819" s="4"/>
      <c r="B819" s="28" t="str">
        <f>IF(ISNUMBER(MATCH(D819, Mgt_Unit!$C$5:$C$1018, 0)), INDEX(Mgt_Unit!$B$5:$B$1018, MATCH(D819, Mgt_Unit!$C$5:$C$1018, 0)), "")</f>
        <v/>
      </c>
      <c r="C819" s="28"/>
      <c r="D819" s="9"/>
      <c r="E819" s="45"/>
      <c r="F819" s="9"/>
      <c r="G819" s="9"/>
      <c r="H819" s="50"/>
      <c r="I819" s="9"/>
      <c r="J819" s="9"/>
      <c r="K819" s="9"/>
      <c r="L819" s="9"/>
      <c r="M819" s="9"/>
      <c r="N819" s="9"/>
      <c r="O819" s="9"/>
      <c r="P819" s="9"/>
    </row>
    <row r="820" spans="1:16" x14ac:dyDescent="0.25">
      <c r="A820" s="4"/>
      <c r="B820" s="28" t="str">
        <f>IF(ISNUMBER(MATCH(D820, Mgt_Unit!$C$5:$C$1018, 0)), INDEX(Mgt_Unit!$B$5:$B$1018, MATCH(D820, Mgt_Unit!$C$5:$C$1018, 0)), "")</f>
        <v/>
      </c>
      <c r="C820" s="28"/>
      <c r="D820" s="9"/>
      <c r="E820" s="45"/>
      <c r="F820" s="9"/>
      <c r="G820" s="9"/>
      <c r="H820" s="50"/>
      <c r="I820" s="9"/>
      <c r="J820" s="9"/>
      <c r="K820" s="9"/>
      <c r="L820" s="9"/>
      <c r="M820" s="9"/>
      <c r="N820" s="9"/>
      <c r="O820" s="9"/>
      <c r="P820" s="9"/>
    </row>
    <row r="821" spans="1:16" x14ac:dyDescent="0.25">
      <c r="A821" s="4"/>
      <c r="B821" s="28" t="str">
        <f>IF(ISNUMBER(MATCH(D821, Mgt_Unit!$C$5:$C$1018, 0)), INDEX(Mgt_Unit!$B$5:$B$1018, MATCH(D821, Mgt_Unit!$C$5:$C$1018, 0)), "")</f>
        <v/>
      </c>
      <c r="C821" s="28"/>
      <c r="D821" s="9"/>
      <c r="E821" s="45"/>
      <c r="F821" s="9"/>
      <c r="G821" s="9"/>
      <c r="H821" s="50"/>
      <c r="I821" s="9"/>
      <c r="J821" s="9"/>
      <c r="K821" s="9"/>
      <c r="L821" s="9"/>
      <c r="M821" s="9"/>
      <c r="N821" s="9"/>
      <c r="O821" s="9"/>
      <c r="P821" s="9"/>
    </row>
    <row r="822" spans="1:16" x14ac:dyDescent="0.25">
      <c r="A822" s="4"/>
      <c r="B822" s="28" t="str">
        <f>IF(ISNUMBER(MATCH(D822, Mgt_Unit!$C$5:$C$1018, 0)), INDEX(Mgt_Unit!$B$5:$B$1018, MATCH(D822, Mgt_Unit!$C$5:$C$1018, 0)), "")</f>
        <v/>
      </c>
      <c r="C822" s="28"/>
      <c r="D822" s="9"/>
      <c r="E822" s="45"/>
      <c r="F822" s="9"/>
      <c r="G822" s="9"/>
      <c r="H822" s="50"/>
      <c r="I822" s="9"/>
      <c r="J822" s="9"/>
      <c r="K822" s="9"/>
      <c r="L822" s="9"/>
      <c r="M822" s="9"/>
      <c r="N822" s="9"/>
      <c r="O822" s="9"/>
      <c r="P822" s="9"/>
    </row>
    <row r="823" spans="1:16" x14ac:dyDescent="0.25">
      <c r="A823" s="4"/>
      <c r="B823" s="28" t="str">
        <f>IF(ISNUMBER(MATCH(D823, Mgt_Unit!$C$5:$C$1018, 0)), INDEX(Mgt_Unit!$B$5:$B$1018, MATCH(D823, Mgt_Unit!$C$5:$C$1018, 0)), "")</f>
        <v/>
      </c>
      <c r="C823" s="28"/>
      <c r="D823" s="9"/>
      <c r="E823" s="45"/>
      <c r="F823" s="9"/>
      <c r="G823" s="9"/>
      <c r="H823" s="50"/>
      <c r="I823" s="9"/>
      <c r="J823" s="9"/>
      <c r="K823" s="9"/>
      <c r="L823" s="9"/>
      <c r="M823" s="9"/>
      <c r="N823" s="9"/>
      <c r="O823" s="9"/>
      <c r="P823" s="9"/>
    </row>
    <row r="824" spans="1:16" x14ac:dyDescent="0.25">
      <c r="A824" s="4"/>
      <c r="B824" s="28" t="str">
        <f>IF(ISNUMBER(MATCH(D824, Mgt_Unit!$C$5:$C$1018, 0)), INDEX(Mgt_Unit!$B$5:$B$1018, MATCH(D824, Mgt_Unit!$C$5:$C$1018, 0)), "")</f>
        <v/>
      </c>
      <c r="C824" s="28"/>
      <c r="D824" s="9"/>
      <c r="E824" s="45"/>
      <c r="F824" s="9"/>
      <c r="G824" s="9"/>
      <c r="H824" s="50"/>
      <c r="I824" s="9"/>
      <c r="J824" s="9"/>
      <c r="K824" s="9"/>
      <c r="L824" s="9"/>
      <c r="M824" s="9"/>
      <c r="N824" s="9"/>
      <c r="O824" s="9"/>
      <c r="P824" s="9"/>
    </row>
    <row r="825" spans="1:16" x14ac:dyDescent="0.25">
      <c r="A825" s="4"/>
      <c r="B825" s="28" t="str">
        <f>IF(ISNUMBER(MATCH(D825, Mgt_Unit!$C$5:$C$1018, 0)), INDEX(Mgt_Unit!$B$5:$B$1018, MATCH(D825, Mgt_Unit!$C$5:$C$1018, 0)), "")</f>
        <v/>
      </c>
      <c r="C825" s="28"/>
      <c r="D825" s="9"/>
      <c r="E825" s="45"/>
      <c r="F825" s="9"/>
      <c r="G825" s="9"/>
      <c r="H825" s="50"/>
      <c r="I825" s="9"/>
      <c r="J825" s="9"/>
      <c r="K825" s="9"/>
      <c r="L825" s="9"/>
      <c r="M825" s="9"/>
      <c r="N825" s="9"/>
      <c r="O825" s="9"/>
      <c r="P825" s="9"/>
    </row>
    <row r="826" spans="1:16" x14ac:dyDescent="0.25">
      <c r="A826" s="4"/>
      <c r="B826" s="28" t="str">
        <f>IF(ISNUMBER(MATCH(D826, Mgt_Unit!$C$5:$C$1018, 0)), INDEX(Mgt_Unit!$B$5:$B$1018, MATCH(D826, Mgt_Unit!$C$5:$C$1018, 0)), "")</f>
        <v/>
      </c>
      <c r="C826" s="28"/>
      <c r="D826" s="9"/>
      <c r="E826" s="45"/>
      <c r="F826" s="9"/>
      <c r="G826" s="9"/>
      <c r="H826" s="50"/>
      <c r="I826" s="9"/>
      <c r="J826" s="9"/>
      <c r="K826" s="9"/>
      <c r="L826" s="9"/>
      <c r="M826" s="9"/>
      <c r="N826" s="9"/>
      <c r="O826" s="9"/>
      <c r="P826" s="9"/>
    </row>
    <row r="827" spans="1:16" x14ac:dyDescent="0.25">
      <c r="A827" s="4"/>
      <c r="B827" s="28" t="str">
        <f>IF(ISNUMBER(MATCH(D827, Mgt_Unit!$C$5:$C$1018, 0)), INDEX(Mgt_Unit!$B$5:$B$1018, MATCH(D827, Mgt_Unit!$C$5:$C$1018, 0)), "")</f>
        <v/>
      </c>
      <c r="C827" s="28"/>
      <c r="D827" s="9"/>
      <c r="E827" s="45"/>
      <c r="F827" s="9"/>
      <c r="G827" s="9"/>
      <c r="H827" s="50"/>
      <c r="I827" s="9"/>
      <c r="J827" s="9"/>
      <c r="K827" s="9"/>
      <c r="L827" s="9"/>
      <c r="M827" s="9"/>
      <c r="N827" s="9"/>
      <c r="O827" s="9"/>
      <c r="P827" s="9"/>
    </row>
    <row r="828" spans="1:16" x14ac:dyDescent="0.25">
      <c r="A828" s="4"/>
      <c r="B828" s="28" t="str">
        <f>IF(ISNUMBER(MATCH(D828, Mgt_Unit!$C$5:$C$1018, 0)), INDEX(Mgt_Unit!$B$5:$B$1018, MATCH(D828, Mgt_Unit!$C$5:$C$1018, 0)), "")</f>
        <v/>
      </c>
      <c r="C828" s="28"/>
      <c r="D828" s="9"/>
      <c r="E828" s="45"/>
      <c r="F828" s="9"/>
      <c r="G828" s="9"/>
      <c r="H828" s="50"/>
      <c r="I828" s="9"/>
      <c r="J828" s="9"/>
      <c r="K828" s="9"/>
      <c r="L828" s="9"/>
      <c r="M828" s="9"/>
      <c r="N828" s="9"/>
      <c r="O828" s="9"/>
      <c r="P828" s="9"/>
    </row>
    <row r="829" spans="1:16" x14ac:dyDescent="0.25">
      <c r="A829" s="4"/>
      <c r="B829" s="28" t="str">
        <f>IF(ISNUMBER(MATCH(D829, Mgt_Unit!$C$5:$C$1018, 0)), INDEX(Mgt_Unit!$B$5:$B$1018, MATCH(D829, Mgt_Unit!$C$5:$C$1018, 0)), "")</f>
        <v/>
      </c>
      <c r="C829" s="28"/>
      <c r="D829" s="9"/>
      <c r="E829" s="45"/>
      <c r="F829" s="9"/>
      <c r="G829" s="9"/>
      <c r="H829" s="50"/>
      <c r="I829" s="9"/>
      <c r="J829" s="9"/>
      <c r="K829" s="9"/>
      <c r="L829" s="9"/>
      <c r="M829" s="9"/>
      <c r="N829" s="9"/>
      <c r="O829" s="9"/>
      <c r="P829" s="9"/>
    </row>
    <row r="830" spans="1:16" x14ac:dyDescent="0.25">
      <c r="A830" s="4"/>
      <c r="B830" s="28" t="str">
        <f>IF(ISNUMBER(MATCH(D830, Mgt_Unit!$C$5:$C$1018, 0)), INDEX(Mgt_Unit!$B$5:$B$1018, MATCH(D830, Mgt_Unit!$C$5:$C$1018, 0)), "")</f>
        <v/>
      </c>
      <c r="C830" s="28"/>
      <c r="D830" s="9"/>
      <c r="E830" s="45"/>
      <c r="F830" s="9"/>
      <c r="G830" s="9"/>
      <c r="H830" s="50"/>
      <c r="I830" s="9"/>
      <c r="J830" s="9"/>
      <c r="K830" s="9"/>
      <c r="L830" s="9"/>
      <c r="M830" s="9"/>
      <c r="N830" s="9"/>
      <c r="O830" s="9"/>
      <c r="P830" s="9"/>
    </row>
    <row r="831" spans="1:16" x14ac:dyDescent="0.25">
      <c r="A831" s="4"/>
      <c r="B831" s="28" t="str">
        <f>IF(ISNUMBER(MATCH(D831, Mgt_Unit!$C$5:$C$1018, 0)), INDEX(Mgt_Unit!$B$5:$B$1018, MATCH(D831, Mgt_Unit!$C$5:$C$1018, 0)), "")</f>
        <v/>
      </c>
      <c r="C831" s="28"/>
      <c r="D831" s="9"/>
      <c r="E831" s="45"/>
      <c r="F831" s="9"/>
      <c r="G831" s="9"/>
      <c r="H831" s="50"/>
      <c r="I831" s="9"/>
      <c r="J831" s="9"/>
      <c r="K831" s="9"/>
      <c r="L831" s="9"/>
      <c r="M831" s="9"/>
      <c r="N831" s="9"/>
      <c r="O831" s="9"/>
      <c r="P831" s="9"/>
    </row>
    <row r="832" spans="1:16" x14ac:dyDescent="0.25">
      <c r="A832" s="4"/>
      <c r="B832" s="28" t="str">
        <f>IF(ISNUMBER(MATCH(D832, Mgt_Unit!$C$5:$C$1018, 0)), INDEX(Mgt_Unit!$B$5:$B$1018, MATCH(D832, Mgt_Unit!$C$5:$C$1018, 0)), "")</f>
        <v/>
      </c>
      <c r="C832" s="28"/>
      <c r="D832" s="9"/>
      <c r="E832" s="45"/>
      <c r="F832" s="9"/>
      <c r="G832" s="9"/>
      <c r="H832" s="50"/>
      <c r="I832" s="9"/>
      <c r="J832" s="9"/>
      <c r="K832" s="9"/>
      <c r="L832" s="9"/>
      <c r="M832" s="9"/>
      <c r="N832" s="9"/>
      <c r="O832" s="9"/>
      <c r="P832" s="9"/>
    </row>
    <row r="833" spans="1:16" x14ac:dyDescent="0.25">
      <c r="A833" s="4"/>
      <c r="B833" s="28" t="str">
        <f>IF(ISNUMBER(MATCH(D833, Mgt_Unit!$C$5:$C$1018, 0)), INDEX(Mgt_Unit!$B$5:$B$1018, MATCH(D833, Mgt_Unit!$C$5:$C$1018, 0)), "")</f>
        <v/>
      </c>
      <c r="C833" s="28"/>
      <c r="D833" s="9"/>
      <c r="E833" s="45"/>
      <c r="F833" s="9"/>
      <c r="G833" s="9"/>
      <c r="H833" s="50"/>
      <c r="I833" s="9"/>
      <c r="J833" s="9"/>
      <c r="K833" s="9"/>
      <c r="L833" s="9"/>
      <c r="M833" s="9"/>
      <c r="N833" s="9"/>
      <c r="O833" s="9"/>
      <c r="P833" s="9"/>
    </row>
    <row r="834" spans="1:16" x14ac:dyDescent="0.25">
      <c r="A834" s="4"/>
      <c r="B834" s="28" t="str">
        <f>IF(ISNUMBER(MATCH(D834, Mgt_Unit!$C$5:$C$1018, 0)), INDEX(Mgt_Unit!$B$5:$B$1018, MATCH(D834, Mgt_Unit!$C$5:$C$1018, 0)), "")</f>
        <v/>
      </c>
      <c r="C834" s="28"/>
      <c r="D834" s="9"/>
      <c r="E834" s="45"/>
      <c r="F834" s="9"/>
      <c r="G834" s="9"/>
      <c r="H834" s="50"/>
      <c r="I834" s="9"/>
      <c r="J834" s="9"/>
      <c r="K834" s="9"/>
      <c r="L834" s="9"/>
      <c r="M834" s="9"/>
      <c r="N834" s="9"/>
      <c r="O834" s="9"/>
      <c r="P834" s="9"/>
    </row>
    <row r="835" spans="1:16" x14ac:dyDescent="0.25">
      <c r="A835" s="4"/>
      <c r="B835" s="28" t="str">
        <f>IF(ISNUMBER(MATCH(D835, Mgt_Unit!$C$5:$C$1018, 0)), INDEX(Mgt_Unit!$B$5:$B$1018, MATCH(D835, Mgt_Unit!$C$5:$C$1018, 0)), "")</f>
        <v/>
      </c>
      <c r="C835" s="28"/>
      <c r="D835" s="9"/>
      <c r="E835" s="45"/>
      <c r="F835" s="9"/>
      <c r="G835" s="9"/>
      <c r="H835" s="50"/>
      <c r="I835" s="9"/>
      <c r="J835" s="9"/>
      <c r="K835" s="9"/>
      <c r="L835" s="9"/>
      <c r="M835" s="9"/>
      <c r="N835" s="9"/>
      <c r="O835" s="9"/>
      <c r="P835" s="9"/>
    </row>
    <row r="836" spans="1:16" x14ac:dyDescent="0.25">
      <c r="A836" s="4"/>
      <c r="B836" s="28" t="str">
        <f>IF(ISNUMBER(MATCH(D836, Mgt_Unit!$C$5:$C$1018, 0)), INDEX(Mgt_Unit!$B$5:$B$1018, MATCH(D836, Mgt_Unit!$C$5:$C$1018, 0)), "")</f>
        <v/>
      </c>
      <c r="C836" s="28"/>
      <c r="D836" s="9"/>
      <c r="E836" s="45"/>
      <c r="F836" s="9"/>
      <c r="G836" s="9"/>
      <c r="H836" s="50"/>
      <c r="I836" s="9"/>
      <c r="J836" s="9"/>
      <c r="K836" s="9"/>
      <c r="L836" s="9"/>
      <c r="M836" s="9"/>
      <c r="N836" s="9"/>
      <c r="O836" s="9"/>
      <c r="P836" s="9"/>
    </row>
    <row r="837" spans="1:16" x14ac:dyDescent="0.25">
      <c r="A837" s="4"/>
      <c r="B837" s="28" t="str">
        <f>IF(ISNUMBER(MATCH(D837, Mgt_Unit!$C$5:$C$1018, 0)), INDEX(Mgt_Unit!$B$5:$B$1018, MATCH(D837, Mgt_Unit!$C$5:$C$1018, 0)), "")</f>
        <v/>
      </c>
      <c r="C837" s="28"/>
      <c r="D837" s="9"/>
      <c r="E837" s="45"/>
      <c r="F837" s="9"/>
      <c r="G837" s="9"/>
      <c r="H837" s="50"/>
      <c r="I837" s="9"/>
      <c r="J837" s="9"/>
      <c r="K837" s="9"/>
      <c r="L837" s="9"/>
      <c r="M837" s="9"/>
      <c r="N837" s="9"/>
      <c r="O837" s="9"/>
      <c r="P837" s="9"/>
    </row>
    <row r="838" spans="1:16" x14ac:dyDescent="0.25">
      <c r="A838" s="4"/>
      <c r="B838" s="28" t="str">
        <f>IF(ISNUMBER(MATCH(D838, Mgt_Unit!$C$5:$C$1018, 0)), INDEX(Mgt_Unit!$B$5:$B$1018, MATCH(D838, Mgt_Unit!$C$5:$C$1018, 0)), "")</f>
        <v/>
      </c>
      <c r="C838" s="28"/>
      <c r="D838" s="9"/>
      <c r="E838" s="45"/>
      <c r="F838" s="9"/>
      <c r="G838" s="9"/>
      <c r="H838" s="50"/>
      <c r="I838" s="9"/>
      <c r="J838" s="9"/>
      <c r="K838" s="9"/>
      <c r="L838" s="9"/>
      <c r="M838" s="9"/>
      <c r="N838" s="9"/>
      <c r="O838" s="9"/>
      <c r="P838" s="9"/>
    </row>
    <row r="839" spans="1:16" x14ac:dyDescent="0.25">
      <c r="A839" s="4"/>
      <c r="B839" s="28" t="str">
        <f>IF(ISNUMBER(MATCH(D839, Mgt_Unit!$C$5:$C$1018, 0)), INDEX(Mgt_Unit!$B$5:$B$1018, MATCH(D839, Mgt_Unit!$C$5:$C$1018, 0)), "")</f>
        <v/>
      </c>
      <c r="C839" s="28"/>
      <c r="D839" s="9"/>
      <c r="E839" s="45"/>
      <c r="F839" s="9"/>
      <c r="G839" s="9"/>
      <c r="H839" s="50"/>
      <c r="I839" s="9"/>
      <c r="J839" s="9"/>
      <c r="K839" s="9"/>
      <c r="L839" s="9"/>
      <c r="M839" s="9"/>
      <c r="N839" s="9"/>
      <c r="O839" s="9"/>
      <c r="P839" s="9"/>
    </row>
    <row r="840" spans="1:16" x14ac:dyDescent="0.25">
      <c r="A840" s="4"/>
      <c r="B840" s="28" t="str">
        <f>IF(ISNUMBER(MATCH(D840, Mgt_Unit!$C$5:$C$1018, 0)), INDEX(Mgt_Unit!$B$5:$B$1018, MATCH(D840, Mgt_Unit!$C$5:$C$1018, 0)), "")</f>
        <v/>
      </c>
      <c r="C840" s="28"/>
      <c r="D840" s="9"/>
      <c r="E840" s="45"/>
      <c r="F840" s="9"/>
      <c r="G840" s="9"/>
      <c r="H840" s="50"/>
      <c r="I840" s="9"/>
      <c r="J840" s="9"/>
      <c r="K840" s="9"/>
      <c r="L840" s="9"/>
      <c r="M840" s="9"/>
      <c r="N840" s="9"/>
      <c r="O840" s="9"/>
      <c r="P840" s="9"/>
    </row>
    <row r="841" spans="1:16" x14ac:dyDescent="0.25">
      <c r="A841" s="4"/>
      <c r="B841" s="28" t="str">
        <f>IF(ISNUMBER(MATCH(D841, Mgt_Unit!$C$5:$C$1018, 0)), INDEX(Mgt_Unit!$B$5:$B$1018, MATCH(D841, Mgt_Unit!$C$5:$C$1018, 0)), "")</f>
        <v/>
      </c>
      <c r="C841" s="28"/>
      <c r="D841" s="9"/>
      <c r="E841" s="45"/>
      <c r="F841" s="9"/>
      <c r="G841" s="9"/>
      <c r="H841" s="50"/>
      <c r="I841" s="9"/>
      <c r="J841" s="9"/>
      <c r="K841" s="9"/>
      <c r="L841" s="9"/>
      <c r="M841" s="9"/>
      <c r="N841" s="9"/>
      <c r="O841" s="9"/>
      <c r="P841" s="9"/>
    </row>
    <row r="842" spans="1:16" x14ac:dyDescent="0.25">
      <c r="A842" s="4"/>
      <c r="B842" s="28" t="str">
        <f>IF(ISNUMBER(MATCH(D842, Mgt_Unit!$C$5:$C$1018, 0)), INDEX(Mgt_Unit!$B$5:$B$1018, MATCH(D842, Mgt_Unit!$C$5:$C$1018, 0)), "")</f>
        <v/>
      </c>
      <c r="C842" s="28"/>
      <c r="D842" s="9"/>
      <c r="E842" s="45"/>
      <c r="F842" s="9"/>
      <c r="G842" s="9"/>
      <c r="H842" s="50"/>
      <c r="I842" s="9"/>
      <c r="J842" s="9"/>
      <c r="K842" s="9"/>
      <c r="L842" s="9"/>
      <c r="M842" s="9"/>
      <c r="N842" s="9"/>
      <c r="O842" s="9"/>
      <c r="P842" s="9"/>
    </row>
    <row r="843" spans="1:16" x14ac:dyDescent="0.25">
      <c r="A843" s="4"/>
      <c r="B843" s="28" t="str">
        <f>IF(ISNUMBER(MATCH(D843, Mgt_Unit!$C$5:$C$1018, 0)), INDEX(Mgt_Unit!$B$5:$B$1018, MATCH(D843, Mgt_Unit!$C$5:$C$1018, 0)), "")</f>
        <v/>
      </c>
      <c r="C843" s="28"/>
      <c r="D843" s="9"/>
      <c r="E843" s="45"/>
      <c r="F843" s="9"/>
      <c r="G843" s="9"/>
      <c r="H843" s="50"/>
      <c r="I843" s="9"/>
      <c r="J843" s="9"/>
      <c r="K843" s="9"/>
      <c r="L843" s="9"/>
      <c r="M843" s="9"/>
      <c r="N843" s="9"/>
      <c r="O843" s="9"/>
      <c r="P843" s="9"/>
    </row>
    <row r="844" spans="1:16" x14ac:dyDescent="0.25">
      <c r="A844" s="4"/>
      <c r="B844" s="28" t="str">
        <f>IF(ISNUMBER(MATCH(D844, Mgt_Unit!$C$5:$C$1018, 0)), INDEX(Mgt_Unit!$B$5:$B$1018, MATCH(D844, Mgt_Unit!$C$5:$C$1018, 0)), "")</f>
        <v/>
      </c>
      <c r="C844" s="28"/>
      <c r="D844" s="9"/>
      <c r="E844" s="45"/>
      <c r="F844" s="9"/>
      <c r="G844" s="9"/>
      <c r="H844" s="50"/>
      <c r="I844" s="9"/>
      <c r="J844" s="9"/>
      <c r="K844" s="9"/>
      <c r="L844" s="9"/>
      <c r="M844" s="9"/>
      <c r="N844" s="9"/>
      <c r="O844" s="9"/>
      <c r="P844" s="9"/>
    </row>
    <row r="845" spans="1:16" x14ac:dyDescent="0.25">
      <c r="A845" s="4"/>
      <c r="B845" s="28" t="str">
        <f>IF(ISNUMBER(MATCH(D845, Mgt_Unit!$C$5:$C$1018, 0)), INDEX(Mgt_Unit!$B$5:$B$1018, MATCH(D845, Mgt_Unit!$C$5:$C$1018, 0)), "")</f>
        <v/>
      </c>
      <c r="C845" s="28"/>
      <c r="D845" s="9"/>
      <c r="E845" s="45"/>
      <c r="F845" s="9"/>
      <c r="G845" s="9"/>
      <c r="H845" s="50"/>
      <c r="I845" s="9"/>
      <c r="J845" s="9"/>
      <c r="K845" s="9"/>
      <c r="L845" s="9"/>
      <c r="M845" s="9"/>
      <c r="N845" s="9"/>
      <c r="O845" s="9"/>
      <c r="P845" s="9"/>
    </row>
    <row r="846" spans="1:16" x14ac:dyDescent="0.25">
      <c r="A846" s="4"/>
      <c r="B846" s="28" t="str">
        <f>IF(ISNUMBER(MATCH(D846, Mgt_Unit!$C$5:$C$1018, 0)), INDEX(Mgt_Unit!$B$5:$B$1018, MATCH(D846, Mgt_Unit!$C$5:$C$1018, 0)), "")</f>
        <v/>
      </c>
      <c r="C846" s="28"/>
      <c r="D846" s="9"/>
      <c r="E846" s="45"/>
      <c r="F846" s="9"/>
      <c r="G846" s="9"/>
      <c r="H846" s="50"/>
      <c r="I846" s="9"/>
      <c r="J846" s="9"/>
      <c r="K846" s="9"/>
      <c r="L846" s="9"/>
      <c r="M846" s="9"/>
      <c r="N846" s="9"/>
      <c r="O846" s="9"/>
      <c r="P846" s="9"/>
    </row>
    <row r="847" spans="1:16" x14ac:dyDescent="0.25">
      <c r="A847" s="4"/>
      <c r="B847" s="28" t="str">
        <f>IF(ISNUMBER(MATCH(D847, Mgt_Unit!$C$5:$C$1018, 0)), INDEX(Mgt_Unit!$B$5:$B$1018, MATCH(D847, Mgt_Unit!$C$5:$C$1018, 0)), "")</f>
        <v/>
      </c>
      <c r="C847" s="28"/>
      <c r="D847" s="9"/>
      <c r="E847" s="45"/>
      <c r="F847" s="9"/>
      <c r="G847" s="9"/>
      <c r="H847" s="50"/>
      <c r="I847" s="9"/>
      <c r="J847" s="9"/>
      <c r="K847" s="9"/>
      <c r="L847" s="9"/>
      <c r="M847" s="9"/>
      <c r="N847" s="9"/>
      <c r="O847" s="9"/>
      <c r="P847" s="9"/>
    </row>
    <row r="848" spans="1:16" x14ac:dyDescent="0.25">
      <c r="A848" s="4"/>
      <c r="B848" s="28" t="str">
        <f>IF(ISNUMBER(MATCH(D848, Mgt_Unit!$C$5:$C$1018, 0)), INDEX(Mgt_Unit!$B$5:$B$1018, MATCH(D848, Mgt_Unit!$C$5:$C$1018, 0)), "")</f>
        <v/>
      </c>
      <c r="C848" s="28"/>
      <c r="D848" s="9"/>
      <c r="E848" s="45"/>
      <c r="F848" s="9"/>
      <c r="G848" s="9"/>
      <c r="H848" s="50"/>
      <c r="I848" s="9"/>
      <c r="J848" s="9"/>
      <c r="K848" s="9"/>
      <c r="L848" s="9"/>
      <c r="M848" s="9"/>
      <c r="N848" s="9"/>
      <c r="O848" s="9"/>
      <c r="P848" s="9"/>
    </row>
    <row r="849" spans="1:16" x14ac:dyDescent="0.25">
      <c r="A849" s="4"/>
      <c r="B849" s="28" t="str">
        <f>IF(ISNUMBER(MATCH(D849, Mgt_Unit!$C$5:$C$1018, 0)), INDEX(Mgt_Unit!$B$5:$B$1018, MATCH(D849, Mgt_Unit!$C$5:$C$1018, 0)), "")</f>
        <v/>
      </c>
      <c r="C849" s="28"/>
      <c r="D849" s="9"/>
      <c r="E849" s="45"/>
      <c r="F849" s="9"/>
      <c r="G849" s="9"/>
      <c r="H849" s="50"/>
      <c r="I849" s="9"/>
      <c r="J849" s="9"/>
      <c r="K849" s="9"/>
      <c r="L849" s="9"/>
      <c r="M849" s="9"/>
      <c r="N849" s="9"/>
      <c r="O849" s="9"/>
      <c r="P849" s="9"/>
    </row>
    <row r="850" spans="1:16" x14ac:dyDescent="0.25">
      <c r="A850" s="4"/>
      <c r="B850" s="28" t="str">
        <f>IF(ISNUMBER(MATCH(D850, Mgt_Unit!$C$5:$C$1018, 0)), INDEX(Mgt_Unit!$B$5:$B$1018, MATCH(D850, Mgt_Unit!$C$5:$C$1018, 0)), "")</f>
        <v/>
      </c>
      <c r="C850" s="28"/>
      <c r="D850" s="9"/>
      <c r="E850" s="45"/>
      <c r="F850" s="9"/>
      <c r="G850" s="9"/>
      <c r="H850" s="50"/>
      <c r="I850" s="9"/>
      <c r="J850" s="9"/>
      <c r="K850" s="9"/>
      <c r="L850" s="9"/>
      <c r="M850" s="9"/>
      <c r="N850" s="9"/>
      <c r="O850" s="9"/>
      <c r="P850" s="9"/>
    </row>
    <row r="851" spans="1:16" x14ac:dyDescent="0.25">
      <c r="A851" s="4"/>
      <c r="B851" s="28" t="str">
        <f>IF(ISNUMBER(MATCH(D851, Mgt_Unit!$C$5:$C$1018, 0)), INDEX(Mgt_Unit!$B$5:$B$1018, MATCH(D851, Mgt_Unit!$C$5:$C$1018, 0)), "")</f>
        <v/>
      </c>
      <c r="C851" s="28"/>
      <c r="D851" s="9"/>
      <c r="E851" s="45"/>
      <c r="F851" s="9"/>
      <c r="G851" s="9"/>
      <c r="H851" s="50"/>
      <c r="I851" s="9"/>
      <c r="J851" s="9"/>
      <c r="K851" s="9"/>
      <c r="L851" s="9"/>
      <c r="M851" s="9"/>
      <c r="N851" s="9"/>
      <c r="O851" s="9"/>
      <c r="P851" s="9"/>
    </row>
    <row r="852" spans="1:16" x14ac:dyDescent="0.25">
      <c r="A852" s="4"/>
      <c r="B852" s="28" t="str">
        <f>IF(ISNUMBER(MATCH(D852, Mgt_Unit!$C$5:$C$1018, 0)), INDEX(Mgt_Unit!$B$5:$B$1018, MATCH(D852, Mgt_Unit!$C$5:$C$1018, 0)), "")</f>
        <v/>
      </c>
      <c r="C852" s="28"/>
      <c r="D852" s="9"/>
      <c r="E852" s="45"/>
      <c r="F852" s="9"/>
      <c r="G852" s="9"/>
      <c r="H852" s="50"/>
      <c r="I852" s="9"/>
      <c r="J852" s="9"/>
      <c r="K852" s="9"/>
      <c r="L852" s="9"/>
      <c r="M852" s="9"/>
      <c r="N852" s="9"/>
      <c r="O852" s="9"/>
      <c r="P852" s="9"/>
    </row>
    <row r="853" spans="1:16" x14ac:dyDescent="0.25">
      <c r="A853" s="4"/>
      <c r="B853" s="28" t="str">
        <f>IF(ISNUMBER(MATCH(D853, Mgt_Unit!$C$5:$C$1018, 0)), INDEX(Mgt_Unit!$B$5:$B$1018, MATCH(D853, Mgt_Unit!$C$5:$C$1018, 0)), "")</f>
        <v/>
      </c>
      <c r="C853" s="28"/>
      <c r="D853" s="9"/>
      <c r="E853" s="45"/>
      <c r="F853" s="9"/>
      <c r="G853" s="9"/>
      <c r="H853" s="50"/>
      <c r="I853" s="9"/>
      <c r="J853" s="9"/>
      <c r="K853" s="9"/>
      <c r="L853" s="9"/>
      <c r="M853" s="9"/>
      <c r="N853" s="9"/>
      <c r="O853" s="9"/>
      <c r="P853" s="9"/>
    </row>
    <row r="854" spans="1:16" x14ac:dyDescent="0.25">
      <c r="A854" s="4"/>
      <c r="B854" s="28" t="str">
        <f>IF(ISNUMBER(MATCH(D854, Mgt_Unit!$C$5:$C$1018, 0)), INDEX(Mgt_Unit!$B$5:$B$1018, MATCH(D854, Mgt_Unit!$C$5:$C$1018, 0)), "")</f>
        <v/>
      </c>
      <c r="C854" s="28"/>
      <c r="D854" s="9"/>
      <c r="E854" s="45"/>
      <c r="F854" s="9"/>
      <c r="G854" s="9"/>
      <c r="H854" s="50"/>
      <c r="I854" s="9"/>
      <c r="J854" s="9"/>
      <c r="K854" s="9"/>
      <c r="L854" s="9"/>
      <c r="M854" s="9"/>
      <c r="N854" s="9"/>
      <c r="O854" s="9"/>
      <c r="P854" s="9"/>
    </row>
    <row r="855" spans="1:16" x14ac:dyDescent="0.25">
      <c r="A855" s="4"/>
      <c r="B855" s="28" t="str">
        <f>IF(ISNUMBER(MATCH(D855, Mgt_Unit!$C$5:$C$1018, 0)), INDEX(Mgt_Unit!$B$5:$B$1018, MATCH(D855, Mgt_Unit!$C$5:$C$1018, 0)), "")</f>
        <v/>
      </c>
      <c r="C855" s="28"/>
      <c r="D855" s="9"/>
      <c r="E855" s="45"/>
      <c r="F855" s="9"/>
      <c r="G855" s="9"/>
      <c r="H855" s="50"/>
      <c r="I855" s="9"/>
      <c r="J855" s="9"/>
      <c r="K855" s="9"/>
      <c r="L855" s="9"/>
      <c r="M855" s="9"/>
      <c r="N855" s="9"/>
      <c r="O855" s="9"/>
      <c r="P855" s="9"/>
    </row>
    <row r="856" spans="1:16" x14ac:dyDescent="0.25">
      <c r="A856" s="4"/>
      <c r="B856" s="28" t="str">
        <f>IF(ISNUMBER(MATCH(D856, Mgt_Unit!$C$5:$C$1018, 0)), INDEX(Mgt_Unit!$B$5:$B$1018, MATCH(D856, Mgt_Unit!$C$5:$C$1018, 0)), "")</f>
        <v/>
      </c>
      <c r="C856" s="28"/>
      <c r="D856" s="9"/>
      <c r="E856" s="45"/>
      <c r="F856" s="9"/>
      <c r="G856" s="9"/>
      <c r="H856" s="50"/>
      <c r="I856" s="9"/>
      <c r="J856" s="9"/>
      <c r="K856" s="9"/>
      <c r="L856" s="9"/>
      <c r="M856" s="9"/>
      <c r="N856" s="9"/>
      <c r="O856" s="9"/>
      <c r="P856" s="9"/>
    </row>
    <row r="857" spans="1:16" x14ac:dyDescent="0.25">
      <c r="A857" s="4"/>
      <c r="B857" s="28" t="str">
        <f>IF(ISNUMBER(MATCH(D857, Mgt_Unit!$C$5:$C$1018, 0)), INDEX(Mgt_Unit!$B$5:$B$1018, MATCH(D857, Mgt_Unit!$C$5:$C$1018, 0)), "")</f>
        <v/>
      </c>
      <c r="C857" s="28"/>
      <c r="D857" s="9"/>
      <c r="E857" s="45"/>
      <c r="F857" s="9"/>
      <c r="G857" s="9"/>
      <c r="H857" s="50"/>
      <c r="I857" s="9"/>
      <c r="J857" s="9"/>
      <c r="K857" s="9"/>
      <c r="L857" s="9"/>
      <c r="M857" s="9"/>
      <c r="N857" s="9"/>
      <c r="O857" s="9"/>
      <c r="P857" s="9"/>
    </row>
    <row r="858" spans="1:16" x14ac:dyDescent="0.25">
      <c r="A858" s="4"/>
      <c r="B858" s="28" t="str">
        <f>IF(ISNUMBER(MATCH(D858, Mgt_Unit!$C$5:$C$1018, 0)), INDEX(Mgt_Unit!$B$5:$B$1018, MATCH(D858, Mgt_Unit!$C$5:$C$1018, 0)), "")</f>
        <v/>
      </c>
      <c r="C858" s="28"/>
      <c r="D858" s="9"/>
      <c r="E858" s="45"/>
      <c r="F858" s="9"/>
      <c r="G858" s="9"/>
      <c r="H858" s="50"/>
      <c r="I858" s="9"/>
      <c r="J858" s="9"/>
      <c r="K858" s="9"/>
      <c r="L858" s="9"/>
      <c r="M858" s="9"/>
      <c r="N858" s="9"/>
      <c r="O858" s="9"/>
      <c r="P858" s="9"/>
    </row>
    <row r="859" spans="1:16" x14ac:dyDescent="0.25">
      <c r="A859" s="4"/>
      <c r="B859" s="28" t="str">
        <f>IF(ISNUMBER(MATCH(D859, Mgt_Unit!$C$5:$C$1018, 0)), INDEX(Mgt_Unit!$B$5:$B$1018, MATCH(D859, Mgt_Unit!$C$5:$C$1018, 0)), "")</f>
        <v/>
      </c>
      <c r="C859" s="28"/>
      <c r="D859" s="9"/>
      <c r="E859" s="45"/>
      <c r="F859" s="9"/>
      <c r="G859" s="9"/>
      <c r="H859" s="50"/>
      <c r="I859" s="9"/>
      <c r="J859" s="9"/>
      <c r="K859" s="9"/>
      <c r="L859" s="9"/>
      <c r="M859" s="9"/>
      <c r="N859" s="9"/>
      <c r="O859" s="9"/>
      <c r="P859" s="9"/>
    </row>
    <row r="860" spans="1:16" x14ac:dyDescent="0.25">
      <c r="A860" s="4"/>
      <c r="B860" s="28" t="str">
        <f>IF(ISNUMBER(MATCH(D860, Mgt_Unit!$C$5:$C$1018, 0)), INDEX(Mgt_Unit!$B$5:$B$1018, MATCH(D860, Mgt_Unit!$C$5:$C$1018, 0)), "")</f>
        <v/>
      </c>
      <c r="C860" s="28"/>
      <c r="D860" s="9"/>
      <c r="E860" s="45"/>
      <c r="F860" s="9"/>
      <c r="G860" s="9"/>
      <c r="H860" s="50"/>
      <c r="I860" s="9"/>
      <c r="J860" s="9"/>
      <c r="K860" s="9"/>
      <c r="L860" s="9"/>
      <c r="M860" s="9"/>
      <c r="N860" s="9"/>
      <c r="O860" s="9"/>
      <c r="P860" s="9"/>
    </row>
    <row r="861" spans="1:16" x14ac:dyDescent="0.25">
      <c r="A861" s="4"/>
      <c r="B861" s="28" t="str">
        <f>IF(ISNUMBER(MATCH(D861, Mgt_Unit!$C$5:$C$1018, 0)), INDEX(Mgt_Unit!$B$5:$B$1018, MATCH(D861, Mgt_Unit!$C$5:$C$1018, 0)), "")</f>
        <v/>
      </c>
      <c r="C861" s="28"/>
      <c r="D861" s="9"/>
      <c r="E861" s="45"/>
      <c r="F861" s="9"/>
      <c r="G861" s="9"/>
      <c r="H861" s="50"/>
      <c r="I861" s="9"/>
      <c r="J861" s="9"/>
      <c r="K861" s="9"/>
      <c r="L861" s="9"/>
      <c r="M861" s="9"/>
      <c r="N861" s="9"/>
      <c r="O861" s="9"/>
      <c r="P861" s="9"/>
    </row>
    <row r="862" spans="1:16" x14ac:dyDescent="0.25">
      <c r="A862" s="4"/>
      <c r="B862" s="28" t="str">
        <f>IF(ISNUMBER(MATCH(D862, Mgt_Unit!$C$5:$C$1018, 0)), INDEX(Mgt_Unit!$B$5:$B$1018, MATCH(D862, Mgt_Unit!$C$5:$C$1018, 0)), "")</f>
        <v/>
      </c>
      <c r="C862" s="28"/>
      <c r="D862" s="9"/>
      <c r="E862" s="45"/>
      <c r="F862" s="9"/>
      <c r="G862" s="9"/>
      <c r="H862" s="50"/>
      <c r="I862" s="9"/>
      <c r="J862" s="9"/>
      <c r="K862" s="9"/>
      <c r="L862" s="9"/>
      <c r="M862" s="9"/>
      <c r="N862" s="9"/>
      <c r="O862" s="9"/>
      <c r="P862" s="9"/>
    </row>
    <row r="863" spans="1:16" x14ac:dyDescent="0.25">
      <c r="A863" s="4"/>
      <c r="B863" s="28" t="str">
        <f>IF(ISNUMBER(MATCH(D863, Mgt_Unit!$C$5:$C$1018, 0)), INDEX(Mgt_Unit!$B$5:$B$1018, MATCH(D863, Mgt_Unit!$C$5:$C$1018, 0)), "")</f>
        <v/>
      </c>
      <c r="C863" s="28"/>
      <c r="D863" s="9"/>
      <c r="E863" s="45"/>
      <c r="F863" s="9"/>
      <c r="G863" s="9"/>
      <c r="H863" s="50"/>
      <c r="I863" s="9"/>
      <c r="J863" s="9"/>
      <c r="K863" s="9"/>
      <c r="L863" s="9"/>
      <c r="M863" s="9"/>
      <c r="N863" s="9"/>
      <c r="O863" s="9"/>
      <c r="P863" s="9"/>
    </row>
    <row r="864" spans="1:16" x14ac:dyDescent="0.25">
      <c r="A864" s="4"/>
      <c r="B864" s="28" t="str">
        <f>IF(ISNUMBER(MATCH(D864, Mgt_Unit!$C$5:$C$1018, 0)), INDEX(Mgt_Unit!$B$5:$B$1018, MATCH(D864, Mgt_Unit!$C$5:$C$1018, 0)), "")</f>
        <v/>
      </c>
      <c r="C864" s="28"/>
      <c r="D864" s="9"/>
      <c r="E864" s="45"/>
      <c r="F864" s="9"/>
      <c r="G864" s="9"/>
      <c r="H864" s="50"/>
      <c r="I864" s="9"/>
      <c r="J864" s="9"/>
      <c r="K864" s="9"/>
      <c r="L864" s="9"/>
      <c r="M864" s="9"/>
      <c r="N864" s="9"/>
      <c r="O864" s="9"/>
      <c r="P864" s="9"/>
    </row>
    <row r="865" spans="1:16" x14ac:dyDescent="0.25">
      <c r="A865" s="4"/>
      <c r="B865" s="28" t="str">
        <f>IF(ISNUMBER(MATCH(D865, Mgt_Unit!$C$5:$C$1018, 0)), INDEX(Mgt_Unit!$B$5:$B$1018, MATCH(D865, Mgt_Unit!$C$5:$C$1018, 0)), "")</f>
        <v/>
      </c>
      <c r="C865" s="28"/>
      <c r="D865" s="9"/>
      <c r="E865" s="45"/>
      <c r="F865" s="9"/>
      <c r="G865" s="9"/>
      <c r="H865" s="50"/>
      <c r="I865" s="9"/>
      <c r="J865" s="9"/>
      <c r="K865" s="9"/>
      <c r="L865" s="9"/>
      <c r="M865" s="9"/>
      <c r="N865" s="9"/>
      <c r="O865" s="9"/>
      <c r="P865" s="9"/>
    </row>
    <row r="866" spans="1:16" x14ac:dyDescent="0.25">
      <c r="A866" s="4"/>
      <c r="B866" s="28" t="str">
        <f>IF(ISNUMBER(MATCH(D866, Mgt_Unit!$C$5:$C$1018, 0)), INDEX(Mgt_Unit!$B$5:$B$1018, MATCH(D866, Mgt_Unit!$C$5:$C$1018, 0)), "")</f>
        <v/>
      </c>
      <c r="C866" s="28"/>
      <c r="D866" s="9"/>
      <c r="E866" s="45"/>
      <c r="F866" s="9"/>
      <c r="G866" s="9"/>
      <c r="H866" s="50"/>
      <c r="I866" s="9"/>
      <c r="J866" s="9"/>
      <c r="K866" s="9"/>
      <c r="L866" s="9"/>
      <c r="M866" s="9"/>
      <c r="N866" s="9"/>
      <c r="O866" s="9"/>
      <c r="P866" s="9"/>
    </row>
    <row r="867" spans="1:16" x14ac:dyDescent="0.25">
      <c r="A867" s="4"/>
      <c r="B867" s="28" t="str">
        <f>IF(ISNUMBER(MATCH(D867, Mgt_Unit!$C$5:$C$1018, 0)), INDEX(Mgt_Unit!$B$5:$B$1018, MATCH(D867, Mgt_Unit!$C$5:$C$1018, 0)), "")</f>
        <v/>
      </c>
      <c r="C867" s="28"/>
      <c r="D867" s="9"/>
      <c r="E867" s="45"/>
      <c r="F867" s="9"/>
      <c r="G867" s="9"/>
      <c r="H867" s="50"/>
      <c r="I867" s="9"/>
      <c r="J867" s="9"/>
      <c r="K867" s="9"/>
      <c r="L867" s="9"/>
      <c r="M867" s="9"/>
      <c r="N867" s="9"/>
      <c r="O867" s="9"/>
      <c r="P867" s="9"/>
    </row>
    <row r="868" spans="1:16" x14ac:dyDescent="0.25">
      <c r="A868" s="4"/>
      <c r="B868" s="28" t="str">
        <f>IF(ISNUMBER(MATCH(D868, Mgt_Unit!$C$5:$C$1018, 0)), INDEX(Mgt_Unit!$B$5:$B$1018, MATCH(D868, Mgt_Unit!$C$5:$C$1018, 0)), "")</f>
        <v/>
      </c>
      <c r="C868" s="28"/>
      <c r="D868" s="9"/>
      <c r="E868" s="45"/>
      <c r="F868" s="9"/>
      <c r="G868" s="9"/>
      <c r="H868" s="50"/>
      <c r="I868" s="9"/>
      <c r="J868" s="9"/>
      <c r="K868" s="9"/>
      <c r="L868" s="9"/>
      <c r="M868" s="9"/>
      <c r="N868" s="9"/>
      <c r="O868" s="9"/>
      <c r="P868" s="9"/>
    </row>
    <row r="869" spans="1:16" x14ac:dyDescent="0.25">
      <c r="A869" s="4"/>
      <c r="B869" s="28" t="str">
        <f>IF(ISNUMBER(MATCH(D869, Mgt_Unit!$C$5:$C$1018, 0)), INDEX(Mgt_Unit!$B$5:$B$1018, MATCH(D869, Mgt_Unit!$C$5:$C$1018, 0)), "")</f>
        <v/>
      </c>
      <c r="C869" s="28"/>
      <c r="D869" s="9"/>
      <c r="E869" s="45"/>
      <c r="F869" s="9"/>
      <c r="G869" s="9"/>
      <c r="H869" s="50"/>
      <c r="I869" s="9"/>
      <c r="J869" s="9"/>
      <c r="K869" s="9"/>
      <c r="L869" s="9"/>
      <c r="M869" s="9"/>
      <c r="N869" s="9"/>
      <c r="O869" s="9"/>
      <c r="P869" s="9"/>
    </row>
    <row r="870" spans="1:16" x14ac:dyDescent="0.25">
      <c r="A870" s="4"/>
      <c r="B870" s="28" t="str">
        <f>IF(ISNUMBER(MATCH(D870, Mgt_Unit!$C$5:$C$1018, 0)), INDEX(Mgt_Unit!$B$5:$B$1018, MATCH(D870, Mgt_Unit!$C$5:$C$1018, 0)), "")</f>
        <v/>
      </c>
      <c r="C870" s="28"/>
      <c r="D870" s="9"/>
      <c r="E870" s="45"/>
      <c r="F870" s="9"/>
      <c r="G870" s="9"/>
      <c r="H870" s="50"/>
      <c r="I870" s="9"/>
      <c r="J870" s="9"/>
      <c r="K870" s="9"/>
      <c r="L870" s="9"/>
      <c r="M870" s="9"/>
      <c r="N870" s="9"/>
      <c r="O870" s="9"/>
      <c r="P870" s="9"/>
    </row>
    <row r="871" spans="1:16" x14ac:dyDescent="0.25">
      <c r="A871" s="4"/>
      <c r="B871" s="28" t="str">
        <f>IF(ISNUMBER(MATCH(D871, Mgt_Unit!$C$5:$C$1018, 0)), INDEX(Mgt_Unit!$B$5:$B$1018, MATCH(D871, Mgt_Unit!$C$5:$C$1018, 0)), "")</f>
        <v/>
      </c>
      <c r="C871" s="28"/>
      <c r="D871" s="9"/>
      <c r="E871" s="45"/>
      <c r="F871" s="9"/>
      <c r="G871" s="9"/>
      <c r="H871" s="50"/>
      <c r="I871" s="9"/>
      <c r="J871" s="9"/>
      <c r="K871" s="9"/>
      <c r="L871" s="9"/>
      <c r="M871" s="9"/>
      <c r="N871" s="9"/>
      <c r="O871" s="9"/>
      <c r="P871" s="9"/>
    </row>
    <row r="872" spans="1:16" x14ac:dyDescent="0.25">
      <c r="A872" s="4"/>
      <c r="B872" s="28" t="str">
        <f>IF(ISNUMBER(MATCH(D872, Mgt_Unit!$C$5:$C$1018, 0)), INDEX(Mgt_Unit!$B$5:$B$1018, MATCH(D872, Mgt_Unit!$C$5:$C$1018, 0)), "")</f>
        <v/>
      </c>
      <c r="C872" s="28"/>
      <c r="D872" s="9"/>
      <c r="E872" s="45"/>
      <c r="F872" s="9"/>
      <c r="G872" s="9"/>
      <c r="H872" s="50"/>
      <c r="I872" s="9"/>
      <c r="J872" s="9"/>
      <c r="K872" s="9"/>
      <c r="L872" s="9"/>
      <c r="M872" s="9"/>
      <c r="N872" s="9"/>
      <c r="O872" s="9"/>
      <c r="P872" s="9"/>
    </row>
    <row r="873" spans="1:16" x14ac:dyDescent="0.25">
      <c r="A873" s="4"/>
      <c r="B873" s="28" t="str">
        <f>IF(ISNUMBER(MATCH(D873, Mgt_Unit!$C$5:$C$1018, 0)), INDEX(Mgt_Unit!$B$5:$B$1018, MATCH(D873, Mgt_Unit!$C$5:$C$1018, 0)), "")</f>
        <v/>
      </c>
      <c r="C873" s="28"/>
      <c r="D873" s="9"/>
      <c r="E873" s="45"/>
      <c r="F873" s="9"/>
      <c r="G873" s="9"/>
      <c r="H873" s="50"/>
      <c r="I873" s="9"/>
      <c r="J873" s="9"/>
      <c r="K873" s="9"/>
      <c r="L873" s="9"/>
      <c r="M873" s="9"/>
      <c r="N873" s="9"/>
      <c r="O873" s="9"/>
      <c r="P873" s="9"/>
    </row>
    <row r="874" spans="1:16" x14ac:dyDescent="0.25">
      <c r="A874" s="4"/>
      <c r="B874" s="28" t="str">
        <f>IF(ISNUMBER(MATCH(D874, Mgt_Unit!$C$5:$C$1018, 0)), INDEX(Mgt_Unit!$B$5:$B$1018, MATCH(D874, Mgt_Unit!$C$5:$C$1018, 0)), "")</f>
        <v/>
      </c>
      <c r="C874" s="28"/>
      <c r="D874" s="9"/>
      <c r="E874" s="45"/>
      <c r="F874" s="9"/>
      <c r="G874" s="9"/>
      <c r="H874" s="50"/>
      <c r="I874" s="9"/>
      <c r="J874" s="9"/>
      <c r="K874" s="9"/>
      <c r="L874" s="9"/>
      <c r="M874" s="9"/>
      <c r="N874" s="9"/>
      <c r="O874" s="9"/>
      <c r="P874" s="9"/>
    </row>
    <row r="875" spans="1:16" x14ac:dyDescent="0.25">
      <c r="A875" s="4"/>
      <c r="B875" s="28" t="str">
        <f>IF(ISNUMBER(MATCH(D875, Mgt_Unit!$C$5:$C$1018, 0)), INDEX(Mgt_Unit!$B$5:$B$1018, MATCH(D875, Mgt_Unit!$C$5:$C$1018, 0)), "")</f>
        <v/>
      </c>
      <c r="C875" s="28"/>
      <c r="D875" s="9"/>
      <c r="E875" s="45"/>
      <c r="F875" s="9"/>
      <c r="G875" s="9"/>
      <c r="H875" s="50"/>
      <c r="I875" s="9"/>
      <c r="J875" s="9"/>
      <c r="K875" s="9"/>
      <c r="L875" s="9"/>
      <c r="M875" s="9"/>
      <c r="N875" s="9"/>
      <c r="O875" s="9"/>
      <c r="P875" s="9"/>
    </row>
    <row r="876" spans="1:16" x14ac:dyDescent="0.25">
      <c r="A876" s="4"/>
      <c r="B876" s="28" t="str">
        <f>IF(ISNUMBER(MATCH(D876, Mgt_Unit!$C$5:$C$1018, 0)), INDEX(Mgt_Unit!$B$5:$B$1018, MATCH(D876, Mgt_Unit!$C$5:$C$1018, 0)), "")</f>
        <v/>
      </c>
      <c r="C876" s="28"/>
      <c r="D876" s="9"/>
      <c r="E876" s="45"/>
      <c r="F876" s="9"/>
      <c r="G876" s="9"/>
      <c r="H876" s="50"/>
      <c r="I876" s="9"/>
      <c r="J876" s="9"/>
      <c r="K876" s="9"/>
      <c r="L876" s="9"/>
      <c r="M876" s="9"/>
      <c r="N876" s="9"/>
      <c r="O876" s="9"/>
      <c r="P876" s="9"/>
    </row>
    <row r="877" spans="1:16" x14ac:dyDescent="0.25">
      <c r="A877" s="4"/>
      <c r="B877" s="28" t="str">
        <f>IF(ISNUMBER(MATCH(D877, Mgt_Unit!$C$5:$C$1018, 0)), INDEX(Mgt_Unit!$B$5:$B$1018, MATCH(D877, Mgt_Unit!$C$5:$C$1018, 0)), "")</f>
        <v/>
      </c>
      <c r="C877" s="28"/>
      <c r="D877" s="9"/>
      <c r="E877" s="45"/>
      <c r="F877" s="9"/>
      <c r="G877" s="9"/>
      <c r="H877" s="50"/>
      <c r="I877" s="9"/>
      <c r="J877" s="9"/>
      <c r="K877" s="9"/>
      <c r="L877" s="9"/>
      <c r="M877" s="9"/>
      <c r="N877" s="9"/>
      <c r="O877" s="9"/>
      <c r="P877" s="9"/>
    </row>
    <row r="878" spans="1:16" x14ac:dyDescent="0.25">
      <c r="A878" s="4"/>
      <c r="B878" s="28" t="str">
        <f>IF(ISNUMBER(MATCH(D878, Mgt_Unit!$C$5:$C$1018, 0)), INDEX(Mgt_Unit!$B$5:$B$1018, MATCH(D878, Mgt_Unit!$C$5:$C$1018, 0)), "")</f>
        <v/>
      </c>
      <c r="C878" s="28"/>
      <c r="D878" s="9"/>
      <c r="E878" s="45"/>
      <c r="F878" s="9"/>
      <c r="G878" s="9"/>
      <c r="H878" s="50"/>
      <c r="I878" s="9"/>
      <c r="J878" s="9"/>
      <c r="K878" s="9"/>
      <c r="L878" s="9"/>
      <c r="M878" s="9"/>
      <c r="N878" s="9"/>
      <c r="O878" s="9"/>
      <c r="P878" s="9"/>
    </row>
    <row r="879" spans="1:16" x14ac:dyDescent="0.25">
      <c r="A879" s="4"/>
      <c r="B879" s="28" t="str">
        <f>IF(ISNUMBER(MATCH(D879, Mgt_Unit!$C$5:$C$1018, 0)), INDEX(Mgt_Unit!$B$5:$B$1018, MATCH(D879, Mgt_Unit!$C$5:$C$1018, 0)), "")</f>
        <v/>
      </c>
      <c r="C879" s="28"/>
      <c r="D879" s="9"/>
      <c r="E879" s="45"/>
      <c r="F879" s="9"/>
      <c r="G879" s="9"/>
      <c r="H879" s="50"/>
      <c r="I879" s="9"/>
      <c r="J879" s="9"/>
      <c r="K879" s="9"/>
      <c r="L879" s="9"/>
      <c r="M879" s="9"/>
      <c r="N879" s="9"/>
      <c r="O879" s="9"/>
      <c r="P879" s="9"/>
    </row>
    <row r="880" spans="1:16" x14ac:dyDescent="0.25">
      <c r="A880" s="4"/>
      <c r="B880" s="28" t="str">
        <f>IF(ISNUMBER(MATCH(D880, Mgt_Unit!$C$5:$C$1018, 0)), INDEX(Mgt_Unit!$B$5:$B$1018, MATCH(D880, Mgt_Unit!$C$5:$C$1018, 0)), "")</f>
        <v/>
      </c>
      <c r="C880" s="28"/>
      <c r="D880" s="9"/>
      <c r="E880" s="45"/>
      <c r="F880" s="9"/>
      <c r="G880" s="9"/>
      <c r="H880" s="50"/>
      <c r="I880" s="9"/>
      <c r="J880" s="9"/>
      <c r="K880" s="9"/>
      <c r="L880" s="9"/>
      <c r="M880" s="9"/>
      <c r="N880" s="9"/>
      <c r="O880" s="9"/>
      <c r="P880" s="9"/>
    </row>
    <row r="881" spans="1:16" x14ac:dyDescent="0.25">
      <c r="A881" s="4"/>
      <c r="B881" s="28" t="str">
        <f>IF(ISNUMBER(MATCH(D881, Mgt_Unit!$C$5:$C$1018, 0)), INDEX(Mgt_Unit!$B$5:$B$1018, MATCH(D881, Mgt_Unit!$C$5:$C$1018, 0)), "")</f>
        <v/>
      </c>
      <c r="C881" s="28"/>
      <c r="D881" s="9"/>
      <c r="E881" s="45"/>
      <c r="F881" s="9"/>
      <c r="G881" s="9"/>
      <c r="H881" s="50"/>
      <c r="I881" s="9"/>
      <c r="J881" s="9"/>
      <c r="K881" s="9"/>
      <c r="L881" s="9"/>
      <c r="M881" s="9"/>
      <c r="N881" s="9"/>
      <c r="O881" s="9"/>
      <c r="P881" s="9"/>
    </row>
    <row r="882" spans="1:16" x14ac:dyDescent="0.25">
      <c r="A882" s="4"/>
      <c r="B882" s="28" t="str">
        <f>IF(ISNUMBER(MATCH(D882, Mgt_Unit!$C$5:$C$1018, 0)), INDEX(Mgt_Unit!$B$5:$B$1018, MATCH(D882, Mgt_Unit!$C$5:$C$1018, 0)), "")</f>
        <v/>
      </c>
      <c r="C882" s="28"/>
      <c r="D882" s="9"/>
      <c r="E882" s="45"/>
      <c r="F882" s="9"/>
      <c r="G882" s="9"/>
      <c r="H882" s="50"/>
      <c r="I882" s="9"/>
      <c r="J882" s="9"/>
      <c r="K882" s="9"/>
      <c r="L882" s="9"/>
      <c r="M882" s="9"/>
      <c r="N882" s="9"/>
      <c r="O882" s="9"/>
      <c r="P882" s="9"/>
    </row>
    <row r="883" spans="1:16" x14ac:dyDescent="0.25">
      <c r="A883" s="4"/>
      <c r="B883" s="28" t="str">
        <f>IF(ISNUMBER(MATCH(D883, Mgt_Unit!$C$5:$C$1018, 0)), INDEX(Mgt_Unit!$B$5:$B$1018, MATCH(D883, Mgt_Unit!$C$5:$C$1018, 0)), "")</f>
        <v/>
      </c>
      <c r="C883" s="28"/>
      <c r="D883" s="9"/>
      <c r="E883" s="45"/>
      <c r="F883" s="9"/>
      <c r="G883" s="9"/>
      <c r="H883" s="50"/>
      <c r="I883" s="9"/>
      <c r="J883" s="9"/>
      <c r="K883" s="9"/>
      <c r="L883" s="9"/>
      <c r="M883" s="9"/>
      <c r="N883" s="9"/>
      <c r="O883" s="9"/>
      <c r="P883" s="9"/>
    </row>
    <row r="884" spans="1:16" x14ac:dyDescent="0.25">
      <c r="A884" s="4"/>
      <c r="B884" s="28" t="str">
        <f>IF(ISNUMBER(MATCH(D884, Mgt_Unit!$C$5:$C$1018, 0)), INDEX(Mgt_Unit!$B$5:$B$1018, MATCH(D884, Mgt_Unit!$C$5:$C$1018, 0)), "")</f>
        <v/>
      </c>
      <c r="C884" s="28"/>
      <c r="D884" s="9"/>
      <c r="E884" s="45"/>
      <c r="F884" s="9"/>
      <c r="G884" s="9"/>
      <c r="H884" s="50"/>
      <c r="I884" s="9"/>
      <c r="J884" s="9"/>
      <c r="K884" s="9"/>
      <c r="L884" s="9"/>
      <c r="M884" s="9"/>
      <c r="N884" s="9"/>
      <c r="O884" s="9"/>
      <c r="P884" s="9"/>
    </row>
    <row r="885" spans="1:16" x14ac:dyDescent="0.25">
      <c r="A885" s="4"/>
      <c r="B885" s="28" t="str">
        <f>IF(ISNUMBER(MATCH(D885, Mgt_Unit!$C$5:$C$1018, 0)), INDEX(Mgt_Unit!$B$5:$B$1018, MATCH(D885, Mgt_Unit!$C$5:$C$1018, 0)), "")</f>
        <v/>
      </c>
      <c r="C885" s="28"/>
      <c r="D885" s="9"/>
      <c r="E885" s="45"/>
      <c r="F885" s="9"/>
      <c r="G885" s="9"/>
      <c r="H885" s="50"/>
      <c r="I885" s="9"/>
      <c r="J885" s="9"/>
      <c r="K885" s="9"/>
      <c r="L885" s="9"/>
      <c r="M885" s="9"/>
      <c r="N885" s="9"/>
      <c r="O885" s="9"/>
      <c r="P885" s="9"/>
    </row>
    <row r="886" spans="1:16" x14ac:dyDescent="0.25">
      <c r="A886" s="4"/>
      <c r="B886" s="28" t="str">
        <f>IF(ISNUMBER(MATCH(D886, Mgt_Unit!$C$5:$C$1018, 0)), INDEX(Mgt_Unit!$B$5:$B$1018, MATCH(D886, Mgt_Unit!$C$5:$C$1018, 0)), "")</f>
        <v/>
      </c>
      <c r="C886" s="28"/>
      <c r="D886" s="9"/>
      <c r="E886" s="45"/>
      <c r="F886" s="9"/>
      <c r="G886" s="9"/>
      <c r="H886" s="50"/>
      <c r="I886" s="9"/>
      <c r="J886" s="9"/>
      <c r="K886" s="9"/>
      <c r="L886" s="9"/>
      <c r="M886" s="9"/>
      <c r="N886" s="9"/>
      <c r="O886" s="9"/>
      <c r="P886" s="9"/>
    </row>
    <row r="887" spans="1:16" x14ac:dyDescent="0.25">
      <c r="A887" s="4"/>
      <c r="B887" s="28" t="str">
        <f>IF(ISNUMBER(MATCH(D887, Mgt_Unit!$C$5:$C$1018, 0)), INDEX(Mgt_Unit!$B$5:$B$1018, MATCH(D887, Mgt_Unit!$C$5:$C$1018, 0)), "")</f>
        <v/>
      </c>
      <c r="C887" s="28"/>
      <c r="D887" s="9"/>
      <c r="E887" s="45"/>
      <c r="F887" s="9"/>
      <c r="G887" s="9"/>
      <c r="H887" s="50"/>
      <c r="I887" s="9"/>
      <c r="J887" s="9"/>
      <c r="K887" s="9"/>
      <c r="L887" s="9"/>
      <c r="M887" s="9"/>
      <c r="N887" s="9"/>
      <c r="O887" s="9"/>
      <c r="P887" s="9"/>
    </row>
    <row r="888" spans="1:16" x14ac:dyDescent="0.25">
      <c r="A888" s="4"/>
      <c r="B888" s="28" t="str">
        <f>IF(ISNUMBER(MATCH(D888, Mgt_Unit!$C$5:$C$1018, 0)), INDEX(Mgt_Unit!$B$5:$B$1018, MATCH(D888, Mgt_Unit!$C$5:$C$1018, 0)), "")</f>
        <v/>
      </c>
      <c r="C888" s="28"/>
      <c r="D888" s="9"/>
      <c r="E888" s="45"/>
      <c r="F888" s="9"/>
      <c r="G888" s="9"/>
      <c r="H888" s="50"/>
      <c r="I888" s="9"/>
      <c r="J888" s="9"/>
      <c r="K888" s="9"/>
      <c r="L888" s="9"/>
      <c r="M888" s="9"/>
      <c r="N888" s="9"/>
      <c r="O888" s="9"/>
      <c r="P888" s="9"/>
    </row>
    <row r="889" spans="1:16" x14ac:dyDescent="0.25">
      <c r="A889" s="4"/>
      <c r="B889" s="28" t="str">
        <f>IF(ISNUMBER(MATCH(D889, Mgt_Unit!$C$5:$C$1018, 0)), INDEX(Mgt_Unit!$B$5:$B$1018, MATCH(D889, Mgt_Unit!$C$5:$C$1018, 0)), "")</f>
        <v/>
      </c>
      <c r="C889" s="28"/>
      <c r="D889" s="9"/>
      <c r="E889" s="45"/>
      <c r="F889" s="9"/>
      <c r="G889" s="9"/>
      <c r="H889" s="50"/>
      <c r="I889" s="9"/>
      <c r="J889" s="9"/>
      <c r="K889" s="9"/>
      <c r="L889" s="9"/>
      <c r="M889" s="9"/>
      <c r="N889" s="9"/>
      <c r="O889" s="9"/>
      <c r="P889" s="9"/>
    </row>
    <row r="890" spans="1:16" x14ac:dyDescent="0.25">
      <c r="A890" s="4"/>
      <c r="B890" s="28" t="str">
        <f>IF(ISNUMBER(MATCH(D890, Mgt_Unit!$C$5:$C$1018, 0)), INDEX(Mgt_Unit!$B$5:$B$1018, MATCH(D890, Mgt_Unit!$C$5:$C$1018, 0)), "")</f>
        <v/>
      </c>
      <c r="C890" s="28"/>
      <c r="D890" s="9"/>
      <c r="E890" s="45"/>
      <c r="F890" s="9"/>
      <c r="G890" s="9"/>
      <c r="H890" s="50"/>
      <c r="I890" s="9"/>
      <c r="J890" s="9"/>
      <c r="K890" s="9"/>
      <c r="L890" s="9"/>
      <c r="M890" s="9"/>
      <c r="N890" s="9"/>
      <c r="O890" s="9"/>
      <c r="P890" s="9"/>
    </row>
    <row r="891" spans="1:16" x14ac:dyDescent="0.25">
      <c r="A891" s="4"/>
      <c r="B891" s="28" t="str">
        <f>IF(ISNUMBER(MATCH(D891, Mgt_Unit!$C$5:$C$1018, 0)), INDEX(Mgt_Unit!$B$5:$B$1018, MATCH(D891, Mgt_Unit!$C$5:$C$1018, 0)), "")</f>
        <v/>
      </c>
      <c r="C891" s="28"/>
      <c r="D891" s="9"/>
      <c r="E891" s="45"/>
      <c r="F891" s="9"/>
      <c r="G891" s="9"/>
      <c r="H891" s="50"/>
      <c r="I891" s="9"/>
      <c r="J891" s="9"/>
      <c r="K891" s="9"/>
      <c r="L891" s="9"/>
      <c r="M891" s="9"/>
      <c r="N891" s="9"/>
      <c r="O891" s="9"/>
      <c r="P891" s="9"/>
    </row>
    <row r="892" spans="1:16" x14ac:dyDescent="0.25">
      <c r="A892" s="4"/>
      <c r="B892" s="28" t="str">
        <f>IF(ISNUMBER(MATCH(D892, Mgt_Unit!$C$5:$C$1018, 0)), INDEX(Mgt_Unit!$B$5:$B$1018, MATCH(D892, Mgt_Unit!$C$5:$C$1018, 0)), "")</f>
        <v/>
      </c>
      <c r="C892" s="28"/>
      <c r="D892" s="9"/>
      <c r="E892" s="45"/>
      <c r="F892" s="9"/>
      <c r="G892" s="9"/>
      <c r="H892" s="50"/>
      <c r="I892" s="9"/>
      <c r="J892" s="9"/>
      <c r="K892" s="9"/>
      <c r="L892" s="9"/>
      <c r="M892" s="9"/>
      <c r="N892" s="9"/>
      <c r="O892" s="9"/>
      <c r="P892" s="9"/>
    </row>
    <row r="893" spans="1:16" x14ac:dyDescent="0.25">
      <c r="A893" s="4"/>
      <c r="B893" s="28" t="str">
        <f>IF(ISNUMBER(MATCH(D893, Mgt_Unit!$C$5:$C$1018, 0)), INDEX(Mgt_Unit!$B$5:$B$1018, MATCH(D893, Mgt_Unit!$C$5:$C$1018, 0)), "")</f>
        <v/>
      </c>
      <c r="C893" s="28"/>
      <c r="D893" s="9"/>
      <c r="E893" s="45"/>
      <c r="F893" s="9"/>
      <c r="G893" s="9"/>
      <c r="H893" s="50"/>
      <c r="I893" s="9"/>
      <c r="J893" s="9"/>
      <c r="K893" s="9"/>
      <c r="L893" s="9"/>
      <c r="M893" s="9"/>
      <c r="N893" s="9"/>
      <c r="O893" s="9"/>
      <c r="P893" s="9"/>
    </row>
    <row r="894" spans="1:16" x14ac:dyDescent="0.25">
      <c r="A894" s="4"/>
      <c r="B894" s="28" t="str">
        <f>IF(ISNUMBER(MATCH(D894, Mgt_Unit!$C$5:$C$1018, 0)), INDEX(Mgt_Unit!$B$5:$B$1018, MATCH(D894, Mgt_Unit!$C$5:$C$1018, 0)), "")</f>
        <v/>
      </c>
      <c r="C894" s="28"/>
      <c r="D894" s="9"/>
      <c r="E894" s="45"/>
      <c r="F894" s="9"/>
      <c r="G894" s="9"/>
      <c r="H894" s="50"/>
      <c r="I894" s="9"/>
      <c r="J894" s="9"/>
      <c r="K894" s="9"/>
      <c r="L894" s="9"/>
      <c r="M894" s="9"/>
      <c r="N894" s="9"/>
      <c r="O894" s="9"/>
      <c r="P894" s="9"/>
    </row>
    <row r="895" spans="1:16" x14ac:dyDescent="0.25">
      <c r="A895" s="4"/>
      <c r="B895" s="28" t="str">
        <f>IF(ISNUMBER(MATCH(D895, Mgt_Unit!$C$5:$C$1018, 0)), INDEX(Mgt_Unit!$B$5:$B$1018, MATCH(D895, Mgt_Unit!$C$5:$C$1018, 0)), "")</f>
        <v/>
      </c>
      <c r="C895" s="28"/>
      <c r="D895" s="9"/>
      <c r="E895" s="45"/>
      <c r="F895" s="9"/>
      <c r="G895" s="9"/>
      <c r="H895" s="50"/>
      <c r="I895" s="9"/>
      <c r="J895" s="9"/>
      <c r="K895" s="9"/>
      <c r="L895" s="9"/>
      <c r="M895" s="9"/>
      <c r="N895" s="9"/>
      <c r="O895" s="9"/>
      <c r="P895" s="9"/>
    </row>
    <row r="896" spans="1:16" x14ac:dyDescent="0.25">
      <c r="A896" s="4"/>
      <c r="B896" s="28" t="str">
        <f>IF(ISNUMBER(MATCH(D896, Mgt_Unit!$C$5:$C$1018, 0)), INDEX(Mgt_Unit!$B$5:$B$1018, MATCH(D896, Mgt_Unit!$C$5:$C$1018, 0)), "")</f>
        <v/>
      </c>
      <c r="C896" s="28"/>
      <c r="D896" s="9"/>
      <c r="E896" s="45"/>
      <c r="F896" s="9"/>
      <c r="G896" s="9"/>
      <c r="H896" s="50"/>
      <c r="I896" s="9"/>
      <c r="J896" s="9"/>
      <c r="K896" s="9"/>
      <c r="L896" s="9"/>
      <c r="M896" s="9"/>
      <c r="N896" s="9"/>
      <c r="O896" s="9"/>
      <c r="P896" s="9"/>
    </row>
    <row r="897" spans="1:16" x14ac:dyDescent="0.25">
      <c r="A897" s="4"/>
      <c r="B897" s="28" t="str">
        <f>IF(ISNUMBER(MATCH(D897, Mgt_Unit!$C$5:$C$1018, 0)), INDEX(Mgt_Unit!$B$5:$B$1018, MATCH(D897, Mgt_Unit!$C$5:$C$1018, 0)), "")</f>
        <v/>
      </c>
      <c r="C897" s="28"/>
      <c r="D897" s="9"/>
      <c r="E897" s="45"/>
      <c r="F897" s="9"/>
      <c r="G897" s="9"/>
      <c r="H897" s="50"/>
      <c r="I897" s="9"/>
      <c r="J897" s="9"/>
      <c r="K897" s="9"/>
      <c r="L897" s="9"/>
      <c r="M897" s="9"/>
      <c r="N897" s="9"/>
      <c r="O897" s="9"/>
      <c r="P897" s="9"/>
    </row>
    <row r="898" spans="1:16" x14ac:dyDescent="0.25">
      <c r="A898" s="4"/>
      <c r="B898" s="28" t="str">
        <f>IF(ISNUMBER(MATCH(D898, Mgt_Unit!$C$5:$C$1018, 0)), INDEX(Mgt_Unit!$B$5:$B$1018, MATCH(D898, Mgt_Unit!$C$5:$C$1018, 0)), "")</f>
        <v/>
      </c>
      <c r="C898" s="28"/>
      <c r="D898" s="9"/>
      <c r="E898" s="45"/>
      <c r="F898" s="9"/>
      <c r="G898" s="9"/>
      <c r="H898" s="50"/>
      <c r="I898" s="9"/>
      <c r="J898" s="9"/>
      <c r="K898" s="9"/>
      <c r="L898" s="9"/>
      <c r="M898" s="9"/>
      <c r="N898" s="9"/>
      <c r="O898" s="9"/>
      <c r="P898" s="9"/>
    </row>
    <row r="899" spans="1:16" x14ac:dyDescent="0.25">
      <c r="A899" s="4"/>
      <c r="B899" s="28" t="str">
        <f>IF(ISNUMBER(MATCH(D899, Mgt_Unit!$C$5:$C$1018, 0)), INDEX(Mgt_Unit!$B$5:$B$1018, MATCH(D899, Mgt_Unit!$C$5:$C$1018, 0)), "")</f>
        <v/>
      </c>
      <c r="C899" s="28"/>
      <c r="D899" s="9"/>
      <c r="E899" s="45"/>
      <c r="F899" s="9"/>
      <c r="G899" s="9"/>
      <c r="H899" s="50"/>
      <c r="I899" s="9"/>
      <c r="J899" s="9"/>
      <c r="K899" s="9"/>
      <c r="L899" s="9"/>
      <c r="M899" s="9"/>
      <c r="N899" s="9"/>
      <c r="O899" s="9"/>
      <c r="P899" s="9"/>
    </row>
    <row r="900" spans="1:16" x14ac:dyDescent="0.25">
      <c r="A900" s="4"/>
      <c r="B900" s="28" t="str">
        <f>IF(ISNUMBER(MATCH(D900, Mgt_Unit!$C$5:$C$1018, 0)), INDEX(Mgt_Unit!$B$5:$B$1018, MATCH(D900, Mgt_Unit!$C$5:$C$1018, 0)), "")</f>
        <v/>
      </c>
      <c r="C900" s="28"/>
      <c r="D900" s="9"/>
      <c r="E900" s="45"/>
      <c r="F900" s="9"/>
      <c r="G900" s="9"/>
      <c r="H900" s="50"/>
      <c r="I900" s="9"/>
      <c r="J900" s="9"/>
      <c r="K900" s="9"/>
      <c r="L900" s="9"/>
      <c r="M900" s="9"/>
      <c r="N900" s="9"/>
      <c r="O900" s="9"/>
      <c r="P900" s="9"/>
    </row>
    <row r="901" spans="1:16" x14ac:dyDescent="0.25">
      <c r="A901" s="4"/>
      <c r="B901" s="28" t="str">
        <f>IF(ISNUMBER(MATCH(D901, Mgt_Unit!$C$5:$C$1018, 0)), INDEX(Mgt_Unit!$B$5:$B$1018, MATCH(D901, Mgt_Unit!$C$5:$C$1018, 0)), "")</f>
        <v/>
      </c>
      <c r="C901" s="28"/>
      <c r="D901" s="9"/>
      <c r="E901" s="45"/>
      <c r="F901" s="9"/>
      <c r="G901" s="9"/>
      <c r="H901" s="50"/>
      <c r="I901" s="9"/>
      <c r="J901" s="9"/>
      <c r="K901" s="9"/>
      <c r="L901" s="9"/>
      <c r="M901" s="9"/>
      <c r="N901" s="9"/>
      <c r="O901" s="9"/>
      <c r="P901" s="9"/>
    </row>
    <row r="902" spans="1:16" x14ac:dyDescent="0.25">
      <c r="A902" s="4"/>
      <c r="B902" s="28" t="str">
        <f>IF(ISNUMBER(MATCH(D902, Mgt_Unit!$C$5:$C$1018, 0)), INDEX(Mgt_Unit!$B$5:$B$1018, MATCH(D902, Mgt_Unit!$C$5:$C$1018, 0)), "")</f>
        <v/>
      </c>
      <c r="C902" s="28"/>
      <c r="D902" s="9"/>
      <c r="E902" s="45"/>
      <c r="F902" s="9"/>
      <c r="G902" s="9"/>
      <c r="H902" s="50"/>
      <c r="I902" s="9"/>
      <c r="J902" s="9"/>
      <c r="K902" s="9"/>
      <c r="L902" s="9"/>
      <c r="M902" s="9"/>
      <c r="N902" s="9"/>
      <c r="O902" s="9"/>
      <c r="P902" s="9"/>
    </row>
    <row r="903" spans="1:16" x14ac:dyDescent="0.25">
      <c r="A903" s="4"/>
      <c r="B903" s="28" t="str">
        <f>IF(ISNUMBER(MATCH(D903, Mgt_Unit!$C$5:$C$1018, 0)), INDEX(Mgt_Unit!$B$5:$B$1018, MATCH(D903, Mgt_Unit!$C$5:$C$1018, 0)), "")</f>
        <v/>
      </c>
      <c r="C903" s="28"/>
      <c r="D903" s="9"/>
      <c r="E903" s="45"/>
      <c r="F903" s="9"/>
      <c r="G903" s="9"/>
      <c r="H903" s="50"/>
      <c r="I903" s="9"/>
      <c r="J903" s="9"/>
      <c r="K903" s="9"/>
      <c r="L903" s="9"/>
      <c r="M903" s="9"/>
      <c r="N903" s="9"/>
      <c r="O903" s="9"/>
      <c r="P903" s="9"/>
    </row>
    <row r="904" spans="1:16" x14ac:dyDescent="0.25">
      <c r="A904" s="4"/>
      <c r="B904" s="28" t="str">
        <f>IF(ISNUMBER(MATCH(D904, Mgt_Unit!$C$5:$C$1018, 0)), INDEX(Mgt_Unit!$B$5:$B$1018, MATCH(D904, Mgt_Unit!$C$5:$C$1018, 0)), "")</f>
        <v/>
      </c>
      <c r="C904" s="28"/>
      <c r="D904" s="9"/>
      <c r="E904" s="45"/>
      <c r="F904" s="9"/>
      <c r="G904" s="9"/>
      <c r="H904" s="50"/>
      <c r="I904" s="9"/>
      <c r="J904" s="9"/>
      <c r="K904" s="9"/>
      <c r="L904" s="9"/>
      <c r="M904" s="9"/>
      <c r="N904" s="9"/>
      <c r="O904" s="9"/>
      <c r="P904" s="9"/>
    </row>
    <row r="905" spans="1:16" x14ac:dyDescent="0.25">
      <c r="A905" s="4"/>
      <c r="B905" s="28" t="str">
        <f>IF(ISNUMBER(MATCH(D905, Mgt_Unit!$C$5:$C$1018, 0)), INDEX(Mgt_Unit!$B$5:$B$1018, MATCH(D905, Mgt_Unit!$C$5:$C$1018, 0)), "")</f>
        <v/>
      </c>
      <c r="C905" s="28"/>
      <c r="D905" s="9"/>
      <c r="E905" s="45"/>
      <c r="F905" s="9"/>
      <c r="G905" s="9"/>
      <c r="H905" s="50"/>
      <c r="I905" s="9"/>
      <c r="J905" s="9"/>
      <c r="K905" s="9"/>
      <c r="L905" s="9"/>
      <c r="M905" s="9"/>
      <c r="N905" s="9"/>
      <c r="O905" s="9"/>
      <c r="P905" s="9"/>
    </row>
    <row r="906" spans="1:16" x14ac:dyDescent="0.25">
      <c r="A906" s="4"/>
      <c r="B906" s="28" t="str">
        <f>IF(ISNUMBER(MATCH(D906, Mgt_Unit!$C$5:$C$1018, 0)), INDEX(Mgt_Unit!$B$5:$B$1018, MATCH(D906, Mgt_Unit!$C$5:$C$1018, 0)), "")</f>
        <v/>
      </c>
      <c r="C906" s="28"/>
      <c r="D906" s="9"/>
      <c r="E906" s="45"/>
      <c r="F906" s="9"/>
      <c r="G906" s="9"/>
      <c r="H906" s="50"/>
      <c r="I906" s="9"/>
      <c r="J906" s="9"/>
      <c r="K906" s="9"/>
      <c r="L906" s="9"/>
      <c r="M906" s="9"/>
      <c r="N906" s="9"/>
      <c r="O906" s="9"/>
      <c r="P906" s="9"/>
    </row>
    <row r="907" spans="1:16" x14ac:dyDescent="0.25">
      <c r="A907" s="4"/>
      <c r="B907" s="28" t="str">
        <f>IF(ISNUMBER(MATCH(D907, Mgt_Unit!$C$5:$C$1018, 0)), INDEX(Mgt_Unit!$B$5:$B$1018, MATCH(D907, Mgt_Unit!$C$5:$C$1018, 0)), "")</f>
        <v/>
      </c>
      <c r="C907" s="28"/>
      <c r="D907" s="9"/>
      <c r="E907" s="45"/>
      <c r="F907" s="9"/>
      <c r="G907" s="9"/>
      <c r="H907" s="50"/>
      <c r="I907" s="9"/>
      <c r="J907" s="9"/>
      <c r="K907" s="9"/>
      <c r="L907" s="9"/>
      <c r="M907" s="9"/>
      <c r="N907" s="9"/>
      <c r="O907" s="9"/>
      <c r="P907" s="9"/>
    </row>
    <row r="908" spans="1:16" x14ac:dyDescent="0.25">
      <c r="A908" s="4"/>
      <c r="B908" s="28" t="str">
        <f>IF(ISNUMBER(MATCH(D908, Mgt_Unit!$C$5:$C$1018, 0)), INDEX(Mgt_Unit!$B$5:$B$1018, MATCH(D908, Mgt_Unit!$C$5:$C$1018, 0)), "")</f>
        <v/>
      </c>
      <c r="C908" s="28"/>
      <c r="D908" s="9"/>
      <c r="E908" s="45"/>
      <c r="F908" s="9"/>
      <c r="G908" s="9"/>
      <c r="H908" s="50"/>
      <c r="I908" s="9"/>
      <c r="J908" s="9"/>
      <c r="K908" s="9"/>
      <c r="L908" s="9"/>
      <c r="M908" s="9"/>
      <c r="N908" s="9"/>
      <c r="O908" s="9"/>
      <c r="P908" s="9"/>
    </row>
    <row r="909" spans="1:16" x14ac:dyDescent="0.25">
      <c r="A909" s="4"/>
      <c r="B909" s="28" t="str">
        <f>IF(ISNUMBER(MATCH(D909, Mgt_Unit!$C$5:$C$1018, 0)), INDEX(Mgt_Unit!$B$5:$B$1018, MATCH(D909, Mgt_Unit!$C$5:$C$1018, 0)), "")</f>
        <v/>
      </c>
      <c r="C909" s="28"/>
      <c r="D909" s="9"/>
      <c r="E909" s="45"/>
      <c r="F909" s="9"/>
      <c r="G909" s="9"/>
      <c r="H909" s="50"/>
      <c r="I909" s="9"/>
      <c r="J909" s="9"/>
      <c r="K909" s="9"/>
      <c r="L909" s="9"/>
      <c r="M909" s="9"/>
      <c r="N909" s="9"/>
      <c r="O909" s="9"/>
      <c r="P909" s="9"/>
    </row>
    <row r="910" spans="1:16" x14ac:dyDescent="0.25">
      <c r="A910" s="4"/>
      <c r="B910" s="28" t="str">
        <f>IF(ISNUMBER(MATCH(D910, Mgt_Unit!$C$5:$C$1018, 0)), INDEX(Mgt_Unit!$B$5:$B$1018, MATCH(D910, Mgt_Unit!$C$5:$C$1018, 0)), "")</f>
        <v/>
      </c>
      <c r="C910" s="28"/>
      <c r="D910" s="9"/>
      <c r="E910" s="45"/>
      <c r="F910" s="9"/>
      <c r="G910" s="9"/>
      <c r="H910" s="50"/>
      <c r="I910" s="9"/>
      <c r="J910" s="9"/>
      <c r="K910" s="9"/>
      <c r="L910" s="9"/>
      <c r="M910" s="9"/>
      <c r="N910" s="9"/>
      <c r="O910" s="9"/>
      <c r="P910" s="9"/>
    </row>
    <row r="911" spans="1:16" x14ac:dyDescent="0.25">
      <c r="A911" s="4"/>
      <c r="B911" s="28" t="str">
        <f>IF(ISNUMBER(MATCH(D911, Mgt_Unit!$C$5:$C$1018, 0)), INDEX(Mgt_Unit!$B$5:$B$1018, MATCH(D911, Mgt_Unit!$C$5:$C$1018, 0)), "")</f>
        <v/>
      </c>
      <c r="C911" s="28"/>
      <c r="D911" s="9"/>
      <c r="E911" s="45"/>
      <c r="F911" s="9"/>
      <c r="G911" s="9"/>
      <c r="H911" s="50"/>
      <c r="I911" s="9"/>
      <c r="J911" s="9"/>
      <c r="K911" s="9"/>
      <c r="L911" s="9"/>
      <c r="M911" s="9"/>
      <c r="N911" s="9"/>
      <c r="O911" s="9"/>
      <c r="P911" s="9"/>
    </row>
    <row r="912" spans="1:16" x14ac:dyDescent="0.25">
      <c r="A912" s="4"/>
      <c r="B912" s="28" t="str">
        <f>IF(ISNUMBER(MATCH(D912, Mgt_Unit!$C$5:$C$1018, 0)), INDEX(Mgt_Unit!$B$5:$B$1018, MATCH(D912, Mgt_Unit!$C$5:$C$1018, 0)), "")</f>
        <v/>
      </c>
      <c r="C912" s="28"/>
      <c r="D912" s="9"/>
      <c r="E912" s="45"/>
      <c r="F912" s="9"/>
      <c r="G912" s="9"/>
      <c r="H912" s="50"/>
      <c r="I912" s="9"/>
      <c r="J912" s="9"/>
      <c r="K912" s="9"/>
      <c r="L912" s="9"/>
      <c r="M912" s="9"/>
      <c r="N912" s="9"/>
      <c r="O912" s="9"/>
      <c r="P912" s="9"/>
    </row>
    <row r="913" spans="1:16" x14ac:dyDescent="0.25">
      <c r="A913" s="4"/>
      <c r="B913" s="28" t="str">
        <f>IF(ISNUMBER(MATCH(D913, Mgt_Unit!$C$5:$C$1018, 0)), INDEX(Mgt_Unit!$B$5:$B$1018, MATCH(D913, Mgt_Unit!$C$5:$C$1018, 0)), "")</f>
        <v/>
      </c>
      <c r="C913" s="28"/>
      <c r="D913" s="9"/>
      <c r="E913" s="45"/>
      <c r="F913" s="9"/>
      <c r="G913" s="9"/>
      <c r="H913" s="50"/>
      <c r="I913" s="9"/>
      <c r="J913" s="9"/>
      <c r="K913" s="9"/>
      <c r="L913" s="9"/>
      <c r="M913" s="9"/>
      <c r="N913" s="9"/>
      <c r="O913" s="9"/>
      <c r="P913" s="9"/>
    </row>
    <row r="914" spans="1:16" x14ac:dyDescent="0.25">
      <c r="A914" s="4"/>
      <c r="B914" s="28" t="str">
        <f>IF(ISNUMBER(MATCH(D914, Mgt_Unit!$C$5:$C$1018, 0)), INDEX(Mgt_Unit!$B$5:$B$1018, MATCH(D914, Mgt_Unit!$C$5:$C$1018, 0)), "")</f>
        <v/>
      </c>
      <c r="C914" s="28"/>
      <c r="D914" s="9"/>
      <c r="E914" s="45"/>
      <c r="F914" s="9"/>
      <c r="G914" s="9"/>
      <c r="H914" s="50"/>
      <c r="I914" s="9"/>
      <c r="J914" s="9"/>
      <c r="K914" s="9"/>
      <c r="L914" s="9"/>
      <c r="M914" s="9"/>
      <c r="N914" s="9"/>
      <c r="O914" s="9"/>
      <c r="P914" s="9"/>
    </row>
    <row r="915" spans="1:16" x14ac:dyDescent="0.25">
      <c r="A915" s="4"/>
      <c r="B915" s="28" t="str">
        <f>IF(ISNUMBER(MATCH(D915, Mgt_Unit!$C$5:$C$1018, 0)), INDEX(Mgt_Unit!$B$5:$B$1018, MATCH(D915, Mgt_Unit!$C$5:$C$1018, 0)), "")</f>
        <v/>
      </c>
      <c r="C915" s="28"/>
      <c r="D915" s="9"/>
      <c r="E915" s="45"/>
      <c r="F915" s="9"/>
      <c r="G915" s="9"/>
      <c r="H915" s="50"/>
      <c r="I915" s="9"/>
      <c r="J915" s="9"/>
      <c r="K915" s="9"/>
      <c r="L915" s="9"/>
      <c r="M915" s="9"/>
      <c r="N915" s="9"/>
      <c r="O915" s="9"/>
      <c r="P915" s="9"/>
    </row>
    <row r="916" spans="1:16" x14ac:dyDescent="0.25">
      <c r="A916" s="4"/>
      <c r="B916" s="28" t="str">
        <f>IF(ISNUMBER(MATCH(D916, Mgt_Unit!$C$5:$C$1018, 0)), INDEX(Mgt_Unit!$B$5:$B$1018, MATCH(D916, Mgt_Unit!$C$5:$C$1018, 0)), "")</f>
        <v/>
      </c>
      <c r="C916" s="28"/>
      <c r="D916" s="9"/>
      <c r="E916" s="45"/>
      <c r="F916" s="9"/>
      <c r="G916" s="9"/>
      <c r="H916" s="50"/>
      <c r="I916" s="9"/>
      <c r="J916" s="9"/>
      <c r="K916" s="9"/>
      <c r="L916" s="9"/>
      <c r="M916" s="9"/>
      <c r="N916" s="9"/>
      <c r="O916" s="9"/>
      <c r="P916" s="9"/>
    </row>
    <row r="917" spans="1:16" x14ac:dyDescent="0.25">
      <c r="A917" s="4"/>
      <c r="B917" s="28" t="str">
        <f>IF(ISNUMBER(MATCH(D917, Mgt_Unit!$C$5:$C$1018, 0)), INDEX(Mgt_Unit!$B$5:$B$1018, MATCH(D917, Mgt_Unit!$C$5:$C$1018, 0)), "")</f>
        <v/>
      </c>
      <c r="C917" s="28"/>
      <c r="D917" s="9"/>
      <c r="E917" s="45"/>
      <c r="F917" s="9"/>
      <c r="G917" s="9"/>
      <c r="H917" s="50"/>
      <c r="I917" s="9"/>
      <c r="J917" s="9"/>
      <c r="K917" s="9"/>
      <c r="L917" s="9"/>
      <c r="M917" s="9"/>
      <c r="N917" s="9"/>
      <c r="O917" s="9"/>
      <c r="P917" s="9"/>
    </row>
    <row r="918" spans="1:16" x14ac:dyDescent="0.25">
      <c r="A918" s="4"/>
      <c r="B918" s="28" t="str">
        <f>IF(ISNUMBER(MATCH(D918, Mgt_Unit!$C$5:$C$1018, 0)), INDEX(Mgt_Unit!$B$5:$B$1018, MATCH(D918, Mgt_Unit!$C$5:$C$1018, 0)), "")</f>
        <v/>
      </c>
      <c r="C918" s="28"/>
      <c r="D918" s="9"/>
      <c r="E918" s="45"/>
      <c r="F918" s="9"/>
      <c r="G918" s="9"/>
      <c r="H918" s="50"/>
      <c r="I918" s="9"/>
      <c r="J918" s="9"/>
      <c r="K918" s="9"/>
      <c r="L918" s="9"/>
      <c r="M918" s="9"/>
      <c r="N918" s="9"/>
      <c r="O918" s="9"/>
      <c r="P918" s="9"/>
    </row>
    <row r="919" spans="1:16" x14ac:dyDescent="0.25">
      <c r="A919" s="4"/>
      <c r="B919" s="28" t="str">
        <f>IF(ISNUMBER(MATCH(D919, Mgt_Unit!$C$5:$C$1018, 0)), INDEX(Mgt_Unit!$B$5:$B$1018, MATCH(D919, Mgt_Unit!$C$5:$C$1018, 0)), "")</f>
        <v/>
      </c>
      <c r="C919" s="28"/>
      <c r="D919" s="9"/>
      <c r="E919" s="45"/>
      <c r="F919" s="9"/>
      <c r="G919" s="9"/>
      <c r="H919" s="50"/>
      <c r="I919" s="9"/>
      <c r="J919" s="9"/>
      <c r="K919" s="9"/>
      <c r="L919" s="9"/>
      <c r="M919" s="9"/>
      <c r="N919" s="9"/>
      <c r="O919" s="9"/>
      <c r="P919" s="9"/>
    </row>
    <row r="920" spans="1:16" x14ac:dyDescent="0.25">
      <c r="A920" s="4"/>
      <c r="B920" s="28" t="str">
        <f>IF(ISNUMBER(MATCH(D920, Mgt_Unit!$C$5:$C$1018, 0)), INDEX(Mgt_Unit!$B$5:$B$1018, MATCH(D920, Mgt_Unit!$C$5:$C$1018, 0)), "")</f>
        <v/>
      </c>
      <c r="C920" s="28"/>
      <c r="D920" s="9"/>
      <c r="E920" s="45"/>
      <c r="F920" s="9"/>
      <c r="G920" s="9"/>
      <c r="H920" s="50"/>
      <c r="I920" s="9"/>
      <c r="J920" s="9"/>
      <c r="K920" s="9"/>
      <c r="L920" s="9"/>
      <c r="M920" s="9"/>
      <c r="N920" s="9"/>
      <c r="O920" s="9"/>
      <c r="P920" s="9"/>
    </row>
    <row r="921" spans="1:16" x14ac:dyDescent="0.25">
      <c r="A921" s="4"/>
      <c r="B921" s="28" t="str">
        <f>IF(ISNUMBER(MATCH(D921, Mgt_Unit!$C$5:$C$1018, 0)), INDEX(Mgt_Unit!$B$5:$B$1018, MATCH(D921, Mgt_Unit!$C$5:$C$1018, 0)), "")</f>
        <v/>
      </c>
      <c r="C921" s="28"/>
      <c r="D921" s="9"/>
      <c r="E921" s="45"/>
      <c r="F921" s="9"/>
      <c r="G921" s="9"/>
      <c r="H921" s="50"/>
      <c r="I921" s="9"/>
      <c r="J921" s="9"/>
      <c r="K921" s="9"/>
      <c r="L921" s="9"/>
      <c r="M921" s="9"/>
      <c r="N921" s="9"/>
      <c r="O921" s="9"/>
      <c r="P921" s="9"/>
    </row>
    <row r="922" spans="1:16" x14ac:dyDescent="0.25">
      <c r="A922" s="4"/>
      <c r="B922" s="28" t="str">
        <f>IF(ISNUMBER(MATCH(D922, Mgt_Unit!$C$5:$C$1018, 0)), INDEX(Mgt_Unit!$B$5:$B$1018, MATCH(D922, Mgt_Unit!$C$5:$C$1018, 0)), "")</f>
        <v/>
      </c>
      <c r="C922" s="28"/>
      <c r="D922" s="9"/>
      <c r="E922" s="45"/>
      <c r="F922" s="9"/>
      <c r="G922" s="9"/>
      <c r="H922" s="50"/>
      <c r="I922" s="9"/>
      <c r="J922" s="9"/>
      <c r="K922" s="9"/>
      <c r="L922" s="9"/>
      <c r="M922" s="9"/>
      <c r="N922" s="9"/>
      <c r="O922" s="9"/>
      <c r="P922" s="9"/>
    </row>
    <row r="923" spans="1:16" x14ac:dyDescent="0.25">
      <c r="A923" s="4"/>
      <c r="B923" s="28" t="str">
        <f>IF(ISNUMBER(MATCH(D923, Mgt_Unit!$C$5:$C$1018, 0)), INDEX(Mgt_Unit!$B$5:$B$1018, MATCH(D923, Mgt_Unit!$C$5:$C$1018, 0)), "")</f>
        <v/>
      </c>
      <c r="C923" s="28"/>
      <c r="D923" s="9"/>
      <c r="E923" s="45"/>
      <c r="F923" s="9"/>
      <c r="G923" s="9"/>
      <c r="H923" s="50"/>
      <c r="I923" s="9"/>
      <c r="J923" s="9"/>
      <c r="K923" s="9"/>
      <c r="L923" s="9"/>
      <c r="M923" s="9"/>
      <c r="N923" s="9"/>
      <c r="O923" s="9"/>
      <c r="P923" s="9"/>
    </row>
    <row r="924" spans="1:16" x14ac:dyDescent="0.25">
      <c r="A924" s="4"/>
      <c r="B924" s="28" t="str">
        <f>IF(ISNUMBER(MATCH(D924, Mgt_Unit!$C$5:$C$1018, 0)), INDEX(Mgt_Unit!$B$5:$B$1018, MATCH(D924, Mgt_Unit!$C$5:$C$1018, 0)), "")</f>
        <v/>
      </c>
      <c r="C924" s="28"/>
      <c r="D924" s="9"/>
      <c r="E924" s="45"/>
      <c r="F924" s="9"/>
      <c r="G924" s="9"/>
      <c r="H924" s="50"/>
      <c r="I924" s="9"/>
      <c r="J924" s="9"/>
      <c r="K924" s="9"/>
      <c r="L924" s="9"/>
      <c r="M924" s="9"/>
      <c r="N924" s="9"/>
      <c r="O924" s="9"/>
      <c r="P924" s="9"/>
    </row>
    <row r="925" spans="1:16" x14ac:dyDescent="0.25">
      <c r="A925" s="4"/>
      <c r="B925" s="28" t="str">
        <f>IF(ISNUMBER(MATCH(D925, Mgt_Unit!$C$5:$C$1018, 0)), INDEX(Mgt_Unit!$B$5:$B$1018, MATCH(D925, Mgt_Unit!$C$5:$C$1018, 0)), "")</f>
        <v/>
      </c>
      <c r="C925" s="28"/>
      <c r="D925" s="9"/>
      <c r="E925" s="45"/>
      <c r="F925" s="9"/>
      <c r="G925" s="9"/>
      <c r="H925" s="50"/>
      <c r="I925" s="9"/>
      <c r="J925" s="9"/>
      <c r="K925" s="9"/>
      <c r="L925" s="9"/>
      <c r="M925" s="9"/>
      <c r="N925" s="9"/>
      <c r="O925" s="9"/>
      <c r="P925" s="9"/>
    </row>
    <row r="926" spans="1:16" x14ac:dyDescent="0.25">
      <c r="A926" s="4"/>
      <c r="B926" s="28" t="str">
        <f>IF(ISNUMBER(MATCH(D926, Mgt_Unit!$C$5:$C$1018, 0)), INDEX(Mgt_Unit!$B$5:$B$1018, MATCH(D926, Mgt_Unit!$C$5:$C$1018, 0)), "")</f>
        <v/>
      </c>
      <c r="C926" s="28"/>
      <c r="D926" s="9"/>
      <c r="E926" s="45"/>
      <c r="F926" s="9"/>
      <c r="G926" s="9"/>
      <c r="H926" s="50"/>
      <c r="I926" s="9"/>
      <c r="J926" s="9"/>
      <c r="K926" s="9"/>
      <c r="L926" s="9"/>
      <c r="M926" s="9"/>
      <c r="N926" s="9"/>
      <c r="O926" s="9"/>
      <c r="P926" s="9"/>
    </row>
    <row r="927" spans="1:16" x14ac:dyDescent="0.25">
      <c r="A927" s="4"/>
      <c r="B927" s="28" t="str">
        <f>IF(ISNUMBER(MATCH(D927, Mgt_Unit!$C$5:$C$1018, 0)), INDEX(Mgt_Unit!$B$5:$B$1018, MATCH(D927, Mgt_Unit!$C$5:$C$1018, 0)), "")</f>
        <v/>
      </c>
      <c r="C927" s="28"/>
      <c r="D927" s="9"/>
      <c r="E927" s="45"/>
      <c r="F927" s="9"/>
      <c r="G927" s="9"/>
      <c r="H927" s="50"/>
      <c r="I927" s="9"/>
      <c r="J927" s="9"/>
      <c r="K927" s="9"/>
      <c r="L927" s="9"/>
      <c r="M927" s="9"/>
      <c r="N927" s="9"/>
      <c r="O927" s="9"/>
      <c r="P927" s="9"/>
    </row>
    <row r="928" spans="1:16" x14ac:dyDescent="0.25">
      <c r="A928" s="4"/>
      <c r="B928" s="28" t="str">
        <f>IF(ISNUMBER(MATCH(D928, Mgt_Unit!$C$5:$C$1018, 0)), INDEX(Mgt_Unit!$B$5:$B$1018, MATCH(D928, Mgt_Unit!$C$5:$C$1018, 0)), "")</f>
        <v/>
      </c>
      <c r="C928" s="28"/>
      <c r="D928" s="9"/>
      <c r="E928" s="45"/>
      <c r="F928" s="9"/>
      <c r="G928" s="9"/>
      <c r="H928" s="50"/>
      <c r="I928" s="9"/>
      <c r="J928" s="9"/>
      <c r="K928" s="9"/>
      <c r="L928" s="9"/>
      <c r="M928" s="9"/>
      <c r="N928" s="9"/>
      <c r="O928" s="9"/>
      <c r="P928" s="9"/>
    </row>
    <row r="929" spans="1:16" x14ac:dyDescent="0.25">
      <c r="A929" s="4"/>
      <c r="B929" s="28" t="str">
        <f>IF(ISNUMBER(MATCH(D929, Mgt_Unit!$C$5:$C$1018, 0)), INDEX(Mgt_Unit!$B$5:$B$1018, MATCH(D929, Mgt_Unit!$C$5:$C$1018, 0)), "")</f>
        <v/>
      </c>
      <c r="C929" s="28"/>
      <c r="D929" s="9"/>
      <c r="E929" s="45"/>
      <c r="F929" s="9"/>
      <c r="G929" s="9"/>
      <c r="H929" s="50"/>
      <c r="I929" s="9"/>
      <c r="J929" s="9"/>
      <c r="K929" s="9"/>
      <c r="L929" s="9"/>
      <c r="M929" s="9"/>
      <c r="N929" s="9"/>
      <c r="O929" s="9"/>
      <c r="P929" s="9"/>
    </row>
    <row r="930" spans="1:16" x14ac:dyDescent="0.25">
      <c r="A930" s="4"/>
      <c r="B930" s="28" t="str">
        <f>IF(ISNUMBER(MATCH(D930, Mgt_Unit!$C$5:$C$1018, 0)), INDEX(Mgt_Unit!$B$5:$B$1018, MATCH(D930, Mgt_Unit!$C$5:$C$1018, 0)), "")</f>
        <v/>
      </c>
      <c r="C930" s="28"/>
      <c r="D930" s="9"/>
      <c r="E930" s="45"/>
      <c r="F930" s="9"/>
      <c r="G930" s="9"/>
      <c r="H930" s="50"/>
      <c r="I930" s="9"/>
      <c r="J930" s="9"/>
      <c r="K930" s="9"/>
      <c r="L930" s="9"/>
      <c r="M930" s="9"/>
      <c r="N930" s="9"/>
      <c r="O930" s="9"/>
      <c r="P930" s="9"/>
    </row>
    <row r="931" spans="1:16" x14ac:dyDescent="0.25">
      <c r="A931" s="4"/>
      <c r="B931" s="28" t="str">
        <f>IF(ISNUMBER(MATCH(D931, Mgt_Unit!$C$5:$C$1018, 0)), INDEX(Mgt_Unit!$B$5:$B$1018, MATCH(D931, Mgt_Unit!$C$5:$C$1018, 0)), "")</f>
        <v/>
      </c>
      <c r="C931" s="28"/>
      <c r="D931" s="9"/>
      <c r="E931" s="45"/>
      <c r="F931" s="9"/>
      <c r="G931" s="9"/>
      <c r="H931" s="50"/>
      <c r="I931" s="9"/>
      <c r="J931" s="9"/>
      <c r="K931" s="9"/>
      <c r="L931" s="9"/>
      <c r="M931" s="9"/>
      <c r="N931" s="9"/>
      <c r="O931" s="9"/>
      <c r="P931" s="9"/>
    </row>
    <row r="932" spans="1:16" x14ac:dyDescent="0.25">
      <c r="A932" s="4"/>
      <c r="B932" s="28" t="str">
        <f>IF(ISNUMBER(MATCH(D932, Mgt_Unit!$C$5:$C$1018, 0)), INDEX(Mgt_Unit!$B$5:$B$1018, MATCH(D932, Mgt_Unit!$C$5:$C$1018, 0)), "")</f>
        <v/>
      </c>
      <c r="C932" s="28"/>
      <c r="D932" s="9"/>
      <c r="E932" s="45"/>
      <c r="F932" s="9"/>
      <c r="G932" s="9"/>
      <c r="H932" s="50"/>
      <c r="I932" s="9"/>
      <c r="J932" s="9"/>
      <c r="K932" s="9"/>
      <c r="L932" s="9"/>
      <c r="M932" s="9"/>
      <c r="N932" s="9"/>
      <c r="O932" s="9"/>
      <c r="P932" s="9"/>
    </row>
    <row r="933" spans="1:16" x14ac:dyDescent="0.25">
      <c r="A933" s="4"/>
      <c r="B933" s="28" t="str">
        <f>IF(ISNUMBER(MATCH(D933, Mgt_Unit!$C$5:$C$1018, 0)), INDEX(Mgt_Unit!$B$5:$B$1018, MATCH(D933, Mgt_Unit!$C$5:$C$1018, 0)), "")</f>
        <v/>
      </c>
      <c r="C933" s="28"/>
      <c r="D933" s="9"/>
      <c r="E933" s="45"/>
      <c r="F933" s="9"/>
      <c r="G933" s="9"/>
      <c r="H933" s="50"/>
      <c r="I933" s="9"/>
      <c r="J933" s="9"/>
      <c r="K933" s="9"/>
      <c r="L933" s="9"/>
      <c r="M933" s="9"/>
      <c r="N933" s="9"/>
      <c r="O933" s="9"/>
      <c r="P933" s="9"/>
    </row>
    <row r="934" spans="1:16" x14ac:dyDescent="0.25">
      <c r="A934" s="4"/>
      <c r="B934" s="28" t="str">
        <f>IF(ISNUMBER(MATCH(D934, Mgt_Unit!$C$5:$C$1018, 0)), INDEX(Mgt_Unit!$B$5:$B$1018, MATCH(D934, Mgt_Unit!$C$5:$C$1018, 0)), "")</f>
        <v/>
      </c>
      <c r="C934" s="28"/>
      <c r="D934" s="9"/>
      <c r="E934" s="45"/>
      <c r="F934" s="9"/>
      <c r="G934" s="9"/>
      <c r="H934" s="50"/>
      <c r="I934" s="9"/>
      <c r="J934" s="9"/>
      <c r="K934" s="9"/>
      <c r="L934" s="9"/>
      <c r="M934" s="9"/>
      <c r="N934" s="9"/>
      <c r="O934" s="9"/>
      <c r="P934" s="9"/>
    </row>
    <row r="935" spans="1:16" x14ac:dyDescent="0.25">
      <c r="A935" s="4"/>
      <c r="B935" s="28" t="str">
        <f>IF(ISNUMBER(MATCH(D935, Mgt_Unit!$C$5:$C$1018, 0)), INDEX(Mgt_Unit!$B$5:$B$1018, MATCH(D935, Mgt_Unit!$C$5:$C$1018, 0)), "")</f>
        <v/>
      </c>
      <c r="C935" s="28"/>
      <c r="D935" s="9"/>
      <c r="E935" s="45"/>
      <c r="F935" s="9"/>
      <c r="G935" s="9"/>
      <c r="H935" s="50"/>
      <c r="I935" s="9"/>
      <c r="J935" s="9"/>
      <c r="K935" s="9"/>
      <c r="L935" s="9"/>
      <c r="M935" s="9"/>
      <c r="N935" s="9"/>
      <c r="O935" s="9"/>
      <c r="P935" s="9"/>
    </row>
    <row r="936" spans="1:16" x14ac:dyDescent="0.25">
      <c r="A936" s="4"/>
      <c r="B936" s="28" t="str">
        <f>IF(ISNUMBER(MATCH(D936, Mgt_Unit!$C$5:$C$1018, 0)), INDEX(Mgt_Unit!$B$5:$B$1018, MATCH(D936, Mgt_Unit!$C$5:$C$1018, 0)), "")</f>
        <v/>
      </c>
      <c r="C936" s="28"/>
      <c r="D936" s="9"/>
      <c r="E936" s="45"/>
      <c r="F936" s="9"/>
      <c r="G936" s="9"/>
      <c r="H936" s="50"/>
      <c r="I936" s="9"/>
      <c r="J936" s="9"/>
      <c r="K936" s="9"/>
      <c r="L936" s="9"/>
      <c r="M936" s="9"/>
      <c r="N936" s="9"/>
      <c r="O936" s="9"/>
      <c r="P936" s="9"/>
    </row>
    <row r="937" spans="1:16" x14ac:dyDescent="0.25">
      <c r="A937" s="4"/>
      <c r="B937" s="28" t="str">
        <f>IF(ISNUMBER(MATCH(D937, Mgt_Unit!$C$5:$C$1018, 0)), INDEX(Mgt_Unit!$B$5:$B$1018, MATCH(D937, Mgt_Unit!$C$5:$C$1018, 0)), "")</f>
        <v/>
      </c>
      <c r="C937" s="28"/>
      <c r="D937" s="9"/>
      <c r="E937" s="45"/>
      <c r="F937" s="9"/>
      <c r="G937" s="9"/>
      <c r="H937" s="50"/>
      <c r="I937" s="9"/>
      <c r="J937" s="9"/>
      <c r="K937" s="9"/>
      <c r="L937" s="9"/>
      <c r="M937" s="9"/>
      <c r="N937" s="9"/>
      <c r="O937" s="9"/>
      <c r="P937" s="9"/>
    </row>
    <row r="938" spans="1:16" x14ac:dyDescent="0.25">
      <c r="A938" s="4"/>
      <c r="B938" s="28" t="str">
        <f>IF(ISNUMBER(MATCH(D938, Mgt_Unit!$C$5:$C$1018, 0)), INDEX(Mgt_Unit!$B$5:$B$1018, MATCH(D938, Mgt_Unit!$C$5:$C$1018, 0)), "")</f>
        <v/>
      </c>
      <c r="C938" s="28"/>
      <c r="D938" s="9"/>
      <c r="E938" s="45"/>
      <c r="F938" s="9"/>
      <c r="G938" s="9"/>
      <c r="H938" s="50"/>
      <c r="I938" s="9"/>
      <c r="J938" s="9"/>
      <c r="K938" s="9"/>
      <c r="L938" s="9"/>
      <c r="M938" s="9"/>
      <c r="N938" s="9"/>
      <c r="O938" s="9"/>
      <c r="P938" s="9"/>
    </row>
    <row r="939" spans="1:16" x14ac:dyDescent="0.25">
      <c r="A939" s="4"/>
      <c r="B939" s="28" t="str">
        <f>IF(ISNUMBER(MATCH(D939, Mgt_Unit!$C$5:$C$1018, 0)), INDEX(Mgt_Unit!$B$5:$B$1018, MATCH(D939, Mgt_Unit!$C$5:$C$1018, 0)), "")</f>
        <v/>
      </c>
      <c r="C939" s="28"/>
      <c r="D939" s="9"/>
      <c r="E939" s="45"/>
      <c r="F939" s="9"/>
      <c r="G939" s="9"/>
      <c r="H939" s="50"/>
      <c r="I939" s="9"/>
      <c r="J939" s="9"/>
      <c r="K939" s="9"/>
      <c r="L939" s="9"/>
      <c r="M939" s="9"/>
      <c r="N939" s="9"/>
      <c r="O939" s="9"/>
      <c r="P939" s="9"/>
    </row>
    <row r="940" spans="1:16" x14ac:dyDescent="0.25">
      <c r="A940" s="4"/>
      <c r="B940" s="28" t="str">
        <f>IF(ISNUMBER(MATCH(D940, Mgt_Unit!$C$5:$C$1018, 0)), INDEX(Mgt_Unit!$B$5:$B$1018, MATCH(D940, Mgt_Unit!$C$5:$C$1018, 0)), "")</f>
        <v/>
      </c>
      <c r="C940" s="28"/>
      <c r="D940" s="9"/>
      <c r="E940" s="45"/>
      <c r="F940" s="9"/>
      <c r="G940" s="9"/>
      <c r="H940" s="50"/>
      <c r="I940" s="9"/>
      <c r="J940" s="9"/>
      <c r="K940" s="9"/>
      <c r="L940" s="9"/>
      <c r="M940" s="9"/>
      <c r="N940" s="9"/>
      <c r="O940" s="9"/>
      <c r="P940" s="9"/>
    </row>
    <row r="941" spans="1:16" x14ac:dyDescent="0.25">
      <c r="A941" s="4"/>
      <c r="B941" s="28" t="str">
        <f>IF(ISNUMBER(MATCH(D941, Mgt_Unit!$C$5:$C$1018, 0)), INDEX(Mgt_Unit!$B$5:$B$1018, MATCH(D941, Mgt_Unit!$C$5:$C$1018, 0)), "")</f>
        <v/>
      </c>
      <c r="C941" s="28"/>
      <c r="D941" s="9"/>
      <c r="E941" s="45"/>
      <c r="F941" s="9"/>
      <c r="G941" s="9"/>
      <c r="H941" s="50"/>
      <c r="I941" s="9"/>
      <c r="J941" s="9"/>
      <c r="K941" s="9"/>
      <c r="L941" s="9"/>
      <c r="M941" s="9"/>
      <c r="N941" s="9"/>
      <c r="O941" s="9"/>
      <c r="P941" s="9"/>
    </row>
    <row r="942" spans="1:16" x14ac:dyDescent="0.25">
      <c r="A942" s="4"/>
      <c r="B942" s="28" t="str">
        <f>IF(ISNUMBER(MATCH(D942, Mgt_Unit!$C$5:$C$1018, 0)), INDEX(Mgt_Unit!$B$5:$B$1018, MATCH(D942, Mgt_Unit!$C$5:$C$1018, 0)), "")</f>
        <v/>
      </c>
      <c r="C942" s="28"/>
      <c r="D942" s="9"/>
      <c r="E942" s="45"/>
      <c r="F942" s="9"/>
      <c r="G942" s="9"/>
      <c r="H942" s="50"/>
      <c r="I942" s="9"/>
      <c r="J942" s="9"/>
      <c r="K942" s="9"/>
      <c r="L942" s="9"/>
      <c r="M942" s="9"/>
      <c r="N942" s="9"/>
      <c r="O942" s="9"/>
      <c r="P942" s="9"/>
    </row>
    <row r="943" spans="1:16" x14ac:dyDescent="0.25">
      <c r="A943" s="4"/>
      <c r="B943" s="28" t="str">
        <f>IF(ISNUMBER(MATCH(D943, Mgt_Unit!$C$5:$C$1018, 0)), INDEX(Mgt_Unit!$B$5:$B$1018, MATCH(D943, Mgt_Unit!$C$5:$C$1018, 0)), "")</f>
        <v/>
      </c>
      <c r="C943" s="28"/>
      <c r="D943" s="9"/>
      <c r="E943" s="45"/>
      <c r="F943" s="9"/>
      <c r="G943" s="9"/>
      <c r="H943" s="50"/>
      <c r="I943" s="9"/>
      <c r="J943" s="9"/>
      <c r="K943" s="9"/>
      <c r="L943" s="9"/>
      <c r="M943" s="9"/>
      <c r="N943" s="9"/>
      <c r="O943" s="9"/>
      <c r="P943" s="9"/>
    </row>
    <row r="944" spans="1:16" x14ac:dyDescent="0.25">
      <c r="A944" s="4"/>
      <c r="B944" s="28" t="str">
        <f>IF(ISNUMBER(MATCH(D944, Mgt_Unit!$C$5:$C$1018, 0)), INDEX(Mgt_Unit!$B$5:$B$1018, MATCH(D944, Mgt_Unit!$C$5:$C$1018, 0)), "")</f>
        <v/>
      </c>
      <c r="C944" s="28"/>
      <c r="D944" s="9"/>
      <c r="E944" s="45"/>
      <c r="F944" s="9"/>
      <c r="G944" s="9"/>
      <c r="H944" s="50"/>
      <c r="I944" s="9"/>
      <c r="J944" s="9"/>
      <c r="K944" s="9"/>
      <c r="L944" s="9"/>
      <c r="M944" s="9"/>
      <c r="N944" s="9"/>
      <c r="O944" s="9"/>
      <c r="P944" s="9"/>
    </row>
    <row r="945" spans="1:16" x14ac:dyDescent="0.25">
      <c r="A945" s="4"/>
      <c r="B945" s="28" t="str">
        <f>IF(ISNUMBER(MATCH(D945, Mgt_Unit!$C$5:$C$1018, 0)), INDEX(Mgt_Unit!$B$5:$B$1018, MATCH(D945, Mgt_Unit!$C$5:$C$1018, 0)), "")</f>
        <v/>
      </c>
      <c r="C945" s="28"/>
      <c r="D945" s="9"/>
      <c r="E945" s="45"/>
      <c r="F945" s="9"/>
      <c r="G945" s="9"/>
      <c r="H945" s="50"/>
      <c r="I945" s="9"/>
      <c r="J945" s="9"/>
      <c r="K945" s="9"/>
      <c r="L945" s="9"/>
      <c r="M945" s="9"/>
      <c r="N945" s="9"/>
      <c r="O945" s="9"/>
      <c r="P945" s="9"/>
    </row>
    <row r="946" spans="1:16" x14ac:dyDescent="0.25">
      <c r="A946" s="4"/>
      <c r="B946" s="28" t="str">
        <f>IF(ISNUMBER(MATCH(D946, Mgt_Unit!$C$5:$C$1018, 0)), INDEX(Mgt_Unit!$B$5:$B$1018, MATCH(D946, Mgt_Unit!$C$5:$C$1018, 0)), "")</f>
        <v/>
      </c>
      <c r="C946" s="28"/>
      <c r="D946" s="9"/>
      <c r="E946" s="45"/>
      <c r="F946" s="9"/>
      <c r="G946" s="9"/>
      <c r="H946" s="50"/>
      <c r="I946" s="9"/>
      <c r="J946" s="9"/>
      <c r="K946" s="9"/>
      <c r="L946" s="9"/>
      <c r="M946" s="9"/>
      <c r="N946" s="9"/>
      <c r="O946" s="9"/>
      <c r="P946" s="9"/>
    </row>
    <row r="947" spans="1:16" x14ac:dyDescent="0.25">
      <c r="A947" s="4"/>
      <c r="B947" s="28" t="str">
        <f>IF(ISNUMBER(MATCH(D947, Mgt_Unit!$C$5:$C$1018, 0)), INDEX(Mgt_Unit!$B$5:$B$1018, MATCH(D947, Mgt_Unit!$C$5:$C$1018, 0)), "")</f>
        <v/>
      </c>
      <c r="C947" s="28"/>
      <c r="D947" s="9"/>
      <c r="E947" s="45"/>
      <c r="F947" s="9"/>
      <c r="G947" s="9"/>
      <c r="H947" s="50"/>
      <c r="I947" s="9"/>
      <c r="J947" s="9"/>
      <c r="K947" s="9"/>
      <c r="L947" s="9"/>
      <c r="M947" s="9"/>
      <c r="N947" s="9"/>
      <c r="O947" s="9"/>
      <c r="P947" s="9"/>
    </row>
    <row r="948" spans="1:16" x14ac:dyDescent="0.25">
      <c r="A948" s="4"/>
      <c r="B948" s="28" t="str">
        <f>IF(ISNUMBER(MATCH(D948, Mgt_Unit!$C$5:$C$1018, 0)), INDEX(Mgt_Unit!$B$5:$B$1018, MATCH(D948, Mgt_Unit!$C$5:$C$1018, 0)), "")</f>
        <v/>
      </c>
      <c r="C948" s="28"/>
      <c r="D948" s="9"/>
      <c r="E948" s="45"/>
      <c r="F948" s="9"/>
      <c r="G948" s="9"/>
      <c r="H948" s="50"/>
      <c r="I948" s="9"/>
      <c r="J948" s="9"/>
      <c r="K948" s="9"/>
      <c r="L948" s="9"/>
      <c r="M948" s="9"/>
      <c r="N948" s="9"/>
      <c r="O948" s="9"/>
      <c r="P948" s="9"/>
    </row>
    <row r="949" spans="1:16" x14ac:dyDescent="0.25">
      <c r="A949" s="4"/>
      <c r="B949" s="28" t="str">
        <f>IF(ISNUMBER(MATCH(D949, Mgt_Unit!$C$5:$C$1018, 0)), INDEX(Mgt_Unit!$B$5:$B$1018, MATCH(D949, Mgt_Unit!$C$5:$C$1018, 0)), "")</f>
        <v/>
      </c>
      <c r="C949" s="28"/>
      <c r="D949" s="9"/>
      <c r="E949" s="45"/>
      <c r="F949" s="9"/>
      <c r="G949" s="9"/>
      <c r="H949" s="50"/>
      <c r="I949" s="9"/>
      <c r="J949" s="9"/>
      <c r="K949" s="9"/>
      <c r="L949" s="9"/>
      <c r="M949" s="9"/>
      <c r="N949" s="9"/>
      <c r="O949" s="9"/>
      <c r="P949" s="9"/>
    </row>
    <row r="950" spans="1:16" x14ac:dyDescent="0.25">
      <c r="A950" s="4"/>
      <c r="B950" s="28" t="str">
        <f>IF(ISNUMBER(MATCH(D950, Mgt_Unit!$C$5:$C$1018, 0)), INDEX(Mgt_Unit!$B$5:$B$1018, MATCH(D950, Mgt_Unit!$C$5:$C$1018, 0)), "")</f>
        <v/>
      </c>
      <c r="C950" s="28"/>
      <c r="D950" s="9"/>
      <c r="E950" s="45"/>
      <c r="F950" s="9"/>
      <c r="G950" s="9"/>
      <c r="H950" s="50"/>
      <c r="I950" s="9"/>
      <c r="J950" s="9"/>
      <c r="K950" s="9"/>
      <c r="L950" s="9"/>
      <c r="M950" s="9"/>
      <c r="N950" s="9"/>
      <c r="O950" s="9"/>
      <c r="P950" s="9"/>
    </row>
    <row r="951" spans="1:16" x14ac:dyDescent="0.25">
      <c r="A951" s="4"/>
      <c r="B951" s="28" t="str">
        <f>IF(ISNUMBER(MATCH(D951, Mgt_Unit!$C$5:$C$1018, 0)), INDEX(Mgt_Unit!$B$5:$B$1018, MATCH(D951, Mgt_Unit!$C$5:$C$1018, 0)), "")</f>
        <v/>
      </c>
      <c r="C951" s="28"/>
      <c r="D951" s="9"/>
      <c r="E951" s="45"/>
      <c r="F951" s="9"/>
      <c r="G951" s="9"/>
      <c r="H951" s="50"/>
      <c r="I951" s="9"/>
      <c r="J951" s="9"/>
      <c r="K951" s="9"/>
      <c r="L951" s="9"/>
      <c r="M951" s="9"/>
      <c r="N951" s="9"/>
      <c r="O951" s="9"/>
      <c r="P951" s="9"/>
    </row>
    <row r="952" spans="1:16" x14ac:dyDescent="0.25">
      <c r="A952" s="4"/>
      <c r="B952" s="28" t="str">
        <f>IF(ISNUMBER(MATCH(D952, Mgt_Unit!$C$5:$C$1018, 0)), INDEX(Mgt_Unit!$B$5:$B$1018, MATCH(D952, Mgt_Unit!$C$5:$C$1018, 0)), "")</f>
        <v/>
      </c>
      <c r="C952" s="28"/>
      <c r="D952" s="9"/>
      <c r="E952" s="45"/>
      <c r="F952" s="9"/>
      <c r="G952" s="9"/>
      <c r="H952" s="50"/>
      <c r="I952" s="9"/>
      <c r="J952" s="9"/>
      <c r="K952" s="9"/>
      <c r="L952" s="9"/>
      <c r="M952" s="9"/>
      <c r="N952" s="9"/>
      <c r="O952" s="9"/>
      <c r="P952" s="9"/>
    </row>
    <row r="953" spans="1:16" x14ac:dyDescent="0.25">
      <c r="A953" s="4"/>
      <c r="B953" s="28" t="str">
        <f>IF(ISNUMBER(MATCH(D953, Mgt_Unit!$C$5:$C$1018, 0)), INDEX(Mgt_Unit!$B$5:$B$1018, MATCH(D953, Mgt_Unit!$C$5:$C$1018, 0)), "")</f>
        <v/>
      </c>
      <c r="C953" s="28"/>
      <c r="D953" s="9"/>
      <c r="E953" s="45"/>
      <c r="F953" s="9"/>
      <c r="G953" s="9"/>
      <c r="H953" s="50"/>
      <c r="I953" s="9"/>
      <c r="J953" s="9"/>
      <c r="K953" s="9"/>
      <c r="L953" s="9"/>
      <c r="M953" s="9"/>
      <c r="N953" s="9"/>
      <c r="O953" s="9"/>
      <c r="P953" s="9"/>
    </row>
    <row r="954" spans="1:16" x14ac:dyDescent="0.25">
      <c r="A954" s="4"/>
      <c r="B954" s="28" t="str">
        <f>IF(ISNUMBER(MATCH(D954, Mgt_Unit!$C$5:$C$1018, 0)), INDEX(Mgt_Unit!$B$5:$B$1018, MATCH(D954, Mgt_Unit!$C$5:$C$1018, 0)), "")</f>
        <v/>
      </c>
      <c r="C954" s="28"/>
      <c r="D954" s="9"/>
      <c r="E954" s="45"/>
      <c r="F954" s="9"/>
      <c r="G954" s="9"/>
      <c r="H954" s="50"/>
      <c r="I954" s="9"/>
      <c r="J954" s="9"/>
      <c r="K954" s="9"/>
      <c r="L954" s="9"/>
      <c r="M954" s="9"/>
      <c r="N954" s="9"/>
      <c r="O954" s="9"/>
      <c r="P954" s="9"/>
    </row>
    <row r="955" spans="1:16" x14ac:dyDescent="0.25">
      <c r="A955" s="4"/>
      <c r="B955" s="28" t="str">
        <f>IF(ISNUMBER(MATCH(D955, Mgt_Unit!$C$5:$C$1018, 0)), INDEX(Mgt_Unit!$B$5:$B$1018, MATCH(D955, Mgt_Unit!$C$5:$C$1018, 0)), "")</f>
        <v/>
      </c>
      <c r="C955" s="28"/>
      <c r="D955" s="9"/>
      <c r="E955" s="45"/>
      <c r="F955" s="9"/>
      <c r="G955" s="9"/>
      <c r="H955" s="50"/>
      <c r="I955" s="9"/>
      <c r="J955" s="9"/>
      <c r="K955" s="9"/>
      <c r="L955" s="9"/>
      <c r="M955" s="9"/>
      <c r="N955" s="9"/>
      <c r="O955" s="9"/>
      <c r="P955" s="9"/>
    </row>
    <row r="956" spans="1:16" x14ac:dyDescent="0.25">
      <c r="A956" s="4"/>
      <c r="B956" s="28" t="str">
        <f>IF(ISNUMBER(MATCH(D956, Mgt_Unit!$C$5:$C$1018, 0)), INDEX(Mgt_Unit!$B$5:$B$1018, MATCH(D956, Mgt_Unit!$C$5:$C$1018, 0)), "")</f>
        <v/>
      </c>
      <c r="C956" s="28"/>
      <c r="D956" s="9"/>
      <c r="E956" s="45"/>
      <c r="F956" s="9"/>
      <c r="G956" s="9"/>
      <c r="H956" s="50"/>
      <c r="I956" s="9"/>
      <c r="J956" s="9"/>
      <c r="K956" s="9"/>
      <c r="L956" s="9"/>
      <c r="M956" s="9"/>
      <c r="N956" s="9"/>
      <c r="O956" s="9"/>
      <c r="P956" s="9"/>
    </row>
    <row r="957" spans="1:16" x14ac:dyDescent="0.25">
      <c r="A957" s="4"/>
      <c r="B957" s="28" t="str">
        <f>IF(ISNUMBER(MATCH(D957, Mgt_Unit!$C$5:$C$1018, 0)), INDEX(Mgt_Unit!$B$5:$B$1018, MATCH(D957, Mgt_Unit!$C$5:$C$1018, 0)), "")</f>
        <v/>
      </c>
      <c r="C957" s="28"/>
      <c r="D957" s="9"/>
      <c r="E957" s="45"/>
      <c r="F957" s="9"/>
      <c r="G957" s="9"/>
      <c r="H957" s="50"/>
      <c r="I957" s="9"/>
      <c r="J957" s="9"/>
      <c r="K957" s="9"/>
      <c r="L957" s="9"/>
      <c r="M957" s="9"/>
      <c r="N957" s="9"/>
      <c r="O957" s="9"/>
      <c r="P957" s="9"/>
    </row>
    <row r="958" spans="1:16" x14ac:dyDescent="0.25">
      <c r="A958" s="4"/>
      <c r="B958" s="28" t="str">
        <f>IF(ISNUMBER(MATCH(D958, Mgt_Unit!$C$5:$C$1018, 0)), INDEX(Mgt_Unit!$B$5:$B$1018, MATCH(D958, Mgt_Unit!$C$5:$C$1018, 0)), "")</f>
        <v/>
      </c>
      <c r="C958" s="28"/>
      <c r="D958" s="9"/>
      <c r="E958" s="45"/>
      <c r="F958" s="9"/>
      <c r="G958" s="9"/>
      <c r="H958" s="50"/>
      <c r="I958" s="9"/>
      <c r="J958" s="9"/>
      <c r="K958" s="9"/>
      <c r="L958" s="9"/>
      <c r="M958" s="9"/>
      <c r="N958" s="9"/>
      <c r="O958" s="9"/>
      <c r="P958" s="9"/>
    </row>
    <row r="959" spans="1:16" x14ac:dyDescent="0.25">
      <c r="A959" s="4"/>
      <c r="B959" s="28" t="str">
        <f>IF(ISNUMBER(MATCH(D959, Mgt_Unit!$C$5:$C$1018, 0)), INDEX(Mgt_Unit!$B$5:$B$1018, MATCH(D959, Mgt_Unit!$C$5:$C$1018, 0)), "")</f>
        <v/>
      </c>
      <c r="C959" s="28"/>
      <c r="D959" s="9"/>
      <c r="E959" s="45"/>
      <c r="F959" s="9"/>
      <c r="G959" s="9"/>
      <c r="H959" s="50"/>
      <c r="I959" s="9"/>
      <c r="J959" s="9"/>
      <c r="K959" s="9"/>
      <c r="L959" s="9"/>
      <c r="M959" s="9"/>
      <c r="N959" s="9"/>
      <c r="O959" s="9"/>
      <c r="P959" s="9"/>
    </row>
    <row r="960" spans="1:16" x14ac:dyDescent="0.25">
      <c r="A960" s="4"/>
      <c r="B960" s="28" t="str">
        <f>IF(ISNUMBER(MATCH(D960, Mgt_Unit!$C$5:$C$1018, 0)), INDEX(Mgt_Unit!$B$5:$B$1018, MATCH(D960, Mgt_Unit!$C$5:$C$1018, 0)), "")</f>
        <v/>
      </c>
      <c r="C960" s="28"/>
      <c r="D960" s="9"/>
      <c r="E960" s="45"/>
      <c r="F960" s="9"/>
      <c r="G960" s="9"/>
      <c r="H960" s="50"/>
      <c r="I960" s="9"/>
      <c r="J960" s="9"/>
      <c r="K960" s="9"/>
      <c r="L960" s="9"/>
      <c r="M960" s="9"/>
      <c r="N960" s="9"/>
      <c r="O960" s="9"/>
      <c r="P960" s="9"/>
    </row>
    <row r="961" spans="1:16" x14ac:dyDescent="0.25">
      <c r="A961" s="4"/>
      <c r="B961" s="28" t="str">
        <f>IF(ISNUMBER(MATCH(D961, Mgt_Unit!$C$5:$C$1018, 0)), INDEX(Mgt_Unit!$B$5:$B$1018, MATCH(D961, Mgt_Unit!$C$5:$C$1018, 0)), "")</f>
        <v/>
      </c>
      <c r="C961" s="28"/>
      <c r="D961" s="9"/>
      <c r="E961" s="45"/>
      <c r="F961" s="9"/>
      <c r="G961" s="9"/>
      <c r="H961" s="50"/>
      <c r="I961" s="9"/>
      <c r="J961" s="9"/>
      <c r="K961" s="9"/>
      <c r="L961" s="9"/>
      <c r="M961" s="9"/>
      <c r="N961" s="9"/>
      <c r="O961" s="9"/>
      <c r="P961" s="9"/>
    </row>
    <row r="962" spans="1:16" x14ac:dyDescent="0.25">
      <c r="A962" s="4"/>
      <c r="B962" s="28" t="str">
        <f>IF(ISNUMBER(MATCH(D962, Mgt_Unit!$C$5:$C$1018, 0)), INDEX(Mgt_Unit!$B$5:$B$1018, MATCH(D962, Mgt_Unit!$C$5:$C$1018, 0)), "")</f>
        <v/>
      </c>
      <c r="C962" s="28"/>
      <c r="D962" s="9"/>
      <c r="E962" s="45"/>
      <c r="F962" s="9"/>
      <c r="G962" s="9"/>
      <c r="H962" s="50"/>
      <c r="I962" s="9"/>
      <c r="J962" s="9"/>
      <c r="K962" s="9"/>
      <c r="L962" s="9"/>
      <c r="M962" s="9"/>
      <c r="N962" s="9"/>
      <c r="O962" s="9"/>
      <c r="P962" s="9"/>
    </row>
    <row r="963" spans="1:16" x14ac:dyDescent="0.25">
      <c r="A963" s="4"/>
      <c r="B963" s="28" t="str">
        <f>IF(ISNUMBER(MATCH(D963, Mgt_Unit!$C$5:$C$1018, 0)), INDEX(Mgt_Unit!$B$5:$B$1018, MATCH(D963, Mgt_Unit!$C$5:$C$1018, 0)), "")</f>
        <v/>
      </c>
      <c r="C963" s="28"/>
      <c r="D963" s="9"/>
      <c r="E963" s="45"/>
      <c r="F963" s="9"/>
      <c r="G963" s="9"/>
      <c r="H963" s="50"/>
      <c r="I963" s="9"/>
      <c r="J963" s="9"/>
      <c r="K963" s="9"/>
      <c r="L963" s="9"/>
      <c r="M963" s="9"/>
      <c r="N963" s="9"/>
      <c r="O963" s="9"/>
      <c r="P963" s="9"/>
    </row>
    <row r="964" spans="1:16" x14ac:dyDescent="0.25">
      <c r="A964" s="4"/>
      <c r="B964" s="28" t="str">
        <f>IF(ISNUMBER(MATCH(D964, Mgt_Unit!$C$5:$C$1018, 0)), INDEX(Mgt_Unit!$B$5:$B$1018, MATCH(D964, Mgt_Unit!$C$5:$C$1018, 0)), "")</f>
        <v/>
      </c>
      <c r="C964" s="28"/>
      <c r="D964" s="9"/>
      <c r="E964" s="45"/>
      <c r="F964" s="9"/>
      <c r="G964" s="9"/>
      <c r="H964" s="50"/>
      <c r="I964" s="9"/>
      <c r="J964" s="9"/>
      <c r="K964" s="9"/>
      <c r="L964" s="9"/>
      <c r="M964" s="9"/>
      <c r="N964" s="9"/>
      <c r="O964" s="9"/>
      <c r="P964" s="9"/>
    </row>
    <row r="965" spans="1:16" x14ac:dyDescent="0.25">
      <c r="A965" s="4"/>
      <c r="B965" s="28" t="str">
        <f>IF(ISNUMBER(MATCH(D965, Mgt_Unit!$C$5:$C$1018, 0)), INDEX(Mgt_Unit!$B$5:$B$1018, MATCH(D965, Mgt_Unit!$C$5:$C$1018, 0)), "")</f>
        <v/>
      </c>
      <c r="C965" s="28"/>
      <c r="D965" s="9"/>
      <c r="E965" s="45"/>
      <c r="F965" s="9"/>
      <c r="G965" s="9"/>
      <c r="H965" s="50"/>
      <c r="I965" s="9"/>
      <c r="J965" s="9"/>
      <c r="K965" s="9"/>
      <c r="L965" s="9"/>
      <c r="M965" s="9"/>
      <c r="N965" s="9"/>
      <c r="O965" s="9"/>
      <c r="P965" s="9"/>
    </row>
    <row r="966" spans="1:16" x14ac:dyDescent="0.25">
      <c r="A966" s="4"/>
      <c r="B966" s="28" t="str">
        <f>IF(ISNUMBER(MATCH(D966, Mgt_Unit!$C$5:$C$1018, 0)), INDEX(Mgt_Unit!$B$5:$B$1018, MATCH(D966, Mgt_Unit!$C$5:$C$1018, 0)), "")</f>
        <v/>
      </c>
      <c r="C966" s="28"/>
      <c r="D966" s="9"/>
      <c r="E966" s="45"/>
      <c r="F966" s="9"/>
      <c r="G966" s="9"/>
      <c r="H966" s="50"/>
      <c r="I966" s="9"/>
      <c r="J966" s="9"/>
      <c r="K966" s="9"/>
      <c r="L966" s="9"/>
      <c r="M966" s="9"/>
      <c r="N966" s="9"/>
      <c r="O966" s="9"/>
      <c r="P966" s="9"/>
    </row>
    <row r="967" spans="1:16" x14ac:dyDescent="0.25">
      <c r="A967" s="4"/>
      <c r="B967" s="28" t="str">
        <f>IF(ISNUMBER(MATCH(D967, Mgt_Unit!$C$5:$C$1018, 0)), INDEX(Mgt_Unit!$B$5:$B$1018, MATCH(D967, Mgt_Unit!$C$5:$C$1018, 0)), "")</f>
        <v/>
      </c>
      <c r="C967" s="28"/>
      <c r="D967" s="9"/>
      <c r="E967" s="45"/>
      <c r="F967" s="9"/>
      <c r="G967" s="9"/>
      <c r="H967" s="50"/>
      <c r="I967" s="9"/>
      <c r="J967" s="9"/>
      <c r="K967" s="9"/>
      <c r="L967" s="9"/>
      <c r="M967" s="9"/>
      <c r="N967" s="9"/>
      <c r="O967" s="9"/>
      <c r="P967" s="9"/>
    </row>
    <row r="968" spans="1:16" x14ac:dyDescent="0.25">
      <c r="A968" s="4"/>
      <c r="B968" s="28" t="str">
        <f>IF(ISNUMBER(MATCH(D968, Mgt_Unit!$C$5:$C$1018, 0)), INDEX(Mgt_Unit!$B$5:$B$1018, MATCH(D968, Mgt_Unit!$C$5:$C$1018, 0)), "")</f>
        <v/>
      </c>
      <c r="C968" s="28"/>
      <c r="D968" s="9"/>
      <c r="E968" s="45"/>
      <c r="F968" s="9"/>
      <c r="G968" s="9"/>
      <c r="H968" s="50"/>
      <c r="I968" s="9"/>
      <c r="J968" s="9"/>
      <c r="K968" s="9"/>
      <c r="L968" s="9"/>
      <c r="M968" s="9"/>
      <c r="N968" s="9"/>
      <c r="O968" s="9"/>
      <c r="P968" s="9"/>
    </row>
    <row r="969" spans="1:16" x14ac:dyDescent="0.25">
      <c r="A969" s="4"/>
      <c r="B969" s="28" t="str">
        <f>IF(ISNUMBER(MATCH(D969, Mgt_Unit!$C$5:$C$1018, 0)), INDEX(Mgt_Unit!$B$5:$B$1018, MATCH(D969, Mgt_Unit!$C$5:$C$1018, 0)), "")</f>
        <v/>
      </c>
      <c r="C969" s="28"/>
      <c r="D969" s="9"/>
      <c r="E969" s="45"/>
      <c r="F969" s="9"/>
      <c r="G969" s="9"/>
      <c r="H969" s="50"/>
      <c r="I969" s="9"/>
      <c r="J969" s="9"/>
      <c r="K969" s="9"/>
      <c r="L969" s="9"/>
      <c r="M969" s="9"/>
      <c r="N969" s="9"/>
      <c r="O969" s="9"/>
      <c r="P969" s="9"/>
    </row>
    <row r="970" spans="1:16" x14ac:dyDescent="0.25">
      <c r="A970" s="4"/>
      <c r="B970" s="28" t="str">
        <f>IF(ISNUMBER(MATCH(D970, Mgt_Unit!$C$5:$C$1018, 0)), INDEX(Mgt_Unit!$B$5:$B$1018, MATCH(D970, Mgt_Unit!$C$5:$C$1018, 0)), "")</f>
        <v/>
      </c>
      <c r="C970" s="28"/>
      <c r="D970" s="9"/>
      <c r="E970" s="45"/>
      <c r="F970" s="9"/>
      <c r="G970" s="9"/>
      <c r="H970" s="50"/>
      <c r="I970" s="9"/>
      <c r="J970" s="9"/>
      <c r="K970" s="9"/>
      <c r="L970" s="9"/>
      <c r="M970" s="9"/>
      <c r="N970" s="9"/>
      <c r="O970" s="9"/>
      <c r="P970" s="9"/>
    </row>
    <row r="971" spans="1:16" x14ac:dyDescent="0.25">
      <c r="A971" s="4"/>
      <c r="B971" s="28" t="str">
        <f>IF(ISNUMBER(MATCH(D971, Mgt_Unit!$C$5:$C$1018, 0)), INDEX(Mgt_Unit!$B$5:$B$1018, MATCH(D971, Mgt_Unit!$C$5:$C$1018, 0)), "")</f>
        <v/>
      </c>
      <c r="C971" s="28"/>
      <c r="D971" s="9"/>
      <c r="E971" s="45"/>
      <c r="F971" s="9"/>
      <c r="G971" s="9"/>
      <c r="H971" s="50"/>
      <c r="I971" s="9"/>
      <c r="J971" s="9"/>
      <c r="K971" s="9"/>
      <c r="L971" s="9"/>
      <c r="M971" s="9"/>
      <c r="N971" s="9"/>
      <c r="O971" s="9"/>
      <c r="P971" s="9"/>
    </row>
    <row r="972" spans="1:16" x14ac:dyDescent="0.25">
      <c r="A972" s="4"/>
      <c r="B972" s="28" t="str">
        <f>IF(ISNUMBER(MATCH(D972, Mgt_Unit!$C$5:$C$1018, 0)), INDEX(Mgt_Unit!$B$5:$B$1018, MATCH(D972, Mgt_Unit!$C$5:$C$1018, 0)), "")</f>
        <v/>
      </c>
      <c r="C972" s="28"/>
      <c r="D972" s="9"/>
      <c r="E972" s="45"/>
      <c r="F972" s="9"/>
      <c r="G972" s="9"/>
      <c r="H972" s="50"/>
      <c r="I972" s="9"/>
      <c r="J972" s="9"/>
      <c r="K972" s="9"/>
      <c r="L972" s="9"/>
      <c r="M972" s="9"/>
      <c r="N972" s="9"/>
      <c r="O972" s="9"/>
      <c r="P972" s="9"/>
    </row>
    <row r="973" spans="1:16" x14ac:dyDescent="0.25">
      <c r="A973" s="4"/>
      <c r="B973" s="28" t="str">
        <f>IF(ISNUMBER(MATCH(D973, Mgt_Unit!$C$5:$C$1018, 0)), INDEX(Mgt_Unit!$B$5:$B$1018, MATCH(D973, Mgt_Unit!$C$5:$C$1018, 0)), "")</f>
        <v/>
      </c>
      <c r="C973" s="28"/>
      <c r="D973" s="9"/>
      <c r="E973" s="45"/>
      <c r="F973" s="9"/>
      <c r="G973" s="9"/>
      <c r="H973" s="50"/>
      <c r="I973" s="9"/>
      <c r="J973" s="9"/>
      <c r="K973" s="9"/>
      <c r="L973" s="9"/>
      <c r="M973" s="9"/>
      <c r="N973" s="9"/>
      <c r="O973" s="9"/>
      <c r="P973" s="9"/>
    </row>
    <row r="974" spans="1:16" x14ac:dyDescent="0.25">
      <c r="A974" s="4"/>
      <c r="B974" s="28" t="str">
        <f>IF(ISNUMBER(MATCH(D974, Mgt_Unit!$C$5:$C$1018, 0)), INDEX(Mgt_Unit!$B$5:$B$1018, MATCH(D974, Mgt_Unit!$C$5:$C$1018, 0)), "")</f>
        <v/>
      </c>
      <c r="C974" s="28"/>
      <c r="D974" s="9"/>
      <c r="E974" s="45"/>
      <c r="F974" s="9"/>
      <c r="G974" s="9"/>
      <c r="H974" s="50"/>
      <c r="I974" s="9"/>
      <c r="J974" s="9"/>
      <c r="K974" s="9"/>
      <c r="L974" s="9"/>
      <c r="M974" s="9"/>
      <c r="N974" s="9"/>
      <c r="O974" s="9"/>
      <c r="P974" s="9"/>
    </row>
    <row r="975" spans="1:16" x14ac:dyDescent="0.25">
      <c r="A975" s="4"/>
      <c r="B975" s="28" t="str">
        <f>IF(ISNUMBER(MATCH(D975, Mgt_Unit!$C$5:$C$1018, 0)), INDEX(Mgt_Unit!$B$5:$B$1018, MATCH(D975, Mgt_Unit!$C$5:$C$1018, 0)), "")</f>
        <v/>
      </c>
      <c r="C975" s="28"/>
      <c r="D975" s="9"/>
      <c r="E975" s="45"/>
      <c r="F975" s="9"/>
      <c r="G975" s="9"/>
      <c r="H975" s="50"/>
      <c r="I975" s="9"/>
      <c r="J975" s="9"/>
      <c r="K975" s="9"/>
      <c r="L975" s="9"/>
      <c r="M975" s="9"/>
      <c r="N975" s="9"/>
      <c r="O975" s="9"/>
      <c r="P975" s="9"/>
    </row>
    <row r="976" spans="1:16" x14ac:dyDescent="0.25">
      <c r="A976" s="4"/>
      <c r="B976" s="28" t="str">
        <f>IF(ISNUMBER(MATCH(D976, Mgt_Unit!$C$5:$C$1018, 0)), INDEX(Mgt_Unit!$B$5:$B$1018, MATCH(D976, Mgt_Unit!$C$5:$C$1018, 0)), "")</f>
        <v/>
      </c>
      <c r="C976" s="28"/>
      <c r="D976" s="9"/>
      <c r="E976" s="45"/>
      <c r="F976" s="9"/>
      <c r="G976" s="9"/>
      <c r="H976" s="50"/>
      <c r="I976" s="9"/>
      <c r="J976" s="9"/>
      <c r="K976" s="9"/>
      <c r="L976" s="9"/>
      <c r="M976" s="9"/>
      <c r="N976" s="9"/>
      <c r="O976" s="9"/>
      <c r="P976" s="9"/>
    </row>
    <row r="977" spans="1:16" x14ac:dyDescent="0.25">
      <c r="A977" s="4"/>
      <c r="B977" s="28" t="str">
        <f>IF(ISNUMBER(MATCH(D977, Mgt_Unit!$C$5:$C$1018, 0)), INDEX(Mgt_Unit!$B$5:$B$1018, MATCH(D977, Mgt_Unit!$C$5:$C$1018, 0)), "")</f>
        <v/>
      </c>
      <c r="C977" s="28"/>
      <c r="D977" s="9"/>
      <c r="E977" s="45"/>
      <c r="F977" s="9"/>
      <c r="G977" s="9"/>
      <c r="H977" s="50"/>
      <c r="I977" s="9"/>
      <c r="J977" s="9"/>
      <c r="K977" s="9"/>
      <c r="L977" s="9"/>
      <c r="M977" s="9"/>
      <c r="N977" s="9"/>
      <c r="O977" s="9"/>
      <c r="P977" s="9"/>
    </row>
    <row r="978" spans="1:16" x14ac:dyDescent="0.25">
      <c r="A978" s="4"/>
      <c r="B978" s="28" t="str">
        <f>IF(ISNUMBER(MATCH(D978, Mgt_Unit!$C$5:$C$1018, 0)), INDEX(Mgt_Unit!$B$5:$B$1018, MATCH(D978, Mgt_Unit!$C$5:$C$1018, 0)), "")</f>
        <v/>
      </c>
      <c r="C978" s="28"/>
      <c r="D978" s="9"/>
      <c r="E978" s="45"/>
      <c r="F978" s="9"/>
      <c r="G978" s="9"/>
      <c r="H978" s="50"/>
      <c r="I978" s="9"/>
      <c r="J978" s="9"/>
      <c r="K978" s="9"/>
      <c r="L978" s="9"/>
      <c r="M978" s="9"/>
      <c r="N978" s="9"/>
      <c r="O978" s="9"/>
      <c r="P978" s="9"/>
    </row>
    <row r="979" spans="1:16" x14ac:dyDescent="0.25">
      <c r="A979" s="4"/>
      <c r="B979" s="28" t="str">
        <f>IF(ISNUMBER(MATCH(D979, Mgt_Unit!$C$5:$C$1018, 0)), INDEX(Mgt_Unit!$B$5:$B$1018, MATCH(D979, Mgt_Unit!$C$5:$C$1018, 0)), "")</f>
        <v/>
      </c>
      <c r="C979" s="28"/>
      <c r="D979" s="9"/>
      <c r="E979" s="45"/>
      <c r="F979" s="9"/>
      <c r="G979" s="9"/>
      <c r="H979" s="50"/>
      <c r="I979" s="9"/>
      <c r="J979" s="9"/>
      <c r="K979" s="9"/>
      <c r="L979" s="9"/>
      <c r="M979" s="9"/>
      <c r="N979" s="9"/>
      <c r="O979" s="9"/>
      <c r="P979" s="9"/>
    </row>
    <row r="980" spans="1:16" x14ac:dyDescent="0.25">
      <c r="A980" s="4"/>
      <c r="B980" s="28" t="str">
        <f>IF(ISNUMBER(MATCH(D980, Mgt_Unit!$C$5:$C$1018, 0)), INDEX(Mgt_Unit!$B$5:$B$1018, MATCH(D980, Mgt_Unit!$C$5:$C$1018, 0)), "")</f>
        <v/>
      </c>
      <c r="C980" s="28"/>
      <c r="D980" s="9"/>
      <c r="E980" s="45"/>
      <c r="F980" s="9"/>
      <c r="G980" s="9"/>
      <c r="H980" s="50"/>
      <c r="I980" s="9"/>
      <c r="J980" s="9"/>
      <c r="K980" s="9"/>
      <c r="L980" s="9"/>
      <c r="M980" s="9"/>
      <c r="N980" s="9"/>
      <c r="O980" s="9"/>
      <c r="P980" s="9"/>
    </row>
    <row r="981" spans="1:16" x14ac:dyDescent="0.25">
      <c r="A981" s="4"/>
      <c r="B981" s="28" t="str">
        <f>IF(ISNUMBER(MATCH(D981, Mgt_Unit!$C$5:$C$1018, 0)), INDEX(Mgt_Unit!$B$5:$B$1018, MATCH(D981, Mgt_Unit!$C$5:$C$1018, 0)), "")</f>
        <v/>
      </c>
      <c r="C981" s="28"/>
      <c r="D981" s="9"/>
      <c r="E981" s="45"/>
      <c r="F981" s="9"/>
      <c r="G981" s="9"/>
      <c r="H981" s="50"/>
      <c r="I981" s="9"/>
      <c r="J981" s="9"/>
      <c r="K981" s="9"/>
      <c r="L981" s="9"/>
      <c r="M981" s="9"/>
      <c r="N981" s="9"/>
      <c r="O981" s="9"/>
      <c r="P981" s="9"/>
    </row>
    <row r="982" spans="1:16" x14ac:dyDescent="0.25">
      <c r="A982" s="4"/>
      <c r="B982" s="28" t="str">
        <f>IF(ISNUMBER(MATCH(D982, Mgt_Unit!$C$5:$C$1018, 0)), INDEX(Mgt_Unit!$B$5:$B$1018, MATCH(D982, Mgt_Unit!$C$5:$C$1018, 0)), "")</f>
        <v/>
      </c>
      <c r="C982" s="28"/>
      <c r="D982" s="9"/>
      <c r="E982" s="45"/>
      <c r="F982" s="9"/>
      <c r="G982" s="9"/>
      <c r="H982" s="50"/>
      <c r="I982" s="9"/>
      <c r="J982" s="9"/>
      <c r="K982" s="9"/>
      <c r="L982" s="9"/>
      <c r="M982" s="9"/>
      <c r="N982" s="9"/>
      <c r="O982" s="9"/>
      <c r="P982" s="9"/>
    </row>
    <row r="983" spans="1:16" x14ac:dyDescent="0.25">
      <c r="A983" s="4"/>
      <c r="B983" s="28" t="str">
        <f>IF(ISNUMBER(MATCH(D983, Mgt_Unit!$C$5:$C$1018, 0)), INDEX(Mgt_Unit!$B$5:$B$1018, MATCH(D983, Mgt_Unit!$C$5:$C$1018, 0)), "")</f>
        <v/>
      </c>
      <c r="C983" s="28"/>
      <c r="D983" s="9"/>
      <c r="E983" s="45"/>
      <c r="F983" s="9"/>
      <c r="G983" s="9"/>
      <c r="H983" s="50"/>
      <c r="I983" s="9"/>
      <c r="J983" s="9"/>
      <c r="K983" s="9"/>
      <c r="L983" s="9"/>
      <c r="M983" s="9"/>
      <c r="N983" s="9"/>
      <c r="O983" s="9"/>
      <c r="P983" s="9"/>
    </row>
    <row r="984" spans="1:16" x14ac:dyDescent="0.25">
      <c r="A984" s="4"/>
      <c r="B984" s="28" t="str">
        <f>IF(ISNUMBER(MATCH(D984, Mgt_Unit!$C$5:$C$1018, 0)), INDEX(Mgt_Unit!$B$5:$B$1018, MATCH(D984, Mgt_Unit!$C$5:$C$1018, 0)), "")</f>
        <v/>
      </c>
      <c r="C984" s="28"/>
      <c r="D984" s="9"/>
      <c r="E984" s="45"/>
      <c r="F984" s="9"/>
      <c r="G984" s="9"/>
      <c r="H984" s="50"/>
      <c r="I984" s="9"/>
      <c r="J984" s="9"/>
      <c r="K984" s="9"/>
      <c r="L984" s="9"/>
      <c r="M984" s="9"/>
      <c r="N984" s="9"/>
      <c r="O984" s="9"/>
      <c r="P984" s="9"/>
    </row>
    <row r="985" spans="1:16" x14ac:dyDescent="0.25">
      <c r="A985" s="4"/>
      <c r="B985" s="28" t="str">
        <f>IF(ISNUMBER(MATCH(D985, Mgt_Unit!$C$5:$C$1018, 0)), INDEX(Mgt_Unit!$B$5:$B$1018, MATCH(D985, Mgt_Unit!$C$5:$C$1018, 0)), "")</f>
        <v/>
      </c>
      <c r="C985" s="28"/>
      <c r="D985" s="9"/>
      <c r="E985" s="45"/>
      <c r="F985" s="9"/>
      <c r="G985" s="9"/>
      <c r="H985" s="50"/>
      <c r="I985" s="9"/>
      <c r="J985" s="9"/>
      <c r="K985" s="9"/>
      <c r="L985" s="9"/>
      <c r="M985" s="9"/>
      <c r="N985" s="9"/>
      <c r="O985" s="9"/>
      <c r="P985" s="9"/>
    </row>
    <row r="986" spans="1:16" x14ac:dyDescent="0.25">
      <c r="A986" s="4"/>
      <c r="B986" s="28" t="str">
        <f>IF(ISNUMBER(MATCH(D986, Mgt_Unit!$C$5:$C$1018, 0)), INDEX(Mgt_Unit!$B$5:$B$1018, MATCH(D986, Mgt_Unit!$C$5:$C$1018, 0)), "")</f>
        <v/>
      </c>
      <c r="C986" s="28"/>
      <c r="D986" s="9"/>
      <c r="E986" s="45"/>
      <c r="F986" s="9"/>
      <c r="G986" s="9"/>
      <c r="H986" s="50"/>
      <c r="I986" s="9"/>
      <c r="J986" s="9"/>
      <c r="K986" s="9"/>
      <c r="L986" s="9"/>
      <c r="M986" s="9"/>
      <c r="N986" s="9"/>
      <c r="O986" s="9"/>
      <c r="P986" s="9"/>
    </row>
    <row r="987" spans="1:16" x14ac:dyDescent="0.25">
      <c r="A987" s="4"/>
      <c r="B987" s="28" t="str">
        <f>IF(ISNUMBER(MATCH(D987, Mgt_Unit!$C$5:$C$1018, 0)), INDEX(Mgt_Unit!$B$5:$B$1018, MATCH(D987, Mgt_Unit!$C$5:$C$1018, 0)), "")</f>
        <v/>
      </c>
      <c r="C987" s="28"/>
      <c r="D987" s="9"/>
      <c r="E987" s="45"/>
      <c r="F987" s="9"/>
      <c r="G987" s="9"/>
      <c r="H987" s="50"/>
      <c r="I987" s="9"/>
      <c r="J987" s="9"/>
      <c r="K987" s="9"/>
      <c r="L987" s="9"/>
      <c r="M987" s="9"/>
      <c r="N987" s="9"/>
      <c r="O987" s="9"/>
      <c r="P987" s="9"/>
    </row>
    <row r="988" spans="1:16" x14ac:dyDescent="0.25">
      <c r="A988" s="4"/>
      <c r="B988" s="28" t="str">
        <f>IF(ISNUMBER(MATCH(D988, Mgt_Unit!$C$5:$C$1018, 0)), INDEX(Mgt_Unit!$B$5:$B$1018, MATCH(D988, Mgt_Unit!$C$5:$C$1018, 0)), "")</f>
        <v/>
      </c>
      <c r="C988" s="28"/>
      <c r="D988" s="9"/>
      <c r="E988" s="45"/>
      <c r="F988" s="9"/>
      <c r="G988" s="9"/>
      <c r="H988" s="50"/>
      <c r="I988" s="9"/>
      <c r="J988" s="9"/>
      <c r="K988" s="9"/>
      <c r="L988" s="9"/>
      <c r="M988" s="9"/>
      <c r="N988" s="9"/>
      <c r="O988" s="9"/>
      <c r="P988" s="9"/>
    </row>
    <row r="989" spans="1:16" x14ac:dyDescent="0.25">
      <c r="A989" s="4"/>
      <c r="B989" s="28" t="str">
        <f>IF(ISNUMBER(MATCH(D989, Mgt_Unit!$C$5:$C$1018, 0)), INDEX(Mgt_Unit!$B$5:$B$1018, MATCH(D989, Mgt_Unit!$C$5:$C$1018, 0)), "")</f>
        <v/>
      </c>
      <c r="C989" s="28"/>
      <c r="D989" s="9"/>
      <c r="E989" s="45"/>
      <c r="F989" s="9"/>
      <c r="G989" s="9"/>
      <c r="H989" s="50"/>
      <c r="I989" s="9"/>
      <c r="J989" s="9"/>
      <c r="K989" s="9"/>
      <c r="L989" s="9"/>
      <c r="M989" s="9"/>
      <c r="N989" s="9"/>
      <c r="O989" s="9"/>
      <c r="P989" s="9"/>
    </row>
    <row r="990" spans="1:16" x14ac:dyDescent="0.25">
      <c r="A990" s="4"/>
      <c r="B990" s="28" t="str">
        <f>IF(ISNUMBER(MATCH(D990, Mgt_Unit!$C$5:$C$1018, 0)), INDEX(Mgt_Unit!$B$5:$B$1018, MATCH(D990, Mgt_Unit!$C$5:$C$1018, 0)), "")</f>
        <v/>
      </c>
      <c r="C990" s="28"/>
      <c r="D990" s="9"/>
      <c r="E990" s="45"/>
      <c r="F990" s="9"/>
      <c r="G990" s="9"/>
      <c r="H990" s="50"/>
      <c r="I990" s="9"/>
      <c r="J990" s="9"/>
      <c r="K990" s="9"/>
      <c r="L990" s="9"/>
      <c r="M990" s="9"/>
      <c r="N990" s="9"/>
      <c r="O990" s="9"/>
      <c r="P990" s="9"/>
    </row>
    <row r="991" spans="1:16" x14ac:dyDescent="0.25">
      <c r="A991" s="4"/>
      <c r="B991" s="28" t="str">
        <f>IF(ISNUMBER(MATCH(D991, Mgt_Unit!$C$5:$C$1018, 0)), INDEX(Mgt_Unit!$B$5:$B$1018, MATCH(D991, Mgt_Unit!$C$5:$C$1018, 0)), "")</f>
        <v/>
      </c>
      <c r="C991" s="28"/>
      <c r="D991" s="9"/>
      <c r="E991" s="45"/>
      <c r="F991" s="9"/>
      <c r="G991" s="9"/>
      <c r="H991" s="50"/>
      <c r="I991" s="9"/>
      <c r="J991" s="9"/>
      <c r="K991" s="9"/>
      <c r="L991" s="9"/>
      <c r="M991" s="9"/>
      <c r="N991" s="9"/>
      <c r="O991" s="9"/>
      <c r="P991" s="9"/>
    </row>
    <row r="992" spans="1:16" x14ac:dyDescent="0.25">
      <c r="A992" s="4"/>
      <c r="B992" s="28" t="str">
        <f>IF(ISNUMBER(MATCH(D992, Mgt_Unit!$C$5:$C$1018, 0)), INDEX(Mgt_Unit!$B$5:$B$1018, MATCH(D992, Mgt_Unit!$C$5:$C$1018, 0)), "")</f>
        <v/>
      </c>
      <c r="C992" s="28"/>
      <c r="D992" s="9"/>
      <c r="E992" s="45"/>
      <c r="F992" s="9"/>
      <c r="G992" s="9"/>
      <c r="H992" s="50"/>
      <c r="I992" s="9"/>
      <c r="J992" s="9"/>
      <c r="K992" s="9"/>
      <c r="L992" s="9"/>
      <c r="M992" s="9"/>
      <c r="N992" s="9"/>
      <c r="O992" s="9"/>
      <c r="P992" s="9"/>
    </row>
    <row r="993" spans="1:16" x14ac:dyDescent="0.25">
      <c r="A993" s="4"/>
      <c r="B993" s="28" t="str">
        <f>IF(ISNUMBER(MATCH(D993, Mgt_Unit!$C$5:$C$1018, 0)), INDEX(Mgt_Unit!$B$5:$B$1018, MATCH(D993, Mgt_Unit!$C$5:$C$1018, 0)), "")</f>
        <v/>
      </c>
      <c r="C993" s="28"/>
      <c r="D993" s="9"/>
      <c r="E993" s="45"/>
      <c r="F993" s="9"/>
      <c r="G993" s="9"/>
      <c r="H993" s="50"/>
      <c r="I993" s="9"/>
      <c r="J993" s="9"/>
      <c r="K993" s="9"/>
      <c r="L993" s="9"/>
      <c r="M993" s="9"/>
      <c r="N993" s="9"/>
      <c r="O993" s="9"/>
      <c r="P993" s="9"/>
    </row>
    <row r="994" spans="1:16" x14ac:dyDescent="0.25">
      <c r="A994" s="4"/>
      <c r="B994" s="28" t="str">
        <f>IF(ISNUMBER(MATCH(D994, Mgt_Unit!$C$5:$C$1018, 0)), INDEX(Mgt_Unit!$B$5:$B$1018, MATCH(D994, Mgt_Unit!$C$5:$C$1018, 0)), "")</f>
        <v/>
      </c>
      <c r="C994" s="28"/>
      <c r="D994" s="9"/>
      <c r="E994" s="45"/>
      <c r="F994" s="9"/>
      <c r="G994" s="9"/>
      <c r="H994" s="50"/>
      <c r="I994" s="9"/>
      <c r="J994" s="9"/>
      <c r="K994" s="9"/>
      <c r="L994" s="9"/>
      <c r="M994" s="9"/>
      <c r="N994" s="9"/>
      <c r="O994" s="9"/>
      <c r="P994" s="9"/>
    </row>
    <row r="995" spans="1:16" x14ac:dyDescent="0.25">
      <c r="A995" s="4"/>
      <c r="B995" s="28" t="str">
        <f>IF(ISNUMBER(MATCH(D995, Mgt_Unit!$C$5:$C$1018, 0)), INDEX(Mgt_Unit!$B$5:$B$1018, MATCH(D995, Mgt_Unit!$C$5:$C$1018, 0)), "")</f>
        <v/>
      </c>
      <c r="C995" s="28"/>
      <c r="D995" s="9"/>
      <c r="E995" s="45"/>
      <c r="F995" s="9"/>
      <c r="G995" s="9"/>
      <c r="H995" s="50"/>
      <c r="I995" s="9"/>
      <c r="J995" s="9"/>
      <c r="K995" s="9"/>
      <c r="L995" s="9"/>
      <c r="M995" s="9"/>
      <c r="N995" s="9"/>
      <c r="O995" s="9"/>
      <c r="P995" s="9"/>
    </row>
    <row r="996" spans="1:16" x14ac:dyDescent="0.25">
      <c r="A996" s="4"/>
      <c r="B996" s="28" t="str">
        <f>IF(ISNUMBER(MATCH(D996, Mgt_Unit!$C$5:$C$1018, 0)), INDEX(Mgt_Unit!$B$5:$B$1018, MATCH(D996, Mgt_Unit!$C$5:$C$1018, 0)), "")</f>
        <v/>
      </c>
      <c r="C996" s="28"/>
      <c r="D996" s="9"/>
      <c r="E996" s="45"/>
      <c r="F996" s="9"/>
      <c r="G996" s="9"/>
      <c r="H996" s="50"/>
      <c r="I996" s="9"/>
      <c r="J996" s="9"/>
      <c r="K996" s="9"/>
      <c r="L996" s="9"/>
      <c r="M996" s="9"/>
      <c r="N996" s="9"/>
      <c r="O996" s="9"/>
      <c r="P996" s="9"/>
    </row>
    <row r="997" spans="1:16" x14ac:dyDescent="0.25">
      <c r="A997" s="4"/>
      <c r="B997" s="28" t="str">
        <f>IF(ISNUMBER(MATCH(D997, Mgt_Unit!$C$5:$C$1018, 0)), INDEX(Mgt_Unit!$B$5:$B$1018, MATCH(D997, Mgt_Unit!$C$5:$C$1018, 0)), "")</f>
        <v/>
      </c>
      <c r="C997" s="28"/>
      <c r="D997" s="9"/>
      <c r="E997" s="45"/>
      <c r="F997" s="9"/>
      <c r="G997" s="9"/>
      <c r="H997" s="50"/>
      <c r="I997" s="9"/>
      <c r="J997" s="9"/>
      <c r="K997" s="9"/>
      <c r="L997" s="9"/>
      <c r="M997" s="9"/>
      <c r="N997" s="9"/>
      <c r="O997" s="9"/>
      <c r="P997" s="9"/>
    </row>
    <row r="998" spans="1:16" x14ac:dyDescent="0.25">
      <c r="A998" s="4"/>
      <c r="B998" s="28" t="str">
        <f>IF(ISNUMBER(MATCH(D998, Mgt_Unit!$C$5:$C$1018, 0)), INDEX(Mgt_Unit!$B$5:$B$1018, MATCH(D998, Mgt_Unit!$C$5:$C$1018, 0)), "")</f>
        <v/>
      </c>
      <c r="C998" s="28"/>
      <c r="D998" s="9"/>
      <c r="E998" s="45"/>
      <c r="F998" s="9"/>
      <c r="G998" s="9"/>
      <c r="H998" s="50"/>
      <c r="I998" s="9"/>
      <c r="J998" s="9"/>
      <c r="K998" s="9"/>
      <c r="L998" s="9"/>
      <c r="M998" s="9"/>
      <c r="N998" s="9"/>
      <c r="O998" s="9"/>
      <c r="P998" s="9"/>
    </row>
    <row r="999" spans="1:16" x14ac:dyDescent="0.25">
      <c r="A999" s="4"/>
      <c r="B999" s="28" t="str">
        <f>IF(ISNUMBER(MATCH(D999, Mgt_Unit!$C$5:$C$1018, 0)), INDEX(Mgt_Unit!$B$5:$B$1018, MATCH(D999, Mgt_Unit!$C$5:$C$1018, 0)), "")</f>
        <v/>
      </c>
      <c r="C999" s="28"/>
      <c r="D999" s="9"/>
      <c r="E999" s="45"/>
      <c r="F999" s="9"/>
      <c r="G999" s="9"/>
      <c r="H999" s="50"/>
      <c r="I999" s="9"/>
      <c r="J999" s="9"/>
      <c r="K999" s="9"/>
      <c r="L999" s="9"/>
      <c r="M999" s="9"/>
      <c r="N999" s="9"/>
      <c r="O999" s="9"/>
      <c r="P999" s="9"/>
    </row>
    <row r="1000" spans="1:16" x14ac:dyDescent="0.25">
      <c r="A1000" s="4"/>
      <c r="B1000" s="28" t="str">
        <f>IF(ISNUMBER(MATCH(D1000, Mgt_Unit!$C$5:$C$1018, 0)), INDEX(Mgt_Unit!$B$5:$B$1018, MATCH(D1000, Mgt_Unit!$C$5:$C$1018, 0)), "")</f>
        <v/>
      </c>
      <c r="C1000" s="28"/>
      <c r="D1000" s="9"/>
      <c r="E1000" s="45"/>
      <c r="F1000" s="9"/>
      <c r="G1000" s="9"/>
      <c r="H1000" s="50"/>
      <c r="I1000" s="9"/>
      <c r="J1000" s="9"/>
      <c r="K1000" s="9"/>
      <c r="L1000" s="9"/>
      <c r="M1000" s="9"/>
      <c r="N1000" s="9"/>
      <c r="O1000" s="9"/>
      <c r="P1000" s="9"/>
    </row>
    <row r="1001" spans="1:16" x14ac:dyDescent="0.25">
      <c r="A1001" s="4"/>
      <c r="B1001" s="28" t="str">
        <f>IF(ISNUMBER(MATCH(D1001, Mgt_Unit!$C$5:$C$1018, 0)), INDEX(Mgt_Unit!$B$5:$B$1018, MATCH(D1001, Mgt_Unit!$C$5:$C$1018, 0)), "")</f>
        <v/>
      </c>
      <c r="C1001" s="28"/>
      <c r="D1001" s="9"/>
      <c r="E1001" s="45"/>
      <c r="F1001" s="9"/>
      <c r="G1001" s="9"/>
      <c r="H1001" s="50"/>
      <c r="I1001" s="9"/>
      <c r="J1001" s="9"/>
      <c r="K1001" s="9"/>
      <c r="L1001" s="9"/>
      <c r="M1001" s="9"/>
      <c r="N1001" s="9"/>
      <c r="O1001" s="9"/>
      <c r="P1001" s="9"/>
    </row>
    <row r="1002" spans="1:16" x14ac:dyDescent="0.25">
      <c r="A1002" s="4"/>
      <c r="B1002" s="28" t="str">
        <f>IF(ISNUMBER(MATCH(D1002, Mgt_Unit!$C$5:$C$1018, 0)), INDEX(Mgt_Unit!$B$5:$B$1018, MATCH(D1002, Mgt_Unit!$C$5:$C$1018, 0)), "")</f>
        <v/>
      </c>
      <c r="C1002" s="28"/>
      <c r="D1002" s="9"/>
      <c r="E1002" s="45"/>
      <c r="F1002" s="9"/>
      <c r="G1002" s="9"/>
      <c r="H1002" s="50"/>
      <c r="I1002" s="9"/>
      <c r="J1002" s="9"/>
      <c r="K1002" s="9"/>
      <c r="L1002" s="9"/>
      <c r="M1002" s="9"/>
      <c r="N1002" s="9"/>
      <c r="O1002" s="9"/>
      <c r="P1002" s="9"/>
    </row>
    <row r="1003" spans="1:16" x14ac:dyDescent="0.25">
      <c r="A1003" s="14"/>
      <c r="B1003" s="28" t="str">
        <f>IF(ISNUMBER(MATCH(D1003, Mgt_Unit!$C$5:$C$1018, 0)), INDEX(Mgt_Unit!$B$5:$B$1018, MATCH(D1003, Mgt_Unit!$C$5:$C$1018, 0)), "")</f>
        <v/>
      </c>
      <c r="C1003" s="28"/>
      <c r="D1003" s="9"/>
      <c r="E1003" s="45"/>
      <c r="F1003" s="9"/>
      <c r="G1003" s="9"/>
      <c r="H1003" s="50"/>
      <c r="I1003" s="9"/>
      <c r="J1003" s="9"/>
      <c r="K1003" s="9"/>
      <c r="L1003" s="9"/>
      <c r="M1003" s="9"/>
      <c r="N1003" s="9"/>
      <c r="O1003" s="9"/>
      <c r="P1003" s="9"/>
    </row>
  </sheetData>
  <sheetProtection formatColumns="0"/>
  <autoFilter ref="B4:P4" xr:uid="{612792E0-46B9-48E2-ADA8-E4242D1A7DF5}">
    <sortState xmlns:xlrd2="http://schemas.microsoft.com/office/spreadsheetml/2017/richdata2" ref="B5:P1003">
      <sortCondition ref="D4"/>
    </sortState>
  </autoFilter>
  <phoneticPr fontId="5" type="noConversion"/>
  <dataValidations count="3">
    <dataValidation type="list" allowBlank="1" showInputMessage="1" showErrorMessage="1" sqref="F504:F699 F5:F199" xr:uid="{D986F310-4916-484D-8BF6-BC08DDB80C28}">
      <formula1>AmendType</formula1>
    </dataValidation>
    <dataValidation type="list" allowBlank="1" showInputMessage="1" showErrorMessage="1" sqref="G504:G699 G5:G199" xr:uid="{1192A605-A7AE-4CA0-A9B4-207E59D74045}">
      <formula1>INDIRECT(F5)</formula1>
    </dataValidation>
    <dataValidation type="list" allowBlank="1" showInputMessage="1" showErrorMessage="1" sqref="D5:D1003" xr:uid="{96B93F6F-2E2A-496E-BEB9-2DFC275F2ED5}">
      <formula1>CropUnit</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N1003"/>
  <sheetViews>
    <sheetView topLeftCell="D1" zoomScaleNormal="100" workbookViewId="0">
      <pane ySplit="4" topLeftCell="A119" activePane="bottomLeft" state="frozen"/>
      <selection activeCell="D1" sqref="D1"/>
      <selection pane="bottomLeft" activeCell="G126" sqref="G126"/>
    </sheetView>
  </sheetViews>
  <sheetFormatPr defaultColWidth="0" defaultRowHeight="15" x14ac:dyDescent="0.25"/>
  <cols>
    <col min="1" max="1" width="11.5703125" bestFit="1" customWidth="1"/>
    <col min="2" max="2" width="15.42578125" style="12" customWidth="1"/>
    <col min="3" max="3" width="41.42578125" style="31" customWidth="1"/>
    <col min="4" max="4" width="35.85546875" style="17" customWidth="1"/>
    <col min="5" max="5" width="36.85546875" style="13" customWidth="1"/>
    <col min="6" max="6" width="13.140625" bestFit="1" customWidth="1"/>
    <col min="7" max="7" width="17.140625" bestFit="1" customWidth="1"/>
    <col min="8" max="8" width="14.28515625" bestFit="1" customWidth="1"/>
    <col min="9" max="9" width="18.28515625" style="42" bestFit="1" customWidth="1"/>
    <col min="10" max="10" width="17.42578125" style="42" bestFit="1" customWidth="1"/>
    <col min="11" max="11" width="13" bestFit="1" customWidth="1"/>
    <col min="12" max="12" width="50.7109375" style="12" customWidth="1"/>
    <col min="13" max="14" width="0" hidden="1" customWidth="1"/>
    <col min="15" max="16384" width="9.140625" hidden="1"/>
  </cols>
  <sheetData>
    <row r="1" spans="1:12" ht="30" x14ac:dyDescent="0.25">
      <c r="A1" s="25" t="s">
        <v>0</v>
      </c>
      <c r="B1" s="27" t="s">
        <v>524</v>
      </c>
      <c r="C1" s="27" t="s">
        <v>537</v>
      </c>
      <c r="D1" s="53" t="s">
        <v>615</v>
      </c>
      <c r="E1" s="20" t="s">
        <v>516</v>
      </c>
      <c r="F1" s="56" t="s">
        <v>534</v>
      </c>
      <c r="G1" s="56" t="s">
        <v>366</v>
      </c>
      <c r="H1" s="20" t="s">
        <v>509</v>
      </c>
      <c r="I1" s="56" t="s">
        <v>507</v>
      </c>
      <c r="J1" s="56" t="s">
        <v>508</v>
      </c>
      <c r="K1" s="20" t="s">
        <v>45</v>
      </c>
      <c r="L1" s="20" t="s">
        <v>526</v>
      </c>
    </row>
    <row r="2" spans="1:12" x14ac:dyDescent="0.25">
      <c r="A2" s="25" t="s">
        <v>1</v>
      </c>
      <c r="B2" s="21" t="s">
        <v>488</v>
      </c>
      <c r="C2" s="23" t="s">
        <v>16</v>
      </c>
      <c r="D2" s="54" t="s">
        <v>32</v>
      </c>
      <c r="E2" s="21" t="s">
        <v>488</v>
      </c>
      <c r="F2" s="57" t="s">
        <v>32</v>
      </c>
      <c r="G2" s="57" t="s">
        <v>32</v>
      </c>
      <c r="H2" s="21" t="s">
        <v>18</v>
      </c>
      <c r="I2" s="57" t="s">
        <v>24</v>
      </c>
      <c r="J2" s="57" t="s">
        <v>24</v>
      </c>
      <c r="K2" s="21" t="s">
        <v>18</v>
      </c>
      <c r="L2" s="21" t="s">
        <v>2</v>
      </c>
    </row>
    <row r="3" spans="1:12" x14ac:dyDescent="0.25">
      <c r="A3" s="26" t="s">
        <v>3</v>
      </c>
      <c r="B3" s="22" t="s">
        <v>514</v>
      </c>
      <c r="C3" s="24" t="s">
        <v>514</v>
      </c>
      <c r="D3" s="55" t="s">
        <v>514</v>
      </c>
      <c r="E3" s="22" t="s">
        <v>514</v>
      </c>
      <c r="F3" s="58" t="s">
        <v>514</v>
      </c>
      <c r="G3" s="58" t="s">
        <v>514</v>
      </c>
      <c r="H3" s="22" t="s">
        <v>46</v>
      </c>
      <c r="I3" s="58" t="s">
        <v>25</v>
      </c>
      <c r="J3" s="58" t="s">
        <v>25</v>
      </c>
      <c r="K3" s="22" t="s">
        <v>514</v>
      </c>
      <c r="L3" s="22" t="s">
        <v>514</v>
      </c>
    </row>
    <row r="4" spans="1:12" x14ac:dyDescent="0.25">
      <c r="A4" s="4"/>
      <c r="B4" s="19" t="s">
        <v>4</v>
      </c>
      <c r="C4" s="19" t="s">
        <v>551</v>
      </c>
      <c r="D4" s="19" t="s">
        <v>550</v>
      </c>
      <c r="E4" s="19" t="s">
        <v>552</v>
      </c>
      <c r="F4" s="19" t="s">
        <v>553</v>
      </c>
      <c r="G4" s="19" t="s">
        <v>554</v>
      </c>
      <c r="H4" s="19" t="s">
        <v>555</v>
      </c>
      <c r="I4" s="19" t="s">
        <v>556</v>
      </c>
      <c r="J4" s="19" t="s">
        <v>557</v>
      </c>
      <c r="K4" s="19" t="s">
        <v>558</v>
      </c>
      <c r="L4" s="19" t="s">
        <v>559</v>
      </c>
    </row>
    <row r="5" spans="1:12" x14ac:dyDescent="0.25">
      <c r="A5" s="4"/>
      <c r="B5" s="28" t="str">
        <f>IF(ISNUMBER(MATCH(D5, Mgt_Unit!$C$5:$C$1018, 0)), INDEX(Mgt_Unit!$B$5:$B$1018, MATCH(D5, Mgt_Unit!$C$5:$C$1018, 0)), "")</f>
        <v>jennifer.moore</v>
      </c>
      <c r="C5" s="28"/>
      <c r="D5" s="60" t="s">
        <v>795</v>
      </c>
      <c r="E5" s="46"/>
      <c r="F5" s="37" t="s">
        <v>1526</v>
      </c>
      <c r="G5" s="37" t="s">
        <v>355</v>
      </c>
      <c r="H5" s="37">
        <v>1.2</v>
      </c>
      <c r="I5" s="75">
        <v>42399</v>
      </c>
      <c r="J5" s="75">
        <v>42461</v>
      </c>
      <c r="K5" s="37"/>
      <c r="L5" s="37" t="s">
        <v>1530</v>
      </c>
    </row>
    <row r="6" spans="1:12" x14ac:dyDescent="0.25">
      <c r="A6" s="4"/>
      <c r="B6" s="28" t="str">
        <f>IF(ISNUMBER(MATCH(D6, Mgt_Unit!$C$5:$C$1018, 0)), INDEX(Mgt_Unit!$B$5:$B$1018, MATCH(D6, Mgt_Unit!$C$5:$C$1018, 0)), "")</f>
        <v>jennifer.moore</v>
      </c>
      <c r="C6" s="28"/>
      <c r="D6" s="60" t="s">
        <v>795</v>
      </c>
      <c r="E6" s="45"/>
      <c r="F6" s="37" t="s">
        <v>1526</v>
      </c>
      <c r="G6" s="37" t="s">
        <v>355</v>
      </c>
      <c r="H6" s="9">
        <v>1.2</v>
      </c>
      <c r="I6" s="75">
        <v>42765</v>
      </c>
      <c r="J6" s="75">
        <v>42826</v>
      </c>
      <c r="K6" s="9"/>
      <c r="L6" s="9" t="s">
        <v>1530</v>
      </c>
    </row>
    <row r="7" spans="1:12" x14ac:dyDescent="0.25">
      <c r="A7" s="4"/>
      <c r="B7" s="28" t="str">
        <f>IF(ISNUMBER(MATCH(D7, Mgt_Unit!$C$5:$C$1018, 0)), INDEX(Mgt_Unit!$B$5:$B$1018, MATCH(D7, Mgt_Unit!$C$5:$C$1018, 0)), "")</f>
        <v>jennifer.moore</v>
      </c>
      <c r="C7" s="28"/>
      <c r="D7" s="9" t="s">
        <v>795</v>
      </c>
      <c r="E7" s="45"/>
      <c r="F7" s="9" t="s">
        <v>1526</v>
      </c>
      <c r="G7" s="37" t="s">
        <v>355</v>
      </c>
      <c r="H7" s="9">
        <v>2.5</v>
      </c>
      <c r="I7" s="75">
        <v>42998</v>
      </c>
      <c r="J7" s="75">
        <v>43084</v>
      </c>
      <c r="K7" s="9"/>
      <c r="L7" s="9" t="s">
        <v>1530</v>
      </c>
    </row>
    <row r="8" spans="1:12" x14ac:dyDescent="0.25">
      <c r="A8" s="4"/>
      <c r="B8" s="28" t="str">
        <f>IF(ISNUMBER(MATCH(D8, Mgt_Unit!$C$5:$C$1018, 0)), INDEX(Mgt_Unit!$B$5:$B$1018, MATCH(D8, Mgt_Unit!$C$5:$C$1018, 0)), "")</f>
        <v>jennifer.moore</v>
      </c>
      <c r="C8" s="28"/>
      <c r="D8" s="9" t="s">
        <v>795</v>
      </c>
      <c r="E8" s="45"/>
      <c r="F8" s="9" t="s">
        <v>1526</v>
      </c>
      <c r="G8" s="37" t="s">
        <v>355</v>
      </c>
      <c r="H8" s="9">
        <v>2.5</v>
      </c>
      <c r="I8" s="75">
        <v>43235</v>
      </c>
      <c r="J8" s="75">
        <v>43374</v>
      </c>
      <c r="K8" s="9"/>
      <c r="L8" s="9" t="s">
        <v>1530</v>
      </c>
    </row>
    <row r="9" spans="1:12" x14ac:dyDescent="0.25">
      <c r="A9" s="4"/>
      <c r="B9" s="28" t="str">
        <f>IF(ISNUMBER(MATCH(D9, Mgt_Unit!$C$5:$C$1018, 0)), INDEX(Mgt_Unit!$B$5:$B$1018, MATCH(D9, Mgt_Unit!$C$5:$C$1018, 0)), "")</f>
        <v>jennifer.moore</v>
      </c>
      <c r="C9" s="28"/>
      <c r="D9" s="9" t="s">
        <v>795</v>
      </c>
      <c r="E9" s="45"/>
      <c r="F9" s="9" t="s">
        <v>1526</v>
      </c>
      <c r="G9" s="37" t="s">
        <v>355</v>
      </c>
      <c r="H9" s="9">
        <v>1.2</v>
      </c>
      <c r="I9" s="75">
        <v>43495</v>
      </c>
      <c r="J9" s="75">
        <v>43556</v>
      </c>
      <c r="K9" s="9"/>
      <c r="L9" s="9" t="s">
        <v>1530</v>
      </c>
    </row>
    <row r="10" spans="1:12" x14ac:dyDescent="0.25">
      <c r="A10" s="4"/>
      <c r="B10" s="28" t="str">
        <f>IF(ISNUMBER(MATCH(D10, Mgt_Unit!$C$5:$C$1018, 0)), INDEX(Mgt_Unit!$B$5:$B$1018, MATCH(D10, Mgt_Unit!$C$5:$C$1018, 0)), "")</f>
        <v>jennifer.moore</v>
      </c>
      <c r="C10" s="28"/>
      <c r="D10" s="9" t="s">
        <v>1291</v>
      </c>
      <c r="E10" s="45"/>
      <c r="F10" s="9" t="s">
        <v>1589</v>
      </c>
      <c r="G10" s="9" t="s">
        <v>354</v>
      </c>
      <c r="H10" s="9"/>
      <c r="I10" s="75">
        <v>43466</v>
      </c>
      <c r="J10" s="86">
        <v>43830</v>
      </c>
      <c r="K10" s="9"/>
      <c r="L10" s="9"/>
    </row>
    <row r="11" spans="1:12" x14ac:dyDescent="0.25">
      <c r="A11" s="4"/>
      <c r="B11" s="28" t="str">
        <f>IF(ISNUMBER(MATCH(D11, Mgt_Unit!$C$5:$C$1018, 0)), INDEX(Mgt_Unit!$B$5:$B$1018, MATCH(D11, Mgt_Unit!$C$5:$C$1018, 0)), "")</f>
        <v>jennifer.moore</v>
      </c>
      <c r="C11" s="28"/>
      <c r="D11" s="9" t="s">
        <v>1289</v>
      </c>
      <c r="E11" s="45"/>
      <c r="F11" s="9" t="s">
        <v>1589</v>
      </c>
      <c r="G11" s="9" t="s">
        <v>355</v>
      </c>
      <c r="H11" s="9"/>
      <c r="I11" s="75">
        <v>43570</v>
      </c>
      <c r="J11" s="86">
        <v>43586</v>
      </c>
      <c r="K11" s="9"/>
      <c r="L11" s="9"/>
    </row>
    <row r="12" spans="1:12" x14ac:dyDescent="0.25">
      <c r="A12" s="4"/>
      <c r="B12" s="28" t="str">
        <f>IF(ISNUMBER(MATCH(D12, Mgt_Unit!$C$5:$C$1018, 0)), INDEX(Mgt_Unit!$B$5:$B$1018, MATCH(D12, Mgt_Unit!$C$5:$C$1018, 0)), "")</f>
        <v>jennifer.moore</v>
      </c>
      <c r="C12" s="28"/>
      <c r="D12" s="9" t="s">
        <v>1289</v>
      </c>
      <c r="E12" s="45"/>
      <c r="F12" s="9" t="s">
        <v>1589</v>
      </c>
      <c r="G12" s="9" t="s">
        <v>355</v>
      </c>
      <c r="H12" s="9"/>
      <c r="I12" s="75">
        <v>43615</v>
      </c>
      <c r="J12" s="75">
        <v>43629</v>
      </c>
      <c r="K12" s="9"/>
      <c r="L12" s="9"/>
    </row>
    <row r="13" spans="1:12" x14ac:dyDescent="0.25">
      <c r="A13" s="4"/>
      <c r="B13" s="28" t="str">
        <f>IF(ISNUMBER(MATCH(D13, Mgt_Unit!$C$5:$C$1018, 0)), INDEX(Mgt_Unit!$B$5:$B$1018, MATCH(D13, Mgt_Unit!$C$5:$C$1018, 0)), "")</f>
        <v>jennifer.moore</v>
      </c>
      <c r="C13" s="28"/>
      <c r="D13" s="9" t="s">
        <v>1289</v>
      </c>
      <c r="E13" s="45"/>
      <c r="F13" s="9" t="s">
        <v>1589</v>
      </c>
      <c r="G13" s="9" t="s">
        <v>355</v>
      </c>
      <c r="H13" s="9"/>
      <c r="I13" s="75">
        <v>43668</v>
      </c>
      <c r="J13" s="75">
        <v>43679</v>
      </c>
      <c r="K13" s="9"/>
      <c r="L13" s="9"/>
    </row>
    <row r="14" spans="1:12" x14ac:dyDescent="0.25">
      <c r="A14" s="4"/>
      <c r="B14" s="28" t="str">
        <f>IF(ISNUMBER(MATCH(D14, Mgt_Unit!$C$5:$C$1018, 0)), INDEX(Mgt_Unit!$B$5:$B$1018, MATCH(D14, Mgt_Unit!$C$5:$C$1018, 0)), "")</f>
        <v>jennifer.moore</v>
      </c>
      <c r="C14" s="28"/>
      <c r="D14" s="9" t="s">
        <v>1289</v>
      </c>
      <c r="E14" s="45"/>
      <c r="F14" s="9" t="s">
        <v>1589</v>
      </c>
      <c r="G14" s="9" t="s">
        <v>355</v>
      </c>
      <c r="H14" s="9"/>
      <c r="I14" s="75">
        <v>43720</v>
      </c>
      <c r="J14" s="75">
        <v>43727</v>
      </c>
      <c r="K14" s="9"/>
      <c r="L14" s="9"/>
    </row>
    <row r="15" spans="1:12" x14ac:dyDescent="0.25">
      <c r="A15" s="4"/>
      <c r="B15" s="28" t="str">
        <f>IF(ISNUMBER(MATCH(D15, Mgt_Unit!$C$5:$C$1018, 0)), INDEX(Mgt_Unit!$B$5:$B$1018, MATCH(D15, Mgt_Unit!$C$5:$C$1018, 0)), "")</f>
        <v>jennifer.moore</v>
      </c>
      <c r="C15" s="28"/>
      <c r="D15" s="9" t="s">
        <v>1292</v>
      </c>
      <c r="E15" s="45"/>
      <c r="F15" s="9" t="s">
        <v>1526</v>
      </c>
      <c r="G15" s="9" t="s">
        <v>356</v>
      </c>
      <c r="H15" s="9">
        <v>0.23287671232876711</v>
      </c>
      <c r="I15" s="75">
        <v>41884</v>
      </c>
      <c r="J15" s="75">
        <v>41897</v>
      </c>
      <c r="K15" s="9"/>
      <c r="L15" s="9" t="s">
        <v>1531</v>
      </c>
    </row>
    <row r="16" spans="1:12" x14ac:dyDescent="0.25">
      <c r="A16" s="4"/>
      <c r="B16" s="28" t="str">
        <f>IF(ISNUMBER(MATCH(D16, Mgt_Unit!$C$5:$C$1018, 0)), INDEX(Mgt_Unit!$B$5:$B$1018, MATCH(D16, Mgt_Unit!$C$5:$C$1018, 0)), "")</f>
        <v>jennifer.moore</v>
      </c>
      <c r="C16" s="28"/>
      <c r="D16" s="9" t="s">
        <v>1292</v>
      </c>
      <c r="E16" s="45"/>
      <c r="F16" s="9" t="s">
        <v>1526</v>
      </c>
      <c r="G16" s="9" t="s">
        <v>356</v>
      </c>
      <c r="H16" s="9">
        <v>0.23287671232876711</v>
      </c>
      <c r="I16" s="75">
        <v>42227</v>
      </c>
      <c r="J16" s="75">
        <v>42236</v>
      </c>
      <c r="K16" s="9"/>
      <c r="L16" s="9" t="s">
        <v>1531</v>
      </c>
    </row>
    <row r="17" spans="1:12" x14ac:dyDescent="0.25">
      <c r="A17" s="4"/>
      <c r="B17" s="28" t="str">
        <f>IF(ISNUMBER(MATCH(D17, Mgt_Unit!$C$5:$C$1018, 0)), INDEX(Mgt_Unit!$B$5:$B$1018, MATCH(D17, Mgt_Unit!$C$5:$C$1018, 0)), "")</f>
        <v>jennifer.moore</v>
      </c>
      <c r="C17" s="28"/>
      <c r="D17" s="9" t="s">
        <v>1292</v>
      </c>
      <c r="E17" s="45"/>
      <c r="F17" s="9" t="s">
        <v>1526</v>
      </c>
      <c r="G17" s="9" t="s">
        <v>356</v>
      </c>
      <c r="H17" s="9">
        <v>0.23287671232876711</v>
      </c>
      <c r="I17" s="75">
        <v>42604</v>
      </c>
      <c r="J17" s="75">
        <v>42635</v>
      </c>
      <c r="K17" s="9"/>
      <c r="L17" s="9" t="s">
        <v>1531</v>
      </c>
    </row>
    <row r="18" spans="1:12" x14ac:dyDescent="0.25">
      <c r="A18" s="4"/>
      <c r="B18" s="28" t="str">
        <f>IF(ISNUMBER(MATCH(D18, Mgt_Unit!$C$5:$C$1018, 0)), INDEX(Mgt_Unit!$B$5:$B$1018, MATCH(D18, Mgt_Unit!$C$5:$C$1018, 0)), "")</f>
        <v>jennifer.moore</v>
      </c>
      <c r="C18" s="28"/>
      <c r="D18" s="9" t="s">
        <v>1292</v>
      </c>
      <c r="E18" s="45"/>
      <c r="F18" s="9" t="s">
        <v>1526</v>
      </c>
      <c r="G18" s="9" t="s">
        <v>356</v>
      </c>
      <c r="H18" s="9">
        <v>0.23287671232876711</v>
      </c>
      <c r="I18" s="75">
        <v>42955</v>
      </c>
      <c r="J18" s="75">
        <v>42959</v>
      </c>
      <c r="K18" s="9"/>
      <c r="L18" s="9" t="s">
        <v>1531</v>
      </c>
    </row>
    <row r="19" spans="1:12" x14ac:dyDescent="0.25">
      <c r="A19" s="4"/>
      <c r="B19" s="28" t="str">
        <f>IF(ISNUMBER(MATCH(D19, Mgt_Unit!$C$5:$C$1018, 0)), INDEX(Mgt_Unit!$B$5:$B$1018, MATCH(D19, Mgt_Unit!$C$5:$C$1018, 0)), "")</f>
        <v>jennifer.moore</v>
      </c>
      <c r="C19" s="28"/>
      <c r="D19" s="9" t="s">
        <v>1292</v>
      </c>
      <c r="E19" s="45"/>
      <c r="F19" s="9" t="s">
        <v>1526</v>
      </c>
      <c r="G19" s="9" t="s">
        <v>356</v>
      </c>
      <c r="H19" s="9">
        <v>0.23287671232876711</v>
      </c>
      <c r="I19" s="75">
        <v>43277</v>
      </c>
      <c r="J19" s="75">
        <v>43296</v>
      </c>
      <c r="K19" s="9"/>
      <c r="L19" s="9" t="s">
        <v>1531</v>
      </c>
    </row>
    <row r="20" spans="1:12" x14ac:dyDescent="0.25">
      <c r="A20" s="4"/>
      <c r="B20" s="28" t="str">
        <f>IF(ISNUMBER(MATCH(D20, Mgt_Unit!$C$5:$C$1018, 0)), INDEX(Mgt_Unit!$B$5:$B$1018, MATCH(D20, Mgt_Unit!$C$5:$C$1018, 0)), "")</f>
        <v>jennifer.moore</v>
      </c>
      <c r="C20" s="28"/>
      <c r="D20" s="9" t="s">
        <v>1292</v>
      </c>
      <c r="E20" s="45"/>
      <c r="F20" s="9" t="s">
        <v>1526</v>
      </c>
      <c r="G20" s="9" t="s">
        <v>356</v>
      </c>
      <c r="H20" s="9">
        <v>0.23287671232876711</v>
      </c>
      <c r="I20" s="75">
        <v>43657</v>
      </c>
      <c r="J20" s="75">
        <v>43676</v>
      </c>
      <c r="K20" s="9"/>
      <c r="L20" s="9" t="s">
        <v>1531</v>
      </c>
    </row>
    <row r="21" spans="1:12" x14ac:dyDescent="0.25">
      <c r="A21" s="4"/>
      <c r="B21" s="28" t="str">
        <f>IF(ISNUMBER(MATCH(D21, Mgt_Unit!$C$5:$C$1018, 0)), INDEX(Mgt_Unit!$B$5:$B$1018, MATCH(D21, Mgt_Unit!$C$5:$C$1018, 0)), "")</f>
        <v>jennifer.moore</v>
      </c>
      <c r="C21" s="28"/>
      <c r="D21" s="9" t="s">
        <v>1293</v>
      </c>
      <c r="E21" s="45"/>
      <c r="F21" s="9" t="s">
        <v>1526</v>
      </c>
      <c r="G21" s="9" t="s">
        <v>356</v>
      </c>
      <c r="H21" s="9">
        <v>0.1025081788440567</v>
      </c>
      <c r="I21" s="75">
        <v>41569</v>
      </c>
      <c r="J21" s="75">
        <v>41578</v>
      </c>
      <c r="K21" s="9"/>
      <c r="L21" s="9" t="s">
        <v>1531</v>
      </c>
    </row>
    <row r="22" spans="1:12" x14ac:dyDescent="0.25">
      <c r="A22" s="4"/>
      <c r="B22" s="28" t="str">
        <f>IF(ISNUMBER(MATCH(D22, Mgt_Unit!$C$5:$C$1018, 0)), INDEX(Mgt_Unit!$B$5:$B$1018, MATCH(D22, Mgt_Unit!$C$5:$C$1018, 0)), "")</f>
        <v>jennifer.moore</v>
      </c>
      <c r="C22" s="28"/>
      <c r="D22" s="9" t="s">
        <v>1293</v>
      </c>
      <c r="E22" s="45"/>
      <c r="F22" s="9" t="s">
        <v>1526</v>
      </c>
      <c r="G22" s="9" t="s">
        <v>356</v>
      </c>
      <c r="H22" s="9">
        <v>0.1025081788440567</v>
      </c>
      <c r="I22" s="75">
        <v>41933</v>
      </c>
      <c r="J22" s="75">
        <v>41943</v>
      </c>
      <c r="K22" s="9"/>
      <c r="L22" s="9" t="s">
        <v>1531</v>
      </c>
    </row>
    <row r="23" spans="1:12" x14ac:dyDescent="0.25">
      <c r="A23" s="4"/>
      <c r="B23" s="28" t="str">
        <f>IF(ISNUMBER(MATCH(D23, Mgt_Unit!$C$5:$C$1018, 0)), INDEX(Mgt_Unit!$B$5:$B$1018, MATCH(D23, Mgt_Unit!$C$5:$C$1018, 0)), "")</f>
        <v>jennifer.moore</v>
      </c>
      <c r="C23" s="28"/>
      <c r="D23" s="9" t="s">
        <v>1293</v>
      </c>
      <c r="E23" s="45"/>
      <c r="F23" s="9" t="s">
        <v>1526</v>
      </c>
      <c r="G23" s="9" t="s">
        <v>356</v>
      </c>
      <c r="H23" s="9">
        <v>0.1025081788440567</v>
      </c>
      <c r="I23" s="75">
        <v>42289</v>
      </c>
      <c r="J23" s="75">
        <v>42331</v>
      </c>
      <c r="K23" s="9"/>
      <c r="L23" s="9" t="s">
        <v>1531</v>
      </c>
    </row>
    <row r="24" spans="1:12" x14ac:dyDescent="0.25">
      <c r="A24" s="4"/>
      <c r="B24" s="28" t="str">
        <f>IF(ISNUMBER(MATCH(D24, Mgt_Unit!$C$5:$C$1018, 0)), INDEX(Mgt_Unit!$B$5:$B$1018, MATCH(D24, Mgt_Unit!$C$5:$C$1018, 0)), "")</f>
        <v>jennifer.moore</v>
      </c>
      <c r="C24" s="28"/>
      <c r="D24" s="9" t="s">
        <v>1293</v>
      </c>
      <c r="E24" s="45"/>
      <c r="F24" s="9" t="s">
        <v>1526</v>
      </c>
      <c r="G24" s="9" t="s">
        <v>356</v>
      </c>
      <c r="H24" s="9">
        <v>0.1025081788440567</v>
      </c>
      <c r="I24" s="75">
        <v>42654</v>
      </c>
      <c r="J24" s="75">
        <v>42738</v>
      </c>
      <c r="K24" s="9"/>
      <c r="L24" s="9" t="s">
        <v>1531</v>
      </c>
    </row>
    <row r="25" spans="1:12" x14ac:dyDescent="0.25">
      <c r="A25" s="4"/>
      <c r="B25" s="28" t="str">
        <f>IF(ISNUMBER(MATCH(D25, Mgt_Unit!$C$5:$C$1018, 0)), INDEX(Mgt_Unit!$B$5:$B$1018, MATCH(D25, Mgt_Unit!$C$5:$C$1018, 0)), "")</f>
        <v>jennifer.moore</v>
      </c>
      <c r="C25" s="28"/>
      <c r="D25" s="9" t="s">
        <v>1293</v>
      </c>
      <c r="E25" s="45"/>
      <c r="F25" s="9" t="s">
        <v>1526</v>
      </c>
      <c r="G25" s="9" t="s">
        <v>356</v>
      </c>
      <c r="H25" s="9">
        <v>0.1025081788440567</v>
      </c>
      <c r="I25" s="75">
        <v>43077</v>
      </c>
      <c r="J25" s="75">
        <v>43102</v>
      </c>
      <c r="K25" s="9"/>
      <c r="L25" s="9" t="s">
        <v>1531</v>
      </c>
    </row>
    <row r="26" spans="1:12" x14ac:dyDescent="0.25">
      <c r="A26" s="4"/>
      <c r="B26" s="28" t="str">
        <f>IF(ISNUMBER(MATCH(D26, Mgt_Unit!$C$5:$C$1018, 0)), INDEX(Mgt_Unit!$B$5:$B$1018, MATCH(D26, Mgt_Unit!$C$5:$C$1018, 0)), "")</f>
        <v>jennifer.moore</v>
      </c>
      <c r="C26" s="28"/>
      <c r="D26" s="9" t="s">
        <v>1293</v>
      </c>
      <c r="E26" s="45"/>
      <c r="F26" s="9" t="s">
        <v>1526</v>
      </c>
      <c r="G26" s="9" t="s">
        <v>356</v>
      </c>
      <c r="H26" s="9">
        <v>0.1025081788440567</v>
      </c>
      <c r="I26" s="75">
        <v>43439</v>
      </c>
      <c r="J26" s="75">
        <v>43478</v>
      </c>
      <c r="K26" s="9"/>
      <c r="L26" s="9" t="s">
        <v>1531</v>
      </c>
    </row>
    <row r="27" spans="1:12" x14ac:dyDescent="0.25">
      <c r="A27" s="4"/>
      <c r="B27" s="28" t="str">
        <f>IF(ISNUMBER(MATCH(D27, Mgt_Unit!$C$5:$C$1018, 0)), INDEX(Mgt_Unit!$B$5:$B$1018, MATCH(D27, Mgt_Unit!$C$5:$C$1018, 0)), "")</f>
        <v>jennifer.moore</v>
      </c>
      <c r="C27" s="28"/>
      <c r="D27" s="9" t="s">
        <v>1295</v>
      </c>
      <c r="E27" s="45"/>
      <c r="F27" s="9" t="s">
        <v>1526</v>
      </c>
      <c r="G27" s="9" t="s">
        <v>354</v>
      </c>
      <c r="H27" s="9">
        <v>0.23287671232876711</v>
      </c>
      <c r="I27" s="75">
        <v>41884</v>
      </c>
      <c r="J27" s="75">
        <v>41897</v>
      </c>
      <c r="K27" s="9"/>
      <c r="L27" s="9" t="s">
        <v>1531</v>
      </c>
    </row>
    <row r="28" spans="1:12" x14ac:dyDescent="0.25">
      <c r="A28" s="4"/>
      <c r="B28" s="28" t="str">
        <f>IF(ISNUMBER(MATCH(D28, Mgt_Unit!$C$5:$C$1018, 0)), INDEX(Mgt_Unit!$B$5:$B$1018, MATCH(D28, Mgt_Unit!$C$5:$C$1018, 0)), "")</f>
        <v>jennifer.moore</v>
      </c>
      <c r="C28" s="28"/>
      <c r="D28" s="9" t="s">
        <v>1295</v>
      </c>
      <c r="E28" s="45"/>
      <c r="F28" s="9" t="s">
        <v>1526</v>
      </c>
      <c r="G28" s="9" t="s">
        <v>354</v>
      </c>
      <c r="H28" s="9">
        <v>0.23287671232876711</v>
      </c>
      <c r="I28" s="75">
        <v>42227</v>
      </c>
      <c r="J28" s="75">
        <v>42236</v>
      </c>
      <c r="K28" s="9"/>
      <c r="L28" s="9" t="s">
        <v>1531</v>
      </c>
    </row>
    <row r="29" spans="1:12" x14ac:dyDescent="0.25">
      <c r="A29" s="4"/>
      <c r="B29" s="28" t="str">
        <f>IF(ISNUMBER(MATCH(D29, Mgt_Unit!$C$5:$C$1018, 0)), INDEX(Mgt_Unit!$B$5:$B$1018, MATCH(D29, Mgt_Unit!$C$5:$C$1018, 0)), "")</f>
        <v>jennifer.moore</v>
      </c>
      <c r="C29" s="28"/>
      <c r="D29" s="9" t="s">
        <v>1295</v>
      </c>
      <c r="E29" s="45"/>
      <c r="F29" s="9" t="s">
        <v>1526</v>
      </c>
      <c r="G29" s="9" t="s">
        <v>354</v>
      </c>
      <c r="H29" s="9">
        <v>0.23287671232876711</v>
      </c>
      <c r="I29" s="75">
        <v>42604</v>
      </c>
      <c r="J29" s="75">
        <v>42635</v>
      </c>
      <c r="K29" s="9"/>
      <c r="L29" s="9" t="s">
        <v>1531</v>
      </c>
    </row>
    <row r="30" spans="1:12" x14ac:dyDescent="0.25">
      <c r="A30" s="4"/>
      <c r="B30" s="28" t="str">
        <f>IF(ISNUMBER(MATCH(D30, Mgt_Unit!$C$5:$C$1018, 0)), INDEX(Mgt_Unit!$B$5:$B$1018, MATCH(D30, Mgt_Unit!$C$5:$C$1018, 0)), "")</f>
        <v>jennifer.moore</v>
      </c>
      <c r="C30" s="28"/>
      <c r="D30" s="9" t="s">
        <v>1295</v>
      </c>
      <c r="E30" s="45"/>
      <c r="F30" s="9" t="s">
        <v>1526</v>
      </c>
      <c r="G30" s="9" t="s">
        <v>354</v>
      </c>
      <c r="H30" s="9">
        <v>0.23287671232876711</v>
      </c>
      <c r="I30" s="75">
        <v>42955</v>
      </c>
      <c r="J30" s="75">
        <v>42959</v>
      </c>
      <c r="K30" s="9"/>
      <c r="L30" s="9" t="s">
        <v>1531</v>
      </c>
    </row>
    <row r="31" spans="1:12" x14ac:dyDescent="0.25">
      <c r="A31" s="4"/>
      <c r="B31" s="28" t="str">
        <f>IF(ISNUMBER(MATCH(D31, Mgt_Unit!$C$5:$C$1018, 0)), INDEX(Mgt_Unit!$B$5:$B$1018, MATCH(D31, Mgt_Unit!$C$5:$C$1018, 0)), "")</f>
        <v>jennifer.moore</v>
      </c>
      <c r="C31" s="28"/>
      <c r="D31" s="9" t="s">
        <v>1295</v>
      </c>
      <c r="E31" s="45"/>
      <c r="F31" s="9" t="s">
        <v>1526</v>
      </c>
      <c r="G31" s="9" t="s">
        <v>354</v>
      </c>
      <c r="H31" s="9">
        <v>0.23287671232876711</v>
      </c>
      <c r="I31" s="75">
        <v>43277</v>
      </c>
      <c r="J31" s="75">
        <v>43296</v>
      </c>
      <c r="K31" s="9"/>
      <c r="L31" s="9" t="s">
        <v>1531</v>
      </c>
    </row>
    <row r="32" spans="1:12" x14ac:dyDescent="0.25">
      <c r="A32" s="4"/>
      <c r="B32" s="28" t="str">
        <f>IF(ISNUMBER(MATCH(D32, Mgt_Unit!$C$5:$C$1018, 0)), INDEX(Mgt_Unit!$B$5:$B$1018, MATCH(D32, Mgt_Unit!$C$5:$C$1018, 0)), "")</f>
        <v>jennifer.moore</v>
      </c>
      <c r="C32" s="28"/>
      <c r="D32" s="9" t="s">
        <v>1295</v>
      </c>
      <c r="E32" s="45"/>
      <c r="F32" s="9" t="s">
        <v>1526</v>
      </c>
      <c r="G32" s="9" t="s">
        <v>354</v>
      </c>
      <c r="H32" s="9">
        <v>0.23287671232876711</v>
      </c>
      <c r="I32" s="75">
        <v>43657</v>
      </c>
      <c r="J32" s="75">
        <v>43676</v>
      </c>
      <c r="K32" s="9"/>
      <c r="L32" s="9" t="s">
        <v>1531</v>
      </c>
    </row>
    <row r="33" spans="1:12" x14ac:dyDescent="0.25">
      <c r="A33" s="4"/>
      <c r="B33" s="28" t="str">
        <f>IF(ISNUMBER(MATCH(D33, Mgt_Unit!$C$5:$C$1018, 0)), INDEX(Mgt_Unit!$B$5:$B$1018, MATCH(D33, Mgt_Unit!$C$5:$C$1018, 0)), "")</f>
        <v>jennifer.moore</v>
      </c>
      <c r="C33" s="28"/>
      <c r="D33" s="9" t="s">
        <v>1307</v>
      </c>
      <c r="E33" s="45"/>
      <c r="F33" s="9" t="s">
        <v>1527</v>
      </c>
      <c r="G33" s="9" t="s">
        <v>354</v>
      </c>
      <c r="H33" s="9">
        <v>0.24193548400000001</v>
      </c>
      <c r="I33" s="75">
        <v>41775</v>
      </c>
      <c r="J33" s="75">
        <v>41915</v>
      </c>
      <c r="K33" s="9"/>
      <c r="L33" s="9" t="s">
        <v>1532</v>
      </c>
    </row>
    <row r="34" spans="1:12" x14ac:dyDescent="0.25">
      <c r="A34" s="4"/>
      <c r="B34" s="28" t="str">
        <f>IF(ISNUMBER(MATCH(D34, Mgt_Unit!$C$5:$C$1018, 0)), INDEX(Mgt_Unit!$B$5:$B$1018, MATCH(D34, Mgt_Unit!$C$5:$C$1018, 0)), "")</f>
        <v>jennifer.moore</v>
      </c>
      <c r="C34" s="28"/>
      <c r="D34" s="9" t="s">
        <v>1307</v>
      </c>
      <c r="E34" s="45"/>
      <c r="F34" s="9" t="s">
        <v>1527</v>
      </c>
      <c r="G34" s="9" t="s">
        <v>354</v>
      </c>
      <c r="H34" s="9">
        <v>0.24193548400000001</v>
      </c>
      <c r="I34" s="75">
        <v>42139</v>
      </c>
      <c r="J34" s="75">
        <v>42280</v>
      </c>
      <c r="K34" s="9"/>
      <c r="L34" s="9" t="s">
        <v>1532</v>
      </c>
    </row>
    <row r="35" spans="1:12" x14ac:dyDescent="0.25">
      <c r="A35" s="4"/>
      <c r="B35" s="28" t="str">
        <f>IF(ISNUMBER(MATCH(D35, Mgt_Unit!$C$5:$C$1018, 0)), INDEX(Mgt_Unit!$B$5:$B$1018, MATCH(D35, Mgt_Unit!$C$5:$C$1018, 0)), "")</f>
        <v>jennifer.moore</v>
      </c>
      <c r="C35" s="28"/>
      <c r="D35" s="9" t="s">
        <v>1307</v>
      </c>
      <c r="E35" s="45"/>
      <c r="F35" s="9" t="s">
        <v>1527</v>
      </c>
      <c r="G35" s="9" t="s">
        <v>354</v>
      </c>
      <c r="H35" s="9">
        <v>0.24193548400000001</v>
      </c>
      <c r="I35" s="75">
        <v>42503</v>
      </c>
      <c r="J35" s="75">
        <v>42644</v>
      </c>
      <c r="K35" s="9"/>
      <c r="L35" s="9" t="s">
        <v>1532</v>
      </c>
    </row>
    <row r="36" spans="1:12" x14ac:dyDescent="0.25">
      <c r="A36" s="4"/>
      <c r="B36" s="28" t="str">
        <f>IF(ISNUMBER(MATCH(D36, Mgt_Unit!$C$5:$C$1018, 0)), INDEX(Mgt_Unit!$B$5:$B$1018, MATCH(D36, Mgt_Unit!$C$5:$C$1018, 0)), "")</f>
        <v>jennifer.moore</v>
      </c>
      <c r="C36" s="28"/>
      <c r="D36" s="9" t="s">
        <v>1307</v>
      </c>
      <c r="E36" s="45"/>
      <c r="F36" s="9" t="s">
        <v>1527</v>
      </c>
      <c r="G36" s="9" t="s">
        <v>354</v>
      </c>
      <c r="H36" s="9">
        <v>0.24193548400000001</v>
      </c>
      <c r="I36" s="75">
        <v>42867</v>
      </c>
      <c r="J36" s="75">
        <v>43008</v>
      </c>
      <c r="K36" s="9"/>
      <c r="L36" s="9" t="s">
        <v>1532</v>
      </c>
    </row>
    <row r="37" spans="1:12" x14ac:dyDescent="0.25">
      <c r="A37" s="4"/>
      <c r="B37" s="28" t="str">
        <f>IF(ISNUMBER(MATCH(D37, Mgt_Unit!$C$5:$C$1018, 0)), INDEX(Mgt_Unit!$B$5:$B$1018, MATCH(D37, Mgt_Unit!$C$5:$C$1018, 0)), "")</f>
        <v>jennifer.moore</v>
      </c>
      <c r="C37" s="28"/>
      <c r="D37" s="9" t="s">
        <v>1307</v>
      </c>
      <c r="E37" s="45"/>
      <c r="F37" s="9" t="s">
        <v>1527</v>
      </c>
      <c r="G37" s="9" t="s">
        <v>354</v>
      </c>
      <c r="H37" s="9">
        <v>0.282258065</v>
      </c>
      <c r="I37" s="75">
        <v>43231</v>
      </c>
      <c r="J37" s="75">
        <v>43372</v>
      </c>
      <c r="K37" s="9"/>
      <c r="L37" s="9" t="s">
        <v>1532</v>
      </c>
    </row>
    <row r="38" spans="1:12" x14ac:dyDescent="0.25">
      <c r="A38" s="4"/>
      <c r="B38" s="28" t="str">
        <f>IF(ISNUMBER(MATCH(D38, Mgt_Unit!$C$5:$C$1018, 0)), INDEX(Mgt_Unit!$B$5:$B$1018, MATCH(D38, Mgt_Unit!$C$5:$C$1018, 0)), "")</f>
        <v>jennifer.moore</v>
      </c>
      <c r="C38" s="28"/>
      <c r="D38" s="9" t="s">
        <v>1308</v>
      </c>
      <c r="E38" s="45"/>
      <c r="F38" s="9" t="s">
        <v>1527</v>
      </c>
      <c r="G38" s="9" t="s">
        <v>356</v>
      </c>
      <c r="H38" s="9">
        <v>0.11811023599999999</v>
      </c>
      <c r="I38" s="75">
        <v>41775</v>
      </c>
      <c r="J38" s="75">
        <v>41915</v>
      </c>
      <c r="K38" s="9"/>
      <c r="L38" s="9" t="s">
        <v>1532</v>
      </c>
    </row>
    <row r="39" spans="1:12" x14ac:dyDescent="0.25">
      <c r="A39" s="4"/>
      <c r="B39" s="28" t="str">
        <f>IF(ISNUMBER(MATCH(D39, Mgt_Unit!$C$5:$C$1018, 0)), INDEX(Mgt_Unit!$B$5:$B$1018, MATCH(D39, Mgt_Unit!$C$5:$C$1018, 0)), "")</f>
        <v>jennifer.moore</v>
      </c>
      <c r="C39" s="28"/>
      <c r="D39" s="9" t="s">
        <v>1308</v>
      </c>
      <c r="E39" s="45"/>
      <c r="F39" s="9" t="s">
        <v>1527</v>
      </c>
      <c r="G39" s="9" t="s">
        <v>356</v>
      </c>
      <c r="H39" s="9">
        <v>0.11811023599999999</v>
      </c>
      <c r="I39" s="75">
        <v>42139</v>
      </c>
      <c r="J39" s="75">
        <v>42280</v>
      </c>
      <c r="K39" s="9"/>
      <c r="L39" s="9" t="s">
        <v>1532</v>
      </c>
    </row>
    <row r="40" spans="1:12" x14ac:dyDescent="0.25">
      <c r="A40" s="4"/>
      <c r="B40" s="28" t="str">
        <f>IF(ISNUMBER(MATCH(D40, Mgt_Unit!$C$5:$C$1018, 0)), INDEX(Mgt_Unit!$B$5:$B$1018, MATCH(D40, Mgt_Unit!$C$5:$C$1018, 0)), "")</f>
        <v>jennifer.moore</v>
      </c>
      <c r="C40" s="28"/>
      <c r="D40" s="9" t="s">
        <v>1308</v>
      </c>
      <c r="E40" s="45"/>
      <c r="F40" s="9" t="s">
        <v>1527</v>
      </c>
      <c r="G40" s="9" t="s">
        <v>356</v>
      </c>
      <c r="H40" s="9">
        <v>0.11811023599999999</v>
      </c>
      <c r="I40" s="75">
        <v>42503</v>
      </c>
      <c r="J40" s="75">
        <v>42644</v>
      </c>
      <c r="K40" s="9"/>
      <c r="L40" s="9" t="s">
        <v>1532</v>
      </c>
    </row>
    <row r="41" spans="1:12" x14ac:dyDescent="0.25">
      <c r="A41" s="4"/>
      <c r="B41" s="28" t="str">
        <f>IF(ISNUMBER(MATCH(D41, Mgt_Unit!$C$5:$C$1018, 0)), INDEX(Mgt_Unit!$B$5:$B$1018, MATCH(D41, Mgt_Unit!$C$5:$C$1018, 0)), "")</f>
        <v>jennifer.moore</v>
      </c>
      <c r="C41" s="28"/>
      <c r="D41" s="9" t="s">
        <v>1308</v>
      </c>
      <c r="E41" s="45"/>
      <c r="F41" s="9" t="s">
        <v>1527</v>
      </c>
      <c r="G41" s="9" t="s">
        <v>356</v>
      </c>
      <c r="H41" s="9">
        <v>0.11811023599999999</v>
      </c>
      <c r="I41" s="75">
        <v>42867</v>
      </c>
      <c r="J41" s="75">
        <v>43008</v>
      </c>
      <c r="K41" s="9"/>
      <c r="L41" s="9" t="s">
        <v>1532</v>
      </c>
    </row>
    <row r="42" spans="1:12" x14ac:dyDescent="0.25">
      <c r="A42" s="4"/>
      <c r="B42" s="28" t="str">
        <f>IF(ISNUMBER(MATCH(D42, Mgt_Unit!$C$5:$C$1018, 0)), INDEX(Mgt_Unit!$B$5:$B$1018, MATCH(D42, Mgt_Unit!$C$5:$C$1018, 0)), "")</f>
        <v>jennifer.moore</v>
      </c>
      <c r="C42" s="28"/>
      <c r="D42" s="9" t="s">
        <v>1308</v>
      </c>
      <c r="E42" s="45"/>
      <c r="F42" s="9" t="s">
        <v>1527</v>
      </c>
      <c r="G42" s="9" t="s">
        <v>356</v>
      </c>
      <c r="H42" s="9">
        <v>0.11811023599999999</v>
      </c>
      <c r="I42" s="75">
        <v>43231</v>
      </c>
      <c r="J42" s="75">
        <v>43372</v>
      </c>
      <c r="K42" s="9"/>
      <c r="L42" s="9" t="s">
        <v>1532</v>
      </c>
    </row>
    <row r="43" spans="1:12" x14ac:dyDescent="0.25">
      <c r="A43" s="4"/>
      <c r="B43" s="28" t="str">
        <f>IF(ISNUMBER(MATCH(D43, Mgt_Unit!$C$5:$C$1018, 0)), INDEX(Mgt_Unit!$B$5:$B$1018, MATCH(D43, Mgt_Unit!$C$5:$C$1018, 0)), "")</f>
        <v>jennifer.moore</v>
      </c>
      <c r="C43" s="28"/>
      <c r="D43" s="9" t="s">
        <v>1309</v>
      </c>
      <c r="E43" s="45"/>
      <c r="F43" s="9" t="s">
        <v>1527</v>
      </c>
      <c r="G43" s="9" t="s">
        <v>355</v>
      </c>
      <c r="H43" s="9">
        <v>0.15037594000000001</v>
      </c>
      <c r="I43" s="75">
        <v>41775</v>
      </c>
      <c r="J43" s="75">
        <v>41915</v>
      </c>
      <c r="K43" s="9"/>
      <c r="L43" s="9" t="s">
        <v>1532</v>
      </c>
    </row>
    <row r="44" spans="1:12" x14ac:dyDescent="0.25">
      <c r="A44" s="4"/>
      <c r="B44" s="28" t="str">
        <f>IF(ISNUMBER(MATCH(D44, Mgt_Unit!$C$5:$C$1018, 0)), INDEX(Mgt_Unit!$B$5:$B$1018, MATCH(D44, Mgt_Unit!$C$5:$C$1018, 0)), "")</f>
        <v>jennifer.moore</v>
      </c>
      <c r="C44" s="28"/>
      <c r="D44" s="9" t="s">
        <v>1309</v>
      </c>
      <c r="E44" s="45"/>
      <c r="F44" s="9" t="s">
        <v>1527</v>
      </c>
      <c r="G44" s="9" t="s">
        <v>355</v>
      </c>
      <c r="H44" s="9">
        <v>0.15789473700000001</v>
      </c>
      <c r="I44" s="75">
        <v>42139</v>
      </c>
      <c r="J44" s="75">
        <v>42280</v>
      </c>
      <c r="K44" s="9"/>
      <c r="L44" s="9" t="s">
        <v>1532</v>
      </c>
    </row>
    <row r="45" spans="1:12" x14ac:dyDescent="0.25">
      <c r="A45" s="4"/>
      <c r="B45" s="28" t="str">
        <f>IF(ISNUMBER(MATCH(D45, Mgt_Unit!$C$5:$C$1018, 0)), INDEX(Mgt_Unit!$B$5:$B$1018, MATCH(D45, Mgt_Unit!$C$5:$C$1018, 0)), "")</f>
        <v>jennifer.moore</v>
      </c>
      <c r="C45" s="28"/>
      <c r="D45" s="9" t="s">
        <v>1309</v>
      </c>
      <c r="E45" s="45"/>
      <c r="F45" s="9" t="s">
        <v>1527</v>
      </c>
      <c r="G45" s="9" t="s">
        <v>355</v>
      </c>
      <c r="H45" s="9">
        <v>0.165413534</v>
      </c>
      <c r="I45" s="75">
        <v>42503</v>
      </c>
      <c r="J45" s="75">
        <v>42644</v>
      </c>
      <c r="K45" s="9"/>
      <c r="L45" s="9" t="s">
        <v>1532</v>
      </c>
    </row>
    <row r="46" spans="1:12" x14ac:dyDescent="0.25">
      <c r="A46" s="4"/>
      <c r="B46" s="28" t="str">
        <f>IF(ISNUMBER(MATCH(D46, Mgt_Unit!$C$5:$C$1018, 0)), INDEX(Mgt_Unit!$B$5:$B$1018, MATCH(D46, Mgt_Unit!$C$5:$C$1018, 0)), "")</f>
        <v>jennifer.moore</v>
      </c>
      <c r="C46" s="28"/>
      <c r="D46" s="9" t="s">
        <v>1309</v>
      </c>
      <c r="E46" s="45"/>
      <c r="F46" s="9" t="s">
        <v>1527</v>
      </c>
      <c r="G46" s="9" t="s">
        <v>355</v>
      </c>
      <c r="H46" s="9">
        <v>0.17293233099999999</v>
      </c>
      <c r="I46" s="75">
        <v>42867</v>
      </c>
      <c r="J46" s="75">
        <v>43008</v>
      </c>
      <c r="K46" s="9"/>
      <c r="L46" s="9" t="s">
        <v>1532</v>
      </c>
    </row>
    <row r="47" spans="1:12" x14ac:dyDescent="0.25">
      <c r="A47" s="4"/>
      <c r="B47" s="28" t="str">
        <f>IF(ISNUMBER(MATCH(D47, Mgt_Unit!$C$5:$C$1018, 0)), INDEX(Mgt_Unit!$B$5:$B$1018, MATCH(D47, Mgt_Unit!$C$5:$C$1018, 0)), "")</f>
        <v>jennifer.moore</v>
      </c>
      <c r="C47" s="28"/>
      <c r="D47" s="9" t="s">
        <v>1309</v>
      </c>
      <c r="E47" s="45"/>
      <c r="F47" s="9" t="s">
        <v>1527</v>
      </c>
      <c r="G47" s="9" t="s">
        <v>355</v>
      </c>
      <c r="H47" s="9">
        <v>0.195488722</v>
      </c>
      <c r="I47" s="75">
        <v>43231</v>
      </c>
      <c r="J47" s="75">
        <v>43372</v>
      </c>
      <c r="K47" s="9"/>
      <c r="L47" s="9" t="s">
        <v>1532</v>
      </c>
    </row>
    <row r="48" spans="1:12" x14ac:dyDescent="0.25">
      <c r="A48" s="4"/>
      <c r="B48" s="28" t="str">
        <f>IF(ISNUMBER(MATCH(D48, Mgt_Unit!$C$5:$C$1018, 0)), INDEX(Mgt_Unit!$B$5:$B$1018, MATCH(D48, Mgt_Unit!$C$5:$C$1018, 0)), "")</f>
        <v>jennifer.moore</v>
      </c>
      <c r="C48" s="28"/>
      <c r="D48" s="9" t="s">
        <v>841</v>
      </c>
      <c r="E48" s="45"/>
      <c r="F48" s="9" t="s">
        <v>1528</v>
      </c>
      <c r="G48" s="9" t="s">
        <v>355</v>
      </c>
      <c r="H48" s="9">
        <v>2.2000000000000002</v>
      </c>
      <c r="I48" s="75">
        <v>43266</v>
      </c>
      <c r="J48" s="75">
        <v>43374</v>
      </c>
      <c r="K48" s="9"/>
      <c r="L48" s="9" t="s">
        <v>1533</v>
      </c>
    </row>
    <row r="49" spans="1:12" x14ac:dyDescent="0.25">
      <c r="A49" s="4"/>
      <c r="B49" s="28" t="str">
        <f>IF(ISNUMBER(MATCH(D49, Mgt_Unit!$C$5:$C$1018, 0)), INDEX(Mgt_Unit!$B$5:$B$1018, MATCH(D49, Mgt_Unit!$C$5:$C$1018, 0)), "")</f>
        <v>jennifer.moore</v>
      </c>
      <c r="C49" s="28"/>
      <c r="D49" s="9" t="s">
        <v>841</v>
      </c>
      <c r="E49" s="45"/>
      <c r="F49" s="9" t="s">
        <v>1528</v>
      </c>
      <c r="G49" s="9" t="s">
        <v>355</v>
      </c>
      <c r="H49" s="9">
        <v>2.2000000000000002</v>
      </c>
      <c r="I49" s="75">
        <v>43405</v>
      </c>
      <c r="J49" s="86">
        <v>43516</v>
      </c>
      <c r="K49" s="9"/>
      <c r="L49" s="9" t="s">
        <v>1533</v>
      </c>
    </row>
    <row r="50" spans="1:12" x14ac:dyDescent="0.25">
      <c r="A50" s="4"/>
      <c r="B50" s="28" t="str">
        <f>IF(ISNUMBER(MATCH(D50, Mgt_Unit!$C$5:$C$1018, 0)), INDEX(Mgt_Unit!$B$5:$B$1018, MATCH(D50, Mgt_Unit!$C$5:$C$1018, 0)), "")</f>
        <v>jennifer.moore</v>
      </c>
      <c r="C50" s="28"/>
      <c r="D50" s="9" t="s">
        <v>1338</v>
      </c>
      <c r="E50" s="45"/>
      <c r="F50" s="9" t="s">
        <v>70</v>
      </c>
      <c r="G50" s="9" t="s">
        <v>354</v>
      </c>
      <c r="H50" s="9">
        <v>0.29850746299999997</v>
      </c>
      <c r="I50" s="75">
        <v>41781</v>
      </c>
      <c r="J50" s="75">
        <v>41887</v>
      </c>
      <c r="K50" s="9"/>
      <c r="L50" s="9" t="s">
        <v>1532</v>
      </c>
    </row>
    <row r="51" spans="1:12" x14ac:dyDescent="0.25">
      <c r="A51" s="4"/>
      <c r="B51" s="28" t="str">
        <f>IF(ISNUMBER(MATCH(D51, Mgt_Unit!$C$5:$C$1018, 0)), INDEX(Mgt_Unit!$B$5:$B$1018, MATCH(D51, Mgt_Unit!$C$5:$C$1018, 0)), "")</f>
        <v>jennifer.moore</v>
      </c>
      <c r="C51" s="28"/>
      <c r="D51" s="9" t="s">
        <v>1338</v>
      </c>
      <c r="E51" s="45"/>
      <c r="F51" s="9" t="s">
        <v>70</v>
      </c>
      <c r="G51" s="9" t="s">
        <v>354</v>
      </c>
      <c r="H51" s="9">
        <v>0.28493894199999997</v>
      </c>
      <c r="I51" s="75">
        <v>42139</v>
      </c>
      <c r="J51" s="75">
        <v>42250</v>
      </c>
      <c r="K51" s="9"/>
      <c r="L51" s="9" t="s">
        <v>1532</v>
      </c>
    </row>
    <row r="52" spans="1:12" x14ac:dyDescent="0.25">
      <c r="A52" s="4"/>
      <c r="B52" s="28" t="str">
        <f>IF(ISNUMBER(MATCH(D52, Mgt_Unit!$C$5:$C$1018, 0)), INDEX(Mgt_Unit!$B$5:$B$1018, MATCH(D52, Mgt_Unit!$C$5:$C$1018, 0)), "")</f>
        <v>jennifer.moore</v>
      </c>
      <c r="C52" s="28"/>
      <c r="D52" s="9" t="s">
        <v>1338</v>
      </c>
      <c r="E52" s="45"/>
      <c r="F52" s="9" t="s">
        <v>70</v>
      </c>
      <c r="G52" s="9" t="s">
        <v>354</v>
      </c>
      <c r="H52" s="9">
        <v>0.29850746299999997</v>
      </c>
      <c r="I52" s="75">
        <v>42502</v>
      </c>
      <c r="J52" s="75">
        <v>42591</v>
      </c>
      <c r="K52" s="9"/>
      <c r="L52" s="9" t="s">
        <v>1532</v>
      </c>
    </row>
    <row r="53" spans="1:12" x14ac:dyDescent="0.25">
      <c r="A53" s="4"/>
      <c r="B53" s="28" t="str">
        <f>IF(ISNUMBER(MATCH(D53, Mgt_Unit!$C$5:$C$1018, 0)), INDEX(Mgt_Unit!$B$5:$B$1018, MATCH(D53, Mgt_Unit!$C$5:$C$1018, 0)), "")</f>
        <v>jennifer.moore</v>
      </c>
      <c r="C53" s="28"/>
      <c r="D53" s="9" t="s">
        <v>1338</v>
      </c>
      <c r="E53" s="45"/>
      <c r="F53" s="9" t="s">
        <v>70</v>
      </c>
      <c r="G53" s="9" t="s">
        <v>354</v>
      </c>
      <c r="H53" s="9">
        <v>0.25780189999999997</v>
      </c>
      <c r="I53" s="75">
        <v>42881</v>
      </c>
      <c r="J53" s="75">
        <v>42928</v>
      </c>
      <c r="K53" s="9"/>
      <c r="L53" s="9" t="s">
        <v>1532</v>
      </c>
    </row>
    <row r="54" spans="1:12" x14ac:dyDescent="0.25">
      <c r="A54" s="4"/>
      <c r="B54" s="28" t="str">
        <f>IF(ISNUMBER(MATCH(D54, Mgt_Unit!$C$5:$C$1018, 0)), INDEX(Mgt_Unit!$B$5:$B$1018, MATCH(D54, Mgt_Unit!$C$5:$C$1018, 0)), "")</f>
        <v>jennifer.moore</v>
      </c>
      <c r="C54" s="28"/>
      <c r="D54" s="9" t="s">
        <v>1338</v>
      </c>
      <c r="E54" s="45"/>
      <c r="F54" s="9" t="s">
        <v>70</v>
      </c>
      <c r="G54" s="9" t="s">
        <v>354</v>
      </c>
      <c r="H54" s="9">
        <v>0.25780189999999997</v>
      </c>
      <c r="I54" s="75">
        <v>43243</v>
      </c>
      <c r="J54" s="75">
        <v>43328</v>
      </c>
      <c r="K54" s="9"/>
      <c r="L54" s="9" t="s">
        <v>1532</v>
      </c>
    </row>
    <row r="55" spans="1:12" x14ac:dyDescent="0.25">
      <c r="A55" s="4"/>
      <c r="B55" s="28" t="str">
        <f>IF(ISNUMBER(MATCH(D55, Mgt_Unit!$C$5:$C$1018, 0)), INDEX(Mgt_Unit!$B$5:$B$1018, MATCH(D55, Mgt_Unit!$C$5:$C$1018, 0)), "")</f>
        <v>jennifer.moore</v>
      </c>
      <c r="C55" s="28"/>
      <c r="D55" s="9" t="s">
        <v>1340</v>
      </c>
      <c r="E55" s="45"/>
      <c r="F55" s="9" t="s">
        <v>70</v>
      </c>
      <c r="G55" s="9" t="s">
        <v>356</v>
      </c>
      <c r="H55" s="9">
        <v>0.280970626</v>
      </c>
      <c r="I55" s="75">
        <v>41781</v>
      </c>
      <c r="J55" s="75">
        <v>41887</v>
      </c>
      <c r="K55" s="9"/>
      <c r="L55" s="9" t="s">
        <v>1532</v>
      </c>
    </row>
    <row r="56" spans="1:12" x14ac:dyDescent="0.25">
      <c r="A56" s="4"/>
      <c r="B56" s="28" t="str">
        <f>IF(ISNUMBER(MATCH(D56, Mgt_Unit!$C$5:$C$1018, 0)), INDEX(Mgt_Unit!$B$5:$B$1018, MATCH(D56, Mgt_Unit!$C$5:$C$1018, 0)), "")</f>
        <v>jennifer.moore</v>
      </c>
      <c r="C56" s="28"/>
      <c r="D56" s="9" t="s">
        <v>1340</v>
      </c>
      <c r="E56" s="45"/>
      <c r="F56" s="9" t="s">
        <v>70</v>
      </c>
      <c r="G56" s="9" t="s">
        <v>356</v>
      </c>
      <c r="H56" s="9">
        <v>0.26819923400000001</v>
      </c>
      <c r="I56" s="75">
        <v>42139</v>
      </c>
      <c r="J56" s="75">
        <v>42250</v>
      </c>
      <c r="K56" s="9"/>
      <c r="L56" s="9" t="s">
        <v>1532</v>
      </c>
    </row>
    <row r="57" spans="1:12" x14ac:dyDescent="0.25">
      <c r="A57" s="4"/>
      <c r="B57" s="28" t="str">
        <f>IF(ISNUMBER(MATCH(D57, Mgt_Unit!$C$5:$C$1018, 0)), INDEX(Mgt_Unit!$B$5:$B$1018, MATCH(D57, Mgt_Unit!$C$5:$C$1018, 0)), "")</f>
        <v>jennifer.moore</v>
      </c>
      <c r="C57" s="28"/>
      <c r="D57" s="9" t="s">
        <v>1340</v>
      </c>
      <c r="E57" s="45"/>
      <c r="F57" s="9" t="s">
        <v>70</v>
      </c>
      <c r="G57" s="9" t="s">
        <v>356</v>
      </c>
      <c r="H57" s="9">
        <v>0.280970626</v>
      </c>
      <c r="I57" s="75">
        <v>42502</v>
      </c>
      <c r="J57" s="75">
        <v>42591</v>
      </c>
      <c r="K57" s="9"/>
      <c r="L57" s="9" t="s">
        <v>1532</v>
      </c>
    </row>
    <row r="58" spans="1:12" x14ac:dyDescent="0.25">
      <c r="A58" s="4"/>
      <c r="B58" s="28" t="str">
        <f>IF(ISNUMBER(MATCH(D58, Mgt_Unit!$C$5:$C$1018, 0)), INDEX(Mgt_Unit!$B$5:$B$1018, MATCH(D58, Mgt_Unit!$C$5:$C$1018, 0)), "")</f>
        <v>jennifer.moore</v>
      </c>
      <c r="C58" s="28"/>
      <c r="D58" s="9" t="s">
        <v>1340</v>
      </c>
      <c r="E58" s="45"/>
      <c r="F58" s="9" t="s">
        <v>70</v>
      </c>
      <c r="G58" s="9" t="s">
        <v>356</v>
      </c>
      <c r="H58" s="9">
        <v>0.24265645</v>
      </c>
      <c r="I58" s="75">
        <v>42881</v>
      </c>
      <c r="J58" s="75">
        <v>42928</v>
      </c>
      <c r="K58" s="9"/>
      <c r="L58" s="9" t="s">
        <v>1532</v>
      </c>
    </row>
    <row r="59" spans="1:12" x14ac:dyDescent="0.25">
      <c r="A59" s="4"/>
      <c r="B59" s="28" t="str">
        <f>IF(ISNUMBER(MATCH(D59, Mgt_Unit!$C$5:$C$1018, 0)), INDEX(Mgt_Unit!$B$5:$B$1018, MATCH(D59, Mgt_Unit!$C$5:$C$1018, 0)), "")</f>
        <v>jennifer.moore</v>
      </c>
      <c r="C59" s="28"/>
      <c r="D59" s="9" t="s">
        <v>1340</v>
      </c>
      <c r="E59" s="45"/>
      <c r="F59" s="9" t="s">
        <v>70</v>
      </c>
      <c r="G59" s="9" t="s">
        <v>356</v>
      </c>
      <c r="H59" s="9">
        <v>0.24265645</v>
      </c>
      <c r="I59" s="75">
        <v>43243</v>
      </c>
      <c r="J59" s="75">
        <v>43328</v>
      </c>
      <c r="K59" s="9"/>
      <c r="L59" s="9" t="s">
        <v>1532</v>
      </c>
    </row>
    <row r="60" spans="1:12" x14ac:dyDescent="0.25">
      <c r="A60" s="4"/>
      <c r="B60" s="28" t="str">
        <f>IF(ISNUMBER(MATCH(D60, Mgt_Unit!$C$5:$C$1018, 0)), INDEX(Mgt_Unit!$B$5:$B$1018, MATCH(D60, Mgt_Unit!$C$5:$C$1018, 0)), "")</f>
        <v>jennifer.moore</v>
      </c>
      <c r="C60" s="28"/>
      <c r="D60" s="9" t="s">
        <v>1339</v>
      </c>
      <c r="E60" s="45"/>
      <c r="F60" s="9" t="s">
        <v>70</v>
      </c>
      <c r="G60" s="9" t="s">
        <v>355</v>
      </c>
      <c r="H60" s="9">
        <v>0.13505217899999999</v>
      </c>
      <c r="I60" s="75">
        <v>41781</v>
      </c>
      <c r="J60" s="75">
        <v>41887</v>
      </c>
      <c r="K60" s="9"/>
      <c r="L60" s="9" t="s">
        <v>1532</v>
      </c>
    </row>
    <row r="61" spans="1:12" x14ac:dyDescent="0.25">
      <c r="A61" s="4"/>
      <c r="B61" s="28" t="str">
        <f>IF(ISNUMBER(MATCH(D61, Mgt_Unit!$C$5:$C$1018, 0)), INDEX(Mgt_Unit!$B$5:$B$1018, MATCH(D61, Mgt_Unit!$C$5:$C$1018, 0)), "")</f>
        <v>jennifer.moore</v>
      </c>
      <c r="C61" s="28"/>
      <c r="D61" s="9" t="s">
        <v>1339</v>
      </c>
      <c r="E61" s="45"/>
      <c r="F61" s="9" t="s">
        <v>70</v>
      </c>
      <c r="G61" s="9" t="s">
        <v>355</v>
      </c>
      <c r="H61" s="9">
        <v>0.122774708</v>
      </c>
      <c r="I61" s="75">
        <v>42139</v>
      </c>
      <c r="J61" s="75">
        <v>42250</v>
      </c>
      <c r="K61" s="9"/>
      <c r="L61" s="9" t="s">
        <v>1532</v>
      </c>
    </row>
    <row r="62" spans="1:12" x14ac:dyDescent="0.25">
      <c r="A62" s="4"/>
      <c r="B62" s="28" t="str">
        <f>IF(ISNUMBER(MATCH(D62, Mgt_Unit!$C$5:$C$1018, 0)), INDEX(Mgt_Unit!$B$5:$B$1018, MATCH(D62, Mgt_Unit!$C$5:$C$1018, 0)), "")</f>
        <v>jennifer.moore</v>
      </c>
      <c r="C62" s="28"/>
      <c r="D62" s="9" t="s">
        <v>1339</v>
      </c>
      <c r="E62" s="45"/>
      <c r="F62" s="9" t="s">
        <v>70</v>
      </c>
      <c r="G62" s="9" t="s">
        <v>355</v>
      </c>
      <c r="H62" s="9">
        <v>0.13505217899999999</v>
      </c>
      <c r="I62" s="75">
        <v>42502</v>
      </c>
      <c r="J62" s="75">
        <v>42591</v>
      </c>
      <c r="K62" s="9"/>
      <c r="L62" s="9" t="s">
        <v>1532</v>
      </c>
    </row>
    <row r="63" spans="1:12" x14ac:dyDescent="0.25">
      <c r="A63" s="4"/>
      <c r="B63" s="28" t="str">
        <f>IF(ISNUMBER(MATCH(D63, Mgt_Unit!$C$5:$C$1018, 0)), INDEX(Mgt_Unit!$B$5:$B$1018, MATCH(D63, Mgt_Unit!$C$5:$C$1018, 0)), "")</f>
        <v>jennifer.moore</v>
      </c>
      <c r="C63" s="28"/>
      <c r="D63" s="9" t="s">
        <v>1339</v>
      </c>
      <c r="E63" s="45"/>
      <c r="F63" s="9" t="s">
        <v>70</v>
      </c>
      <c r="G63" s="9" t="s">
        <v>355</v>
      </c>
      <c r="H63" s="9">
        <v>0.116635973</v>
      </c>
      <c r="I63" s="75">
        <v>42881</v>
      </c>
      <c r="J63" s="75">
        <v>42928</v>
      </c>
      <c r="K63" s="9"/>
      <c r="L63" s="9" t="s">
        <v>1532</v>
      </c>
    </row>
    <row r="64" spans="1:12" x14ac:dyDescent="0.25">
      <c r="A64" s="4"/>
      <c r="B64" s="28" t="str">
        <f>IF(ISNUMBER(MATCH(D64, Mgt_Unit!$C$5:$C$1018, 0)), INDEX(Mgt_Unit!$B$5:$B$1018, MATCH(D64, Mgt_Unit!$C$5:$C$1018, 0)), "")</f>
        <v>jennifer.moore</v>
      </c>
      <c r="C64" s="28"/>
      <c r="D64" s="9" t="s">
        <v>1339</v>
      </c>
      <c r="E64" s="45"/>
      <c r="F64" s="9" t="s">
        <v>70</v>
      </c>
      <c r="G64" s="9" t="s">
        <v>355</v>
      </c>
      <c r="H64" s="9">
        <v>0.116635973</v>
      </c>
      <c r="I64" s="75">
        <v>43243</v>
      </c>
      <c r="J64" s="75">
        <v>43328</v>
      </c>
      <c r="K64" s="9"/>
      <c r="L64" s="9" t="s">
        <v>1532</v>
      </c>
    </row>
    <row r="65" spans="1:12" x14ac:dyDescent="0.25">
      <c r="A65" s="4"/>
      <c r="B65" s="28" t="str">
        <f>IF(ISNUMBER(MATCH(D65, Mgt_Unit!$C$5:$C$1018, 0)), INDEX(Mgt_Unit!$B$5:$B$1018, MATCH(D65, Mgt_Unit!$C$5:$C$1018, 0)), "")</f>
        <v>jennifer.moore</v>
      </c>
      <c r="C65" s="28"/>
      <c r="D65" s="9" t="s">
        <v>1342</v>
      </c>
      <c r="E65" s="45"/>
      <c r="F65" s="9" t="s">
        <v>70</v>
      </c>
      <c r="G65" s="9" t="s">
        <v>355</v>
      </c>
      <c r="H65" s="9">
        <v>6</v>
      </c>
      <c r="I65" s="75">
        <v>43288</v>
      </c>
      <c r="J65" s="75">
        <v>43293</v>
      </c>
      <c r="K65" s="9"/>
      <c r="L65" s="9" t="s">
        <v>1534</v>
      </c>
    </row>
    <row r="66" spans="1:12" x14ac:dyDescent="0.25">
      <c r="A66" s="4"/>
      <c r="B66" s="28" t="str">
        <f>IF(ISNUMBER(MATCH(D66, Mgt_Unit!$C$5:$C$1018, 0)), INDEX(Mgt_Unit!$B$5:$B$1018, MATCH(D66, Mgt_Unit!$C$5:$C$1018, 0)), "")</f>
        <v>jennifer.moore</v>
      </c>
      <c r="C66" s="28"/>
      <c r="D66" s="9" t="s">
        <v>1341</v>
      </c>
      <c r="E66" s="45"/>
      <c r="F66" s="9" t="s">
        <v>70</v>
      </c>
      <c r="G66" s="9" t="s">
        <v>355</v>
      </c>
      <c r="H66" s="9">
        <v>6</v>
      </c>
      <c r="I66" s="75">
        <v>43228</v>
      </c>
      <c r="J66" s="75">
        <v>43382</v>
      </c>
      <c r="K66" s="9"/>
      <c r="L66" s="9" t="s">
        <v>1534</v>
      </c>
    </row>
    <row r="67" spans="1:12" x14ac:dyDescent="0.25">
      <c r="A67" s="4"/>
      <c r="B67" s="28" t="str">
        <f>IF(ISNUMBER(MATCH(D67, Mgt_Unit!$C$5:$C$1018, 0)), INDEX(Mgt_Unit!$B$5:$B$1018, MATCH(D67, Mgt_Unit!$C$5:$C$1018, 0)), "")</f>
        <v>jennifer.moore</v>
      </c>
      <c r="C67" s="28"/>
      <c r="D67" s="9" t="s">
        <v>1348</v>
      </c>
      <c r="E67" s="45"/>
      <c r="F67" s="9" t="s">
        <v>1529</v>
      </c>
      <c r="G67" s="9" t="s">
        <v>355</v>
      </c>
      <c r="H67" s="9">
        <v>132</v>
      </c>
      <c r="I67" s="75">
        <v>43633</v>
      </c>
      <c r="J67" s="86">
        <v>43830</v>
      </c>
      <c r="K67" s="9"/>
      <c r="L67" s="9" t="s">
        <v>1545</v>
      </c>
    </row>
    <row r="68" spans="1:12" x14ac:dyDescent="0.25">
      <c r="A68" s="4"/>
      <c r="B68" s="28" t="str">
        <f>IF(ISNUMBER(MATCH(D68, Mgt_Unit!$C$5:$C$1018, 0)), INDEX(Mgt_Unit!$B$5:$B$1018, MATCH(D68, Mgt_Unit!$C$5:$C$1018, 0)), "")</f>
        <v>jennifer.moore</v>
      </c>
      <c r="C68" s="28"/>
      <c r="D68" s="9" t="s">
        <v>1348</v>
      </c>
      <c r="E68" s="45"/>
      <c r="F68" s="9" t="s">
        <v>1529</v>
      </c>
      <c r="G68" s="9" t="s">
        <v>355</v>
      </c>
      <c r="H68" s="9">
        <v>132</v>
      </c>
      <c r="I68" s="75">
        <v>43774</v>
      </c>
      <c r="J68" s="86">
        <v>43830</v>
      </c>
      <c r="K68" s="9"/>
      <c r="L68" s="9" t="s">
        <v>1545</v>
      </c>
    </row>
    <row r="69" spans="1:12" x14ac:dyDescent="0.25">
      <c r="A69" s="4"/>
      <c r="B69" s="28" t="str">
        <f>IF(ISNUMBER(MATCH(D69, Mgt_Unit!$C$5:$C$1018, 0)), INDEX(Mgt_Unit!$B$5:$B$1018, MATCH(D69, Mgt_Unit!$C$5:$C$1018, 0)), "")</f>
        <v>jennifer.moore</v>
      </c>
      <c r="C69" s="28"/>
      <c r="D69" s="9" t="s">
        <v>1348</v>
      </c>
      <c r="E69" s="45"/>
      <c r="F69" s="9" t="s">
        <v>1529</v>
      </c>
      <c r="G69" s="9" t="s">
        <v>355</v>
      </c>
      <c r="H69" s="9">
        <v>132</v>
      </c>
      <c r="I69" s="86">
        <v>43829</v>
      </c>
      <c r="J69" s="86">
        <v>43830</v>
      </c>
      <c r="K69" s="9"/>
      <c r="L69" s="9" t="s">
        <v>1545</v>
      </c>
    </row>
    <row r="70" spans="1:12" x14ac:dyDescent="0.25">
      <c r="A70" s="4"/>
      <c r="B70" s="28" t="str">
        <f>IF(ISNUMBER(MATCH(D70, Mgt_Unit!$C$5:$C$1018, 0)), INDEX(Mgt_Unit!$B$5:$B$1018, MATCH(D70, Mgt_Unit!$C$5:$C$1018, 0)), "")</f>
        <v>jennifer.moore</v>
      </c>
      <c r="C70" s="28"/>
      <c r="D70" s="9" t="s">
        <v>1346</v>
      </c>
      <c r="E70" s="45"/>
      <c r="F70" s="9" t="s">
        <v>1529</v>
      </c>
      <c r="G70" s="9" t="s">
        <v>355</v>
      </c>
      <c r="H70" s="9">
        <v>132</v>
      </c>
      <c r="I70" s="75">
        <v>43571</v>
      </c>
      <c r="J70" s="86">
        <v>43830</v>
      </c>
      <c r="K70" s="9"/>
      <c r="L70" s="9" t="s">
        <v>1545</v>
      </c>
    </row>
    <row r="71" spans="1:12" x14ac:dyDescent="0.25">
      <c r="A71" s="4"/>
      <c r="B71" s="28" t="str">
        <f>IF(ISNUMBER(MATCH(D71, Mgt_Unit!$C$5:$C$1018, 0)), INDEX(Mgt_Unit!$B$5:$B$1018, MATCH(D71, Mgt_Unit!$C$5:$C$1018, 0)), "")</f>
        <v>jennifer.moore</v>
      </c>
      <c r="C71" s="28"/>
      <c r="D71" s="9" t="s">
        <v>1346</v>
      </c>
      <c r="E71" s="45"/>
      <c r="F71" s="9" t="s">
        <v>1529</v>
      </c>
      <c r="G71" s="9" t="s">
        <v>355</v>
      </c>
      <c r="H71" s="9">
        <v>132</v>
      </c>
      <c r="I71" s="75">
        <v>43681</v>
      </c>
      <c r="J71" s="86">
        <v>43830</v>
      </c>
      <c r="K71" s="9"/>
      <c r="L71" s="9" t="s">
        <v>1545</v>
      </c>
    </row>
    <row r="72" spans="1:12" x14ac:dyDescent="0.25">
      <c r="A72" s="4"/>
      <c r="B72" s="28" t="str">
        <f>IF(ISNUMBER(MATCH(D72, Mgt_Unit!$C$5:$C$1018, 0)), INDEX(Mgt_Unit!$B$5:$B$1018, MATCH(D72, Mgt_Unit!$C$5:$C$1018, 0)), "")</f>
        <v>jennifer.moore</v>
      </c>
      <c r="C72" s="28"/>
      <c r="D72" s="9" t="s">
        <v>1346</v>
      </c>
      <c r="E72" s="45"/>
      <c r="F72" s="9" t="s">
        <v>1529</v>
      </c>
      <c r="G72" s="9" t="s">
        <v>355</v>
      </c>
      <c r="H72" s="9">
        <v>132</v>
      </c>
      <c r="I72" s="75">
        <v>43800</v>
      </c>
      <c r="J72" s="86">
        <v>43830</v>
      </c>
      <c r="K72" s="9"/>
      <c r="L72" s="9" t="s">
        <v>1545</v>
      </c>
    </row>
    <row r="73" spans="1:12" x14ac:dyDescent="0.25">
      <c r="A73" s="4"/>
      <c r="B73" s="28" t="str">
        <f>IF(ISNUMBER(MATCH(D73, Mgt_Unit!$C$5:$C$1018, 0)), INDEX(Mgt_Unit!$B$5:$B$1018, MATCH(D73, Mgt_Unit!$C$5:$C$1018, 0)), "")</f>
        <v>jennifer.moore</v>
      </c>
      <c r="C73" s="28"/>
      <c r="D73" s="9" t="s">
        <v>1347</v>
      </c>
      <c r="E73" s="45"/>
      <c r="F73" s="9" t="s">
        <v>1529</v>
      </c>
      <c r="G73" s="9" t="s">
        <v>355</v>
      </c>
      <c r="H73" s="9">
        <v>132</v>
      </c>
      <c r="I73" s="75">
        <v>43633</v>
      </c>
      <c r="J73" s="86">
        <v>43830</v>
      </c>
      <c r="K73" s="9"/>
      <c r="L73" s="9" t="s">
        <v>1545</v>
      </c>
    </row>
    <row r="74" spans="1:12" x14ac:dyDescent="0.25">
      <c r="A74" s="4"/>
      <c r="B74" s="28" t="str">
        <f>IF(ISNUMBER(MATCH(D74, Mgt_Unit!$C$5:$C$1018, 0)), INDEX(Mgt_Unit!$B$5:$B$1018, MATCH(D74, Mgt_Unit!$C$5:$C$1018, 0)), "")</f>
        <v>jennifer.moore</v>
      </c>
      <c r="C74" s="28"/>
      <c r="D74" s="9" t="s">
        <v>1347</v>
      </c>
      <c r="E74" s="45"/>
      <c r="F74" s="9" t="s">
        <v>1529</v>
      </c>
      <c r="G74" s="9" t="s">
        <v>355</v>
      </c>
      <c r="H74" s="9">
        <v>132</v>
      </c>
      <c r="I74" s="75">
        <v>43774</v>
      </c>
      <c r="J74" s="86">
        <v>43830</v>
      </c>
      <c r="K74" s="9"/>
      <c r="L74" s="9" t="s">
        <v>1545</v>
      </c>
    </row>
    <row r="75" spans="1:12" x14ac:dyDescent="0.25">
      <c r="A75" s="4"/>
      <c r="B75" s="28" t="str">
        <f>IF(ISNUMBER(MATCH(D75, Mgt_Unit!$C$5:$C$1018, 0)), INDEX(Mgt_Unit!$B$5:$B$1018, MATCH(D75, Mgt_Unit!$C$5:$C$1018, 0)), "")</f>
        <v>jennifer.moore</v>
      </c>
      <c r="C75" s="28"/>
      <c r="D75" s="9" t="s">
        <v>1347</v>
      </c>
      <c r="E75" s="45"/>
      <c r="F75" s="9" t="s">
        <v>1529</v>
      </c>
      <c r="G75" s="9" t="s">
        <v>355</v>
      </c>
      <c r="H75" s="9">
        <v>132</v>
      </c>
      <c r="I75" s="86">
        <v>43829</v>
      </c>
      <c r="J75" s="86">
        <v>43830</v>
      </c>
      <c r="K75" s="9"/>
      <c r="L75" s="9" t="s">
        <v>1545</v>
      </c>
    </row>
    <row r="76" spans="1:12" x14ac:dyDescent="0.25">
      <c r="A76" s="4"/>
      <c r="B76" s="28" t="str">
        <f>IF(ISNUMBER(MATCH(D76, Mgt_Unit!$C$5:$C$1018, 0)), INDEX(Mgt_Unit!$B$5:$B$1018, MATCH(D76, Mgt_Unit!$C$5:$C$1018, 0)), "")</f>
        <v>jennifer.moore</v>
      </c>
      <c r="C76" s="28"/>
      <c r="D76" s="9" t="s">
        <v>1345</v>
      </c>
      <c r="E76" s="45"/>
      <c r="F76" s="9" t="s">
        <v>1529</v>
      </c>
      <c r="G76" s="9" t="s">
        <v>355</v>
      </c>
      <c r="H76" s="9">
        <v>132</v>
      </c>
      <c r="I76" s="75">
        <v>43571</v>
      </c>
      <c r="J76" s="86">
        <v>43830</v>
      </c>
      <c r="K76" s="9"/>
      <c r="L76" s="9" t="s">
        <v>1545</v>
      </c>
    </row>
    <row r="77" spans="1:12" x14ac:dyDescent="0.25">
      <c r="A77" s="4"/>
      <c r="B77" s="28" t="str">
        <f>IF(ISNUMBER(MATCH(D77, Mgt_Unit!$C$5:$C$1018, 0)), INDEX(Mgt_Unit!$B$5:$B$1018, MATCH(D77, Mgt_Unit!$C$5:$C$1018, 0)), "")</f>
        <v>jennifer.moore</v>
      </c>
      <c r="C77" s="28"/>
      <c r="D77" s="9" t="s">
        <v>1345</v>
      </c>
      <c r="E77" s="45"/>
      <c r="F77" s="9" t="s">
        <v>1529</v>
      </c>
      <c r="G77" s="9" t="s">
        <v>355</v>
      </c>
      <c r="H77" s="9">
        <v>132</v>
      </c>
      <c r="I77" s="75">
        <v>43681</v>
      </c>
      <c r="J77" s="86">
        <v>43830</v>
      </c>
      <c r="K77" s="9"/>
      <c r="L77" s="9" t="s">
        <v>1545</v>
      </c>
    </row>
    <row r="78" spans="1:12" x14ac:dyDescent="0.25">
      <c r="A78" s="4"/>
      <c r="B78" s="28" t="str">
        <f>IF(ISNUMBER(MATCH(D78, Mgt_Unit!$C$5:$C$1018, 0)), INDEX(Mgt_Unit!$B$5:$B$1018, MATCH(D78, Mgt_Unit!$C$5:$C$1018, 0)), "")</f>
        <v>jennifer.moore</v>
      </c>
      <c r="C78" s="28"/>
      <c r="D78" s="9" t="s">
        <v>1345</v>
      </c>
      <c r="E78" s="45"/>
      <c r="F78" s="9" t="s">
        <v>1529</v>
      </c>
      <c r="G78" s="9" t="s">
        <v>355</v>
      </c>
      <c r="H78" s="9">
        <v>132</v>
      </c>
      <c r="I78" s="75">
        <v>43800</v>
      </c>
      <c r="J78" s="86">
        <v>43830</v>
      </c>
      <c r="K78" s="9"/>
      <c r="L78" s="9" t="s">
        <v>1545</v>
      </c>
    </row>
    <row r="79" spans="1:12" x14ac:dyDescent="0.25">
      <c r="A79" s="4"/>
      <c r="B79" s="28" t="str">
        <f>IF(ISNUMBER(MATCH(D79, Mgt_Unit!$C$5:$C$1018, 0)), INDEX(Mgt_Unit!$B$5:$B$1018, MATCH(D79, Mgt_Unit!$C$5:$C$1018, 0)), "")</f>
        <v>jennifer.moore</v>
      </c>
      <c r="C79" s="28"/>
      <c r="D79" s="9" t="s">
        <v>1350</v>
      </c>
      <c r="E79" s="45"/>
      <c r="F79" s="9" t="s">
        <v>1589</v>
      </c>
      <c r="G79" s="9" t="s">
        <v>354</v>
      </c>
      <c r="H79" s="9"/>
      <c r="I79" s="75">
        <v>41796</v>
      </c>
      <c r="J79" s="75">
        <v>41897</v>
      </c>
      <c r="K79" s="9"/>
      <c r="L79" s="9"/>
    </row>
    <row r="80" spans="1:12" x14ac:dyDescent="0.25">
      <c r="A80" s="4"/>
      <c r="B80" s="28" t="str">
        <f>IF(ISNUMBER(MATCH(D80, Mgt_Unit!$C$5:$C$1018, 0)), INDEX(Mgt_Unit!$B$5:$B$1018, MATCH(D80, Mgt_Unit!$C$5:$C$1018, 0)), "")</f>
        <v>jennifer.moore</v>
      </c>
      <c r="C80" s="28"/>
      <c r="D80" s="9" t="s">
        <v>1350</v>
      </c>
      <c r="E80" s="45"/>
      <c r="F80" s="9" t="s">
        <v>1589</v>
      </c>
      <c r="G80" s="9" t="s">
        <v>354</v>
      </c>
      <c r="H80" s="9"/>
      <c r="I80" s="75">
        <v>42157</v>
      </c>
      <c r="J80" s="75">
        <v>42271</v>
      </c>
      <c r="K80" s="9"/>
      <c r="L80" s="9"/>
    </row>
    <row r="81" spans="1:12" x14ac:dyDescent="0.25">
      <c r="A81" s="4"/>
      <c r="B81" s="28" t="str">
        <f>IF(ISNUMBER(MATCH(D81, Mgt_Unit!$C$5:$C$1018, 0)), INDEX(Mgt_Unit!$B$5:$B$1018, MATCH(D81, Mgt_Unit!$C$5:$C$1018, 0)), "")</f>
        <v>jennifer.moore</v>
      </c>
      <c r="C81" s="28"/>
      <c r="D81" s="9" t="s">
        <v>1350</v>
      </c>
      <c r="E81" s="45"/>
      <c r="F81" s="9" t="s">
        <v>1589</v>
      </c>
      <c r="G81" s="9" t="s">
        <v>354</v>
      </c>
      <c r="H81" s="9"/>
      <c r="I81" s="75">
        <v>42523</v>
      </c>
      <c r="J81" s="75">
        <v>42635</v>
      </c>
      <c r="K81" s="9"/>
      <c r="L81" s="9"/>
    </row>
    <row r="82" spans="1:12" x14ac:dyDescent="0.25">
      <c r="A82" s="4"/>
      <c r="B82" s="28" t="str">
        <f>IF(ISNUMBER(MATCH(D82, Mgt_Unit!$C$5:$C$1018, 0)), INDEX(Mgt_Unit!$B$5:$B$1018, MATCH(D82, Mgt_Unit!$C$5:$C$1018, 0)), "")</f>
        <v>jennifer.moore</v>
      </c>
      <c r="C82" s="28"/>
      <c r="D82" s="9" t="s">
        <v>1350</v>
      </c>
      <c r="E82" s="45"/>
      <c r="F82" s="9" t="s">
        <v>1589</v>
      </c>
      <c r="G82" s="9" t="s">
        <v>354</v>
      </c>
      <c r="H82" s="9"/>
      <c r="I82" s="75">
        <v>42887</v>
      </c>
      <c r="J82" s="75">
        <v>43004</v>
      </c>
      <c r="K82" s="9"/>
      <c r="L82" s="9"/>
    </row>
    <row r="83" spans="1:12" x14ac:dyDescent="0.25">
      <c r="A83" s="4"/>
      <c r="B83" s="28" t="str">
        <f>IF(ISNUMBER(MATCH(D83, Mgt_Unit!$C$5:$C$1018, 0)), INDEX(Mgt_Unit!$B$5:$B$1018, MATCH(D83, Mgt_Unit!$C$5:$C$1018, 0)), "")</f>
        <v>jennifer.moore</v>
      </c>
      <c r="C83" s="28"/>
      <c r="D83" s="9" t="s">
        <v>1350</v>
      </c>
      <c r="E83" s="45"/>
      <c r="F83" s="9" t="s">
        <v>1589</v>
      </c>
      <c r="G83" s="9" t="s">
        <v>354</v>
      </c>
      <c r="H83" s="9"/>
      <c r="I83" s="75">
        <v>43256</v>
      </c>
      <c r="J83" s="75">
        <v>43370</v>
      </c>
      <c r="K83" s="9"/>
      <c r="L83" s="9"/>
    </row>
    <row r="84" spans="1:12" x14ac:dyDescent="0.25">
      <c r="A84" s="4"/>
      <c r="B84" s="28" t="str">
        <f>IF(ISNUMBER(MATCH(D84, Mgt_Unit!$C$5:$C$1018, 0)), INDEX(Mgt_Unit!$B$5:$B$1018, MATCH(D84, Mgt_Unit!$C$5:$C$1018, 0)), "")</f>
        <v>jennifer.moore</v>
      </c>
      <c r="C84" s="28"/>
      <c r="D84" s="9" t="s">
        <v>1349</v>
      </c>
      <c r="E84" s="45"/>
      <c r="F84" s="9" t="s">
        <v>1589</v>
      </c>
      <c r="G84" s="9" t="s">
        <v>356</v>
      </c>
      <c r="H84" s="9"/>
      <c r="I84" s="75">
        <v>41796</v>
      </c>
      <c r="J84" s="75">
        <v>41897</v>
      </c>
      <c r="K84" s="9"/>
      <c r="L84" s="9"/>
    </row>
    <row r="85" spans="1:12" x14ac:dyDescent="0.25">
      <c r="A85" s="4"/>
      <c r="B85" s="28" t="str">
        <f>IF(ISNUMBER(MATCH(D85, Mgt_Unit!$C$5:$C$1018, 0)), INDEX(Mgt_Unit!$B$5:$B$1018, MATCH(D85, Mgt_Unit!$C$5:$C$1018, 0)), "")</f>
        <v>jennifer.moore</v>
      </c>
      <c r="C85" s="28"/>
      <c r="D85" s="9" t="s">
        <v>1349</v>
      </c>
      <c r="E85" s="45"/>
      <c r="F85" s="9" t="s">
        <v>1589</v>
      </c>
      <c r="G85" s="9" t="s">
        <v>356</v>
      </c>
      <c r="H85" s="9"/>
      <c r="I85" s="75">
        <v>42157</v>
      </c>
      <c r="J85" s="75">
        <v>42271</v>
      </c>
      <c r="K85" s="9"/>
      <c r="L85" s="9"/>
    </row>
    <row r="86" spans="1:12" x14ac:dyDescent="0.25">
      <c r="A86" s="4"/>
      <c r="B86" s="28" t="str">
        <f>IF(ISNUMBER(MATCH(D86, Mgt_Unit!$C$5:$C$1018, 0)), INDEX(Mgt_Unit!$B$5:$B$1018, MATCH(D86, Mgt_Unit!$C$5:$C$1018, 0)), "")</f>
        <v>jennifer.moore</v>
      </c>
      <c r="C86" s="28"/>
      <c r="D86" s="9" t="s">
        <v>1349</v>
      </c>
      <c r="E86" s="45"/>
      <c r="F86" s="9" t="s">
        <v>1589</v>
      </c>
      <c r="G86" s="9" t="s">
        <v>356</v>
      </c>
      <c r="H86" s="9"/>
      <c r="I86" s="75">
        <v>42523</v>
      </c>
      <c r="J86" s="75">
        <v>42635</v>
      </c>
      <c r="K86" s="9"/>
      <c r="L86" s="9"/>
    </row>
    <row r="87" spans="1:12" x14ac:dyDescent="0.25">
      <c r="A87" s="4"/>
      <c r="B87" s="28" t="str">
        <f>IF(ISNUMBER(MATCH(D87, Mgt_Unit!$C$5:$C$1018, 0)), INDEX(Mgt_Unit!$B$5:$B$1018, MATCH(D87, Mgt_Unit!$C$5:$C$1018, 0)), "")</f>
        <v>jennifer.moore</v>
      </c>
      <c r="C87" s="28"/>
      <c r="D87" s="9" t="s">
        <v>1349</v>
      </c>
      <c r="E87" s="45"/>
      <c r="F87" s="9" t="s">
        <v>1589</v>
      </c>
      <c r="G87" s="9" t="s">
        <v>356</v>
      </c>
      <c r="H87" s="9"/>
      <c r="I87" s="75">
        <v>42887</v>
      </c>
      <c r="J87" s="75">
        <v>43004</v>
      </c>
      <c r="K87" s="9"/>
      <c r="L87" s="9"/>
    </row>
    <row r="88" spans="1:12" x14ac:dyDescent="0.25">
      <c r="A88" s="4"/>
      <c r="B88" s="28" t="str">
        <f>IF(ISNUMBER(MATCH(D88, Mgt_Unit!$C$5:$C$1018, 0)), INDEX(Mgt_Unit!$B$5:$B$1018, MATCH(D88, Mgt_Unit!$C$5:$C$1018, 0)), "")</f>
        <v>jennifer.moore</v>
      </c>
      <c r="C88" s="28"/>
      <c r="D88" s="9" t="s">
        <v>1349</v>
      </c>
      <c r="E88" s="45"/>
      <c r="F88" s="9" t="s">
        <v>1589</v>
      </c>
      <c r="G88" s="9" t="s">
        <v>356</v>
      </c>
      <c r="H88" s="9"/>
      <c r="I88" s="75">
        <v>43256</v>
      </c>
      <c r="J88" s="75">
        <v>43370</v>
      </c>
      <c r="K88" s="9"/>
      <c r="L88" s="9"/>
    </row>
    <row r="89" spans="1:12" x14ac:dyDescent="0.25">
      <c r="A89" s="4"/>
      <c r="B89" s="28" t="str">
        <f>IF(ISNUMBER(MATCH(D89, Mgt_Unit!$C$5:$C$1018, 0)), INDEX(Mgt_Unit!$B$5:$B$1018, MATCH(D89, Mgt_Unit!$C$5:$C$1018, 0)), "")</f>
        <v>jennifer.moore</v>
      </c>
      <c r="C89" s="28"/>
      <c r="D89" s="60" t="s">
        <v>961</v>
      </c>
      <c r="E89" s="45"/>
      <c r="F89" s="60" t="s">
        <v>1526</v>
      </c>
      <c r="G89" s="9" t="s">
        <v>355</v>
      </c>
      <c r="H89" s="9"/>
      <c r="I89" s="75">
        <v>42877</v>
      </c>
      <c r="J89" s="117">
        <v>42884</v>
      </c>
      <c r="K89" s="9"/>
      <c r="L89" s="9"/>
    </row>
    <row r="90" spans="1:12" x14ac:dyDescent="0.25">
      <c r="A90" s="4"/>
      <c r="B90" s="28" t="str">
        <f>IF(ISNUMBER(MATCH(D90, Mgt_Unit!$C$5:$C$1018, 0)), INDEX(Mgt_Unit!$B$5:$B$1018, MATCH(D90, Mgt_Unit!$C$5:$C$1018, 0)), "")</f>
        <v>jennifer.moore</v>
      </c>
      <c r="C90" s="28"/>
      <c r="D90" s="60" t="s">
        <v>961</v>
      </c>
      <c r="E90" s="45"/>
      <c r="F90" s="60" t="s">
        <v>1526</v>
      </c>
      <c r="G90" s="9" t="s">
        <v>355</v>
      </c>
      <c r="H90" s="9"/>
      <c r="I90" s="75">
        <v>42997</v>
      </c>
      <c r="J90" s="117">
        <v>43004</v>
      </c>
      <c r="K90" s="9"/>
      <c r="L90" s="9"/>
    </row>
    <row r="91" spans="1:12" x14ac:dyDescent="0.25">
      <c r="A91" s="4"/>
      <c r="B91" s="28" t="str">
        <f>IF(ISNUMBER(MATCH(D91, Mgt_Unit!$C$5:$C$1018, 0)), INDEX(Mgt_Unit!$B$5:$B$1018, MATCH(D91, Mgt_Unit!$C$5:$C$1018, 0)), "")</f>
        <v>jennifer.moore</v>
      </c>
      <c r="C91" s="28"/>
      <c r="D91" s="60" t="s">
        <v>961</v>
      </c>
      <c r="E91" s="45"/>
      <c r="F91" s="60" t="s">
        <v>1526</v>
      </c>
      <c r="G91" s="9" t="s">
        <v>355</v>
      </c>
      <c r="H91" s="9"/>
      <c r="I91" s="75">
        <v>43293</v>
      </c>
      <c r="J91" s="117">
        <v>43300</v>
      </c>
      <c r="K91" s="9"/>
      <c r="L91" s="9"/>
    </row>
    <row r="92" spans="1:12" x14ac:dyDescent="0.25">
      <c r="A92" s="4"/>
      <c r="B92" s="28" t="str">
        <f>IF(ISNUMBER(MATCH(D92, Mgt_Unit!$C$5:$C$1018, 0)), INDEX(Mgt_Unit!$B$5:$B$1018, MATCH(D92, Mgt_Unit!$C$5:$C$1018, 0)), "")</f>
        <v>jennifer.moore</v>
      </c>
      <c r="C92" s="28"/>
      <c r="D92" s="60" t="s">
        <v>961</v>
      </c>
      <c r="E92" s="45"/>
      <c r="F92" s="60" t="s">
        <v>1526</v>
      </c>
      <c r="G92" s="9" t="s">
        <v>355</v>
      </c>
      <c r="H92" s="9"/>
      <c r="I92" s="75">
        <v>43308</v>
      </c>
      <c r="J92" s="117">
        <v>43315</v>
      </c>
      <c r="K92" s="9"/>
      <c r="L92" s="9"/>
    </row>
    <row r="93" spans="1:12" x14ac:dyDescent="0.25">
      <c r="A93" s="4"/>
      <c r="B93" s="28" t="str">
        <f>IF(ISNUMBER(MATCH(D93, Mgt_Unit!$C$5:$C$1018, 0)), INDEX(Mgt_Unit!$B$5:$B$1018, MATCH(D93, Mgt_Unit!$C$5:$C$1018, 0)), "")</f>
        <v>jennifer.moore</v>
      </c>
      <c r="C93" s="28"/>
      <c r="D93" s="60" t="s">
        <v>961</v>
      </c>
      <c r="E93" s="45"/>
      <c r="F93" s="60" t="s">
        <v>1526</v>
      </c>
      <c r="G93" s="9" t="s">
        <v>355</v>
      </c>
      <c r="H93" s="9"/>
      <c r="I93" s="75">
        <v>43349</v>
      </c>
      <c r="J93" s="117">
        <v>43356</v>
      </c>
      <c r="K93" s="9"/>
      <c r="L93" s="9"/>
    </row>
    <row r="94" spans="1:12" x14ac:dyDescent="0.25">
      <c r="A94" s="4"/>
      <c r="B94" s="28" t="str">
        <f>IF(ISNUMBER(MATCH(D94, Mgt_Unit!$C$5:$C$1018, 0)), INDEX(Mgt_Unit!$B$5:$B$1018, MATCH(D94, Mgt_Unit!$C$5:$C$1018, 0)), "")</f>
        <v>jennifer.moore</v>
      </c>
      <c r="C94" s="28"/>
      <c r="D94" s="60" t="s">
        <v>961</v>
      </c>
      <c r="E94" s="45"/>
      <c r="F94" s="60" t="s">
        <v>1526</v>
      </c>
      <c r="G94" s="9" t="s">
        <v>355</v>
      </c>
      <c r="H94" s="9"/>
      <c r="I94" s="75">
        <v>43671</v>
      </c>
      <c r="J94" s="117">
        <v>43678</v>
      </c>
      <c r="K94" s="9"/>
      <c r="L94" s="9"/>
    </row>
    <row r="95" spans="1:12" x14ac:dyDescent="0.25">
      <c r="A95" s="4"/>
      <c r="B95" s="28" t="str">
        <f>IF(ISNUMBER(MATCH(D95, Mgt_Unit!$C$5:$C$1018, 0)), INDEX(Mgt_Unit!$B$5:$B$1018, MATCH(D95, Mgt_Unit!$C$5:$C$1018, 0)), "")</f>
        <v>jennifer.moore</v>
      </c>
      <c r="C95" s="28"/>
      <c r="D95" s="60" t="s">
        <v>961</v>
      </c>
      <c r="E95" s="45"/>
      <c r="F95" s="60" t="s">
        <v>1526</v>
      </c>
      <c r="G95" s="9" t="s">
        <v>355</v>
      </c>
      <c r="H95" s="9"/>
      <c r="I95" s="75">
        <v>43700</v>
      </c>
      <c r="J95" s="117">
        <v>43707</v>
      </c>
      <c r="K95" s="9"/>
      <c r="L95" s="9"/>
    </row>
    <row r="96" spans="1:12" x14ac:dyDescent="0.25">
      <c r="A96" s="4"/>
      <c r="B96" s="28" t="str">
        <f>IF(ISNUMBER(MATCH(D96, Mgt_Unit!$C$5:$C$1018, 0)), INDEX(Mgt_Unit!$B$5:$B$1018, MATCH(D96, Mgt_Unit!$C$5:$C$1018, 0)), "")</f>
        <v>jennifer.moore</v>
      </c>
      <c r="C96" s="28"/>
      <c r="D96" s="60" t="s">
        <v>961</v>
      </c>
      <c r="E96" s="45"/>
      <c r="F96" s="60" t="s">
        <v>1526</v>
      </c>
      <c r="G96" s="9" t="s">
        <v>355</v>
      </c>
      <c r="H96" s="9"/>
      <c r="I96" s="75">
        <v>43712</v>
      </c>
      <c r="J96" s="117">
        <v>43719</v>
      </c>
      <c r="K96" s="9"/>
      <c r="L96" s="9"/>
    </row>
    <row r="97" spans="1:12" x14ac:dyDescent="0.25">
      <c r="A97" s="4"/>
      <c r="B97" s="28" t="str">
        <f>IF(ISNUMBER(MATCH(D97, Mgt_Unit!$C$5:$C$1018, 0)), INDEX(Mgt_Unit!$B$5:$B$1018, MATCH(D97, Mgt_Unit!$C$5:$C$1018, 0)), "")</f>
        <v>jennifer.moore</v>
      </c>
      <c r="C97" s="28"/>
      <c r="D97" s="60" t="s">
        <v>961</v>
      </c>
      <c r="E97" s="45"/>
      <c r="F97" s="60" t="s">
        <v>1526</v>
      </c>
      <c r="G97" s="9" t="s">
        <v>355</v>
      </c>
      <c r="H97" s="9"/>
      <c r="I97" s="75">
        <v>43719</v>
      </c>
      <c r="J97" s="117">
        <v>43726</v>
      </c>
      <c r="K97" s="9"/>
      <c r="L97" s="9"/>
    </row>
    <row r="98" spans="1:12" x14ac:dyDescent="0.25">
      <c r="A98" s="4"/>
      <c r="B98" s="28" t="str">
        <f>IF(ISNUMBER(MATCH(D98, Mgt_Unit!$C$5:$C$1018, 0)), INDEX(Mgt_Unit!$B$5:$B$1018, MATCH(D98, Mgt_Unit!$C$5:$C$1018, 0)), "")</f>
        <v>jennifer.moore</v>
      </c>
      <c r="C98" s="28"/>
      <c r="D98" s="60" t="s">
        <v>961</v>
      </c>
      <c r="E98" s="45"/>
      <c r="F98" s="60" t="s">
        <v>1526</v>
      </c>
      <c r="G98" s="9" t="s">
        <v>355</v>
      </c>
      <c r="H98" s="9"/>
      <c r="I98" s="75">
        <v>43733</v>
      </c>
      <c r="J98" s="117">
        <v>43740</v>
      </c>
      <c r="K98" s="9"/>
      <c r="L98" s="9"/>
    </row>
    <row r="99" spans="1:12" x14ac:dyDescent="0.25">
      <c r="A99" s="4"/>
      <c r="B99" s="28" t="str">
        <f>IF(ISNUMBER(MATCH(D99, Mgt_Unit!$C$5:$C$1018, 0)), INDEX(Mgt_Unit!$B$5:$B$1018, MATCH(D99, Mgt_Unit!$C$5:$C$1018, 0)), "")</f>
        <v>jennifer.moore</v>
      </c>
      <c r="C99" s="28"/>
      <c r="D99" s="60" t="s">
        <v>961</v>
      </c>
      <c r="E99" s="45"/>
      <c r="F99" s="60" t="s">
        <v>1526</v>
      </c>
      <c r="G99" s="9" t="s">
        <v>355</v>
      </c>
      <c r="H99" s="9"/>
      <c r="I99" s="75">
        <v>43973</v>
      </c>
      <c r="J99" s="117">
        <v>43980</v>
      </c>
      <c r="K99" s="9"/>
      <c r="L99" s="9"/>
    </row>
    <row r="100" spans="1:12" x14ac:dyDescent="0.25">
      <c r="A100" s="4"/>
      <c r="B100" s="28" t="str">
        <f>IF(ISNUMBER(MATCH(D100, Mgt_Unit!$C$5:$C$1018, 0)), INDEX(Mgt_Unit!$B$5:$B$1018, MATCH(D100, Mgt_Unit!$C$5:$C$1018, 0)), "")</f>
        <v>jennifer.moore</v>
      </c>
      <c r="C100" s="28"/>
      <c r="D100" s="60" t="s">
        <v>961</v>
      </c>
      <c r="E100" s="45"/>
      <c r="F100" s="60" t="s">
        <v>1526</v>
      </c>
      <c r="G100" s="9" t="s">
        <v>355</v>
      </c>
      <c r="H100" s="9"/>
      <c r="I100" s="75">
        <v>44093</v>
      </c>
      <c r="J100" s="117">
        <v>44100</v>
      </c>
      <c r="K100" s="9"/>
      <c r="L100" s="9"/>
    </row>
    <row r="101" spans="1:12" x14ac:dyDescent="0.25">
      <c r="A101" s="4"/>
      <c r="B101" s="28" t="str">
        <f>IF(ISNUMBER(MATCH(D101, Mgt_Unit!$C$5:$C$1018, 0)), INDEX(Mgt_Unit!$B$5:$B$1018, MATCH(D101, Mgt_Unit!$C$5:$C$1018, 0)), "")</f>
        <v>jennifer.moore</v>
      </c>
      <c r="C101" s="28"/>
      <c r="D101" s="60" t="s">
        <v>961</v>
      </c>
      <c r="E101" s="45"/>
      <c r="F101" s="60" t="s">
        <v>1526</v>
      </c>
      <c r="G101" s="9" t="s">
        <v>355</v>
      </c>
      <c r="H101" s="9"/>
      <c r="I101" s="75">
        <v>44389</v>
      </c>
      <c r="J101" s="117">
        <v>44396</v>
      </c>
      <c r="K101" s="9"/>
      <c r="L101" s="9"/>
    </row>
    <row r="102" spans="1:12" x14ac:dyDescent="0.25">
      <c r="A102" s="4"/>
      <c r="B102" s="28" t="str">
        <f>IF(ISNUMBER(MATCH(D102, Mgt_Unit!$C$5:$C$1018, 0)), INDEX(Mgt_Unit!$B$5:$B$1018, MATCH(D102, Mgt_Unit!$C$5:$C$1018, 0)), "")</f>
        <v>jennifer.moore</v>
      </c>
      <c r="C102" s="28"/>
      <c r="D102" s="60" t="s">
        <v>961</v>
      </c>
      <c r="E102" s="45"/>
      <c r="F102" s="60" t="s">
        <v>1526</v>
      </c>
      <c r="G102" s="9" t="s">
        <v>355</v>
      </c>
      <c r="H102" s="9"/>
      <c r="I102" s="75">
        <v>44404</v>
      </c>
      <c r="J102" s="117">
        <v>44411</v>
      </c>
      <c r="K102" s="9"/>
      <c r="L102" s="9"/>
    </row>
    <row r="103" spans="1:12" x14ac:dyDescent="0.25">
      <c r="A103" s="4"/>
      <c r="B103" s="28" t="str">
        <f>IF(ISNUMBER(MATCH(D103, Mgt_Unit!$C$5:$C$1018, 0)), INDEX(Mgt_Unit!$B$5:$B$1018, MATCH(D103, Mgt_Unit!$C$5:$C$1018, 0)), "")</f>
        <v>jennifer.moore</v>
      </c>
      <c r="C103" s="28"/>
      <c r="D103" s="60" t="s">
        <v>961</v>
      </c>
      <c r="E103" s="45"/>
      <c r="F103" s="60" t="s">
        <v>1526</v>
      </c>
      <c r="G103" s="9" t="s">
        <v>355</v>
      </c>
      <c r="H103" s="9"/>
      <c r="I103" s="75">
        <v>44445</v>
      </c>
      <c r="J103" s="117">
        <v>44452</v>
      </c>
      <c r="K103" s="9"/>
      <c r="L103" s="9"/>
    </row>
    <row r="104" spans="1:12" x14ac:dyDescent="0.25">
      <c r="A104" s="4"/>
      <c r="B104" s="28" t="str">
        <f>IF(ISNUMBER(MATCH(D104, Mgt_Unit!$C$5:$C$1018, 0)), INDEX(Mgt_Unit!$B$5:$B$1018, MATCH(D104, Mgt_Unit!$C$5:$C$1018, 0)), "")</f>
        <v>jennifer.moore</v>
      </c>
      <c r="C104" s="28"/>
      <c r="D104" s="60" t="s">
        <v>962</v>
      </c>
      <c r="E104" s="45"/>
      <c r="F104" s="60" t="s">
        <v>1526</v>
      </c>
      <c r="G104" s="9" t="s">
        <v>355</v>
      </c>
      <c r="H104" s="9"/>
      <c r="I104" s="75">
        <v>42138</v>
      </c>
      <c r="J104" s="117">
        <v>42145</v>
      </c>
      <c r="K104" s="9"/>
      <c r="L104" s="9"/>
    </row>
    <row r="105" spans="1:12" x14ac:dyDescent="0.25">
      <c r="A105" s="4"/>
      <c r="B105" s="28" t="str">
        <f>IF(ISNUMBER(MATCH(D105, Mgt_Unit!$C$5:$C$1018, 0)), INDEX(Mgt_Unit!$B$5:$B$1018, MATCH(D105, Mgt_Unit!$C$5:$C$1018, 0)), "")</f>
        <v>jennifer.moore</v>
      </c>
      <c r="C105" s="28"/>
      <c r="D105" s="60" t="s">
        <v>962</v>
      </c>
      <c r="E105" s="45"/>
      <c r="F105" s="60" t="s">
        <v>1526</v>
      </c>
      <c r="G105" s="9" t="s">
        <v>355</v>
      </c>
      <c r="H105" s="9"/>
      <c r="I105" s="75">
        <v>42138</v>
      </c>
      <c r="J105" s="117">
        <v>42145</v>
      </c>
      <c r="K105" s="9"/>
      <c r="L105" s="9"/>
    </row>
    <row r="106" spans="1:12" x14ac:dyDescent="0.25">
      <c r="A106" s="4"/>
      <c r="B106" s="28" t="str">
        <f>IF(ISNUMBER(MATCH(D106, Mgt_Unit!$C$5:$C$1018, 0)), INDEX(Mgt_Unit!$B$5:$B$1018, MATCH(D106, Mgt_Unit!$C$5:$C$1018, 0)), "")</f>
        <v>jennifer.moore</v>
      </c>
      <c r="C106" s="28"/>
      <c r="D106" s="60" t="s">
        <v>962</v>
      </c>
      <c r="E106" s="45"/>
      <c r="F106" s="60" t="s">
        <v>1526</v>
      </c>
      <c r="G106" s="9" t="s">
        <v>355</v>
      </c>
      <c r="H106" s="9"/>
      <c r="I106" s="75">
        <v>42261</v>
      </c>
      <c r="J106" s="117">
        <v>42268</v>
      </c>
      <c r="K106" s="9"/>
      <c r="L106" s="9"/>
    </row>
    <row r="107" spans="1:12" x14ac:dyDescent="0.25">
      <c r="A107" s="4"/>
      <c r="B107" s="28" t="str">
        <f>IF(ISNUMBER(MATCH(D107, Mgt_Unit!$C$5:$C$1018, 0)), INDEX(Mgt_Unit!$B$5:$B$1018, MATCH(D107, Mgt_Unit!$C$5:$C$1018, 0)), "")</f>
        <v>jennifer.moore</v>
      </c>
      <c r="C107" s="28"/>
      <c r="D107" s="60" t="s">
        <v>962</v>
      </c>
      <c r="E107" s="45"/>
      <c r="F107" s="60" t="s">
        <v>1526</v>
      </c>
      <c r="G107" s="9" t="s">
        <v>355</v>
      </c>
      <c r="H107" s="9"/>
      <c r="I107" s="75">
        <v>42261</v>
      </c>
      <c r="J107" s="117">
        <v>42268</v>
      </c>
      <c r="K107" s="9"/>
      <c r="L107" s="9"/>
    </row>
    <row r="108" spans="1:12" x14ac:dyDescent="0.25">
      <c r="A108" s="4"/>
      <c r="B108" s="28" t="str">
        <f>IF(ISNUMBER(MATCH(D108, Mgt_Unit!$C$5:$C$1018, 0)), INDEX(Mgt_Unit!$B$5:$B$1018, MATCH(D108, Mgt_Unit!$C$5:$C$1018, 0)), "")</f>
        <v>jennifer.moore</v>
      </c>
      <c r="C108" s="28"/>
      <c r="D108" s="60" t="s">
        <v>962</v>
      </c>
      <c r="E108" s="45"/>
      <c r="F108" s="60" t="s">
        <v>1526</v>
      </c>
      <c r="G108" s="9" t="s">
        <v>355</v>
      </c>
      <c r="H108" s="9"/>
      <c r="I108" s="75">
        <v>42278</v>
      </c>
      <c r="J108" s="117">
        <v>42285</v>
      </c>
      <c r="K108" s="9"/>
      <c r="L108" s="9"/>
    </row>
    <row r="109" spans="1:12" x14ac:dyDescent="0.25">
      <c r="A109" s="4"/>
      <c r="B109" s="28" t="str">
        <f>IF(ISNUMBER(MATCH(D109, Mgt_Unit!$C$5:$C$1018, 0)), INDEX(Mgt_Unit!$B$5:$B$1018, MATCH(D109, Mgt_Unit!$C$5:$C$1018, 0)), "")</f>
        <v>jennifer.moore</v>
      </c>
      <c r="C109" s="28"/>
      <c r="D109" s="60" t="s">
        <v>962</v>
      </c>
      <c r="E109" s="45"/>
      <c r="F109" s="60" t="s">
        <v>1526</v>
      </c>
      <c r="G109" s="9" t="s">
        <v>355</v>
      </c>
      <c r="H109" s="9"/>
      <c r="I109" s="75">
        <v>42286</v>
      </c>
      <c r="J109" s="117">
        <v>42293</v>
      </c>
      <c r="K109" s="9"/>
      <c r="L109" s="9"/>
    </row>
    <row r="110" spans="1:12" x14ac:dyDescent="0.25">
      <c r="A110" s="4"/>
      <c r="B110" s="28" t="str">
        <f>IF(ISNUMBER(MATCH(D110, Mgt_Unit!$C$5:$C$1018, 0)), INDEX(Mgt_Unit!$B$5:$B$1018, MATCH(D110, Mgt_Unit!$C$5:$C$1018, 0)), "")</f>
        <v>jennifer.moore</v>
      </c>
      <c r="C110" s="28"/>
      <c r="D110" s="60" t="s">
        <v>962</v>
      </c>
      <c r="E110" s="45"/>
      <c r="F110" s="60" t="s">
        <v>1526</v>
      </c>
      <c r="G110" s="9" t="s">
        <v>355</v>
      </c>
      <c r="H110" s="9"/>
      <c r="I110" s="75">
        <v>42310</v>
      </c>
      <c r="J110" s="117">
        <v>42317</v>
      </c>
      <c r="K110" s="9"/>
      <c r="L110" s="9"/>
    </row>
    <row r="111" spans="1:12" x14ac:dyDescent="0.25">
      <c r="A111" s="4"/>
      <c r="B111" s="28" t="str">
        <f>IF(ISNUMBER(MATCH(D111, Mgt_Unit!$C$5:$C$1018, 0)), INDEX(Mgt_Unit!$B$5:$B$1018, MATCH(D111, Mgt_Unit!$C$5:$C$1018, 0)), "")</f>
        <v>jennifer.moore</v>
      </c>
      <c r="C111" s="28"/>
      <c r="D111" s="60" t="s">
        <v>962</v>
      </c>
      <c r="E111" s="45"/>
      <c r="F111" s="60" t="s">
        <v>1526</v>
      </c>
      <c r="G111" s="9" t="s">
        <v>355</v>
      </c>
      <c r="H111" s="9"/>
      <c r="I111" s="75">
        <v>42466</v>
      </c>
      <c r="J111" s="117">
        <v>42473</v>
      </c>
      <c r="K111" s="9"/>
      <c r="L111" s="9"/>
    </row>
    <row r="112" spans="1:12" x14ac:dyDescent="0.25">
      <c r="A112" s="4"/>
      <c r="B112" s="28" t="str">
        <f>IF(ISNUMBER(MATCH(D112, Mgt_Unit!$C$5:$C$1018, 0)), INDEX(Mgt_Unit!$B$5:$B$1018, MATCH(D112, Mgt_Unit!$C$5:$C$1018, 0)), "")</f>
        <v>jennifer.moore</v>
      </c>
      <c r="C112" s="28"/>
      <c r="D112" s="60" t="s">
        <v>962</v>
      </c>
      <c r="E112" s="45"/>
      <c r="F112" s="60" t="s">
        <v>1526</v>
      </c>
      <c r="G112" s="9" t="s">
        <v>355</v>
      </c>
      <c r="H112" s="9"/>
      <c r="I112" s="75">
        <v>45068</v>
      </c>
      <c r="J112" s="117">
        <v>45075</v>
      </c>
      <c r="K112" s="9"/>
      <c r="L112" s="9"/>
    </row>
    <row r="113" spans="1:12" x14ac:dyDescent="0.25">
      <c r="A113" s="4"/>
      <c r="B113" s="28" t="str">
        <f>IF(ISNUMBER(MATCH(D113, Mgt_Unit!$C$5:$C$1018, 0)), INDEX(Mgt_Unit!$B$5:$B$1018, MATCH(D113, Mgt_Unit!$C$5:$C$1018, 0)), "")</f>
        <v>jennifer.moore</v>
      </c>
      <c r="C113" s="28"/>
      <c r="D113" s="60" t="s">
        <v>962</v>
      </c>
      <c r="E113" s="45"/>
      <c r="F113" s="60" t="s">
        <v>1526</v>
      </c>
      <c r="G113" s="9" t="s">
        <v>355</v>
      </c>
      <c r="H113" s="9"/>
      <c r="I113" s="75">
        <v>45188</v>
      </c>
      <c r="J113" s="117">
        <v>45195</v>
      </c>
      <c r="K113" s="9"/>
      <c r="L113" s="9"/>
    </row>
    <row r="114" spans="1:12" x14ac:dyDescent="0.25">
      <c r="A114" s="4"/>
      <c r="B114" s="28" t="str">
        <f>IF(ISNUMBER(MATCH(D114, Mgt_Unit!$C$5:$C$1018, 0)), INDEX(Mgt_Unit!$B$5:$B$1018, MATCH(D114, Mgt_Unit!$C$5:$C$1018, 0)), "")</f>
        <v>jennifer.moore</v>
      </c>
      <c r="C114" s="28"/>
      <c r="D114" s="60" t="s">
        <v>962</v>
      </c>
      <c r="E114" s="45"/>
      <c r="F114" s="60" t="s">
        <v>1526</v>
      </c>
      <c r="G114" s="9" t="s">
        <v>355</v>
      </c>
      <c r="H114" s="9"/>
      <c r="I114" s="75">
        <v>45485</v>
      </c>
      <c r="J114" s="117">
        <v>45492</v>
      </c>
      <c r="K114" s="9"/>
      <c r="L114" s="9"/>
    </row>
    <row r="115" spans="1:12" x14ac:dyDescent="0.25">
      <c r="A115" s="4"/>
      <c r="B115" s="28" t="str">
        <f>IF(ISNUMBER(MATCH(D115, Mgt_Unit!$C$5:$C$1018, 0)), INDEX(Mgt_Unit!$B$5:$B$1018, MATCH(D115, Mgt_Unit!$C$5:$C$1018, 0)), "")</f>
        <v>jennifer.moore</v>
      </c>
      <c r="C115" s="28"/>
      <c r="D115" s="60" t="s">
        <v>962</v>
      </c>
      <c r="E115" s="45"/>
      <c r="F115" s="60" t="s">
        <v>1526</v>
      </c>
      <c r="G115" s="9" t="s">
        <v>355</v>
      </c>
      <c r="H115" s="9"/>
      <c r="I115" s="75">
        <v>45500</v>
      </c>
      <c r="J115" s="117">
        <v>45507</v>
      </c>
      <c r="K115" s="9"/>
      <c r="L115" s="9"/>
    </row>
    <row r="116" spans="1:12" x14ac:dyDescent="0.25">
      <c r="A116" s="4"/>
      <c r="B116" s="28" t="str">
        <f>IF(ISNUMBER(MATCH(D116, Mgt_Unit!$C$5:$C$1018, 0)), INDEX(Mgt_Unit!$B$5:$B$1018, MATCH(D116, Mgt_Unit!$C$5:$C$1018, 0)), "")</f>
        <v>jennifer.moore</v>
      </c>
      <c r="C116" s="28"/>
      <c r="D116" s="60" t="s">
        <v>962</v>
      </c>
      <c r="E116" s="45"/>
      <c r="F116" s="60" t="s">
        <v>1526</v>
      </c>
      <c r="G116" s="9" t="s">
        <v>355</v>
      </c>
      <c r="H116" s="9"/>
      <c r="I116" s="75">
        <v>45541</v>
      </c>
      <c r="J116" s="117">
        <v>45548</v>
      </c>
      <c r="K116" s="9"/>
      <c r="L116" s="9"/>
    </row>
    <row r="117" spans="1:12" x14ac:dyDescent="0.25">
      <c r="A117" s="4"/>
      <c r="B117" s="28" t="str">
        <f>IF(ISNUMBER(MATCH(D117, Mgt_Unit!$C$5:$C$1018, 0)), INDEX(Mgt_Unit!$B$5:$B$1018, MATCH(D117, Mgt_Unit!$C$5:$C$1018, 0)), "")</f>
        <v>jennifer.moore</v>
      </c>
      <c r="C117" s="28"/>
      <c r="D117" s="60" t="s">
        <v>962</v>
      </c>
      <c r="E117" s="45"/>
      <c r="F117" s="60" t="s">
        <v>1526</v>
      </c>
      <c r="G117" s="9" t="s">
        <v>355</v>
      </c>
      <c r="H117" s="9"/>
      <c r="I117" s="75">
        <v>45863</v>
      </c>
      <c r="J117" s="117">
        <v>45870</v>
      </c>
      <c r="K117" s="9"/>
      <c r="L117" s="9"/>
    </row>
    <row r="118" spans="1:12" x14ac:dyDescent="0.25">
      <c r="A118" s="4"/>
      <c r="B118" s="28" t="str">
        <f>IF(ISNUMBER(MATCH(D118, Mgt_Unit!$C$5:$C$1018, 0)), INDEX(Mgt_Unit!$B$5:$B$1018, MATCH(D118, Mgt_Unit!$C$5:$C$1018, 0)), "")</f>
        <v>jennifer.moore</v>
      </c>
      <c r="C118" s="28"/>
      <c r="D118" s="60" t="s">
        <v>962</v>
      </c>
      <c r="E118" s="45"/>
      <c r="F118" s="60" t="s">
        <v>1526</v>
      </c>
      <c r="G118" s="9" t="s">
        <v>355</v>
      </c>
      <c r="H118" s="9"/>
      <c r="I118" s="75">
        <v>45892</v>
      </c>
      <c r="J118" s="117">
        <v>45899</v>
      </c>
      <c r="K118" s="9"/>
      <c r="L118" s="9"/>
    </row>
    <row r="119" spans="1:12" x14ac:dyDescent="0.25">
      <c r="A119" s="4"/>
      <c r="B119" s="28" t="str">
        <f>IF(ISNUMBER(MATCH(D119, Mgt_Unit!$C$5:$C$1018, 0)), INDEX(Mgt_Unit!$B$5:$B$1018, MATCH(D119, Mgt_Unit!$C$5:$C$1018, 0)), "")</f>
        <v>jennifer.moore</v>
      </c>
      <c r="C119" s="28"/>
      <c r="D119" s="60" t="s">
        <v>962</v>
      </c>
      <c r="E119" s="45"/>
      <c r="F119" s="60" t="s">
        <v>1526</v>
      </c>
      <c r="G119" s="9" t="s">
        <v>355</v>
      </c>
      <c r="H119" s="9"/>
      <c r="I119" s="75">
        <v>45904</v>
      </c>
      <c r="J119" s="117">
        <v>45911</v>
      </c>
      <c r="K119" s="9"/>
      <c r="L119" s="9"/>
    </row>
    <row r="120" spans="1:12" x14ac:dyDescent="0.25">
      <c r="A120" s="4"/>
      <c r="B120" s="28" t="str">
        <f>IF(ISNUMBER(MATCH(D120, Mgt_Unit!$C$5:$C$1018, 0)), INDEX(Mgt_Unit!$B$5:$B$1018, MATCH(D120, Mgt_Unit!$C$5:$C$1018, 0)), "")</f>
        <v>jennifer.moore</v>
      </c>
      <c r="C120" s="28"/>
      <c r="D120" s="60" t="s">
        <v>962</v>
      </c>
      <c r="E120" s="45"/>
      <c r="F120" s="60" t="s">
        <v>1526</v>
      </c>
      <c r="G120" s="9" t="s">
        <v>355</v>
      </c>
      <c r="H120" s="9"/>
      <c r="I120" s="75">
        <v>45911</v>
      </c>
      <c r="J120" s="117">
        <v>45918</v>
      </c>
      <c r="K120" s="9"/>
      <c r="L120" s="9"/>
    </row>
    <row r="121" spans="1:12" x14ac:dyDescent="0.25">
      <c r="A121" s="4"/>
      <c r="B121" s="28" t="str">
        <f>IF(ISNUMBER(MATCH(D121, Mgt_Unit!$C$5:$C$1018, 0)), INDEX(Mgt_Unit!$B$5:$B$1018, MATCH(D121, Mgt_Unit!$C$5:$C$1018, 0)), "")</f>
        <v>jennifer.moore</v>
      </c>
      <c r="C121" s="28"/>
      <c r="D121" s="60" t="s">
        <v>962</v>
      </c>
      <c r="E121" s="45"/>
      <c r="F121" s="60" t="s">
        <v>1526</v>
      </c>
      <c r="G121" s="9" t="s">
        <v>355</v>
      </c>
      <c r="H121" s="9"/>
      <c r="I121" s="75">
        <v>45925</v>
      </c>
      <c r="J121" s="117">
        <v>45932</v>
      </c>
      <c r="K121" s="9"/>
      <c r="L121" s="9"/>
    </row>
    <row r="122" spans="1:12" x14ac:dyDescent="0.25">
      <c r="A122" s="4"/>
      <c r="B122" s="28" t="str">
        <f>IF(ISNUMBER(MATCH(D122, Mgt_Unit!$C$5:$C$1018, 0)), INDEX(Mgt_Unit!$B$5:$B$1018, MATCH(D122, Mgt_Unit!$C$5:$C$1018, 0)), "")</f>
        <v>jennifer.moore</v>
      </c>
      <c r="C122" s="28"/>
      <c r="D122" s="60" t="s">
        <v>962</v>
      </c>
      <c r="E122" s="45"/>
      <c r="F122" s="60" t="s">
        <v>1526</v>
      </c>
      <c r="G122" s="9" t="s">
        <v>355</v>
      </c>
      <c r="H122" s="9"/>
      <c r="I122" s="75">
        <v>46164</v>
      </c>
      <c r="J122" s="117">
        <v>46171</v>
      </c>
      <c r="K122" s="9"/>
      <c r="L122" s="9"/>
    </row>
    <row r="123" spans="1:12" x14ac:dyDescent="0.25">
      <c r="A123" s="4"/>
      <c r="B123" s="28" t="str">
        <f>IF(ISNUMBER(MATCH(D123, Mgt_Unit!$C$5:$C$1018, 0)), INDEX(Mgt_Unit!$B$5:$B$1018, MATCH(D123, Mgt_Unit!$C$5:$C$1018, 0)), "")</f>
        <v>jennifer.moore</v>
      </c>
      <c r="C123" s="28"/>
      <c r="D123" s="60" t="s">
        <v>962</v>
      </c>
      <c r="E123" s="45"/>
      <c r="F123" s="60" t="s">
        <v>1526</v>
      </c>
      <c r="G123" s="9" t="s">
        <v>355</v>
      </c>
      <c r="H123" s="9"/>
      <c r="I123" s="75">
        <v>46284</v>
      </c>
      <c r="J123" s="117">
        <v>46291</v>
      </c>
      <c r="K123" s="9"/>
      <c r="L123" s="9"/>
    </row>
    <row r="124" spans="1:12" x14ac:dyDescent="0.25">
      <c r="A124" s="4"/>
      <c r="B124" s="28" t="str">
        <f>IF(ISNUMBER(MATCH(D124, Mgt_Unit!$C$5:$C$1018, 0)), INDEX(Mgt_Unit!$B$5:$B$1018, MATCH(D124, Mgt_Unit!$C$5:$C$1018, 0)), "")</f>
        <v>jennifer.moore</v>
      </c>
      <c r="C124" s="28"/>
      <c r="D124" s="60" t="s">
        <v>1330</v>
      </c>
      <c r="E124" s="45"/>
      <c r="F124" s="60" t="s">
        <v>1526</v>
      </c>
      <c r="G124" s="9" t="s">
        <v>355</v>
      </c>
      <c r="H124" s="9"/>
      <c r="I124" s="75">
        <v>43586</v>
      </c>
      <c r="J124" s="89">
        <v>43738</v>
      </c>
      <c r="K124" s="9"/>
      <c r="L124" s="9"/>
    </row>
    <row r="125" spans="1:12" x14ac:dyDescent="0.25">
      <c r="A125" s="4"/>
      <c r="B125" s="28" t="str">
        <f>IF(ISNUMBER(MATCH(D125, Mgt_Unit!$C$5:$C$1018, 0)), INDEX(Mgt_Unit!$B$5:$B$1018, MATCH(D125, Mgt_Unit!$C$5:$C$1018, 0)), "")</f>
        <v>jennifer.moore</v>
      </c>
      <c r="C125" s="28"/>
      <c r="D125" s="60" t="s">
        <v>1017</v>
      </c>
      <c r="E125" s="45"/>
      <c r="F125" s="60" t="s">
        <v>1526</v>
      </c>
      <c r="G125" s="118" t="s">
        <v>355</v>
      </c>
      <c r="H125" s="9"/>
      <c r="I125" s="119">
        <v>41663</v>
      </c>
      <c r="J125" s="104">
        <v>41844</v>
      </c>
      <c r="K125" s="9"/>
      <c r="L125" s="9"/>
    </row>
    <row r="126" spans="1:12" x14ac:dyDescent="0.25">
      <c r="A126" s="4"/>
      <c r="B126" s="28" t="str">
        <f>IF(ISNUMBER(MATCH(D126, Mgt_Unit!$C$5:$C$1018, 0)), INDEX(Mgt_Unit!$B$5:$B$1018, MATCH(D126, Mgt_Unit!$C$5:$C$1018, 0)), "")</f>
        <v>jennifer.moore</v>
      </c>
      <c r="C126" s="28"/>
      <c r="D126" s="60" t="s">
        <v>1018</v>
      </c>
      <c r="E126" s="45"/>
      <c r="F126" s="60" t="s">
        <v>1526</v>
      </c>
      <c r="G126" s="118" t="s">
        <v>355</v>
      </c>
      <c r="H126" s="9"/>
      <c r="I126" s="119">
        <v>41663</v>
      </c>
      <c r="J126" s="104">
        <v>41844</v>
      </c>
      <c r="K126" s="9"/>
      <c r="L126" s="9"/>
    </row>
    <row r="127" spans="1:12" x14ac:dyDescent="0.25">
      <c r="A127" s="4"/>
      <c r="B127" s="28" t="str">
        <f>IF(ISNUMBER(MATCH(D127, Mgt_Unit!$C$5:$C$1018, 0)), INDEX(Mgt_Unit!$B$5:$B$1018, MATCH(D127, Mgt_Unit!$C$5:$C$1018, 0)), "")</f>
        <v>jennifer.moore</v>
      </c>
      <c r="C127" s="28"/>
      <c r="D127" s="60" t="s">
        <v>1335</v>
      </c>
      <c r="E127" s="45"/>
      <c r="F127" s="60" t="s">
        <v>1526</v>
      </c>
      <c r="G127" s="118" t="s">
        <v>355</v>
      </c>
      <c r="H127" s="9"/>
      <c r="I127" s="104">
        <v>41844</v>
      </c>
      <c r="J127" s="102">
        <v>43830</v>
      </c>
      <c r="K127" s="9"/>
      <c r="L127" s="9"/>
    </row>
    <row r="128" spans="1:12" x14ac:dyDescent="0.25">
      <c r="A128" s="4"/>
      <c r="B128" s="28" t="str">
        <f>IF(ISNUMBER(MATCH(D128, Mgt_Unit!$C$5:$C$1018, 0)), INDEX(Mgt_Unit!$B$5:$B$1018, MATCH(D128, Mgt_Unit!$C$5:$C$1018, 0)), "")</f>
        <v>jennifer.moore</v>
      </c>
      <c r="C128" s="28"/>
      <c r="D128" s="60" t="s">
        <v>1019</v>
      </c>
      <c r="E128" s="45"/>
      <c r="F128" s="60" t="s">
        <v>1526</v>
      </c>
      <c r="G128" s="118" t="s">
        <v>355</v>
      </c>
      <c r="H128" s="9"/>
      <c r="I128" s="104">
        <v>41844</v>
      </c>
      <c r="J128" s="102">
        <v>43830</v>
      </c>
      <c r="K128" s="9"/>
      <c r="L128" s="9"/>
    </row>
    <row r="129" spans="1:12" x14ac:dyDescent="0.25">
      <c r="A129" s="4"/>
      <c r="B129" s="28" t="str">
        <f>IF(ISNUMBER(MATCH(D129, Mgt_Unit!$C$5:$C$1018, 0)), INDEX(Mgt_Unit!$B$5:$B$1018, MATCH(D129, Mgt_Unit!$C$5:$C$1018, 0)), "")</f>
        <v/>
      </c>
      <c r="C129" s="28"/>
      <c r="D129" s="9"/>
      <c r="E129" s="45"/>
      <c r="F129" s="9"/>
      <c r="G129" s="9"/>
      <c r="H129" s="9"/>
      <c r="I129" s="41"/>
      <c r="J129" s="41"/>
      <c r="K129" s="9"/>
      <c r="L129" s="9"/>
    </row>
    <row r="130" spans="1:12" x14ac:dyDescent="0.25">
      <c r="A130" s="4"/>
      <c r="B130" s="28" t="str">
        <f>IF(ISNUMBER(MATCH(D130, Mgt_Unit!$C$5:$C$1018, 0)), INDEX(Mgt_Unit!$B$5:$B$1018, MATCH(D130, Mgt_Unit!$C$5:$C$1018, 0)), "")</f>
        <v/>
      </c>
      <c r="C130" s="28"/>
      <c r="D130" s="9"/>
      <c r="E130" s="45"/>
      <c r="F130" s="9"/>
      <c r="G130" s="9"/>
      <c r="H130" s="9"/>
      <c r="I130" s="41"/>
      <c r="J130" s="41"/>
      <c r="K130" s="9"/>
      <c r="L130" s="9"/>
    </row>
    <row r="131" spans="1:12" x14ac:dyDescent="0.25">
      <c r="A131" s="4"/>
      <c r="B131" s="28" t="str">
        <f>IF(ISNUMBER(MATCH(D131, Mgt_Unit!$C$5:$C$1018, 0)), INDEX(Mgt_Unit!$B$5:$B$1018, MATCH(D131, Mgt_Unit!$C$5:$C$1018, 0)), "")</f>
        <v/>
      </c>
      <c r="C131" s="28"/>
      <c r="D131" s="9"/>
      <c r="E131" s="45"/>
      <c r="F131" s="9"/>
      <c r="G131" s="9"/>
      <c r="H131" s="9"/>
      <c r="I131" s="41"/>
      <c r="J131" s="41"/>
      <c r="K131" s="9"/>
      <c r="L131" s="9"/>
    </row>
    <row r="132" spans="1:12" x14ac:dyDescent="0.25">
      <c r="A132" s="4"/>
      <c r="B132" s="28" t="str">
        <f>IF(ISNUMBER(MATCH(D132, Mgt_Unit!$C$5:$C$1018, 0)), INDEX(Mgt_Unit!$B$5:$B$1018, MATCH(D132, Mgt_Unit!$C$5:$C$1018, 0)), "")</f>
        <v/>
      </c>
      <c r="C132" s="28"/>
      <c r="D132" s="9"/>
      <c r="E132" s="45"/>
      <c r="F132" s="9"/>
      <c r="G132" s="9"/>
      <c r="H132" s="9"/>
      <c r="I132" s="41"/>
      <c r="J132" s="41"/>
      <c r="K132" s="9"/>
      <c r="L132" s="9"/>
    </row>
    <row r="133" spans="1:12" x14ac:dyDescent="0.25">
      <c r="A133" s="4"/>
      <c r="B133" s="28" t="str">
        <f>IF(ISNUMBER(MATCH(D133, Mgt_Unit!$C$5:$C$1018, 0)), INDEX(Mgt_Unit!$B$5:$B$1018, MATCH(D133, Mgt_Unit!$C$5:$C$1018, 0)), "")</f>
        <v/>
      </c>
      <c r="C133" s="28"/>
      <c r="D133" s="9"/>
      <c r="E133" s="45"/>
      <c r="F133" s="9"/>
      <c r="G133" s="9"/>
      <c r="H133" s="9"/>
      <c r="I133" s="41"/>
      <c r="J133" s="41"/>
      <c r="K133" s="9"/>
      <c r="L133" s="9"/>
    </row>
    <row r="134" spans="1:12" x14ac:dyDescent="0.25">
      <c r="A134" s="4"/>
      <c r="B134" s="28" t="str">
        <f>IF(ISNUMBER(MATCH(D134, Mgt_Unit!$C$5:$C$1018, 0)), INDEX(Mgt_Unit!$B$5:$B$1018, MATCH(D134, Mgt_Unit!$C$5:$C$1018, 0)), "")</f>
        <v/>
      </c>
      <c r="C134" s="28"/>
      <c r="D134" s="9"/>
      <c r="E134" s="45"/>
      <c r="F134" s="9"/>
      <c r="G134" s="9"/>
      <c r="H134" s="9"/>
      <c r="I134" s="41"/>
      <c r="J134" s="41"/>
      <c r="K134" s="9"/>
      <c r="L134" s="9"/>
    </row>
    <row r="135" spans="1:12" x14ac:dyDescent="0.25">
      <c r="A135" s="4"/>
      <c r="B135" s="28" t="str">
        <f>IF(ISNUMBER(MATCH(D135, Mgt_Unit!$C$5:$C$1018, 0)), INDEX(Mgt_Unit!$B$5:$B$1018, MATCH(D135, Mgt_Unit!$C$5:$C$1018, 0)), "")</f>
        <v/>
      </c>
      <c r="C135" s="28"/>
      <c r="D135" s="9"/>
      <c r="E135" s="45"/>
      <c r="F135" s="9"/>
      <c r="G135" s="9"/>
      <c r="H135" s="9"/>
      <c r="I135" s="41"/>
      <c r="J135" s="41"/>
      <c r="K135" s="9"/>
      <c r="L135" s="9"/>
    </row>
    <row r="136" spans="1:12" x14ac:dyDescent="0.25">
      <c r="A136" s="4"/>
      <c r="B136" s="28" t="str">
        <f>IF(ISNUMBER(MATCH(D136, Mgt_Unit!$C$5:$C$1018, 0)), INDEX(Mgt_Unit!$B$5:$B$1018, MATCH(D136, Mgt_Unit!$C$5:$C$1018, 0)), "")</f>
        <v/>
      </c>
      <c r="C136" s="28"/>
      <c r="D136" s="9"/>
      <c r="E136" s="45"/>
      <c r="F136" s="9"/>
      <c r="G136" s="9"/>
      <c r="H136" s="9"/>
      <c r="I136" s="41"/>
      <c r="J136" s="41"/>
      <c r="K136" s="9"/>
      <c r="L136" s="9"/>
    </row>
    <row r="137" spans="1:12" x14ac:dyDescent="0.25">
      <c r="A137" s="4"/>
      <c r="B137" s="28" t="str">
        <f>IF(ISNUMBER(MATCH(D137, Mgt_Unit!$C$5:$C$1018, 0)), INDEX(Mgt_Unit!$B$5:$B$1018, MATCH(D137, Mgt_Unit!$C$5:$C$1018, 0)), "")</f>
        <v/>
      </c>
      <c r="C137" s="28"/>
      <c r="D137" s="9"/>
      <c r="E137" s="45"/>
      <c r="F137" s="9"/>
      <c r="G137" s="9"/>
      <c r="H137" s="9"/>
      <c r="I137" s="41"/>
      <c r="J137" s="41"/>
      <c r="K137" s="9"/>
      <c r="L137" s="9"/>
    </row>
    <row r="138" spans="1:12" x14ac:dyDescent="0.25">
      <c r="A138" s="4"/>
      <c r="B138" s="28" t="str">
        <f>IF(ISNUMBER(MATCH(D138, Mgt_Unit!$C$5:$C$1018, 0)), INDEX(Mgt_Unit!$B$5:$B$1018, MATCH(D138, Mgt_Unit!$C$5:$C$1018, 0)), "")</f>
        <v/>
      </c>
      <c r="C138" s="28"/>
      <c r="D138" s="9"/>
      <c r="E138" s="45"/>
      <c r="F138" s="9"/>
      <c r="G138" s="9"/>
      <c r="H138" s="9"/>
      <c r="I138" s="41"/>
      <c r="J138" s="41"/>
      <c r="K138" s="9"/>
      <c r="L138" s="9"/>
    </row>
    <row r="139" spans="1:12" x14ac:dyDescent="0.25">
      <c r="A139" s="4"/>
      <c r="B139" s="28" t="str">
        <f>IF(ISNUMBER(MATCH(D139, Mgt_Unit!$C$5:$C$1018, 0)), INDEX(Mgt_Unit!$B$5:$B$1018, MATCH(D139, Mgt_Unit!$C$5:$C$1018, 0)), "")</f>
        <v/>
      </c>
      <c r="C139" s="28"/>
      <c r="D139" s="9"/>
      <c r="E139" s="45"/>
      <c r="F139" s="9"/>
      <c r="G139" s="9"/>
      <c r="H139" s="9"/>
      <c r="I139" s="41"/>
      <c r="J139" s="41"/>
      <c r="K139" s="9"/>
      <c r="L139" s="9"/>
    </row>
    <row r="140" spans="1:12" x14ac:dyDescent="0.25">
      <c r="A140" s="4"/>
      <c r="B140" s="28" t="str">
        <f>IF(ISNUMBER(MATCH(D140, Mgt_Unit!$C$5:$C$1018, 0)), INDEX(Mgt_Unit!$B$5:$B$1018, MATCH(D140, Mgt_Unit!$C$5:$C$1018, 0)), "")</f>
        <v/>
      </c>
      <c r="C140" s="28"/>
      <c r="D140" s="9"/>
      <c r="E140" s="45"/>
      <c r="F140" s="9"/>
      <c r="G140" s="9"/>
      <c r="H140" s="9"/>
      <c r="I140" s="41"/>
      <c r="J140" s="41"/>
      <c r="K140" s="9"/>
      <c r="L140" s="9"/>
    </row>
    <row r="141" spans="1:12" x14ac:dyDescent="0.25">
      <c r="A141" s="4"/>
      <c r="B141" s="28" t="str">
        <f>IF(ISNUMBER(MATCH(D141, Mgt_Unit!$C$5:$C$1018, 0)), INDEX(Mgt_Unit!$B$5:$B$1018, MATCH(D141, Mgt_Unit!$C$5:$C$1018, 0)), "")</f>
        <v/>
      </c>
      <c r="C141" s="28"/>
      <c r="D141" s="9"/>
      <c r="E141" s="45"/>
      <c r="F141" s="9"/>
      <c r="G141" s="9"/>
      <c r="H141" s="9"/>
      <c r="I141" s="41"/>
      <c r="J141" s="41"/>
      <c r="K141" s="9"/>
      <c r="L141" s="9"/>
    </row>
    <row r="142" spans="1:12" x14ac:dyDescent="0.25">
      <c r="A142" s="4"/>
      <c r="B142" s="28" t="str">
        <f>IF(ISNUMBER(MATCH(D142, Mgt_Unit!$C$5:$C$1018, 0)), INDEX(Mgt_Unit!$B$5:$B$1018, MATCH(D142, Mgt_Unit!$C$5:$C$1018, 0)), "")</f>
        <v/>
      </c>
      <c r="C142" s="28"/>
      <c r="D142" s="9"/>
      <c r="E142" s="45"/>
      <c r="F142" s="9"/>
      <c r="G142" s="9"/>
      <c r="H142" s="9"/>
      <c r="I142" s="41"/>
      <c r="J142" s="41"/>
      <c r="K142" s="9"/>
      <c r="L142" s="9"/>
    </row>
    <row r="143" spans="1:12" x14ac:dyDescent="0.25">
      <c r="A143" s="4"/>
      <c r="B143" s="28" t="str">
        <f>IF(ISNUMBER(MATCH(D143, Mgt_Unit!$C$5:$C$1018, 0)), INDEX(Mgt_Unit!$B$5:$B$1018, MATCH(D143, Mgt_Unit!$C$5:$C$1018, 0)), "")</f>
        <v/>
      </c>
      <c r="C143" s="28"/>
      <c r="D143" s="9"/>
      <c r="E143" s="45"/>
      <c r="F143" s="9"/>
      <c r="G143" s="9"/>
      <c r="H143" s="9"/>
      <c r="I143" s="41"/>
      <c r="J143" s="41"/>
      <c r="K143" s="9"/>
      <c r="L143" s="9"/>
    </row>
    <row r="144" spans="1:12" x14ac:dyDescent="0.25">
      <c r="A144" s="4"/>
      <c r="B144" s="28" t="str">
        <f>IF(ISNUMBER(MATCH(D144, Mgt_Unit!$C$5:$C$1018, 0)), INDEX(Mgt_Unit!$B$5:$B$1018, MATCH(D144, Mgt_Unit!$C$5:$C$1018, 0)), "")</f>
        <v/>
      </c>
      <c r="C144" s="28"/>
      <c r="D144" s="9"/>
      <c r="E144" s="45"/>
      <c r="F144" s="9"/>
      <c r="G144" s="9"/>
      <c r="H144" s="9"/>
      <c r="I144" s="41"/>
      <c r="J144" s="41"/>
      <c r="K144" s="9"/>
      <c r="L144" s="9"/>
    </row>
    <row r="145" spans="1:12" x14ac:dyDescent="0.25">
      <c r="A145" s="4"/>
      <c r="B145" s="28" t="str">
        <f>IF(ISNUMBER(MATCH(D145, Mgt_Unit!$C$5:$C$1018, 0)), INDEX(Mgt_Unit!$B$5:$B$1018, MATCH(D145, Mgt_Unit!$C$5:$C$1018, 0)), "")</f>
        <v/>
      </c>
      <c r="C145" s="28"/>
      <c r="D145" s="9"/>
      <c r="E145" s="45"/>
      <c r="F145" s="9"/>
      <c r="G145" s="9"/>
      <c r="H145" s="9"/>
      <c r="I145" s="41"/>
      <c r="J145" s="41"/>
      <c r="K145" s="9"/>
      <c r="L145" s="9"/>
    </row>
    <row r="146" spans="1:12" x14ac:dyDescent="0.25">
      <c r="A146" s="4"/>
      <c r="B146" s="28" t="str">
        <f>IF(ISNUMBER(MATCH(D146, Mgt_Unit!$C$5:$C$1018, 0)), INDEX(Mgt_Unit!$B$5:$B$1018, MATCH(D146, Mgt_Unit!$C$5:$C$1018, 0)), "")</f>
        <v/>
      </c>
      <c r="C146" s="28"/>
      <c r="D146" s="9"/>
      <c r="E146" s="45"/>
      <c r="F146" s="9"/>
      <c r="G146" s="9"/>
      <c r="H146" s="9"/>
      <c r="I146" s="41"/>
      <c r="J146" s="41"/>
      <c r="K146" s="9"/>
      <c r="L146" s="9"/>
    </row>
    <row r="147" spans="1:12" x14ac:dyDescent="0.25">
      <c r="A147" s="4"/>
      <c r="B147" s="28" t="str">
        <f>IF(ISNUMBER(MATCH(D147, Mgt_Unit!$C$5:$C$1018, 0)), INDEX(Mgt_Unit!$B$5:$B$1018, MATCH(D147, Mgt_Unit!$C$5:$C$1018, 0)), "")</f>
        <v/>
      </c>
      <c r="C147" s="28"/>
      <c r="D147" s="9"/>
      <c r="E147" s="45"/>
      <c r="F147" s="9"/>
      <c r="G147" s="9"/>
      <c r="H147" s="9"/>
      <c r="I147" s="41"/>
      <c r="J147" s="41"/>
      <c r="K147" s="9"/>
      <c r="L147" s="9"/>
    </row>
    <row r="148" spans="1:12" x14ac:dyDescent="0.25">
      <c r="A148" s="4"/>
      <c r="B148" s="28" t="str">
        <f>IF(ISNUMBER(MATCH(D148, Mgt_Unit!$C$5:$C$1018, 0)), INDEX(Mgt_Unit!$B$5:$B$1018, MATCH(D148, Mgt_Unit!$C$5:$C$1018, 0)), "")</f>
        <v/>
      </c>
      <c r="C148" s="28"/>
      <c r="D148" s="9"/>
      <c r="E148" s="45"/>
      <c r="F148" s="9"/>
      <c r="G148" s="9"/>
      <c r="H148" s="9"/>
      <c r="I148" s="41"/>
      <c r="J148" s="41"/>
      <c r="K148" s="9"/>
      <c r="L148" s="9"/>
    </row>
    <row r="149" spans="1:12" x14ac:dyDescent="0.25">
      <c r="A149" s="4"/>
      <c r="B149" s="28" t="str">
        <f>IF(ISNUMBER(MATCH(D149, Mgt_Unit!$C$5:$C$1018, 0)), INDEX(Mgt_Unit!$B$5:$B$1018, MATCH(D149, Mgt_Unit!$C$5:$C$1018, 0)), "")</f>
        <v/>
      </c>
      <c r="C149" s="28"/>
      <c r="D149" s="9"/>
      <c r="E149" s="45"/>
      <c r="F149" s="9"/>
      <c r="G149" s="9"/>
      <c r="H149" s="9"/>
      <c r="I149" s="41"/>
      <c r="J149" s="41"/>
      <c r="K149" s="9"/>
      <c r="L149" s="9"/>
    </row>
    <row r="150" spans="1:12" x14ac:dyDescent="0.25">
      <c r="A150" s="4"/>
      <c r="B150" s="28" t="str">
        <f>IF(ISNUMBER(MATCH(D150, Mgt_Unit!$C$5:$C$1018, 0)), INDEX(Mgt_Unit!$B$5:$B$1018, MATCH(D150, Mgt_Unit!$C$5:$C$1018, 0)), "")</f>
        <v/>
      </c>
      <c r="C150" s="28"/>
      <c r="D150" s="9"/>
      <c r="E150" s="45"/>
      <c r="F150" s="9"/>
      <c r="G150" s="9"/>
      <c r="H150" s="9"/>
      <c r="I150" s="41"/>
      <c r="J150" s="41"/>
      <c r="K150" s="9"/>
      <c r="L150" s="9"/>
    </row>
    <row r="151" spans="1:12" x14ac:dyDescent="0.25">
      <c r="A151" s="4"/>
      <c r="B151" s="28" t="str">
        <f>IF(ISNUMBER(MATCH(D151, Mgt_Unit!$C$5:$C$1018, 0)), INDEX(Mgt_Unit!$B$5:$B$1018, MATCH(D151, Mgt_Unit!$C$5:$C$1018, 0)), "")</f>
        <v/>
      </c>
      <c r="C151" s="28"/>
      <c r="D151" s="9"/>
      <c r="E151" s="45"/>
      <c r="F151" s="9"/>
      <c r="G151" s="9"/>
      <c r="H151" s="9"/>
      <c r="I151" s="41"/>
      <c r="J151" s="41"/>
      <c r="K151" s="9"/>
      <c r="L151" s="9"/>
    </row>
    <row r="152" spans="1:12" x14ac:dyDescent="0.25">
      <c r="A152" s="4"/>
      <c r="B152" s="28" t="str">
        <f>IF(ISNUMBER(MATCH(D152, Mgt_Unit!$C$5:$C$1018, 0)), INDEX(Mgt_Unit!$B$5:$B$1018, MATCH(D152, Mgt_Unit!$C$5:$C$1018, 0)), "")</f>
        <v/>
      </c>
      <c r="C152" s="28"/>
      <c r="D152" s="9"/>
      <c r="E152" s="45"/>
      <c r="F152" s="9"/>
      <c r="G152" s="9"/>
      <c r="H152" s="9"/>
      <c r="I152" s="41"/>
      <c r="J152" s="41"/>
      <c r="K152" s="9"/>
      <c r="L152" s="9"/>
    </row>
    <row r="153" spans="1:12" x14ac:dyDescent="0.25">
      <c r="A153" s="4"/>
      <c r="B153" s="28" t="str">
        <f>IF(ISNUMBER(MATCH(D153, Mgt_Unit!$C$5:$C$1018, 0)), INDEX(Mgt_Unit!$B$5:$B$1018, MATCH(D153, Mgt_Unit!$C$5:$C$1018, 0)), "")</f>
        <v/>
      </c>
      <c r="C153" s="28"/>
      <c r="D153" s="9"/>
      <c r="E153" s="45"/>
      <c r="F153" s="9"/>
      <c r="G153" s="9"/>
      <c r="H153" s="9"/>
      <c r="I153" s="41"/>
      <c r="J153" s="41"/>
      <c r="K153" s="9"/>
      <c r="L153" s="9"/>
    </row>
    <row r="154" spans="1:12" x14ac:dyDescent="0.25">
      <c r="A154" s="4"/>
      <c r="B154" s="28" t="str">
        <f>IF(ISNUMBER(MATCH(D154, Mgt_Unit!$C$5:$C$1018, 0)), INDEX(Mgt_Unit!$B$5:$B$1018, MATCH(D154, Mgt_Unit!$C$5:$C$1018, 0)), "")</f>
        <v/>
      </c>
      <c r="C154" s="28"/>
      <c r="D154" s="9"/>
      <c r="E154" s="45"/>
      <c r="F154" s="9"/>
      <c r="G154" s="9"/>
      <c r="H154" s="9"/>
      <c r="I154" s="41"/>
      <c r="J154" s="41"/>
      <c r="K154" s="9"/>
      <c r="L154" s="9"/>
    </row>
    <row r="155" spans="1:12" x14ac:dyDescent="0.25">
      <c r="A155" s="4"/>
      <c r="B155" s="28" t="str">
        <f>IF(ISNUMBER(MATCH(D155, Mgt_Unit!$C$5:$C$1018, 0)), INDEX(Mgt_Unit!$B$5:$B$1018, MATCH(D155, Mgt_Unit!$C$5:$C$1018, 0)), "")</f>
        <v/>
      </c>
      <c r="C155" s="28"/>
      <c r="D155" s="9"/>
      <c r="E155" s="45"/>
      <c r="F155" s="9"/>
      <c r="G155" s="9"/>
      <c r="H155" s="9"/>
      <c r="I155" s="41"/>
      <c r="J155" s="41"/>
      <c r="K155" s="9"/>
      <c r="L155" s="9"/>
    </row>
    <row r="156" spans="1:12" x14ac:dyDescent="0.25">
      <c r="A156" s="4"/>
      <c r="B156" s="28" t="str">
        <f>IF(ISNUMBER(MATCH(D156, Mgt_Unit!$C$5:$C$1018, 0)), INDEX(Mgt_Unit!$B$5:$B$1018, MATCH(D156, Mgt_Unit!$C$5:$C$1018, 0)), "")</f>
        <v/>
      </c>
      <c r="C156" s="28"/>
      <c r="D156" s="9"/>
      <c r="E156" s="45"/>
      <c r="F156" s="9"/>
      <c r="G156" s="9"/>
      <c r="H156" s="9"/>
      <c r="I156" s="41"/>
      <c r="J156" s="41"/>
      <c r="K156" s="9"/>
      <c r="L156" s="9"/>
    </row>
    <row r="157" spans="1:12" x14ac:dyDescent="0.25">
      <c r="A157" s="4"/>
      <c r="B157" s="28" t="str">
        <f>IF(ISNUMBER(MATCH(D157, Mgt_Unit!$C$5:$C$1018, 0)), INDEX(Mgt_Unit!$B$5:$B$1018, MATCH(D157, Mgt_Unit!$C$5:$C$1018, 0)), "")</f>
        <v/>
      </c>
      <c r="C157" s="28"/>
      <c r="D157" s="9"/>
      <c r="E157" s="45"/>
      <c r="F157" s="9"/>
      <c r="G157" s="9"/>
      <c r="H157" s="9"/>
      <c r="I157" s="41"/>
      <c r="J157" s="41"/>
      <c r="K157" s="9"/>
      <c r="L157" s="9"/>
    </row>
    <row r="158" spans="1:12" x14ac:dyDescent="0.25">
      <c r="A158" s="4"/>
      <c r="B158" s="28" t="str">
        <f>IF(ISNUMBER(MATCH(D158, Mgt_Unit!$C$5:$C$1018, 0)), INDEX(Mgt_Unit!$B$5:$B$1018, MATCH(D158, Mgt_Unit!$C$5:$C$1018, 0)), "")</f>
        <v/>
      </c>
      <c r="C158" s="28"/>
      <c r="D158" s="9"/>
      <c r="E158" s="45"/>
      <c r="F158" s="9"/>
      <c r="G158" s="9"/>
      <c r="H158" s="9"/>
      <c r="I158" s="41"/>
      <c r="J158" s="41"/>
      <c r="K158" s="9"/>
      <c r="L158" s="9"/>
    </row>
    <row r="159" spans="1:12" x14ac:dyDescent="0.25">
      <c r="A159" s="4"/>
      <c r="B159" s="28" t="str">
        <f>IF(ISNUMBER(MATCH(D159, Mgt_Unit!$C$5:$C$1018, 0)), INDEX(Mgt_Unit!$B$5:$B$1018, MATCH(D159, Mgt_Unit!$C$5:$C$1018, 0)), "")</f>
        <v/>
      </c>
      <c r="C159" s="28"/>
      <c r="D159" s="9"/>
      <c r="E159" s="45"/>
      <c r="F159" s="9"/>
      <c r="G159" s="9"/>
      <c r="H159" s="9"/>
      <c r="I159" s="41"/>
      <c r="J159" s="41"/>
      <c r="K159" s="9"/>
      <c r="L159" s="9"/>
    </row>
    <row r="160" spans="1:12" x14ac:dyDescent="0.25">
      <c r="A160" s="4"/>
      <c r="B160" s="28" t="str">
        <f>IF(ISNUMBER(MATCH(D160, Mgt_Unit!$C$5:$C$1018, 0)), INDEX(Mgt_Unit!$B$5:$B$1018, MATCH(D160, Mgt_Unit!$C$5:$C$1018, 0)), "")</f>
        <v/>
      </c>
      <c r="C160" s="28"/>
      <c r="D160" s="9"/>
      <c r="E160" s="45"/>
      <c r="F160" s="9"/>
      <c r="G160" s="9"/>
      <c r="H160" s="9"/>
      <c r="I160" s="41"/>
      <c r="J160" s="41"/>
      <c r="K160" s="9"/>
      <c r="L160" s="9"/>
    </row>
    <row r="161" spans="1:12" x14ac:dyDescent="0.25">
      <c r="A161" s="4"/>
      <c r="B161" s="28" t="str">
        <f>IF(ISNUMBER(MATCH(D161, Mgt_Unit!$C$5:$C$1018, 0)), INDEX(Mgt_Unit!$B$5:$B$1018, MATCH(D161, Mgt_Unit!$C$5:$C$1018, 0)), "")</f>
        <v/>
      </c>
      <c r="C161" s="28"/>
      <c r="D161" s="9"/>
      <c r="E161" s="45"/>
      <c r="F161" s="9"/>
      <c r="G161" s="9"/>
      <c r="H161" s="9"/>
      <c r="I161" s="41"/>
      <c r="J161" s="41"/>
      <c r="K161" s="9"/>
      <c r="L161" s="9"/>
    </row>
    <row r="162" spans="1:12" x14ac:dyDescent="0.25">
      <c r="A162" s="4"/>
      <c r="B162" s="28" t="str">
        <f>IF(ISNUMBER(MATCH(D162, Mgt_Unit!$C$5:$C$1018, 0)), INDEX(Mgt_Unit!$B$5:$B$1018, MATCH(D162, Mgt_Unit!$C$5:$C$1018, 0)), "")</f>
        <v/>
      </c>
      <c r="C162" s="28"/>
      <c r="D162" s="9"/>
      <c r="E162" s="45"/>
      <c r="F162" s="9"/>
      <c r="G162" s="9"/>
      <c r="H162" s="9"/>
      <c r="I162" s="41"/>
      <c r="J162" s="41"/>
      <c r="K162" s="9"/>
      <c r="L162" s="9"/>
    </row>
    <row r="163" spans="1:12" x14ac:dyDescent="0.25">
      <c r="A163" s="4"/>
      <c r="B163" s="28" t="str">
        <f>IF(ISNUMBER(MATCH(D163, Mgt_Unit!$C$5:$C$1018, 0)), INDEX(Mgt_Unit!$B$5:$B$1018, MATCH(D163, Mgt_Unit!$C$5:$C$1018, 0)), "")</f>
        <v/>
      </c>
      <c r="C163" s="28"/>
      <c r="D163" s="9"/>
      <c r="E163" s="45"/>
      <c r="F163" s="9"/>
      <c r="G163" s="9"/>
      <c r="H163" s="9"/>
      <c r="I163" s="41"/>
      <c r="J163" s="41"/>
      <c r="K163" s="9"/>
      <c r="L163" s="9"/>
    </row>
    <row r="164" spans="1:12" x14ac:dyDescent="0.25">
      <c r="A164" s="4"/>
      <c r="B164" s="28" t="str">
        <f>IF(ISNUMBER(MATCH(D164, Mgt_Unit!$C$5:$C$1018, 0)), INDEX(Mgt_Unit!$B$5:$B$1018, MATCH(D164, Mgt_Unit!$C$5:$C$1018, 0)), "")</f>
        <v/>
      </c>
      <c r="C164" s="28"/>
      <c r="D164" s="9"/>
      <c r="E164" s="45"/>
      <c r="F164" s="9"/>
      <c r="G164" s="9"/>
      <c r="H164" s="9"/>
      <c r="I164" s="41"/>
      <c r="J164" s="41"/>
      <c r="K164" s="9"/>
      <c r="L164" s="9"/>
    </row>
    <row r="165" spans="1:12" x14ac:dyDescent="0.25">
      <c r="A165" s="4"/>
      <c r="B165" s="28" t="str">
        <f>IF(ISNUMBER(MATCH(D165, Mgt_Unit!$C$5:$C$1018, 0)), INDEX(Mgt_Unit!$B$5:$B$1018, MATCH(D165, Mgt_Unit!$C$5:$C$1018, 0)), "")</f>
        <v/>
      </c>
      <c r="C165" s="28"/>
      <c r="D165" s="9"/>
      <c r="E165" s="45"/>
      <c r="F165" s="9"/>
      <c r="G165" s="9"/>
      <c r="H165" s="9"/>
      <c r="I165" s="41"/>
      <c r="J165" s="41"/>
      <c r="K165" s="9"/>
      <c r="L165" s="9"/>
    </row>
    <row r="166" spans="1:12" x14ac:dyDescent="0.25">
      <c r="A166" s="4"/>
      <c r="B166" s="28" t="str">
        <f>IF(ISNUMBER(MATCH(D166, Mgt_Unit!$C$5:$C$1018, 0)), INDEX(Mgt_Unit!$B$5:$B$1018, MATCH(D166, Mgt_Unit!$C$5:$C$1018, 0)), "")</f>
        <v/>
      </c>
      <c r="C166" s="28"/>
      <c r="D166" s="9"/>
      <c r="E166" s="45"/>
      <c r="F166" s="9"/>
      <c r="G166" s="9"/>
      <c r="H166" s="9"/>
      <c r="I166" s="41"/>
      <c r="J166" s="41"/>
      <c r="K166" s="9"/>
      <c r="L166" s="9"/>
    </row>
    <row r="167" spans="1:12" x14ac:dyDescent="0.25">
      <c r="A167" s="4"/>
      <c r="B167" s="28" t="str">
        <f>IF(ISNUMBER(MATCH(D167, Mgt_Unit!$C$5:$C$1018, 0)), INDEX(Mgt_Unit!$B$5:$B$1018, MATCH(D167, Mgt_Unit!$C$5:$C$1018, 0)), "")</f>
        <v/>
      </c>
      <c r="C167" s="28"/>
      <c r="D167" s="9"/>
      <c r="E167" s="45"/>
      <c r="F167" s="9"/>
      <c r="G167" s="9"/>
      <c r="H167" s="9"/>
      <c r="I167" s="41"/>
      <c r="J167" s="41"/>
      <c r="K167" s="9"/>
      <c r="L167" s="9"/>
    </row>
    <row r="168" spans="1:12" x14ac:dyDescent="0.25">
      <c r="A168" s="4"/>
      <c r="B168" s="28" t="str">
        <f>IF(ISNUMBER(MATCH(D168, Mgt_Unit!$C$5:$C$1018, 0)), INDEX(Mgt_Unit!$B$5:$B$1018, MATCH(D168, Mgt_Unit!$C$5:$C$1018, 0)), "")</f>
        <v/>
      </c>
      <c r="C168" s="28"/>
      <c r="D168" s="9"/>
      <c r="E168" s="45"/>
      <c r="F168" s="9"/>
      <c r="G168" s="9"/>
      <c r="H168" s="9"/>
      <c r="I168" s="41"/>
      <c r="J168" s="41"/>
      <c r="K168" s="9"/>
      <c r="L168" s="9"/>
    </row>
    <row r="169" spans="1:12" x14ac:dyDescent="0.25">
      <c r="A169" s="4"/>
      <c r="B169" s="28" t="str">
        <f>IF(ISNUMBER(MATCH(D169, Mgt_Unit!$C$5:$C$1018, 0)), INDEX(Mgt_Unit!$B$5:$B$1018, MATCH(D169, Mgt_Unit!$C$5:$C$1018, 0)), "")</f>
        <v/>
      </c>
      <c r="C169" s="28"/>
      <c r="D169" s="9"/>
      <c r="E169" s="45"/>
      <c r="F169" s="9"/>
      <c r="G169" s="9"/>
      <c r="H169" s="9"/>
      <c r="I169" s="41"/>
      <c r="J169" s="41"/>
      <c r="K169" s="9"/>
      <c r="L169" s="9"/>
    </row>
    <row r="170" spans="1:12" x14ac:dyDescent="0.25">
      <c r="A170" s="4"/>
      <c r="B170" s="28" t="str">
        <f>IF(ISNUMBER(MATCH(D170, Mgt_Unit!$C$5:$C$1018, 0)), INDEX(Mgt_Unit!$B$5:$B$1018, MATCH(D170, Mgt_Unit!$C$5:$C$1018, 0)), "")</f>
        <v/>
      </c>
      <c r="C170" s="28"/>
      <c r="D170" s="9"/>
      <c r="E170" s="45"/>
      <c r="F170" s="9"/>
      <c r="G170" s="9"/>
      <c r="H170" s="9"/>
      <c r="I170" s="41"/>
      <c r="J170" s="41"/>
      <c r="K170" s="9"/>
      <c r="L170" s="9"/>
    </row>
    <row r="171" spans="1:12" x14ac:dyDescent="0.25">
      <c r="A171" s="4"/>
      <c r="B171" s="28" t="str">
        <f>IF(ISNUMBER(MATCH(D171, Mgt_Unit!$C$5:$C$1018, 0)), INDEX(Mgt_Unit!$B$5:$B$1018, MATCH(D171, Mgt_Unit!$C$5:$C$1018, 0)), "")</f>
        <v/>
      </c>
      <c r="C171" s="28"/>
      <c r="D171" s="9"/>
      <c r="E171" s="45"/>
      <c r="F171" s="9"/>
      <c r="G171" s="9"/>
      <c r="H171" s="9"/>
      <c r="I171" s="41"/>
      <c r="J171" s="41"/>
      <c r="K171" s="9"/>
      <c r="L171" s="9"/>
    </row>
    <row r="172" spans="1:12" x14ac:dyDescent="0.25">
      <c r="A172" s="4"/>
      <c r="B172" s="28" t="str">
        <f>IF(ISNUMBER(MATCH(D172, Mgt_Unit!$C$5:$C$1018, 0)), INDEX(Mgt_Unit!$B$5:$B$1018, MATCH(D172, Mgt_Unit!$C$5:$C$1018, 0)), "")</f>
        <v/>
      </c>
      <c r="C172" s="28"/>
      <c r="D172" s="9"/>
      <c r="E172" s="45"/>
      <c r="F172" s="9"/>
      <c r="G172" s="9"/>
      <c r="H172" s="9"/>
      <c r="I172" s="41"/>
      <c r="J172" s="41"/>
      <c r="K172" s="9"/>
      <c r="L172" s="9"/>
    </row>
    <row r="173" spans="1:12" x14ac:dyDescent="0.25">
      <c r="A173" s="4"/>
      <c r="B173" s="28" t="str">
        <f>IF(ISNUMBER(MATCH(D173, Mgt_Unit!$C$5:$C$1018, 0)), INDEX(Mgt_Unit!$B$5:$B$1018, MATCH(D173, Mgt_Unit!$C$5:$C$1018, 0)), "")</f>
        <v/>
      </c>
      <c r="C173" s="28"/>
      <c r="D173" s="9"/>
      <c r="E173" s="45"/>
      <c r="F173" s="9"/>
      <c r="G173" s="9"/>
      <c r="H173" s="9"/>
      <c r="I173" s="41"/>
      <c r="J173" s="41"/>
      <c r="K173" s="9"/>
      <c r="L173" s="9"/>
    </row>
    <row r="174" spans="1:12" x14ac:dyDescent="0.25">
      <c r="A174" s="4"/>
      <c r="B174" s="28" t="str">
        <f>IF(ISNUMBER(MATCH(D174, Mgt_Unit!$C$5:$C$1018, 0)), INDEX(Mgt_Unit!$B$5:$B$1018, MATCH(D174, Mgt_Unit!$C$5:$C$1018, 0)), "")</f>
        <v/>
      </c>
      <c r="C174" s="28"/>
      <c r="D174" s="9"/>
      <c r="E174" s="45"/>
      <c r="F174" s="9"/>
      <c r="G174" s="9"/>
      <c r="H174" s="9"/>
      <c r="I174" s="41"/>
      <c r="J174" s="41"/>
      <c r="K174" s="9"/>
      <c r="L174" s="9"/>
    </row>
    <row r="175" spans="1:12" x14ac:dyDescent="0.25">
      <c r="A175" s="4"/>
      <c r="B175" s="28" t="str">
        <f>IF(ISNUMBER(MATCH(D175, Mgt_Unit!$C$5:$C$1018, 0)), INDEX(Mgt_Unit!$B$5:$B$1018, MATCH(D175, Mgt_Unit!$C$5:$C$1018, 0)), "")</f>
        <v/>
      </c>
      <c r="C175" s="28"/>
      <c r="D175" s="9"/>
      <c r="E175" s="45"/>
      <c r="F175" s="9"/>
      <c r="G175" s="9"/>
      <c r="H175" s="9"/>
      <c r="I175" s="41"/>
      <c r="J175" s="41"/>
      <c r="K175" s="9"/>
      <c r="L175" s="9"/>
    </row>
    <row r="176" spans="1:12" x14ac:dyDescent="0.25">
      <c r="A176" s="4"/>
      <c r="B176" s="28" t="str">
        <f>IF(ISNUMBER(MATCH(D176, Mgt_Unit!$C$5:$C$1018, 0)), INDEX(Mgt_Unit!$B$5:$B$1018, MATCH(D176, Mgt_Unit!$C$5:$C$1018, 0)), "")</f>
        <v/>
      </c>
      <c r="C176" s="28"/>
      <c r="D176" s="9"/>
      <c r="E176" s="45"/>
      <c r="F176" s="9"/>
      <c r="G176" s="9"/>
      <c r="H176" s="9"/>
      <c r="I176" s="41"/>
      <c r="J176" s="41"/>
      <c r="K176" s="9"/>
      <c r="L176" s="9"/>
    </row>
    <row r="177" spans="1:12" x14ac:dyDescent="0.25">
      <c r="A177" s="4"/>
      <c r="B177" s="28" t="str">
        <f>IF(ISNUMBER(MATCH(D177, Mgt_Unit!$C$5:$C$1018, 0)), INDEX(Mgt_Unit!$B$5:$B$1018, MATCH(D177, Mgt_Unit!$C$5:$C$1018, 0)), "")</f>
        <v/>
      </c>
      <c r="C177" s="28"/>
      <c r="D177" s="9"/>
      <c r="E177" s="45"/>
      <c r="F177" s="9"/>
      <c r="G177" s="9"/>
      <c r="H177" s="9"/>
      <c r="I177" s="41"/>
      <c r="J177" s="41"/>
      <c r="K177" s="9"/>
      <c r="L177" s="9"/>
    </row>
    <row r="178" spans="1:12" x14ac:dyDescent="0.25">
      <c r="A178" s="4"/>
      <c r="B178" s="28" t="str">
        <f>IF(ISNUMBER(MATCH(D178, Mgt_Unit!$C$5:$C$1018, 0)), INDEX(Mgt_Unit!$B$5:$B$1018, MATCH(D178, Mgt_Unit!$C$5:$C$1018, 0)), "")</f>
        <v/>
      </c>
      <c r="C178" s="28"/>
      <c r="D178" s="9"/>
      <c r="E178" s="45"/>
      <c r="F178" s="9"/>
      <c r="G178" s="9"/>
      <c r="H178" s="9"/>
      <c r="I178" s="41"/>
      <c r="J178" s="41"/>
      <c r="K178" s="9"/>
      <c r="L178" s="9"/>
    </row>
    <row r="179" spans="1:12" x14ac:dyDescent="0.25">
      <c r="A179" s="4"/>
      <c r="B179" s="28" t="str">
        <f>IF(ISNUMBER(MATCH(D179, Mgt_Unit!$C$5:$C$1018, 0)), INDEX(Mgt_Unit!$B$5:$B$1018, MATCH(D179, Mgt_Unit!$C$5:$C$1018, 0)), "")</f>
        <v/>
      </c>
      <c r="C179" s="28"/>
      <c r="D179" s="9"/>
      <c r="E179" s="45"/>
      <c r="F179" s="9"/>
      <c r="G179" s="9"/>
      <c r="H179" s="9"/>
      <c r="I179" s="41"/>
      <c r="J179" s="41"/>
      <c r="K179" s="9"/>
      <c r="L179" s="9"/>
    </row>
    <row r="180" spans="1:12" x14ac:dyDescent="0.25">
      <c r="A180" s="4"/>
      <c r="B180" s="28" t="str">
        <f>IF(ISNUMBER(MATCH(D180, Mgt_Unit!$C$5:$C$1018, 0)), INDEX(Mgt_Unit!$B$5:$B$1018, MATCH(D180, Mgt_Unit!$C$5:$C$1018, 0)), "")</f>
        <v/>
      </c>
      <c r="C180" s="28"/>
      <c r="D180" s="9"/>
      <c r="E180" s="45"/>
      <c r="F180" s="9"/>
      <c r="G180" s="9"/>
      <c r="H180" s="9"/>
      <c r="I180" s="41"/>
      <c r="J180" s="41"/>
      <c r="K180" s="9"/>
      <c r="L180" s="9"/>
    </row>
    <row r="181" spans="1:12" x14ac:dyDescent="0.25">
      <c r="A181" s="4"/>
      <c r="B181" s="28" t="str">
        <f>IF(ISNUMBER(MATCH(D181, Mgt_Unit!$C$5:$C$1018, 0)), INDEX(Mgt_Unit!$B$5:$B$1018, MATCH(D181, Mgt_Unit!$C$5:$C$1018, 0)), "")</f>
        <v/>
      </c>
      <c r="C181" s="28"/>
      <c r="D181" s="9"/>
      <c r="E181" s="45"/>
      <c r="F181" s="9"/>
      <c r="G181" s="9"/>
      <c r="H181" s="9"/>
      <c r="I181" s="41"/>
      <c r="J181" s="41"/>
      <c r="K181" s="9"/>
      <c r="L181" s="9"/>
    </row>
    <row r="182" spans="1:12" x14ac:dyDescent="0.25">
      <c r="A182" s="4"/>
      <c r="B182" s="28" t="str">
        <f>IF(ISNUMBER(MATCH(D182, Mgt_Unit!$C$5:$C$1018, 0)), INDEX(Mgt_Unit!$B$5:$B$1018, MATCH(D182, Mgt_Unit!$C$5:$C$1018, 0)), "")</f>
        <v/>
      </c>
      <c r="C182" s="28"/>
      <c r="D182" s="9"/>
      <c r="E182" s="45"/>
      <c r="F182" s="9"/>
      <c r="G182" s="9"/>
      <c r="H182" s="9"/>
      <c r="I182" s="41"/>
      <c r="J182" s="41"/>
      <c r="K182" s="9"/>
      <c r="L182" s="9"/>
    </row>
    <row r="183" spans="1:12" x14ac:dyDescent="0.25">
      <c r="A183" s="4"/>
      <c r="B183" s="28" t="str">
        <f>IF(ISNUMBER(MATCH(D183, Mgt_Unit!$C$5:$C$1018, 0)), INDEX(Mgt_Unit!$B$5:$B$1018, MATCH(D183, Mgt_Unit!$C$5:$C$1018, 0)), "")</f>
        <v/>
      </c>
      <c r="C183" s="28"/>
      <c r="D183" s="9"/>
      <c r="E183" s="45"/>
      <c r="F183" s="9"/>
      <c r="G183" s="9"/>
      <c r="H183" s="9"/>
      <c r="I183" s="41"/>
      <c r="J183" s="41"/>
      <c r="K183" s="9"/>
      <c r="L183" s="9"/>
    </row>
    <row r="184" spans="1:12" x14ac:dyDescent="0.25">
      <c r="A184" s="4"/>
      <c r="B184" s="28" t="str">
        <f>IF(ISNUMBER(MATCH(D184, Mgt_Unit!$C$5:$C$1018, 0)), INDEX(Mgt_Unit!$B$5:$B$1018, MATCH(D184, Mgt_Unit!$C$5:$C$1018, 0)), "")</f>
        <v/>
      </c>
      <c r="C184" s="28"/>
      <c r="D184" s="9"/>
      <c r="E184" s="45"/>
      <c r="F184" s="9"/>
      <c r="G184" s="9"/>
      <c r="H184" s="9"/>
      <c r="I184" s="41"/>
      <c r="J184" s="41"/>
      <c r="K184" s="9"/>
      <c r="L184" s="9"/>
    </row>
    <row r="185" spans="1:12" x14ac:dyDescent="0.25">
      <c r="A185" s="4"/>
      <c r="B185" s="28" t="str">
        <f>IF(ISNUMBER(MATCH(D185, Mgt_Unit!$C$5:$C$1018, 0)), INDEX(Mgt_Unit!$B$5:$B$1018, MATCH(D185, Mgt_Unit!$C$5:$C$1018, 0)), "")</f>
        <v/>
      </c>
      <c r="C185" s="28"/>
      <c r="D185" s="9"/>
      <c r="E185" s="45"/>
      <c r="F185" s="9"/>
      <c r="G185" s="9"/>
      <c r="H185" s="9"/>
      <c r="I185" s="41"/>
      <c r="J185" s="41"/>
      <c r="K185" s="9"/>
      <c r="L185" s="9"/>
    </row>
    <row r="186" spans="1:12" x14ac:dyDescent="0.25">
      <c r="A186" s="4"/>
      <c r="B186" s="28" t="str">
        <f>IF(ISNUMBER(MATCH(D186, Mgt_Unit!$C$5:$C$1018, 0)), INDEX(Mgt_Unit!$B$5:$B$1018, MATCH(D186, Mgt_Unit!$C$5:$C$1018, 0)), "")</f>
        <v/>
      </c>
      <c r="C186" s="28"/>
      <c r="D186" s="9"/>
      <c r="E186" s="45"/>
      <c r="F186" s="9"/>
      <c r="G186" s="9"/>
      <c r="H186" s="9"/>
      <c r="I186" s="41"/>
      <c r="J186" s="41"/>
      <c r="K186" s="9"/>
      <c r="L186" s="9"/>
    </row>
    <row r="187" spans="1:12" x14ac:dyDescent="0.25">
      <c r="A187" s="4"/>
      <c r="B187" s="28" t="str">
        <f>IF(ISNUMBER(MATCH(D187, Mgt_Unit!$C$5:$C$1018, 0)), INDEX(Mgt_Unit!$B$5:$B$1018, MATCH(D187, Mgt_Unit!$C$5:$C$1018, 0)), "")</f>
        <v/>
      </c>
      <c r="C187" s="28"/>
      <c r="D187" s="9"/>
      <c r="E187" s="45"/>
      <c r="F187" s="9"/>
      <c r="G187" s="9"/>
      <c r="H187" s="9"/>
      <c r="I187" s="41"/>
      <c r="J187" s="41"/>
      <c r="K187" s="9"/>
      <c r="L187" s="9"/>
    </row>
    <row r="188" spans="1:12" x14ac:dyDescent="0.25">
      <c r="A188" s="4"/>
      <c r="B188" s="28" t="str">
        <f>IF(ISNUMBER(MATCH(D188, Mgt_Unit!$C$5:$C$1018, 0)), INDEX(Mgt_Unit!$B$5:$B$1018, MATCH(D188, Mgt_Unit!$C$5:$C$1018, 0)), "")</f>
        <v/>
      </c>
      <c r="C188" s="28"/>
      <c r="D188" s="9"/>
      <c r="E188" s="45"/>
      <c r="F188" s="9"/>
      <c r="G188" s="9"/>
      <c r="H188" s="9"/>
      <c r="I188" s="41"/>
      <c r="J188" s="41"/>
      <c r="K188" s="9"/>
      <c r="L188" s="9"/>
    </row>
    <row r="189" spans="1:12" x14ac:dyDescent="0.25">
      <c r="A189" s="4"/>
      <c r="B189" s="28" t="str">
        <f>IF(ISNUMBER(MATCH(D189, Mgt_Unit!$C$5:$C$1018, 0)), INDEX(Mgt_Unit!$B$5:$B$1018, MATCH(D189, Mgt_Unit!$C$5:$C$1018, 0)), "")</f>
        <v/>
      </c>
      <c r="C189" s="28"/>
      <c r="D189" s="9"/>
      <c r="E189" s="45"/>
      <c r="F189" s="9"/>
      <c r="G189" s="9"/>
      <c r="H189" s="9"/>
      <c r="I189" s="41"/>
      <c r="J189" s="41"/>
      <c r="K189" s="9"/>
      <c r="L189" s="9"/>
    </row>
    <row r="190" spans="1:12" x14ac:dyDescent="0.25">
      <c r="A190" s="4"/>
      <c r="B190" s="28" t="str">
        <f>IF(ISNUMBER(MATCH(D190, Mgt_Unit!$C$5:$C$1018, 0)), INDEX(Mgt_Unit!$B$5:$B$1018, MATCH(D190, Mgt_Unit!$C$5:$C$1018, 0)), "")</f>
        <v/>
      </c>
      <c r="C190" s="28"/>
      <c r="D190" s="9"/>
      <c r="E190" s="45"/>
      <c r="F190" s="9"/>
      <c r="G190" s="9"/>
      <c r="H190" s="9"/>
      <c r="I190" s="41"/>
      <c r="J190" s="41"/>
      <c r="K190" s="9"/>
      <c r="L190" s="9"/>
    </row>
    <row r="191" spans="1:12" x14ac:dyDescent="0.25">
      <c r="A191" s="4"/>
      <c r="B191" s="28" t="str">
        <f>IF(ISNUMBER(MATCH(D191, Mgt_Unit!$C$5:$C$1018, 0)), INDEX(Mgt_Unit!$B$5:$B$1018, MATCH(D191, Mgt_Unit!$C$5:$C$1018, 0)), "")</f>
        <v/>
      </c>
      <c r="C191" s="28"/>
      <c r="D191" s="9"/>
      <c r="E191" s="45"/>
      <c r="F191" s="9"/>
      <c r="G191" s="9"/>
      <c r="H191" s="9"/>
      <c r="I191" s="41"/>
      <c r="J191" s="41"/>
      <c r="K191" s="9"/>
      <c r="L191" s="9"/>
    </row>
    <row r="192" spans="1:12" x14ac:dyDescent="0.25">
      <c r="A192" s="4"/>
      <c r="B192" s="28" t="str">
        <f>IF(ISNUMBER(MATCH(D192, Mgt_Unit!$C$5:$C$1018, 0)), INDEX(Mgt_Unit!$B$5:$B$1018, MATCH(D192, Mgt_Unit!$C$5:$C$1018, 0)), "")</f>
        <v/>
      </c>
      <c r="C192" s="28"/>
      <c r="D192" s="9"/>
      <c r="E192" s="45"/>
      <c r="F192" s="9"/>
      <c r="G192" s="9"/>
      <c r="H192" s="9"/>
      <c r="I192" s="41"/>
      <c r="J192" s="41"/>
      <c r="K192" s="9"/>
      <c r="L192" s="9"/>
    </row>
    <row r="193" spans="1:12" x14ac:dyDescent="0.25">
      <c r="A193" s="4"/>
      <c r="B193" s="28" t="str">
        <f>IF(ISNUMBER(MATCH(D193, Mgt_Unit!$C$5:$C$1018, 0)), INDEX(Mgt_Unit!$B$5:$B$1018, MATCH(D193, Mgt_Unit!$C$5:$C$1018, 0)), "")</f>
        <v/>
      </c>
      <c r="C193" s="28"/>
      <c r="D193" s="9"/>
      <c r="E193" s="45"/>
      <c r="F193" s="9"/>
      <c r="G193" s="9"/>
      <c r="H193" s="9"/>
      <c r="I193" s="41"/>
      <c r="J193" s="41"/>
      <c r="K193" s="9"/>
      <c r="L193" s="9"/>
    </row>
    <row r="194" spans="1:12" x14ac:dyDescent="0.25">
      <c r="A194" s="4"/>
      <c r="B194" s="28" t="str">
        <f>IF(ISNUMBER(MATCH(D194, Mgt_Unit!$C$5:$C$1018, 0)), INDEX(Mgt_Unit!$B$5:$B$1018, MATCH(D194, Mgt_Unit!$C$5:$C$1018, 0)), "")</f>
        <v/>
      </c>
      <c r="C194" s="28"/>
      <c r="D194" s="9"/>
      <c r="E194" s="45"/>
      <c r="F194" s="9"/>
      <c r="G194" s="9"/>
      <c r="H194" s="9"/>
      <c r="I194" s="41"/>
      <c r="J194" s="41"/>
      <c r="K194" s="9"/>
      <c r="L194" s="9"/>
    </row>
    <row r="195" spans="1:12" x14ac:dyDescent="0.25">
      <c r="A195" s="4"/>
      <c r="B195" s="28" t="str">
        <f>IF(ISNUMBER(MATCH(D195, Mgt_Unit!$C$5:$C$1018, 0)), INDEX(Mgt_Unit!$B$5:$B$1018, MATCH(D195, Mgt_Unit!$C$5:$C$1018, 0)), "")</f>
        <v/>
      </c>
      <c r="C195" s="28"/>
      <c r="D195" s="9"/>
      <c r="E195" s="45"/>
      <c r="F195" s="9"/>
      <c r="G195" s="9"/>
      <c r="H195" s="9"/>
      <c r="I195" s="41"/>
      <c r="J195" s="41"/>
      <c r="K195" s="9"/>
      <c r="L195" s="9"/>
    </row>
    <row r="196" spans="1:12" x14ac:dyDescent="0.25">
      <c r="A196" s="4"/>
      <c r="B196" s="28" t="str">
        <f>IF(ISNUMBER(MATCH(D196, Mgt_Unit!$C$5:$C$1018, 0)), INDEX(Mgt_Unit!$B$5:$B$1018, MATCH(D196, Mgt_Unit!$C$5:$C$1018, 0)), "")</f>
        <v/>
      </c>
      <c r="C196" s="28"/>
      <c r="D196" s="9"/>
      <c r="E196" s="45"/>
      <c r="F196" s="9"/>
      <c r="G196" s="9"/>
      <c r="H196" s="9"/>
      <c r="I196" s="41"/>
      <c r="J196" s="41"/>
      <c r="K196" s="9"/>
      <c r="L196" s="9"/>
    </row>
    <row r="197" spans="1:12" x14ac:dyDescent="0.25">
      <c r="A197" s="4"/>
      <c r="B197" s="28" t="str">
        <f>IF(ISNUMBER(MATCH(D197, Mgt_Unit!$C$5:$C$1018, 0)), INDEX(Mgt_Unit!$B$5:$B$1018, MATCH(D197, Mgt_Unit!$C$5:$C$1018, 0)), "")</f>
        <v/>
      </c>
      <c r="C197" s="28"/>
      <c r="D197" s="9"/>
      <c r="E197" s="45"/>
      <c r="F197" s="9"/>
      <c r="G197" s="9"/>
      <c r="H197" s="9"/>
      <c r="I197" s="41"/>
      <c r="J197" s="41"/>
      <c r="K197" s="9"/>
      <c r="L197" s="9"/>
    </row>
    <row r="198" spans="1:12" x14ac:dyDescent="0.25">
      <c r="A198" s="4"/>
      <c r="B198" s="28" t="str">
        <f>IF(ISNUMBER(MATCH(D198, Mgt_Unit!$C$5:$C$1018, 0)), INDEX(Mgt_Unit!$B$5:$B$1018, MATCH(D198, Mgt_Unit!$C$5:$C$1018, 0)), "")</f>
        <v/>
      </c>
      <c r="C198" s="28"/>
      <c r="D198" s="9"/>
      <c r="E198" s="45"/>
      <c r="F198" s="9"/>
      <c r="G198" s="9"/>
      <c r="H198" s="9"/>
      <c r="I198" s="41"/>
      <c r="J198" s="41"/>
      <c r="K198" s="9"/>
      <c r="L198" s="9"/>
    </row>
    <row r="199" spans="1:12" x14ac:dyDescent="0.25">
      <c r="A199" s="4"/>
      <c r="B199" s="28" t="str">
        <f>IF(ISNUMBER(MATCH(D199, Mgt_Unit!$C$5:$C$1018, 0)), INDEX(Mgt_Unit!$B$5:$B$1018, MATCH(D199, Mgt_Unit!$C$5:$C$1018, 0)), "")</f>
        <v/>
      </c>
      <c r="C199" s="28"/>
      <c r="D199" s="9"/>
      <c r="E199" s="45"/>
      <c r="F199" s="9"/>
      <c r="G199" s="9"/>
      <c r="H199" s="9"/>
      <c r="I199" s="41"/>
      <c r="J199" s="41"/>
      <c r="K199" s="9"/>
      <c r="L199" s="9"/>
    </row>
    <row r="200" spans="1:12" x14ac:dyDescent="0.25">
      <c r="A200" s="4"/>
      <c r="B200" s="28" t="str">
        <f>IF(ISNUMBER(MATCH(D200, Mgt_Unit!$C$5:$C$1018, 0)), INDEX(Mgt_Unit!$B$5:$B$1018, MATCH(D200, Mgt_Unit!$C$5:$C$1018, 0)), "")</f>
        <v/>
      </c>
      <c r="C200" s="28"/>
      <c r="D200" s="9"/>
      <c r="E200" s="45"/>
      <c r="F200" s="29"/>
      <c r="G200" s="29"/>
      <c r="H200" s="29"/>
      <c r="I200" s="43"/>
      <c r="J200" s="43"/>
      <c r="K200" s="29"/>
      <c r="L200" s="29"/>
    </row>
    <row r="201" spans="1:12" x14ac:dyDescent="0.25">
      <c r="A201" s="4"/>
      <c r="B201" s="28" t="str">
        <f>IF(ISNUMBER(MATCH(D201, Mgt_Unit!$C$5:$C$1018, 0)), INDEX(Mgt_Unit!$B$5:$B$1018, MATCH(D201, Mgt_Unit!$C$5:$C$1018, 0)), "")</f>
        <v/>
      </c>
      <c r="C201" s="28"/>
      <c r="D201" s="9"/>
      <c r="E201" s="45"/>
      <c r="F201" s="29"/>
      <c r="G201" s="29"/>
      <c r="H201" s="29"/>
      <c r="I201" s="43"/>
      <c r="J201" s="43"/>
      <c r="K201" s="29"/>
      <c r="L201" s="29"/>
    </row>
    <row r="202" spans="1:12" x14ac:dyDescent="0.25">
      <c r="A202" s="4"/>
      <c r="B202" s="28" t="str">
        <f>IF(ISNUMBER(MATCH(D202, Mgt_Unit!$C$5:$C$1018, 0)), INDEX(Mgt_Unit!$B$5:$B$1018, MATCH(D202, Mgt_Unit!$C$5:$C$1018, 0)), "")</f>
        <v/>
      </c>
      <c r="C202" s="28"/>
      <c r="D202" s="9"/>
      <c r="E202" s="45"/>
      <c r="F202" s="29"/>
      <c r="G202" s="29"/>
      <c r="H202" s="29"/>
      <c r="I202" s="43"/>
      <c r="J202" s="43"/>
      <c r="K202" s="29"/>
      <c r="L202" s="29"/>
    </row>
    <row r="203" spans="1:12" x14ac:dyDescent="0.25">
      <c r="A203" s="4"/>
      <c r="B203" s="28" t="str">
        <f>IF(ISNUMBER(MATCH(D203, Mgt_Unit!$C$5:$C$1018, 0)), INDEX(Mgt_Unit!$B$5:$B$1018, MATCH(D203, Mgt_Unit!$C$5:$C$1018, 0)), "")</f>
        <v/>
      </c>
      <c r="C203" s="28"/>
      <c r="D203" s="9"/>
      <c r="E203" s="45"/>
      <c r="F203" s="29"/>
      <c r="G203" s="29"/>
      <c r="H203" s="29"/>
      <c r="I203" s="43"/>
      <c r="J203" s="43"/>
      <c r="K203" s="29"/>
      <c r="L203" s="29"/>
    </row>
    <row r="204" spans="1:12" x14ac:dyDescent="0.25">
      <c r="A204" s="4"/>
      <c r="B204" s="28" t="str">
        <f>IF(ISNUMBER(MATCH(D204, Mgt_Unit!$C$5:$C$1018, 0)), INDEX(Mgt_Unit!$B$5:$B$1018, MATCH(D204, Mgt_Unit!$C$5:$C$1018, 0)), "")</f>
        <v/>
      </c>
      <c r="C204" s="28"/>
      <c r="D204" s="9"/>
      <c r="E204" s="45"/>
      <c r="F204" s="29"/>
      <c r="G204" s="29"/>
      <c r="H204" s="29"/>
      <c r="I204" s="43"/>
      <c r="J204" s="43"/>
      <c r="K204" s="29"/>
      <c r="L204" s="29"/>
    </row>
    <row r="205" spans="1:12" x14ac:dyDescent="0.25">
      <c r="A205" s="4"/>
      <c r="B205" s="28" t="str">
        <f>IF(ISNUMBER(MATCH(D205, Mgt_Unit!$C$5:$C$1018, 0)), INDEX(Mgt_Unit!$B$5:$B$1018, MATCH(D205, Mgt_Unit!$C$5:$C$1018, 0)), "")</f>
        <v/>
      </c>
      <c r="C205" s="28"/>
      <c r="D205" s="9"/>
      <c r="E205" s="45"/>
      <c r="F205" s="29"/>
      <c r="G205" s="29"/>
      <c r="H205" s="29"/>
      <c r="I205" s="43"/>
      <c r="J205" s="43"/>
      <c r="K205" s="29"/>
      <c r="L205" s="29"/>
    </row>
    <row r="206" spans="1:12" x14ac:dyDescent="0.25">
      <c r="A206" s="4"/>
      <c r="B206" s="28" t="str">
        <f>IF(ISNUMBER(MATCH(D206, Mgt_Unit!$C$5:$C$1018, 0)), INDEX(Mgt_Unit!$B$5:$B$1018, MATCH(D206, Mgt_Unit!$C$5:$C$1018, 0)), "")</f>
        <v/>
      </c>
      <c r="C206" s="28"/>
      <c r="D206" s="9"/>
      <c r="E206" s="45"/>
      <c r="F206" s="29"/>
      <c r="G206" s="29"/>
      <c r="H206" s="29"/>
      <c r="I206" s="43"/>
      <c r="J206" s="43"/>
      <c r="K206" s="29"/>
      <c r="L206" s="29"/>
    </row>
    <row r="207" spans="1:12" x14ac:dyDescent="0.25">
      <c r="A207" s="4"/>
      <c r="B207" s="28" t="str">
        <f>IF(ISNUMBER(MATCH(D207, Mgt_Unit!$C$5:$C$1018, 0)), INDEX(Mgt_Unit!$B$5:$B$1018, MATCH(D207, Mgt_Unit!$C$5:$C$1018, 0)), "")</f>
        <v/>
      </c>
      <c r="C207" s="28"/>
      <c r="D207" s="9"/>
      <c r="E207" s="45"/>
      <c r="F207" s="29"/>
      <c r="G207" s="29"/>
      <c r="H207" s="29"/>
      <c r="I207" s="43"/>
      <c r="J207" s="43"/>
      <c r="K207" s="29"/>
      <c r="L207" s="29"/>
    </row>
    <row r="208" spans="1:12" x14ac:dyDescent="0.25">
      <c r="A208" s="4"/>
      <c r="B208" s="28" t="str">
        <f>IF(ISNUMBER(MATCH(D208, Mgt_Unit!$C$5:$C$1018, 0)), INDEX(Mgt_Unit!$B$5:$B$1018, MATCH(D208, Mgt_Unit!$C$5:$C$1018, 0)), "")</f>
        <v/>
      </c>
      <c r="C208" s="28"/>
      <c r="D208" s="9"/>
      <c r="E208" s="45"/>
      <c r="F208" s="29"/>
      <c r="G208" s="29"/>
      <c r="H208" s="29"/>
      <c r="I208" s="43"/>
      <c r="J208" s="43"/>
      <c r="K208" s="29"/>
      <c r="L208" s="29"/>
    </row>
    <row r="209" spans="1:12" x14ac:dyDescent="0.25">
      <c r="A209" s="4"/>
      <c r="B209" s="28" t="str">
        <f>IF(ISNUMBER(MATCH(D209, Mgt_Unit!$C$5:$C$1018, 0)), INDEX(Mgt_Unit!$B$5:$B$1018, MATCH(D209, Mgt_Unit!$C$5:$C$1018, 0)), "")</f>
        <v/>
      </c>
      <c r="C209" s="28"/>
      <c r="D209" s="9"/>
      <c r="E209" s="45"/>
      <c r="F209" s="29"/>
      <c r="G209" s="29"/>
      <c r="H209" s="29"/>
      <c r="I209" s="43"/>
      <c r="J209" s="43"/>
      <c r="K209" s="29"/>
      <c r="L209" s="29"/>
    </row>
    <row r="210" spans="1:12" x14ac:dyDescent="0.25">
      <c r="A210" s="4"/>
      <c r="B210" s="28" t="str">
        <f>IF(ISNUMBER(MATCH(D210, Mgt_Unit!$C$5:$C$1018, 0)), INDEX(Mgt_Unit!$B$5:$B$1018, MATCH(D210, Mgt_Unit!$C$5:$C$1018, 0)), "")</f>
        <v/>
      </c>
      <c r="C210" s="28"/>
      <c r="D210" s="9"/>
      <c r="E210" s="45"/>
      <c r="F210" s="29"/>
      <c r="G210" s="29"/>
      <c r="H210" s="29"/>
      <c r="I210" s="43"/>
      <c r="J210" s="43"/>
      <c r="K210" s="29"/>
      <c r="L210" s="29"/>
    </row>
    <row r="211" spans="1:12" x14ac:dyDescent="0.25">
      <c r="A211" s="4"/>
      <c r="B211" s="28" t="str">
        <f>IF(ISNUMBER(MATCH(D211, Mgt_Unit!$C$5:$C$1018, 0)), INDEX(Mgt_Unit!$B$5:$B$1018, MATCH(D211, Mgt_Unit!$C$5:$C$1018, 0)), "")</f>
        <v/>
      </c>
      <c r="C211" s="28"/>
      <c r="D211" s="9"/>
      <c r="E211" s="45"/>
      <c r="F211" s="29"/>
      <c r="G211" s="29"/>
      <c r="H211" s="29"/>
      <c r="I211" s="43"/>
      <c r="J211" s="43"/>
      <c r="K211" s="29"/>
      <c r="L211" s="29"/>
    </row>
    <row r="212" spans="1:12" x14ac:dyDescent="0.25">
      <c r="A212" s="4"/>
      <c r="B212" s="28" t="str">
        <f>IF(ISNUMBER(MATCH(D212, Mgt_Unit!$C$5:$C$1018, 0)), INDEX(Mgt_Unit!$B$5:$B$1018, MATCH(D212, Mgt_Unit!$C$5:$C$1018, 0)), "")</f>
        <v/>
      </c>
      <c r="C212" s="28"/>
      <c r="D212" s="9"/>
      <c r="E212" s="45"/>
      <c r="F212" s="29"/>
      <c r="G212" s="29"/>
      <c r="H212" s="29"/>
      <c r="I212" s="43"/>
      <c r="J212" s="43"/>
      <c r="K212" s="29"/>
      <c r="L212" s="29"/>
    </row>
    <row r="213" spans="1:12" x14ac:dyDescent="0.25">
      <c r="A213" s="4"/>
      <c r="B213" s="28" t="str">
        <f>IF(ISNUMBER(MATCH(D213, Mgt_Unit!$C$5:$C$1018, 0)), INDEX(Mgt_Unit!$B$5:$B$1018, MATCH(D213, Mgt_Unit!$C$5:$C$1018, 0)), "")</f>
        <v/>
      </c>
      <c r="C213" s="28"/>
      <c r="D213" s="9"/>
      <c r="E213" s="45"/>
      <c r="F213" s="29"/>
      <c r="G213" s="29"/>
      <c r="H213" s="29"/>
      <c r="I213" s="43"/>
      <c r="J213" s="43"/>
      <c r="K213" s="29"/>
      <c r="L213" s="29"/>
    </row>
    <row r="214" spans="1:12" x14ac:dyDescent="0.25">
      <c r="A214" s="4"/>
      <c r="B214" s="28" t="str">
        <f>IF(ISNUMBER(MATCH(D214, Mgt_Unit!$C$5:$C$1018, 0)), INDEX(Mgt_Unit!$B$5:$B$1018, MATCH(D214, Mgt_Unit!$C$5:$C$1018, 0)), "")</f>
        <v/>
      </c>
      <c r="C214" s="28"/>
      <c r="D214" s="9"/>
      <c r="E214" s="45"/>
      <c r="F214" s="29"/>
      <c r="G214" s="29"/>
      <c r="H214" s="29"/>
      <c r="I214" s="43"/>
      <c r="J214" s="43"/>
      <c r="K214" s="29"/>
      <c r="L214" s="29"/>
    </row>
    <row r="215" spans="1:12" x14ac:dyDescent="0.25">
      <c r="A215" s="4"/>
      <c r="B215" s="28" t="str">
        <f>IF(ISNUMBER(MATCH(D215, Mgt_Unit!$C$5:$C$1018, 0)), INDEX(Mgt_Unit!$B$5:$B$1018, MATCH(D215, Mgt_Unit!$C$5:$C$1018, 0)), "")</f>
        <v/>
      </c>
      <c r="C215" s="28"/>
      <c r="D215" s="9"/>
      <c r="E215" s="45"/>
      <c r="F215" s="29"/>
      <c r="G215" s="29"/>
      <c r="H215" s="29"/>
      <c r="I215" s="43"/>
      <c r="J215" s="43"/>
      <c r="K215" s="29"/>
      <c r="L215" s="29"/>
    </row>
    <row r="216" spans="1:12" x14ac:dyDescent="0.25">
      <c r="A216" s="4"/>
      <c r="B216" s="28" t="str">
        <f>IF(ISNUMBER(MATCH(D216, Mgt_Unit!$C$5:$C$1018, 0)), INDEX(Mgt_Unit!$B$5:$B$1018, MATCH(D216, Mgt_Unit!$C$5:$C$1018, 0)), "")</f>
        <v/>
      </c>
      <c r="C216" s="28"/>
      <c r="D216" s="9"/>
      <c r="E216" s="45"/>
      <c r="F216" s="29"/>
      <c r="G216" s="29"/>
      <c r="H216" s="29"/>
      <c r="I216" s="43"/>
      <c r="J216" s="43"/>
      <c r="K216" s="29"/>
      <c r="L216" s="29"/>
    </row>
    <row r="217" spans="1:12" x14ac:dyDescent="0.25">
      <c r="A217" s="4"/>
      <c r="B217" s="28" t="str">
        <f>IF(ISNUMBER(MATCH(D217, Mgt_Unit!$C$5:$C$1018, 0)), INDEX(Mgt_Unit!$B$5:$B$1018, MATCH(D217, Mgt_Unit!$C$5:$C$1018, 0)), "")</f>
        <v/>
      </c>
      <c r="C217" s="28"/>
      <c r="D217" s="9"/>
      <c r="E217" s="45"/>
      <c r="F217" s="29"/>
      <c r="G217" s="29"/>
      <c r="H217" s="29"/>
      <c r="I217" s="43"/>
      <c r="J217" s="43"/>
      <c r="K217" s="29"/>
      <c r="L217" s="29"/>
    </row>
    <row r="218" spans="1:12" x14ac:dyDescent="0.25">
      <c r="A218" s="4"/>
      <c r="B218" s="28" t="str">
        <f>IF(ISNUMBER(MATCH(D218, Mgt_Unit!$C$5:$C$1018, 0)), INDEX(Mgt_Unit!$B$5:$B$1018, MATCH(D218, Mgt_Unit!$C$5:$C$1018, 0)), "")</f>
        <v/>
      </c>
      <c r="C218" s="28"/>
      <c r="D218" s="9"/>
      <c r="E218" s="45"/>
      <c r="F218" s="29"/>
      <c r="G218" s="29"/>
      <c r="H218" s="29"/>
      <c r="I218" s="43"/>
      <c r="J218" s="43"/>
      <c r="K218" s="29"/>
      <c r="L218" s="29"/>
    </row>
    <row r="219" spans="1:12" x14ac:dyDescent="0.25">
      <c r="A219" s="4"/>
      <c r="B219" s="28" t="str">
        <f>IF(ISNUMBER(MATCH(D219, Mgt_Unit!$C$5:$C$1018, 0)), INDEX(Mgt_Unit!$B$5:$B$1018, MATCH(D219, Mgt_Unit!$C$5:$C$1018, 0)), "")</f>
        <v/>
      </c>
      <c r="C219" s="28"/>
      <c r="D219" s="9"/>
      <c r="E219" s="45"/>
      <c r="F219" s="29"/>
      <c r="G219" s="29"/>
      <c r="H219" s="29"/>
      <c r="I219" s="43"/>
      <c r="J219" s="43"/>
      <c r="K219" s="29"/>
      <c r="L219" s="29"/>
    </row>
    <row r="220" spans="1:12" x14ac:dyDescent="0.25">
      <c r="A220" s="4"/>
      <c r="B220" s="28" t="str">
        <f>IF(ISNUMBER(MATCH(D220, Mgt_Unit!$C$5:$C$1018, 0)), INDEX(Mgt_Unit!$B$5:$B$1018, MATCH(D220, Mgt_Unit!$C$5:$C$1018, 0)), "")</f>
        <v/>
      </c>
      <c r="C220" s="28"/>
      <c r="D220" s="9"/>
      <c r="E220" s="45"/>
      <c r="F220" s="29"/>
      <c r="G220" s="29"/>
      <c r="H220" s="29"/>
      <c r="I220" s="43"/>
      <c r="J220" s="43"/>
      <c r="K220" s="29"/>
      <c r="L220" s="29"/>
    </row>
    <row r="221" spans="1:12" x14ac:dyDescent="0.25">
      <c r="A221" s="4"/>
      <c r="B221" s="28" t="str">
        <f>IF(ISNUMBER(MATCH(D221, Mgt_Unit!$C$5:$C$1018, 0)), INDEX(Mgt_Unit!$B$5:$B$1018, MATCH(D221, Mgt_Unit!$C$5:$C$1018, 0)), "")</f>
        <v/>
      </c>
      <c r="C221" s="28"/>
      <c r="D221" s="9"/>
      <c r="E221" s="45"/>
      <c r="F221" s="29"/>
      <c r="G221" s="29"/>
      <c r="H221" s="29"/>
      <c r="I221" s="43"/>
      <c r="J221" s="43"/>
      <c r="K221" s="29"/>
      <c r="L221" s="29"/>
    </row>
    <row r="222" spans="1:12" x14ac:dyDescent="0.25">
      <c r="A222" s="4"/>
      <c r="B222" s="28" t="str">
        <f>IF(ISNUMBER(MATCH(D222, Mgt_Unit!$C$5:$C$1018, 0)), INDEX(Mgt_Unit!$B$5:$B$1018, MATCH(D222, Mgt_Unit!$C$5:$C$1018, 0)), "")</f>
        <v/>
      </c>
      <c r="C222" s="28"/>
      <c r="D222" s="9"/>
      <c r="E222" s="45"/>
      <c r="F222" s="29"/>
      <c r="G222" s="29"/>
      <c r="H222" s="29"/>
      <c r="I222" s="43"/>
      <c r="J222" s="43"/>
      <c r="K222" s="29"/>
      <c r="L222" s="29"/>
    </row>
    <row r="223" spans="1:12" x14ac:dyDescent="0.25">
      <c r="A223" s="4"/>
      <c r="B223" s="28" t="str">
        <f>IF(ISNUMBER(MATCH(D223, Mgt_Unit!$C$5:$C$1018, 0)), INDEX(Mgt_Unit!$B$5:$B$1018, MATCH(D223, Mgt_Unit!$C$5:$C$1018, 0)), "")</f>
        <v/>
      </c>
      <c r="C223" s="28"/>
      <c r="D223" s="9"/>
      <c r="E223" s="45"/>
      <c r="F223" s="29"/>
      <c r="G223" s="29"/>
      <c r="H223" s="29"/>
      <c r="I223" s="43"/>
      <c r="J223" s="43"/>
      <c r="K223" s="29"/>
      <c r="L223" s="29"/>
    </row>
    <row r="224" spans="1:12" x14ac:dyDescent="0.25">
      <c r="A224" s="4"/>
      <c r="B224" s="28" t="str">
        <f>IF(ISNUMBER(MATCH(D224, Mgt_Unit!$C$5:$C$1018, 0)), INDEX(Mgt_Unit!$B$5:$B$1018, MATCH(D224, Mgt_Unit!$C$5:$C$1018, 0)), "")</f>
        <v/>
      </c>
      <c r="C224" s="28"/>
      <c r="D224" s="9"/>
      <c r="E224" s="45"/>
      <c r="F224" s="29"/>
      <c r="G224" s="29"/>
      <c r="H224" s="29"/>
      <c r="I224" s="43"/>
      <c r="J224" s="43"/>
      <c r="K224" s="29"/>
      <c r="L224" s="29"/>
    </row>
    <row r="225" spans="1:12" x14ac:dyDescent="0.25">
      <c r="A225" s="4"/>
      <c r="B225" s="28" t="str">
        <f>IF(ISNUMBER(MATCH(D225, Mgt_Unit!$C$5:$C$1018, 0)), INDEX(Mgt_Unit!$B$5:$B$1018, MATCH(D225, Mgt_Unit!$C$5:$C$1018, 0)), "")</f>
        <v/>
      </c>
      <c r="C225" s="28"/>
      <c r="D225" s="9"/>
      <c r="E225" s="45"/>
      <c r="F225" s="29"/>
      <c r="G225" s="29"/>
      <c r="H225" s="29"/>
      <c r="I225" s="43"/>
      <c r="J225" s="43"/>
      <c r="K225" s="29"/>
      <c r="L225" s="29"/>
    </row>
    <row r="226" spans="1:12" x14ac:dyDescent="0.25">
      <c r="A226" s="4"/>
      <c r="B226" s="28" t="str">
        <f>IF(ISNUMBER(MATCH(D226, Mgt_Unit!$C$5:$C$1018, 0)), INDEX(Mgt_Unit!$B$5:$B$1018, MATCH(D226, Mgt_Unit!$C$5:$C$1018, 0)), "")</f>
        <v/>
      </c>
      <c r="C226" s="28"/>
      <c r="D226" s="9"/>
      <c r="E226" s="45"/>
      <c r="F226" s="29"/>
      <c r="G226" s="29"/>
      <c r="H226" s="29"/>
      <c r="I226" s="43"/>
      <c r="J226" s="43"/>
      <c r="K226" s="29"/>
      <c r="L226" s="29"/>
    </row>
    <row r="227" spans="1:12" x14ac:dyDescent="0.25">
      <c r="A227" s="4"/>
      <c r="B227" s="28" t="str">
        <f>IF(ISNUMBER(MATCH(D227, Mgt_Unit!$C$5:$C$1018, 0)), INDEX(Mgt_Unit!$B$5:$B$1018, MATCH(D227, Mgt_Unit!$C$5:$C$1018, 0)), "")</f>
        <v/>
      </c>
      <c r="C227" s="28"/>
      <c r="D227" s="9"/>
      <c r="E227" s="45"/>
      <c r="F227" s="29"/>
      <c r="G227" s="29"/>
      <c r="H227" s="29"/>
      <c r="I227" s="43"/>
      <c r="J227" s="43"/>
      <c r="K227" s="29"/>
      <c r="L227" s="29"/>
    </row>
    <row r="228" spans="1:12" x14ac:dyDescent="0.25">
      <c r="A228" s="4"/>
      <c r="B228" s="28" t="str">
        <f>IF(ISNUMBER(MATCH(D228, Mgt_Unit!$C$5:$C$1018, 0)), INDEX(Mgt_Unit!$B$5:$B$1018, MATCH(D228, Mgt_Unit!$C$5:$C$1018, 0)), "")</f>
        <v/>
      </c>
      <c r="C228" s="28"/>
      <c r="D228" s="9"/>
      <c r="E228" s="45"/>
      <c r="F228" s="29"/>
      <c r="G228" s="29"/>
      <c r="H228" s="29"/>
      <c r="I228" s="43"/>
      <c r="J228" s="43"/>
      <c r="K228" s="29"/>
      <c r="L228" s="29"/>
    </row>
    <row r="229" spans="1:12" x14ac:dyDescent="0.25">
      <c r="A229" s="4"/>
      <c r="B229" s="28" t="str">
        <f>IF(ISNUMBER(MATCH(D229, Mgt_Unit!$C$5:$C$1018, 0)), INDEX(Mgt_Unit!$B$5:$B$1018, MATCH(D229, Mgt_Unit!$C$5:$C$1018, 0)), "")</f>
        <v/>
      </c>
      <c r="C229" s="28"/>
      <c r="D229" s="9"/>
      <c r="E229" s="45"/>
      <c r="F229" s="29"/>
      <c r="G229" s="29"/>
      <c r="H229" s="29"/>
      <c r="I229" s="43"/>
      <c r="J229" s="43"/>
      <c r="K229" s="29"/>
      <c r="L229" s="29"/>
    </row>
    <row r="230" spans="1:12" x14ac:dyDescent="0.25">
      <c r="A230" s="4"/>
      <c r="B230" s="28" t="str">
        <f>IF(ISNUMBER(MATCH(D230, Mgt_Unit!$C$5:$C$1018, 0)), INDEX(Mgt_Unit!$B$5:$B$1018, MATCH(D230, Mgt_Unit!$C$5:$C$1018, 0)), "")</f>
        <v/>
      </c>
      <c r="C230" s="28"/>
      <c r="D230" s="9"/>
      <c r="E230" s="45"/>
      <c r="F230" s="29"/>
      <c r="G230" s="29"/>
      <c r="H230" s="29"/>
      <c r="I230" s="43"/>
      <c r="J230" s="43"/>
      <c r="K230" s="29"/>
      <c r="L230" s="29"/>
    </row>
    <row r="231" spans="1:12" x14ac:dyDescent="0.25">
      <c r="A231" s="4"/>
      <c r="B231" s="28" t="str">
        <f>IF(ISNUMBER(MATCH(D231, Mgt_Unit!$C$5:$C$1018, 0)), INDEX(Mgt_Unit!$B$5:$B$1018, MATCH(D231, Mgt_Unit!$C$5:$C$1018, 0)), "")</f>
        <v/>
      </c>
      <c r="C231" s="28"/>
      <c r="D231" s="9"/>
      <c r="E231" s="45"/>
      <c r="F231" s="29"/>
      <c r="G231" s="29"/>
      <c r="H231" s="29"/>
      <c r="I231" s="43"/>
      <c r="J231" s="43"/>
      <c r="K231" s="29"/>
      <c r="L231" s="29"/>
    </row>
    <row r="232" spans="1:12" x14ac:dyDescent="0.25">
      <c r="A232" s="4"/>
      <c r="B232" s="28" t="str">
        <f>IF(ISNUMBER(MATCH(D232, Mgt_Unit!$C$5:$C$1018, 0)), INDEX(Mgt_Unit!$B$5:$B$1018, MATCH(D232, Mgt_Unit!$C$5:$C$1018, 0)), "")</f>
        <v/>
      </c>
      <c r="C232" s="28"/>
      <c r="D232" s="9"/>
      <c r="E232" s="45"/>
      <c r="F232" s="29"/>
      <c r="G232" s="29"/>
      <c r="H232" s="29"/>
      <c r="I232" s="43"/>
      <c r="J232" s="43"/>
      <c r="K232" s="29"/>
      <c r="L232" s="29"/>
    </row>
    <row r="233" spans="1:12" x14ac:dyDescent="0.25">
      <c r="A233" s="4"/>
      <c r="B233" s="28" t="str">
        <f>IF(ISNUMBER(MATCH(D233, Mgt_Unit!$C$5:$C$1018, 0)), INDEX(Mgt_Unit!$B$5:$B$1018, MATCH(D233, Mgt_Unit!$C$5:$C$1018, 0)), "")</f>
        <v/>
      </c>
      <c r="C233" s="28"/>
      <c r="D233" s="9"/>
      <c r="E233" s="45"/>
      <c r="F233" s="29"/>
      <c r="G233" s="29"/>
      <c r="H233" s="29"/>
      <c r="I233" s="43"/>
      <c r="J233" s="43"/>
      <c r="K233" s="29"/>
      <c r="L233" s="29"/>
    </row>
    <row r="234" spans="1:12" x14ac:dyDescent="0.25">
      <c r="A234" s="4"/>
      <c r="B234" s="28" t="str">
        <f>IF(ISNUMBER(MATCH(D234, Mgt_Unit!$C$5:$C$1018, 0)), INDEX(Mgt_Unit!$B$5:$B$1018, MATCH(D234, Mgt_Unit!$C$5:$C$1018, 0)), "")</f>
        <v/>
      </c>
      <c r="C234" s="28"/>
      <c r="D234" s="9"/>
      <c r="E234" s="45"/>
      <c r="F234" s="29"/>
      <c r="G234" s="29"/>
      <c r="H234" s="29"/>
      <c r="I234" s="43"/>
      <c r="J234" s="43"/>
      <c r="K234" s="29"/>
      <c r="L234" s="29"/>
    </row>
    <row r="235" spans="1:12" x14ac:dyDescent="0.25">
      <c r="A235" s="4"/>
      <c r="B235" s="28" t="str">
        <f>IF(ISNUMBER(MATCH(D235, Mgt_Unit!$C$5:$C$1018, 0)), INDEX(Mgt_Unit!$B$5:$B$1018, MATCH(D235, Mgt_Unit!$C$5:$C$1018, 0)), "")</f>
        <v/>
      </c>
      <c r="C235" s="28"/>
      <c r="D235" s="9"/>
      <c r="E235" s="45"/>
      <c r="F235" s="29"/>
      <c r="G235" s="29"/>
      <c r="H235" s="29"/>
      <c r="I235" s="43"/>
      <c r="J235" s="43"/>
      <c r="K235" s="29"/>
      <c r="L235" s="29"/>
    </row>
    <row r="236" spans="1:12" x14ac:dyDescent="0.25">
      <c r="A236" s="4"/>
      <c r="B236" s="28" t="str">
        <f>IF(ISNUMBER(MATCH(D236, Mgt_Unit!$C$5:$C$1018, 0)), INDEX(Mgt_Unit!$B$5:$B$1018, MATCH(D236, Mgt_Unit!$C$5:$C$1018, 0)), "")</f>
        <v/>
      </c>
      <c r="C236" s="28"/>
      <c r="D236" s="9"/>
      <c r="E236" s="45"/>
      <c r="F236" s="29"/>
      <c r="G236" s="29"/>
      <c r="H236" s="29"/>
      <c r="I236" s="43"/>
      <c r="J236" s="43"/>
      <c r="K236" s="29"/>
      <c r="L236" s="29"/>
    </row>
    <row r="237" spans="1:12" x14ac:dyDescent="0.25">
      <c r="A237" s="4"/>
      <c r="B237" s="28" t="str">
        <f>IF(ISNUMBER(MATCH(D237, Mgt_Unit!$C$5:$C$1018, 0)), INDEX(Mgt_Unit!$B$5:$B$1018, MATCH(D237, Mgt_Unit!$C$5:$C$1018, 0)), "")</f>
        <v/>
      </c>
      <c r="C237" s="28"/>
      <c r="D237" s="9"/>
      <c r="E237" s="45"/>
      <c r="F237" s="29"/>
      <c r="G237" s="29"/>
      <c r="H237" s="29"/>
      <c r="I237" s="43"/>
      <c r="J237" s="43"/>
      <c r="K237" s="29"/>
      <c r="L237" s="29"/>
    </row>
    <row r="238" spans="1:12" x14ac:dyDescent="0.25">
      <c r="A238" s="4"/>
      <c r="B238" s="28" t="str">
        <f>IF(ISNUMBER(MATCH(D238, Mgt_Unit!$C$5:$C$1018, 0)), INDEX(Mgt_Unit!$B$5:$B$1018, MATCH(D238, Mgt_Unit!$C$5:$C$1018, 0)), "")</f>
        <v/>
      </c>
      <c r="C238" s="28"/>
      <c r="D238" s="9"/>
      <c r="E238" s="45"/>
      <c r="F238" s="29"/>
      <c r="G238" s="29"/>
      <c r="H238" s="29"/>
      <c r="I238" s="43"/>
      <c r="J238" s="43"/>
      <c r="K238" s="29"/>
      <c r="L238" s="29"/>
    </row>
    <row r="239" spans="1:12" x14ac:dyDescent="0.25">
      <c r="A239" s="4"/>
      <c r="B239" s="28" t="str">
        <f>IF(ISNUMBER(MATCH(D239, Mgt_Unit!$C$5:$C$1018, 0)), INDEX(Mgt_Unit!$B$5:$B$1018, MATCH(D239, Mgt_Unit!$C$5:$C$1018, 0)), "")</f>
        <v/>
      </c>
      <c r="C239" s="28"/>
      <c r="D239" s="9"/>
      <c r="E239" s="45"/>
      <c r="F239" s="29"/>
      <c r="G239" s="29"/>
      <c r="H239" s="29"/>
      <c r="I239" s="43"/>
      <c r="J239" s="43"/>
      <c r="K239" s="29"/>
      <c r="L239" s="29"/>
    </row>
    <row r="240" spans="1:12" x14ac:dyDescent="0.25">
      <c r="A240" s="4"/>
      <c r="B240" s="28" t="str">
        <f>IF(ISNUMBER(MATCH(D240, Mgt_Unit!$C$5:$C$1018, 0)), INDEX(Mgt_Unit!$B$5:$B$1018, MATCH(D240, Mgt_Unit!$C$5:$C$1018, 0)), "")</f>
        <v/>
      </c>
      <c r="C240" s="28"/>
      <c r="D240" s="9"/>
      <c r="E240" s="45"/>
      <c r="F240" s="29"/>
      <c r="G240" s="29"/>
      <c r="H240" s="29"/>
      <c r="I240" s="43"/>
      <c r="J240" s="43"/>
      <c r="K240" s="29"/>
      <c r="L240" s="29"/>
    </row>
    <row r="241" spans="1:12" x14ac:dyDescent="0.25">
      <c r="A241" s="4"/>
      <c r="B241" s="28" t="str">
        <f>IF(ISNUMBER(MATCH(D241, Mgt_Unit!$C$5:$C$1018, 0)), INDEX(Mgt_Unit!$B$5:$B$1018, MATCH(D241, Mgt_Unit!$C$5:$C$1018, 0)), "")</f>
        <v/>
      </c>
      <c r="C241" s="28"/>
      <c r="D241" s="9"/>
      <c r="E241" s="45"/>
      <c r="F241" s="29"/>
      <c r="G241" s="29"/>
      <c r="H241" s="29"/>
      <c r="I241" s="43"/>
      <c r="J241" s="43"/>
      <c r="K241" s="29"/>
      <c r="L241" s="29"/>
    </row>
    <row r="242" spans="1:12" x14ac:dyDescent="0.25">
      <c r="A242" s="4"/>
      <c r="B242" s="28" t="str">
        <f>IF(ISNUMBER(MATCH(D242, Mgt_Unit!$C$5:$C$1018, 0)), INDEX(Mgt_Unit!$B$5:$B$1018, MATCH(D242, Mgt_Unit!$C$5:$C$1018, 0)), "")</f>
        <v/>
      </c>
      <c r="C242" s="28"/>
      <c r="D242" s="9"/>
      <c r="E242" s="45"/>
      <c r="F242" s="29"/>
      <c r="G242" s="29"/>
      <c r="H242" s="29"/>
      <c r="I242" s="43"/>
      <c r="J242" s="43"/>
      <c r="K242" s="29"/>
      <c r="L242" s="29"/>
    </row>
    <row r="243" spans="1:12" x14ac:dyDescent="0.25">
      <c r="A243" s="4"/>
      <c r="B243" s="28" t="str">
        <f>IF(ISNUMBER(MATCH(D243, Mgt_Unit!$C$5:$C$1018, 0)), INDEX(Mgt_Unit!$B$5:$B$1018, MATCH(D243, Mgt_Unit!$C$5:$C$1018, 0)), "")</f>
        <v/>
      </c>
      <c r="C243" s="28"/>
      <c r="D243" s="9"/>
      <c r="E243" s="45"/>
      <c r="F243" s="29"/>
      <c r="G243" s="29"/>
      <c r="H243" s="29"/>
      <c r="I243" s="43"/>
      <c r="J243" s="43"/>
      <c r="K243" s="29"/>
      <c r="L243" s="29"/>
    </row>
    <row r="244" spans="1:12" x14ac:dyDescent="0.25">
      <c r="A244" s="4"/>
      <c r="B244" s="28" t="str">
        <f>IF(ISNUMBER(MATCH(D244, Mgt_Unit!$C$5:$C$1018, 0)), INDEX(Mgt_Unit!$B$5:$B$1018, MATCH(D244, Mgt_Unit!$C$5:$C$1018, 0)), "")</f>
        <v/>
      </c>
      <c r="C244" s="28"/>
      <c r="D244" s="9"/>
      <c r="E244" s="45"/>
      <c r="F244" s="29"/>
      <c r="G244" s="29"/>
      <c r="H244" s="29"/>
      <c r="I244" s="43"/>
      <c r="J244" s="43"/>
      <c r="K244" s="29"/>
      <c r="L244" s="29"/>
    </row>
    <row r="245" spans="1:12" x14ac:dyDescent="0.25">
      <c r="A245" s="4"/>
      <c r="B245" s="28" t="str">
        <f>IF(ISNUMBER(MATCH(D245, Mgt_Unit!$C$5:$C$1018, 0)), INDEX(Mgt_Unit!$B$5:$B$1018, MATCH(D245, Mgt_Unit!$C$5:$C$1018, 0)), "")</f>
        <v/>
      </c>
      <c r="C245" s="28"/>
      <c r="D245" s="9"/>
      <c r="E245" s="45"/>
      <c r="F245" s="29"/>
      <c r="G245" s="29"/>
      <c r="H245" s="29"/>
      <c r="I245" s="43"/>
      <c r="J245" s="43"/>
      <c r="K245" s="29"/>
      <c r="L245" s="29"/>
    </row>
    <row r="246" spans="1:12" x14ac:dyDescent="0.25">
      <c r="A246" s="4"/>
      <c r="B246" s="28" t="str">
        <f>IF(ISNUMBER(MATCH(D246, Mgt_Unit!$C$5:$C$1018, 0)), INDEX(Mgt_Unit!$B$5:$B$1018, MATCH(D246, Mgt_Unit!$C$5:$C$1018, 0)), "")</f>
        <v/>
      </c>
      <c r="C246" s="28"/>
      <c r="D246" s="9"/>
      <c r="E246" s="45"/>
      <c r="F246" s="29"/>
      <c r="G246" s="29"/>
      <c r="H246" s="29"/>
      <c r="I246" s="43"/>
      <c r="J246" s="43"/>
      <c r="K246" s="29"/>
      <c r="L246" s="29"/>
    </row>
    <row r="247" spans="1:12" x14ac:dyDescent="0.25">
      <c r="A247" s="4"/>
      <c r="B247" s="28" t="str">
        <f>IF(ISNUMBER(MATCH(D247, Mgt_Unit!$C$5:$C$1018, 0)), INDEX(Mgt_Unit!$B$5:$B$1018, MATCH(D247, Mgt_Unit!$C$5:$C$1018, 0)), "")</f>
        <v/>
      </c>
      <c r="C247" s="28"/>
      <c r="D247" s="9"/>
      <c r="E247" s="45"/>
      <c r="F247" s="29"/>
      <c r="G247" s="29"/>
      <c r="H247" s="29"/>
      <c r="I247" s="43"/>
      <c r="J247" s="43"/>
      <c r="K247" s="29"/>
      <c r="L247" s="29"/>
    </row>
    <row r="248" spans="1:12" x14ac:dyDescent="0.25">
      <c r="A248" s="4"/>
      <c r="B248" s="28" t="str">
        <f>IF(ISNUMBER(MATCH(D248, Mgt_Unit!$C$5:$C$1018, 0)), INDEX(Mgt_Unit!$B$5:$B$1018, MATCH(D248, Mgt_Unit!$C$5:$C$1018, 0)), "")</f>
        <v/>
      </c>
      <c r="C248" s="28"/>
      <c r="D248" s="9"/>
      <c r="E248" s="45"/>
      <c r="F248" s="29"/>
      <c r="G248" s="29"/>
      <c r="H248" s="29"/>
      <c r="I248" s="43"/>
      <c r="J248" s="43"/>
      <c r="K248" s="29"/>
      <c r="L248" s="29"/>
    </row>
    <row r="249" spans="1:12" x14ac:dyDescent="0.25">
      <c r="A249" s="4"/>
      <c r="B249" s="28" t="str">
        <f>IF(ISNUMBER(MATCH(D249, Mgt_Unit!$C$5:$C$1018, 0)), INDEX(Mgt_Unit!$B$5:$B$1018, MATCH(D249, Mgt_Unit!$C$5:$C$1018, 0)), "")</f>
        <v/>
      </c>
      <c r="C249" s="28"/>
      <c r="D249" s="9"/>
      <c r="E249" s="45"/>
      <c r="F249" s="29"/>
      <c r="G249" s="29"/>
      <c r="H249" s="29"/>
      <c r="I249" s="43"/>
      <c r="J249" s="43"/>
      <c r="K249" s="29"/>
      <c r="L249" s="29"/>
    </row>
    <row r="250" spans="1:12" x14ac:dyDescent="0.25">
      <c r="A250" s="4"/>
      <c r="B250" s="28" t="str">
        <f>IF(ISNUMBER(MATCH(D250, Mgt_Unit!$C$5:$C$1018, 0)), INDEX(Mgt_Unit!$B$5:$B$1018, MATCH(D250, Mgt_Unit!$C$5:$C$1018, 0)), "")</f>
        <v/>
      </c>
      <c r="C250" s="28"/>
      <c r="D250" s="9"/>
      <c r="E250" s="45"/>
      <c r="F250" s="29"/>
      <c r="G250" s="29"/>
      <c r="H250" s="29"/>
      <c r="I250" s="43"/>
      <c r="J250" s="43"/>
      <c r="K250" s="29"/>
      <c r="L250" s="29"/>
    </row>
    <row r="251" spans="1:12" x14ac:dyDescent="0.25">
      <c r="A251" s="4"/>
      <c r="B251" s="28" t="str">
        <f>IF(ISNUMBER(MATCH(D251, Mgt_Unit!$C$5:$C$1018, 0)), INDEX(Mgt_Unit!$B$5:$B$1018, MATCH(D251, Mgt_Unit!$C$5:$C$1018, 0)), "")</f>
        <v/>
      </c>
      <c r="C251" s="28"/>
      <c r="D251" s="9"/>
      <c r="E251" s="45"/>
      <c r="F251" s="29"/>
      <c r="G251" s="29"/>
      <c r="H251" s="29"/>
      <c r="I251" s="43"/>
      <c r="J251" s="43"/>
      <c r="K251" s="29"/>
      <c r="L251" s="29"/>
    </row>
    <row r="252" spans="1:12" x14ac:dyDescent="0.25">
      <c r="A252" s="4"/>
      <c r="B252" s="28" t="str">
        <f>IF(ISNUMBER(MATCH(D252, Mgt_Unit!$C$5:$C$1018, 0)), INDEX(Mgt_Unit!$B$5:$B$1018, MATCH(D252, Mgt_Unit!$C$5:$C$1018, 0)), "")</f>
        <v/>
      </c>
      <c r="C252" s="28"/>
      <c r="D252" s="9"/>
      <c r="E252" s="45"/>
      <c r="F252" s="29"/>
      <c r="G252" s="29"/>
      <c r="H252" s="29"/>
      <c r="I252" s="43"/>
      <c r="J252" s="43"/>
      <c r="K252" s="29"/>
      <c r="L252" s="29"/>
    </row>
    <row r="253" spans="1:12" x14ac:dyDescent="0.25">
      <c r="A253" s="4"/>
      <c r="B253" s="28" t="str">
        <f>IF(ISNUMBER(MATCH(D253, Mgt_Unit!$C$5:$C$1018, 0)), INDEX(Mgt_Unit!$B$5:$B$1018, MATCH(D253, Mgt_Unit!$C$5:$C$1018, 0)), "")</f>
        <v/>
      </c>
      <c r="C253" s="28"/>
      <c r="D253" s="9"/>
      <c r="E253" s="45"/>
      <c r="F253" s="29"/>
      <c r="G253" s="29"/>
      <c r="H253" s="29"/>
      <c r="I253" s="43"/>
      <c r="J253" s="43"/>
      <c r="K253" s="29"/>
      <c r="L253" s="29"/>
    </row>
    <row r="254" spans="1:12" x14ac:dyDescent="0.25">
      <c r="A254" s="4"/>
      <c r="B254" s="28" t="str">
        <f>IF(ISNUMBER(MATCH(D254, Mgt_Unit!$C$5:$C$1018, 0)), INDEX(Mgt_Unit!$B$5:$B$1018, MATCH(D254, Mgt_Unit!$C$5:$C$1018, 0)), "")</f>
        <v/>
      </c>
      <c r="C254" s="28"/>
      <c r="D254" s="9"/>
      <c r="E254" s="45"/>
      <c r="F254" s="29"/>
      <c r="G254" s="29"/>
      <c r="H254" s="29"/>
      <c r="I254" s="43"/>
      <c r="J254" s="43"/>
      <c r="K254" s="29"/>
      <c r="L254" s="29"/>
    </row>
    <row r="255" spans="1:12" x14ac:dyDescent="0.25">
      <c r="A255" s="4"/>
      <c r="B255" s="28" t="str">
        <f>IF(ISNUMBER(MATCH(D255, Mgt_Unit!$C$5:$C$1018, 0)), INDEX(Mgt_Unit!$B$5:$B$1018, MATCH(D255, Mgt_Unit!$C$5:$C$1018, 0)), "")</f>
        <v/>
      </c>
      <c r="C255" s="28"/>
      <c r="D255" s="9"/>
      <c r="E255" s="45"/>
      <c r="F255" s="29"/>
      <c r="G255" s="29"/>
      <c r="H255" s="29"/>
      <c r="I255" s="43"/>
      <c r="J255" s="43"/>
      <c r="K255" s="29"/>
      <c r="L255" s="29"/>
    </row>
    <row r="256" spans="1:12" x14ac:dyDescent="0.25">
      <c r="A256" s="4"/>
      <c r="B256" s="28" t="str">
        <f>IF(ISNUMBER(MATCH(D256, Mgt_Unit!$C$5:$C$1018, 0)), INDEX(Mgt_Unit!$B$5:$B$1018, MATCH(D256, Mgt_Unit!$C$5:$C$1018, 0)), "")</f>
        <v/>
      </c>
      <c r="C256" s="28"/>
      <c r="D256" s="9"/>
      <c r="E256" s="45"/>
      <c r="F256" s="29"/>
      <c r="G256" s="29"/>
      <c r="H256" s="29"/>
      <c r="I256" s="43"/>
      <c r="J256" s="43"/>
      <c r="K256" s="29"/>
      <c r="L256" s="29"/>
    </row>
    <row r="257" spans="1:12" x14ac:dyDescent="0.25">
      <c r="A257" s="4"/>
      <c r="B257" s="28" t="str">
        <f>IF(ISNUMBER(MATCH(D257, Mgt_Unit!$C$5:$C$1018, 0)), INDEX(Mgt_Unit!$B$5:$B$1018, MATCH(D257, Mgt_Unit!$C$5:$C$1018, 0)), "")</f>
        <v/>
      </c>
      <c r="C257" s="28"/>
      <c r="D257" s="9"/>
      <c r="E257" s="45"/>
      <c r="F257" s="29"/>
      <c r="G257" s="29"/>
      <c r="H257" s="29"/>
      <c r="I257" s="43"/>
      <c r="J257" s="43"/>
      <c r="K257" s="29"/>
      <c r="L257" s="29"/>
    </row>
    <row r="258" spans="1:12" x14ac:dyDescent="0.25">
      <c r="A258" s="4"/>
      <c r="B258" s="28" t="str">
        <f>IF(ISNUMBER(MATCH(D258, Mgt_Unit!$C$5:$C$1018, 0)), INDEX(Mgt_Unit!$B$5:$B$1018, MATCH(D258, Mgt_Unit!$C$5:$C$1018, 0)), "")</f>
        <v/>
      </c>
      <c r="C258" s="28"/>
      <c r="D258" s="9"/>
      <c r="E258" s="45"/>
      <c r="F258" s="29"/>
      <c r="G258" s="29"/>
      <c r="H258" s="29"/>
      <c r="I258" s="43"/>
      <c r="J258" s="43"/>
      <c r="K258" s="29"/>
      <c r="L258" s="29"/>
    </row>
    <row r="259" spans="1:12" x14ac:dyDescent="0.25">
      <c r="A259" s="4"/>
      <c r="B259" s="28" t="str">
        <f>IF(ISNUMBER(MATCH(D259, Mgt_Unit!$C$5:$C$1018, 0)), INDEX(Mgt_Unit!$B$5:$B$1018, MATCH(D259, Mgt_Unit!$C$5:$C$1018, 0)), "")</f>
        <v/>
      </c>
      <c r="C259" s="28"/>
      <c r="D259" s="9"/>
      <c r="E259" s="45"/>
      <c r="F259" s="29"/>
      <c r="G259" s="29"/>
      <c r="H259" s="29"/>
      <c r="I259" s="43"/>
      <c r="J259" s="43"/>
      <c r="K259" s="29"/>
      <c r="L259" s="29"/>
    </row>
    <row r="260" spans="1:12" x14ac:dyDescent="0.25">
      <c r="A260" s="4"/>
      <c r="B260" s="28" t="str">
        <f>IF(ISNUMBER(MATCH(D260, Mgt_Unit!$C$5:$C$1018, 0)), INDEX(Mgt_Unit!$B$5:$B$1018, MATCH(D260, Mgt_Unit!$C$5:$C$1018, 0)), "")</f>
        <v/>
      </c>
      <c r="C260" s="28"/>
      <c r="D260" s="9"/>
      <c r="E260" s="45"/>
      <c r="F260" s="29"/>
      <c r="G260" s="29"/>
      <c r="H260" s="29"/>
      <c r="I260" s="43"/>
      <c r="J260" s="43"/>
      <c r="K260" s="29"/>
      <c r="L260" s="29"/>
    </row>
    <row r="261" spans="1:12" x14ac:dyDescent="0.25">
      <c r="A261" s="4"/>
      <c r="B261" s="28" t="str">
        <f>IF(ISNUMBER(MATCH(D261, Mgt_Unit!$C$5:$C$1018, 0)), INDEX(Mgt_Unit!$B$5:$B$1018, MATCH(D261, Mgt_Unit!$C$5:$C$1018, 0)), "")</f>
        <v/>
      </c>
      <c r="C261" s="28"/>
      <c r="D261" s="9"/>
      <c r="E261" s="45"/>
      <c r="F261" s="29"/>
      <c r="G261" s="29"/>
      <c r="H261" s="29"/>
      <c r="I261" s="43"/>
      <c r="J261" s="43"/>
      <c r="K261" s="29"/>
      <c r="L261" s="29"/>
    </row>
    <row r="262" spans="1:12" x14ac:dyDescent="0.25">
      <c r="A262" s="4"/>
      <c r="B262" s="28" t="str">
        <f>IF(ISNUMBER(MATCH(D262, Mgt_Unit!$C$5:$C$1018, 0)), INDEX(Mgt_Unit!$B$5:$B$1018, MATCH(D262, Mgt_Unit!$C$5:$C$1018, 0)), "")</f>
        <v/>
      </c>
      <c r="C262" s="28"/>
      <c r="D262" s="9"/>
      <c r="E262" s="45"/>
      <c r="F262" s="29"/>
      <c r="G262" s="29"/>
      <c r="H262" s="29"/>
      <c r="I262" s="43"/>
      <c r="J262" s="43"/>
      <c r="K262" s="29"/>
      <c r="L262" s="29"/>
    </row>
    <row r="263" spans="1:12" x14ac:dyDescent="0.25">
      <c r="A263" s="4"/>
      <c r="B263" s="28" t="str">
        <f>IF(ISNUMBER(MATCH(D263, Mgt_Unit!$C$5:$C$1018, 0)), INDEX(Mgt_Unit!$B$5:$B$1018, MATCH(D263, Mgt_Unit!$C$5:$C$1018, 0)), "")</f>
        <v/>
      </c>
      <c r="C263" s="28"/>
      <c r="D263" s="9"/>
      <c r="E263" s="45"/>
      <c r="F263" s="29"/>
      <c r="G263" s="29"/>
      <c r="H263" s="29"/>
      <c r="I263" s="43"/>
      <c r="J263" s="43"/>
      <c r="K263" s="29"/>
      <c r="L263" s="29"/>
    </row>
    <row r="264" spans="1:12" x14ac:dyDescent="0.25">
      <c r="A264" s="4"/>
      <c r="B264" s="28" t="str">
        <f>IF(ISNUMBER(MATCH(D264, Mgt_Unit!$C$5:$C$1018, 0)), INDEX(Mgt_Unit!$B$5:$B$1018, MATCH(D264, Mgt_Unit!$C$5:$C$1018, 0)), "")</f>
        <v/>
      </c>
      <c r="C264" s="28"/>
      <c r="D264" s="9"/>
      <c r="E264" s="45"/>
      <c r="F264" s="29"/>
      <c r="G264" s="29"/>
      <c r="H264" s="29"/>
      <c r="I264" s="43"/>
      <c r="J264" s="43"/>
      <c r="K264" s="29"/>
      <c r="L264" s="29"/>
    </row>
    <row r="265" spans="1:12" x14ac:dyDescent="0.25">
      <c r="A265" s="4"/>
      <c r="B265" s="28" t="str">
        <f>IF(ISNUMBER(MATCH(D265, Mgt_Unit!$C$5:$C$1018, 0)), INDEX(Mgt_Unit!$B$5:$B$1018, MATCH(D265, Mgt_Unit!$C$5:$C$1018, 0)), "")</f>
        <v/>
      </c>
      <c r="C265" s="28"/>
      <c r="D265" s="9"/>
      <c r="E265" s="45"/>
      <c r="F265" s="29"/>
      <c r="G265" s="29"/>
      <c r="H265" s="29"/>
      <c r="I265" s="43"/>
      <c r="J265" s="43"/>
      <c r="K265" s="29"/>
      <c r="L265" s="29"/>
    </row>
    <row r="266" spans="1:12" x14ac:dyDescent="0.25">
      <c r="A266" s="4"/>
      <c r="B266" s="28" t="str">
        <f>IF(ISNUMBER(MATCH(D266, Mgt_Unit!$C$5:$C$1018, 0)), INDEX(Mgt_Unit!$B$5:$B$1018, MATCH(D266, Mgt_Unit!$C$5:$C$1018, 0)), "")</f>
        <v/>
      </c>
      <c r="C266" s="28"/>
      <c r="D266" s="9"/>
      <c r="E266" s="45"/>
      <c r="F266" s="29"/>
      <c r="G266" s="29"/>
      <c r="H266" s="29"/>
      <c r="I266" s="43"/>
      <c r="J266" s="43"/>
      <c r="K266" s="29"/>
      <c r="L266" s="29"/>
    </row>
    <row r="267" spans="1:12" x14ac:dyDescent="0.25">
      <c r="A267" s="4"/>
      <c r="B267" s="28" t="str">
        <f>IF(ISNUMBER(MATCH(D267, Mgt_Unit!$C$5:$C$1018, 0)), INDEX(Mgt_Unit!$B$5:$B$1018, MATCH(D267, Mgt_Unit!$C$5:$C$1018, 0)), "")</f>
        <v/>
      </c>
      <c r="C267" s="28"/>
      <c r="D267" s="9"/>
      <c r="E267" s="45"/>
      <c r="F267" s="29"/>
      <c r="G267" s="29"/>
      <c r="H267" s="29"/>
      <c r="I267" s="43"/>
      <c r="J267" s="43"/>
      <c r="K267" s="29"/>
      <c r="L267" s="29"/>
    </row>
    <row r="268" spans="1:12" x14ac:dyDescent="0.25">
      <c r="A268" s="4"/>
      <c r="B268" s="28" t="str">
        <f>IF(ISNUMBER(MATCH(D268, Mgt_Unit!$C$5:$C$1018, 0)), INDEX(Mgt_Unit!$B$5:$B$1018, MATCH(D268, Mgt_Unit!$C$5:$C$1018, 0)), "")</f>
        <v/>
      </c>
      <c r="C268" s="28"/>
      <c r="D268" s="9"/>
      <c r="E268" s="45"/>
      <c r="F268" s="29"/>
      <c r="G268" s="29"/>
      <c r="H268" s="29"/>
      <c r="I268" s="43"/>
      <c r="J268" s="43"/>
      <c r="K268" s="29"/>
      <c r="L268" s="29"/>
    </row>
    <row r="269" spans="1:12" x14ac:dyDescent="0.25">
      <c r="A269" s="4"/>
      <c r="B269" s="28" t="str">
        <f>IF(ISNUMBER(MATCH(D269, Mgt_Unit!$C$5:$C$1018, 0)), INDEX(Mgt_Unit!$B$5:$B$1018, MATCH(D269, Mgt_Unit!$C$5:$C$1018, 0)), "")</f>
        <v/>
      </c>
      <c r="C269" s="28"/>
      <c r="D269" s="9"/>
      <c r="E269" s="45"/>
      <c r="F269" s="29"/>
      <c r="G269" s="29"/>
      <c r="H269" s="29"/>
      <c r="I269" s="43"/>
      <c r="J269" s="43"/>
      <c r="K269" s="29"/>
      <c r="L269" s="29"/>
    </row>
    <row r="270" spans="1:12" x14ac:dyDescent="0.25">
      <c r="A270" s="4"/>
      <c r="B270" s="28" t="str">
        <f>IF(ISNUMBER(MATCH(D270, Mgt_Unit!$C$5:$C$1018, 0)), INDEX(Mgt_Unit!$B$5:$B$1018, MATCH(D270, Mgt_Unit!$C$5:$C$1018, 0)), "")</f>
        <v/>
      </c>
      <c r="C270" s="28"/>
      <c r="D270" s="9"/>
      <c r="E270" s="45"/>
      <c r="F270" s="29"/>
      <c r="G270" s="29"/>
      <c r="H270" s="29"/>
      <c r="I270" s="43"/>
      <c r="J270" s="43"/>
      <c r="K270" s="29"/>
      <c r="L270" s="29"/>
    </row>
    <row r="271" spans="1:12" x14ac:dyDescent="0.25">
      <c r="A271" s="4"/>
      <c r="B271" s="28" t="str">
        <f>IF(ISNUMBER(MATCH(D271, Mgt_Unit!$C$5:$C$1018, 0)), INDEX(Mgt_Unit!$B$5:$B$1018, MATCH(D271, Mgt_Unit!$C$5:$C$1018, 0)), "")</f>
        <v/>
      </c>
      <c r="C271" s="28"/>
      <c r="D271" s="9"/>
      <c r="E271" s="45"/>
      <c r="F271" s="29"/>
      <c r="G271" s="29"/>
      <c r="H271" s="29"/>
      <c r="I271" s="43"/>
      <c r="J271" s="43"/>
      <c r="K271" s="29"/>
      <c r="L271" s="29"/>
    </row>
    <row r="272" spans="1:12" x14ac:dyDescent="0.25">
      <c r="A272" s="4"/>
      <c r="B272" s="28" t="str">
        <f>IF(ISNUMBER(MATCH(D272, Mgt_Unit!$C$5:$C$1018, 0)), INDEX(Mgt_Unit!$B$5:$B$1018, MATCH(D272, Mgt_Unit!$C$5:$C$1018, 0)), "")</f>
        <v/>
      </c>
      <c r="C272" s="28"/>
      <c r="D272" s="9"/>
      <c r="E272" s="45"/>
      <c r="F272" s="29"/>
      <c r="G272" s="29"/>
      <c r="H272" s="29"/>
      <c r="I272" s="43"/>
      <c r="J272" s="43"/>
      <c r="K272" s="29"/>
      <c r="L272" s="29"/>
    </row>
    <row r="273" spans="1:12" x14ac:dyDescent="0.25">
      <c r="A273" s="4"/>
      <c r="B273" s="28" t="str">
        <f>IF(ISNUMBER(MATCH(D273, Mgt_Unit!$C$5:$C$1018, 0)), INDEX(Mgt_Unit!$B$5:$B$1018, MATCH(D273, Mgt_Unit!$C$5:$C$1018, 0)), "")</f>
        <v/>
      </c>
      <c r="C273" s="28"/>
      <c r="D273" s="9"/>
      <c r="E273" s="45"/>
      <c r="F273" s="29"/>
      <c r="G273" s="29"/>
      <c r="H273" s="29"/>
      <c r="I273" s="43"/>
      <c r="J273" s="43"/>
      <c r="K273" s="29"/>
      <c r="L273" s="29"/>
    </row>
    <row r="274" spans="1:12" x14ac:dyDescent="0.25">
      <c r="A274" s="4"/>
      <c r="B274" s="28" t="str">
        <f>IF(ISNUMBER(MATCH(D274, Mgt_Unit!$C$5:$C$1018, 0)), INDEX(Mgt_Unit!$B$5:$B$1018, MATCH(D274, Mgt_Unit!$C$5:$C$1018, 0)), "")</f>
        <v/>
      </c>
      <c r="C274" s="28"/>
      <c r="D274" s="9"/>
      <c r="E274" s="45"/>
      <c r="F274" s="29"/>
      <c r="G274" s="29"/>
      <c r="H274" s="29"/>
      <c r="I274" s="43"/>
      <c r="J274" s="43"/>
      <c r="K274" s="29"/>
      <c r="L274" s="29"/>
    </row>
    <row r="275" spans="1:12" x14ac:dyDescent="0.25">
      <c r="A275" s="4"/>
      <c r="B275" s="28" t="str">
        <f>IF(ISNUMBER(MATCH(D275, Mgt_Unit!$C$5:$C$1018, 0)), INDEX(Mgt_Unit!$B$5:$B$1018, MATCH(D275, Mgt_Unit!$C$5:$C$1018, 0)), "")</f>
        <v/>
      </c>
      <c r="C275" s="28"/>
      <c r="D275" s="9"/>
      <c r="E275" s="45"/>
      <c r="F275" s="29"/>
      <c r="G275" s="29"/>
      <c r="H275" s="29"/>
      <c r="I275" s="43"/>
      <c r="J275" s="43"/>
      <c r="K275" s="29"/>
      <c r="L275" s="29"/>
    </row>
    <row r="276" spans="1:12" x14ac:dyDescent="0.25">
      <c r="A276" s="4"/>
      <c r="B276" s="28" t="str">
        <f>IF(ISNUMBER(MATCH(D276, Mgt_Unit!$C$5:$C$1018, 0)), INDEX(Mgt_Unit!$B$5:$B$1018, MATCH(D276, Mgt_Unit!$C$5:$C$1018, 0)), "")</f>
        <v/>
      </c>
      <c r="C276" s="28"/>
      <c r="D276" s="9"/>
      <c r="E276" s="45"/>
      <c r="F276" s="29"/>
      <c r="G276" s="29"/>
      <c r="H276" s="29"/>
      <c r="I276" s="43"/>
      <c r="J276" s="43"/>
      <c r="K276" s="29"/>
      <c r="L276" s="29"/>
    </row>
    <row r="277" spans="1:12" x14ac:dyDescent="0.25">
      <c r="A277" s="4"/>
      <c r="B277" s="28" t="str">
        <f>IF(ISNUMBER(MATCH(D277, Mgt_Unit!$C$5:$C$1018, 0)), INDEX(Mgt_Unit!$B$5:$B$1018, MATCH(D277, Mgt_Unit!$C$5:$C$1018, 0)), "")</f>
        <v/>
      </c>
      <c r="C277" s="28"/>
      <c r="D277" s="9"/>
      <c r="E277" s="45"/>
      <c r="F277" s="29"/>
      <c r="G277" s="29"/>
      <c r="H277" s="29"/>
      <c r="I277" s="43"/>
      <c r="J277" s="43"/>
      <c r="K277" s="29"/>
      <c r="L277" s="29"/>
    </row>
    <row r="278" spans="1:12" x14ac:dyDescent="0.25">
      <c r="A278" s="4"/>
      <c r="B278" s="28" t="str">
        <f>IF(ISNUMBER(MATCH(D278, Mgt_Unit!$C$5:$C$1018, 0)), INDEX(Mgt_Unit!$B$5:$B$1018, MATCH(D278, Mgt_Unit!$C$5:$C$1018, 0)), "")</f>
        <v/>
      </c>
      <c r="C278" s="28"/>
      <c r="D278" s="9"/>
      <c r="E278" s="45"/>
      <c r="F278" s="29"/>
      <c r="G278" s="29"/>
      <c r="H278" s="29"/>
      <c r="I278" s="43"/>
      <c r="J278" s="43"/>
      <c r="K278" s="29"/>
      <c r="L278" s="29"/>
    </row>
    <row r="279" spans="1:12" x14ac:dyDescent="0.25">
      <c r="A279" s="4"/>
      <c r="B279" s="28" t="str">
        <f>IF(ISNUMBER(MATCH(D279, Mgt_Unit!$C$5:$C$1018, 0)), INDEX(Mgt_Unit!$B$5:$B$1018, MATCH(D279, Mgt_Unit!$C$5:$C$1018, 0)), "")</f>
        <v/>
      </c>
      <c r="C279" s="28"/>
      <c r="D279" s="9"/>
      <c r="E279" s="45"/>
      <c r="F279" s="29"/>
      <c r="G279" s="29"/>
      <c r="H279" s="29"/>
      <c r="I279" s="43"/>
      <c r="J279" s="43"/>
      <c r="K279" s="29"/>
      <c r="L279" s="29"/>
    </row>
    <row r="280" spans="1:12" x14ac:dyDescent="0.25">
      <c r="A280" s="4"/>
      <c r="B280" s="28" t="str">
        <f>IF(ISNUMBER(MATCH(D280, Mgt_Unit!$C$5:$C$1018, 0)), INDEX(Mgt_Unit!$B$5:$B$1018, MATCH(D280, Mgt_Unit!$C$5:$C$1018, 0)), "")</f>
        <v/>
      </c>
      <c r="C280" s="28"/>
      <c r="D280" s="9"/>
      <c r="E280" s="45"/>
      <c r="F280" s="29"/>
      <c r="G280" s="29"/>
      <c r="H280" s="29"/>
      <c r="I280" s="43"/>
      <c r="J280" s="43"/>
      <c r="K280" s="29"/>
      <c r="L280" s="29"/>
    </row>
    <row r="281" spans="1:12" x14ac:dyDescent="0.25">
      <c r="A281" s="4"/>
      <c r="B281" s="28" t="str">
        <f>IF(ISNUMBER(MATCH(D281, Mgt_Unit!$C$5:$C$1018, 0)), INDEX(Mgt_Unit!$B$5:$B$1018, MATCH(D281, Mgt_Unit!$C$5:$C$1018, 0)), "")</f>
        <v/>
      </c>
      <c r="C281" s="28"/>
      <c r="D281" s="9"/>
      <c r="E281" s="45"/>
      <c r="F281" s="29"/>
      <c r="G281" s="29"/>
      <c r="H281" s="29"/>
      <c r="I281" s="43"/>
      <c r="J281" s="43"/>
      <c r="K281" s="29"/>
      <c r="L281" s="29"/>
    </row>
    <row r="282" spans="1:12" x14ac:dyDescent="0.25">
      <c r="A282" s="4"/>
      <c r="B282" s="28" t="str">
        <f>IF(ISNUMBER(MATCH(D282, Mgt_Unit!$C$5:$C$1018, 0)), INDEX(Mgt_Unit!$B$5:$B$1018, MATCH(D282, Mgt_Unit!$C$5:$C$1018, 0)), "")</f>
        <v/>
      </c>
      <c r="C282" s="28"/>
      <c r="D282" s="9"/>
      <c r="E282" s="45"/>
      <c r="F282" s="29"/>
      <c r="G282" s="29"/>
      <c r="H282" s="29"/>
      <c r="I282" s="43"/>
      <c r="J282" s="43"/>
      <c r="K282" s="29"/>
      <c r="L282" s="29"/>
    </row>
    <row r="283" spans="1:12" x14ac:dyDescent="0.25">
      <c r="A283" s="4"/>
      <c r="B283" s="28" t="str">
        <f>IF(ISNUMBER(MATCH(D283, Mgt_Unit!$C$5:$C$1018, 0)), INDEX(Mgt_Unit!$B$5:$B$1018, MATCH(D283, Mgt_Unit!$C$5:$C$1018, 0)), "")</f>
        <v/>
      </c>
      <c r="C283" s="28"/>
      <c r="D283" s="9"/>
      <c r="E283" s="45"/>
      <c r="F283" s="29"/>
      <c r="G283" s="29"/>
      <c r="H283" s="29"/>
      <c r="I283" s="43"/>
      <c r="J283" s="43"/>
      <c r="K283" s="29"/>
      <c r="L283" s="29"/>
    </row>
    <row r="284" spans="1:12" x14ac:dyDescent="0.25">
      <c r="A284" s="4"/>
      <c r="B284" s="28" t="str">
        <f>IF(ISNUMBER(MATCH(D284, Mgt_Unit!$C$5:$C$1018, 0)), INDEX(Mgt_Unit!$B$5:$B$1018, MATCH(D284, Mgt_Unit!$C$5:$C$1018, 0)), "")</f>
        <v/>
      </c>
      <c r="C284" s="28"/>
      <c r="D284" s="9"/>
      <c r="E284" s="45"/>
      <c r="F284" s="29"/>
      <c r="G284" s="29"/>
      <c r="H284" s="29"/>
      <c r="I284" s="43"/>
      <c r="J284" s="43"/>
      <c r="K284" s="29"/>
      <c r="L284" s="29"/>
    </row>
    <row r="285" spans="1:12" x14ac:dyDescent="0.25">
      <c r="A285" s="4"/>
      <c r="B285" s="28" t="str">
        <f>IF(ISNUMBER(MATCH(D285, Mgt_Unit!$C$5:$C$1018, 0)), INDEX(Mgt_Unit!$B$5:$B$1018, MATCH(D285, Mgt_Unit!$C$5:$C$1018, 0)), "")</f>
        <v/>
      </c>
      <c r="C285" s="28"/>
      <c r="D285" s="9"/>
      <c r="E285" s="45"/>
      <c r="F285" s="29"/>
      <c r="G285" s="29"/>
      <c r="H285" s="29"/>
      <c r="I285" s="43"/>
      <c r="J285" s="43"/>
      <c r="K285" s="29"/>
      <c r="L285" s="29"/>
    </row>
    <row r="286" spans="1:12" x14ac:dyDescent="0.25">
      <c r="A286" s="4"/>
      <c r="B286" s="28" t="str">
        <f>IF(ISNUMBER(MATCH(D286, Mgt_Unit!$C$5:$C$1018, 0)), INDEX(Mgt_Unit!$B$5:$B$1018, MATCH(D286, Mgt_Unit!$C$5:$C$1018, 0)), "")</f>
        <v/>
      </c>
      <c r="C286" s="28"/>
      <c r="D286" s="9"/>
      <c r="E286" s="45"/>
      <c r="F286" s="29"/>
      <c r="G286" s="29"/>
      <c r="H286" s="29"/>
      <c r="I286" s="43"/>
      <c r="J286" s="43"/>
      <c r="K286" s="29"/>
      <c r="L286" s="29"/>
    </row>
    <row r="287" spans="1:12" x14ac:dyDescent="0.25">
      <c r="A287" s="4"/>
      <c r="B287" s="28" t="str">
        <f>IF(ISNUMBER(MATCH(D287, Mgt_Unit!$C$5:$C$1018, 0)), INDEX(Mgt_Unit!$B$5:$B$1018, MATCH(D287, Mgt_Unit!$C$5:$C$1018, 0)), "")</f>
        <v/>
      </c>
      <c r="C287" s="28"/>
      <c r="D287" s="9"/>
      <c r="E287" s="45"/>
      <c r="F287" s="29"/>
      <c r="G287" s="29"/>
      <c r="H287" s="29"/>
      <c r="I287" s="43"/>
      <c r="J287" s="43"/>
      <c r="K287" s="29"/>
      <c r="L287" s="29"/>
    </row>
    <row r="288" spans="1:12" x14ac:dyDescent="0.25">
      <c r="A288" s="4"/>
      <c r="B288" s="28" t="str">
        <f>IF(ISNUMBER(MATCH(D288, Mgt_Unit!$C$5:$C$1018, 0)), INDEX(Mgt_Unit!$B$5:$B$1018, MATCH(D288, Mgt_Unit!$C$5:$C$1018, 0)), "")</f>
        <v/>
      </c>
      <c r="C288" s="28"/>
      <c r="D288" s="9"/>
      <c r="E288" s="45"/>
      <c r="F288" s="29"/>
      <c r="G288" s="29"/>
      <c r="H288" s="29"/>
      <c r="I288" s="43"/>
      <c r="J288" s="43"/>
      <c r="K288" s="29"/>
      <c r="L288" s="29"/>
    </row>
    <row r="289" spans="1:12" x14ac:dyDescent="0.25">
      <c r="A289" s="4"/>
      <c r="B289" s="28" t="str">
        <f>IF(ISNUMBER(MATCH(D289, Mgt_Unit!$C$5:$C$1018, 0)), INDEX(Mgt_Unit!$B$5:$B$1018, MATCH(D289, Mgt_Unit!$C$5:$C$1018, 0)), "")</f>
        <v/>
      </c>
      <c r="C289" s="28"/>
      <c r="D289" s="9"/>
      <c r="E289" s="45"/>
      <c r="F289" s="29"/>
      <c r="G289" s="29"/>
      <c r="H289" s="29"/>
      <c r="I289" s="43"/>
      <c r="J289" s="43"/>
      <c r="K289" s="29"/>
      <c r="L289" s="29"/>
    </row>
    <row r="290" spans="1:12" x14ac:dyDescent="0.25">
      <c r="A290" s="4"/>
      <c r="B290" s="28" t="str">
        <f>IF(ISNUMBER(MATCH(D290, Mgt_Unit!$C$5:$C$1018, 0)), INDEX(Mgt_Unit!$B$5:$B$1018, MATCH(D290, Mgt_Unit!$C$5:$C$1018, 0)), "")</f>
        <v/>
      </c>
      <c r="C290" s="28"/>
      <c r="D290" s="9"/>
      <c r="E290" s="45"/>
      <c r="F290" s="29"/>
      <c r="G290" s="29"/>
      <c r="H290" s="29"/>
      <c r="I290" s="43"/>
      <c r="J290" s="43"/>
      <c r="K290" s="29"/>
      <c r="L290" s="29"/>
    </row>
    <row r="291" spans="1:12" x14ac:dyDescent="0.25">
      <c r="A291" s="4"/>
      <c r="B291" s="28" t="str">
        <f>IF(ISNUMBER(MATCH(D291, Mgt_Unit!$C$5:$C$1018, 0)), INDEX(Mgt_Unit!$B$5:$B$1018, MATCH(D291, Mgt_Unit!$C$5:$C$1018, 0)), "")</f>
        <v/>
      </c>
      <c r="C291" s="28"/>
      <c r="D291" s="9"/>
      <c r="E291" s="45"/>
      <c r="F291" s="29"/>
      <c r="G291" s="29"/>
      <c r="H291" s="29"/>
      <c r="I291" s="43"/>
      <c r="J291" s="43"/>
      <c r="K291" s="29"/>
      <c r="L291" s="29"/>
    </row>
    <row r="292" spans="1:12" x14ac:dyDescent="0.25">
      <c r="A292" s="4"/>
      <c r="B292" s="28" t="str">
        <f>IF(ISNUMBER(MATCH(D292, Mgt_Unit!$C$5:$C$1018, 0)), INDEX(Mgt_Unit!$B$5:$B$1018, MATCH(D292, Mgt_Unit!$C$5:$C$1018, 0)), "")</f>
        <v/>
      </c>
      <c r="C292" s="28"/>
      <c r="D292" s="9"/>
      <c r="E292" s="45"/>
      <c r="F292" s="29"/>
      <c r="G292" s="29"/>
      <c r="H292" s="29"/>
      <c r="I292" s="43"/>
      <c r="J292" s="43"/>
      <c r="K292" s="29"/>
      <c r="L292" s="29"/>
    </row>
    <row r="293" spans="1:12" x14ac:dyDescent="0.25">
      <c r="A293" s="4"/>
      <c r="B293" s="28" t="str">
        <f>IF(ISNUMBER(MATCH(D293, Mgt_Unit!$C$5:$C$1018, 0)), INDEX(Mgt_Unit!$B$5:$B$1018, MATCH(D293, Mgt_Unit!$C$5:$C$1018, 0)), "")</f>
        <v/>
      </c>
      <c r="C293" s="28"/>
      <c r="D293" s="9"/>
      <c r="E293" s="45"/>
      <c r="F293" s="29"/>
      <c r="G293" s="29"/>
      <c r="H293" s="29"/>
      <c r="I293" s="43"/>
      <c r="J293" s="43"/>
      <c r="K293" s="29"/>
      <c r="L293" s="29"/>
    </row>
    <row r="294" spans="1:12" x14ac:dyDescent="0.25">
      <c r="A294" s="4"/>
      <c r="B294" s="28" t="str">
        <f>IF(ISNUMBER(MATCH(D294, Mgt_Unit!$C$5:$C$1018, 0)), INDEX(Mgt_Unit!$B$5:$B$1018, MATCH(D294, Mgt_Unit!$C$5:$C$1018, 0)), "")</f>
        <v/>
      </c>
      <c r="C294" s="28"/>
      <c r="D294" s="9"/>
      <c r="E294" s="45"/>
      <c r="F294" s="29"/>
      <c r="G294" s="29"/>
      <c r="H294" s="29"/>
      <c r="I294" s="43"/>
      <c r="J294" s="43"/>
      <c r="K294" s="29"/>
      <c r="L294" s="29"/>
    </row>
    <row r="295" spans="1:12" x14ac:dyDescent="0.25">
      <c r="A295" s="4"/>
      <c r="B295" s="28" t="str">
        <f>IF(ISNUMBER(MATCH(D295, Mgt_Unit!$C$5:$C$1018, 0)), INDEX(Mgt_Unit!$B$5:$B$1018, MATCH(D295, Mgt_Unit!$C$5:$C$1018, 0)), "")</f>
        <v/>
      </c>
      <c r="C295" s="28"/>
      <c r="D295" s="9"/>
      <c r="E295" s="45"/>
      <c r="F295" s="29"/>
      <c r="G295" s="29"/>
      <c r="H295" s="29"/>
      <c r="I295" s="43"/>
      <c r="J295" s="43"/>
      <c r="K295" s="29"/>
      <c r="L295" s="29"/>
    </row>
    <row r="296" spans="1:12" x14ac:dyDescent="0.25">
      <c r="A296" s="4"/>
      <c r="B296" s="28" t="str">
        <f>IF(ISNUMBER(MATCH(D296, Mgt_Unit!$C$5:$C$1018, 0)), INDEX(Mgt_Unit!$B$5:$B$1018, MATCH(D296, Mgt_Unit!$C$5:$C$1018, 0)), "")</f>
        <v/>
      </c>
      <c r="C296" s="28"/>
      <c r="D296" s="9"/>
      <c r="E296" s="45"/>
      <c r="F296" s="29"/>
      <c r="G296" s="29"/>
      <c r="H296" s="29"/>
      <c r="I296" s="43"/>
      <c r="J296" s="43"/>
      <c r="K296" s="29"/>
      <c r="L296" s="29"/>
    </row>
    <row r="297" spans="1:12" x14ac:dyDescent="0.25">
      <c r="A297" s="4"/>
      <c r="B297" s="28" t="str">
        <f>IF(ISNUMBER(MATCH(D297, Mgt_Unit!$C$5:$C$1018, 0)), INDEX(Mgt_Unit!$B$5:$B$1018, MATCH(D297, Mgt_Unit!$C$5:$C$1018, 0)), "")</f>
        <v/>
      </c>
      <c r="C297" s="28"/>
      <c r="D297" s="9"/>
      <c r="E297" s="45"/>
      <c r="F297" s="29"/>
      <c r="G297" s="29"/>
      <c r="H297" s="29"/>
      <c r="I297" s="43"/>
      <c r="J297" s="43"/>
      <c r="K297" s="29"/>
      <c r="L297" s="29"/>
    </row>
    <row r="298" spans="1:12" x14ac:dyDescent="0.25">
      <c r="A298" s="4"/>
      <c r="B298" s="28" t="str">
        <f>IF(ISNUMBER(MATCH(D298, Mgt_Unit!$C$5:$C$1018, 0)), INDEX(Mgt_Unit!$B$5:$B$1018, MATCH(D298, Mgt_Unit!$C$5:$C$1018, 0)), "")</f>
        <v/>
      </c>
      <c r="C298" s="28"/>
      <c r="D298" s="9"/>
      <c r="E298" s="45"/>
      <c r="F298" s="29"/>
      <c r="G298" s="29"/>
      <c r="H298" s="29"/>
      <c r="I298" s="43"/>
      <c r="J298" s="43"/>
      <c r="K298" s="29"/>
      <c r="L298" s="29"/>
    </row>
    <row r="299" spans="1:12" x14ac:dyDescent="0.25">
      <c r="A299" s="4"/>
      <c r="B299" s="28" t="str">
        <f>IF(ISNUMBER(MATCH(D299, Mgt_Unit!$C$5:$C$1018, 0)), INDEX(Mgt_Unit!$B$5:$B$1018, MATCH(D299, Mgt_Unit!$C$5:$C$1018, 0)), "")</f>
        <v/>
      </c>
      <c r="C299" s="28"/>
      <c r="D299" s="9"/>
      <c r="E299" s="45"/>
      <c r="F299" s="29"/>
      <c r="G299" s="29"/>
      <c r="H299" s="29"/>
      <c r="I299" s="43"/>
      <c r="J299" s="43"/>
      <c r="K299" s="29"/>
      <c r="L299" s="29"/>
    </row>
    <row r="300" spans="1:12" x14ac:dyDescent="0.25">
      <c r="A300" s="4"/>
      <c r="B300" s="28" t="str">
        <f>IF(ISNUMBER(MATCH(D300, Mgt_Unit!$C$5:$C$1018, 0)), INDEX(Mgt_Unit!$B$5:$B$1018, MATCH(D300, Mgt_Unit!$C$5:$C$1018, 0)), "")</f>
        <v/>
      </c>
      <c r="C300" s="28"/>
      <c r="D300" s="9"/>
      <c r="E300" s="45"/>
      <c r="F300" s="29"/>
      <c r="G300" s="29"/>
      <c r="H300" s="29"/>
      <c r="I300" s="43"/>
      <c r="J300" s="43"/>
      <c r="K300" s="29"/>
      <c r="L300" s="29"/>
    </row>
    <row r="301" spans="1:12" x14ac:dyDescent="0.25">
      <c r="A301" s="4"/>
      <c r="B301" s="28" t="str">
        <f>IF(ISNUMBER(MATCH(D301, Mgt_Unit!$C$5:$C$1018, 0)), INDEX(Mgt_Unit!$B$5:$B$1018, MATCH(D301, Mgt_Unit!$C$5:$C$1018, 0)), "")</f>
        <v/>
      </c>
      <c r="C301" s="28"/>
      <c r="D301" s="9"/>
      <c r="E301" s="45"/>
      <c r="F301" s="29"/>
      <c r="G301" s="29"/>
      <c r="H301" s="29"/>
      <c r="I301" s="43"/>
      <c r="J301" s="43"/>
      <c r="K301" s="29"/>
      <c r="L301" s="29"/>
    </row>
    <row r="302" spans="1:12" x14ac:dyDescent="0.25">
      <c r="A302" s="4"/>
      <c r="B302" s="28" t="str">
        <f>IF(ISNUMBER(MATCH(D302, Mgt_Unit!$C$5:$C$1018, 0)), INDEX(Mgt_Unit!$B$5:$B$1018, MATCH(D302, Mgt_Unit!$C$5:$C$1018, 0)), "")</f>
        <v/>
      </c>
      <c r="C302" s="28"/>
      <c r="D302" s="9"/>
      <c r="E302" s="45"/>
      <c r="F302" s="29"/>
      <c r="G302" s="29"/>
      <c r="H302" s="29"/>
      <c r="I302" s="43"/>
      <c r="J302" s="43"/>
      <c r="K302" s="29"/>
      <c r="L302" s="29"/>
    </row>
    <row r="303" spans="1:12" x14ac:dyDescent="0.25">
      <c r="A303" s="4"/>
      <c r="B303" s="28" t="str">
        <f>IF(ISNUMBER(MATCH(D303, Mgt_Unit!$C$5:$C$1018, 0)), INDEX(Mgt_Unit!$B$5:$B$1018, MATCH(D303, Mgt_Unit!$C$5:$C$1018, 0)), "")</f>
        <v/>
      </c>
      <c r="C303" s="28"/>
      <c r="D303" s="9"/>
      <c r="E303" s="45"/>
      <c r="F303" s="29"/>
      <c r="G303" s="29"/>
      <c r="H303" s="29"/>
      <c r="I303" s="43"/>
      <c r="J303" s="43"/>
      <c r="K303" s="29"/>
      <c r="L303" s="29"/>
    </row>
    <row r="304" spans="1:12" x14ac:dyDescent="0.25">
      <c r="A304" s="4"/>
      <c r="B304" s="28" t="str">
        <f>IF(ISNUMBER(MATCH(D304, Mgt_Unit!$C$5:$C$1018, 0)), INDEX(Mgt_Unit!$B$5:$B$1018, MATCH(D304, Mgt_Unit!$C$5:$C$1018, 0)), "")</f>
        <v/>
      </c>
      <c r="C304" s="28"/>
      <c r="D304" s="9"/>
      <c r="E304" s="45"/>
      <c r="F304" s="29"/>
      <c r="G304" s="29"/>
      <c r="H304" s="29"/>
      <c r="I304" s="43"/>
      <c r="J304" s="43"/>
      <c r="K304" s="29"/>
      <c r="L304" s="29"/>
    </row>
    <row r="305" spans="1:12" x14ac:dyDescent="0.25">
      <c r="A305" s="4"/>
      <c r="B305" s="28" t="str">
        <f>IF(ISNUMBER(MATCH(D305, Mgt_Unit!$C$5:$C$1018, 0)), INDEX(Mgt_Unit!$B$5:$B$1018, MATCH(D305, Mgt_Unit!$C$5:$C$1018, 0)), "")</f>
        <v/>
      </c>
      <c r="C305" s="28"/>
      <c r="D305" s="9"/>
      <c r="E305" s="45"/>
      <c r="F305" s="29"/>
      <c r="G305" s="29"/>
      <c r="H305" s="29"/>
      <c r="I305" s="43"/>
      <c r="J305" s="43"/>
      <c r="K305" s="29"/>
      <c r="L305" s="29"/>
    </row>
    <row r="306" spans="1:12" x14ac:dyDescent="0.25">
      <c r="A306" s="4"/>
      <c r="B306" s="28" t="str">
        <f>IF(ISNUMBER(MATCH(D306, Mgt_Unit!$C$5:$C$1018, 0)), INDEX(Mgt_Unit!$B$5:$B$1018, MATCH(D306, Mgt_Unit!$C$5:$C$1018, 0)), "")</f>
        <v/>
      </c>
      <c r="C306" s="28"/>
      <c r="D306" s="9"/>
      <c r="E306" s="45"/>
      <c r="F306" s="29"/>
      <c r="G306" s="29"/>
      <c r="H306" s="29"/>
      <c r="I306" s="43"/>
      <c r="J306" s="43"/>
      <c r="K306" s="29"/>
      <c r="L306" s="29"/>
    </row>
    <row r="307" spans="1:12" x14ac:dyDescent="0.25">
      <c r="A307" s="4"/>
      <c r="B307" s="28" t="str">
        <f>IF(ISNUMBER(MATCH(D307, Mgt_Unit!$C$5:$C$1018, 0)), INDEX(Mgt_Unit!$B$5:$B$1018, MATCH(D307, Mgt_Unit!$C$5:$C$1018, 0)), "")</f>
        <v/>
      </c>
      <c r="C307" s="28"/>
      <c r="D307" s="9"/>
      <c r="E307" s="45"/>
      <c r="F307" s="29"/>
      <c r="G307" s="29"/>
      <c r="H307" s="29"/>
      <c r="I307" s="43"/>
      <c r="J307" s="43"/>
      <c r="K307" s="29"/>
      <c r="L307" s="29"/>
    </row>
    <row r="308" spans="1:12" x14ac:dyDescent="0.25">
      <c r="A308" s="4"/>
      <c r="B308" s="28" t="str">
        <f>IF(ISNUMBER(MATCH(D308, Mgt_Unit!$C$5:$C$1018, 0)), INDEX(Mgt_Unit!$B$5:$B$1018, MATCH(D308, Mgt_Unit!$C$5:$C$1018, 0)), "")</f>
        <v/>
      </c>
      <c r="C308" s="28"/>
      <c r="D308" s="9"/>
      <c r="E308" s="45"/>
      <c r="F308" s="29"/>
      <c r="G308" s="29"/>
      <c r="H308" s="29"/>
      <c r="I308" s="43"/>
      <c r="J308" s="43"/>
      <c r="K308" s="29"/>
      <c r="L308" s="29"/>
    </row>
    <row r="309" spans="1:12" x14ac:dyDescent="0.25">
      <c r="A309" s="4"/>
      <c r="B309" s="28" t="str">
        <f>IF(ISNUMBER(MATCH(D309, Mgt_Unit!$C$5:$C$1018, 0)), INDEX(Mgt_Unit!$B$5:$B$1018, MATCH(D309, Mgt_Unit!$C$5:$C$1018, 0)), "")</f>
        <v/>
      </c>
      <c r="C309" s="28"/>
      <c r="D309" s="9"/>
      <c r="E309" s="45"/>
      <c r="F309" s="29"/>
      <c r="G309" s="29"/>
      <c r="H309" s="29"/>
      <c r="I309" s="43"/>
      <c r="J309" s="43"/>
      <c r="K309" s="29"/>
      <c r="L309" s="29"/>
    </row>
    <row r="310" spans="1:12" x14ac:dyDescent="0.25">
      <c r="A310" s="4"/>
      <c r="B310" s="28" t="str">
        <f>IF(ISNUMBER(MATCH(D310, Mgt_Unit!$C$5:$C$1018, 0)), INDEX(Mgt_Unit!$B$5:$B$1018, MATCH(D310, Mgt_Unit!$C$5:$C$1018, 0)), "")</f>
        <v/>
      </c>
      <c r="C310" s="28"/>
      <c r="D310" s="9"/>
      <c r="E310" s="45"/>
      <c r="F310" s="29"/>
      <c r="G310" s="29"/>
      <c r="H310" s="29"/>
      <c r="I310" s="43"/>
      <c r="J310" s="43"/>
      <c r="K310" s="29"/>
      <c r="L310" s="29"/>
    </row>
    <row r="311" spans="1:12" x14ac:dyDescent="0.25">
      <c r="A311" s="4"/>
      <c r="B311" s="28" t="str">
        <f>IF(ISNUMBER(MATCH(D311, Mgt_Unit!$C$5:$C$1018, 0)), INDEX(Mgt_Unit!$B$5:$B$1018, MATCH(D311, Mgt_Unit!$C$5:$C$1018, 0)), "")</f>
        <v/>
      </c>
      <c r="C311" s="28"/>
      <c r="D311" s="9"/>
      <c r="E311" s="45"/>
      <c r="F311" s="29"/>
      <c r="G311" s="29"/>
      <c r="H311" s="29"/>
      <c r="I311" s="43"/>
      <c r="J311" s="43"/>
      <c r="K311" s="29"/>
      <c r="L311" s="29"/>
    </row>
    <row r="312" spans="1:12" x14ac:dyDescent="0.25">
      <c r="A312" s="4"/>
      <c r="B312" s="28" t="str">
        <f>IF(ISNUMBER(MATCH(D312, Mgt_Unit!$C$5:$C$1018, 0)), INDEX(Mgt_Unit!$B$5:$B$1018, MATCH(D312, Mgt_Unit!$C$5:$C$1018, 0)), "")</f>
        <v/>
      </c>
      <c r="C312" s="28"/>
      <c r="D312" s="9"/>
      <c r="E312" s="45"/>
      <c r="F312" s="29"/>
      <c r="G312" s="29"/>
      <c r="H312" s="29"/>
      <c r="I312" s="43"/>
      <c r="J312" s="43"/>
      <c r="K312" s="29"/>
      <c r="L312" s="29"/>
    </row>
    <row r="313" spans="1:12" x14ac:dyDescent="0.25">
      <c r="A313" s="4"/>
      <c r="B313" s="28" t="str">
        <f>IF(ISNUMBER(MATCH(D313, Mgt_Unit!$C$5:$C$1018, 0)), INDEX(Mgt_Unit!$B$5:$B$1018, MATCH(D313, Mgt_Unit!$C$5:$C$1018, 0)), "")</f>
        <v/>
      </c>
      <c r="C313" s="28"/>
      <c r="D313" s="9"/>
      <c r="E313" s="45"/>
      <c r="F313" s="29"/>
      <c r="G313" s="29"/>
      <c r="H313" s="29"/>
      <c r="I313" s="43"/>
      <c r="J313" s="43"/>
      <c r="K313" s="29"/>
      <c r="L313" s="29"/>
    </row>
    <row r="314" spans="1:12" x14ac:dyDescent="0.25">
      <c r="A314" s="4"/>
      <c r="B314" s="28" t="str">
        <f>IF(ISNUMBER(MATCH(D314, Mgt_Unit!$C$5:$C$1018, 0)), INDEX(Mgt_Unit!$B$5:$B$1018, MATCH(D314, Mgt_Unit!$C$5:$C$1018, 0)), "")</f>
        <v/>
      </c>
      <c r="C314" s="28"/>
      <c r="D314" s="9"/>
      <c r="E314" s="45"/>
      <c r="F314" s="29"/>
      <c r="G314" s="29"/>
      <c r="H314" s="29"/>
      <c r="I314" s="43"/>
      <c r="J314" s="43"/>
      <c r="K314" s="29"/>
      <c r="L314" s="29"/>
    </row>
    <row r="315" spans="1:12" x14ac:dyDescent="0.25">
      <c r="A315" s="4"/>
      <c r="B315" s="28" t="str">
        <f>IF(ISNUMBER(MATCH(D315, Mgt_Unit!$C$5:$C$1018, 0)), INDEX(Mgt_Unit!$B$5:$B$1018, MATCH(D315, Mgt_Unit!$C$5:$C$1018, 0)), "")</f>
        <v/>
      </c>
      <c r="C315" s="28"/>
      <c r="D315" s="9"/>
      <c r="E315" s="45"/>
      <c r="F315" s="29"/>
      <c r="G315" s="29"/>
      <c r="H315" s="29"/>
      <c r="I315" s="43"/>
      <c r="J315" s="43"/>
      <c r="K315" s="29"/>
      <c r="L315" s="29"/>
    </row>
    <row r="316" spans="1:12" x14ac:dyDescent="0.25">
      <c r="A316" s="4"/>
      <c r="B316" s="28" t="str">
        <f>IF(ISNUMBER(MATCH(D316, Mgt_Unit!$C$5:$C$1018, 0)), INDEX(Mgt_Unit!$B$5:$B$1018, MATCH(D316, Mgt_Unit!$C$5:$C$1018, 0)), "")</f>
        <v/>
      </c>
      <c r="C316" s="28"/>
      <c r="D316" s="9"/>
      <c r="E316" s="45"/>
      <c r="F316" s="29"/>
      <c r="G316" s="29"/>
      <c r="H316" s="29"/>
      <c r="I316" s="43"/>
      <c r="J316" s="43"/>
      <c r="K316" s="29"/>
      <c r="L316" s="29"/>
    </row>
    <row r="317" spans="1:12" x14ac:dyDescent="0.25">
      <c r="A317" s="4"/>
      <c r="B317" s="28" t="str">
        <f>IF(ISNUMBER(MATCH(D317, Mgt_Unit!$C$5:$C$1018, 0)), INDEX(Mgt_Unit!$B$5:$B$1018, MATCH(D317, Mgt_Unit!$C$5:$C$1018, 0)), "")</f>
        <v/>
      </c>
      <c r="C317" s="28"/>
      <c r="D317" s="9"/>
      <c r="E317" s="45"/>
      <c r="F317" s="29"/>
      <c r="G317" s="29"/>
      <c r="H317" s="29"/>
      <c r="I317" s="43"/>
      <c r="J317" s="43"/>
      <c r="K317" s="29"/>
      <c r="L317" s="29"/>
    </row>
    <row r="318" spans="1:12" x14ac:dyDescent="0.25">
      <c r="A318" s="4"/>
      <c r="B318" s="28" t="str">
        <f>IF(ISNUMBER(MATCH(D318, Mgt_Unit!$C$5:$C$1018, 0)), INDEX(Mgt_Unit!$B$5:$B$1018, MATCH(D318, Mgt_Unit!$C$5:$C$1018, 0)), "")</f>
        <v/>
      </c>
      <c r="C318" s="28"/>
      <c r="D318" s="9"/>
      <c r="E318" s="45"/>
      <c r="F318" s="29"/>
      <c r="G318" s="29"/>
      <c r="H318" s="29"/>
      <c r="I318" s="43"/>
      <c r="J318" s="43"/>
      <c r="K318" s="29"/>
      <c r="L318" s="29"/>
    </row>
    <row r="319" spans="1:12" x14ac:dyDescent="0.25">
      <c r="A319" s="4"/>
      <c r="B319" s="28" t="str">
        <f>IF(ISNUMBER(MATCH(D319, Mgt_Unit!$C$5:$C$1018, 0)), INDEX(Mgt_Unit!$B$5:$B$1018, MATCH(D319, Mgt_Unit!$C$5:$C$1018, 0)), "")</f>
        <v/>
      </c>
      <c r="C319" s="28"/>
      <c r="D319" s="9"/>
      <c r="E319" s="45"/>
      <c r="F319" s="29"/>
      <c r="G319" s="29"/>
      <c r="H319" s="29"/>
      <c r="I319" s="43"/>
      <c r="J319" s="43"/>
      <c r="K319" s="29"/>
      <c r="L319" s="29"/>
    </row>
    <row r="320" spans="1:12" x14ac:dyDescent="0.25">
      <c r="A320" s="4"/>
      <c r="B320" s="28" t="str">
        <f>IF(ISNUMBER(MATCH(D320, Mgt_Unit!$C$5:$C$1018, 0)), INDEX(Mgt_Unit!$B$5:$B$1018, MATCH(D320, Mgt_Unit!$C$5:$C$1018, 0)), "")</f>
        <v/>
      </c>
      <c r="C320" s="28"/>
      <c r="D320" s="9"/>
      <c r="E320" s="45"/>
      <c r="F320" s="29"/>
      <c r="G320" s="29"/>
      <c r="H320" s="29"/>
      <c r="I320" s="43"/>
      <c r="J320" s="43"/>
      <c r="K320" s="29"/>
      <c r="L320" s="29"/>
    </row>
    <row r="321" spans="1:12" x14ac:dyDescent="0.25">
      <c r="A321" s="4"/>
      <c r="B321" s="28" t="str">
        <f>IF(ISNUMBER(MATCH(D321, Mgt_Unit!$C$5:$C$1018, 0)), INDEX(Mgt_Unit!$B$5:$B$1018, MATCH(D321, Mgt_Unit!$C$5:$C$1018, 0)), "")</f>
        <v/>
      </c>
      <c r="C321" s="28"/>
      <c r="D321" s="9"/>
      <c r="E321" s="45"/>
      <c r="F321" s="29"/>
      <c r="G321" s="29"/>
      <c r="H321" s="29"/>
      <c r="I321" s="43"/>
      <c r="J321" s="43"/>
      <c r="K321" s="29"/>
      <c r="L321" s="29"/>
    </row>
    <row r="322" spans="1:12" x14ac:dyDescent="0.25">
      <c r="A322" s="4"/>
      <c r="B322" s="28" t="str">
        <f>IF(ISNUMBER(MATCH(D322, Mgt_Unit!$C$5:$C$1018, 0)), INDEX(Mgt_Unit!$B$5:$B$1018, MATCH(D322, Mgt_Unit!$C$5:$C$1018, 0)), "")</f>
        <v/>
      </c>
      <c r="C322" s="28"/>
      <c r="D322" s="9"/>
      <c r="E322" s="45"/>
      <c r="F322" s="29"/>
      <c r="G322" s="29"/>
      <c r="H322" s="29"/>
      <c r="I322" s="43"/>
      <c r="J322" s="43"/>
      <c r="K322" s="29"/>
      <c r="L322" s="29"/>
    </row>
    <row r="323" spans="1:12" x14ac:dyDescent="0.25">
      <c r="A323" s="4"/>
      <c r="B323" s="28" t="str">
        <f>IF(ISNUMBER(MATCH(D323, Mgt_Unit!$C$5:$C$1018, 0)), INDEX(Mgt_Unit!$B$5:$B$1018, MATCH(D323, Mgt_Unit!$C$5:$C$1018, 0)), "")</f>
        <v/>
      </c>
      <c r="C323" s="28"/>
      <c r="D323" s="9"/>
      <c r="E323" s="45"/>
      <c r="F323" s="29"/>
      <c r="G323" s="29"/>
      <c r="H323" s="29"/>
      <c r="I323" s="43"/>
      <c r="J323" s="43"/>
      <c r="K323" s="29"/>
      <c r="L323" s="29"/>
    </row>
    <row r="324" spans="1:12" x14ac:dyDescent="0.25">
      <c r="A324" s="4"/>
      <c r="B324" s="28" t="str">
        <f>IF(ISNUMBER(MATCH(D324, Mgt_Unit!$C$5:$C$1018, 0)), INDEX(Mgt_Unit!$B$5:$B$1018, MATCH(D324, Mgt_Unit!$C$5:$C$1018, 0)), "")</f>
        <v/>
      </c>
      <c r="C324" s="28"/>
      <c r="D324" s="9"/>
      <c r="E324" s="45"/>
      <c r="F324" s="29"/>
      <c r="G324" s="29"/>
      <c r="H324" s="29"/>
      <c r="I324" s="43"/>
      <c r="J324" s="43"/>
      <c r="K324" s="29"/>
      <c r="L324" s="29"/>
    </row>
    <row r="325" spans="1:12" x14ac:dyDescent="0.25">
      <c r="A325" s="4"/>
      <c r="B325" s="28" t="str">
        <f>IF(ISNUMBER(MATCH(D325, Mgt_Unit!$C$5:$C$1018, 0)), INDEX(Mgt_Unit!$B$5:$B$1018, MATCH(D325, Mgt_Unit!$C$5:$C$1018, 0)), "")</f>
        <v/>
      </c>
      <c r="C325" s="28"/>
      <c r="D325" s="9"/>
      <c r="E325" s="45"/>
      <c r="F325" s="29"/>
      <c r="G325" s="29"/>
      <c r="H325" s="29"/>
      <c r="I325" s="43"/>
      <c r="J325" s="43"/>
      <c r="K325" s="29"/>
      <c r="L325" s="29"/>
    </row>
    <row r="326" spans="1:12" x14ac:dyDescent="0.25">
      <c r="A326" s="4"/>
      <c r="B326" s="28" t="str">
        <f>IF(ISNUMBER(MATCH(D326, Mgt_Unit!$C$5:$C$1018, 0)), INDEX(Mgt_Unit!$B$5:$B$1018, MATCH(D326, Mgt_Unit!$C$5:$C$1018, 0)), "")</f>
        <v/>
      </c>
      <c r="C326" s="28"/>
      <c r="D326" s="9"/>
      <c r="E326" s="45"/>
      <c r="F326" s="29"/>
      <c r="G326" s="29"/>
      <c r="H326" s="29"/>
      <c r="I326" s="43"/>
      <c r="J326" s="43"/>
      <c r="K326" s="29"/>
      <c r="L326" s="29"/>
    </row>
    <row r="327" spans="1:12" x14ac:dyDescent="0.25">
      <c r="A327" s="4"/>
      <c r="B327" s="28" t="str">
        <f>IF(ISNUMBER(MATCH(D327, Mgt_Unit!$C$5:$C$1018, 0)), INDEX(Mgt_Unit!$B$5:$B$1018, MATCH(D327, Mgt_Unit!$C$5:$C$1018, 0)), "")</f>
        <v/>
      </c>
      <c r="C327" s="28"/>
      <c r="D327" s="9"/>
      <c r="E327" s="45"/>
      <c r="F327" s="29"/>
      <c r="G327" s="29"/>
      <c r="H327" s="29"/>
      <c r="I327" s="43"/>
      <c r="J327" s="43"/>
      <c r="K327" s="29"/>
      <c r="L327" s="29"/>
    </row>
    <row r="328" spans="1:12" x14ac:dyDescent="0.25">
      <c r="A328" s="4"/>
      <c r="B328" s="28" t="str">
        <f>IF(ISNUMBER(MATCH(D328, Mgt_Unit!$C$5:$C$1018, 0)), INDEX(Mgt_Unit!$B$5:$B$1018, MATCH(D328, Mgt_Unit!$C$5:$C$1018, 0)), "")</f>
        <v/>
      </c>
      <c r="C328" s="28"/>
      <c r="D328" s="9"/>
      <c r="E328" s="45"/>
      <c r="F328" s="29"/>
      <c r="G328" s="29"/>
      <c r="H328" s="29"/>
      <c r="I328" s="43"/>
      <c r="J328" s="43"/>
      <c r="K328" s="29"/>
      <c r="L328" s="29"/>
    </row>
    <row r="329" spans="1:12" x14ac:dyDescent="0.25">
      <c r="A329" s="4"/>
      <c r="B329" s="28" t="str">
        <f>IF(ISNUMBER(MATCH(D329, Mgt_Unit!$C$5:$C$1018, 0)), INDEX(Mgt_Unit!$B$5:$B$1018, MATCH(D329, Mgt_Unit!$C$5:$C$1018, 0)), "")</f>
        <v/>
      </c>
      <c r="C329" s="28"/>
      <c r="D329" s="9"/>
      <c r="E329" s="45"/>
      <c r="F329" s="29"/>
      <c r="G329" s="29"/>
      <c r="H329" s="29"/>
      <c r="I329" s="43"/>
      <c r="J329" s="43"/>
      <c r="K329" s="29"/>
      <c r="L329" s="29"/>
    </row>
    <row r="330" spans="1:12" x14ac:dyDescent="0.25">
      <c r="A330" s="4"/>
      <c r="B330" s="28" t="str">
        <f>IF(ISNUMBER(MATCH(D330, Mgt_Unit!$C$5:$C$1018, 0)), INDEX(Mgt_Unit!$B$5:$B$1018, MATCH(D330, Mgt_Unit!$C$5:$C$1018, 0)), "")</f>
        <v/>
      </c>
      <c r="C330" s="28"/>
      <c r="D330" s="9"/>
      <c r="E330" s="45"/>
      <c r="F330" s="29"/>
      <c r="G330" s="29"/>
      <c r="H330" s="29"/>
      <c r="I330" s="43"/>
      <c r="J330" s="43"/>
      <c r="K330" s="29"/>
      <c r="L330" s="29"/>
    </row>
    <row r="331" spans="1:12" x14ac:dyDescent="0.25">
      <c r="A331" s="4"/>
      <c r="B331" s="28" t="str">
        <f>IF(ISNUMBER(MATCH(D331, Mgt_Unit!$C$5:$C$1018, 0)), INDEX(Mgt_Unit!$B$5:$B$1018, MATCH(D331, Mgt_Unit!$C$5:$C$1018, 0)), "")</f>
        <v/>
      </c>
      <c r="C331" s="28"/>
      <c r="D331" s="9"/>
      <c r="E331" s="45"/>
      <c r="F331" s="29"/>
      <c r="G331" s="29"/>
      <c r="H331" s="29"/>
      <c r="I331" s="43"/>
      <c r="J331" s="43"/>
      <c r="K331" s="29"/>
      <c r="L331" s="29"/>
    </row>
    <row r="332" spans="1:12" x14ac:dyDescent="0.25">
      <c r="A332" s="4"/>
      <c r="B332" s="28" t="str">
        <f>IF(ISNUMBER(MATCH(D332, Mgt_Unit!$C$5:$C$1018, 0)), INDEX(Mgt_Unit!$B$5:$B$1018, MATCH(D332, Mgt_Unit!$C$5:$C$1018, 0)), "")</f>
        <v/>
      </c>
      <c r="C332" s="28"/>
      <c r="D332" s="9"/>
      <c r="E332" s="45"/>
      <c r="F332" s="29"/>
      <c r="G332" s="29"/>
      <c r="H332" s="29"/>
      <c r="I332" s="43"/>
      <c r="J332" s="43"/>
      <c r="K332" s="29"/>
      <c r="L332" s="29"/>
    </row>
    <row r="333" spans="1:12" x14ac:dyDescent="0.25">
      <c r="A333" s="4"/>
      <c r="B333" s="28" t="str">
        <f>IF(ISNUMBER(MATCH(D333, Mgt_Unit!$C$5:$C$1018, 0)), INDEX(Mgt_Unit!$B$5:$B$1018, MATCH(D333, Mgt_Unit!$C$5:$C$1018, 0)), "")</f>
        <v/>
      </c>
      <c r="C333" s="28"/>
      <c r="D333" s="9"/>
      <c r="E333" s="45"/>
      <c r="F333" s="29"/>
      <c r="G333" s="29"/>
      <c r="H333" s="29"/>
      <c r="I333" s="43"/>
      <c r="J333" s="43"/>
      <c r="K333" s="29"/>
      <c r="L333" s="29"/>
    </row>
    <row r="334" spans="1:12" x14ac:dyDescent="0.25">
      <c r="A334" s="4"/>
      <c r="B334" s="28" t="str">
        <f>IF(ISNUMBER(MATCH(D334, Mgt_Unit!$C$5:$C$1018, 0)), INDEX(Mgt_Unit!$B$5:$B$1018, MATCH(D334, Mgt_Unit!$C$5:$C$1018, 0)), "")</f>
        <v/>
      </c>
      <c r="C334" s="28"/>
      <c r="D334" s="9"/>
      <c r="E334" s="45"/>
      <c r="F334" s="29"/>
      <c r="G334" s="29"/>
      <c r="H334" s="29"/>
      <c r="I334" s="43"/>
      <c r="J334" s="43"/>
      <c r="K334" s="29"/>
      <c r="L334" s="29"/>
    </row>
    <row r="335" spans="1:12" x14ac:dyDescent="0.25">
      <c r="A335" s="4"/>
      <c r="B335" s="28" t="str">
        <f>IF(ISNUMBER(MATCH(D335, Mgt_Unit!$C$5:$C$1018, 0)), INDEX(Mgt_Unit!$B$5:$B$1018, MATCH(D335, Mgt_Unit!$C$5:$C$1018, 0)), "")</f>
        <v/>
      </c>
      <c r="C335" s="28"/>
      <c r="D335" s="9"/>
      <c r="E335" s="45"/>
      <c r="F335" s="29"/>
      <c r="G335" s="29"/>
      <c r="H335" s="29"/>
      <c r="I335" s="43"/>
      <c r="J335" s="43"/>
      <c r="K335" s="29"/>
      <c r="L335" s="29"/>
    </row>
    <row r="336" spans="1:12" x14ac:dyDescent="0.25">
      <c r="A336" s="4"/>
      <c r="B336" s="28" t="str">
        <f>IF(ISNUMBER(MATCH(D336, Mgt_Unit!$C$5:$C$1018, 0)), INDEX(Mgt_Unit!$B$5:$B$1018, MATCH(D336, Mgt_Unit!$C$5:$C$1018, 0)), "")</f>
        <v/>
      </c>
      <c r="C336" s="28"/>
      <c r="D336" s="9"/>
      <c r="E336" s="45"/>
      <c r="F336" s="29"/>
      <c r="G336" s="29"/>
      <c r="H336" s="29"/>
      <c r="I336" s="43"/>
      <c r="J336" s="43"/>
      <c r="K336" s="29"/>
      <c r="L336" s="29"/>
    </row>
    <row r="337" spans="1:12" x14ac:dyDescent="0.25">
      <c r="A337" s="4"/>
      <c r="B337" s="28" t="str">
        <f>IF(ISNUMBER(MATCH(D337, Mgt_Unit!$C$5:$C$1018, 0)), INDEX(Mgt_Unit!$B$5:$B$1018, MATCH(D337, Mgt_Unit!$C$5:$C$1018, 0)), "")</f>
        <v/>
      </c>
      <c r="C337" s="28"/>
      <c r="D337" s="9"/>
      <c r="E337" s="45"/>
      <c r="F337" s="29"/>
      <c r="G337" s="29"/>
      <c r="H337" s="29"/>
      <c r="I337" s="43"/>
      <c r="J337" s="43"/>
      <c r="K337" s="29"/>
      <c r="L337" s="29"/>
    </row>
    <row r="338" spans="1:12" x14ac:dyDescent="0.25">
      <c r="A338" s="4"/>
      <c r="B338" s="28" t="str">
        <f>IF(ISNUMBER(MATCH(D338, Mgt_Unit!$C$5:$C$1018, 0)), INDEX(Mgt_Unit!$B$5:$B$1018, MATCH(D338, Mgt_Unit!$C$5:$C$1018, 0)), "")</f>
        <v/>
      </c>
      <c r="C338" s="28"/>
      <c r="D338" s="9"/>
      <c r="E338" s="45"/>
      <c r="F338" s="29"/>
      <c r="G338" s="29"/>
      <c r="H338" s="29"/>
      <c r="I338" s="43"/>
      <c r="J338" s="43"/>
      <c r="K338" s="29"/>
      <c r="L338" s="29"/>
    </row>
    <row r="339" spans="1:12" x14ac:dyDescent="0.25">
      <c r="A339" s="4"/>
      <c r="B339" s="28" t="str">
        <f>IF(ISNUMBER(MATCH(D339, Mgt_Unit!$C$5:$C$1018, 0)), INDEX(Mgt_Unit!$B$5:$B$1018, MATCH(D339, Mgt_Unit!$C$5:$C$1018, 0)), "")</f>
        <v/>
      </c>
      <c r="C339" s="28"/>
      <c r="D339" s="9"/>
      <c r="E339" s="45"/>
      <c r="F339" s="29"/>
      <c r="G339" s="29"/>
      <c r="H339" s="29"/>
      <c r="I339" s="43"/>
      <c r="J339" s="43"/>
      <c r="K339" s="29"/>
      <c r="L339" s="29"/>
    </row>
    <row r="340" spans="1:12" x14ac:dyDescent="0.25">
      <c r="A340" s="4"/>
      <c r="B340" s="28" t="str">
        <f>IF(ISNUMBER(MATCH(D340, Mgt_Unit!$C$5:$C$1018, 0)), INDEX(Mgt_Unit!$B$5:$B$1018, MATCH(D340, Mgt_Unit!$C$5:$C$1018, 0)), "")</f>
        <v/>
      </c>
      <c r="C340" s="28"/>
      <c r="D340" s="9"/>
      <c r="E340" s="45"/>
      <c r="F340" s="29"/>
      <c r="G340" s="29"/>
      <c r="H340" s="29"/>
      <c r="I340" s="43"/>
      <c r="J340" s="43"/>
      <c r="K340" s="29"/>
      <c r="L340" s="29"/>
    </row>
    <row r="341" spans="1:12" x14ac:dyDescent="0.25">
      <c r="A341" s="4"/>
      <c r="B341" s="28" t="str">
        <f>IF(ISNUMBER(MATCH(D341, Mgt_Unit!$C$5:$C$1018, 0)), INDEX(Mgt_Unit!$B$5:$B$1018, MATCH(D341, Mgt_Unit!$C$5:$C$1018, 0)), "")</f>
        <v/>
      </c>
      <c r="C341" s="28"/>
      <c r="D341" s="9"/>
      <c r="E341" s="45"/>
      <c r="F341" s="29"/>
      <c r="G341" s="29"/>
      <c r="H341" s="29"/>
      <c r="I341" s="43"/>
      <c r="J341" s="43"/>
      <c r="K341" s="29"/>
      <c r="L341" s="29"/>
    </row>
    <row r="342" spans="1:12" x14ac:dyDescent="0.25">
      <c r="A342" s="4"/>
      <c r="B342" s="28" t="str">
        <f>IF(ISNUMBER(MATCH(D342, Mgt_Unit!$C$5:$C$1018, 0)), INDEX(Mgt_Unit!$B$5:$B$1018, MATCH(D342, Mgt_Unit!$C$5:$C$1018, 0)), "")</f>
        <v/>
      </c>
      <c r="C342" s="28"/>
      <c r="D342" s="9"/>
      <c r="E342" s="45"/>
      <c r="F342" s="29"/>
      <c r="G342" s="29"/>
      <c r="H342" s="29"/>
      <c r="I342" s="43"/>
      <c r="J342" s="43"/>
      <c r="K342" s="29"/>
      <c r="L342" s="29"/>
    </row>
    <row r="343" spans="1:12" x14ac:dyDescent="0.25">
      <c r="A343" s="4"/>
      <c r="B343" s="28" t="str">
        <f>IF(ISNUMBER(MATCH(D343, Mgt_Unit!$C$5:$C$1018, 0)), INDEX(Mgt_Unit!$B$5:$B$1018, MATCH(D343, Mgt_Unit!$C$5:$C$1018, 0)), "")</f>
        <v/>
      </c>
      <c r="C343" s="28"/>
      <c r="D343" s="9"/>
      <c r="E343" s="45"/>
      <c r="F343" s="29"/>
      <c r="G343" s="29"/>
      <c r="H343" s="29"/>
      <c r="I343" s="43"/>
      <c r="J343" s="43"/>
      <c r="K343" s="29"/>
      <c r="L343" s="29"/>
    </row>
    <row r="344" spans="1:12" x14ac:dyDescent="0.25">
      <c r="A344" s="4"/>
      <c r="B344" s="28" t="str">
        <f>IF(ISNUMBER(MATCH(D344, Mgt_Unit!$C$5:$C$1018, 0)), INDEX(Mgt_Unit!$B$5:$B$1018, MATCH(D344, Mgt_Unit!$C$5:$C$1018, 0)), "")</f>
        <v/>
      </c>
      <c r="C344" s="28"/>
      <c r="D344" s="9"/>
      <c r="E344" s="45"/>
      <c r="F344" s="29"/>
      <c r="G344" s="29"/>
      <c r="H344" s="29"/>
      <c r="I344" s="43"/>
      <c r="J344" s="43"/>
      <c r="K344" s="29"/>
      <c r="L344" s="29"/>
    </row>
    <row r="345" spans="1:12" x14ac:dyDescent="0.25">
      <c r="A345" s="4"/>
      <c r="B345" s="28" t="str">
        <f>IF(ISNUMBER(MATCH(D345, Mgt_Unit!$C$5:$C$1018, 0)), INDEX(Mgt_Unit!$B$5:$B$1018, MATCH(D345, Mgt_Unit!$C$5:$C$1018, 0)), "")</f>
        <v/>
      </c>
      <c r="C345" s="28"/>
      <c r="D345" s="9"/>
      <c r="E345" s="45"/>
      <c r="F345" s="29"/>
      <c r="G345" s="29"/>
      <c r="H345" s="29"/>
      <c r="I345" s="43"/>
      <c r="J345" s="43"/>
      <c r="K345" s="29"/>
      <c r="L345" s="29"/>
    </row>
    <row r="346" spans="1:12" x14ac:dyDescent="0.25">
      <c r="A346" s="4"/>
      <c r="B346" s="28" t="str">
        <f>IF(ISNUMBER(MATCH(D346, Mgt_Unit!$C$5:$C$1018, 0)), INDEX(Mgt_Unit!$B$5:$B$1018, MATCH(D346, Mgt_Unit!$C$5:$C$1018, 0)), "")</f>
        <v/>
      </c>
      <c r="C346" s="28"/>
      <c r="D346" s="9"/>
      <c r="E346" s="45"/>
      <c r="F346" s="29"/>
      <c r="G346" s="29"/>
      <c r="H346" s="29"/>
      <c r="I346" s="43"/>
      <c r="J346" s="43"/>
      <c r="K346" s="29"/>
      <c r="L346" s="29"/>
    </row>
    <row r="347" spans="1:12" x14ac:dyDescent="0.25">
      <c r="A347" s="4"/>
      <c r="B347" s="28" t="str">
        <f>IF(ISNUMBER(MATCH(D347, Mgt_Unit!$C$5:$C$1018, 0)), INDEX(Mgt_Unit!$B$5:$B$1018, MATCH(D347, Mgt_Unit!$C$5:$C$1018, 0)), "")</f>
        <v/>
      </c>
      <c r="C347" s="28"/>
      <c r="D347" s="9"/>
      <c r="E347" s="45"/>
      <c r="F347" s="29"/>
      <c r="G347" s="29"/>
      <c r="H347" s="29"/>
      <c r="I347" s="43"/>
      <c r="J347" s="43"/>
      <c r="K347" s="29"/>
      <c r="L347" s="29"/>
    </row>
    <row r="348" spans="1:12" x14ac:dyDescent="0.25">
      <c r="A348" s="4"/>
      <c r="B348" s="28" t="str">
        <f>IF(ISNUMBER(MATCH(D348, Mgt_Unit!$C$5:$C$1018, 0)), INDEX(Mgt_Unit!$B$5:$B$1018, MATCH(D348, Mgt_Unit!$C$5:$C$1018, 0)), "")</f>
        <v/>
      </c>
      <c r="C348" s="28"/>
      <c r="D348" s="9"/>
      <c r="E348" s="45"/>
      <c r="F348" s="29"/>
      <c r="G348" s="29"/>
      <c r="H348" s="29"/>
      <c r="I348" s="43"/>
      <c r="J348" s="43"/>
      <c r="K348" s="29"/>
      <c r="L348" s="29"/>
    </row>
    <row r="349" spans="1:12" x14ac:dyDescent="0.25">
      <c r="A349" s="4"/>
      <c r="B349" s="28" t="str">
        <f>IF(ISNUMBER(MATCH(D349, Mgt_Unit!$C$5:$C$1018, 0)), INDEX(Mgt_Unit!$B$5:$B$1018, MATCH(D349, Mgt_Unit!$C$5:$C$1018, 0)), "")</f>
        <v/>
      </c>
      <c r="C349" s="28"/>
      <c r="D349" s="9"/>
      <c r="E349" s="45"/>
      <c r="F349" s="29"/>
      <c r="G349" s="29"/>
      <c r="H349" s="29"/>
      <c r="I349" s="43"/>
      <c r="J349" s="43"/>
      <c r="K349" s="29"/>
      <c r="L349" s="29"/>
    </row>
    <row r="350" spans="1:12" x14ac:dyDescent="0.25">
      <c r="A350" s="4"/>
      <c r="B350" s="28" t="str">
        <f>IF(ISNUMBER(MATCH(D350, Mgt_Unit!$C$5:$C$1018, 0)), INDEX(Mgt_Unit!$B$5:$B$1018, MATCH(D350, Mgt_Unit!$C$5:$C$1018, 0)), "")</f>
        <v/>
      </c>
      <c r="C350" s="28"/>
      <c r="D350" s="9"/>
      <c r="E350" s="45"/>
      <c r="F350" s="29"/>
      <c r="G350" s="29"/>
      <c r="H350" s="29"/>
      <c r="I350" s="43"/>
      <c r="J350" s="43"/>
      <c r="K350" s="29"/>
      <c r="L350" s="29"/>
    </row>
    <row r="351" spans="1:12" x14ac:dyDescent="0.25">
      <c r="A351" s="4"/>
      <c r="B351" s="28" t="str">
        <f>IF(ISNUMBER(MATCH(D351, Mgt_Unit!$C$5:$C$1018, 0)), INDEX(Mgt_Unit!$B$5:$B$1018, MATCH(D351, Mgt_Unit!$C$5:$C$1018, 0)), "")</f>
        <v/>
      </c>
      <c r="C351" s="28"/>
      <c r="D351" s="9"/>
      <c r="E351" s="45"/>
      <c r="F351" s="29"/>
      <c r="G351" s="29"/>
      <c r="H351" s="29"/>
      <c r="I351" s="43"/>
      <c r="J351" s="43"/>
      <c r="K351" s="29"/>
      <c r="L351" s="29"/>
    </row>
    <row r="352" spans="1:12" x14ac:dyDescent="0.25">
      <c r="A352" s="4"/>
      <c r="B352" s="28" t="str">
        <f>IF(ISNUMBER(MATCH(D352, Mgt_Unit!$C$5:$C$1018, 0)), INDEX(Mgt_Unit!$B$5:$B$1018, MATCH(D352, Mgt_Unit!$C$5:$C$1018, 0)), "")</f>
        <v/>
      </c>
      <c r="C352" s="28"/>
      <c r="D352" s="9"/>
      <c r="E352" s="45"/>
      <c r="F352" s="29"/>
      <c r="G352" s="29"/>
      <c r="H352" s="29"/>
      <c r="I352" s="43"/>
      <c r="J352" s="43"/>
      <c r="K352" s="29"/>
      <c r="L352" s="29"/>
    </row>
    <row r="353" spans="1:12" x14ac:dyDescent="0.25">
      <c r="A353" s="4"/>
      <c r="B353" s="28" t="str">
        <f>IF(ISNUMBER(MATCH(D353, Mgt_Unit!$C$5:$C$1018, 0)), INDEX(Mgt_Unit!$B$5:$B$1018, MATCH(D353, Mgt_Unit!$C$5:$C$1018, 0)), "")</f>
        <v/>
      </c>
      <c r="C353" s="28"/>
      <c r="D353" s="9"/>
      <c r="E353" s="45"/>
      <c r="F353" s="29"/>
      <c r="G353" s="29"/>
      <c r="H353" s="29"/>
      <c r="I353" s="43"/>
      <c r="J353" s="43"/>
      <c r="K353" s="29"/>
      <c r="L353" s="29"/>
    </row>
    <row r="354" spans="1:12" x14ac:dyDescent="0.25">
      <c r="A354" s="4"/>
      <c r="B354" s="28" t="str">
        <f>IF(ISNUMBER(MATCH(D354, Mgt_Unit!$C$5:$C$1018, 0)), INDEX(Mgt_Unit!$B$5:$B$1018, MATCH(D354, Mgt_Unit!$C$5:$C$1018, 0)), "")</f>
        <v/>
      </c>
      <c r="C354" s="28"/>
      <c r="D354" s="9"/>
      <c r="E354" s="45"/>
      <c r="F354" s="29"/>
      <c r="G354" s="29"/>
      <c r="H354" s="29"/>
      <c r="I354" s="43"/>
      <c r="J354" s="43"/>
      <c r="K354" s="29"/>
      <c r="L354" s="29"/>
    </row>
    <row r="355" spans="1:12" x14ac:dyDescent="0.25">
      <c r="A355" s="4"/>
      <c r="B355" s="28" t="str">
        <f>IF(ISNUMBER(MATCH(D355, Mgt_Unit!$C$5:$C$1018, 0)), INDEX(Mgt_Unit!$B$5:$B$1018, MATCH(D355, Mgt_Unit!$C$5:$C$1018, 0)), "")</f>
        <v/>
      </c>
      <c r="C355" s="28"/>
      <c r="D355" s="9"/>
      <c r="E355" s="45"/>
      <c r="F355" s="29"/>
      <c r="G355" s="29"/>
      <c r="H355" s="29"/>
      <c r="I355" s="43"/>
      <c r="J355" s="43"/>
      <c r="K355" s="29"/>
      <c r="L355" s="29"/>
    </row>
    <row r="356" spans="1:12" x14ac:dyDescent="0.25">
      <c r="A356" s="4"/>
      <c r="B356" s="28" t="str">
        <f>IF(ISNUMBER(MATCH(D356, Mgt_Unit!$C$5:$C$1018, 0)), INDEX(Mgt_Unit!$B$5:$B$1018, MATCH(D356, Mgt_Unit!$C$5:$C$1018, 0)), "")</f>
        <v/>
      </c>
      <c r="C356" s="28"/>
      <c r="D356" s="9"/>
      <c r="E356" s="45"/>
      <c r="F356" s="29"/>
      <c r="G356" s="29"/>
      <c r="H356" s="29"/>
      <c r="I356" s="43"/>
      <c r="J356" s="43"/>
      <c r="K356" s="29"/>
      <c r="L356" s="29"/>
    </row>
    <row r="357" spans="1:12" x14ac:dyDescent="0.25">
      <c r="A357" s="4"/>
      <c r="B357" s="28" t="str">
        <f>IF(ISNUMBER(MATCH(D357, Mgt_Unit!$C$5:$C$1018, 0)), INDEX(Mgt_Unit!$B$5:$B$1018, MATCH(D357, Mgt_Unit!$C$5:$C$1018, 0)), "")</f>
        <v/>
      </c>
      <c r="C357" s="28"/>
      <c r="D357" s="9"/>
      <c r="E357" s="45"/>
      <c r="F357" s="29"/>
      <c r="G357" s="29"/>
      <c r="H357" s="29"/>
      <c r="I357" s="43"/>
      <c r="J357" s="43"/>
      <c r="K357" s="29"/>
      <c r="L357" s="29"/>
    </row>
    <row r="358" spans="1:12" x14ac:dyDescent="0.25">
      <c r="A358" s="4"/>
      <c r="B358" s="28" t="str">
        <f>IF(ISNUMBER(MATCH(D358, Mgt_Unit!$C$5:$C$1018, 0)), INDEX(Mgt_Unit!$B$5:$B$1018, MATCH(D358, Mgt_Unit!$C$5:$C$1018, 0)), "")</f>
        <v/>
      </c>
      <c r="C358" s="28"/>
      <c r="D358" s="9"/>
      <c r="E358" s="45"/>
      <c r="F358" s="29"/>
      <c r="G358" s="29"/>
      <c r="H358" s="29"/>
      <c r="I358" s="43"/>
      <c r="J358" s="43"/>
      <c r="K358" s="29"/>
      <c r="L358" s="29"/>
    </row>
    <row r="359" spans="1:12" x14ac:dyDescent="0.25">
      <c r="A359" s="4"/>
      <c r="B359" s="28" t="str">
        <f>IF(ISNUMBER(MATCH(D359, Mgt_Unit!$C$5:$C$1018, 0)), INDEX(Mgt_Unit!$B$5:$B$1018, MATCH(D359, Mgt_Unit!$C$5:$C$1018, 0)), "")</f>
        <v/>
      </c>
      <c r="C359" s="28"/>
      <c r="D359" s="9"/>
      <c r="E359" s="45"/>
      <c r="F359" s="29"/>
      <c r="G359" s="29"/>
      <c r="H359" s="29"/>
      <c r="I359" s="43"/>
      <c r="J359" s="43"/>
      <c r="K359" s="29"/>
      <c r="L359" s="29"/>
    </row>
    <row r="360" spans="1:12" x14ac:dyDescent="0.25">
      <c r="A360" s="4"/>
      <c r="B360" s="28" t="str">
        <f>IF(ISNUMBER(MATCH(D360, Mgt_Unit!$C$5:$C$1018, 0)), INDEX(Mgt_Unit!$B$5:$B$1018, MATCH(D360, Mgt_Unit!$C$5:$C$1018, 0)), "")</f>
        <v/>
      </c>
      <c r="C360" s="28"/>
      <c r="D360" s="9"/>
      <c r="E360" s="45"/>
      <c r="F360" s="29"/>
      <c r="G360" s="29"/>
      <c r="H360" s="29"/>
      <c r="I360" s="43"/>
      <c r="J360" s="43"/>
      <c r="K360" s="29"/>
      <c r="L360" s="29"/>
    </row>
    <row r="361" spans="1:12" x14ac:dyDescent="0.25">
      <c r="A361" s="4"/>
      <c r="B361" s="28" t="str">
        <f>IF(ISNUMBER(MATCH(D361, Mgt_Unit!$C$5:$C$1018, 0)), INDEX(Mgt_Unit!$B$5:$B$1018, MATCH(D361, Mgt_Unit!$C$5:$C$1018, 0)), "")</f>
        <v/>
      </c>
      <c r="C361" s="28"/>
      <c r="D361" s="9"/>
      <c r="E361" s="45"/>
      <c r="F361" s="29"/>
      <c r="G361" s="29"/>
      <c r="H361" s="29"/>
      <c r="I361" s="43"/>
      <c r="J361" s="43"/>
      <c r="K361" s="29"/>
      <c r="L361" s="29"/>
    </row>
    <row r="362" spans="1:12" x14ac:dyDescent="0.25">
      <c r="A362" s="4"/>
      <c r="B362" s="28" t="str">
        <f>IF(ISNUMBER(MATCH(D362, Mgt_Unit!$C$5:$C$1018, 0)), INDEX(Mgt_Unit!$B$5:$B$1018, MATCH(D362, Mgt_Unit!$C$5:$C$1018, 0)), "")</f>
        <v/>
      </c>
      <c r="C362" s="28"/>
      <c r="D362" s="9"/>
      <c r="E362" s="45"/>
      <c r="F362" s="29"/>
      <c r="G362" s="29"/>
      <c r="H362" s="29"/>
      <c r="I362" s="43"/>
      <c r="J362" s="43"/>
      <c r="K362" s="29"/>
      <c r="L362" s="29"/>
    </row>
    <row r="363" spans="1:12" x14ac:dyDescent="0.25">
      <c r="A363" s="4"/>
      <c r="B363" s="28" t="str">
        <f>IF(ISNUMBER(MATCH(D363, Mgt_Unit!$C$5:$C$1018, 0)), INDEX(Mgt_Unit!$B$5:$B$1018, MATCH(D363, Mgt_Unit!$C$5:$C$1018, 0)), "")</f>
        <v/>
      </c>
      <c r="C363" s="28"/>
      <c r="D363" s="9"/>
      <c r="E363" s="45"/>
      <c r="F363" s="29"/>
      <c r="G363" s="29"/>
      <c r="H363" s="29"/>
      <c r="I363" s="43"/>
      <c r="J363" s="43"/>
      <c r="K363" s="29"/>
      <c r="L363" s="29"/>
    </row>
    <row r="364" spans="1:12" x14ac:dyDescent="0.25">
      <c r="A364" s="4"/>
      <c r="B364" s="28" t="str">
        <f>IF(ISNUMBER(MATCH(D364, Mgt_Unit!$C$5:$C$1018, 0)), INDEX(Mgt_Unit!$B$5:$B$1018, MATCH(D364, Mgt_Unit!$C$5:$C$1018, 0)), "")</f>
        <v/>
      </c>
      <c r="C364" s="28"/>
      <c r="D364" s="9"/>
      <c r="E364" s="45"/>
      <c r="F364" s="29"/>
      <c r="G364" s="29"/>
      <c r="H364" s="29"/>
      <c r="I364" s="43"/>
      <c r="J364" s="43"/>
      <c r="K364" s="29"/>
      <c r="L364" s="29"/>
    </row>
    <row r="365" spans="1:12" x14ac:dyDescent="0.25">
      <c r="A365" s="4"/>
      <c r="B365" s="28" t="str">
        <f>IF(ISNUMBER(MATCH(D365, Mgt_Unit!$C$5:$C$1018, 0)), INDEX(Mgt_Unit!$B$5:$B$1018, MATCH(D365, Mgt_Unit!$C$5:$C$1018, 0)), "")</f>
        <v/>
      </c>
      <c r="C365" s="28"/>
      <c r="D365" s="9"/>
      <c r="E365" s="45"/>
      <c r="F365" s="29"/>
      <c r="G365" s="29"/>
      <c r="H365" s="29"/>
      <c r="I365" s="43"/>
      <c r="J365" s="43"/>
      <c r="K365" s="29"/>
      <c r="L365" s="29"/>
    </row>
    <row r="366" spans="1:12" x14ac:dyDescent="0.25">
      <c r="A366" s="4"/>
      <c r="B366" s="28" t="str">
        <f>IF(ISNUMBER(MATCH(D366, Mgt_Unit!$C$5:$C$1018, 0)), INDEX(Mgt_Unit!$B$5:$B$1018, MATCH(D366, Mgt_Unit!$C$5:$C$1018, 0)), "")</f>
        <v/>
      </c>
      <c r="C366" s="28"/>
      <c r="D366" s="9"/>
      <c r="E366" s="45"/>
      <c r="F366" s="29"/>
      <c r="G366" s="29"/>
      <c r="H366" s="29"/>
      <c r="I366" s="43"/>
      <c r="J366" s="43"/>
      <c r="K366" s="29"/>
      <c r="L366" s="29"/>
    </row>
    <row r="367" spans="1:12" x14ac:dyDescent="0.25">
      <c r="A367" s="4"/>
      <c r="B367" s="28" t="str">
        <f>IF(ISNUMBER(MATCH(D367, Mgt_Unit!$C$5:$C$1018, 0)), INDEX(Mgt_Unit!$B$5:$B$1018, MATCH(D367, Mgt_Unit!$C$5:$C$1018, 0)), "")</f>
        <v/>
      </c>
      <c r="C367" s="28"/>
      <c r="D367" s="9"/>
      <c r="E367" s="45"/>
      <c r="F367" s="29"/>
      <c r="G367" s="29"/>
      <c r="H367" s="29"/>
      <c r="I367" s="43"/>
      <c r="J367" s="43"/>
      <c r="K367" s="29"/>
      <c r="L367" s="29"/>
    </row>
    <row r="368" spans="1:12" x14ac:dyDescent="0.25">
      <c r="A368" s="4"/>
      <c r="B368" s="28" t="str">
        <f>IF(ISNUMBER(MATCH(D368, Mgt_Unit!$C$5:$C$1018, 0)), INDEX(Mgt_Unit!$B$5:$B$1018, MATCH(D368, Mgt_Unit!$C$5:$C$1018, 0)), "")</f>
        <v/>
      </c>
      <c r="C368" s="28"/>
      <c r="D368" s="9"/>
      <c r="E368" s="45"/>
      <c r="F368" s="29"/>
      <c r="G368" s="29"/>
      <c r="H368" s="29"/>
      <c r="I368" s="43"/>
      <c r="J368" s="43"/>
      <c r="K368" s="29"/>
      <c r="L368" s="29"/>
    </row>
    <row r="369" spans="1:12" x14ac:dyDescent="0.25">
      <c r="A369" s="4"/>
      <c r="B369" s="28" t="str">
        <f>IF(ISNUMBER(MATCH(D369, Mgt_Unit!$C$5:$C$1018, 0)), INDEX(Mgt_Unit!$B$5:$B$1018, MATCH(D369, Mgt_Unit!$C$5:$C$1018, 0)), "")</f>
        <v/>
      </c>
      <c r="C369" s="28"/>
      <c r="D369" s="9"/>
      <c r="E369" s="45"/>
      <c r="F369" s="29"/>
      <c r="G369" s="29"/>
      <c r="H369" s="29"/>
      <c r="I369" s="43"/>
      <c r="J369" s="43"/>
      <c r="K369" s="29"/>
      <c r="L369" s="29"/>
    </row>
    <row r="370" spans="1:12" x14ac:dyDescent="0.25">
      <c r="A370" s="4"/>
      <c r="B370" s="28" t="str">
        <f>IF(ISNUMBER(MATCH(D370, Mgt_Unit!$C$5:$C$1018, 0)), INDEX(Mgt_Unit!$B$5:$B$1018, MATCH(D370, Mgt_Unit!$C$5:$C$1018, 0)), "")</f>
        <v/>
      </c>
      <c r="C370" s="28"/>
      <c r="D370" s="9"/>
      <c r="E370" s="45"/>
      <c r="F370" s="29"/>
      <c r="G370" s="29"/>
      <c r="H370" s="29"/>
      <c r="I370" s="43"/>
      <c r="J370" s="43"/>
      <c r="K370" s="29"/>
      <c r="L370" s="29"/>
    </row>
    <row r="371" spans="1:12" x14ac:dyDescent="0.25">
      <c r="A371" s="4"/>
      <c r="B371" s="28" t="str">
        <f>IF(ISNUMBER(MATCH(D371, Mgt_Unit!$C$5:$C$1018, 0)), INDEX(Mgt_Unit!$B$5:$B$1018, MATCH(D371, Mgt_Unit!$C$5:$C$1018, 0)), "")</f>
        <v/>
      </c>
      <c r="C371" s="28"/>
      <c r="D371" s="9"/>
      <c r="E371" s="45"/>
      <c r="F371" s="29"/>
      <c r="G371" s="29"/>
      <c r="H371" s="29"/>
      <c r="I371" s="43"/>
      <c r="J371" s="43"/>
      <c r="K371" s="29"/>
      <c r="L371" s="29"/>
    </row>
    <row r="372" spans="1:12" x14ac:dyDescent="0.25">
      <c r="A372" s="4"/>
      <c r="B372" s="28" t="str">
        <f>IF(ISNUMBER(MATCH(D372, Mgt_Unit!$C$5:$C$1018, 0)), INDEX(Mgt_Unit!$B$5:$B$1018, MATCH(D372, Mgt_Unit!$C$5:$C$1018, 0)), "")</f>
        <v/>
      </c>
      <c r="C372" s="28"/>
      <c r="D372" s="9"/>
      <c r="E372" s="45"/>
      <c r="F372" s="29"/>
      <c r="G372" s="29"/>
      <c r="H372" s="29"/>
      <c r="I372" s="43"/>
      <c r="J372" s="43"/>
      <c r="K372" s="29"/>
      <c r="L372" s="29"/>
    </row>
    <row r="373" spans="1:12" x14ac:dyDescent="0.25">
      <c r="A373" s="4"/>
      <c r="B373" s="28" t="str">
        <f>IF(ISNUMBER(MATCH(D373, Mgt_Unit!$C$5:$C$1018, 0)), INDEX(Mgt_Unit!$B$5:$B$1018, MATCH(D373, Mgt_Unit!$C$5:$C$1018, 0)), "")</f>
        <v/>
      </c>
      <c r="C373" s="28"/>
      <c r="D373" s="9"/>
      <c r="E373" s="45"/>
      <c r="F373" s="29"/>
      <c r="G373" s="29"/>
      <c r="H373" s="29"/>
      <c r="I373" s="43"/>
      <c r="J373" s="43"/>
      <c r="K373" s="29"/>
      <c r="L373" s="29"/>
    </row>
    <row r="374" spans="1:12" x14ac:dyDescent="0.25">
      <c r="A374" s="4"/>
      <c r="B374" s="28" t="str">
        <f>IF(ISNUMBER(MATCH(D374, Mgt_Unit!$C$5:$C$1018, 0)), INDEX(Mgt_Unit!$B$5:$B$1018, MATCH(D374, Mgt_Unit!$C$5:$C$1018, 0)), "")</f>
        <v/>
      </c>
      <c r="C374" s="28"/>
      <c r="D374" s="9"/>
      <c r="E374" s="45"/>
      <c r="F374" s="29"/>
      <c r="G374" s="29"/>
      <c r="H374" s="29"/>
      <c r="I374" s="43"/>
      <c r="J374" s="43"/>
      <c r="K374" s="29"/>
      <c r="L374" s="29"/>
    </row>
    <row r="375" spans="1:12" x14ac:dyDescent="0.25">
      <c r="A375" s="4"/>
      <c r="B375" s="28" t="str">
        <f>IF(ISNUMBER(MATCH(D375, Mgt_Unit!$C$5:$C$1018, 0)), INDEX(Mgt_Unit!$B$5:$B$1018, MATCH(D375, Mgt_Unit!$C$5:$C$1018, 0)), "")</f>
        <v/>
      </c>
      <c r="C375" s="28"/>
      <c r="D375" s="9"/>
      <c r="E375" s="45"/>
      <c r="F375" s="29"/>
      <c r="G375" s="29"/>
      <c r="H375" s="29"/>
      <c r="I375" s="43"/>
      <c r="J375" s="43"/>
      <c r="K375" s="29"/>
      <c r="L375" s="29"/>
    </row>
    <row r="376" spans="1:12" x14ac:dyDescent="0.25">
      <c r="A376" s="4"/>
      <c r="B376" s="28" t="str">
        <f>IF(ISNUMBER(MATCH(D376, Mgt_Unit!$C$5:$C$1018, 0)), INDEX(Mgt_Unit!$B$5:$B$1018, MATCH(D376, Mgt_Unit!$C$5:$C$1018, 0)), "")</f>
        <v/>
      </c>
      <c r="C376" s="28"/>
      <c r="D376" s="9"/>
      <c r="E376" s="45"/>
      <c r="F376" s="29"/>
      <c r="G376" s="29"/>
      <c r="H376" s="29"/>
      <c r="I376" s="43"/>
      <c r="J376" s="43"/>
      <c r="K376" s="29"/>
      <c r="L376" s="29"/>
    </row>
    <row r="377" spans="1:12" x14ac:dyDescent="0.25">
      <c r="A377" s="4"/>
      <c r="B377" s="28" t="str">
        <f>IF(ISNUMBER(MATCH(D377, Mgt_Unit!$C$5:$C$1018, 0)), INDEX(Mgt_Unit!$B$5:$B$1018, MATCH(D377, Mgt_Unit!$C$5:$C$1018, 0)), "")</f>
        <v/>
      </c>
      <c r="C377" s="28"/>
      <c r="D377" s="9"/>
      <c r="E377" s="45"/>
      <c r="F377" s="29"/>
      <c r="G377" s="29"/>
      <c r="H377" s="29"/>
      <c r="I377" s="43"/>
      <c r="J377" s="43"/>
      <c r="K377" s="29"/>
      <c r="L377" s="29"/>
    </row>
    <row r="378" spans="1:12" x14ac:dyDescent="0.25">
      <c r="A378" s="4"/>
      <c r="B378" s="28" t="str">
        <f>IF(ISNUMBER(MATCH(D378, Mgt_Unit!$C$5:$C$1018, 0)), INDEX(Mgt_Unit!$B$5:$B$1018, MATCH(D378, Mgt_Unit!$C$5:$C$1018, 0)), "")</f>
        <v/>
      </c>
      <c r="C378" s="28"/>
      <c r="D378" s="9"/>
      <c r="E378" s="45"/>
      <c r="F378" s="29"/>
      <c r="G378" s="29"/>
      <c r="H378" s="29"/>
      <c r="I378" s="43"/>
      <c r="J378" s="43"/>
      <c r="K378" s="29"/>
      <c r="L378" s="29"/>
    </row>
    <row r="379" spans="1:12" x14ac:dyDescent="0.25">
      <c r="A379" s="4"/>
      <c r="B379" s="28" t="str">
        <f>IF(ISNUMBER(MATCH(D379, Mgt_Unit!$C$5:$C$1018, 0)), INDEX(Mgt_Unit!$B$5:$B$1018, MATCH(D379, Mgt_Unit!$C$5:$C$1018, 0)), "")</f>
        <v/>
      </c>
      <c r="C379" s="28"/>
      <c r="D379" s="9"/>
      <c r="E379" s="45"/>
      <c r="F379" s="29"/>
      <c r="G379" s="29"/>
      <c r="H379" s="29"/>
      <c r="I379" s="43"/>
      <c r="J379" s="43"/>
      <c r="K379" s="29"/>
      <c r="L379" s="29"/>
    </row>
    <row r="380" spans="1:12" x14ac:dyDescent="0.25">
      <c r="A380" s="4"/>
      <c r="B380" s="28" t="str">
        <f>IF(ISNUMBER(MATCH(D380, Mgt_Unit!$C$5:$C$1018, 0)), INDEX(Mgt_Unit!$B$5:$B$1018, MATCH(D380, Mgt_Unit!$C$5:$C$1018, 0)), "")</f>
        <v/>
      </c>
      <c r="C380" s="28"/>
      <c r="D380" s="9"/>
      <c r="E380" s="45"/>
      <c r="F380" s="29"/>
      <c r="G380" s="29"/>
      <c r="H380" s="29"/>
      <c r="I380" s="43"/>
      <c r="J380" s="43"/>
      <c r="K380" s="29"/>
      <c r="L380" s="29"/>
    </row>
    <row r="381" spans="1:12" x14ac:dyDescent="0.25">
      <c r="A381" s="4"/>
      <c r="B381" s="28" t="str">
        <f>IF(ISNUMBER(MATCH(D381, Mgt_Unit!$C$5:$C$1018, 0)), INDEX(Mgt_Unit!$B$5:$B$1018, MATCH(D381, Mgt_Unit!$C$5:$C$1018, 0)), "")</f>
        <v/>
      </c>
      <c r="C381" s="28"/>
      <c r="D381" s="9"/>
      <c r="E381" s="45"/>
      <c r="F381" s="29"/>
      <c r="G381" s="29"/>
      <c r="H381" s="29"/>
      <c r="I381" s="43"/>
      <c r="J381" s="43"/>
      <c r="K381" s="29"/>
      <c r="L381" s="29"/>
    </row>
    <row r="382" spans="1:12" x14ac:dyDescent="0.25">
      <c r="A382" s="4"/>
      <c r="B382" s="28" t="str">
        <f>IF(ISNUMBER(MATCH(D382, Mgt_Unit!$C$5:$C$1018, 0)), INDEX(Mgt_Unit!$B$5:$B$1018, MATCH(D382, Mgt_Unit!$C$5:$C$1018, 0)), "")</f>
        <v/>
      </c>
      <c r="C382" s="28"/>
      <c r="D382" s="9"/>
      <c r="E382" s="45"/>
      <c r="F382" s="29"/>
      <c r="G382" s="29"/>
      <c r="H382" s="29"/>
      <c r="I382" s="43"/>
      <c r="J382" s="43"/>
      <c r="K382" s="29"/>
      <c r="L382" s="29"/>
    </row>
    <row r="383" spans="1:12" x14ac:dyDescent="0.25">
      <c r="A383" s="4"/>
      <c r="B383" s="28" t="str">
        <f>IF(ISNUMBER(MATCH(D383, Mgt_Unit!$C$5:$C$1018, 0)), INDEX(Mgt_Unit!$B$5:$B$1018, MATCH(D383, Mgt_Unit!$C$5:$C$1018, 0)), "")</f>
        <v/>
      </c>
      <c r="C383" s="28"/>
      <c r="D383" s="9"/>
      <c r="E383" s="45"/>
      <c r="F383" s="29"/>
      <c r="G383" s="29"/>
      <c r="H383" s="29"/>
      <c r="I383" s="43"/>
      <c r="J383" s="43"/>
      <c r="K383" s="29"/>
      <c r="L383" s="29"/>
    </row>
    <row r="384" spans="1:12" x14ac:dyDescent="0.25">
      <c r="A384" s="4"/>
      <c r="B384" s="28" t="str">
        <f>IF(ISNUMBER(MATCH(D384, Mgt_Unit!$C$5:$C$1018, 0)), INDEX(Mgt_Unit!$B$5:$B$1018, MATCH(D384, Mgt_Unit!$C$5:$C$1018, 0)), "")</f>
        <v/>
      </c>
      <c r="C384" s="28"/>
      <c r="D384" s="9"/>
      <c r="E384" s="45"/>
      <c r="F384" s="29"/>
      <c r="G384" s="29"/>
      <c r="H384" s="29"/>
      <c r="I384" s="43"/>
      <c r="J384" s="43"/>
      <c r="K384" s="29"/>
      <c r="L384" s="29"/>
    </row>
    <row r="385" spans="1:12" x14ac:dyDescent="0.25">
      <c r="A385" s="4"/>
      <c r="B385" s="28" t="str">
        <f>IF(ISNUMBER(MATCH(D385, Mgt_Unit!$C$5:$C$1018, 0)), INDEX(Mgt_Unit!$B$5:$B$1018, MATCH(D385, Mgt_Unit!$C$5:$C$1018, 0)), "")</f>
        <v/>
      </c>
      <c r="C385" s="28"/>
      <c r="D385" s="9"/>
      <c r="E385" s="45"/>
      <c r="F385" s="29"/>
      <c r="G385" s="29"/>
      <c r="H385" s="29"/>
      <c r="I385" s="43"/>
      <c r="J385" s="43"/>
      <c r="K385" s="29"/>
      <c r="L385" s="29"/>
    </row>
    <row r="386" spans="1:12" x14ac:dyDescent="0.25">
      <c r="A386" s="4"/>
      <c r="B386" s="28" t="str">
        <f>IF(ISNUMBER(MATCH(D386, Mgt_Unit!$C$5:$C$1018, 0)), INDEX(Mgt_Unit!$B$5:$B$1018, MATCH(D386, Mgt_Unit!$C$5:$C$1018, 0)), "")</f>
        <v/>
      </c>
      <c r="C386" s="28"/>
      <c r="D386" s="9"/>
      <c r="E386" s="45"/>
      <c r="F386" s="29"/>
      <c r="G386" s="29"/>
      <c r="H386" s="29"/>
      <c r="I386" s="43"/>
      <c r="J386" s="43"/>
      <c r="K386" s="29"/>
      <c r="L386" s="29"/>
    </row>
    <row r="387" spans="1:12" x14ac:dyDescent="0.25">
      <c r="A387" s="4"/>
      <c r="B387" s="28" t="str">
        <f>IF(ISNUMBER(MATCH(D387, Mgt_Unit!$C$5:$C$1018, 0)), INDEX(Mgt_Unit!$B$5:$B$1018, MATCH(D387, Mgt_Unit!$C$5:$C$1018, 0)), "")</f>
        <v/>
      </c>
      <c r="C387" s="28"/>
      <c r="D387" s="9"/>
      <c r="E387" s="45"/>
      <c r="F387" s="29"/>
      <c r="G387" s="29"/>
      <c r="H387" s="29"/>
      <c r="I387" s="43"/>
      <c r="J387" s="43"/>
      <c r="K387" s="29"/>
      <c r="L387" s="29"/>
    </row>
    <row r="388" spans="1:12" x14ac:dyDescent="0.25">
      <c r="A388" s="4"/>
      <c r="B388" s="28" t="str">
        <f>IF(ISNUMBER(MATCH(D388, Mgt_Unit!$C$5:$C$1018, 0)), INDEX(Mgt_Unit!$B$5:$B$1018, MATCH(D388, Mgt_Unit!$C$5:$C$1018, 0)), "")</f>
        <v/>
      </c>
      <c r="C388" s="28"/>
      <c r="D388" s="9"/>
      <c r="E388" s="45"/>
      <c r="F388" s="29"/>
      <c r="G388" s="29"/>
      <c r="H388" s="29"/>
      <c r="I388" s="43"/>
      <c r="J388" s="43"/>
      <c r="K388" s="29"/>
      <c r="L388" s="29"/>
    </row>
    <row r="389" spans="1:12" x14ac:dyDescent="0.25">
      <c r="A389" s="4"/>
      <c r="B389" s="28" t="str">
        <f>IF(ISNUMBER(MATCH(D389, Mgt_Unit!$C$5:$C$1018, 0)), INDEX(Mgt_Unit!$B$5:$B$1018, MATCH(D389, Mgt_Unit!$C$5:$C$1018, 0)), "")</f>
        <v/>
      </c>
      <c r="C389" s="28"/>
      <c r="D389" s="9"/>
      <c r="E389" s="45"/>
      <c r="F389" s="29"/>
      <c r="G389" s="29"/>
      <c r="H389" s="29"/>
      <c r="I389" s="43"/>
      <c r="J389" s="43"/>
      <c r="K389" s="29"/>
      <c r="L389" s="29"/>
    </row>
    <row r="390" spans="1:12" x14ac:dyDescent="0.25">
      <c r="A390" s="4"/>
      <c r="B390" s="28" t="str">
        <f>IF(ISNUMBER(MATCH(D390, Mgt_Unit!$C$5:$C$1018, 0)), INDEX(Mgt_Unit!$B$5:$B$1018, MATCH(D390, Mgt_Unit!$C$5:$C$1018, 0)), "")</f>
        <v/>
      </c>
      <c r="C390" s="28"/>
      <c r="D390" s="9"/>
      <c r="E390" s="45"/>
      <c r="F390" s="29"/>
      <c r="G390" s="29"/>
      <c r="H390" s="29"/>
      <c r="I390" s="43"/>
      <c r="J390" s="43"/>
      <c r="K390" s="29"/>
      <c r="L390" s="29"/>
    </row>
    <row r="391" spans="1:12" x14ac:dyDescent="0.25">
      <c r="A391" s="4"/>
      <c r="B391" s="28" t="str">
        <f>IF(ISNUMBER(MATCH(D391, Mgt_Unit!$C$5:$C$1018, 0)), INDEX(Mgt_Unit!$B$5:$B$1018, MATCH(D391, Mgt_Unit!$C$5:$C$1018, 0)), "")</f>
        <v/>
      </c>
      <c r="C391" s="28"/>
      <c r="D391" s="9"/>
      <c r="E391" s="45"/>
      <c r="F391" s="29"/>
      <c r="G391" s="29"/>
      <c r="H391" s="29"/>
      <c r="I391" s="43"/>
      <c r="J391" s="43"/>
      <c r="K391" s="29"/>
      <c r="L391" s="29"/>
    </row>
    <row r="392" spans="1:12" x14ac:dyDescent="0.25">
      <c r="A392" s="4"/>
      <c r="B392" s="28" t="str">
        <f>IF(ISNUMBER(MATCH(D392, Mgt_Unit!$C$5:$C$1018, 0)), INDEX(Mgt_Unit!$B$5:$B$1018, MATCH(D392, Mgt_Unit!$C$5:$C$1018, 0)), "")</f>
        <v/>
      </c>
      <c r="C392" s="28"/>
      <c r="D392" s="9"/>
      <c r="E392" s="45"/>
      <c r="F392" s="29"/>
      <c r="G392" s="29"/>
      <c r="H392" s="29"/>
      <c r="I392" s="43"/>
      <c r="J392" s="43"/>
      <c r="K392" s="29"/>
      <c r="L392" s="29"/>
    </row>
    <row r="393" spans="1:12" x14ac:dyDescent="0.25">
      <c r="A393" s="4"/>
      <c r="B393" s="28" t="str">
        <f>IF(ISNUMBER(MATCH(D393, Mgt_Unit!$C$5:$C$1018, 0)), INDEX(Mgt_Unit!$B$5:$B$1018, MATCH(D393, Mgt_Unit!$C$5:$C$1018, 0)), "")</f>
        <v/>
      </c>
      <c r="C393" s="28"/>
      <c r="D393" s="9"/>
      <c r="E393" s="45"/>
      <c r="F393" s="29"/>
      <c r="G393" s="29"/>
      <c r="H393" s="29"/>
      <c r="I393" s="43"/>
      <c r="J393" s="43"/>
      <c r="K393" s="29"/>
      <c r="L393" s="29"/>
    </row>
    <row r="394" spans="1:12" x14ac:dyDescent="0.25">
      <c r="A394" s="4"/>
      <c r="B394" s="28" t="str">
        <f>IF(ISNUMBER(MATCH(D394, Mgt_Unit!$C$5:$C$1018, 0)), INDEX(Mgt_Unit!$B$5:$B$1018, MATCH(D394, Mgt_Unit!$C$5:$C$1018, 0)), "")</f>
        <v/>
      </c>
      <c r="C394" s="28"/>
      <c r="D394" s="9"/>
      <c r="E394" s="45"/>
      <c r="F394" s="29"/>
      <c r="G394" s="29"/>
      <c r="H394" s="29"/>
      <c r="I394" s="43"/>
      <c r="J394" s="43"/>
      <c r="K394" s="29"/>
      <c r="L394" s="29"/>
    </row>
    <row r="395" spans="1:12" x14ac:dyDescent="0.25">
      <c r="A395" s="4"/>
      <c r="B395" s="28" t="str">
        <f>IF(ISNUMBER(MATCH(D395, Mgt_Unit!$C$5:$C$1018, 0)), INDEX(Mgt_Unit!$B$5:$B$1018, MATCH(D395, Mgt_Unit!$C$5:$C$1018, 0)), "")</f>
        <v/>
      </c>
      <c r="C395" s="28"/>
      <c r="D395" s="9"/>
      <c r="E395" s="45"/>
      <c r="F395" s="29"/>
      <c r="G395" s="29"/>
      <c r="H395" s="29"/>
      <c r="I395" s="43"/>
      <c r="J395" s="43"/>
      <c r="K395" s="29"/>
      <c r="L395" s="29"/>
    </row>
    <row r="396" spans="1:12" x14ac:dyDescent="0.25">
      <c r="A396" s="4"/>
      <c r="B396" s="28" t="str">
        <f>IF(ISNUMBER(MATCH(D396, Mgt_Unit!$C$5:$C$1018, 0)), INDEX(Mgt_Unit!$B$5:$B$1018, MATCH(D396, Mgt_Unit!$C$5:$C$1018, 0)), "")</f>
        <v/>
      </c>
      <c r="C396" s="28"/>
      <c r="D396" s="9"/>
      <c r="E396" s="45"/>
      <c r="F396" s="29"/>
      <c r="G396" s="29"/>
      <c r="H396" s="29"/>
      <c r="I396" s="43"/>
      <c r="J396" s="43"/>
      <c r="K396" s="29"/>
      <c r="L396" s="29"/>
    </row>
    <row r="397" spans="1:12" x14ac:dyDescent="0.25">
      <c r="A397" s="4"/>
      <c r="B397" s="28" t="str">
        <f>IF(ISNUMBER(MATCH(D397, Mgt_Unit!$C$5:$C$1018, 0)), INDEX(Mgt_Unit!$B$5:$B$1018, MATCH(D397, Mgt_Unit!$C$5:$C$1018, 0)), "")</f>
        <v/>
      </c>
      <c r="C397" s="28"/>
      <c r="D397" s="9"/>
      <c r="E397" s="45"/>
      <c r="F397" s="29"/>
      <c r="G397" s="29"/>
      <c r="H397" s="29"/>
      <c r="I397" s="43"/>
      <c r="J397" s="43"/>
      <c r="K397" s="29"/>
      <c r="L397" s="29"/>
    </row>
    <row r="398" spans="1:12" x14ac:dyDescent="0.25">
      <c r="A398" s="4"/>
      <c r="B398" s="28" t="str">
        <f>IF(ISNUMBER(MATCH(D398, Mgt_Unit!$C$5:$C$1018, 0)), INDEX(Mgt_Unit!$B$5:$B$1018, MATCH(D398, Mgt_Unit!$C$5:$C$1018, 0)), "")</f>
        <v/>
      </c>
      <c r="C398" s="28"/>
      <c r="D398" s="9"/>
      <c r="E398" s="45"/>
      <c r="F398" s="29"/>
      <c r="G398" s="29"/>
      <c r="H398" s="29"/>
      <c r="I398" s="43"/>
      <c r="J398" s="43"/>
      <c r="K398" s="29"/>
      <c r="L398" s="29"/>
    </row>
    <row r="399" spans="1:12" x14ac:dyDescent="0.25">
      <c r="A399" s="4"/>
      <c r="B399" s="28" t="str">
        <f>IF(ISNUMBER(MATCH(D399, Mgt_Unit!$C$5:$C$1018, 0)), INDEX(Mgt_Unit!$B$5:$B$1018, MATCH(D399, Mgt_Unit!$C$5:$C$1018, 0)), "")</f>
        <v/>
      </c>
      <c r="C399" s="28"/>
      <c r="D399" s="9"/>
      <c r="E399" s="45"/>
      <c r="F399" s="29"/>
      <c r="G399" s="29"/>
      <c r="H399" s="29"/>
      <c r="I399" s="43"/>
      <c r="J399" s="43"/>
      <c r="K399" s="29"/>
      <c r="L399" s="29"/>
    </row>
    <row r="400" spans="1:12" x14ac:dyDescent="0.25">
      <c r="A400" s="4"/>
      <c r="B400" s="28" t="str">
        <f>IF(ISNUMBER(MATCH(D400, Mgt_Unit!$C$5:$C$1018, 0)), INDEX(Mgt_Unit!$B$5:$B$1018, MATCH(D400, Mgt_Unit!$C$5:$C$1018, 0)), "")</f>
        <v/>
      </c>
      <c r="C400" s="28"/>
      <c r="D400" s="9"/>
      <c r="E400" s="45"/>
      <c r="F400" s="29"/>
      <c r="G400" s="29"/>
      <c r="H400" s="29"/>
      <c r="I400" s="43"/>
      <c r="J400" s="43"/>
      <c r="K400" s="29"/>
      <c r="L400" s="29"/>
    </row>
    <row r="401" spans="1:12" x14ac:dyDescent="0.25">
      <c r="A401" s="4"/>
      <c r="B401" s="28" t="str">
        <f>IF(ISNUMBER(MATCH(D401, Mgt_Unit!$C$5:$C$1018, 0)), INDEX(Mgt_Unit!$B$5:$B$1018, MATCH(D401, Mgt_Unit!$C$5:$C$1018, 0)), "")</f>
        <v/>
      </c>
      <c r="C401" s="28"/>
      <c r="D401" s="9"/>
      <c r="E401" s="45"/>
      <c r="F401" s="29"/>
      <c r="G401" s="29"/>
      <c r="H401" s="29"/>
      <c r="I401" s="43"/>
      <c r="J401" s="43"/>
      <c r="K401" s="29"/>
      <c r="L401" s="29"/>
    </row>
    <row r="402" spans="1:12" x14ac:dyDescent="0.25">
      <c r="A402" s="4"/>
      <c r="B402" s="28" t="str">
        <f>IF(ISNUMBER(MATCH(D402, Mgt_Unit!$C$5:$C$1018, 0)), INDEX(Mgt_Unit!$B$5:$B$1018, MATCH(D402, Mgt_Unit!$C$5:$C$1018, 0)), "")</f>
        <v/>
      </c>
      <c r="C402" s="28"/>
      <c r="D402" s="9"/>
      <c r="E402" s="45"/>
      <c r="F402" s="29"/>
      <c r="G402" s="29"/>
      <c r="H402" s="29"/>
      <c r="I402" s="43"/>
      <c r="J402" s="43"/>
      <c r="K402" s="29"/>
      <c r="L402" s="29"/>
    </row>
    <row r="403" spans="1:12" x14ac:dyDescent="0.25">
      <c r="A403" s="4"/>
      <c r="B403" s="28" t="str">
        <f>IF(ISNUMBER(MATCH(D403, Mgt_Unit!$C$5:$C$1018, 0)), INDEX(Mgt_Unit!$B$5:$B$1018, MATCH(D403, Mgt_Unit!$C$5:$C$1018, 0)), "")</f>
        <v/>
      </c>
      <c r="C403" s="28"/>
      <c r="D403" s="9"/>
      <c r="E403" s="45"/>
      <c r="F403" s="29"/>
      <c r="G403" s="29"/>
      <c r="H403" s="29"/>
      <c r="I403" s="43"/>
      <c r="J403" s="43"/>
      <c r="K403" s="29"/>
      <c r="L403" s="29"/>
    </row>
    <row r="404" spans="1:12" x14ac:dyDescent="0.25">
      <c r="A404" s="4"/>
      <c r="B404" s="28" t="str">
        <f>IF(ISNUMBER(MATCH(D404, Mgt_Unit!$C$5:$C$1018, 0)), INDEX(Mgt_Unit!$B$5:$B$1018, MATCH(D404, Mgt_Unit!$C$5:$C$1018, 0)), "")</f>
        <v/>
      </c>
      <c r="C404" s="28"/>
      <c r="D404" s="9"/>
      <c r="E404" s="45"/>
      <c r="F404" s="29"/>
      <c r="G404" s="29"/>
      <c r="H404" s="29"/>
      <c r="I404" s="43"/>
      <c r="J404" s="43"/>
      <c r="K404" s="29"/>
      <c r="L404" s="29"/>
    </row>
    <row r="405" spans="1:12" x14ac:dyDescent="0.25">
      <c r="A405" s="4"/>
      <c r="B405" s="28" t="str">
        <f>IF(ISNUMBER(MATCH(D405, Mgt_Unit!$C$5:$C$1018, 0)), INDEX(Mgt_Unit!$B$5:$B$1018, MATCH(D405, Mgt_Unit!$C$5:$C$1018, 0)), "")</f>
        <v/>
      </c>
      <c r="C405" s="28"/>
      <c r="D405" s="9"/>
      <c r="E405" s="45"/>
      <c r="F405" s="29"/>
      <c r="G405" s="29"/>
      <c r="H405" s="29"/>
      <c r="I405" s="43"/>
      <c r="J405" s="43"/>
      <c r="K405" s="29"/>
      <c r="L405" s="29"/>
    </row>
    <row r="406" spans="1:12" x14ac:dyDescent="0.25">
      <c r="A406" s="4"/>
      <c r="B406" s="28" t="str">
        <f>IF(ISNUMBER(MATCH(D406, Mgt_Unit!$C$5:$C$1018, 0)), INDEX(Mgt_Unit!$B$5:$B$1018, MATCH(D406, Mgt_Unit!$C$5:$C$1018, 0)), "")</f>
        <v/>
      </c>
      <c r="C406" s="28"/>
      <c r="D406" s="9"/>
      <c r="E406" s="45"/>
      <c r="F406" s="29"/>
      <c r="G406" s="29"/>
      <c r="H406" s="29"/>
      <c r="I406" s="43"/>
      <c r="J406" s="43"/>
      <c r="K406" s="29"/>
      <c r="L406" s="29"/>
    </row>
    <row r="407" spans="1:12" x14ac:dyDescent="0.25">
      <c r="A407" s="4"/>
      <c r="B407" s="28" t="str">
        <f>IF(ISNUMBER(MATCH(D407, Mgt_Unit!$C$5:$C$1018, 0)), INDEX(Mgt_Unit!$B$5:$B$1018, MATCH(D407, Mgt_Unit!$C$5:$C$1018, 0)), "")</f>
        <v/>
      </c>
      <c r="C407" s="28"/>
      <c r="D407" s="9"/>
      <c r="E407" s="45"/>
      <c r="F407" s="29"/>
      <c r="G407" s="29"/>
      <c r="H407" s="29"/>
      <c r="I407" s="43"/>
      <c r="J407" s="43"/>
      <c r="K407" s="29"/>
      <c r="L407" s="29"/>
    </row>
    <row r="408" spans="1:12" x14ac:dyDescent="0.25">
      <c r="A408" s="4"/>
      <c r="B408" s="28" t="str">
        <f>IF(ISNUMBER(MATCH(D408, Mgt_Unit!$C$5:$C$1018, 0)), INDEX(Mgt_Unit!$B$5:$B$1018, MATCH(D408, Mgt_Unit!$C$5:$C$1018, 0)), "")</f>
        <v/>
      </c>
      <c r="C408" s="28"/>
      <c r="D408" s="9"/>
      <c r="E408" s="45"/>
      <c r="F408" s="29"/>
      <c r="G408" s="29"/>
      <c r="H408" s="29"/>
      <c r="I408" s="43"/>
      <c r="J408" s="43"/>
      <c r="K408" s="29"/>
      <c r="L408" s="29"/>
    </row>
    <row r="409" spans="1:12" x14ac:dyDescent="0.25">
      <c r="A409" s="4"/>
      <c r="B409" s="28" t="str">
        <f>IF(ISNUMBER(MATCH(D409, Mgt_Unit!$C$5:$C$1018, 0)), INDEX(Mgt_Unit!$B$5:$B$1018, MATCH(D409, Mgt_Unit!$C$5:$C$1018, 0)), "")</f>
        <v/>
      </c>
      <c r="C409" s="28"/>
      <c r="D409" s="9"/>
      <c r="E409" s="45"/>
      <c r="F409" s="29"/>
      <c r="G409" s="29"/>
      <c r="H409" s="29"/>
      <c r="I409" s="43"/>
      <c r="J409" s="43"/>
      <c r="K409" s="29"/>
      <c r="L409" s="29"/>
    </row>
    <row r="410" spans="1:12" x14ac:dyDescent="0.25">
      <c r="A410" s="4"/>
      <c r="B410" s="28" t="str">
        <f>IF(ISNUMBER(MATCH(D410, Mgt_Unit!$C$5:$C$1018, 0)), INDEX(Mgt_Unit!$B$5:$B$1018, MATCH(D410, Mgt_Unit!$C$5:$C$1018, 0)), "")</f>
        <v/>
      </c>
      <c r="C410" s="28"/>
      <c r="D410" s="9"/>
      <c r="E410" s="45"/>
      <c r="F410" s="29"/>
      <c r="G410" s="29"/>
      <c r="H410" s="29"/>
      <c r="I410" s="43"/>
      <c r="J410" s="43"/>
      <c r="K410" s="29"/>
      <c r="L410" s="29"/>
    </row>
    <row r="411" spans="1:12" x14ac:dyDescent="0.25">
      <c r="A411" s="4"/>
      <c r="B411" s="28" t="str">
        <f>IF(ISNUMBER(MATCH(D411, Mgt_Unit!$C$5:$C$1018, 0)), INDEX(Mgt_Unit!$B$5:$B$1018, MATCH(D411, Mgt_Unit!$C$5:$C$1018, 0)), "")</f>
        <v/>
      </c>
      <c r="C411" s="28"/>
      <c r="D411" s="9"/>
      <c r="E411" s="45"/>
      <c r="F411" s="29"/>
      <c r="G411" s="29"/>
      <c r="H411" s="29"/>
      <c r="I411" s="43"/>
      <c r="J411" s="43"/>
      <c r="K411" s="29"/>
      <c r="L411" s="29"/>
    </row>
    <row r="412" spans="1:12" x14ac:dyDescent="0.25">
      <c r="A412" s="4"/>
      <c r="B412" s="28" t="str">
        <f>IF(ISNUMBER(MATCH(D412, Mgt_Unit!$C$5:$C$1018, 0)), INDEX(Mgt_Unit!$B$5:$B$1018, MATCH(D412, Mgt_Unit!$C$5:$C$1018, 0)), "")</f>
        <v/>
      </c>
      <c r="C412" s="28"/>
      <c r="D412" s="9"/>
      <c r="E412" s="45"/>
      <c r="F412" s="29"/>
      <c r="G412" s="29"/>
      <c r="H412" s="29"/>
      <c r="I412" s="43"/>
      <c r="J412" s="43"/>
      <c r="K412" s="29"/>
      <c r="L412" s="29"/>
    </row>
    <row r="413" spans="1:12" x14ac:dyDescent="0.25">
      <c r="A413" s="4"/>
      <c r="B413" s="28" t="str">
        <f>IF(ISNUMBER(MATCH(D413, Mgt_Unit!$C$5:$C$1018, 0)), INDEX(Mgt_Unit!$B$5:$B$1018, MATCH(D413, Mgt_Unit!$C$5:$C$1018, 0)), "")</f>
        <v/>
      </c>
      <c r="C413" s="28"/>
      <c r="D413" s="9"/>
      <c r="E413" s="45"/>
      <c r="F413" s="29"/>
      <c r="G413" s="29"/>
      <c r="H413" s="29"/>
      <c r="I413" s="43"/>
      <c r="J413" s="43"/>
      <c r="K413" s="29"/>
      <c r="L413" s="29"/>
    </row>
    <row r="414" spans="1:12" x14ac:dyDescent="0.25">
      <c r="A414" s="4"/>
      <c r="B414" s="28" t="str">
        <f>IF(ISNUMBER(MATCH(D414, Mgt_Unit!$C$5:$C$1018, 0)), INDEX(Mgt_Unit!$B$5:$B$1018, MATCH(D414, Mgt_Unit!$C$5:$C$1018, 0)), "")</f>
        <v/>
      </c>
      <c r="C414" s="28"/>
      <c r="D414" s="9"/>
      <c r="E414" s="45"/>
      <c r="F414" s="29"/>
      <c r="G414" s="29"/>
      <c r="H414" s="29"/>
      <c r="I414" s="43"/>
      <c r="J414" s="43"/>
      <c r="K414" s="29"/>
      <c r="L414" s="29"/>
    </row>
    <row r="415" spans="1:12" x14ac:dyDescent="0.25">
      <c r="A415" s="4"/>
      <c r="B415" s="28" t="str">
        <f>IF(ISNUMBER(MATCH(D415, Mgt_Unit!$C$5:$C$1018, 0)), INDEX(Mgt_Unit!$B$5:$B$1018, MATCH(D415, Mgt_Unit!$C$5:$C$1018, 0)), "")</f>
        <v/>
      </c>
      <c r="C415" s="28"/>
      <c r="D415" s="9"/>
      <c r="E415" s="45"/>
      <c r="F415" s="29"/>
      <c r="G415" s="29"/>
      <c r="H415" s="29"/>
      <c r="I415" s="43"/>
      <c r="J415" s="43"/>
      <c r="K415" s="29"/>
      <c r="L415" s="29"/>
    </row>
    <row r="416" spans="1:12" x14ac:dyDescent="0.25">
      <c r="A416" s="4"/>
      <c r="B416" s="28" t="str">
        <f>IF(ISNUMBER(MATCH(D416, Mgt_Unit!$C$5:$C$1018, 0)), INDEX(Mgt_Unit!$B$5:$B$1018, MATCH(D416, Mgt_Unit!$C$5:$C$1018, 0)), "")</f>
        <v/>
      </c>
      <c r="C416" s="28"/>
      <c r="D416" s="9"/>
      <c r="E416" s="45"/>
      <c r="F416" s="29"/>
      <c r="G416" s="29"/>
      <c r="H416" s="29"/>
      <c r="I416" s="43"/>
      <c r="J416" s="43"/>
      <c r="K416" s="29"/>
      <c r="L416" s="29"/>
    </row>
    <row r="417" spans="1:12" x14ac:dyDescent="0.25">
      <c r="A417" s="4"/>
      <c r="B417" s="28" t="str">
        <f>IF(ISNUMBER(MATCH(D417, Mgt_Unit!$C$5:$C$1018, 0)), INDEX(Mgt_Unit!$B$5:$B$1018, MATCH(D417, Mgt_Unit!$C$5:$C$1018, 0)), "")</f>
        <v/>
      </c>
      <c r="C417" s="28"/>
      <c r="D417" s="9"/>
      <c r="E417" s="45"/>
      <c r="F417" s="29"/>
      <c r="G417" s="29"/>
      <c r="H417" s="29"/>
      <c r="I417" s="43"/>
      <c r="J417" s="43"/>
      <c r="K417" s="29"/>
      <c r="L417" s="29"/>
    </row>
    <row r="418" spans="1:12" x14ac:dyDescent="0.25">
      <c r="A418" s="4"/>
      <c r="B418" s="28" t="str">
        <f>IF(ISNUMBER(MATCH(D418, Mgt_Unit!$C$5:$C$1018, 0)), INDEX(Mgt_Unit!$B$5:$B$1018, MATCH(D418, Mgt_Unit!$C$5:$C$1018, 0)), "")</f>
        <v/>
      </c>
      <c r="C418" s="28"/>
      <c r="D418" s="9"/>
      <c r="E418" s="45"/>
      <c r="F418" s="29"/>
      <c r="G418" s="29"/>
      <c r="H418" s="29"/>
      <c r="I418" s="43"/>
      <c r="J418" s="43"/>
      <c r="K418" s="29"/>
      <c r="L418" s="29"/>
    </row>
    <row r="419" spans="1:12" x14ac:dyDescent="0.25">
      <c r="A419" s="4"/>
      <c r="B419" s="28" t="str">
        <f>IF(ISNUMBER(MATCH(D419, Mgt_Unit!$C$5:$C$1018, 0)), INDEX(Mgt_Unit!$B$5:$B$1018, MATCH(D419, Mgt_Unit!$C$5:$C$1018, 0)), "")</f>
        <v/>
      </c>
      <c r="C419" s="28"/>
      <c r="D419" s="9"/>
      <c r="E419" s="45"/>
      <c r="F419" s="29"/>
      <c r="G419" s="29"/>
      <c r="H419" s="29"/>
      <c r="I419" s="43"/>
      <c r="J419" s="43"/>
      <c r="K419" s="29"/>
      <c r="L419" s="29"/>
    </row>
    <row r="420" spans="1:12" x14ac:dyDescent="0.25">
      <c r="A420" s="4"/>
      <c r="B420" s="28" t="str">
        <f>IF(ISNUMBER(MATCH(D420, Mgt_Unit!$C$5:$C$1018, 0)), INDEX(Mgt_Unit!$B$5:$B$1018, MATCH(D420, Mgt_Unit!$C$5:$C$1018, 0)), "")</f>
        <v/>
      </c>
      <c r="C420" s="28"/>
      <c r="D420" s="9"/>
      <c r="E420" s="45"/>
      <c r="F420" s="29"/>
      <c r="G420" s="29"/>
      <c r="H420" s="29"/>
      <c r="I420" s="43"/>
      <c r="J420" s="43"/>
      <c r="K420" s="29"/>
      <c r="L420" s="29"/>
    </row>
    <row r="421" spans="1:12" x14ac:dyDescent="0.25">
      <c r="A421" s="4"/>
      <c r="B421" s="28" t="str">
        <f>IF(ISNUMBER(MATCH(D421, Mgt_Unit!$C$5:$C$1018, 0)), INDEX(Mgt_Unit!$B$5:$B$1018, MATCH(D421, Mgt_Unit!$C$5:$C$1018, 0)), "")</f>
        <v/>
      </c>
      <c r="C421" s="28"/>
      <c r="D421" s="9"/>
      <c r="E421" s="45"/>
      <c r="F421" s="29"/>
      <c r="G421" s="29"/>
      <c r="H421" s="29"/>
      <c r="I421" s="43"/>
      <c r="J421" s="43"/>
      <c r="K421" s="29"/>
      <c r="L421" s="29"/>
    </row>
    <row r="422" spans="1:12" x14ac:dyDescent="0.25">
      <c r="A422" s="4"/>
      <c r="B422" s="28" t="str">
        <f>IF(ISNUMBER(MATCH(D422, Mgt_Unit!$C$5:$C$1018, 0)), INDEX(Mgt_Unit!$B$5:$B$1018, MATCH(D422, Mgt_Unit!$C$5:$C$1018, 0)), "")</f>
        <v/>
      </c>
      <c r="C422" s="28"/>
      <c r="D422" s="9"/>
      <c r="E422" s="45"/>
      <c r="F422" s="29"/>
      <c r="G422" s="29"/>
      <c r="H422" s="29"/>
      <c r="I422" s="43"/>
      <c r="J422" s="43"/>
      <c r="K422" s="29"/>
      <c r="L422" s="29"/>
    </row>
    <row r="423" spans="1:12" x14ac:dyDescent="0.25">
      <c r="A423" s="4"/>
      <c r="B423" s="28" t="str">
        <f>IF(ISNUMBER(MATCH(D423, Mgt_Unit!$C$5:$C$1018, 0)), INDEX(Mgt_Unit!$B$5:$B$1018, MATCH(D423, Mgt_Unit!$C$5:$C$1018, 0)), "")</f>
        <v/>
      </c>
      <c r="C423" s="28"/>
      <c r="D423" s="9"/>
      <c r="E423" s="45"/>
      <c r="F423" s="29"/>
      <c r="G423" s="29"/>
      <c r="H423" s="29"/>
      <c r="I423" s="43"/>
      <c r="J423" s="43"/>
      <c r="K423" s="29"/>
      <c r="L423" s="29"/>
    </row>
    <row r="424" spans="1:12" x14ac:dyDescent="0.25">
      <c r="A424" s="4"/>
      <c r="B424" s="28" t="str">
        <f>IF(ISNUMBER(MATCH(D424, Mgt_Unit!$C$5:$C$1018, 0)), INDEX(Mgt_Unit!$B$5:$B$1018, MATCH(D424, Mgt_Unit!$C$5:$C$1018, 0)), "")</f>
        <v/>
      </c>
      <c r="C424" s="28"/>
      <c r="D424" s="9"/>
      <c r="E424" s="45"/>
      <c r="F424" s="29"/>
      <c r="G424" s="29"/>
      <c r="H424" s="29"/>
      <c r="I424" s="43"/>
      <c r="J424" s="43"/>
      <c r="K424" s="29"/>
      <c r="L424" s="29"/>
    </row>
    <row r="425" spans="1:12" x14ac:dyDescent="0.25">
      <c r="A425" s="4"/>
      <c r="B425" s="28" t="str">
        <f>IF(ISNUMBER(MATCH(D425, Mgt_Unit!$C$5:$C$1018, 0)), INDEX(Mgt_Unit!$B$5:$B$1018, MATCH(D425, Mgt_Unit!$C$5:$C$1018, 0)), "")</f>
        <v/>
      </c>
      <c r="C425" s="28"/>
      <c r="D425" s="9"/>
      <c r="E425" s="45"/>
      <c r="F425" s="29"/>
      <c r="G425" s="29"/>
      <c r="H425" s="29"/>
      <c r="I425" s="43"/>
      <c r="J425" s="43"/>
      <c r="K425" s="29"/>
      <c r="L425" s="29"/>
    </row>
    <row r="426" spans="1:12" x14ac:dyDescent="0.25">
      <c r="A426" s="4"/>
      <c r="B426" s="28" t="str">
        <f>IF(ISNUMBER(MATCH(D426, Mgt_Unit!$C$5:$C$1018, 0)), INDEX(Mgt_Unit!$B$5:$B$1018, MATCH(D426, Mgt_Unit!$C$5:$C$1018, 0)), "")</f>
        <v/>
      </c>
      <c r="C426" s="28"/>
      <c r="D426" s="9"/>
      <c r="E426" s="45"/>
      <c r="F426" s="29"/>
      <c r="G426" s="29"/>
      <c r="H426" s="29"/>
      <c r="I426" s="43"/>
      <c r="J426" s="43"/>
      <c r="K426" s="29"/>
      <c r="L426" s="29"/>
    </row>
    <row r="427" spans="1:12" x14ac:dyDescent="0.25">
      <c r="A427" s="4"/>
      <c r="B427" s="28" t="str">
        <f>IF(ISNUMBER(MATCH(D427, Mgt_Unit!$C$5:$C$1018, 0)), INDEX(Mgt_Unit!$B$5:$B$1018, MATCH(D427, Mgt_Unit!$C$5:$C$1018, 0)), "")</f>
        <v/>
      </c>
      <c r="C427" s="28"/>
      <c r="D427" s="9"/>
      <c r="E427" s="45"/>
      <c r="F427" s="29"/>
      <c r="G427" s="29"/>
      <c r="H427" s="29"/>
      <c r="I427" s="43"/>
      <c r="J427" s="43"/>
      <c r="K427" s="29"/>
      <c r="L427" s="29"/>
    </row>
    <row r="428" spans="1:12" x14ac:dyDescent="0.25">
      <c r="A428" s="4"/>
      <c r="B428" s="28" t="str">
        <f>IF(ISNUMBER(MATCH(D428, Mgt_Unit!$C$5:$C$1018, 0)), INDEX(Mgt_Unit!$B$5:$B$1018, MATCH(D428, Mgt_Unit!$C$5:$C$1018, 0)), "")</f>
        <v/>
      </c>
      <c r="C428" s="28"/>
      <c r="D428" s="9"/>
      <c r="E428" s="45"/>
      <c r="F428" s="29"/>
      <c r="G428" s="29"/>
      <c r="H428" s="29"/>
      <c r="I428" s="43"/>
      <c r="J428" s="43"/>
      <c r="K428" s="29"/>
      <c r="L428" s="29"/>
    </row>
    <row r="429" spans="1:12" x14ac:dyDescent="0.25">
      <c r="A429" s="4"/>
      <c r="B429" s="28" t="str">
        <f>IF(ISNUMBER(MATCH(D429, Mgt_Unit!$C$5:$C$1018, 0)), INDEX(Mgt_Unit!$B$5:$B$1018, MATCH(D429, Mgt_Unit!$C$5:$C$1018, 0)), "")</f>
        <v/>
      </c>
      <c r="C429" s="28"/>
      <c r="D429" s="9"/>
      <c r="E429" s="45"/>
      <c r="F429" s="29"/>
      <c r="G429" s="29"/>
      <c r="H429" s="29"/>
      <c r="I429" s="43"/>
      <c r="J429" s="43"/>
      <c r="K429" s="29"/>
      <c r="L429" s="29"/>
    </row>
    <row r="430" spans="1:12" x14ac:dyDescent="0.25">
      <c r="A430" s="4"/>
      <c r="B430" s="28" t="str">
        <f>IF(ISNUMBER(MATCH(D430, Mgt_Unit!$C$5:$C$1018, 0)), INDEX(Mgt_Unit!$B$5:$B$1018, MATCH(D430, Mgt_Unit!$C$5:$C$1018, 0)), "")</f>
        <v/>
      </c>
      <c r="C430" s="28"/>
      <c r="D430" s="9"/>
      <c r="E430" s="45"/>
      <c r="F430" s="29"/>
      <c r="G430" s="29"/>
      <c r="H430" s="29"/>
      <c r="I430" s="43"/>
      <c r="J430" s="43"/>
      <c r="K430" s="29"/>
      <c r="L430" s="29"/>
    </row>
    <row r="431" spans="1:12" x14ac:dyDescent="0.25">
      <c r="A431" s="4"/>
      <c r="B431" s="28" t="str">
        <f>IF(ISNUMBER(MATCH(D431, Mgt_Unit!$C$5:$C$1018, 0)), INDEX(Mgt_Unit!$B$5:$B$1018, MATCH(D431, Mgt_Unit!$C$5:$C$1018, 0)), "")</f>
        <v/>
      </c>
      <c r="C431" s="28"/>
      <c r="D431" s="9"/>
      <c r="E431" s="45"/>
      <c r="F431" s="29"/>
      <c r="G431" s="29"/>
      <c r="H431" s="29"/>
      <c r="I431" s="43"/>
      <c r="J431" s="43"/>
      <c r="K431" s="29"/>
      <c r="L431" s="29"/>
    </row>
    <row r="432" spans="1:12" x14ac:dyDescent="0.25">
      <c r="A432" s="4"/>
      <c r="B432" s="28" t="str">
        <f>IF(ISNUMBER(MATCH(D432, Mgt_Unit!$C$5:$C$1018, 0)), INDEX(Mgt_Unit!$B$5:$B$1018, MATCH(D432, Mgt_Unit!$C$5:$C$1018, 0)), "")</f>
        <v/>
      </c>
      <c r="C432" s="28"/>
      <c r="D432" s="9"/>
      <c r="E432" s="45"/>
      <c r="F432" s="29"/>
      <c r="G432" s="29"/>
      <c r="H432" s="29"/>
      <c r="I432" s="43"/>
      <c r="J432" s="43"/>
      <c r="K432" s="29"/>
      <c r="L432" s="29"/>
    </row>
    <row r="433" spans="1:12" x14ac:dyDescent="0.25">
      <c r="A433" s="4"/>
      <c r="B433" s="28" t="str">
        <f>IF(ISNUMBER(MATCH(D433, Mgt_Unit!$C$5:$C$1018, 0)), INDEX(Mgt_Unit!$B$5:$B$1018, MATCH(D433, Mgt_Unit!$C$5:$C$1018, 0)), "")</f>
        <v/>
      </c>
      <c r="C433" s="28"/>
      <c r="D433" s="9"/>
      <c r="E433" s="45"/>
      <c r="F433" s="29"/>
      <c r="G433" s="29"/>
      <c r="H433" s="29"/>
      <c r="I433" s="43"/>
      <c r="J433" s="43"/>
      <c r="K433" s="29"/>
      <c r="L433" s="29"/>
    </row>
    <row r="434" spans="1:12" x14ac:dyDescent="0.25">
      <c r="A434" s="4"/>
      <c r="B434" s="28" t="str">
        <f>IF(ISNUMBER(MATCH(D434, Mgt_Unit!$C$5:$C$1018, 0)), INDEX(Mgt_Unit!$B$5:$B$1018, MATCH(D434, Mgt_Unit!$C$5:$C$1018, 0)), "")</f>
        <v/>
      </c>
      <c r="C434" s="28"/>
      <c r="D434" s="9"/>
      <c r="E434" s="45"/>
      <c r="F434" s="29"/>
      <c r="G434" s="29"/>
      <c r="H434" s="29"/>
      <c r="I434" s="43"/>
      <c r="J434" s="43"/>
      <c r="K434" s="29"/>
      <c r="L434" s="29"/>
    </row>
    <row r="435" spans="1:12" x14ac:dyDescent="0.25">
      <c r="A435" s="4"/>
      <c r="B435" s="28" t="str">
        <f>IF(ISNUMBER(MATCH(D435, Mgt_Unit!$C$5:$C$1018, 0)), INDEX(Mgt_Unit!$B$5:$B$1018, MATCH(D435, Mgt_Unit!$C$5:$C$1018, 0)), "")</f>
        <v/>
      </c>
      <c r="C435" s="28"/>
      <c r="D435" s="9"/>
      <c r="E435" s="45"/>
      <c r="F435" s="29"/>
      <c r="G435" s="29"/>
      <c r="H435" s="29"/>
      <c r="I435" s="43"/>
      <c r="J435" s="43"/>
      <c r="K435" s="29"/>
      <c r="L435" s="29"/>
    </row>
    <row r="436" spans="1:12" x14ac:dyDescent="0.25">
      <c r="A436" s="4"/>
      <c r="B436" s="28" t="str">
        <f>IF(ISNUMBER(MATCH(D436, Mgt_Unit!$C$5:$C$1018, 0)), INDEX(Mgt_Unit!$B$5:$B$1018, MATCH(D436, Mgt_Unit!$C$5:$C$1018, 0)), "")</f>
        <v/>
      </c>
      <c r="C436" s="28"/>
      <c r="D436" s="9"/>
      <c r="E436" s="45"/>
      <c r="F436" s="29"/>
      <c r="G436" s="29"/>
      <c r="H436" s="29"/>
      <c r="I436" s="43"/>
      <c r="J436" s="43"/>
      <c r="K436" s="29"/>
      <c r="L436" s="29"/>
    </row>
    <row r="437" spans="1:12" x14ac:dyDescent="0.25">
      <c r="A437" s="4"/>
      <c r="B437" s="28" t="str">
        <f>IF(ISNUMBER(MATCH(D437, Mgt_Unit!$C$5:$C$1018, 0)), INDEX(Mgt_Unit!$B$5:$B$1018, MATCH(D437, Mgt_Unit!$C$5:$C$1018, 0)), "")</f>
        <v/>
      </c>
      <c r="C437" s="28"/>
      <c r="D437" s="9"/>
      <c r="E437" s="45"/>
      <c r="F437" s="29"/>
      <c r="G437" s="29"/>
      <c r="H437" s="29"/>
      <c r="I437" s="43"/>
      <c r="J437" s="43"/>
      <c r="K437" s="29"/>
      <c r="L437" s="29"/>
    </row>
    <row r="438" spans="1:12" x14ac:dyDescent="0.25">
      <c r="A438" s="4"/>
      <c r="B438" s="28" t="str">
        <f>IF(ISNUMBER(MATCH(D438, Mgt_Unit!$C$5:$C$1018, 0)), INDEX(Mgt_Unit!$B$5:$B$1018, MATCH(D438, Mgt_Unit!$C$5:$C$1018, 0)), "")</f>
        <v/>
      </c>
      <c r="C438" s="28"/>
      <c r="D438" s="9"/>
      <c r="E438" s="45"/>
      <c r="F438" s="29"/>
      <c r="G438" s="29"/>
      <c r="H438" s="29"/>
      <c r="I438" s="43"/>
      <c r="J438" s="43"/>
      <c r="K438" s="29"/>
      <c r="L438" s="29"/>
    </row>
    <row r="439" spans="1:12" x14ac:dyDescent="0.25">
      <c r="A439" s="4"/>
      <c r="B439" s="28" t="str">
        <f>IF(ISNUMBER(MATCH(D439, Mgt_Unit!$C$5:$C$1018, 0)), INDEX(Mgt_Unit!$B$5:$B$1018, MATCH(D439, Mgt_Unit!$C$5:$C$1018, 0)), "")</f>
        <v/>
      </c>
      <c r="C439" s="28"/>
      <c r="D439" s="9"/>
      <c r="E439" s="45"/>
      <c r="F439" s="29"/>
      <c r="G439" s="29"/>
      <c r="H439" s="29"/>
      <c r="I439" s="43"/>
      <c r="J439" s="43"/>
      <c r="K439" s="29"/>
      <c r="L439" s="29"/>
    </row>
    <row r="440" spans="1:12" x14ac:dyDescent="0.25">
      <c r="A440" s="4"/>
      <c r="B440" s="28" t="str">
        <f>IF(ISNUMBER(MATCH(D440, Mgt_Unit!$C$5:$C$1018, 0)), INDEX(Mgt_Unit!$B$5:$B$1018, MATCH(D440, Mgt_Unit!$C$5:$C$1018, 0)), "")</f>
        <v/>
      </c>
      <c r="C440" s="28"/>
      <c r="D440" s="9"/>
      <c r="E440" s="45"/>
      <c r="F440" s="29"/>
      <c r="G440" s="29"/>
      <c r="H440" s="29"/>
      <c r="I440" s="43"/>
      <c r="J440" s="43"/>
      <c r="K440" s="29"/>
      <c r="L440" s="29"/>
    </row>
    <row r="441" spans="1:12" x14ac:dyDescent="0.25">
      <c r="A441" s="4"/>
      <c r="B441" s="28" t="str">
        <f>IF(ISNUMBER(MATCH(D441, Mgt_Unit!$C$5:$C$1018, 0)), INDEX(Mgt_Unit!$B$5:$B$1018, MATCH(D441, Mgt_Unit!$C$5:$C$1018, 0)), "")</f>
        <v/>
      </c>
      <c r="C441" s="28"/>
      <c r="D441" s="9"/>
      <c r="E441" s="45"/>
      <c r="F441" s="29"/>
      <c r="G441" s="29"/>
      <c r="H441" s="29"/>
      <c r="I441" s="43"/>
      <c r="J441" s="43"/>
      <c r="K441" s="29"/>
      <c r="L441" s="29"/>
    </row>
    <row r="442" spans="1:12" x14ac:dyDescent="0.25">
      <c r="A442" s="4"/>
      <c r="B442" s="28" t="str">
        <f>IF(ISNUMBER(MATCH(D442, Mgt_Unit!$C$5:$C$1018, 0)), INDEX(Mgt_Unit!$B$5:$B$1018, MATCH(D442, Mgt_Unit!$C$5:$C$1018, 0)), "")</f>
        <v/>
      </c>
      <c r="C442" s="28"/>
      <c r="D442" s="9"/>
      <c r="E442" s="45"/>
      <c r="F442" s="29"/>
      <c r="G442" s="29"/>
      <c r="H442" s="29"/>
      <c r="I442" s="43"/>
      <c r="J442" s="43"/>
      <c r="K442" s="29"/>
      <c r="L442" s="29"/>
    </row>
    <row r="443" spans="1:12" x14ac:dyDescent="0.25">
      <c r="A443" s="4"/>
      <c r="B443" s="28" t="str">
        <f>IF(ISNUMBER(MATCH(D443, Mgt_Unit!$C$5:$C$1018, 0)), INDEX(Mgt_Unit!$B$5:$B$1018, MATCH(D443, Mgt_Unit!$C$5:$C$1018, 0)), "")</f>
        <v/>
      </c>
      <c r="C443" s="28"/>
      <c r="D443" s="9"/>
      <c r="E443" s="45"/>
      <c r="F443" s="29"/>
      <c r="G443" s="29"/>
      <c r="H443" s="29"/>
      <c r="I443" s="43"/>
      <c r="J443" s="43"/>
      <c r="K443" s="29"/>
      <c r="L443" s="29"/>
    </row>
    <row r="444" spans="1:12" x14ac:dyDescent="0.25">
      <c r="A444" s="4"/>
      <c r="B444" s="28" t="str">
        <f>IF(ISNUMBER(MATCH(D444, Mgt_Unit!$C$5:$C$1018, 0)), INDEX(Mgt_Unit!$B$5:$B$1018, MATCH(D444, Mgt_Unit!$C$5:$C$1018, 0)), "")</f>
        <v/>
      </c>
      <c r="C444" s="28"/>
      <c r="D444" s="9"/>
      <c r="E444" s="45"/>
      <c r="F444" s="29"/>
      <c r="G444" s="29"/>
      <c r="H444" s="29"/>
      <c r="I444" s="43"/>
      <c r="J444" s="43"/>
      <c r="K444" s="29"/>
      <c r="L444" s="29"/>
    </row>
    <row r="445" spans="1:12" x14ac:dyDescent="0.25">
      <c r="A445" s="4"/>
      <c r="B445" s="28" t="str">
        <f>IF(ISNUMBER(MATCH(D445, Mgt_Unit!$C$5:$C$1018, 0)), INDEX(Mgt_Unit!$B$5:$B$1018, MATCH(D445, Mgt_Unit!$C$5:$C$1018, 0)), "")</f>
        <v/>
      </c>
      <c r="C445" s="28"/>
      <c r="D445" s="9"/>
      <c r="E445" s="45"/>
      <c r="F445" s="29"/>
      <c r="G445" s="29"/>
      <c r="H445" s="29"/>
      <c r="I445" s="43"/>
      <c r="J445" s="43"/>
      <c r="K445" s="29"/>
      <c r="L445" s="29"/>
    </row>
    <row r="446" spans="1:12" x14ac:dyDescent="0.25">
      <c r="A446" s="4"/>
      <c r="B446" s="28" t="str">
        <f>IF(ISNUMBER(MATCH(D446, Mgt_Unit!$C$5:$C$1018, 0)), INDEX(Mgt_Unit!$B$5:$B$1018, MATCH(D446, Mgt_Unit!$C$5:$C$1018, 0)), "")</f>
        <v/>
      </c>
      <c r="C446" s="28"/>
      <c r="D446" s="9"/>
      <c r="E446" s="45"/>
      <c r="F446" s="29"/>
      <c r="G446" s="29"/>
      <c r="H446" s="29"/>
      <c r="I446" s="43"/>
      <c r="J446" s="43"/>
      <c r="K446" s="29"/>
      <c r="L446" s="29"/>
    </row>
    <row r="447" spans="1:12" x14ac:dyDescent="0.25">
      <c r="A447" s="4"/>
      <c r="B447" s="28" t="str">
        <f>IF(ISNUMBER(MATCH(D447, Mgt_Unit!$C$5:$C$1018, 0)), INDEX(Mgt_Unit!$B$5:$B$1018, MATCH(D447, Mgt_Unit!$C$5:$C$1018, 0)), "")</f>
        <v/>
      </c>
      <c r="C447" s="28"/>
      <c r="D447" s="9"/>
      <c r="E447" s="45"/>
      <c r="F447" s="29"/>
      <c r="G447" s="29"/>
      <c r="H447" s="29"/>
      <c r="I447" s="43"/>
      <c r="J447" s="43"/>
      <c r="K447" s="29"/>
      <c r="L447" s="29"/>
    </row>
    <row r="448" spans="1:12" x14ac:dyDescent="0.25">
      <c r="A448" s="4"/>
      <c r="B448" s="28" t="str">
        <f>IF(ISNUMBER(MATCH(D448, Mgt_Unit!$C$5:$C$1018, 0)), INDEX(Mgt_Unit!$B$5:$B$1018, MATCH(D448, Mgt_Unit!$C$5:$C$1018, 0)), "")</f>
        <v/>
      </c>
      <c r="C448" s="28"/>
      <c r="D448" s="9"/>
      <c r="E448" s="45"/>
      <c r="F448" s="29"/>
      <c r="G448" s="29"/>
      <c r="H448" s="29"/>
      <c r="I448" s="43"/>
      <c r="J448" s="43"/>
      <c r="K448" s="29"/>
      <c r="L448" s="29"/>
    </row>
    <row r="449" spans="1:12" x14ac:dyDescent="0.25">
      <c r="A449" s="4"/>
      <c r="B449" s="28" t="str">
        <f>IF(ISNUMBER(MATCH(D449, Mgt_Unit!$C$5:$C$1018, 0)), INDEX(Mgt_Unit!$B$5:$B$1018, MATCH(D449, Mgt_Unit!$C$5:$C$1018, 0)), "")</f>
        <v/>
      </c>
      <c r="C449" s="28"/>
      <c r="D449" s="9"/>
      <c r="E449" s="45"/>
      <c r="F449" s="29"/>
      <c r="G449" s="29"/>
      <c r="H449" s="29"/>
      <c r="I449" s="43"/>
      <c r="J449" s="43"/>
      <c r="K449" s="29"/>
      <c r="L449" s="29"/>
    </row>
    <row r="450" spans="1:12" x14ac:dyDescent="0.25">
      <c r="A450" s="4"/>
      <c r="B450" s="28" t="str">
        <f>IF(ISNUMBER(MATCH(D450, Mgt_Unit!$C$5:$C$1018, 0)), INDEX(Mgt_Unit!$B$5:$B$1018, MATCH(D450, Mgt_Unit!$C$5:$C$1018, 0)), "")</f>
        <v/>
      </c>
      <c r="C450" s="28"/>
      <c r="D450" s="9"/>
      <c r="E450" s="45"/>
      <c r="F450" s="29"/>
      <c r="G450" s="29"/>
      <c r="H450" s="29"/>
      <c r="I450" s="43"/>
      <c r="J450" s="43"/>
      <c r="K450" s="29"/>
      <c r="L450" s="29"/>
    </row>
    <row r="451" spans="1:12" x14ac:dyDescent="0.25">
      <c r="A451" s="4"/>
      <c r="B451" s="28" t="str">
        <f>IF(ISNUMBER(MATCH(D451, Mgt_Unit!$C$5:$C$1018, 0)), INDEX(Mgt_Unit!$B$5:$B$1018, MATCH(D451, Mgt_Unit!$C$5:$C$1018, 0)), "")</f>
        <v/>
      </c>
      <c r="C451" s="28"/>
      <c r="D451" s="9"/>
      <c r="E451" s="45"/>
      <c r="F451" s="29"/>
      <c r="G451" s="29"/>
      <c r="H451" s="29"/>
      <c r="I451" s="43"/>
      <c r="J451" s="43"/>
      <c r="K451" s="29"/>
      <c r="L451" s="29"/>
    </row>
    <row r="452" spans="1:12" x14ac:dyDescent="0.25">
      <c r="A452" s="4"/>
      <c r="B452" s="28" t="str">
        <f>IF(ISNUMBER(MATCH(D452, Mgt_Unit!$C$5:$C$1018, 0)), INDEX(Mgt_Unit!$B$5:$B$1018, MATCH(D452, Mgt_Unit!$C$5:$C$1018, 0)), "")</f>
        <v/>
      </c>
      <c r="C452" s="28"/>
      <c r="D452" s="9"/>
      <c r="E452" s="45"/>
      <c r="F452" s="29"/>
      <c r="G452" s="29"/>
      <c r="H452" s="29"/>
      <c r="I452" s="43"/>
      <c r="J452" s="43"/>
      <c r="K452" s="29"/>
      <c r="L452" s="29"/>
    </row>
    <row r="453" spans="1:12" x14ac:dyDescent="0.25">
      <c r="A453" s="4"/>
      <c r="B453" s="28" t="str">
        <f>IF(ISNUMBER(MATCH(D453, Mgt_Unit!$C$5:$C$1018, 0)), INDEX(Mgt_Unit!$B$5:$B$1018, MATCH(D453, Mgt_Unit!$C$5:$C$1018, 0)), "")</f>
        <v/>
      </c>
      <c r="C453" s="28"/>
      <c r="D453" s="9"/>
      <c r="E453" s="45"/>
      <c r="F453" s="29"/>
      <c r="G453" s="29"/>
      <c r="H453" s="29"/>
      <c r="I453" s="43"/>
      <c r="J453" s="43"/>
      <c r="K453" s="29"/>
      <c r="L453" s="29"/>
    </row>
    <row r="454" spans="1:12" x14ac:dyDescent="0.25">
      <c r="A454" s="4"/>
      <c r="B454" s="28" t="str">
        <f>IF(ISNUMBER(MATCH(D454, Mgt_Unit!$C$5:$C$1018, 0)), INDEX(Mgt_Unit!$B$5:$B$1018, MATCH(D454, Mgt_Unit!$C$5:$C$1018, 0)), "")</f>
        <v/>
      </c>
      <c r="C454" s="28"/>
      <c r="D454" s="9"/>
      <c r="E454" s="45"/>
      <c r="F454" s="29"/>
      <c r="G454" s="29"/>
      <c r="H454" s="29"/>
      <c r="I454" s="43"/>
      <c r="J454" s="43"/>
      <c r="K454" s="29"/>
      <c r="L454" s="29"/>
    </row>
    <row r="455" spans="1:12" x14ac:dyDescent="0.25">
      <c r="A455" s="4"/>
      <c r="B455" s="28" t="str">
        <f>IF(ISNUMBER(MATCH(D455, Mgt_Unit!$C$5:$C$1018, 0)), INDEX(Mgt_Unit!$B$5:$B$1018, MATCH(D455, Mgt_Unit!$C$5:$C$1018, 0)), "")</f>
        <v/>
      </c>
      <c r="C455" s="28"/>
      <c r="D455" s="9"/>
      <c r="E455" s="45"/>
      <c r="F455" s="29"/>
      <c r="G455" s="29"/>
      <c r="H455" s="29"/>
      <c r="I455" s="43"/>
      <c r="J455" s="43"/>
      <c r="K455" s="29"/>
      <c r="L455" s="29"/>
    </row>
    <row r="456" spans="1:12" x14ac:dyDescent="0.25">
      <c r="A456" s="4"/>
      <c r="B456" s="28" t="str">
        <f>IF(ISNUMBER(MATCH(D456, Mgt_Unit!$C$5:$C$1018, 0)), INDEX(Mgt_Unit!$B$5:$B$1018, MATCH(D456, Mgt_Unit!$C$5:$C$1018, 0)), "")</f>
        <v/>
      </c>
      <c r="C456" s="28"/>
      <c r="D456" s="9"/>
      <c r="E456" s="45"/>
      <c r="F456" s="29"/>
      <c r="G456" s="29"/>
      <c r="H456" s="29"/>
      <c r="I456" s="43"/>
      <c r="J456" s="43"/>
      <c r="K456" s="29"/>
      <c r="L456" s="29"/>
    </row>
    <row r="457" spans="1:12" x14ac:dyDescent="0.25">
      <c r="A457" s="4"/>
      <c r="B457" s="28" t="str">
        <f>IF(ISNUMBER(MATCH(D457, Mgt_Unit!$C$5:$C$1018, 0)), INDEX(Mgt_Unit!$B$5:$B$1018, MATCH(D457, Mgt_Unit!$C$5:$C$1018, 0)), "")</f>
        <v/>
      </c>
      <c r="C457" s="28"/>
      <c r="D457" s="9"/>
      <c r="E457" s="45"/>
      <c r="F457" s="29"/>
      <c r="G457" s="29"/>
      <c r="H457" s="29"/>
      <c r="I457" s="43"/>
      <c r="J457" s="43"/>
      <c r="K457" s="29"/>
      <c r="L457" s="29"/>
    </row>
    <row r="458" spans="1:12" x14ac:dyDescent="0.25">
      <c r="A458" s="4"/>
      <c r="B458" s="28" t="str">
        <f>IF(ISNUMBER(MATCH(D458, Mgt_Unit!$C$5:$C$1018, 0)), INDEX(Mgt_Unit!$B$5:$B$1018, MATCH(D458, Mgt_Unit!$C$5:$C$1018, 0)), "")</f>
        <v/>
      </c>
      <c r="C458" s="28"/>
      <c r="D458" s="9"/>
      <c r="E458" s="45"/>
      <c r="F458" s="29"/>
      <c r="G458" s="29"/>
      <c r="H458" s="29"/>
      <c r="I458" s="43"/>
      <c r="J458" s="43"/>
      <c r="K458" s="29"/>
      <c r="L458" s="29"/>
    </row>
    <row r="459" spans="1:12" x14ac:dyDescent="0.25">
      <c r="A459" s="4"/>
      <c r="B459" s="28" t="str">
        <f>IF(ISNUMBER(MATCH(D459, Mgt_Unit!$C$5:$C$1018, 0)), INDEX(Mgt_Unit!$B$5:$B$1018, MATCH(D459, Mgt_Unit!$C$5:$C$1018, 0)), "")</f>
        <v/>
      </c>
      <c r="C459" s="28"/>
      <c r="D459" s="9"/>
      <c r="E459" s="45"/>
      <c r="F459" s="29"/>
      <c r="G459" s="29"/>
      <c r="H459" s="29"/>
      <c r="I459" s="43"/>
      <c r="J459" s="43"/>
      <c r="K459" s="29"/>
      <c r="L459" s="29"/>
    </row>
    <row r="460" spans="1:12" x14ac:dyDescent="0.25">
      <c r="A460" s="4"/>
      <c r="B460" s="28" t="str">
        <f>IF(ISNUMBER(MATCH(D460, Mgt_Unit!$C$5:$C$1018, 0)), INDEX(Mgt_Unit!$B$5:$B$1018, MATCH(D460, Mgt_Unit!$C$5:$C$1018, 0)), "")</f>
        <v/>
      </c>
      <c r="C460" s="28"/>
      <c r="D460" s="9"/>
      <c r="E460" s="45"/>
      <c r="F460" s="29"/>
      <c r="G460" s="29"/>
      <c r="H460" s="29"/>
      <c r="I460" s="43"/>
      <c r="J460" s="43"/>
      <c r="K460" s="29"/>
      <c r="L460" s="29"/>
    </row>
    <row r="461" spans="1:12" x14ac:dyDescent="0.25">
      <c r="A461" s="4"/>
      <c r="B461" s="28" t="str">
        <f>IF(ISNUMBER(MATCH(D461, Mgt_Unit!$C$5:$C$1018, 0)), INDEX(Mgt_Unit!$B$5:$B$1018, MATCH(D461, Mgt_Unit!$C$5:$C$1018, 0)), "")</f>
        <v/>
      </c>
      <c r="C461" s="28"/>
      <c r="D461" s="9"/>
      <c r="E461" s="45"/>
      <c r="F461" s="29"/>
      <c r="G461" s="29"/>
      <c r="H461" s="29"/>
      <c r="I461" s="43"/>
      <c r="J461" s="43"/>
      <c r="K461" s="29"/>
      <c r="L461" s="29"/>
    </row>
    <row r="462" spans="1:12" x14ac:dyDescent="0.25">
      <c r="A462" s="4"/>
      <c r="B462" s="28" t="str">
        <f>IF(ISNUMBER(MATCH(D462, Mgt_Unit!$C$5:$C$1018, 0)), INDEX(Mgt_Unit!$B$5:$B$1018, MATCH(D462, Mgt_Unit!$C$5:$C$1018, 0)), "")</f>
        <v/>
      </c>
      <c r="C462" s="28"/>
      <c r="D462" s="9"/>
      <c r="E462" s="45"/>
      <c r="F462" s="29"/>
      <c r="G462" s="29"/>
      <c r="H462" s="29"/>
      <c r="I462" s="43"/>
      <c r="J462" s="43"/>
      <c r="K462" s="29"/>
      <c r="L462" s="29"/>
    </row>
    <row r="463" spans="1:12" x14ac:dyDescent="0.25">
      <c r="A463" s="4"/>
      <c r="B463" s="28" t="str">
        <f>IF(ISNUMBER(MATCH(D463, Mgt_Unit!$C$5:$C$1018, 0)), INDEX(Mgt_Unit!$B$5:$B$1018, MATCH(D463, Mgt_Unit!$C$5:$C$1018, 0)), "")</f>
        <v/>
      </c>
      <c r="C463" s="28"/>
      <c r="D463" s="9"/>
      <c r="E463" s="45"/>
      <c r="F463" s="29"/>
      <c r="G463" s="29"/>
      <c r="H463" s="29"/>
      <c r="I463" s="43"/>
      <c r="J463" s="43"/>
      <c r="K463" s="29"/>
      <c r="L463" s="29"/>
    </row>
    <row r="464" spans="1:12" x14ac:dyDescent="0.25">
      <c r="A464" s="4"/>
      <c r="B464" s="28" t="str">
        <f>IF(ISNUMBER(MATCH(D464, Mgt_Unit!$C$5:$C$1018, 0)), INDEX(Mgt_Unit!$B$5:$B$1018, MATCH(D464, Mgt_Unit!$C$5:$C$1018, 0)), "")</f>
        <v/>
      </c>
      <c r="C464" s="28"/>
      <c r="D464" s="9"/>
      <c r="E464" s="45"/>
      <c r="F464" s="29"/>
      <c r="G464" s="29"/>
      <c r="H464" s="29"/>
      <c r="I464" s="43"/>
      <c r="J464" s="43"/>
      <c r="K464" s="29"/>
      <c r="L464" s="29"/>
    </row>
    <row r="465" spans="1:12" x14ac:dyDescent="0.25">
      <c r="A465" s="4"/>
      <c r="B465" s="28" t="str">
        <f>IF(ISNUMBER(MATCH(D465, Mgt_Unit!$C$5:$C$1018, 0)), INDEX(Mgt_Unit!$B$5:$B$1018, MATCH(D465, Mgt_Unit!$C$5:$C$1018, 0)), "")</f>
        <v/>
      </c>
      <c r="C465" s="28"/>
      <c r="D465" s="9"/>
      <c r="E465" s="45"/>
      <c r="F465" s="29"/>
      <c r="G465" s="29"/>
      <c r="H465" s="29"/>
      <c r="I465" s="43"/>
      <c r="J465" s="43"/>
      <c r="K465" s="29"/>
      <c r="L465" s="29"/>
    </row>
    <row r="466" spans="1:12" x14ac:dyDescent="0.25">
      <c r="A466" s="4"/>
      <c r="B466" s="28" t="str">
        <f>IF(ISNUMBER(MATCH(D466, Mgt_Unit!$C$5:$C$1018, 0)), INDEX(Mgt_Unit!$B$5:$B$1018, MATCH(D466, Mgt_Unit!$C$5:$C$1018, 0)), "")</f>
        <v/>
      </c>
      <c r="C466" s="28"/>
      <c r="D466" s="9"/>
      <c r="E466" s="45"/>
      <c r="F466" s="29"/>
      <c r="G466" s="29"/>
      <c r="H466" s="29"/>
      <c r="I466" s="43"/>
      <c r="J466" s="43"/>
      <c r="K466" s="29"/>
      <c r="L466" s="29"/>
    </row>
    <row r="467" spans="1:12" x14ac:dyDescent="0.25">
      <c r="A467" s="4"/>
      <c r="B467" s="28" t="str">
        <f>IF(ISNUMBER(MATCH(D467, Mgt_Unit!$C$5:$C$1018, 0)), INDEX(Mgt_Unit!$B$5:$B$1018, MATCH(D467, Mgt_Unit!$C$5:$C$1018, 0)), "")</f>
        <v/>
      </c>
      <c r="C467" s="28"/>
      <c r="D467" s="9"/>
      <c r="E467" s="45"/>
      <c r="F467" s="29"/>
      <c r="G467" s="29"/>
      <c r="H467" s="29"/>
      <c r="I467" s="43"/>
      <c r="J467" s="43"/>
      <c r="K467" s="29"/>
      <c r="L467" s="29"/>
    </row>
    <row r="468" spans="1:12" x14ac:dyDescent="0.25">
      <c r="A468" s="4"/>
      <c r="B468" s="28" t="str">
        <f>IF(ISNUMBER(MATCH(D468, Mgt_Unit!$C$5:$C$1018, 0)), INDEX(Mgt_Unit!$B$5:$B$1018, MATCH(D468, Mgt_Unit!$C$5:$C$1018, 0)), "")</f>
        <v/>
      </c>
      <c r="C468" s="28"/>
      <c r="D468" s="9"/>
      <c r="E468" s="45"/>
      <c r="F468" s="29"/>
      <c r="G468" s="29"/>
      <c r="H468" s="29"/>
      <c r="I468" s="43"/>
      <c r="J468" s="43"/>
      <c r="K468" s="29"/>
      <c r="L468" s="29"/>
    </row>
    <row r="469" spans="1:12" x14ac:dyDescent="0.25">
      <c r="A469" s="4"/>
      <c r="B469" s="28" t="str">
        <f>IF(ISNUMBER(MATCH(D469, Mgt_Unit!$C$5:$C$1018, 0)), INDEX(Mgt_Unit!$B$5:$B$1018, MATCH(D469, Mgt_Unit!$C$5:$C$1018, 0)), "")</f>
        <v/>
      </c>
      <c r="C469" s="28"/>
      <c r="D469" s="9"/>
      <c r="E469" s="45"/>
      <c r="F469" s="29"/>
      <c r="G469" s="29"/>
      <c r="H469" s="29"/>
      <c r="I469" s="43"/>
      <c r="J469" s="43"/>
      <c r="K469" s="29"/>
      <c r="L469" s="29"/>
    </row>
    <row r="470" spans="1:12" x14ac:dyDescent="0.25">
      <c r="A470" s="4"/>
      <c r="B470" s="28" t="str">
        <f>IF(ISNUMBER(MATCH(D470, Mgt_Unit!$C$5:$C$1018, 0)), INDEX(Mgt_Unit!$B$5:$B$1018, MATCH(D470, Mgt_Unit!$C$5:$C$1018, 0)), "")</f>
        <v/>
      </c>
      <c r="C470" s="28"/>
      <c r="D470" s="9"/>
      <c r="E470" s="45"/>
      <c r="F470" s="29"/>
      <c r="G470" s="29"/>
      <c r="H470" s="29"/>
      <c r="I470" s="43"/>
      <c r="J470" s="43"/>
      <c r="K470" s="29"/>
      <c r="L470" s="29"/>
    </row>
    <row r="471" spans="1:12" x14ac:dyDescent="0.25">
      <c r="A471" s="4"/>
      <c r="B471" s="28" t="str">
        <f>IF(ISNUMBER(MATCH(D471, Mgt_Unit!$C$5:$C$1018, 0)), INDEX(Mgt_Unit!$B$5:$B$1018, MATCH(D471, Mgt_Unit!$C$5:$C$1018, 0)), "")</f>
        <v/>
      </c>
      <c r="C471" s="28"/>
      <c r="D471" s="9"/>
      <c r="E471" s="45"/>
      <c r="F471" s="29"/>
      <c r="G471" s="29"/>
      <c r="H471" s="29"/>
      <c r="I471" s="43"/>
      <c r="J471" s="43"/>
      <c r="K471" s="29"/>
      <c r="L471" s="29"/>
    </row>
    <row r="472" spans="1:12" x14ac:dyDescent="0.25">
      <c r="A472" s="4"/>
      <c r="B472" s="28" t="str">
        <f>IF(ISNUMBER(MATCH(D472, Mgt_Unit!$C$5:$C$1018, 0)), INDEX(Mgt_Unit!$B$5:$B$1018, MATCH(D472, Mgt_Unit!$C$5:$C$1018, 0)), "")</f>
        <v/>
      </c>
      <c r="C472" s="28"/>
      <c r="D472" s="9"/>
      <c r="E472" s="45"/>
      <c r="F472" s="29"/>
      <c r="G472" s="29"/>
      <c r="H472" s="29"/>
      <c r="I472" s="43"/>
      <c r="J472" s="43"/>
      <c r="K472" s="29"/>
      <c r="L472" s="29"/>
    </row>
    <row r="473" spans="1:12" x14ac:dyDescent="0.25">
      <c r="A473" s="4"/>
      <c r="B473" s="28" t="str">
        <f>IF(ISNUMBER(MATCH(D473, Mgt_Unit!$C$5:$C$1018, 0)), INDEX(Mgt_Unit!$B$5:$B$1018, MATCH(D473, Mgt_Unit!$C$5:$C$1018, 0)), "")</f>
        <v/>
      </c>
      <c r="C473" s="28"/>
      <c r="D473" s="9"/>
      <c r="E473" s="45"/>
      <c r="F473" s="29"/>
      <c r="G473" s="29"/>
      <c r="H473" s="29"/>
      <c r="I473" s="43"/>
      <c r="J473" s="43"/>
      <c r="K473" s="29"/>
      <c r="L473" s="29"/>
    </row>
    <row r="474" spans="1:12" x14ac:dyDescent="0.25">
      <c r="A474" s="4"/>
      <c r="B474" s="28" t="str">
        <f>IF(ISNUMBER(MATCH(D474, Mgt_Unit!$C$5:$C$1018, 0)), INDEX(Mgt_Unit!$B$5:$B$1018, MATCH(D474, Mgt_Unit!$C$5:$C$1018, 0)), "")</f>
        <v/>
      </c>
      <c r="C474" s="28"/>
      <c r="D474" s="9"/>
      <c r="E474" s="45"/>
      <c r="F474" s="29"/>
      <c r="G474" s="29"/>
      <c r="H474" s="29"/>
      <c r="I474" s="43"/>
      <c r="J474" s="43"/>
      <c r="K474" s="29"/>
      <c r="L474" s="29"/>
    </row>
    <row r="475" spans="1:12" x14ac:dyDescent="0.25">
      <c r="A475" s="4"/>
      <c r="B475" s="28" t="str">
        <f>IF(ISNUMBER(MATCH(D475, Mgt_Unit!$C$5:$C$1018, 0)), INDEX(Mgt_Unit!$B$5:$B$1018, MATCH(D475, Mgt_Unit!$C$5:$C$1018, 0)), "")</f>
        <v/>
      </c>
      <c r="C475" s="28"/>
      <c r="D475" s="9"/>
      <c r="E475" s="45"/>
      <c r="F475" s="29"/>
      <c r="G475" s="29"/>
      <c r="H475" s="29"/>
      <c r="I475" s="43"/>
      <c r="J475" s="43"/>
      <c r="K475" s="29"/>
      <c r="L475" s="29"/>
    </row>
    <row r="476" spans="1:12" x14ac:dyDescent="0.25">
      <c r="A476" s="4"/>
      <c r="B476" s="28" t="str">
        <f>IF(ISNUMBER(MATCH(D476, Mgt_Unit!$C$5:$C$1018, 0)), INDEX(Mgt_Unit!$B$5:$B$1018, MATCH(D476, Mgt_Unit!$C$5:$C$1018, 0)), "")</f>
        <v/>
      </c>
      <c r="C476" s="28"/>
      <c r="D476" s="9"/>
      <c r="E476" s="45"/>
      <c r="F476" s="29"/>
      <c r="G476" s="29"/>
      <c r="H476" s="29"/>
      <c r="I476" s="43"/>
      <c r="J476" s="43"/>
      <c r="K476" s="29"/>
      <c r="L476" s="29"/>
    </row>
    <row r="477" spans="1:12" x14ac:dyDescent="0.25">
      <c r="A477" s="4"/>
      <c r="B477" s="28" t="str">
        <f>IF(ISNUMBER(MATCH(D477, Mgt_Unit!$C$5:$C$1018, 0)), INDEX(Mgt_Unit!$B$5:$B$1018, MATCH(D477, Mgt_Unit!$C$5:$C$1018, 0)), "")</f>
        <v/>
      </c>
      <c r="C477" s="28"/>
      <c r="D477" s="9"/>
      <c r="E477" s="45"/>
      <c r="F477" s="29"/>
      <c r="G477" s="29"/>
      <c r="H477" s="29"/>
      <c r="I477" s="43"/>
      <c r="J477" s="43"/>
      <c r="K477" s="29"/>
      <c r="L477" s="29"/>
    </row>
    <row r="478" spans="1:12" x14ac:dyDescent="0.25">
      <c r="A478" s="4"/>
      <c r="B478" s="28" t="str">
        <f>IF(ISNUMBER(MATCH(D478, Mgt_Unit!$C$5:$C$1018, 0)), INDEX(Mgt_Unit!$B$5:$B$1018, MATCH(D478, Mgt_Unit!$C$5:$C$1018, 0)), "")</f>
        <v/>
      </c>
      <c r="C478" s="28"/>
      <c r="D478" s="9"/>
      <c r="E478" s="45"/>
      <c r="F478" s="29"/>
      <c r="G478" s="29"/>
      <c r="H478" s="29"/>
      <c r="I478" s="43"/>
      <c r="J478" s="43"/>
      <c r="K478" s="29"/>
      <c r="L478" s="29"/>
    </row>
    <row r="479" spans="1:12" x14ac:dyDescent="0.25">
      <c r="A479" s="4"/>
      <c r="B479" s="28" t="str">
        <f>IF(ISNUMBER(MATCH(D479, Mgt_Unit!$C$5:$C$1018, 0)), INDEX(Mgt_Unit!$B$5:$B$1018, MATCH(D479, Mgt_Unit!$C$5:$C$1018, 0)), "")</f>
        <v/>
      </c>
      <c r="C479" s="28"/>
      <c r="D479" s="9"/>
      <c r="E479" s="45"/>
      <c r="F479" s="29"/>
      <c r="G479" s="29"/>
      <c r="H479" s="29"/>
      <c r="I479" s="43"/>
      <c r="J479" s="43"/>
      <c r="K479" s="29"/>
      <c r="L479" s="29"/>
    </row>
    <row r="480" spans="1:12" x14ac:dyDescent="0.25">
      <c r="A480" s="4"/>
      <c r="B480" s="28" t="str">
        <f>IF(ISNUMBER(MATCH(D480, Mgt_Unit!$C$5:$C$1018, 0)), INDEX(Mgt_Unit!$B$5:$B$1018, MATCH(D480, Mgt_Unit!$C$5:$C$1018, 0)), "")</f>
        <v/>
      </c>
      <c r="C480" s="28"/>
      <c r="D480" s="9"/>
      <c r="E480" s="45"/>
      <c r="F480" s="29"/>
      <c r="G480" s="29"/>
      <c r="H480" s="29"/>
      <c r="I480" s="43"/>
      <c r="J480" s="43"/>
      <c r="K480" s="29"/>
      <c r="L480" s="29"/>
    </row>
    <row r="481" spans="1:12" x14ac:dyDescent="0.25">
      <c r="A481" s="4"/>
      <c r="B481" s="28" t="str">
        <f>IF(ISNUMBER(MATCH(D481, Mgt_Unit!$C$5:$C$1018, 0)), INDEX(Mgt_Unit!$B$5:$B$1018, MATCH(D481, Mgt_Unit!$C$5:$C$1018, 0)), "")</f>
        <v/>
      </c>
      <c r="C481" s="28"/>
      <c r="D481" s="9"/>
      <c r="E481" s="45"/>
      <c r="F481" s="29"/>
      <c r="G481" s="29"/>
      <c r="H481" s="29"/>
      <c r="I481" s="43"/>
      <c r="J481" s="43"/>
      <c r="K481" s="29"/>
      <c r="L481" s="29"/>
    </row>
    <row r="482" spans="1:12" x14ac:dyDescent="0.25">
      <c r="A482" s="4"/>
      <c r="B482" s="28" t="str">
        <f>IF(ISNUMBER(MATCH(D482, Mgt_Unit!$C$5:$C$1018, 0)), INDEX(Mgt_Unit!$B$5:$B$1018, MATCH(D482, Mgt_Unit!$C$5:$C$1018, 0)), "")</f>
        <v/>
      </c>
      <c r="C482" s="28"/>
      <c r="D482" s="9"/>
      <c r="E482" s="45"/>
      <c r="F482" s="29"/>
      <c r="G482" s="29"/>
      <c r="H482" s="29"/>
      <c r="I482" s="43"/>
      <c r="J482" s="43"/>
      <c r="K482" s="29"/>
      <c r="L482" s="29"/>
    </row>
    <row r="483" spans="1:12" x14ac:dyDescent="0.25">
      <c r="A483" s="4"/>
      <c r="B483" s="28" t="str">
        <f>IF(ISNUMBER(MATCH(D483, Mgt_Unit!$C$5:$C$1018, 0)), INDEX(Mgt_Unit!$B$5:$B$1018, MATCH(D483, Mgt_Unit!$C$5:$C$1018, 0)), "")</f>
        <v/>
      </c>
      <c r="C483" s="28"/>
      <c r="D483" s="9"/>
      <c r="E483" s="45"/>
      <c r="F483" s="29"/>
      <c r="G483" s="29"/>
      <c r="H483" s="29"/>
      <c r="I483" s="43"/>
      <c r="J483" s="43"/>
      <c r="K483" s="29"/>
      <c r="L483" s="29"/>
    </row>
    <row r="484" spans="1:12" x14ac:dyDescent="0.25">
      <c r="A484" s="4"/>
      <c r="B484" s="28" t="str">
        <f>IF(ISNUMBER(MATCH(D484, Mgt_Unit!$C$5:$C$1018, 0)), INDEX(Mgt_Unit!$B$5:$B$1018, MATCH(D484, Mgt_Unit!$C$5:$C$1018, 0)), "")</f>
        <v/>
      </c>
      <c r="C484" s="28"/>
      <c r="D484" s="9"/>
      <c r="E484" s="45"/>
      <c r="F484" s="29"/>
      <c r="G484" s="29"/>
      <c r="H484" s="29"/>
      <c r="I484" s="43"/>
      <c r="J484" s="43"/>
      <c r="K484" s="29"/>
      <c r="L484" s="29"/>
    </row>
    <row r="485" spans="1:12" x14ac:dyDescent="0.25">
      <c r="A485" s="4"/>
      <c r="B485" s="28" t="str">
        <f>IF(ISNUMBER(MATCH(D485, Mgt_Unit!$C$5:$C$1018, 0)), INDEX(Mgt_Unit!$B$5:$B$1018, MATCH(D485, Mgt_Unit!$C$5:$C$1018, 0)), "")</f>
        <v/>
      </c>
      <c r="C485" s="28"/>
      <c r="D485" s="9"/>
      <c r="E485" s="45"/>
      <c r="F485" s="29"/>
      <c r="G485" s="29"/>
      <c r="H485" s="29"/>
      <c r="I485" s="43"/>
      <c r="J485" s="43"/>
      <c r="K485" s="29"/>
      <c r="L485" s="29"/>
    </row>
    <row r="486" spans="1:12" x14ac:dyDescent="0.25">
      <c r="A486" s="4"/>
      <c r="B486" s="28" t="str">
        <f>IF(ISNUMBER(MATCH(D486, Mgt_Unit!$C$5:$C$1018, 0)), INDEX(Mgt_Unit!$B$5:$B$1018, MATCH(D486, Mgt_Unit!$C$5:$C$1018, 0)), "")</f>
        <v/>
      </c>
      <c r="C486" s="28"/>
      <c r="D486" s="9"/>
      <c r="E486" s="45"/>
      <c r="F486" s="29"/>
      <c r="G486" s="29"/>
      <c r="H486" s="29"/>
      <c r="I486" s="43"/>
      <c r="J486" s="43"/>
      <c r="K486" s="29"/>
      <c r="L486" s="29"/>
    </row>
    <row r="487" spans="1:12" x14ac:dyDescent="0.25">
      <c r="A487" s="4"/>
      <c r="B487" s="28" t="str">
        <f>IF(ISNUMBER(MATCH(D487, Mgt_Unit!$C$5:$C$1018, 0)), INDEX(Mgt_Unit!$B$5:$B$1018, MATCH(D487, Mgt_Unit!$C$5:$C$1018, 0)), "")</f>
        <v/>
      </c>
      <c r="C487" s="28"/>
      <c r="D487" s="9"/>
      <c r="E487" s="45"/>
      <c r="F487" s="29"/>
      <c r="G487" s="29"/>
      <c r="H487" s="29"/>
      <c r="I487" s="43"/>
      <c r="J487" s="43"/>
      <c r="K487" s="29"/>
      <c r="L487" s="29"/>
    </row>
    <row r="488" spans="1:12" x14ac:dyDescent="0.25">
      <c r="A488" s="4"/>
      <c r="B488" s="28" t="str">
        <f>IF(ISNUMBER(MATCH(D488, Mgt_Unit!$C$5:$C$1018, 0)), INDEX(Mgt_Unit!$B$5:$B$1018, MATCH(D488, Mgt_Unit!$C$5:$C$1018, 0)), "")</f>
        <v/>
      </c>
      <c r="C488" s="28"/>
      <c r="D488" s="9"/>
      <c r="E488" s="45"/>
      <c r="F488" s="29"/>
      <c r="G488" s="29"/>
      <c r="H488" s="29"/>
      <c r="I488" s="43"/>
      <c r="J488" s="43"/>
      <c r="K488" s="29"/>
      <c r="L488" s="29"/>
    </row>
    <row r="489" spans="1:12" x14ac:dyDescent="0.25">
      <c r="A489" s="4"/>
      <c r="B489" s="28" t="str">
        <f>IF(ISNUMBER(MATCH(D489, Mgt_Unit!$C$5:$C$1018, 0)), INDEX(Mgt_Unit!$B$5:$B$1018, MATCH(D489, Mgt_Unit!$C$5:$C$1018, 0)), "")</f>
        <v/>
      </c>
      <c r="C489" s="28"/>
      <c r="D489" s="9"/>
      <c r="E489" s="45"/>
      <c r="F489" s="29"/>
      <c r="G489" s="29"/>
      <c r="H489" s="29"/>
      <c r="I489" s="43"/>
      <c r="J489" s="43"/>
      <c r="K489" s="29"/>
      <c r="L489" s="29"/>
    </row>
    <row r="490" spans="1:12" x14ac:dyDescent="0.25">
      <c r="A490" s="4"/>
      <c r="B490" s="28" t="str">
        <f>IF(ISNUMBER(MATCH(D490, Mgt_Unit!$C$5:$C$1018, 0)), INDEX(Mgt_Unit!$B$5:$B$1018, MATCH(D490, Mgt_Unit!$C$5:$C$1018, 0)), "")</f>
        <v/>
      </c>
      <c r="C490" s="28"/>
      <c r="D490" s="9"/>
      <c r="E490" s="45"/>
      <c r="F490" s="29"/>
      <c r="G490" s="29"/>
      <c r="H490" s="29"/>
      <c r="I490" s="43"/>
      <c r="J490" s="43"/>
      <c r="K490" s="29"/>
      <c r="L490" s="29"/>
    </row>
    <row r="491" spans="1:12" x14ac:dyDescent="0.25">
      <c r="A491" s="4"/>
      <c r="B491" s="28" t="str">
        <f>IF(ISNUMBER(MATCH(D491, Mgt_Unit!$C$5:$C$1018, 0)), INDEX(Mgt_Unit!$B$5:$B$1018, MATCH(D491, Mgt_Unit!$C$5:$C$1018, 0)), "")</f>
        <v/>
      </c>
      <c r="C491" s="28"/>
      <c r="D491" s="9"/>
      <c r="E491" s="45"/>
      <c r="F491" s="29"/>
      <c r="G491" s="29"/>
      <c r="H491" s="29"/>
      <c r="I491" s="43"/>
      <c r="J491" s="43"/>
      <c r="K491" s="29"/>
      <c r="L491" s="29"/>
    </row>
    <row r="492" spans="1:12" x14ac:dyDescent="0.25">
      <c r="A492" s="4"/>
      <c r="B492" s="28" t="str">
        <f>IF(ISNUMBER(MATCH(D492, Mgt_Unit!$C$5:$C$1018, 0)), INDEX(Mgt_Unit!$B$5:$B$1018, MATCH(D492, Mgt_Unit!$C$5:$C$1018, 0)), "")</f>
        <v/>
      </c>
      <c r="C492" s="28"/>
      <c r="D492" s="9"/>
      <c r="E492" s="45"/>
      <c r="F492" s="29"/>
      <c r="G492" s="29"/>
      <c r="H492" s="29"/>
      <c r="I492" s="43"/>
      <c r="J492" s="43"/>
      <c r="K492" s="29"/>
      <c r="L492" s="29"/>
    </row>
    <row r="493" spans="1:12" x14ac:dyDescent="0.25">
      <c r="A493" s="4"/>
      <c r="B493" s="28" t="str">
        <f>IF(ISNUMBER(MATCH(D493, Mgt_Unit!$C$5:$C$1018, 0)), INDEX(Mgt_Unit!$B$5:$B$1018, MATCH(D493, Mgt_Unit!$C$5:$C$1018, 0)), "")</f>
        <v/>
      </c>
      <c r="C493" s="28"/>
      <c r="D493" s="9"/>
      <c r="E493" s="45"/>
      <c r="F493" s="29"/>
      <c r="G493" s="29"/>
      <c r="H493" s="29"/>
      <c r="I493" s="43"/>
      <c r="J493" s="43"/>
      <c r="K493" s="29"/>
      <c r="L493" s="29"/>
    </row>
    <row r="494" spans="1:12" x14ac:dyDescent="0.25">
      <c r="A494" s="4"/>
      <c r="B494" s="28" t="str">
        <f>IF(ISNUMBER(MATCH(D494, Mgt_Unit!$C$5:$C$1018, 0)), INDEX(Mgt_Unit!$B$5:$B$1018, MATCH(D494, Mgt_Unit!$C$5:$C$1018, 0)), "")</f>
        <v/>
      </c>
      <c r="C494" s="28"/>
      <c r="D494" s="9"/>
      <c r="E494" s="45"/>
      <c r="F494" s="29"/>
      <c r="G494" s="29"/>
      <c r="H494" s="29"/>
      <c r="I494" s="43"/>
      <c r="J494" s="43"/>
      <c r="K494" s="29"/>
      <c r="L494" s="29"/>
    </row>
    <row r="495" spans="1:12" x14ac:dyDescent="0.25">
      <c r="A495" s="4"/>
      <c r="B495" s="28" t="str">
        <f>IF(ISNUMBER(MATCH(D495, Mgt_Unit!$C$5:$C$1018, 0)), INDEX(Mgt_Unit!$B$5:$B$1018, MATCH(D495, Mgt_Unit!$C$5:$C$1018, 0)), "")</f>
        <v/>
      </c>
      <c r="C495" s="28"/>
      <c r="D495" s="9"/>
      <c r="E495" s="45"/>
      <c r="F495" s="29"/>
      <c r="G495" s="29"/>
      <c r="H495" s="29"/>
      <c r="I495" s="43"/>
      <c r="J495" s="43"/>
      <c r="K495" s="29"/>
      <c r="L495" s="29"/>
    </row>
    <row r="496" spans="1:12" x14ac:dyDescent="0.25">
      <c r="A496" s="4"/>
      <c r="B496" s="28" t="str">
        <f>IF(ISNUMBER(MATCH(D496, Mgt_Unit!$C$5:$C$1018, 0)), INDEX(Mgt_Unit!$B$5:$B$1018, MATCH(D496, Mgt_Unit!$C$5:$C$1018, 0)), "")</f>
        <v/>
      </c>
      <c r="C496" s="28"/>
      <c r="D496" s="9"/>
      <c r="E496" s="45"/>
      <c r="F496" s="29"/>
      <c r="G496" s="29"/>
      <c r="H496" s="29"/>
      <c r="I496" s="43"/>
      <c r="J496" s="43"/>
      <c r="K496" s="29"/>
      <c r="L496" s="29"/>
    </row>
    <row r="497" spans="1:12" x14ac:dyDescent="0.25">
      <c r="A497" s="4"/>
      <c r="B497" s="28" t="str">
        <f>IF(ISNUMBER(MATCH(D497, Mgt_Unit!$C$5:$C$1018, 0)), INDEX(Mgt_Unit!$B$5:$B$1018, MATCH(D497, Mgt_Unit!$C$5:$C$1018, 0)), "")</f>
        <v/>
      </c>
      <c r="C497" s="28"/>
      <c r="D497" s="9"/>
      <c r="E497" s="45"/>
      <c r="F497" s="29"/>
      <c r="G497" s="29"/>
      <c r="H497" s="29"/>
      <c r="I497" s="43"/>
      <c r="J497" s="43"/>
      <c r="K497" s="29"/>
      <c r="L497" s="29"/>
    </row>
    <row r="498" spans="1:12" x14ac:dyDescent="0.25">
      <c r="A498" s="4"/>
      <c r="B498" s="28" t="str">
        <f>IF(ISNUMBER(MATCH(D498, Mgt_Unit!$C$5:$C$1018, 0)), INDEX(Mgt_Unit!$B$5:$B$1018, MATCH(D498, Mgt_Unit!$C$5:$C$1018, 0)), "")</f>
        <v/>
      </c>
      <c r="C498" s="28"/>
      <c r="D498" s="9"/>
      <c r="E498" s="45"/>
      <c r="F498" s="29"/>
      <c r="G498" s="29"/>
      <c r="H498" s="29"/>
      <c r="I498" s="43"/>
      <c r="J498" s="43"/>
      <c r="K498" s="29"/>
      <c r="L498" s="29"/>
    </row>
    <row r="499" spans="1:12" x14ac:dyDescent="0.25">
      <c r="A499" s="4"/>
      <c r="B499" s="28" t="str">
        <f>IF(ISNUMBER(MATCH(D499, Mgt_Unit!$C$5:$C$1018, 0)), INDEX(Mgt_Unit!$B$5:$B$1018, MATCH(D499, Mgt_Unit!$C$5:$C$1018, 0)), "")</f>
        <v/>
      </c>
      <c r="C499" s="28"/>
      <c r="D499" s="9"/>
      <c r="E499" s="45"/>
      <c r="F499" s="29"/>
      <c r="G499" s="29"/>
      <c r="H499" s="29"/>
      <c r="I499" s="43"/>
      <c r="J499" s="43"/>
      <c r="K499" s="29"/>
      <c r="L499" s="29"/>
    </row>
    <row r="500" spans="1:12" x14ac:dyDescent="0.25">
      <c r="A500" s="4"/>
      <c r="B500" s="28" t="str">
        <f>IF(ISNUMBER(MATCH(D500, Mgt_Unit!$C$5:$C$1018, 0)), INDEX(Mgt_Unit!$B$5:$B$1018, MATCH(D500, Mgt_Unit!$C$5:$C$1018, 0)), "")</f>
        <v/>
      </c>
      <c r="C500" s="28"/>
      <c r="D500" s="9"/>
      <c r="E500" s="45"/>
      <c r="F500" s="29"/>
      <c r="G500" s="29"/>
      <c r="H500" s="29"/>
      <c r="I500" s="43"/>
      <c r="J500" s="43"/>
      <c r="K500" s="29"/>
      <c r="L500" s="29"/>
    </row>
    <row r="501" spans="1:12" x14ac:dyDescent="0.25">
      <c r="A501" s="4"/>
      <c r="B501" s="28" t="str">
        <f>IF(ISNUMBER(MATCH(D501, Mgt_Unit!$C$5:$C$1018, 0)), INDEX(Mgt_Unit!$B$5:$B$1018, MATCH(D501, Mgt_Unit!$C$5:$C$1018, 0)), "")</f>
        <v/>
      </c>
      <c r="C501" s="28"/>
      <c r="D501" s="9"/>
      <c r="E501" s="45"/>
      <c r="F501" s="29"/>
      <c r="G501" s="29"/>
      <c r="H501" s="29"/>
      <c r="I501" s="43"/>
      <c r="J501" s="43"/>
      <c r="K501" s="29"/>
      <c r="L501" s="29"/>
    </row>
    <row r="502" spans="1:12" x14ac:dyDescent="0.25">
      <c r="A502" s="4"/>
      <c r="B502" s="28" t="str">
        <f>IF(ISNUMBER(MATCH(D502, Mgt_Unit!$C$5:$C$1018, 0)), INDEX(Mgt_Unit!$B$5:$B$1018, MATCH(D502, Mgt_Unit!$C$5:$C$1018, 0)), "")</f>
        <v/>
      </c>
      <c r="C502" s="28"/>
      <c r="D502" s="9"/>
      <c r="E502" s="45"/>
      <c r="F502" s="29"/>
      <c r="G502" s="29"/>
      <c r="H502" s="29"/>
      <c r="I502" s="43"/>
      <c r="J502" s="43"/>
      <c r="K502" s="29"/>
      <c r="L502" s="29"/>
    </row>
    <row r="503" spans="1:12" x14ac:dyDescent="0.25">
      <c r="A503" s="14"/>
      <c r="B503" s="28" t="str">
        <f>IF(ISNUMBER(MATCH(D503, Mgt_Unit!$C$5:$C$1018, 0)), INDEX(Mgt_Unit!$B$5:$B$1018, MATCH(D503, Mgt_Unit!$C$5:$C$1018, 0)), "")</f>
        <v/>
      </c>
      <c r="C503" s="28"/>
      <c r="D503" s="9"/>
      <c r="E503" s="45"/>
      <c r="F503" s="29"/>
      <c r="G503" s="29"/>
      <c r="H503" s="29"/>
      <c r="I503" s="43"/>
      <c r="J503" s="43"/>
      <c r="K503" s="29"/>
      <c r="L503" s="29"/>
    </row>
    <row r="504" spans="1:12" x14ac:dyDescent="0.25">
      <c r="A504" s="4"/>
      <c r="B504" s="28" t="str">
        <f>IF(ISNUMBER(MATCH(D504, Mgt_Unit!$C$5:$C$1018, 0)), INDEX(Mgt_Unit!$B$5:$B$1018, MATCH(D504, Mgt_Unit!$C$5:$C$1018, 0)), "")</f>
        <v/>
      </c>
      <c r="C504" s="28"/>
      <c r="D504" s="9"/>
      <c r="E504" s="46"/>
      <c r="F504" s="37"/>
      <c r="G504" s="37"/>
      <c r="H504" s="37"/>
      <c r="I504" s="49"/>
      <c r="J504" s="49"/>
      <c r="K504" s="37"/>
      <c r="L504" s="37"/>
    </row>
    <row r="505" spans="1:12" x14ac:dyDescent="0.25">
      <c r="A505" s="4"/>
      <c r="B505" s="28" t="str">
        <f>IF(ISNUMBER(MATCH(D505, Mgt_Unit!$C$5:$C$1018, 0)), INDEX(Mgt_Unit!$B$5:$B$1018, MATCH(D505, Mgt_Unit!$C$5:$C$1018, 0)), "")</f>
        <v/>
      </c>
      <c r="C505" s="28"/>
      <c r="D505" s="9"/>
      <c r="E505" s="45"/>
      <c r="F505" s="9"/>
      <c r="G505" s="9"/>
      <c r="H505" s="9"/>
      <c r="I505" s="50"/>
      <c r="J505" s="50"/>
      <c r="K505" s="9"/>
      <c r="L505" s="9"/>
    </row>
    <row r="506" spans="1:12" x14ac:dyDescent="0.25">
      <c r="A506" s="4"/>
      <c r="B506" s="28" t="str">
        <f>IF(ISNUMBER(MATCH(D506, Mgt_Unit!$C$5:$C$1018, 0)), INDEX(Mgt_Unit!$B$5:$B$1018, MATCH(D506, Mgt_Unit!$C$5:$C$1018, 0)), "")</f>
        <v/>
      </c>
      <c r="C506" s="28"/>
      <c r="D506" s="9"/>
      <c r="E506" s="45"/>
      <c r="F506" s="9"/>
      <c r="G506" s="9"/>
      <c r="H506" s="9"/>
      <c r="I506" s="41"/>
      <c r="J506" s="41"/>
      <c r="K506" s="9"/>
      <c r="L506" s="9"/>
    </row>
    <row r="507" spans="1:12" x14ac:dyDescent="0.25">
      <c r="A507" s="4"/>
      <c r="B507" s="28" t="str">
        <f>IF(ISNUMBER(MATCH(D507, Mgt_Unit!$C$5:$C$1018, 0)), INDEX(Mgt_Unit!$B$5:$B$1018, MATCH(D507, Mgt_Unit!$C$5:$C$1018, 0)), "")</f>
        <v/>
      </c>
      <c r="C507" s="28"/>
      <c r="D507" s="9"/>
      <c r="E507" s="45"/>
      <c r="F507" s="9"/>
      <c r="G507" s="9"/>
      <c r="H507" s="9"/>
      <c r="I507" s="41"/>
      <c r="J507" s="41"/>
      <c r="K507" s="9"/>
      <c r="L507" s="9"/>
    </row>
    <row r="508" spans="1:12" x14ac:dyDescent="0.25">
      <c r="A508" s="4"/>
      <c r="B508" s="28" t="str">
        <f>IF(ISNUMBER(MATCH(D508, Mgt_Unit!$C$5:$C$1018, 0)), INDEX(Mgt_Unit!$B$5:$B$1018, MATCH(D508, Mgt_Unit!$C$5:$C$1018, 0)), "")</f>
        <v/>
      </c>
      <c r="C508" s="28"/>
      <c r="D508" s="9"/>
      <c r="E508" s="45"/>
      <c r="F508" s="9"/>
      <c r="G508" s="9"/>
      <c r="H508" s="9"/>
      <c r="I508" s="41"/>
      <c r="J508" s="41"/>
      <c r="K508" s="9"/>
      <c r="L508" s="9"/>
    </row>
    <row r="509" spans="1:12" x14ac:dyDescent="0.25">
      <c r="A509" s="4"/>
      <c r="B509" s="28" t="str">
        <f>IF(ISNUMBER(MATCH(D509, Mgt_Unit!$C$5:$C$1018, 0)), INDEX(Mgt_Unit!$B$5:$B$1018, MATCH(D509, Mgt_Unit!$C$5:$C$1018, 0)), "")</f>
        <v/>
      </c>
      <c r="C509" s="28"/>
      <c r="D509" s="9"/>
      <c r="E509" s="45"/>
      <c r="F509" s="9"/>
      <c r="G509" s="9"/>
      <c r="H509" s="9"/>
      <c r="I509" s="41"/>
      <c r="J509" s="41"/>
      <c r="K509" s="9"/>
      <c r="L509" s="9"/>
    </row>
    <row r="510" spans="1:12" x14ac:dyDescent="0.25">
      <c r="A510" s="4"/>
      <c r="B510" s="28" t="str">
        <f>IF(ISNUMBER(MATCH(D510, Mgt_Unit!$C$5:$C$1018, 0)), INDEX(Mgt_Unit!$B$5:$B$1018, MATCH(D510, Mgt_Unit!$C$5:$C$1018, 0)), "")</f>
        <v/>
      </c>
      <c r="C510" s="28"/>
      <c r="D510" s="9"/>
      <c r="E510" s="45"/>
      <c r="F510" s="9"/>
      <c r="G510" s="9"/>
      <c r="H510" s="9"/>
      <c r="I510" s="41"/>
      <c r="J510" s="41"/>
      <c r="K510" s="9"/>
      <c r="L510" s="9"/>
    </row>
    <row r="511" spans="1:12" x14ac:dyDescent="0.25">
      <c r="A511" s="4"/>
      <c r="B511" s="28" t="str">
        <f>IF(ISNUMBER(MATCH(D511, Mgt_Unit!$C$5:$C$1018, 0)), INDEX(Mgt_Unit!$B$5:$B$1018, MATCH(D511, Mgt_Unit!$C$5:$C$1018, 0)), "")</f>
        <v/>
      </c>
      <c r="C511" s="28"/>
      <c r="D511" s="9"/>
      <c r="E511" s="45"/>
      <c r="F511" s="9"/>
      <c r="G511" s="9"/>
      <c r="H511" s="9"/>
      <c r="I511" s="41"/>
      <c r="J511" s="41"/>
      <c r="K511" s="9"/>
      <c r="L511" s="9"/>
    </row>
    <row r="512" spans="1:12" x14ac:dyDescent="0.25">
      <c r="A512" s="4"/>
      <c r="B512" s="28" t="str">
        <f>IF(ISNUMBER(MATCH(D512, Mgt_Unit!$C$5:$C$1018, 0)), INDEX(Mgt_Unit!$B$5:$B$1018, MATCH(D512, Mgt_Unit!$C$5:$C$1018, 0)), "")</f>
        <v/>
      </c>
      <c r="C512" s="28"/>
      <c r="D512" s="9"/>
      <c r="E512" s="45"/>
      <c r="F512" s="9"/>
      <c r="G512" s="9"/>
      <c r="H512" s="9"/>
      <c r="I512" s="41"/>
      <c r="J512" s="41"/>
      <c r="K512" s="9"/>
      <c r="L512" s="9"/>
    </row>
    <row r="513" spans="1:12" x14ac:dyDescent="0.25">
      <c r="A513" s="4"/>
      <c r="B513" s="28" t="str">
        <f>IF(ISNUMBER(MATCH(D513, Mgt_Unit!$C$5:$C$1018, 0)), INDEX(Mgt_Unit!$B$5:$B$1018, MATCH(D513, Mgt_Unit!$C$5:$C$1018, 0)), "")</f>
        <v/>
      </c>
      <c r="C513" s="28"/>
      <c r="D513" s="9"/>
      <c r="E513" s="45"/>
      <c r="F513" s="9"/>
      <c r="G513" s="9"/>
      <c r="H513" s="9"/>
      <c r="I513" s="41"/>
      <c r="J513" s="41"/>
      <c r="K513" s="9"/>
      <c r="L513" s="9"/>
    </row>
    <row r="514" spans="1:12" x14ac:dyDescent="0.25">
      <c r="A514" s="4"/>
      <c r="B514" s="28" t="str">
        <f>IF(ISNUMBER(MATCH(D514, Mgt_Unit!$C$5:$C$1018, 0)), INDEX(Mgt_Unit!$B$5:$B$1018, MATCH(D514, Mgt_Unit!$C$5:$C$1018, 0)), "")</f>
        <v/>
      </c>
      <c r="C514" s="28"/>
      <c r="D514" s="9"/>
      <c r="E514" s="45"/>
      <c r="F514" s="9"/>
      <c r="G514" s="9"/>
      <c r="H514" s="9"/>
      <c r="I514" s="41"/>
      <c r="J514" s="41"/>
      <c r="K514" s="9"/>
      <c r="L514" s="9"/>
    </row>
    <row r="515" spans="1:12" x14ac:dyDescent="0.25">
      <c r="A515" s="4"/>
      <c r="B515" s="28" t="str">
        <f>IF(ISNUMBER(MATCH(D515, Mgt_Unit!$C$5:$C$1018, 0)), INDEX(Mgt_Unit!$B$5:$B$1018, MATCH(D515, Mgt_Unit!$C$5:$C$1018, 0)), "")</f>
        <v/>
      </c>
      <c r="C515" s="28"/>
      <c r="D515" s="9"/>
      <c r="E515" s="45"/>
      <c r="F515" s="9"/>
      <c r="G515" s="9"/>
      <c r="H515" s="9"/>
      <c r="I515" s="41"/>
      <c r="J515" s="41"/>
      <c r="K515" s="9"/>
      <c r="L515" s="9"/>
    </row>
    <row r="516" spans="1:12" x14ac:dyDescent="0.25">
      <c r="A516" s="4"/>
      <c r="B516" s="28" t="str">
        <f>IF(ISNUMBER(MATCH(D516, Mgt_Unit!$C$5:$C$1018, 0)), INDEX(Mgt_Unit!$B$5:$B$1018, MATCH(D516, Mgt_Unit!$C$5:$C$1018, 0)), "")</f>
        <v/>
      </c>
      <c r="C516" s="28"/>
      <c r="D516" s="9"/>
      <c r="E516" s="45"/>
      <c r="F516" s="9"/>
      <c r="G516" s="9"/>
      <c r="H516" s="9"/>
      <c r="I516" s="41"/>
      <c r="J516" s="41"/>
      <c r="K516" s="9"/>
      <c r="L516" s="9"/>
    </row>
    <row r="517" spans="1:12" x14ac:dyDescent="0.25">
      <c r="A517" s="4"/>
      <c r="B517" s="28" t="str">
        <f>IF(ISNUMBER(MATCH(D517, Mgt_Unit!$C$5:$C$1018, 0)), INDEX(Mgt_Unit!$B$5:$B$1018, MATCH(D517, Mgt_Unit!$C$5:$C$1018, 0)), "")</f>
        <v/>
      </c>
      <c r="C517" s="28"/>
      <c r="D517" s="9"/>
      <c r="E517" s="45"/>
      <c r="F517" s="9"/>
      <c r="G517" s="9"/>
      <c r="H517" s="9"/>
      <c r="I517" s="41"/>
      <c r="J517" s="41"/>
      <c r="K517" s="9"/>
      <c r="L517" s="9"/>
    </row>
    <row r="518" spans="1:12" x14ac:dyDescent="0.25">
      <c r="A518" s="4"/>
      <c r="B518" s="28" t="str">
        <f>IF(ISNUMBER(MATCH(D518, Mgt_Unit!$C$5:$C$1018, 0)), INDEX(Mgt_Unit!$B$5:$B$1018, MATCH(D518, Mgt_Unit!$C$5:$C$1018, 0)), "")</f>
        <v/>
      </c>
      <c r="C518" s="28"/>
      <c r="D518" s="9"/>
      <c r="E518" s="45"/>
      <c r="F518" s="9"/>
      <c r="G518" s="9"/>
      <c r="H518" s="9"/>
      <c r="I518" s="41"/>
      <c r="J518" s="41"/>
      <c r="K518" s="9"/>
      <c r="L518" s="9"/>
    </row>
    <row r="519" spans="1:12" x14ac:dyDescent="0.25">
      <c r="A519" s="4"/>
      <c r="B519" s="28" t="str">
        <f>IF(ISNUMBER(MATCH(D519, Mgt_Unit!$C$5:$C$1018, 0)), INDEX(Mgt_Unit!$B$5:$B$1018, MATCH(D519, Mgt_Unit!$C$5:$C$1018, 0)), "")</f>
        <v/>
      </c>
      <c r="C519" s="28"/>
      <c r="D519" s="9"/>
      <c r="E519" s="45"/>
      <c r="F519" s="9"/>
      <c r="G519" s="9"/>
      <c r="H519" s="9"/>
      <c r="I519" s="41"/>
      <c r="J519" s="41"/>
      <c r="K519" s="9"/>
      <c r="L519" s="9"/>
    </row>
    <row r="520" spans="1:12" x14ac:dyDescent="0.25">
      <c r="A520" s="4"/>
      <c r="B520" s="28" t="str">
        <f>IF(ISNUMBER(MATCH(D520, Mgt_Unit!$C$5:$C$1018, 0)), INDEX(Mgt_Unit!$B$5:$B$1018, MATCH(D520, Mgt_Unit!$C$5:$C$1018, 0)), "")</f>
        <v/>
      </c>
      <c r="C520" s="28"/>
      <c r="D520" s="9"/>
      <c r="E520" s="45"/>
      <c r="F520" s="9"/>
      <c r="G520" s="9"/>
      <c r="H520" s="9"/>
      <c r="I520" s="41"/>
      <c r="J520" s="41"/>
      <c r="K520" s="9"/>
      <c r="L520" s="9"/>
    </row>
    <row r="521" spans="1:12" x14ac:dyDescent="0.25">
      <c r="A521" s="4"/>
      <c r="B521" s="28" t="str">
        <f>IF(ISNUMBER(MATCH(D521, Mgt_Unit!$C$5:$C$1018, 0)), INDEX(Mgt_Unit!$B$5:$B$1018, MATCH(D521, Mgt_Unit!$C$5:$C$1018, 0)), "")</f>
        <v/>
      </c>
      <c r="C521" s="28"/>
      <c r="D521" s="9"/>
      <c r="E521" s="45"/>
      <c r="F521" s="9"/>
      <c r="G521" s="9"/>
      <c r="H521" s="9"/>
      <c r="I521" s="41"/>
      <c r="J521" s="41"/>
      <c r="K521" s="9"/>
      <c r="L521" s="9"/>
    </row>
    <row r="522" spans="1:12" x14ac:dyDescent="0.25">
      <c r="A522" s="4"/>
      <c r="B522" s="28" t="str">
        <f>IF(ISNUMBER(MATCH(D522, Mgt_Unit!$C$5:$C$1018, 0)), INDEX(Mgt_Unit!$B$5:$B$1018, MATCH(D522, Mgt_Unit!$C$5:$C$1018, 0)), "")</f>
        <v/>
      </c>
      <c r="C522" s="28"/>
      <c r="D522" s="9"/>
      <c r="E522" s="45"/>
      <c r="F522" s="9"/>
      <c r="G522" s="9"/>
      <c r="H522" s="9"/>
      <c r="I522" s="41"/>
      <c r="J522" s="41"/>
      <c r="K522" s="9"/>
      <c r="L522" s="9"/>
    </row>
    <row r="523" spans="1:12" x14ac:dyDescent="0.25">
      <c r="A523" s="4"/>
      <c r="B523" s="28" t="str">
        <f>IF(ISNUMBER(MATCH(D523, Mgt_Unit!$C$5:$C$1018, 0)), INDEX(Mgt_Unit!$B$5:$B$1018, MATCH(D523, Mgt_Unit!$C$5:$C$1018, 0)), "")</f>
        <v/>
      </c>
      <c r="C523" s="28"/>
      <c r="D523" s="9"/>
      <c r="E523" s="45"/>
      <c r="F523" s="9"/>
      <c r="G523" s="9"/>
      <c r="H523" s="9"/>
      <c r="I523" s="41"/>
      <c r="J523" s="41"/>
      <c r="K523" s="9"/>
      <c r="L523" s="9"/>
    </row>
    <row r="524" spans="1:12" x14ac:dyDescent="0.25">
      <c r="A524" s="4"/>
      <c r="B524" s="28" t="str">
        <f>IF(ISNUMBER(MATCH(D524, Mgt_Unit!$C$5:$C$1018, 0)), INDEX(Mgt_Unit!$B$5:$B$1018, MATCH(D524, Mgt_Unit!$C$5:$C$1018, 0)), "")</f>
        <v/>
      </c>
      <c r="C524" s="28"/>
      <c r="D524" s="9"/>
      <c r="E524" s="45"/>
      <c r="F524" s="9"/>
      <c r="G524" s="9"/>
      <c r="H524" s="9"/>
      <c r="I524" s="41"/>
      <c r="J524" s="41"/>
      <c r="K524" s="9"/>
      <c r="L524" s="9"/>
    </row>
    <row r="525" spans="1:12" x14ac:dyDescent="0.25">
      <c r="A525" s="4"/>
      <c r="B525" s="28" t="str">
        <f>IF(ISNUMBER(MATCH(D525, Mgt_Unit!$C$5:$C$1018, 0)), INDEX(Mgt_Unit!$B$5:$B$1018, MATCH(D525, Mgt_Unit!$C$5:$C$1018, 0)), "")</f>
        <v/>
      </c>
      <c r="C525" s="28"/>
      <c r="D525" s="9"/>
      <c r="E525" s="45"/>
      <c r="F525" s="9"/>
      <c r="G525" s="9"/>
      <c r="H525" s="9"/>
      <c r="I525" s="41"/>
      <c r="J525" s="41"/>
      <c r="K525" s="9"/>
      <c r="L525" s="9"/>
    </row>
    <row r="526" spans="1:12" x14ac:dyDescent="0.25">
      <c r="A526" s="4"/>
      <c r="B526" s="28" t="str">
        <f>IF(ISNUMBER(MATCH(D526, Mgt_Unit!$C$5:$C$1018, 0)), INDEX(Mgt_Unit!$B$5:$B$1018, MATCH(D526, Mgt_Unit!$C$5:$C$1018, 0)), "")</f>
        <v/>
      </c>
      <c r="C526" s="28"/>
      <c r="D526" s="9"/>
      <c r="E526" s="45"/>
      <c r="F526" s="9"/>
      <c r="G526" s="9"/>
      <c r="H526" s="9"/>
      <c r="I526" s="41"/>
      <c r="J526" s="41"/>
      <c r="K526" s="9"/>
      <c r="L526" s="9"/>
    </row>
    <row r="527" spans="1:12" x14ac:dyDescent="0.25">
      <c r="A527" s="4"/>
      <c r="B527" s="28" t="str">
        <f>IF(ISNUMBER(MATCH(D527, Mgt_Unit!$C$5:$C$1018, 0)), INDEX(Mgt_Unit!$B$5:$B$1018, MATCH(D527, Mgt_Unit!$C$5:$C$1018, 0)), "")</f>
        <v/>
      </c>
      <c r="C527" s="28"/>
      <c r="D527" s="9"/>
      <c r="E527" s="45"/>
      <c r="F527" s="9"/>
      <c r="G527" s="9"/>
      <c r="H527" s="9"/>
      <c r="I527" s="41"/>
      <c r="J527" s="41"/>
      <c r="K527" s="9"/>
      <c r="L527" s="9"/>
    </row>
    <row r="528" spans="1:12" x14ac:dyDescent="0.25">
      <c r="A528" s="4"/>
      <c r="B528" s="28" t="str">
        <f>IF(ISNUMBER(MATCH(D528, Mgt_Unit!$C$5:$C$1018, 0)), INDEX(Mgt_Unit!$B$5:$B$1018, MATCH(D528, Mgt_Unit!$C$5:$C$1018, 0)), "")</f>
        <v/>
      </c>
      <c r="C528" s="28"/>
      <c r="D528" s="9"/>
      <c r="E528" s="45"/>
      <c r="F528" s="9"/>
      <c r="G528" s="9"/>
      <c r="H528" s="9"/>
      <c r="I528" s="41"/>
      <c r="J528" s="41"/>
      <c r="K528" s="9"/>
      <c r="L528" s="9"/>
    </row>
    <row r="529" spans="1:12" x14ac:dyDescent="0.25">
      <c r="A529" s="4"/>
      <c r="B529" s="28" t="str">
        <f>IF(ISNUMBER(MATCH(D529, Mgt_Unit!$C$5:$C$1018, 0)), INDEX(Mgt_Unit!$B$5:$B$1018, MATCH(D529, Mgt_Unit!$C$5:$C$1018, 0)), "")</f>
        <v/>
      </c>
      <c r="C529" s="28"/>
      <c r="D529" s="9"/>
      <c r="E529" s="45"/>
      <c r="F529" s="9"/>
      <c r="G529" s="9"/>
      <c r="H529" s="9"/>
      <c r="I529" s="41"/>
      <c r="J529" s="41"/>
      <c r="K529" s="9"/>
      <c r="L529" s="9"/>
    </row>
    <row r="530" spans="1:12" x14ac:dyDescent="0.25">
      <c r="A530" s="4"/>
      <c r="B530" s="28" t="str">
        <f>IF(ISNUMBER(MATCH(D530, Mgt_Unit!$C$5:$C$1018, 0)), INDEX(Mgt_Unit!$B$5:$B$1018, MATCH(D530, Mgt_Unit!$C$5:$C$1018, 0)), "")</f>
        <v/>
      </c>
      <c r="C530" s="28"/>
      <c r="D530" s="9"/>
      <c r="E530" s="45"/>
      <c r="F530" s="9"/>
      <c r="G530" s="9"/>
      <c r="H530" s="9"/>
      <c r="I530" s="41"/>
      <c r="J530" s="41"/>
      <c r="K530" s="9"/>
      <c r="L530" s="9"/>
    </row>
    <row r="531" spans="1:12" x14ac:dyDescent="0.25">
      <c r="A531" s="4"/>
      <c r="B531" s="28" t="str">
        <f>IF(ISNUMBER(MATCH(D531, Mgt_Unit!$C$5:$C$1018, 0)), INDEX(Mgt_Unit!$B$5:$B$1018, MATCH(D531, Mgt_Unit!$C$5:$C$1018, 0)), "")</f>
        <v/>
      </c>
      <c r="C531" s="28"/>
      <c r="D531" s="9"/>
      <c r="E531" s="45"/>
      <c r="F531" s="9"/>
      <c r="G531" s="9"/>
      <c r="H531" s="9"/>
      <c r="I531" s="41"/>
      <c r="J531" s="41"/>
      <c r="K531" s="9"/>
      <c r="L531" s="9"/>
    </row>
    <row r="532" spans="1:12" x14ac:dyDescent="0.25">
      <c r="A532" s="4"/>
      <c r="B532" s="28" t="str">
        <f>IF(ISNUMBER(MATCH(D532, Mgt_Unit!$C$5:$C$1018, 0)), INDEX(Mgt_Unit!$B$5:$B$1018, MATCH(D532, Mgt_Unit!$C$5:$C$1018, 0)), "")</f>
        <v/>
      </c>
      <c r="C532" s="28"/>
      <c r="D532" s="9"/>
      <c r="E532" s="45"/>
      <c r="F532" s="9"/>
      <c r="G532" s="9"/>
      <c r="H532" s="9"/>
      <c r="I532" s="41"/>
      <c r="J532" s="41"/>
      <c r="K532" s="9"/>
      <c r="L532" s="9"/>
    </row>
    <row r="533" spans="1:12" x14ac:dyDescent="0.25">
      <c r="A533" s="4"/>
      <c r="B533" s="28" t="str">
        <f>IF(ISNUMBER(MATCH(D533, Mgt_Unit!$C$5:$C$1018, 0)), INDEX(Mgt_Unit!$B$5:$B$1018, MATCH(D533, Mgt_Unit!$C$5:$C$1018, 0)), "")</f>
        <v/>
      </c>
      <c r="C533" s="28"/>
      <c r="D533" s="9"/>
      <c r="E533" s="45"/>
      <c r="F533" s="9"/>
      <c r="G533" s="9"/>
      <c r="H533" s="9"/>
      <c r="I533" s="41"/>
      <c r="J533" s="41"/>
      <c r="K533" s="9"/>
      <c r="L533" s="9"/>
    </row>
    <row r="534" spans="1:12" x14ac:dyDescent="0.25">
      <c r="A534" s="4"/>
      <c r="B534" s="28" t="str">
        <f>IF(ISNUMBER(MATCH(D534, Mgt_Unit!$C$5:$C$1018, 0)), INDEX(Mgt_Unit!$B$5:$B$1018, MATCH(D534, Mgt_Unit!$C$5:$C$1018, 0)), "")</f>
        <v/>
      </c>
      <c r="C534" s="28"/>
      <c r="D534" s="9"/>
      <c r="E534" s="45"/>
      <c r="F534" s="9"/>
      <c r="G534" s="9"/>
      <c r="H534" s="9"/>
      <c r="I534" s="41"/>
      <c r="J534" s="41"/>
      <c r="K534" s="9"/>
      <c r="L534" s="9"/>
    </row>
    <row r="535" spans="1:12" x14ac:dyDescent="0.25">
      <c r="A535" s="4"/>
      <c r="B535" s="28" t="str">
        <f>IF(ISNUMBER(MATCH(D535, Mgt_Unit!$C$5:$C$1018, 0)), INDEX(Mgt_Unit!$B$5:$B$1018, MATCH(D535, Mgt_Unit!$C$5:$C$1018, 0)), "")</f>
        <v/>
      </c>
      <c r="C535" s="28"/>
      <c r="D535" s="9"/>
      <c r="E535" s="45"/>
      <c r="F535" s="9"/>
      <c r="G535" s="9"/>
      <c r="H535" s="9"/>
      <c r="I535" s="41"/>
      <c r="J535" s="41"/>
      <c r="K535" s="9"/>
      <c r="L535" s="9"/>
    </row>
    <row r="536" spans="1:12" x14ac:dyDescent="0.25">
      <c r="A536" s="4"/>
      <c r="B536" s="28" t="str">
        <f>IF(ISNUMBER(MATCH(D536, Mgt_Unit!$C$5:$C$1018, 0)), INDEX(Mgt_Unit!$B$5:$B$1018, MATCH(D536, Mgt_Unit!$C$5:$C$1018, 0)), "")</f>
        <v/>
      </c>
      <c r="C536" s="28"/>
      <c r="D536" s="9"/>
      <c r="E536" s="45"/>
      <c r="F536" s="9"/>
      <c r="G536" s="9"/>
      <c r="H536" s="9"/>
      <c r="I536" s="41"/>
      <c r="J536" s="41"/>
      <c r="K536" s="9"/>
      <c r="L536" s="9"/>
    </row>
    <row r="537" spans="1:12" x14ac:dyDescent="0.25">
      <c r="A537" s="4"/>
      <c r="B537" s="28" t="str">
        <f>IF(ISNUMBER(MATCH(D537, Mgt_Unit!$C$5:$C$1018, 0)), INDEX(Mgt_Unit!$B$5:$B$1018, MATCH(D537, Mgt_Unit!$C$5:$C$1018, 0)), "")</f>
        <v/>
      </c>
      <c r="C537" s="28"/>
      <c r="D537" s="9"/>
      <c r="E537" s="45"/>
      <c r="F537" s="9"/>
      <c r="G537" s="9"/>
      <c r="H537" s="9"/>
      <c r="I537" s="41"/>
      <c r="J537" s="41"/>
      <c r="K537" s="9"/>
      <c r="L537" s="9"/>
    </row>
    <row r="538" spans="1:12" x14ac:dyDescent="0.25">
      <c r="A538" s="4"/>
      <c r="B538" s="28" t="str">
        <f>IF(ISNUMBER(MATCH(D538, Mgt_Unit!$C$5:$C$1018, 0)), INDEX(Mgt_Unit!$B$5:$B$1018, MATCH(D538, Mgt_Unit!$C$5:$C$1018, 0)), "")</f>
        <v/>
      </c>
      <c r="C538" s="28"/>
      <c r="D538" s="9"/>
      <c r="E538" s="45"/>
      <c r="F538" s="9"/>
      <c r="G538" s="9"/>
      <c r="H538" s="9"/>
      <c r="I538" s="41"/>
      <c r="J538" s="41"/>
      <c r="K538" s="9"/>
      <c r="L538" s="9"/>
    </row>
    <row r="539" spans="1:12" x14ac:dyDescent="0.25">
      <c r="A539" s="4"/>
      <c r="B539" s="28" t="str">
        <f>IF(ISNUMBER(MATCH(D539, Mgt_Unit!$C$5:$C$1018, 0)), INDEX(Mgt_Unit!$B$5:$B$1018, MATCH(D539, Mgt_Unit!$C$5:$C$1018, 0)), "")</f>
        <v/>
      </c>
      <c r="C539" s="28"/>
      <c r="D539" s="9"/>
      <c r="E539" s="45"/>
      <c r="F539" s="9"/>
      <c r="G539" s="9"/>
      <c r="H539" s="9"/>
      <c r="I539" s="41"/>
      <c r="J539" s="41"/>
      <c r="K539" s="9"/>
      <c r="L539" s="9"/>
    </row>
    <row r="540" spans="1:12" x14ac:dyDescent="0.25">
      <c r="A540" s="4"/>
      <c r="B540" s="28" t="str">
        <f>IF(ISNUMBER(MATCH(D540, Mgt_Unit!$C$5:$C$1018, 0)), INDEX(Mgt_Unit!$B$5:$B$1018, MATCH(D540, Mgt_Unit!$C$5:$C$1018, 0)), "")</f>
        <v/>
      </c>
      <c r="C540" s="28"/>
      <c r="D540" s="9"/>
      <c r="E540" s="45"/>
      <c r="F540" s="9"/>
      <c r="G540" s="9"/>
      <c r="H540" s="9"/>
      <c r="I540" s="41"/>
      <c r="J540" s="41"/>
      <c r="K540" s="9"/>
      <c r="L540" s="9"/>
    </row>
    <row r="541" spans="1:12" x14ac:dyDescent="0.25">
      <c r="A541" s="4"/>
      <c r="B541" s="28" t="str">
        <f>IF(ISNUMBER(MATCH(D541, Mgt_Unit!$C$5:$C$1018, 0)), INDEX(Mgt_Unit!$B$5:$B$1018, MATCH(D541, Mgt_Unit!$C$5:$C$1018, 0)), "")</f>
        <v/>
      </c>
      <c r="C541" s="28"/>
      <c r="D541" s="9"/>
      <c r="E541" s="45"/>
      <c r="F541" s="9"/>
      <c r="G541" s="9"/>
      <c r="H541" s="9"/>
      <c r="I541" s="41"/>
      <c r="J541" s="41"/>
      <c r="K541" s="9"/>
      <c r="L541" s="9"/>
    </row>
    <row r="542" spans="1:12" x14ac:dyDescent="0.25">
      <c r="A542" s="4"/>
      <c r="B542" s="28" t="str">
        <f>IF(ISNUMBER(MATCH(D542, Mgt_Unit!$C$5:$C$1018, 0)), INDEX(Mgt_Unit!$B$5:$B$1018, MATCH(D542, Mgt_Unit!$C$5:$C$1018, 0)), "")</f>
        <v/>
      </c>
      <c r="C542" s="28"/>
      <c r="D542" s="9"/>
      <c r="E542" s="45"/>
      <c r="F542" s="9"/>
      <c r="G542" s="9"/>
      <c r="H542" s="9"/>
      <c r="I542" s="41"/>
      <c r="J542" s="41"/>
      <c r="K542" s="9"/>
      <c r="L542" s="9"/>
    </row>
    <row r="543" spans="1:12" x14ac:dyDescent="0.25">
      <c r="A543" s="4"/>
      <c r="B543" s="28" t="str">
        <f>IF(ISNUMBER(MATCH(D543, Mgt_Unit!$C$5:$C$1018, 0)), INDEX(Mgt_Unit!$B$5:$B$1018, MATCH(D543, Mgt_Unit!$C$5:$C$1018, 0)), "")</f>
        <v/>
      </c>
      <c r="C543" s="28"/>
      <c r="D543" s="9"/>
      <c r="E543" s="45"/>
      <c r="F543" s="9"/>
      <c r="G543" s="9"/>
      <c r="H543" s="9"/>
      <c r="I543" s="41"/>
      <c r="J543" s="41"/>
      <c r="K543" s="9"/>
      <c r="L543" s="9"/>
    </row>
    <row r="544" spans="1:12" x14ac:dyDescent="0.25">
      <c r="A544" s="4"/>
      <c r="B544" s="28" t="str">
        <f>IF(ISNUMBER(MATCH(D544, Mgt_Unit!$C$5:$C$1018, 0)), INDEX(Mgt_Unit!$B$5:$B$1018, MATCH(D544, Mgt_Unit!$C$5:$C$1018, 0)), "")</f>
        <v/>
      </c>
      <c r="C544" s="28"/>
      <c r="D544" s="9"/>
      <c r="E544" s="45"/>
      <c r="F544" s="9"/>
      <c r="G544" s="9"/>
      <c r="H544" s="9"/>
      <c r="I544" s="41"/>
      <c r="J544" s="41"/>
      <c r="K544" s="9"/>
      <c r="L544" s="9"/>
    </row>
    <row r="545" spans="1:12" x14ac:dyDescent="0.25">
      <c r="A545" s="4"/>
      <c r="B545" s="28" t="str">
        <f>IF(ISNUMBER(MATCH(D545, Mgt_Unit!$C$5:$C$1018, 0)), INDEX(Mgt_Unit!$B$5:$B$1018, MATCH(D545, Mgt_Unit!$C$5:$C$1018, 0)), "")</f>
        <v/>
      </c>
      <c r="C545" s="28"/>
      <c r="D545" s="9"/>
      <c r="E545" s="45"/>
      <c r="F545" s="9"/>
      <c r="G545" s="9"/>
      <c r="H545" s="9"/>
      <c r="I545" s="41"/>
      <c r="J545" s="41"/>
      <c r="K545" s="9"/>
      <c r="L545" s="9"/>
    </row>
    <row r="546" spans="1:12" x14ac:dyDescent="0.25">
      <c r="A546" s="4"/>
      <c r="B546" s="28" t="str">
        <f>IF(ISNUMBER(MATCH(D546, Mgt_Unit!$C$5:$C$1018, 0)), INDEX(Mgt_Unit!$B$5:$B$1018, MATCH(D546, Mgt_Unit!$C$5:$C$1018, 0)), "")</f>
        <v/>
      </c>
      <c r="C546" s="28"/>
      <c r="D546" s="9"/>
      <c r="E546" s="45"/>
      <c r="F546" s="9"/>
      <c r="G546" s="9"/>
      <c r="H546" s="9"/>
      <c r="I546" s="41"/>
      <c r="J546" s="41"/>
      <c r="K546" s="9"/>
      <c r="L546" s="9"/>
    </row>
    <row r="547" spans="1:12" x14ac:dyDescent="0.25">
      <c r="A547" s="4"/>
      <c r="B547" s="28" t="str">
        <f>IF(ISNUMBER(MATCH(D547, Mgt_Unit!$C$5:$C$1018, 0)), INDEX(Mgt_Unit!$B$5:$B$1018, MATCH(D547, Mgt_Unit!$C$5:$C$1018, 0)), "")</f>
        <v/>
      </c>
      <c r="C547" s="28"/>
      <c r="D547" s="9"/>
      <c r="E547" s="45"/>
      <c r="F547" s="9"/>
      <c r="G547" s="9"/>
      <c r="H547" s="9"/>
      <c r="I547" s="41"/>
      <c r="J547" s="41"/>
      <c r="K547" s="9"/>
      <c r="L547" s="9"/>
    </row>
    <row r="548" spans="1:12" x14ac:dyDescent="0.25">
      <c r="A548" s="4"/>
      <c r="B548" s="28" t="str">
        <f>IF(ISNUMBER(MATCH(D548, Mgt_Unit!$C$5:$C$1018, 0)), INDEX(Mgt_Unit!$B$5:$B$1018, MATCH(D548, Mgt_Unit!$C$5:$C$1018, 0)), "")</f>
        <v/>
      </c>
      <c r="C548" s="28"/>
      <c r="D548" s="9"/>
      <c r="E548" s="45"/>
      <c r="F548" s="9"/>
      <c r="G548" s="9"/>
      <c r="H548" s="9"/>
      <c r="I548" s="41"/>
      <c r="J548" s="41"/>
      <c r="K548" s="9"/>
      <c r="L548" s="9"/>
    </row>
    <row r="549" spans="1:12" x14ac:dyDescent="0.25">
      <c r="A549" s="4"/>
      <c r="B549" s="28" t="str">
        <f>IF(ISNUMBER(MATCH(D549, Mgt_Unit!$C$5:$C$1018, 0)), INDEX(Mgt_Unit!$B$5:$B$1018, MATCH(D549, Mgt_Unit!$C$5:$C$1018, 0)), "")</f>
        <v/>
      </c>
      <c r="C549" s="28"/>
      <c r="D549" s="9"/>
      <c r="E549" s="45"/>
      <c r="F549" s="9"/>
      <c r="G549" s="9"/>
      <c r="H549" s="9"/>
      <c r="I549" s="41"/>
      <c r="J549" s="41"/>
      <c r="K549" s="9"/>
      <c r="L549" s="9"/>
    </row>
    <row r="550" spans="1:12" x14ac:dyDescent="0.25">
      <c r="A550" s="4"/>
      <c r="B550" s="28" t="str">
        <f>IF(ISNUMBER(MATCH(D550, Mgt_Unit!$C$5:$C$1018, 0)), INDEX(Mgt_Unit!$B$5:$B$1018, MATCH(D550, Mgt_Unit!$C$5:$C$1018, 0)), "")</f>
        <v/>
      </c>
      <c r="C550" s="28"/>
      <c r="D550" s="9"/>
      <c r="E550" s="45"/>
      <c r="F550" s="9"/>
      <c r="G550" s="9"/>
      <c r="H550" s="9"/>
      <c r="I550" s="41"/>
      <c r="J550" s="41"/>
      <c r="K550" s="9"/>
      <c r="L550" s="9"/>
    </row>
    <row r="551" spans="1:12" x14ac:dyDescent="0.25">
      <c r="A551" s="4"/>
      <c r="B551" s="28" t="str">
        <f>IF(ISNUMBER(MATCH(D551, Mgt_Unit!$C$5:$C$1018, 0)), INDEX(Mgt_Unit!$B$5:$B$1018, MATCH(D551, Mgt_Unit!$C$5:$C$1018, 0)), "")</f>
        <v/>
      </c>
      <c r="C551" s="28"/>
      <c r="D551" s="9"/>
      <c r="E551" s="45"/>
      <c r="F551" s="9"/>
      <c r="G551" s="9"/>
      <c r="H551" s="9"/>
      <c r="I551" s="41"/>
      <c r="J551" s="41"/>
      <c r="K551" s="9"/>
      <c r="L551" s="9"/>
    </row>
    <row r="552" spans="1:12" x14ac:dyDescent="0.25">
      <c r="A552" s="4"/>
      <c r="B552" s="28" t="str">
        <f>IF(ISNUMBER(MATCH(D552, Mgt_Unit!$C$5:$C$1018, 0)), INDEX(Mgt_Unit!$B$5:$B$1018, MATCH(D552, Mgt_Unit!$C$5:$C$1018, 0)), "")</f>
        <v/>
      </c>
      <c r="C552" s="28"/>
      <c r="D552" s="9"/>
      <c r="E552" s="45"/>
      <c r="F552" s="9"/>
      <c r="G552" s="9"/>
      <c r="H552" s="9"/>
      <c r="I552" s="41"/>
      <c r="J552" s="41"/>
      <c r="K552" s="9"/>
      <c r="L552" s="9"/>
    </row>
    <row r="553" spans="1:12" x14ac:dyDescent="0.25">
      <c r="A553" s="4"/>
      <c r="B553" s="28" t="str">
        <f>IF(ISNUMBER(MATCH(D553, Mgt_Unit!$C$5:$C$1018, 0)), INDEX(Mgt_Unit!$B$5:$B$1018, MATCH(D553, Mgt_Unit!$C$5:$C$1018, 0)), "")</f>
        <v/>
      </c>
      <c r="C553" s="28"/>
      <c r="D553" s="9"/>
      <c r="E553" s="45"/>
      <c r="F553" s="9"/>
      <c r="G553" s="9"/>
      <c r="H553" s="9"/>
      <c r="I553" s="41"/>
      <c r="J553" s="41"/>
      <c r="K553" s="9"/>
      <c r="L553" s="9"/>
    </row>
    <row r="554" spans="1:12" x14ac:dyDescent="0.25">
      <c r="A554" s="4"/>
      <c r="B554" s="28" t="str">
        <f>IF(ISNUMBER(MATCH(D554, Mgt_Unit!$C$5:$C$1018, 0)), INDEX(Mgt_Unit!$B$5:$B$1018, MATCH(D554, Mgt_Unit!$C$5:$C$1018, 0)), "")</f>
        <v/>
      </c>
      <c r="C554" s="28"/>
      <c r="D554" s="9"/>
      <c r="E554" s="45"/>
      <c r="F554" s="9"/>
      <c r="G554" s="9"/>
      <c r="H554" s="9"/>
      <c r="I554" s="41"/>
      <c r="J554" s="41"/>
      <c r="K554" s="9"/>
      <c r="L554" s="9"/>
    </row>
    <row r="555" spans="1:12" x14ac:dyDescent="0.25">
      <c r="A555" s="4"/>
      <c r="B555" s="28" t="str">
        <f>IF(ISNUMBER(MATCH(D555, Mgt_Unit!$C$5:$C$1018, 0)), INDEX(Mgt_Unit!$B$5:$B$1018, MATCH(D555, Mgt_Unit!$C$5:$C$1018, 0)), "")</f>
        <v/>
      </c>
      <c r="C555" s="28"/>
      <c r="D555" s="9"/>
      <c r="E555" s="45"/>
      <c r="F555" s="9"/>
      <c r="G555" s="9"/>
      <c r="H555" s="9"/>
      <c r="I555" s="41"/>
      <c r="J555" s="41"/>
      <c r="K555" s="9"/>
      <c r="L555" s="9"/>
    </row>
    <row r="556" spans="1:12" x14ac:dyDescent="0.25">
      <c r="A556" s="4"/>
      <c r="B556" s="28" t="str">
        <f>IF(ISNUMBER(MATCH(D556, Mgt_Unit!$C$5:$C$1018, 0)), INDEX(Mgt_Unit!$B$5:$B$1018, MATCH(D556, Mgt_Unit!$C$5:$C$1018, 0)), "")</f>
        <v/>
      </c>
      <c r="C556" s="28"/>
      <c r="D556" s="9"/>
      <c r="E556" s="45"/>
      <c r="F556" s="9"/>
      <c r="G556" s="9"/>
      <c r="H556" s="9"/>
      <c r="I556" s="41"/>
      <c r="J556" s="41"/>
      <c r="K556" s="9"/>
      <c r="L556" s="9"/>
    </row>
    <row r="557" spans="1:12" x14ac:dyDescent="0.25">
      <c r="A557" s="4"/>
      <c r="B557" s="28" t="str">
        <f>IF(ISNUMBER(MATCH(D557, Mgt_Unit!$C$5:$C$1018, 0)), INDEX(Mgt_Unit!$B$5:$B$1018, MATCH(D557, Mgt_Unit!$C$5:$C$1018, 0)), "")</f>
        <v/>
      </c>
      <c r="C557" s="28"/>
      <c r="D557" s="9"/>
      <c r="E557" s="45"/>
      <c r="F557" s="9"/>
      <c r="G557" s="9"/>
      <c r="H557" s="9"/>
      <c r="I557" s="41"/>
      <c r="J557" s="41"/>
      <c r="K557" s="9"/>
      <c r="L557" s="9"/>
    </row>
    <row r="558" spans="1:12" x14ac:dyDescent="0.25">
      <c r="A558" s="4"/>
      <c r="B558" s="28" t="str">
        <f>IF(ISNUMBER(MATCH(D558, Mgt_Unit!$C$5:$C$1018, 0)), INDEX(Mgt_Unit!$B$5:$B$1018, MATCH(D558, Mgt_Unit!$C$5:$C$1018, 0)), "")</f>
        <v/>
      </c>
      <c r="C558" s="28"/>
      <c r="D558" s="9"/>
      <c r="E558" s="45"/>
      <c r="F558" s="9"/>
      <c r="G558" s="9"/>
      <c r="H558" s="9"/>
      <c r="I558" s="41"/>
      <c r="J558" s="41"/>
      <c r="K558" s="9"/>
      <c r="L558" s="9"/>
    </row>
    <row r="559" spans="1:12" x14ac:dyDescent="0.25">
      <c r="A559" s="4"/>
      <c r="B559" s="28" t="str">
        <f>IF(ISNUMBER(MATCH(D559, Mgt_Unit!$C$5:$C$1018, 0)), INDEX(Mgt_Unit!$B$5:$B$1018, MATCH(D559, Mgt_Unit!$C$5:$C$1018, 0)), "")</f>
        <v/>
      </c>
      <c r="C559" s="28"/>
      <c r="D559" s="9"/>
      <c r="E559" s="45"/>
      <c r="F559" s="9"/>
      <c r="G559" s="9"/>
      <c r="H559" s="9"/>
      <c r="I559" s="41"/>
      <c r="J559" s="41"/>
      <c r="K559" s="9"/>
      <c r="L559" s="9"/>
    </row>
    <row r="560" spans="1:12" x14ac:dyDescent="0.25">
      <c r="A560" s="4"/>
      <c r="B560" s="28" t="str">
        <f>IF(ISNUMBER(MATCH(D560, Mgt_Unit!$C$5:$C$1018, 0)), INDEX(Mgt_Unit!$B$5:$B$1018, MATCH(D560, Mgt_Unit!$C$5:$C$1018, 0)), "")</f>
        <v/>
      </c>
      <c r="C560" s="28"/>
      <c r="D560" s="9"/>
      <c r="E560" s="45"/>
      <c r="F560" s="9"/>
      <c r="G560" s="9"/>
      <c r="H560" s="9"/>
      <c r="I560" s="41"/>
      <c r="J560" s="41"/>
      <c r="K560" s="9"/>
      <c r="L560" s="9"/>
    </row>
    <row r="561" spans="1:12" x14ac:dyDescent="0.25">
      <c r="A561" s="4"/>
      <c r="B561" s="28" t="str">
        <f>IF(ISNUMBER(MATCH(D561, Mgt_Unit!$C$5:$C$1018, 0)), INDEX(Mgt_Unit!$B$5:$B$1018, MATCH(D561, Mgt_Unit!$C$5:$C$1018, 0)), "")</f>
        <v/>
      </c>
      <c r="C561" s="28"/>
      <c r="D561" s="9"/>
      <c r="E561" s="45"/>
      <c r="F561" s="9"/>
      <c r="G561" s="9"/>
      <c r="H561" s="9"/>
      <c r="I561" s="41"/>
      <c r="J561" s="41"/>
      <c r="K561" s="9"/>
      <c r="L561" s="9"/>
    </row>
    <row r="562" spans="1:12" x14ac:dyDescent="0.25">
      <c r="A562" s="4"/>
      <c r="B562" s="28" t="str">
        <f>IF(ISNUMBER(MATCH(D562, Mgt_Unit!$C$5:$C$1018, 0)), INDEX(Mgt_Unit!$B$5:$B$1018, MATCH(D562, Mgt_Unit!$C$5:$C$1018, 0)), "")</f>
        <v/>
      </c>
      <c r="C562" s="28"/>
      <c r="D562" s="9"/>
      <c r="E562" s="45"/>
      <c r="F562" s="9"/>
      <c r="G562" s="9"/>
      <c r="H562" s="9"/>
      <c r="I562" s="41"/>
      <c r="J562" s="41"/>
      <c r="K562" s="9"/>
      <c r="L562" s="9"/>
    </row>
    <row r="563" spans="1:12" x14ac:dyDescent="0.25">
      <c r="A563" s="4"/>
      <c r="B563" s="28" t="str">
        <f>IF(ISNUMBER(MATCH(D563, Mgt_Unit!$C$5:$C$1018, 0)), INDEX(Mgt_Unit!$B$5:$B$1018, MATCH(D563, Mgt_Unit!$C$5:$C$1018, 0)), "")</f>
        <v/>
      </c>
      <c r="C563" s="28"/>
      <c r="D563" s="9"/>
      <c r="E563" s="45"/>
      <c r="F563" s="9"/>
      <c r="G563" s="9"/>
      <c r="H563" s="9"/>
      <c r="I563" s="41"/>
      <c r="J563" s="41"/>
      <c r="K563" s="9"/>
      <c r="L563" s="9"/>
    </row>
    <row r="564" spans="1:12" x14ac:dyDescent="0.25">
      <c r="A564" s="4"/>
      <c r="B564" s="28" t="str">
        <f>IF(ISNUMBER(MATCH(D564, Mgt_Unit!$C$5:$C$1018, 0)), INDEX(Mgt_Unit!$B$5:$B$1018, MATCH(D564, Mgt_Unit!$C$5:$C$1018, 0)), "")</f>
        <v/>
      </c>
      <c r="C564" s="28"/>
      <c r="D564" s="9"/>
      <c r="E564" s="45"/>
      <c r="F564" s="9"/>
      <c r="G564" s="9"/>
      <c r="H564" s="9"/>
      <c r="I564" s="41"/>
      <c r="J564" s="41"/>
      <c r="K564" s="9"/>
      <c r="L564" s="9"/>
    </row>
    <row r="565" spans="1:12" x14ac:dyDescent="0.25">
      <c r="A565" s="4"/>
      <c r="B565" s="28" t="str">
        <f>IF(ISNUMBER(MATCH(D565, Mgt_Unit!$C$5:$C$1018, 0)), INDEX(Mgt_Unit!$B$5:$B$1018, MATCH(D565, Mgt_Unit!$C$5:$C$1018, 0)), "")</f>
        <v/>
      </c>
      <c r="C565" s="28"/>
      <c r="D565" s="9"/>
      <c r="E565" s="45"/>
      <c r="F565" s="9"/>
      <c r="G565" s="9"/>
      <c r="H565" s="9"/>
      <c r="I565" s="41"/>
      <c r="J565" s="41"/>
      <c r="K565" s="9"/>
      <c r="L565" s="9"/>
    </row>
    <row r="566" spans="1:12" x14ac:dyDescent="0.25">
      <c r="A566" s="4"/>
      <c r="B566" s="28" t="str">
        <f>IF(ISNUMBER(MATCH(D566, Mgt_Unit!$C$5:$C$1018, 0)), INDEX(Mgt_Unit!$B$5:$B$1018, MATCH(D566, Mgt_Unit!$C$5:$C$1018, 0)), "")</f>
        <v/>
      </c>
      <c r="C566" s="28"/>
      <c r="D566" s="9"/>
      <c r="E566" s="45"/>
      <c r="F566" s="9"/>
      <c r="G566" s="9"/>
      <c r="H566" s="9"/>
      <c r="I566" s="41"/>
      <c r="J566" s="41"/>
      <c r="K566" s="9"/>
      <c r="L566" s="9"/>
    </row>
    <row r="567" spans="1:12" x14ac:dyDescent="0.25">
      <c r="A567" s="4"/>
      <c r="B567" s="28" t="str">
        <f>IF(ISNUMBER(MATCH(D567, Mgt_Unit!$C$5:$C$1018, 0)), INDEX(Mgt_Unit!$B$5:$B$1018, MATCH(D567, Mgt_Unit!$C$5:$C$1018, 0)), "")</f>
        <v/>
      </c>
      <c r="C567" s="28"/>
      <c r="D567" s="9"/>
      <c r="E567" s="45"/>
      <c r="F567" s="9"/>
      <c r="G567" s="9"/>
      <c r="H567" s="9"/>
      <c r="I567" s="41"/>
      <c r="J567" s="41"/>
      <c r="K567" s="9"/>
      <c r="L567" s="9"/>
    </row>
    <row r="568" spans="1:12" x14ac:dyDescent="0.25">
      <c r="A568" s="4"/>
      <c r="B568" s="28" t="str">
        <f>IF(ISNUMBER(MATCH(D568, Mgt_Unit!$C$5:$C$1018, 0)), INDEX(Mgt_Unit!$B$5:$B$1018, MATCH(D568, Mgt_Unit!$C$5:$C$1018, 0)), "")</f>
        <v/>
      </c>
      <c r="C568" s="28"/>
      <c r="D568" s="9"/>
      <c r="E568" s="45"/>
      <c r="F568" s="9"/>
      <c r="G568" s="9"/>
      <c r="H568" s="9"/>
      <c r="I568" s="41"/>
      <c r="J568" s="41"/>
      <c r="K568" s="9"/>
      <c r="L568" s="9"/>
    </row>
    <row r="569" spans="1:12" x14ac:dyDescent="0.25">
      <c r="A569" s="4"/>
      <c r="B569" s="28" t="str">
        <f>IF(ISNUMBER(MATCH(D569, Mgt_Unit!$C$5:$C$1018, 0)), INDEX(Mgt_Unit!$B$5:$B$1018, MATCH(D569, Mgt_Unit!$C$5:$C$1018, 0)), "")</f>
        <v/>
      </c>
      <c r="C569" s="28"/>
      <c r="D569" s="9"/>
      <c r="E569" s="45"/>
      <c r="F569" s="9"/>
      <c r="G569" s="9"/>
      <c r="H569" s="9"/>
      <c r="I569" s="41"/>
      <c r="J569" s="41"/>
      <c r="K569" s="9"/>
      <c r="L569" s="9"/>
    </row>
    <row r="570" spans="1:12" x14ac:dyDescent="0.25">
      <c r="A570" s="4"/>
      <c r="B570" s="28" t="str">
        <f>IF(ISNUMBER(MATCH(D570, Mgt_Unit!$C$5:$C$1018, 0)), INDEX(Mgt_Unit!$B$5:$B$1018, MATCH(D570, Mgt_Unit!$C$5:$C$1018, 0)), "")</f>
        <v/>
      </c>
      <c r="C570" s="28"/>
      <c r="D570" s="9"/>
      <c r="E570" s="45"/>
      <c r="F570" s="9"/>
      <c r="G570" s="9"/>
      <c r="H570" s="9"/>
      <c r="I570" s="41"/>
      <c r="J570" s="41"/>
      <c r="K570" s="9"/>
      <c r="L570" s="9"/>
    </row>
    <row r="571" spans="1:12" x14ac:dyDescent="0.25">
      <c r="A571" s="4"/>
      <c r="B571" s="28" t="str">
        <f>IF(ISNUMBER(MATCH(D571, Mgt_Unit!$C$5:$C$1018, 0)), INDEX(Mgt_Unit!$B$5:$B$1018, MATCH(D571, Mgt_Unit!$C$5:$C$1018, 0)), "")</f>
        <v/>
      </c>
      <c r="C571" s="28"/>
      <c r="D571" s="9"/>
      <c r="E571" s="45"/>
      <c r="F571" s="9"/>
      <c r="G571" s="9"/>
      <c r="H571" s="9"/>
      <c r="I571" s="41"/>
      <c r="J571" s="41"/>
      <c r="K571" s="9"/>
      <c r="L571" s="9"/>
    </row>
    <row r="572" spans="1:12" x14ac:dyDescent="0.25">
      <c r="A572" s="4"/>
      <c r="B572" s="28" t="str">
        <f>IF(ISNUMBER(MATCH(D572, Mgt_Unit!$C$5:$C$1018, 0)), INDEX(Mgt_Unit!$B$5:$B$1018, MATCH(D572, Mgt_Unit!$C$5:$C$1018, 0)), "")</f>
        <v/>
      </c>
      <c r="C572" s="28"/>
      <c r="D572" s="9"/>
      <c r="E572" s="45"/>
      <c r="F572" s="9"/>
      <c r="G572" s="9"/>
      <c r="H572" s="9"/>
      <c r="I572" s="41"/>
      <c r="J572" s="41"/>
      <c r="K572" s="9"/>
      <c r="L572" s="9"/>
    </row>
    <row r="573" spans="1:12" x14ac:dyDescent="0.25">
      <c r="A573" s="4"/>
      <c r="B573" s="28" t="str">
        <f>IF(ISNUMBER(MATCH(D573, Mgt_Unit!$C$5:$C$1018, 0)), INDEX(Mgt_Unit!$B$5:$B$1018, MATCH(D573, Mgt_Unit!$C$5:$C$1018, 0)), "")</f>
        <v/>
      </c>
      <c r="C573" s="28"/>
      <c r="D573" s="9"/>
      <c r="E573" s="45"/>
      <c r="F573" s="9"/>
      <c r="G573" s="9"/>
      <c r="H573" s="9"/>
      <c r="I573" s="41"/>
      <c r="J573" s="41"/>
      <c r="K573" s="9"/>
      <c r="L573" s="9"/>
    </row>
    <row r="574" spans="1:12" x14ac:dyDescent="0.25">
      <c r="A574" s="4"/>
      <c r="B574" s="28" t="str">
        <f>IF(ISNUMBER(MATCH(D574, Mgt_Unit!$C$5:$C$1018, 0)), INDEX(Mgt_Unit!$B$5:$B$1018, MATCH(D574, Mgt_Unit!$C$5:$C$1018, 0)), "")</f>
        <v/>
      </c>
      <c r="C574" s="28"/>
      <c r="D574" s="9"/>
      <c r="E574" s="45"/>
      <c r="F574" s="9"/>
      <c r="G574" s="9"/>
      <c r="H574" s="9"/>
      <c r="I574" s="41"/>
      <c r="J574" s="41"/>
      <c r="K574" s="9"/>
      <c r="L574" s="9"/>
    </row>
    <row r="575" spans="1:12" x14ac:dyDescent="0.25">
      <c r="A575" s="4"/>
      <c r="B575" s="28" t="str">
        <f>IF(ISNUMBER(MATCH(D575, Mgt_Unit!$C$5:$C$1018, 0)), INDEX(Mgt_Unit!$B$5:$B$1018, MATCH(D575, Mgt_Unit!$C$5:$C$1018, 0)), "")</f>
        <v/>
      </c>
      <c r="C575" s="28"/>
      <c r="D575" s="9"/>
      <c r="E575" s="45"/>
      <c r="F575" s="9"/>
      <c r="G575" s="9"/>
      <c r="H575" s="9"/>
      <c r="I575" s="41"/>
      <c r="J575" s="41"/>
      <c r="K575" s="9"/>
      <c r="L575" s="9"/>
    </row>
    <row r="576" spans="1:12" x14ac:dyDescent="0.25">
      <c r="A576" s="4"/>
      <c r="B576" s="28" t="str">
        <f>IF(ISNUMBER(MATCH(D576, Mgt_Unit!$C$5:$C$1018, 0)), INDEX(Mgt_Unit!$B$5:$B$1018, MATCH(D576, Mgt_Unit!$C$5:$C$1018, 0)), "")</f>
        <v/>
      </c>
      <c r="C576" s="28"/>
      <c r="D576" s="9"/>
      <c r="E576" s="45"/>
      <c r="F576" s="9"/>
      <c r="G576" s="9"/>
      <c r="H576" s="9"/>
      <c r="I576" s="41"/>
      <c r="J576" s="41"/>
      <c r="K576" s="9"/>
      <c r="L576" s="9"/>
    </row>
    <row r="577" spans="1:12" x14ac:dyDescent="0.25">
      <c r="A577" s="4"/>
      <c r="B577" s="28" t="str">
        <f>IF(ISNUMBER(MATCH(D577, Mgt_Unit!$C$5:$C$1018, 0)), INDEX(Mgt_Unit!$B$5:$B$1018, MATCH(D577, Mgt_Unit!$C$5:$C$1018, 0)), "")</f>
        <v/>
      </c>
      <c r="C577" s="28"/>
      <c r="D577" s="9"/>
      <c r="E577" s="45"/>
      <c r="F577" s="9"/>
      <c r="G577" s="9"/>
      <c r="H577" s="9"/>
      <c r="I577" s="41"/>
      <c r="J577" s="41"/>
      <c r="K577" s="9"/>
      <c r="L577" s="9"/>
    </row>
    <row r="578" spans="1:12" x14ac:dyDescent="0.25">
      <c r="A578" s="4"/>
      <c r="B578" s="28" t="str">
        <f>IF(ISNUMBER(MATCH(D578, Mgt_Unit!$C$5:$C$1018, 0)), INDEX(Mgt_Unit!$B$5:$B$1018, MATCH(D578, Mgt_Unit!$C$5:$C$1018, 0)), "")</f>
        <v/>
      </c>
      <c r="C578" s="28"/>
      <c r="D578" s="9"/>
      <c r="E578" s="45"/>
      <c r="F578" s="9"/>
      <c r="G578" s="9"/>
      <c r="H578" s="9"/>
      <c r="I578" s="41"/>
      <c r="J578" s="41"/>
      <c r="K578" s="9"/>
      <c r="L578" s="9"/>
    </row>
    <row r="579" spans="1:12" x14ac:dyDescent="0.25">
      <c r="A579" s="4"/>
      <c r="B579" s="28" t="str">
        <f>IF(ISNUMBER(MATCH(D579, Mgt_Unit!$C$5:$C$1018, 0)), INDEX(Mgt_Unit!$B$5:$B$1018, MATCH(D579, Mgt_Unit!$C$5:$C$1018, 0)), "")</f>
        <v/>
      </c>
      <c r="C579" s="28"/>
      <c r="D579" s="9"/>
      <c r="E579" s="45"/>
      <c r="F579" s="9"/>
      <c r="G579" s="9"/>
      <c r="H579" s="9"/>
      <c r="I579" s="41"/>
      <c r="J579" s="41"/>
      <c r="K579" s="9"/>
      <c r="L579" s="9"/>
    </row>
    <row r="580" spans="1:12" x14ac:dyDescent="0.25">
      <c r="A580" s="4"/>
      <c r="B580" s="28" t="str">
        <f>IF(ISNUMBER(MATCH(D580, Mgt_Unit!$C$5:$C$1018, 0)), INDEX(Mgt_Unit!$B$5:$B$1018, MATCH(D580, Mgt_Unit!$C$5:$C$1018, 0)), "")</f>
        <v/>
      </c>
      <c r="C580" s="28"/>
      <c r="D580" s="9"/>
      <c r="E580" s="45"/>
      <c r="F580" s="9"/>
      <c r="G580" s="9"/>
      <c r="H580" s="9"/>
      <c r="I580" s="41"/>
      <c r="J580" s="41"/>
      <c r="K580" s="9"/>
      <c r="L580" s="9"/>
    </row>
    <row r="581" spans="1:12" x14ac:dyDescent="0.25">
      <c r="A581" s="4"/>
      <c r="B581" s="28" t="str">
        <f>IF(ISNUMBER(MATCH(D581, Mgt_Unit!$C$5:$C$1018, 0)), INDEX(Mgt_Unit!$B$5:$B$1018, MATCH(D581, Mgt_Unit!$C$5:$C$1018, 0)), "")</f>
        <v/>
      </c>
      <c r="C581" s="28"/>
      <c r="D581" s="9"/>
      <c r="E581" s="45"/>
      <c r="F581" s="9"/>
      <c r="G581" s="9"/>
      <c r="H581" s="9"/>
      <c r="I581" s="41"/>
      <c r="J581" s="41"/>
      <c r="K581" s="9"/>
      <c r="L581" s="9"/>
    </row>
    <row r="582" spans="1:12" x14ac:dyDescent="0.25">
      <c r="A582" s="4"/>
      <c r="B582" s="28" t="str">
        <f>IF(ISNUMBER(MATCH(D582, Mgt_Unit!$C$5:$C$1018, 0)), INDEX(Mgt_Unit!$B$5:$B$1018, MATCH(D582, Mgt_Unit!$C$5:$C$1018, 0)), "")</f>
        <v/>
      </c>
      <c r="C582" s="28"/>
      <c r="D582" s="9"/>
      <c r="E582" s="45"/>
      <c r="F582" s="9"/>
      <c r="G582" s="9"/>
      <c r="H582" s="9"/>
      <c r="I582" s="41"/>
      <c r="J582" s="41"/>
      <c r="K582" s="9"/>
      <c r="L582" s="9"/>
    </row>
    <row r="583" spans="1:12" x14ac:dyDescent="0.25">
      <c r="A583" s="4"/>
      <c r="B583" s="28" t="str">
        <f>IF(ISNUMBER(MATCH(D583, Mgt_Unit!$C$5:$C$1018, 0)), INDEX(Mgt_Unit!$B$5:$B$1018, MATCH(D583, Mgt_Unit!$C$5:$C$1018, 0)), "")</f>
        <v/>
      </c>
      <c r="C583" s="28"/>
      <c r="D583" s="9"/>
      <c r="E583" s="45"/>
      <c r="F583" s="9"/>
      <c r="G583" s="9"/>
      <c r="H583" s="9"/>
      <c r="I583" s="41"/>
      <c r="J583" s="41"/>
      <c r="K583" s="9"/>
      <c r="L583" s="9"/>
    </row>
    <row r="584" spans="1:12" x14ac:dyDescent="0.25">
      <c r="A584" s="4"/>
      <c r="B584" s="28" t="str">
        <f>IF(ISNUMBER(MATCH(D584, Mgt_Unit!$C$5:$C$1018, 0)), INDEX(Mgt_Unit!$B$5:$B$1018, MATCH(D584, Mgt_Unit!$C$5:$C$1018, 0)), "")</f>
        <v/>
      </c>
      <c r="C584" s="28"/>
      <c r="D584" s="9"/>
      <c r="E584" s="45"/>
      <c r="F584" s="9"/>
      <c r="G584" s="9"/>
      <c r="H584" s="9"/>
      <c r="I584" s="41"/>
      <c r="J584" s="41"/>
      <c r="K584" s="9"/>
      <c r="L584" s="9"/>
    </row>
    <row r="585" spans="1:12" x14ac:dyDescent="0.25">
      <c r="A585" s="4"/>
      <c r="B585" s="28" t="str">
        <f>IF(ISNUMBER(MATCH(D585, Mgt_Unit!$C$5:$C$1018, 0)), INDEX(Mgt_Unit!$B$5:$B$1018, MATCH(D585, Mgt_Unit!$C$5:$C$1018, 0)), "")</f>
        <v/>
      </c>
      <c r="C585" s="28"/>
      <c r="D585" s="9"/>
      <c r="E585" s="45"/>
      <c r="F585" s="9"/>
      <c r="G585" s="9"/>
      <c r="H585" s="9"/>
      <c r="I585" s="41"/>
      <c r="J585" s="41"/>
      <c r="K585" s="9"/>
      <c r="L585" s="9"/>
    </row>
    <row r="586" spans="1:12" x14ac:dyDescent="0.25">
      <c r="A586" s="4"/>
      <c r="B586" s="28" t="str">
        <f>IF(ISNUMBER(MATCH(D586, Mgt_Unit!$C$5:$C$1018, 0)), INDEX(Mgt_Unit!$B$5:$B$1018, MATCH(D586, Mgt_Unit!$C$5:$C$1018, 0)), "")</f>
        <v/>
      </c>
      <c r="C586" s="28"/>
      <c r="D586" s="9"/>
      <c r="E586" s="45"/>
      <c r="F586" s="9"/>
      <c r="G586" s="9"/>
      <c r="H586" s="9"/>
      <c r="I586" s="41"/>
      <c r="J586" s="41"/>
      <c r="K586" s="9"/>
      <c r="L586" s="9"/>
    </row>
    <row r="587" spans="1:12" x14ac:dyDescent="0.25">
      <c r="A587" s="4"/>
      <c r="B587" s="28" t="str">
        <f>IF(ISNUMBER(MATCH(D587, Mgt_Unit!$C$5:$C$1018, 0)), INDEX(Mgt_Unit!$B$5:$B$1018, MATCH(D587, Mgt_Unit!$C$5:$C$1018, 0)), "")</f>
        <v/>
      </c>
      <c r="C587" s="28"/>
      <c r="D587" s="9"/>
      <c r="E587" s="45"/>
      <c r="F587" s="9"/>
      <c r="G587" s="9"/>
      <c r="H587" s="9"/>
      <c r="I587" s="41"/>
      <c r="J587" s="41"/>
      <c r="K587" s="9"/>
      <c r="L587" s="9"/>
    </row>
    <row r="588" spans="1:12" x14ac:dyDescent="0.25">
      <c r="A588" s="4"/>
      <c r="B588" s="28" t="str">
        <f>IF(ISNUMBER(MATCH(D588, Mgt_Unit!$C$5:$C$1018, 0)), INDEX(Mgt_Unit!$B$5:$B$1018, MATCH(D588, Mgt_Unit!$C$5:$C$1018, 0)), "")</f>
        <v/>
      </c>
      <c r="C588" s="28"/>
      <c r="D588" s="9"/>
      <c r="E588" s="45"/>
      <c r="F588" s="9"/>
      <c r="G588" s="9"/>
      <c r="H588" s="9"/>
      <c r="I588" s="41"/>
      <c r="J588" s="41"/>
      <c r="K588" s="9"/>
      <c r="L588" s="9"/>
    </row>
    <row r="589" spans="1:12" x14ac:dyDescent="0.25">
      <c r="A589" s="4"/>
      <c r="B589" s="28" t="str">
        <f>IF(ISNUMBER(MATCH(D589, Mgt_Unit!$C$5:$C$1018, 0)), INDEX(Mgt_Unit!$B$5:$B$1018, MATCH(D589, Mgt_Unit!$C$5:$C$1018, 0)), "")</f>
        <v/>
      </c>
      <c r="C589" s="28"/>
      <c r="D589" s="9"/>
      <c r="E589" s="45"/>
      <c r="F589" s="9"/>
      <c r="G589" s="9"/>
      <c r="H589" s="9"/>
      <c r="I589" s="41"/>
      <c r="J589" s="41"/>
      <c r="K589" s="9"/>
      <c r="L589" s="9"/>
    </row>
    <row r="590" spans="1:12" x14ac:dyDescent="0.25">
      <c r="A590" s="4"/>
      <c r="B590" s="28" t="str">
        <f>IF(ISNUMBER(MATCH(D590, Mgt_Unit!$C$5:$C$1018, 0)), INDEX(Mgt_Unit!$B$5:$B$1018, MATCH(D590, Mgt_Unit!$C$5:$C$1018, 0)), "")</f>
        <v/>
      </c>
      <c r="C590" s="28"/>
      <c r="D590" s="9"/>
      <c r="E590" s="45"/>
      <c r="F590" s="9"/>
      <c r="G590" s="9"/>
      <c r="H590" s="9"/>
      <c r="I590" s="41"/>
      <c r="J590" s="41"/>
      <c r="K590" s="9"/>
      <c r="L590" s="9"/>
    </row>
    <row r="591" spans="1:12" x14ac:dyDescent="0.25">
      <c r="A591" s="4"/>
      <c r="B591" s="28" t="str">
        <f>IF(ISNUMBER(MATCH(D591, Mgt_Unit!$C$5:$C$1018, 0)), INDEX(Mgt_Unit!$B$5:$B$1018, MATCH(D591, Mgt_Unit!$C$5:$C$1018, 0)), "")</f>
        <v/>
      </c>
      <c r="C591" s="28"/>
      <c r="D591" s="9"/>
      <c r="E591" s="45"/>
      <c r="F591" s="9"/>
      <c r="G591" s="9"/>
      <c r="H591" s="9"/>
      <c r="I591" s="41"/>
      <c r="J591" s="41"/>
      <c r="K591" s="9"/>
      <c r="L591" s="9"/>
    </row>
    <row r="592" spans="1:12" x14ac:dyDescent="0.25">
      <c r="A592" s="4"/>
      <c r="B592" s="28" t="str">
        <f>IF(ISNUMBER(MATCH(D592, Mgt_Unit!$C$5:$C$1018, 0)), INDEX(Mgt_Unit!$B$5:$B$1018, MATCH(D592, Mgt_Unit!$C$5:$C$1018, 0)), "")</f>
        <v/>
      </c>
      <c r="C592" s="28"/>
      <c r="D592" s="9"/>
      <c r="E592" s="45"/>
      <c r="F592" s="9"/>
      <c r="G592" s="9"/>
      <c r="H592" s="9"/>
      <c r="I592" s="41"/>
      <c r="J592" s="41"/>
      <c r="K592" s="9"/>
      <c r="L592" s="9"/>
    </row>
    <row r="593" spans="1:12" x14ac:dyDescent="0.25">
      <c r="A593" s="4"/>
      <c r="B593" s="28" t="str">
        <f>IF(ISNUMBER(MATCH(D593, Mgt_Unit!$C$5:$C$1018, 0)), INDEX(Mgt_Unit!$B$5:$B$1018, MATCH(D593, Mgt_Unit!$C$5:$C$1018, 0)), "")</f>
        <v/>
      </c>
      <c r="C593" s="28"/>
      <c r="D593" s="9"/>
      <c r="E593" s="45"/>
      <c r="F593" s="9"/>
      <c r="G593" s="9"/>
      <c r="H593" s="9"/>
      <c r="I593" s="41"/>
      <c r="J593" s="41"/>
      <c r="K593" s="9"/>
      <c r="L593" s="9"/>
    </row>
    <row r="594" spans="1:12" x14ac:dyDescent="0.25">
      <c r="A594" s="4"/>
      <c r="B594" s="28" t="str">
        <f>IF(ISNUMBER(MATCH(D594, Mgt_Unit!$C$5:$C$1018, 0)), INDEX(Mgt_Unit!$B$5:$B$1018, MATCH(D594, Mgt_Unit!$C$5:$C$1018, 0)), "")</f>
        <v/>
      </c>
      <c r="C594" s="28"/>
      <c r="D594" s="9"/>
      <c r="E594" s="45"/>
      <c r="F594" s="9"/>
      <c r="G594" s="9"/>
      <c r="H594" s="9"/>
      <c r="I594" s="41"/>
      <c r="J594" s="41"/>
      <c r="K594" s="9"/>
      <c r="L594" s="9"/>
    </row>
    <row r="595" spans="1:12" x14ac:dyDescent="0.25">
      <c r="A595" s="4"/>
      <c r="B595" s="28" t="str">
        <f>IF(ISNUMBER(MATCH(D595, Mgt_Unit!$C$5:$C$1018, 0)), INDEX(Mgt_Unit!$B$5:$B$1018, MATCH(D595, Mgt_Unit!$C$5:$C$1018, 0)), "")</f>
        <v/>
      </c>
      <c r="C595" s="28"/>
      <c r="D595" s="9"/>
      <c r="E595" s="45"/>
      <c r="F595" s="9"/>
      <c r="G595" s="9"/>
      <c r="H595" s="9"/>
      <c r="I595" s="41"/>
      <c r="J595" s="41"/>
      <c r="K595" s="9"/>
      <c r="L595" s="9"/>
    </row>
    <row r="596" spans="1:12" x14ac:dyDescent="0.25">
      <c r="A596" s="4"/>
      <c r="B596" s="28" t="str">
        <f>IF(ISNUMBER(MATCH(D596, Mgt_Unit!$C$5:$C$1018, 0)), INDEX(Mgt_Unit!$B$5:$B$1018, MATCH(D596, Mgt_Unit!$C$5:$C$1018, 0)), "")</f>
        <v/>
      </c>
      <c r="C596" s="28"/>
      <c r="D596" s="9"/>
      <c r="E596" s="45"/>
      <c r="F596" s="9"/>
      <c r="G596" s="9"/>
      <c r="H596" s="9"/>
      <c r="I596" s="41"/>
      <c r="J596" s="41"/>
      <c r="K596" s="9"/>
      <c r="L596" s="9"/>
    </row>
    <row r="597" spans="1:12" x14ac:dyDescent="0.25">
      <c r="A597" s="4"/>
      <c r="B597" s="28" t="str">
        <f>IF(ISNUMBER(MATCH(D597, Mgt_Unit!$C$5:$C$1018, 0)), INDEX(Mgt_Unit!$B$5:$B$1018, MATCH(D597, Mgt_Unit!$C$5:$C$1018, 0)), "")</f>
        <v/>
      </c>
      <c r="C597" s="28"/>
      <c r="D597" s="9"/>
      <c r="E597" s="45"/>
      <c r="F597" s="9"/>
      <c r="G597" s="9"/>
      <c r="H597" s="9"/>
      <c r="I597" s="41"/>
      <c r="J597" s="41"/>
      <c r="K597" s="9"/>
      <c r="L597" s="9"/>
    </row>
    <row r="598" spans="1:12" x14ac:dyDescent="0.25">
      <c r="A598" s="4"/>
      <c r="B598" s="28" t="str">
        <f>IF(ISNUMBER(MATCH(D598, Mgt_Unit!$C$5:$C$1018, 0)), INDEX(Mgt_Unit!$B$5:$B$1018, MATCH(D598, Mgt_Unit!$C$5:$C$1018, 0)), "")</f>
        <v/>
      </c>
      <c r="C598" s="28"/>
      <c r="D598" s="9"/>
      <c r="E598" s="45"/>
      <c r="F598" s="9"/>
      <c r="G598" s="9"/>
      <c r="H598" s="9"/>
      <c r="I598" s="41"/>
      <c r="J598" s="41"/>
      <c r="K598" s="9"/>
      <c r="L598" s="9"/>
    </row>
    <row r="599" spans="1:12" x14ac:dyDescent="0.25">
      <c r="A599" s="4"/>
      <c r="B599" s="28" t="str">
        <f>IF(ISNUMBER(MATCH(D599, Mgt_Unit!$C$5:$C$1018, 0)), INDEX(Mgt_Unit!$B$5:$B$1018, MATCH(D599, Mgt_Unit!$C$5:$C$1018, 0)), "")</f>
        <v/>
      </c>
      <c r="C599" s="28"/>
      <c r="D599" s="9"/>
      <c r="E599" s="45"/>
      <c r="F599" s="9"/>
      <c r="G599" s="9"/>
      <c r="H599" s="9"/>
      <c r="I599" s="41"/>
      <c r="J599" s="41"/>
      <c r="K599" s="9"/>
      <c r="L599" s="9"/>
    </row>
    <row r="600" spans="1:12" x14ac:dyDescent="0.25">
      <c r="A600" s="4"/>
      <c r="B600" s="28" t="str">
        <f>IF(ISNUMBER(MATCH(D600, Mgt_Unit!$C$5:$C$1018, 0)), INDEX(Mgt_Unit!$B$5:$B$1018, MATCH(D600, Mgt_Unit!$C$5:$C$1018, 0)), "")</f>
        <v/>
      </c>
      <c r="C600" s="28"/>
      <c r="D600" s="9"/>
      <c r="E600" s="45"/>
      <c r="F600" s="9"/>
      <c r="G600" s="9"/>
      <c r="H600" s="9"/>
      <c r="I600" s="41"/>
      <c r="J600" s="41"/>
      <c r="K600" s="9"/>
      <c r="L600" s="9"/>
    </row>
    <row r="601" spans="1:12" x14ac:dyDescent="0.25">
      <c r="A601" s="4"/>
      <c r="B601" s="28" t="str">
        <f>IF(ISNUMBER(MATCH(D601, Mgt_Unit!$C$5:$C$1018, 0)), INDEX(Mgt_Unit!$B$5:$B$1018, MATCH(D601, Mgt_Unit!$C$5:$C$1018, 0)), "")</f>
        <v/>
      </c>
      <c r="C601" s="28"/>
      <c r="D601" s="9"/>
      <c r="E601" s="45"/>
      <c r="F601" s="9"/>
      <c r="G601" s="9"/>
      <c r="H601" s="9"/>
      <c r="I601" s="41"/>
      <c r="J601" s="41"/>
      <c r="K601" s="9"/>
      <c r="L601" s="9"/>
    </row>
    <row r="602" spans="1:12" x14ac:dyDescent="0.25">
      <c r="A602" s="4"/>
      <c r="B602" s="28" t="str">
        <f>IF(ISNUMBER(MATCH(D602, Mgt_Unit!$C$5:$C$1018, 0)), INDEX(Mgt_Unit!$B$5:$B$1018, MATCH(D602, Mgt_Unit!$C$5:$C$1018, 0)), "")</f>
        <v/>
      </c>
      <c r="C602" s="28"/>
      <c r="D602" s="9"/>
      <c r="E602" s="45"/>
      <c r="F602" s="9"/>
      <c r="G602" s="9"/>
      <c r="H602" s="9"/>
      <c r="I602" s="41"/>
      <c r="J602" s="41"/>
      <c r="K602" s="9"/>
      <c r="L602" s="9"/>
    </row>
    <row r="603" spans="1:12" x14ac:dyDescent="0.25">
      <c r="A603" s="4"/>
      <c r="B603" s="28" t="str">
        <f>IF(ISNUMBER(MATCH(D603, Mgt_Unit!$C$5:$C$1018, 0)), INDEX(Mgt_Unit!$B$5:$B$1018, MATCH(D603, Mgt_Unit!$C$5:$C$1018, 0)), "")</f>
        <v/>
      </c>
      <c r="C603" s="28"/>
      <c r="D603" s="9"/>
      <c r="E603" s="45"/>
      <c r="F603" s="9"/>
      <c r="G603" s="9"/>
      <c r="H603" s="9"/>
      <c r="I603" s="41"/>
      <c r="J603" s="41"/>
      <c r="K603" s="9"/>
      <c r="L603" s="9"/>
    </row>
    <row r="604" spans="1:12" x14ac:dyDescent="0.25">
      <c r="A604" s="4"/>
      <c r="B604" s="28" t="str">
        <f>IF(ISNUMBER(MATCH(D604, Mgt_Unit!$C$5:$C$1018, 0)), INDEX(Mgt_Unit!$B$5:$B$1018, MATCH(D604, Mgt_Unit!$C$5:$C$1018, 0)), "")</f>
        <v/>
      </c>
      <c r="C604" s="28"/>
      <c r="D604" s="9"/>
      <c r="E604" s="45"/>
      <c r="F604" s="9"/>
      <c r="G604" s="9"/>
      <c r="H604" s="9"/>
      <c r="I604" s="41"/>
      <c r="J604" s="41"/>
      <c r="K604" s="9"/>
      <c r="L604" s="9"/>
    </row>
    <row r="605" spans="1:12" x14ac:dyDescent="0.25">
      <c r="A605" s="4"/>
      <c r="B605" s="28" t="str">
        <f>IF(ISNUMBER(MATCH(D605, Mgt_Unit!$C$5:$C$1018, 0)), INDEX(Mgt_Unit!$B$5:$B$1018, MATCH(D605, Mgt_Unit!$C$5:$C$1018, 0)), "")</f>
        <v/>
      </c>
      <c r="C605" s="28"/>
      <c r="D605" s="9"/>
      <c r="E605" s="45"/>
      <c r="F605" s="9"/>
      <c r="G605" s="9"/>
      <c r="H605" s="9"/>
      <c r="I605" s="41"/>
      <c r="J605" s="41"/>
      <c r="K605" s="9"/>
      <c r="L605" s="9"/>
    </row>
    <row r="606" spans="1:12" x14ac:dyDescent="0.25">
      <c r="A606" s="4"/>
      <c r="B606" s="28" t="str">
        <f>IF(ISNUMBER(MATCH(D606, Mgt_Unit!$C$5:$C$1018, 0)), INDEX(Mgt_Unit!$B$5:$B$1018, MATCH(D606, Mgt_Unit!$C$5:$C$1018, 0)), "")</f>
        <v/>
      </c>
      <c r="C606" s="28"/>
      <c r="D606" s="9"/>
      <c r="E606" s="45"/>
      <c r="F606" s="9"/>
      <c r="G606" s="9"/>
      <c r="H606" s="9"/>
      <c r="I606" s="41"/>
      <c r="J606" s="41"/>
      <c r="K606" s="9"/>
      <c r="L606" s="9"/>
    </row>
    <row r="607" spans="1:12" x14ac:dyDescent="0.25">
      <c r="A607" s="4"/>
      <c r="B607" s="28" t="str">
        <f>IF(ISNUMBER(MATCH(D607, Mgt_Unit!$C$5:$C$1018, 0)), INDEX(Mgt_Unit!$B$5:$B$1018, MATCH(D607, Mgt_Unit!$C$5:$C$1018, 0)), "")</f>
        <v/>
      </c>
      <c r="C607" s="28"/>
      <c r="D607" s="9"/>
      <c r="E607" s="45"/>
      <c r="F607" s="9"/>
      <c r="G607" s="9"/>
      <c r="H607" s="9"/>
      <c r="I607" s="41"/>
      <c r="J607" s="41"/>
      <c r="K607" s="9"/>
      <c r="L607" s="9"/>
    </row>
    <row r="608" spans="1:12" x14ac:dyDescent="0.25">
      <c r="A608" s="4"/>
      <c r="B608" s="28" t="str">
        <f>IF(ISNUMBER(MATCH(D608, Mgt_Unit!$C$5:$C$1018, 0)), INDEX(Mgt_Unit!$B$5:$B$1018, MATCH(D608, Mgt_Unit!$C$5:$C$1018, 0)), "")</f>
        <v/>
      </c>
      <c r="C608" s="28"/>
      <c r="D608" s="9"/>
      <c r="E608" s="45"/>
      <c r="F608" s="9"/>
      <c r="G608" s="9"/>
      <c r="H608" s="9"/>
      <c r="I608" s="41"/>
      <c r="J608" s="41"/>
      <c r="K608" s="9"/>
      <c r="L608" s="9"/>
    </row>
    <row r="609" spans="1:12" x14ac:dyDescent="0.25">
      <c r="A609" s="4"/>
      <c r="B609" s="28" t="str">
        <f>IF(ISNUMBER(MATCH(D609, Mgt_Unit!$C$5:$C$1018, 0)), INDEX(Mgt_Unit!$B$5:$B$1018, MATCH(D609, Mgt_Unit!$C$5:$C$1018, 0)), "")</f>
        <v/>
      </c>
      <c r="C609" s="28"/>
      <c r="D609" s="9"/>
      <c r="E609" s="45"/>
      <c r="F609" s="9"/>
      <c r="G609" s="9"/>
      <c r="H609" s="9"/>
      <c r="I609" s="41"/>
      <c r="J609" s="41"/>
      <c r="K609" s="9"/>
      <c r="L609" s="9"/>
    </row>
    <row r="610" spans="1:12" x14ac:dyDescent="0.25">
      <c r="A610" s="4"/>
      <c r="B610" s="28" t="str">
        <f>IF(ISNUMBER(MATCH(D610, Mgt_Unit!$C$5:$C$1018, 0)), INDEX(Mgt_Unit!$B$5:$B$1018, MATCH(D610, Mgt_Unit!$C$5:$C$1018, 0)), "")</f>
        <v/>
      </c>
      <c r="C610" s="28"/>
      <c r="D610" s="9"/>
      <c r="E610" s="45"/>
      <c r="F610" s="9"/>
      <c r="G610" s="9"/>
      <c r="H610" s="9"/>
      <c r="I610" s="41"/>
      <c r="J610" s="41"/>
      <c r="K610" s="9"/>
      <c r="L610" s="9"/>
    </row>
    <row r="611" spans="1:12" x14ac:dyDescent="0.25">
      <c r="A611" s="4"/>
      <c r="B611" s="28" t="str">
        <f>IF(ISNUMBER(MATCH(D611, Mgt_Unit!$C$5:$C$1018, 0)), INDEX(Mgt_Unit!$B$5:$B$1018, MATCH(D611, Mgt_Unit!$C$5:$C$1018, 0)), "")</f>
        <v/>
      </c>
      <c r="C611" s="28"/>
      <c r="D611" s="9"/>
      <c r="E611" s="45"/>
      <c r="F611" s="9"/>
      <c r="G611" s="9"/>
      <c r="H611" s="9"/>
      <c r="I611" s="41"/>
      <c r="J611" s="41"/>
      <c r="K611" s="9"/>
      <c r="L611" s="9"/>
    </row>
    <row r="612" spans="1:12" x14ac:dyDescent="0.25">
      <c r="A612" s="4"/>
      <c r="B612" s="28" t="str">
        <f>IF(ISNUMBER(MATCH(D612, Mgt_Unit!$C$5:$C$1018, 0)), INDEX(Mgt_Unit!$B$5:$B$1018, MATCH(D612, Mgt_Unit!$C$5:$C$1018, 0)), "")</f>
        <v/>
      </c>
      <c r="C612" s="28"/>
      <c r="D612" s="9"/>
      <c r="E612" s="45"/>
      <c r="F612" s="9"/>
      <c r="G612" s="9"/>
      <c r="H612" s="9"/>
      <c r="I612" s="41"/>
      <c r="J612" s="41"/>
      <c r="K612" s="9"/>
      <c r="L612" s="9"/>
    </row>
    <row r="613" spans="1:12" x14ac:dyDescent="0.25">
      <c r="A613" s="4"/>
      <c r="B613" s="28" t="str">
        <f>IF(ISNUMBER(MATCH(D613, Mgt_Unit!$C$5:$C$1018, 0)), INDEX(Mgt_Unit!$B$5:$B$1018, MATCH(D613, Mgt_Unit!$C$5:$C$1018, 0)), "")</f>
        <v/>
      </c>
      <c r="C613" s="28"/>
      <c r="D613" s="9"/>
      <c r="E613" s="45"/>
      <c r="F613" s="9"/>
      <c r="G613" s="9"/>
      <c r="H613" s="9"/>
      <c r="I613" s="41"/>
      <c r="J613" s="41"/>
      <c r="K613" s="9"/>
      <c r="L613" s="9"/>
    </row>
    <row r="614" spans="1:12" x14ac:dyDescent="0.25">
      <c r="A614" s="4"/>
      <c r="B614" s="28" t="str">
        <f>IF(ISNUMBER(MATCH(D614, Mgt_Unit!$C$5:$C$1018, 0)), INDEX(Mgt_Unit!$B$5:$B$1018, MATCH(D614, Mgt_Unit!$C$5:$C$1018, 0)), "")</f>
        <v/>
      </c>
      <c r="C614" s="28"/>
      <c r="D614" s="9"/>
      <c r="E614" s="45"/>
      <c r="F614" s="9"/>
      <c r="G614" s="9"/>
      <c r="H614" s="9"/>
      <c r="I614" s="41"/>
      <c r="J614" s="41"/>
      <c r="K614" s="9"/>
      <c r="L614" s="9"/>
    </row>
    <row r="615" spans="1:12" x14ac:dyDescent="0.25">
      <c r="A615" s="4"/>
      <c r="B615" s="28" t="str">
        <f>IF(ISNUMBER(MATCH(D615, Mgt_Unit!$C$5:$C$1018, 0)), INDEX(Mgt_Unit!$B$5:$B$1018, MATCH(D615, Mgt_Unit!$C$5:$C$1018, 0)), "")</f>
        <v/>
      </c>
      <c r="C615" s="28"/>
      <c r="D615" s="9"/>
      <c r="E615" s="45"/>
      <c r="F615" s="9"/>
      <c r="G615" s="9"/>
      <c r="H615" s="9"/>
      <c r="I615" s="41"/>
      <c r="J615" s="41"/>
      <c r="K615" s="9"/>
      <c r="L615" s="9"/>
    </row>
    <row r="616" spans="1:12" x14ac:dyDescent="0.25">
      <c r="A616" s="4"/>
      <c r="B616" s="28" t="str">
        <f>IF(ISNUMBER(MATCH(D616, Mgt_Unit!$C$5:$C$1018, 0)), INDEX(Mgt_Unit!$B$5:$B$1018, MATCH(D616, Mgt_Unit!$C$5:$C$1018, 0)), "")</f>
        <v/>
      </c>
      <c r="C616" s="28"/>
      <c r="D616" s="9"/>
      <c r="E616" s="45"/>
      <c r="F616" s="9"/>
      <c r="G616" s="9"/>
      <c r="H616" s="9"/>
      <c r="I616" s="41"/>
      <c r="J616" s="41"/>
      <c r="K616" s="9"/>
      <c r="L616" s="9"/>
    </row>
    <row r="617" spans="1:12" x14ac:dyDescent="0.25">
      <c r="A617" s="4"/>
      <c r="B617" s="28" t="str">
        <f>IF(ISNUMBER(MATCH(D617, Mgt_Unit!$C$5:$C$1018, 0)), INDEX(Mgt_Unit!$B$5:$B$1018, MATCH(D617, Mgt_Unit!$C$5:$C$1018, 0)), "")</f>
        <v/>
      </c>
      <c r="C617" s="28"/>
      <c r="D617" s="9"/>
      <c r="E617" s="45"/>
      <c r="F617" s="9"/>
      <c r="G617" s="9"/>
      <c r="H617" s="9"/>
      <c r="I617" s="41"/>
      <c r="J617" s="41"/>
      <c r="K617" s="9"/>
      <c r="L617" s="9"/>
    </row>
    <row r="618" spans="1:12" x14ac:dyDescent="0.25">
      <c r="A618" s="4"/>
      <c r="B618" s="28" t="str">
        <f>IF(ISNUMBER(MATCH(D618, Mgt_Unit!$C$5:$C$1018, 0)), INDEX(Mgt_Unit!$B$5:$B$1018, MATCH(D618, Mgt_Unit!$C$5:$C$1018, 0)), "")</f>
        <v/>
      </c>
      <c r="C618" s="28"/>
      <c r="D618" s="9"/>
      <c r="E618" s="45"/>
      <c r="F618" s="9"/>
      <c r="G618" s="9"/>
      <c r="H618" s="9"/>
      <c r="I618" s="41"/>
      <c r="J618" s="41"/>
      <c r="K618" s="9"/>
      <c r="L618" s="9"/>
    </row>
    <row r="619" spans="1:12" x14ac:dyDescent="0.25">
      <c r="A619" s="4"/>
      <c r="B619" s="28" t="str">
        <f>IF(ISNUMBER(MATCH(D619, Mgt_Unit!$C$5:$C$1018, 0)), INDEX(Mgt_Unit!$B$5:$B$1018, MATCH(D619, Mgt_Unit!$C$5:$C$1018, 0)), "")</f>
        <v/>
      </c>
      <c r="C619" s="28"/>
      <c r="D619" s="9"/>
      <c r="E619" s="45"/>
      <c r="F619" s="9"/>
      <c r="G619" s="9"/>
      <c r="H619" s="9"/>
      <c r="I619" s="41"/>
      <c r="J619" s="41"/>
      <c r="K619" s="9"/>
      <c r="L619" s="9"/>
    </row>
    <row r="620" spans="1:12" x14ac:dyDescent="0.25">
      <c r="A620" s="4"/>
      <c r="B620" s="28" t="str">
        <f>IF(ISNUMBER(MATCH(D620, Mgt_Unit!$C$5:$C$1018, 0)), INDEX(Mgt_Unit!$B$5:$B$1018, MATCH(D620, Mgt_Unit!$C$5:$C$1018, 0)), "")</f>
        <v/>
      </c>
      <c r="C620" s="28"/>
      <c r="D620" s="9"/>
      <c r="E620" s="45"/>
      <c r="F620" s="9"/>
      <c r="G620" s="9"/>
      <c r="H620" s="9"/>
      <c r="I620" s="41"/>
      <c r="J620" s="41"/>
      <c r="K620" s="9"/>
      <c r="L620" s="9"/>
    </row>
    <row r="621" spans="1:12" x14ac:dyDescent="0.25">
      <c r="A621" s="4"/>
      <c r="B621" s="28" t="str">
        <f>IF(ISNUMBER(MATCH(D621, Mgt_Unit!$C$5:$C$1018, 0)), INDEX(Mgt_Unit!$B$5:$B$1018, MATCH(D621, Mgt_Unit!$C$5:$C$1018, 0)), "")</f>
        <v/>
      </c>
      <c r="C621" s="28"/>
      <c r="D621" s="9"/>
      <c r="E621" s="45"/>
      <c r="F621" s="9"/>
      <c r="G621" s="9"/>
      <c r="H621" s="9"/>
      <c r="I621" s="41"/>
      <c r="J621" s="41"/>
      <c r="K621" s="9"/>
      <c r="L621" s="9"/>
    </row>
    <row r="622" spans="1:12" x14ac:dyDescent="0.25">
      <c r="A622" s="4"/>
      <c r="B622" s="28" t="str">
        <f>IF(ISNUMBER(MATCH(D622, Mgt_Unit!$C$5:$C$1018, 0)), INDEX(Mgt_Unit!$B$5:$B$1018, MATCH(D622, Mgt_Unit!$C$5:$C$1018, 0)), "")</f>
        <v/>
      </c>
      <c r="C622" s="28"/>
      <c r="D622" s="9"/>
      <c r="E622" s="45"/>
      <c r="F622" s="9"/>
      <c r="G622" s="9"/>
      <c r="H622" s="9"/>
      <c r="I622" s="41"/>
      <c r="J622" s="41"/>
      <c r="K622" s="9"/>
      <c r="L622" s="9"/>
    </row>
    <row r="623" spans="1:12" x14ac:dyDescent="0.25">
      <c r="A623" s="4"/>
      <c r="B623" s="28" t="str">
        <f>IF(ISNUMBER(MATCH(D623, Mgt_Unit!$C$5:$C$1018, 0)), INDEX(Mgt_Unit!$B$5:$B$1018, MATCH(D623, Mgt_Unit!$C$5:$C$1018, 0)), "")</f>
        <v/>
      </c>
      <c r="C623" s="28"/>
      <c r="D623" s="9"/>
      <c r="E623" s="45"/>
      <c r="F623" s="9"/>
      <c r="G623" s="9"/>
      <c r="H623" s="9"/>
      <c r="I623" s="41"/>
      <c r="J623" s="41"/>
      <c r="K623" s="9"/>
      <c r="L623" s="9"/>
    </row>
    <row r="624" spans="1:12" x14ac:dyDescent="0.25">
      <c r="A624" s="4"/>
      <c r="B624" s="28" t="str">
        <f>IF(ISNUMBER(MATCH(D624, Mgt_Unit!$C$5:$C$1018, 0)), INDEX(Mgt_Unit!$B$5:$B$1018, MATCH(D624, Mgt_Unit!$C$5:$C$1018, 0)), "")</f>
        <v/>
      </c>
      <c r="C624" s="28"/>
      <c r="D624" s="9"/>
      <c r="E624" s="45"/>
      <c r="F624" s="9"/>
      <c r="G624" s="9"/>
      <c r="H624" s="9"/>
      <c r="I624" s="41"/>
      <c r="J624" s="41"/>
      <c r="K624" s="9"/>
      <c r="L624" s="9"/>
    </row>
    <row r="625" spans="1:12" x14ac:dyDescent="0.25">
      <c r="A625" s="4"/>
      <c r="B625" s="28" t="str">
        <f>IF(ISNUMBER(MATCH(D625, Mgt_Unit!$C$5:$C$1018, 0)), INDEX(Mgt_Unit!$B$5:$B$1018, MATCH(D625, Mgt_Unit!$C$5:$C$1018, 0)), "")</f>
        <v/>
      </c>
      <c r="C625" s="28"/>
      <c r="D625" s="9"/>
      <c r="E625" s="45"/>
      <c r="F625" s="9"/>
      <c r="G625" s="9"/>
      <c r="H625" s="9"/>
      <c r="I625" s="41"/>
      <c r="J625" s="41"/>
      <c r="K625" s="9"/>
      <c r="L625" s="9"/>
    </row>
    <row r="626" spans="1:12" x14ac:dyDescent="0.25">
      <c r="A626" s="4"/>
      <c r="B626" s="28" t="str">
        <f>IF(ISNUMBER(MATCH(D626, Mgt_Unit!$C$5:$C$1018, 0)), INDEX(Mgt_Unit!$B$5:$B$1018, MATCH(D626, Mgt_Unit!$C$5:$C$1018, 0)), "")</f>
        <v/>
      </c>
      <c r="C626" s="28"/>
      <c r="D626" s="9"/>
      <c r="E626" s="45"/>
      <c r="F626" s="9"/>
      <c r="G626" s="9"/>
      <c r="H626" s="9"/>
      <c r="I626" s="41"/>
      <c r="J626" s="41"/>
      <c r="K626" s="9"/>
      <c r="L626" s="9"/>
    </row>
    <row r="627" spans="1:12" x14ac:dyDescent="0.25">
      <c r="A627" s="4"/>
      <c r="B627" s="28" t="str">
        <f>IF(ISNUMBER(MATCH(D627, Mgt_Unit!$C$5:$C$1018, 0)), INDEX(Mgt_Unit!$B$5:$B$1018, MATCH(D627, Mgt_Unit!$C$5:$C$1018, 0)), "")</f>
        <v/>
      </c>
      <c r="C627" s="28"/>
      <c r="D627" s="9"/>
      <c r="E627" s="45"/>
      <c r="F627" s="9"/>
      <c r="G627" s="9"/>
      <c r="H627" s="9"/>
      <c r="I627" s="41"/>
      <c r="J627" s="41"/>
      <c r="K627" s="9"/>
      <c r="L627" s="9"/>
    </row>
    <row r="628" spans="1:12" x14ac:dyDescent="0.25">
      <c r="A628" s="4"/>
      <c r="B628" s="28" t="str">
        <f>IF(ISNUMBER(MATCH(D628, Mgt_Unit!$C$5:$C$1018, 0)), INDEX(Mgt_Unit!$B$5:$B$1018, MATCH(D628, Mgt_Unit!$C$5:$C$1018, 0)), "")</f>
        <v/>
      </c>
      <c r="C628" s="28"/>
      <c r="D628" s="9"/>
      <c r="E628" s="45"/>
      <c r="F628" s="9"/>
      <c r="G628" s="9"/>
      <c r="H628" s="9"/>
      <c r="I628" s="41"/>
      <c r="J628" s="41"/>
      <c r="K628" s="9"/>
      <c r="L628" s="9"/>
    </row>
    <row r="629" spans="1:12" x14ac:dyDescent="0.25">
      <c r="A629" s="4"/>
      <c r="B629" s="28" t="str">
        <f>IF(ISNUMBER(MATCH(D629, Mgt_Unit!$C$5:$C$1018, 0)), INDEX(Mgt_Unit!$B$5:$B$1018, MATCH(D629, Mgt_Unit!$C$5:$C$1018, 0)), "")</f>
        <v/>
      </c>
      <c r="C629" s="28"/>
      <c r="D629" s="9"/>
      <c r="E629" s="45"/>
      <c r="F629" s="9"/>
      <c r="G629" s="9"/>
      <c r="H629" s="9"/>
      <c r="I629" s="41"/>
      <c r="J629" s="41"/>
      <c r="K629" s="9"/>
      <c r="L629" s="9"/>
    </row>
    <row r="630" spans="1:12" x14ac:dyDescent="0.25">
      <c r="A630" s="4"/>
      <c r="B630" s="28" t="str">
        <f>IF(ISNUMBER(MATCH(D630, Mgt_Unit!$C$5:$C$1018, 0)), INDEX(Mgt_Unit!$B$5:$B$1018, MATCH(D630, Mgt_Unit!$C$5:$C$1018, 0)), "")</f>
        <v/>
      </c>
      <c r="C630" s="28"/>
      <c r="D630" s="9"/>
      <c r="E630" s="45"/>
      <c r="F630" s="9"/>
      <c r="G630" s="9"/>
      <c r="H630" s="9"/>
      <c r="I630" s="41"/>
      <c r="J630" s="41"/>
      <c r="K630" s="9"/>
      <c r="L630" s="9"/>
    </row>
    <row r="631" spans="1:12" x14ac:dyDescent="0.25">
      <c r="A631" s="4"/>
      <c r="B631" s="28" t="str">
        <f>IF(ISNUMBER(MATCH(D631, Mgt_Unit!$C$5:$C$1018, 0)), INDEX(Mgt_Unit!$B$5:$B$1018, MATCH(D631, Mgt_Unit!$C$5:$C$1018, 0)), "")</f>
        <v/>
      </c>
      <c r="C631" s="28"/>
      <c r="D631" s="9"/>
      <c r="E631" s="45"/>
      <c r="F631" s="9"/>
      <c r="G631" s="9"/>
      <c r="H631" s="9"/>
      <c r="I631" s="41"/>
      <c r="J631" s="41"/>
      <c r="K631" s="9"/>
      <c r="L631" s="9"/>
    </row>
    <row r="632" spans="1:12" x14ac:dyDescent="0.25">
      <c r="A632" s="4"/>
      <c r="B632" s="28" t="str">
        <f>IF(ISNUMBER(MATCH(D632, Mgt_Unit!$C$5:$C$1018, 0)), INDEX(Mgt_Unit!$B$5:$B$1018, MATCH(D632, Mgt_Unit!$C$5:$C$1018, 0)), "")</f>
        <v/>
      </c>
      <c r="C632" s="28"/>
      <c r="D632" s="9"/>
      <c r="E632" s="45"/>
      <c r="F632" s="9"/>
      <c r="G632" s="9"/>
      <c r="H632" s="9"/>
      <c r="I632" s="41"/>
      <c r="J632" s="41"/>
      <c r="K632" s="9"/>
      <c r="L632" s="9"/>
    </row>
    <row r="633" spans="1:12" x14ac:dyDescent="0.25">
      <c r="A633" s="4"/>
      <c r="B633" s="28" t="str">
        <f>IF(ISNUMBER(MATCH(D633, Mgt_Unit!$C$5:$C$1018, 0)), INDEX(Mgt_Unit!$B$5:$B$1018, MATCH(D633, Mgt_Unit!$C$5:$C$1018, 0)), "")</f>
        <v/>
      </c>
      <c r="C633" s="28"/>
      <c r="D633" s="9"/>
      <c r="E633" s="45"/>
      <c r="F633" s="9"/>
      <c r="G633" s="9"/>
      <c r="H633" s="9"/>
      <c r="I633" s="41"/>
      <c r="J633" s="41"/>
      <c r="K633" s="9"/>
      <c r="L633" s="9"/>
    </row>
    <row r="634" spans="1:12" x14ac:dyDescent="0.25">
      <c r="A634" s="4"/>
      <c r="B634" s="28" t="str">
        <f>IF(ISNUMBER(MATCH(D634, Mgt_Unit!$C$5:$C$1018, 0)), INDEX(Mgt_Unit!$B$5:$B$1018, MATCH(D634, Mgt_Unit!$C$5:$C$1018, 0)), "")</f>
        <v/>
      </c>
      <c r="C634" s="28"/>
      <c r="D634" s="9"/>
      <c r="E634" s="45"/>
      <c r="F634" s="9"/>
      <c r="G634" s="9"/>
      <c r="H634" s="9"/>
      <c r="I634" s="41"/>
      <c r="J634" s="41"/>
      <c r="K634" s="9"/>
      <c r="L634" s="9"/>
    </row>
    <row r="635" spans="1:12" x14ac:dyDescent="0.25">
      <c r="A635" s="4"/>
      <c r="B635" s="28" t="str">
        <f>IF(ISNUMBER(MATCH(D635, Mgt_Unit!$C$5:$C$1018, 0)), INDEX(Mgt_Unit!$B$5:$B$1018, MATCH(D635, Mgt_Unit!$C$5:$C$1018, 0)), "")</f>
        <v/>
      </c>
      <c r="C635" s="28"/>
      <c r="D635" s="9"/>
      <c r="E635" s="45"/>
      <c r="F635" s="9"/>
      <c r="G635" s="9"/>
      <c r="H635" s="9"/>
      <c r="I635" s="41"/>
      <c r="J635" s="41"/>
      <c r="K635" s="9"/>
      <c r="L635" s="9"/>
    </row>
    <row r="636" spans="1:12" x14ac:dyDescent="0.25">
      <c r="A636" s="4"/>
      <c r="B636" s="28" t="str">
        <f>IF(ISNUMBER(MATCH(D636, Mgt_Unit!$C$5:$C$1018, 0)), INDEX(Mgt_Unit!$B$5:$B$1018, MATCH(D636, Mgt_Unit!$C$5:$C$1018, 0)), "")</f>
        <v/>
      </c>
      <c r="C636" s="28"/>
      <c r="D636" s="9"/>
      <c r="E636" s="45"/>
      <c r="F636" s="9"/>
      <c r="G636" s="9"/>
      <c r="H636" s="9"/>
      <c r="I636" s="41"/>
      <c r="J636" s="41"/>
      <c r="K636" s="9"/>
      <c r="L636" s="9"/>
    </row>
    <row r="637" spans="1:12" x14ac:dyDescent="0.25">
      <c r="A637" s="4"/>
      <c r="B637" s="28" t="str">
        <f>IF(ISNUMBER(MATCH(D637, Mgt_Unit!$C$5:$C$1018, 0)), INDEX(Mgt_Unit!$B$5:$B$1018, MATCH(D637, Mgt_Unit!$C$5:$C$1018, 0)), "")</f>
        <v/>
      </c>
      <c r="C637" s="28"/>
      <c r="D637" s="9"/>
      <c r="E637" s="45"/>
      <c r="F637" s="9"/>
      <c r="G637" s="9"/>
      <c r="H637" s="9"/>
      <c r="I637" s="41"/>
      <c r="J637" s="41"/>
      <c r="K637" s="9"/>
      <c r="L637" s="9"/>
    </row>
    <row r="638" spans="1:12" x14ac:dyDescent="0.25">
      <c r="A638" s="4"/>
      <c r="B638" s="28" t="str">
        <f>IF(ISNUMBER(MATCH(D638, Mgt_Unit!$C$5:$C$1018, 0)), INDEX(Mgt_Unit!$B$5:$B$1018, MATCH(D638, Mgt_Unit!$C$5:$C$1018, 0)), "")</f>
        <v/>
      </c>
      <c r="C638" s="28"/>
      <c r="D638" s="9"/>
      <c r="E638" s="45"/>
      <c r="F638" s="9"/>
      <c r="G638" s="9"/>
      <c r="H638" s="9"/>
      <c r="I638" s="41"/>
      <c r="J638" s="41"/>
      <c r="K638" s="9"/>
      <c r="L638" s="9"/>
    </row>
    <row r="639" spans="1:12" x14ac:dyDescent="0.25">
      <c r="A639" s="4"/>
      <c r="B639" s="28" t="str">
        <f>IF(ISNUMBER(MATCH(D639, Mgt_Unit!$C$5:$C$1018, 0)), INDEX(Mgt_Unit!$B$5:$B$1018, MATCH(D639, Mgt_Unit!$C$5:$C$1018, 0)), "")</f>
        <v/>
      </c>
      <c r="C639" s="28"/>
      <c r="D639" s="9"/>
      <c r="E639" s="45"/>
      <c r="F639" s="9"/>
      <c r="G639" s="9"/>
      <c r="H639" s="9"/>
      <c r="I639" s="41"/>
      <c r="J639" s="41"/>
      <c r="K639" s="9"/>
      <c r="L639" s="9"/>
    </row>
    <row r="640" spans="1:12" x14ac:dyDescent="0.25">
      <c r="A640" s="4"/>
      <c r="B640" s="28" t="str">
        <f>IF(ISNUMBER(MATCH(D640, Mgt_Unit!$C$5:$C$1018, 0)), INDEX(Mgt_Unit!$B$5:$B$1018, MATCH(D640, Mgt_Unit!$C$5:$C$1018, 0)), "")</f>
        <v/>
      </c>
      <c r="C640" s="28"/>
      <c r="D640" s="9"/>
      <c r="E640" s="45"/>
      <c r="F640" s="9"/>
      <c r="G640" s="9"/>
      <c r="H640" s="9"/>
      <c r="I640" s="41"/>
      <c r="J640" s="41"/>
      <c r="K640" s="9"/>
      <c r="L640" s="9"/>
    </row>
    <row r="641" spans="1:12" x14ac:dyDescent="0.25">
      <c r="A641" s="4"/>
      <c r="B641" s="28" t="str">
        <f>IF(ISNUMBER(MATCH(D641, Mgt_Unit!$C$5:$C$1018, 0)), INDEX(Mgt_Unit!$B$5:$B$1018, MATCH(D641, Mgt_Unit!$C$5:$C$1018, 0)), "")</f>
        <v/>
      </c>
      <c r="C641" s="28"/>
      <c r="D641" s="9"/>
      <c r="E641" s="45"/>
      <c r="F641" s="9"/>
      <c r="G641" s="9"/>
      <c r="H641" s="9"/>
      <c r="I641" s="41"/>
      <c r="J641" s="41"/>
      <c r="K641" s="9"/>
      <c r="L641" s="9"/>
    </row>
    <row r="642" spans="1:12" x14ac:dyDescent="0.25">
      <c r="A642" s="4"/>
      <c r="B642" s="28" t="str">
        <f>IF(ISNUMBER(MATCH(D642, Mgt_Unit!$C$5:$C$1018, 0)), INDEX(Mgt_Unit!$B$5:$B$1018, MATCH(D642, Mgt_Unit!$C$5:$C$1018, 0)), "")</f>
        <v/>
      </c>
      <c r="C642" s="28"/>
      <c r="D642" s="9"/>
      <c r="E642" s="45"/>
      <c r="F642" s="9"/>
      <c r="G642" s="9"/>
      <c r="H642" s="9"/>
      <c r="I642" s="41"/>
      <c r="J642" s="41"/>
      <c r="K642" s="9"/>
      <c r="L642" s="9"/>
    </row>
    <row r="643" spans="1:12" x14ac:dyDescent="0.25">
      <c r="A643" s="4"/>
      <c r="B643" s="28" t="str">
        <f>IF(ISNUMBER(MATCH(D643, Mgt_Unit!$C$5:$C$1018, 0)), INDEX(Mgt_Unit!$B$5:$B$1018, MATCH(D643, Mgt_Unit!$C$5:$C$1018, 0)), "")</f>
        <v/>
      </c>
      <c r="C643" s="28"/>
      <c r="D643" s="9"/>
      <c r="E643" s="45"/>
      <c r="F643" s="9"/>
      <c r="G643" s="9"/>
      <c r="H643" s="9"/>
      <c r="I643" s="41"/>
      <c r="J643" s="41"/>
      <c r="K643" s="9"/>
      <c r="L643" s="9"/>
    </row>
    <row r="644" spans="1:12" x14ac:dyDescent="0.25">
      <c r="A644" s="4"/>
      <c r="B644" s="28" t="str">
        <f>IF(ISNUMBER(MATCH(D644, Mgt_Unit!$C$5:$C$1018, 0)), INDEX(Mgt_Unit!$B$5:$B$1018, MATCH(D644, Mgt_Unit!$C$5:$C$1018, 0)), "")</f>
        <v/>
      </c>
      <c r="C644" s="28"/>
      <c r="D644" s="9"/>
      <c r="E644" s="45"/>
      <c r="F644" s="9"/>
      <c r="G644" s="9"/>
      <c r="H644" s="9"/>
      <c r="I644" s="41"/>
      <c r="J644" s="41"/>
      <c r="K644" s="9"/>
      <c r="L644" s="9"/>
    </row>
    <row r="645" spans="1:12" x14ac:dyDescent="0.25">
      <c r="A645" s="4"/>
      <c r="B645" s="28" t="str">
        <f>IF(ISNUMBER(MATCH(D645, Mgt_Unit!$C$5:$C$1018, 0)), INDEX(Mgt_Unit!$B$5:$B$1018, MATCH(D645, Mgt_Unit!$C$5:$C$1018, 0)), "")</f>
        <v/>
      </c>
      <c r="C645" s="28"/>
      <c r="D645" s="9"/>
      <c r="E645" s="45"/>
      <c r="F645" s="9"/>
      <c r="G645" s="9"/>
      <c r="H645" s="9"/>
      <c r="I645" s="41"/>
      <c r="J645" s="41"/>
      <c r="K645" s="9"/>
      <c r="L645" s="9"/>
    </row>
    <row r="646" spans="1:12" x14ac:dyDescent="0.25">
      <c r="A646" s="4"/>
      <c r="B646" s="28" t="str">
        <f>IF(ISNUMBER(MATCH(D646, Mgt_Unit!$C$5:$C$1018, 0)), INDEX(Mgt_Unit!$B$5:$B$1018, MATCH(D646, Mgt_Unit!$C$5:$C$1018, 0)), "")</f>
        <v/>
      </c>
      <c r="C646" s="28"/>
      <c r="D646" s="9"/>
      <c r="E646" s="45"/>
      <c r="F646" s="9"/>
      <c r="G646" s="9"/>
      <c r="H646" s="9"/>
      <c r="I646" s="41"/>
      <c r="J646" s="41"/>
      <c r="K646" s="9"/>
      <c r="L646" s="9"/>
    </row>
    <row r="647" spans="1:12" x14ac:dyDescent="0.25">
      <c r="A647" s="4"/>
      <c r="B647" s="28" t="str">
        <f>IF(ISNUMBER(MATCH(D647, Mgt_Unit!$C$5:$C$1018, 0)), INDEX(Mgt_Unit!$B$5:$B$1018, MATCH(D647, Mgt_Unit!$C$5:$C$1018, 0)), "")</f>
        <v/>
      </c>
      <c r="C647" s="28"/>
      <c r="D647" s="9"/>
      <c r="E647" s="45"/>
      <c r="F647" s="9"/>
      <c r="G647" s="9"/>
      <c r="H647" s="9"/>
      <c r="I647" s="41"/>
      <c r="J647" s="41"/>
      <c r="K647" s="9"/>
      <c r="L647" s="9"/>
    </row>
    <row r="648" spans="1:12" x14ac:dyDescent="0.25">
      <c r="A648" s="4"/>
      <c r="B648" s="28" t="str">
        <f>IF(ISNUMBER(MATCH(D648, Mgt_Unit!$C$5:$C$1018, 0)), INDEX(Mgt_Unit!$B$5:$B$1018, MATCH(D648, Mgt_Unit!$C$5:$C$1018, 0)), "")</f>
        <v/>
      </c>
      <c r="C648" s="28"/>
      <c r="D648" s="9"/>
      <c r="E648" s="45"/>
      <c r="F648" s="9"/>
      <c r="G648" s="9"/>
      <c r="H648" s="9"/>
      <c r="I648" s="41"/>
      <c r="J648" s="41"/>
      <c r="K648" s="9"/>
      <c r="L648" s="9"/>
    </row>
    <row r="649" spans="1:12" x14ac:dyDescent="0.25">
      <c r="A649" s="4"/>
      <c r="B649" s="28" t="str">
        <f>IF(ISNUMBER(MATCH(D649, Mgt_Unit!$C$5:$C$1018, 0)), INDEX(Mgt_Unit!$B$5:$B$1018, MATCH(D649, Mgt_Unit!$C$5:$C$1018, 0)), "")</f>
        <v/>
      </c>
      <c r="C649" s="28"/>
      <c r="D649" s="9"/>
      <c r="E649" s="45"/>
      <c r="F649" s="9"/>
      <c r="G649" s="9"/>
      <c r="H649" s="9"/>
      <c r="I649" s="41"/>
      <c r="J649" s="41"/>
      <c r="K649" s="9"/>
      <c r="L649" s="9"/>
    </row>
    <row r="650" spans="1:12" x14ac:dyDescent="0.25">
      <c r="A650" s="4"/>
      <c r="B650" s="28" t="str">
        <f>IF(ISNUMBER(MATCH(D650, Mgt_Unit!$C$5:$C$1018, 0)), INDEX(Mgt_Unit!$B$5:$B$1018, MATCH(D650, Mgt_Unit!$C$5:$C$1018, 0)), "")</f>
        <v/>
      </c>
      <c r="C650" s="28"/>
      <c r="D650" s="9"/>
      <c r="E650" s="45"/>
      <c r="F650" s="9"/>
      <c r="G650" s="9"/>
      <c r="H650" s="9"/>
      <c r="I650" s="41"/>
      <c r="J650" s="41"/>
      <c r="K650" s="9"/>
      <c r="L650" s="9"/>
    </row>
    <row r="651" spans="1:12" x14ac:dyDescent="0.25">
      <c r="A651" s="4"/>
      <c r="B651" s="28" t="str">
        <f>IF(ISNUMBER(MATCH(D651, Mgt_Unit!$C$5:$C$1018, 0)), INDEX(Mgt_Unit!$B$5:$B$1018, MATCH(D651, Mgt_Unit!$C$5:$C$1018, 0)), "")</f>
        <v/>
      </c>
      <c r="C651" s="28"/>
      <c r="D651" s="9"/>
      <c r="E651" s="45"/>
      <c r="F651" s="9"/>
      <c r="G651" s="9"/>
      <c r="H651" s="9"/>
      <c r="I651" s="41"/>
      <c r="J651" s="41"/>
      <c r="K651" s="9"/>
      <c r="L651" s="9"/>
    </row>
    <row r="652" spans="1:12" x14ac:dyDescent="0.25">
      <c r="A652" s="4"/>
      <c r="B652" s="28" t="str">
        <f>IF(ISNUMBER(MATCH(D652, Mgt_Unit!$C$5:$C$1018, 0)), INDEX(Mgt_Unit!$B$5:$B$1018, MATCH(D652, Mgt_Unit!$C$5:$C$1018, 0)), "")</f>
        <v/>
      </c>
      <c r="C652" s="28"/>
      <c r="D652" s="9"/>
      <c r="E652" s="45"/>
      <c r="F652" s="9"/>
      <c r="G652" s="9"/>
      <c r="H652" s="9"/>
      <c r="I652" s="41"/>
      <c r="J652" s="41"/>
      <c r="K652" s="9"/>
      <c r="L652" s="9"/>
    </row>
    <row r="653" spans="1:12" x14ac:dyDescent="0.25">
      <c r="A653" s="4"/>
      <c r="B653" s="28" t="str">
        <f>IF(ISNUMBER(MATCH(D653, Mgt_Unit!$C$5:$C$1018, 0)), INDEX(Mgt_Unit!$B$5:$B$1018, MATCH(D653, Mgt_Unit!$C$5:$C$1018, 0)), "")</f>
        <v/>
      </c>
      <c r="C653" s="28"/>
      <c r="D653" s="9"/>
      <c r="E653" s="45"/>
      <c r="F653" s="9"/>
      <c r="G653" s="9"/>
      <c r="H653" s="9"/>
      <c r="I653" s="41"/>
      <c r="J653" s="41"/>
      <c r="K653" s="9"/>
      <c r="L653" s="9"/>
    </row>
    <row r="654" spans="1:12" x14ac:dyDescent="0.25">
      <c r="A654" s="4"/>
      <c r="B654" s="28" t="str">
        <f>IF(ISNUMBER(MATCH(D654, Mgt_Unit!$C$5:$C$1018, 0)), INDEX(Mgt_Unit!$B$5:$B$1018, MATCH(D654, Mgt_Unit!$C$5:$C$1018, 0)), "")</f>
        <v/>
      </c>
      <c r="C654" s="28"/>
      <c r="D654" s="9"/>
      <c r="E654" s="45"/>
      <c r="F654" s="9"/>
      <c r="G654" s="9"/>
      <c r="H654" s="9"/>
      <c r="I654" s="41"/>
      <c r="J654" s="41"/>
      <c r="K654" s="9"/>
      <c r="L654" s="9"/>
    </row>
    <row r="655" spans="1:12" x14ac:dyDescent="0.25">
      <c r="A655" s="4"/>
      <c r="B655" s="28" t="str">
        <f>IF(ISNUMBER(MATCH(D655, Mgt_Unit!$C$5:$C$1018, 0)), INDEX(Mgt_Unit!$B$5:$B$1018, MATCH(D655, Mgt_Unit!$C$5:$C$1018, 0)), "")</f>
        <v/>
      </c>
      <c r="C655" s="28"/>
      <c r="D655" s="9"/>
      <c r="E655" s="45"/>
      <c r="F655" s="9"/>
      <c r="G655" s="9"/>
      <c r="H655" s="9"/>
      <c r="I655" s="41"/>
      <c r="J655" s="41"/>
      <c r="K655" s="9"/>
      <c r="L655" s="9"/>
    </row>
    <row r="656" spans="1:12" x14ac:dyDescent="0.25">
      <c r="A656" s="4"/>
      <c r="B656" s="28" t="str">
        <f>IF(ISNUMBER(MATCH(D656, Mgt_Unit!$C$5:$C$1018, 0)), INDEX(Mgt_Unit!$B$5:$B$1018, MATCH(D656, Mgt_Unit!$C$5:$C$1018, 0)), "")</f>
        <v/>
      </c>
      <c r="C656" s="28"/>
      <c r="D656" s="9"/>
      <c r="E656" s="45"/>
      <c r="F656" s="9"/>
      <c r="G656" s="9"/>
      <c r="H656" s="9"/>
      <c r="I656" s="41"/>
      <c r="J656" s="41"/>
      <c r="K656" s="9"/>
      <c r="L656" s="9"/>
    </row>
    <row r="657" spans="1:12" x14ac:dyDescent="0.25">
      <c r="A657" s="4"/>
      <c r="B657" s="28" t="str">
        <f>IF(ISNUMBER(MATCH(D657, Mgt_Unit!$C$5:$C$1018, 0)), INDEX(Mgt_Unit!$B$5:$B$1018, MATCH(D657, Mgt_Unit!$C$5:$C$1018, 0)), "")</f>
        <v/>
      </c>
      <c r="C657" s="28"/>
      <c r="D657" s="9"/>
      <c r="E657" s="45"/>
      <c r="F657" s="9"/>
      <c r="G657" s="9"/>
      <c r="H657" s="9"/>
      <c r="I657" s="41"/>
      <c r="J657" s="41"/>
      <c r="K657" s="9"/>
      <c r="L657" s="9"/>
    </row>
    <row r="658" spans="1:12" x14ac:dyDescent="0.25">
      <c r="A658" s="4"/>
      <c r="B658" s="28" t="str">
        <f>IF(ISNUMBER(MATCH(D658, Mgt_Unit!$C$5:$C$1018, 0)), INDEX(Mgt_Unit!$B$5:$B$1018, MATCH(D658, Mgt_Unit!$C$5:$C$1018, 0)), "")</f>
        <v/>
      </c>
      <c r="C658" s="28"/>
      <c r="D658" s="9"/>
      <c r="E658" s="45"/>
      <c r="F658" s="9"/>
      <c r="G658" s="9"/>
      <c r="H658" s="9"/>
      <c r="I658" s="41"/>
      <c r="J658" s="41"/>
      <c r="K658" s="9"/>
      <c r="L658" s="9"/>
    </row>
    <row r="659" spans="1:12" x14ac:dyDescent="0.25">
      <c r="A659" s="4"/>
      <c r="B659" s="28" t="str">
        <f>IF(ISNUMBER(MATCH(D659, Mgt_Unit!$C$5:$C$1018, 0)), INDEX(Mgt_Unit!$B$5:$B$1018, MATCH(D659, Mgt_Unit!$C$5:$C$1018, 0)), "")</f>
        <v/>
      </c>
      <c r="C659" s="28"/>
      <c r="D659" s="9"/>
      <c r="E659" s="45"/>
      <c r="F659" s="9"/>
      <c r="G659" s="9"/>
      <c r="H659" s="9"/>
      <c r="I659" s="41"/>
      <c r="J659" s="41"/>
      <c r="K659" s="9"/>
      <c r="L659" s="9"/>
    </row>
    <row r="660" spans="1:12" x14ac:dyDescent="0.25">
      <c r="A660" s="4"/>
      <c r="B660" s="28" t="str">
        <f>IF(ISNUMBER(MATCH(D660, Mgt_Unit!$C$5:$C$1018, 0)), INDEX(Mgt_Unit!$B$5:$B$1018, MATCH(D660, Mgt_Unit!$C$5:$C$1018, 0)), "")</f>
        <v/>
      </c>
      <c r="C660" s="28"/>
      <c r="D660" s="9"/>
      <c r="E660" s="45"/>
      <c r="F660" s="9"/>
      <c r="G660" s="9"/>
      <c r="H660" s="9"/>
      <c r="I660" s="41"/>
      <c r="J660" s="41"/>
      <c r="K660" s="9"/>
      <c r="L660" s="9"/>
    </row>
    <row r="661" spans="1:12" x14ac:dyDescent="0.25">
      <c r="A661" s="4"/>
      <c r="B661" s="28" t="str">
        <f>IF(ISNUMBER(MATCH(D661, Mgt_Unit!$C$5:$C$1018, 0)), INDEX(Mgt_Unit!$B$5:$B$1018, MATCH(D661, Mgt_Unit!$C$5:$C$1018, 0)), "")</f>
        <v/>
      </c>
      <c r="C661" s="28"/>
      <c r="D661" s="9"/>
      <c r="E661" s="45"/>
      <c r="F661" s="9"/>
      <c r="G661" s="9"/>
      <c r="H661" s="9"/>
      <c r="I661" s="41"/>
      <c r="J661" s="41"/>
      <c r="K661" s="9"/>
      <c r="L661" s="9"/>
    </row>
    <row r="662" spans="1:12" x14ac:dyDescent="0.25">
      <c r="A662" s="4"/>
      <c r="B662" s="28" t="str">
        <f>IF(ISNUMBER(MATCH(D662, Mgt_Unit!$C$5:$C$1018, 0)), INDEX(Mgt_Unit!$B$5:$B$1018, MATCH(D662, Mgt_Unit!$C$5:$C$1018, 0)), "")</f>
        <v/>
      </c>
      <c r="C662" s="28"/>
      <c r="D662" s="9"/>
      <c r="E662" s="45"/>
      <c r="F662" s="9"/>
      <c r="G662" s="9"/>
      <c r="H662" s="9"/>
      <c r="I662" s="41"/>
      <c r="J662" s="41"/>
      <c r="K662" s="9"/>
      <c r="L662" s="9"/>
    </row>
    <row r="663" spans="1:12" x14ac:dyDescent="0.25">
      <c r="A663" s="4"/>
      <c r="B663" s="28" t="str">
        <f>IF(ISNUMBER(MATCH(D663, Mgt_Unit!$C$5:$C$1018, 0)), INDEX(Mgt_Unit!$B$5:$B$1018, MATCH(D663, Mgt_Unit!$C$5:$C$1018, 0)), "")</f>
        <v/>
      </c>
      <c r="C663" s="28"/>
      <c r="D663" s="9"/>
      <c r="E663" s="45"/>
      <c r="F663" s="9"/>
      <c r="G663" s="9"/>
      <c r="H663" s="9"/>
      <c r="I663" s="41"/>
      <c r="J663" s="41"/>
      <c r="K663" s="9"/>
      <c r="L663" s="9"/>
    </row>
    <row r="664" spans="1:12" x14ac:dyDescent="0.25">
      <c r="A664" s="4"/>
      <c r="B664" s="28" t="str">
        <f>IF(ISNUMBER(MATCH(D664, Mgt_Unit!$C$5:$C$1018, 0)), INDEX(Mgt_Unit!$B$5:$B$1018, MATCH(D664, Mgt_Unit!$C$5:$C$1018, 0)), "")</f>
        <v/>
      </c>
      <c r="C664" s="28"/>
      <c r="D664" s="9"/>
      <c r="E664" s="45"/>
      <c r="F664" s="9"/>
      <c r="G664" s="9"/>
      <c r="H664" s="9"/>
      <c r="I664" s="41"/>
      <c r="J664" s="41"/>
      <c r="K664" s="9"/>
      <c r="L664" s="9"/>
    </row>
    <row r="665" spans="1:12" x14ac:dyDescent="0.25">
      <c r="A665" s="4"/>
      <c r="B665" s="28" t="str">
        <f>IF(ISNUMBER(MATCH(D665, Mgt_Unit!$C$5:$C$1018, 0)), INDEX(Mgt_Unit!$B$5:$B$1018, MATCH(D665, Mgt_Unit!$C$5:$C$1018, 0)), "")</f>
        <v/>
      </c>
      <c r="C665" s="28"/>
      <c r="D665" s="9"/>
      <c r="E665" s="45"/>
      <c r="F665" s="9"/>
      <c r="G665" s="9"/>
      <c r="H665" s="9"/>
      <c r="I665" s="41"/>
      <c r="J665" s="41"/>
      <c r="K665" s="9"/>
      <c r="L665" s="9"/>
    </row>
    <row r="666" spans="1:12" x14ac:dyDescent="0.25">
      <c r="A666" s="4"/>
      <c r="B666" s="28" t="str">
        <f>IF(ISNUMBER(MATCH(D666, Mgt_Unit!$C$5:$C$1018, 0)), INDEX(Mgt_Unit!$B$5:$B$1018, MATCH(D666, Mgt_Unit!$C$5:$C$1018, 0)), "")</f>
        <v/>
      </c>
      <c r="C666" s="28"/>
      <c r="D666" s="9"/>
      <c r="E666" s="45"/>
      <c r="F666" s="9"/>
      <c r="G666" s="9"/>
      <c r="H666" s="9"/>
      <c r="I666" s="41"/>
      <c r="J666" s="41"/>
      <c r="K666" s="9"/>
      <c r="L666" s="9"/>
    </row>
    <row r="667" spans="1:12" x14ac:dyDescent="0.25">
      <c r="A667" s="4"/>
      <c r="B667" s="28" t="str">
        <f>IF(ISNUMBER(MATCH(D667, Mgt_Unit!$C$5:$C$1018, 0)), INDEX(Mgt_Unit!$B$5:$B$1018, MATCH(D667, Mgt_Unit!$C$5:$C$1018, 0)), "")</f>
        <v/>
      </c>
      <c r="C667" s="28"/>
      <c r="D667" s="9"/>
      <c r="E667" s="45"/>
      <c r="F667" s="9"/>
      <c r="G667" s="9"/>
      <c r="H667" s="9"/>
      <c r="I667" s="41"/>
      <c r="J667" s="41"/>
      <c r="K667" s="9"/>
      <c r="L667" s="9"/>
    </row>
    <row r="668" spans="1:12" x14ac:dyDescent="0.25">
      <c r="A668" s="4"/>
      <c r="B668" s="28" t="str">
        <f>IF(ISNUMBER(MATCH(D668, Mgt_Unit!$C$5:$C$1018, 0)), INDEX(Mgt_Unit!$B$5:$B$1018, MATCH(D668, Mgt_Unit!$C$5:$C$1018, 0)), "")</f>
        <v/>
      </c>
      <c r="C668" s="28"/>
      <c r="D668" s="9"/>
      <c r="E668" s="45"/>
      <c r="F668" s="9"/>
      <c r="G668" s="9"/>
      <c r="H668" s="9"/>
      <c r="I668" s="41"/>
      <c r="J668" s="41"/>
      <c r="K668" s="9"/>
      <c r="L668" s="9"/>
    </row>
    <row r="669" spans="1:12" x14ac:dyDescent="0.25">
      <c r="A669" s="4"/>
      <c r="B669" s="28" t="str">
        <f>IF(ISNUMBER(MATCH(D669, Mgt_Unit!$C$5:$C$1018, 0)), INDEX(Mgt_Unit!$B$5:$B$1018, MATCH(D669, Mgt_Unit!$C$5:$C$1018, 0)), "")</f>
        <v/>
      </c>
      <c r="C669" s="28"/>
      <c r="D669" s="9"/>
      <c r="E669" s="45"/>
      <c r="F669" s="9"/>
      <c r="G669" s="9"/>
      <c r="H669" s="9"/>
      <c r="I669" s="41"/>
      <c r="J669" s="41"/>
      <c r="K669" s="9"/>
      <c r="L669" s="9"/>
    </row>
    <row r="670" spans="1:12" x14ac:dyDescent="0.25">
      <c r="A670" s="4"/>
      <c r="B670" s="28" t="str">
        <f>IF(ISNUMBER(MATCH(D670, Mgt_Unit!$C$5:$C$1018, 0)), INDEX(Mgt_Unit!$B$5:$B$1018, MATCH(D670, Mgt_Unit!$C$5:$C$1018, 0)), "")</f>
        <v/>
      </c>
      <c r="C670" s="28"/>
      <c r="D670" s="9"/>
      <c r="E670" s="45"/>
      <c r="F670" s="9"/>
      <c r="G670" s="9"/>
      <c r="H670" s="9"/>
      <c r="I670" s="41"/>
      <c r="J670" s="41"/>
      <c r="K670" s="9"/>
      <c r="L670" s="9"/>
    </row>
    <row r="671" spans="1:12" x14ac:dyDescent="0.25">
      <c r="A671" s="4"/>
      <c r="B671" s="28" t="str">
        <f>IF(ISNUMBER(MATCH(D671, Mgt_Unit!$C$5:$C$1018, 0)), INDEX(Mgt_Unit!$B$5:$B$1018, MATCH(D671, Mgt_Unit!$C$5:$C$1018, 0)), "")</f>
        <v/>
      </c>
      <c r="C671" s="28"/>
      <c r="D671" s="9"/>
      <c r="E671" s="45"/>
      <c r="F671" s="9"/>
      <c r="G671" s="9"/>
      <c r="H671" s="9"/>
      <c r="I671" s="41"/>
      <c r="J671" s="41"/>
      <c r="K671" s="9"/>
      <c r="L671" s="9"/>
    </row>
    <row r="672" spans="1:12" x14ac:dyDescent="0.25">
      <c r="A672" s="4"/>
      <c r="B672" s="28" t="str">
        <f>IF(ISNUMBER(MATCH(D672, Mgt_Unit!$C$5:$C$1018, 0)), INDEX(Mgt_Unit!$B$5:$B$1018, MATCH(D672, Mgt_Unit!$C$5:$C$1018, 0)), "")</f>
        <v/>
      </c>
      <c r="C672" s="28"/>
      <c r="D672" s="9"/>
      <c r="E672" s="45"/>
      <c r="F672" s="9"/>
      <c r="G672" s="9"/>
      <c r="H672" s="9"/>
      <c r="I672" s="41"/>
      <c r="J672" s="41"/>
      <c r="K672" s="9"/>
      <c r="L672" s="9"/>
    </row>
    <row r="673" spans="1:12" x14ac:dyDescent="0.25">
      <c r="A673" s="4"/>
      <c r="B673" s="28" t="str">
        <f>IF(ISNUMBER(MATCH(D673, Mgt_Unit!$C$5:$C$1018, 0)), INDEX(Mgt_Unit!$B$5:$B$1018, MATCH(D673, Mgt_Unit!$C$5:$C$1018, 0)), "")</f>
        <v/>
      </c>
      <c r="C673" s="28"/>
      <c r="D673" s="9"/>
      <c r="E673" s="45"/>
      <c r="F673" s="9"/>
      <c r="G673" s="9"/>
      <c r="H673" s="9"/>
      <c r="I673" s="41"/>
      <c r="J673" s="41"/>
      <c r="K673" s="9"/>
      <c r="L673" s="9"/>
    </row>
    <row r="674" spans="1:12" x14ac:dyDescent="0.25">
      <c r="A674" s="4"/>
      <c r="B674" s="28" t="str">
        <f>IF(ISNUMBER(MATCH(D674, Mgt_Unit!$C$5:$C$1018, 0)), INDEX(Mgt_Unit!$B$5:$B$1018, MATCH(D674, Mgt_Unit!$C$5:$C$1018, 0)), "")</f>
        <v/>
      </c>
      <c r="C674" s="28"/>
      <c r="D674" s="9"/>
      <c r="E674" s="45"/>
      <c r="F674" s="9"/>
      <c r="G674" s="9"/>
      <c r="H674" s="9"/>
      <c r="I674" s="41"/>
      <c r="J674" s="41"/>
      <c r="K674" s="9"/>
      <c r="L674" s="9"/>
    </row>
    <row r="675" spans="1:12" x14ac:dyDescent="0.25">
      <c r="A675" s="4"/>
      <c r="B675" s="28" t="str">
        <f>IF(ISNUMBER(MATCH(D675, Mgt_Unit!$C$5:$C$1018, 0)), INDEX(Mgt_Unit!$B$5:$B$1018, MATCH(D675, Mgt_Unit!$C$5:$C$1018, 0)), "")</f>
        <v/>
      </c>
      <c r="C675" s="28"/>
      <c r="D675" s="9"/>
      <c r="E675" s="45"/>
      <c r="F675" s="9"/>
      <c r="G675" s="9"/>
      <c r="H675" s="9"/>
      <c r="I675" s="41"/>
      <c r="J675" s="41"/>
      <c r="K675" s="9"/>
      <c r="L675" s="9"/>
    </row>
    <row r="676" spans="1:12" x14ac:dyDescent="0.25">
      <c r="A676" s="4"/>
      <c r="B676" s="28" t="str">
        <f>IF(ISNUMBER(MATCH(D676, Mgt_Unit!$C$5:$C$1018, 0)), INDEX(Mgt_Unit!$B$5:$B$1018, MATCH(D676, Mgt_Unit!$C$5:$C$1018, 0)), "")</f>
        <v/>
      </c>
      <c r="C676" s="28"/>
      <c r="D676" s="9"/>
      <c r="E676" s="45"/>
      <c r="F676" s="9"/>
      <c r="G676" s="9"/>
      <c r="H676" s="9"/>
      <c r="I676" s="41"/>
      <c r="J676" s="41"/>
      <c r="K676" s="9"/>
      <c r="L676" s="9"/>
    </row>
    <row r="677" spans="1:12" x14ac:dyDescent="0.25">
      <c r="A677" s="4"/>
      <c r="B677" s="28" t="str">
        <f>IF(ISNUMBER(MATCH(D677, Mgt_Unit!$C$5:$C$1018, 0)), INDEX(Mgt_Unit!$B$5:$B$1018, MATCH(D677, Mgt_Unit!$C$5:$C$1018, 0)), "")</f>
        <v/>
      </c>
      <c r="C677" s="28"/>
      <c r="D677" s="9"/>
      <c r="E677" s="45"/>
      <c r="F677" s="9"/>
      <c r="G677" s="9"/>
      <c r="H677" s="9"/>
      <c r="I677" s="41"/>
      <c r="J677" s="41"/>
      <c r="K677" s="9"/>
      <c r="L677" s="9"/>
    </row>
    <row r="678" spans="1:12" x14ac:dyDescent="0.25">
      <c r="A678" s="4"/>
      <c r="B678" s="28" t="str">
        <f>IF(ISNUMBER(MATCH(D678, Mgt_Unit!$C$5:$C$1018, 0)), INDEX(Mgt_Unit!$B$5:$B$1018, MATCH(D678, Mgt_Unit!$C$5:$C$1018, 0)), "")</f>
        <v/>
      </c>
      <c r="C678" s="28"/>
      <c r="D678" s="9"/>
      <c r="E678" s="45"/>
      <c r="F678" s="9"/>
      <c r="G678" s="9"/>
      <c r="H678" s="9"/>
      <c r="I678" s="41"/>
      <c r="J678" s="41"/>
      <c r="K678" s="9"/>
      <c r="L678" s="9"/>
    </row>
    <row r="679" spans="1:12" x14ac:dyDescent="0.25">
      <c r="A679" s="4"/>
      <c r="B679" s="28" t="str">
        <f>IF(ISNUMBER(MATCH(D679, Mgt_Unit!$C$5:$C$1018, 0)), INDEX(Mgt_Unit!$B$5:$B$1018, MATCH(D679, Mgt_Unit!$C$5:$C$1018, 0)), "")</f>
        <v/>
      </c>
      <c r="C679" s="28"/>
      <c r="D679" s="9"/>
      <c r="E679" s="45"/>
      <c r="F679" s="9"/>
      <c r="G679" s="9"/>
      <c r="H679" s="9"/>
      <c r="I679" s="41"/>
      <c r="J679" s="41"/>
      <c r="K679" s="9"/>
      <c r="L679" s="9"/>
    </row>
    <row r="680" spans="1:12" x14ac:dyDescent="0.25">
      <c r="A680" s="4"/>
      <c r="B680" s="28" t="str">
        <f>IF(ISNUMBER(MATCH(D680, Mgt_Unit!$C$5:$C$1018, 0)), INDEX(Mgt_Unit!$B$5:$B$1018, MATCH(D680, Mgt_Unit!$C$5:$C$1018, 0)), "")</f>
        <v/>
      </c>
      <c r="C680" s="28"/>
      <c r="D680" s="9"/>
      <c r="E680" s="45"/>
      <c r="F680" s="9"/>
      <c r="G680" s="9"/>
      <c r="H680" s="9"/>
      <c r="I680" s="41"/>
      <c r="J680" s="41"/>
      <c r="K680" s="9"/>
      <c r="L680" s="9"/>
    </row>
    <row r="681" spans="1:12" x14ac:dyDescent="0.25">
      <c r="A681" s="4"/>
      <c r="B681" s="28" t="str">
        <f>IF(ISNUMBER(MATCH(D681, Mgt_Unit!$C$5:$C$1018, 0)), INDEX(Mgt_Unit!$B$5:$B$1018, MATCH(D681, Mgt_Unit!$C$5:$C$1018, 0)), "")</f>
        <v/>
      </c>
      <c r="C681" s="28"/>
      <c r="D681" s="9"/>
      <c r="E681" s="45"/>
      <c r="F681" s="9"/>
      <c r="G681" s="9"/>
      <c r="H681" s="9"/>
      <c r="I681" s="41"/>
      <c r="J681" s="41"/>
      <c r="K681" s="9"/>
      <c r="L681" s="9"/>
    </row>
    <row r="682" spans="1:12" x14ac:dyDescent="0.25">
      <c r="A682" s="4"/>
      <c r="B682" s="28" t="str">
        <f>IF(ISNUMBER(MATCH(D682, Mgt_Unit!$C$5:$C$1018, 0)), INDEX(Mgt_Unit!$B$5:$B$1018, MATCH(D682, Mgt_Unit!$C$5:$C$1018, 0)), "")</f>
        <v/>
      </c>
      <c r="C682" s="28"/>
      <c r="D682" s="9"/>
      <c r="E682" s="45"/>
      <c r="F682" s="9"/>
      <c r="G682" s="9"/>
      <c r="H682" s="9"/>
      <c r="I682" s="41"/>
      <c r="J682" s="41"/>
      <c r="K682" s="9"/>
      <c r="L682" s="9"/>
    </row>
    <row r="683" spans="1:12" x14ac:dyDescent="0.25">
      <c r="A683" s="4"/>
      <c r="B683" s="28" t="str">
        <f>IF(ISNUMBER(MATCH(D683, Mgt_Unit!$C$5:$C$1018, 0)), INDEX(Mgt_Unit!$B$5:$B$1018, MATCH(D683, Mgt_Unit!$C$5:$C$1018, 0)), "")</f>
        <v/>
      </c>
      <c r="C683" s="28"/>
      <c r="D683" s="9"/>
      <c r="E683" s="45"/>
      <c r="F683" s="9"/>
      <c r="G683" s="9"/>
      <c r="H683" s="9"/>
      <c r="I683" s="41"/>
      <c r="J683" s="41"/>
      <c r="K683" s="9"/>
      <c r="L683" s="9"/>
    </row>
    <row r="684" spans="1:12" x14ac:dyDescent="0.25">
      <c r="A684" s="4"/>
      <c r="B684" s="28" t="str">
        <f>IF(ISNUMBER(MATCH(D684, Mgt_Unit!$C$5:$C$1018, 0)), INDEX(Mgt_Unit!$B$5:$B$1018, MATCH(D684, Mgt_Unit!$C$5:$C$1018, 0)), "")</f>
        <v/>
      </c>
      <c r="C684" s="28"/>
      <c r="D684" s="9"/>
      <c r="E684" s="45"/>
      <c r="F684" s="9"/>
      <c r="G684" s="9"/>
      <c r="H684" s="9"/>
      <c r="I684" s="41"/>
      <c r="J684" s="41"/>
      <c r="K684" s="9"/>
      <c r="L684" s="9"/>
    </row>
    <row r="685" spans="1:12" x14ac:dyDescent="0.25">
      <c r="A685" s="4"/>
      <c r="B685" s="28" t="str">
        <f>IF(ISNUMBER(MATCH(D685, Mgt_Unit!$C$5:$C$1018, 0)), INDEX(Mgt_Unit!$B$5:$B$1018, MATCH(D685, Mgt_Unit!$C$5:$C$1018, 0)), "")</f>
        <v/>
      </c>
      <c r="C685" s="28"/>
      <c r="D685" s="9"/>
      <c r="E685" s="45"/>
      <c r="F685" s="9"/>
      <c r="G685" s="9"/>
      <c r="H685" s="9"/>
      <c r="I685" s="41"/>
      <c r="J685" s="41"/>
      <c r="K685" s="9"/>
      <c r="L685" s="9"/>
    </row>
    <row r="686" spans="1:12" x14ac:dyDescent="0.25">
      <c r="A686" s="4"/>
      <c r="B686" s="28" t="str">
        <f>IF(ISNUMBER(MATCH(D686, Mgt_Unit!$C$5:$C$1018, 0)), INDEX(Mgt_Unit!$B$5:$B$1018, MATCH(D686, Mgt_Unit!$C$5:$C$1018, 0)), "")</f>
        <v/>
      </c>
      <c r="C686" s="28"/>
      <c r="D686" s="9"/>
      <c r="E686" s="45"/>
      <c r="F686" s="9"/>
      <c r="G686" s="9"/>
      <c r="H686" s="9"/>
      <c r="I686" s="41"/>
      <c r="J686" s="41"/>
      <c r="K686" s="9"/>
      <c r="L686" s="9"/>
    </row>
    <row r="687" spans="1:12" x14ac:dyDescent="0.25">
      <c r="A687" s="4"/>
      <c r="B687" s="28" t="str">
        <f>IF(ISNUMBER(MATCH(D687, Mgt_Unit!$C$5:$C$1018, 0)), INDEX(Mgt_Unit!$B$5:$B$1018, MATCH(D687, Mgt_Unit!$C$5:$C$1018, 0)), "")</f>
        <v/>
      </c>
      <c r="C687" s="28"/>
      <c r="D687" s="9"/>
      <c r="E687" s="45"/>
      <c r="F687" s="9"/>
      <c r="G687" s="9"/>
      <c r="H687" s="9"/>
      <c r="I687" s="41"/>
      <c r="J687" s="41"/>
      <c r="K687" s="9"/>
      <c r="L687" s="9"/>
    </row>
    <row r="688" spans="1:12" x14ac:dyDescent="0.25">
      <c r="A688" s="4"/>
      <c r="B688" s="28" t="str">
        <f>IF(ISNUMBER(MATCH(D688, Mgt_Unit!$C$5:$C$1018, 0)), INDEX(Mgt_Unit!$B$5:$B$1018, MATCH(D688, Mgt_Unit!$C$5:$C$1018, 0)), "")</f>
        <v/>
      </c>
      <c r="C688" s="28"/>
      <c r="D688" s="9"/>
      <c r="E688" s="45"/>
      <c r="F688" s="9"/>
      <c r="G688" s="9"/>
      <c r="H688" s="9"/>
      <c r="I688" s="41"/>
      <c r="J688" s="41"/>
      <c r="K688" s="9"/>
      <c r="L688" s="9"/>
    </row>
    <row r="689" spans="1:12" x14ac:dyDescent="0.25">
      <c r="A689" s="4"/>
      <c r="B689" s="28" t="str">
        <f>IF(ISNUMBER(MATCH(D689, Mgt_Unit!$C$5:$C$1018, 0)), INDEX(Mgt_Unit!$B$5:$B$1018, MATCH(D689, Mgt_Unit!$C$5:$C$1018, 0)), "")</f>
        <v/>
      </c>
      <c r="C689" s="28"/>
      <c r="D689" s="9"/>
      <c r="E689" s="45"/>
      <c r="F689" s="9"/>
      <c r="G689" s="9"/>
      <c r="H689" s="9"/>
      <c r="I689" s="41"/>
      <c r="J689" s="41"/>
      <c r="K689" s="9"/>
      <c r="L689" s="9"/>
    </row>
    <row r="690" spans="1:12" x14ac:dyDescent="0.25">
      <c r="A690" s="4"/>
      <c r="B690" s="28" t="str">
        <f>IF(ISNUMBER(MATCH(D690, Mgt_Unit!$C$5:$C$1018, 0)), INDEX(Mgt_Unit!$B$5:$B$1018, MATCH(D690, Mgt_Unit!$C$5:$C$1018, 0)), "")</f>
        <v/>
      </c>
      <c r="C690" s="28"/>
      <c r="D690" s="9"/>
      <c r="E690" s="45"/>
      <c r="F690" s="9"/>
      <c r="G690" s="9"/>
      <c r="H690" s="9"/>
      <c r="I690" s="41"/>
      <c r="J690" s="41"/>
      <c r="K690" s="9"/>
      <c r="L690" s="9"/>
    </row>
    <row r="691" spans="1:12" x14ac:dyDescent="0.25">
      <c r="A691" s="4"/>
      <c r="B691" s="28" t="str">
        <f>IF(ISNUMBER(MATCH(D691, Mgt_Unit!$C$5:$C$1018, 0)), INDEX(Mgt_Unit!$B$5:$B$1018, MATCH(D691, Mgt_Unit!$C$5:$C$1018, 0)), "")</f>
        <v/>
      </c>
      <c r="C691" s="28"/>
      <c r="D691" s="9"/>
      <c r="E691" s="45"/>
      <c r="F691" s="9"/>
      <c r="G691" s="9"/>
      <c r="H691" s="9"/>
      <c r="I691" s="41"/>
      <c r="J691" s="41"/>
      <c r="K691" s="9"/>
      <c r="L691" s="9"/>
    </row>
    <row r="692" spans="1:12" x14ac:dyDescent="0.25">
      <c r="A692" s="4"/>
      <c r="B692" s="28" t="str">
        <f>IF(ISNUMBER(MATCH(D692, Mgt_Unit!$C$5:$C$1018, 0)), INDEX(Mgt_Unit!$B$5:$B$1018, MATCH(D692, Mgt_Unit!$C$5:$C$1018, 0)), "")</f>
        <v/>
      </c>
      <c r="C692" s="28"/>
      <c r="D692" s="9"/>
      <c r="E692" s="45"/>
      <c r="F692" s="9"/>
      <c r="G692" s="9"/>
      <c r="H692" s="9"/>
      <c r="I692" s="41"/>
      <c r="J692" s="41"/>
      <c r="K692" s="9"/>
      <c r="L692" s="9"/>
    </row>
    <row r="693" spans="1:12" x14ac:dyDescent="0.25">
      <c r="A693" s="4"/>
      <c r="B693" s="28" t="str">
        <f>IF(ISNUMBER(MATCH(D693, Mgt_Unit!$C$5:$C$1018, 0)), INDEX(Mgt_Unit!$B$5:$B$1018, MATCH(D693, Mgt_Unit!$C$5:$C$1018, 0)), "")</f>
        <v/>
      </c>
      <c r="C693" s="28"/>
      <c r="D693" s="9"/>
      <c r="E693" s="45"/>
      <c r="F693" s="9"/>
      <c r="G693" s="9"/>
      <c r="H693" s="9"/>
      <c r="I693" s="41"/>
      <c r="J693" s="41"/>
      <c r="K693" s="9"/>
      <c r="L693" s="9"/>
    </row>
    <row r="694" spans="1:12" x14ac:dyDescent="0.25">
      <c r="A694" s="4"/>
      <c r="B694" s="28" t="str">
        <f>IF(ISNUMBER(MATCH(D694, Mgt_Unit!$C$5:$C$1018, 0)), INDEX(Mgt_Unit!$B$5:$B$1018, MATCH(D694, Mgt_Unit!$C$5:$C$1018, 0)), "")</f>
        <v/>
      </c>
      <c r="C694" s="28"/>
      <c r="D694" s="9"/>
      <c r="E694" s="45"/>
      <c r="F694" s="9"/>
      <c r="G694" s="9"/>
      <c r="H694" s="9"/>
      <c r="I694" s="41"/>
      <c r="J694" s="41"/>
      <c r="K694" s="9"/>
      <c r="L694" s="9"/>
    </row>
    <row r="695" spans="1:12" x14ac:dyDescent="0.25">
      <c r="A695" s="4"/>
      <c r="B695" s="28" t="str">
        <f>IF(ISNUMBER(MATCH(D695, Mgt_Unit!$C$5:$C$1018, 0)), INDEX(Mgt_Unit!$B$5:$B$1018, MATCH(D695, Mgt_Unit!$C$5:$C$1018, 0)), "")</f>
        <v/>
      </c>
      <c r="C695" s="28"/>
      <c r="D695" s="9"/>
      <c r="E695" s="45"/>
      <c r="F695" s="9"/>
      <c r="G695" s="9"/>
      <c r="H695" s="9"/>
      <c r="I695" s="41"/>
      <c r="J695" s="41"/>
      <c r="K695" s="9"/>
      <c r="L695" s="9"/>
    </row>
    <row r="696" spans="1:12" x14ac:dyDescent="0.25">
      <c r="A696" s="4"/>
      <c r="B696" s="28" t="str">
        <f>IF(ISNUMBER(MATCH(D696, Mgt_Unit!$C$5:$C$1018, 0)), INDEX(Mgt_Unit!$B$5:$B$1018, MATCH(D696, Mgt_Unit!$C$5:$C$1018, 0)), "")</f>
        <v/>
      </c>
      <c r="C696" s="28"/>
      <c r="D696" s="9"/>
      <c r="E696" s="45"/>
      <c r="F696" s="9"/>
      <c r="G696" s="9"/>
      <c r="H696" s="9"/>
      <c r="I696" s="41"/>
      <c r="J696" s="41"/>
      <c r="K696" s="9"/>
      <c r="L696" s="9"/>
    </row>
    <row r="697" spans="1:12" x14ac:dyDescent="0.25">
      <c r="A697" s="4"/>
      <c r="B697" s="28" t="str">
        <f>IF(ISNUMBER(MATCH(D697, Mgt_Unit!$C$5:$C$1018, 0)), INDEX(Mgt_Unit!$B$5:$B$1018, MATCH(D697, Mgt_Unit!$C$5:$C$1018, 0)), "")</f>
        <v/>
      </c>
      <c r="C697" s="28"/>
      <c r="D697" s="9"/>
      <c r="E697" s="45"/>
      <c r="F697" s="9"/>
      <c r="G697" s="9"/>
      <c r="H697" s="9"/>
      <c r="I697" s="41"/>
      <c r="J697" s="41"/>
      <c r="K697" s="9"/>
      <c r="L697" s="9"/>
    </row>
    <row r="698" spans="1:12" x14ac:dyDescent="0.25">
      <c r="A698" s="4"/>
      <c r="B698" s="28" t="str">
        <f>IF(ISNUMBER(MATCH(D698, Mgt_Unit!$C$5:$C$1018, 0)), INDEX(Mgt_Unit!$B$5:$B$1018, MATCH(D698, Mgt_Unit!$C$5:$C$1018, 0)), "")</f>
        <v/>
      </c>
      <c r="C698" s="28"/>
      <c r="D698" s="9"/>
      <c r="E698" s="45"/>
      <c r="F698" s="9"/>
      <c r="G698" s="9"/>
      <c r="H698" s="9"/>
      <c r="I698" s="41"/>
      <c r="J698" s="41"/>
      <c r="K698" s="9"/>
      <c r="L698" s="9"/>
    </row>
    <row r="699" spans="1:12" x14ac:dyDescent="0.25">
      <c r="A699" s="4"/>
      <c r="B699" s="28" t="str">
        <f>IF(ISNUMBER(MATCH(D699, Mgt_Unit!$C$5:$C$1018, 0)), INDEX(Mgt_Unit!$B$5:$B$1018, MATCH(D699, Mgt_Unit!$C$5:$C$1018, 0)), "")</f>
        <v/>
      </c>
      <c r="C699" s="28"/>
      <c r="D699" s="9"/>
      <c r="E699" s="45"/>
      <c r="F699" s="9"/>
      <c r="G699" s="9"/>
      <c r="H699" s="9"/>
      <c r="I699" s="41"/>
      <c r="J699" s="41"/>
      <c r="K699" s="9"/>
      <c r="L699" s="9"/>
    </row>
    <row r="700" spans="1:12" x14ac:dyDescent="0.25">
      <c r="A700" s="4"/>
      <c r="B700" s="28" t="str">
        <f>IF(ISNUMBER(MATCH(D700, Mgt_Unit!$C$5:$C$1018, 0)), INDEX(Mgt_Unit!$B$5:$B$1018, MATCH(D700, Mgt_Unit!$C$5:$C$1018, 0)), "")</f>
        <v/>
      </c>
      <c r="C700" s="28"/>
      <c r="D700" s="9"/>
      <c r="E700" s="45"/>
      <c r="F700" s="29"/>
      <c r="G700" s="29"/>
      <c r="H700" s="29"/>
      <c r="I700" s="43"/>
      <c r="J700" s="43"/>
      <c r="K700" s="29"/>
      <c r="L700" s="29"/>
    </row>
    <row r="701" spans="1:12" x14ac:dyDescent="0.25">
      <c r="A701" s="4"/>
      <c r="B701" s="28" t="str">
        <f>IF(ISNUMBER(MATCH(D701, Mgt_Unit!$C$5:$C$1018, 0)), INDEX(Mgt_Unit!$B$5:$B$1018, MATCH(D701, Mgt_Unit!$C$5:$C$1018, 0)), "")</f>
        <v/>
      </c>
      <c r="C701" s="28"/>
      <c r="D701" s="9"/>
      <c r="E701" s="45"/>
      <c r="F701" s="29"/>
      <c r="G701" s="29"/>
      <c r="H701" s="29"/>
      <c r="I701" s="43"/>
      <c r="J701" s="43"/>
      <c r="K701" s="29"/>
      <c r="L701" s="29"/>
    </row>
    <row r="702" spans="1:12" x14ac:dyDescent="0.25">
      <c r="A702" s="4"/>
      <c r="B702" s="28" t="str">
        <f>IF(ISNUMBER(MATCH(D702, Mgt_Unit!$C$5:$C$1018, 0)), INDEX(Mgt_Unit!$B$5:$B$1018, MATCH(D702, Mgt_Unit!$C$5:$C$1018, 0)), "")</f>
        <v/>
      </c>
      <c r="C702" s="28"/>
      <c r="D702" s="9"/>
      <c r="E702" s="45"/>
      <c r="F702" s="29"/>
      <c r="G702" s="29"/>
      <c r="H702" s="29"/>
      <c r="I702" s="43"/>
      <c r="J702" s="43"/>
      <c r="K702" s="29"/>
      <c r="L702" s="29"/>
    </row>
    <row r="703" spans="1:12" x14ac:dyDescent="0.25">
      <c r="A703" s="4"/>
      <c r="B703" s="28" t="str">
        <f>IF(ISNUMBER(MATCH(D703, Mgt_Unit!$C$5:$C$1018, 0)), INDEX(Mgt_Unit!$B$5:$B$1018, MATCH(D703, Mgt_Unit!$C$5:$C$1018, 0)), "")</f>
        <v/>
      </c>
      <c r="C703" s="28"/>
      <c r="D703" s="9"/>
      <c r="E703" s="45"/>
      <c r="F703" s="29"/>
      <c r="G703" s="29"/>
      <c r="H703" s="29"/>
      <c r="I703" s="43"/>
      <c r="J703" s="43"/>
      <c r="K703" s="29"/>
      <c r="L703" s="29"/>
    </row>
    <row r="704" spans="1:12" x14ac:dyDescent="0.25">
      <c r="A704" s="4"/>
      <c r="B704" s="28" t="str">
        <f>IF(ISNUMBER(MATCH(D704, Mgt_Unit!$C$5:$C$1018, 0)), INDEX(Mgt_Unit!$B$5:$B$1018, MATCH(D704, Mgt_Unit!$C$5:$C$1018, 0)), "")</f>
        <v/>
      </c>
      <c r="C704" s="28"/>
      <c r="D704" s="9"/>
      <c r="E704" s="45"/>
      <c r="F704" s="29"/>
      <c r="G704" s="29"/>
      <c r="H704" s="29"/>
      <c r="I704" s="43"/>
      <c r="J704" s="43"/>
      <c r="K704" s="29"/>
      <c r="L704" s="29"/>
    </row>
    <row r="705" spans="1:12" x14ac:dyDescent="0.25">
      <c r="A705" s="4"/>
      <c r="B705" s="28" t="str">
        <f>IF(ISNUMBER(MATCH(D705, Mgt_Unit!$C$5:$C$1018, 0)), INDEX(Mgt_Unit!$B$5:$B$1018, MATCH(D705, Mgt_Unit!$C$5:$C$1018, 0)), "")</f>
        <v/>
      </c>
      <c r="C705" s="28"/>
      <c r="D705" s="9"/>
      <c r="E705" s="45"/>
      <c r="F705" s="29"/>
      <c r="G705" s="29"/>
      <c r="H705" s="29"/>
      <c r="I705" s="43"/>
      <c r="J705" s="43"/>
      <c r="K705" s="29"/>
      <c r="L705" s="29"/>
    </row>
    <row r="706" spans="1:12" x14ac:dyDescent="0.25">
      <c r="A706" s="4"/>
      <c r="B706" s="28" t="str">
        <f>IF(ISNUMBER(MATCH(D706, Mgt_Unit!$C$5:$C$1018, 0)), INDEX(Mgt_Unit!$B$5:$B$1018, MATCH(D706, Mgt_Unit!$C$5:$C$1018, 0)), "")</f>
        <v/>
      </c>
      <c r="C706" s="28"/>
      <c r="D706" s="9"/>
      <c r="E706" s="45"/>
      <c r="F706" s="29"/>
      <c r="G706" s="29"/>
      <c r="H706" s="29"/>
      <c r="I706" s="43"/>
      <c r="J706" s="43"/>
      <c r="K706" s="29"/>
      <c r="L706" s="29"/>
    </row>
    <row r="707" spans="1:12" x14ac:dyDescent="0.25">
      <c r="A707" s="4"/>
      <c r="B707" s="28" t="str">
        <f>IF(ISNUMBER(MATCH(D707, Mgt_Unit!$C$5:$C$1018, 0)), INDEX(Mgt_Unit!$B$5:$B$1018, MATCH(D707, Mgt_Unit!$C$5:$C$1018, 0)), "")</f>
        <v/>
      </c>
      <c r="C707" s="28"/>
      <c r="D707" s="9"/>
      <c r="E707" s="45"/>
      <c r="F707" s="29"/>
      <c r="G707" s="29"/>
      <c r="H707" s="29"/>
      <c r="I707" s="43"/>
      <c r="J707" s="43"/>
      <c r="K707" s="29"/>
      <c r="L707" s="29"/>
    </row>
    <row r="708" spans="1:12" x14ac:dyDescent="0.25">
      <c r="A708" s="4"/>
      <c r="B708" s="28" t="str">
        <f>IF(ISNUMBER(MATCH(D708, Mgt_Unit!$C$5:$C$1018, 0)), INDEX(Mgt_Unit!$B$5:$B$1018, MATCH(D708, Mgt_Unit!$C$5:$C$1018, 0)), "")</f>
        <v/>
      </c>
      <c r="C708" s="28"/>
      <c r="D708" s="9"/>
      <c r="E708" s="45"/>
      <c r="F708" s="29"/>
      <c r="G708" s="29"/>
      <c r="H708" s="29"/>
      <c r="I708" s="43"/>
      <c r="J708" s="43"/>
      <c r="K708" s="29"/>
      <c r="L708" s="29"/>
    </row>
    <row r="709" spans="1:12" x14ac:dyDescent="0.25">
      <c r="A709" s="4"/>
      <c r="B709" s="28" t="str">
        <f>IF(ISNUMBER(MATCH(D709, Mgt_Unit!$C$5:$C$1018, 0)), INDEX(Mgt_Unit!$B$5:$B$1018, MATCH(D709, Mgt_Unit!$C$5:$C$1018, 0)), "")</f>
        <v/>
      </c>
      <c r="C709" s="28"/>
      <c r="D709" s="9"/>
      <c r="E709" s="45"/>
      <c r="F709" s="29"/>
      <c r="G709" s="29"/>
      <c r="H709" s="29"/>
      <c r="I709" s="43"/>
      <c r="J709" s="43"/>
      <c r="K709" s="29"/>
      <c r="L709" s="29"/>
    </row>
    <row r="710" spans="1:12" x14ac:dyDescent="0.25">
      <c r="A710" s="4"/>
      <c r="B710" s="28" t="str">
        <f>IF(ISNUMBER(MATCH(D710, Mgt_Unit!$C$5:$C$1018, 0)), INDEX(Mgt_Unit!$B$5:$B$1018, MATCH(D710, Mgt_Unit!$C$5:$C$1018, 0)), "")</f>
        <v/>
      </c>
      <c r="C710" s="28"/>
      <c r="D710" s="9"/>
      <c r="E710" s="45"/>
      <c r="F710" s="29"/>
      <c r="G710" s="29"/>
      <c r="H710" s="29"/>
      <c r="I710" s="43"/>
      <c r="J710" s="43"/>
      <c r="K710" s="29"/>
      <c r="L710" s="29"/>
    </row>
    <row r="711" spans="1:12" x14ac:dyDescent="0.25">
      <c r="A711" s="4"/>
      <c r="B711" s="28" t="str">
        <f>IF(ISNUMBER(MATCH(D711, Mgt_Unit!$C$5:$C$1018, 0)), INDEX(Mgt_Unit!$B$5:$B$1018, MATCH(D711, Mgt_Unit!$C$5:$C$1018, 0)), "")</f>
        <v/>
      </c>
      <c r="C711" s="28"/>
      <c r="D711" s="9"/>
      <c r="E711" s="45"/>
      <c r="F711" s="29"/>
      <c r="G711" s="29"/>
      <c r="H711" s="29"/>
      <c r="I711" s="43"/>
      <c r="J711" s="43"/>
      <c r="K711" s="29"/>
      <c r="L711" s="29"/>
    </row>
    <row r="712" spans="1:12" x14ac:dyDescent="0.25">
      <c r="A712" s="4"/>
      <c r="B712" s="28" t="str">
        <f>IF(ISNUMBER(MATCH(D712, Mgt_Unit!$C$5:$C$1018, 0)), INDEX(Mgt_Unit!$B$5:$B$1018, MATCH(D712, Mgt_Unit!$C$5:$C$1018, 0)), "")</f>
        <v/>
      </c>
      <c r="C712" s="28"/>
      <c r="D712" s="9"/>
      <c r="E712" s="45"/>
      <c r="F712" s="29"/>
      <c r="G712" s="29"/>
      <c r="H712" s="29"/>
      <c r="I712" s="43"/>
      <c r="J712" s="43"/>
      <c r="K712" s="29"/>
      <c r="L712" s="29"/>
    </row>
    <row r="713" spans="1:12" x14ac:dyDescent="0.25">
      <c r="A713" s="4"/>
      <c r="B713" s="28" t="str">
        <f>IF(ISNUMBER(MATCH(D713, Mgt_Unit!$C$5:$C$1018, 0)), INDEX(Mgt_Unit!$B$5:$B$1018, MATCH(D713, Mgt_Unit!$C$5:$C$1018, 0)), "")</f>
        <v/>
      </c>
      <c r="C713" s="28"/>
      <c r="D713" s="9"/>
      <c r="E713" s="45"/>
      <c r="F713" s="29"/>
      <c r="G713" s="29"/>
      <c r="H713" s="29"/>
      <c r="I713" s="43"/>
      <c r="J713" s="43"/>
      <c r="K713" s="29"/>
      <c r="L713" s="29"/>
    </row>
    <row r="714" spans="1:12" x14ac:dyDescent="0.25">
      <c r="A714" s="4"/>
      <c r="B714" s="28" t="str">
        <f>IF(ISNUMBER(MATCH(D714, Mgt_Unit!$C$5:$C$1018, 0)), INDEX(Mgt_Unit!$B$5:$B$1018, MATCH(D714, Mgt_Unit!$C$5:$C$1018, 0)), "")</f>
        <v/>
      </c>
      <c r="C714" s="28"/>
      <c r="D714" s="9"/>
      <c r="E714" s="45"/>
      <c r="F714" s="29"/>
      <c r="G714" s="29"/>
      <c r="H714" s="29"/>
      <c r="I714" s="43"/>
      <c r="J714" s="43"/>
      <c r="K714" s="29"/>
      <c r="L714" s="29"/>
    </row>
    <row r="715" spans="1:12" x14ac:dyDescent="0.25">
      <c r="A715" s="4"/>
      <c r="B715" s="28" t="str">
        <f>IF(ISNUMBER(MATCH(D715, Mgt_Unit!$C$5:$C$1018, 0)), INDEX(Mgt_Unit!$B$5:$B$1018, MATCH(D715, Mgt_Unit!$C$5:$C$1018, 0)), "")</f>
        <v/>
      </c>
      <c r="C715" s="28"/>
      <c r="D715" s="9"/>
      <c r="E715" s="45"/>
      <c r="F715" s="29"/>
      <c r="G715" s="29"/>
      <c r="H715" s="29"/>
      <c r="I715" s="43"/>
      <c r="J715" s="43"/>
      <c r="K715" s="29"/>
      <c r="L715" s="29"/>
    </row>
    <row r="716" spans="1:12" x14ac:dyDescent="0.25">
      <c r="A716" s="4"/>
      <c r="B716" s="28" t="str">
        <f>IF(ISNUMBER(MATCH(D716, Mgt_Unit!$C$5:$C$1018, 0)), INDEX(Mgt_Unit!$B$5:$B$1018, MATCH(D716, Mgt_Unit!$C$5:$C$1018, 0)), "")</f>
        <v/>
      </c>
      <c r="C716" s="28"/>
      <c r="D716" s="9"/>
      <c r="E716" s="45"/>
      <c r="F716" s="29"/>
      <c r="G716" s="29"/>
      <c r="H716" s="29"/>
      <c r="I716" s="43"/>
      <c r="J716" s="43"/>
      <c r="K716" s="29"/>
      <c r="L716" s="29"/>
    </row>
    <row r="717" spans="1:12" x14ac:dyDescent="0.25">
      <c r="A717" s="4"/>
      <c r="B717" s="28" t="str">
        <f>IF(ISNUMBER(MATCH(D717, Mgt_Unit!$C$5:$C$1018, 0)), INDEX(Mgt_Unit!$B$5:$B$1018, MATCH(D717, Mgt_Unit!$C$5:$C$1018, 0)), "")</f>
        <v/>
      </c>
      <c r="C717" s="28"/>
      <c r="D717" s="9"/>
      <c r="E717" s="45"/>
      <c r="F717" s="29"/>
      <c r="G717" s="29"/>
      <c r="H717" s="29"/>
      <c r="I717" s="43"/>
      <c r="J717" s="43"/>
      <c r="K717" s="29"/>
      <c r="L717" s="29"/>
    </row>
    <row r="718" spans="1:12" x14ac:dyDescent="0.25">
      <c r="A718" s="4"/>
      <c r="B718" s="28" t="str">
        <f>IF(ISNUMBER(MATCH(D718, Mgt_Unit!$C$5:$C$1018, 0)), INDEX(Mgt_Unit!$B$5:$B$1018, MATCH(D718, Mgt_Unit!$C$5:$C$1018, 0)), "")</f>
        <v/>
      </c>
      <c r="C718" s="28"/>
      <c r="D718" s="9"/>
      <c r="E718" s="45"/>
      <c r="F718" s="29"/>
      <c r="G718" s="29"/>
      <c r="H718" s="29"/>
      <c r="I718" s="43"/>
      <c r="J718" s="43"/>
      <c r="K718" s="29"/>
      <c r="L718" s="29"/>
    </row>
    <row r="719" spans="1:12" x14ac:dyDescent="0.25">
      <c r="A719" s="4"/>
      <c r="B719" s="28" t="str">
        <f>IF(ISNUMBER(MATCH(D719, Mgt_Unit!$C$5:$C$1018, 0)), INDEX(Mgt_Unit!$B$5:$B$1018, MATCH(D719, Mgt_Unit!$C$5:$C$1018, 0)), "")</f>
        <v/>
      </c>
      <c r="C719" s="28"/>
      <c r="D719" s="9"/>
      <c r="E719" s="45"/>
      <c r="F719" s="29"/>
      <c r="G719" s="29"/>
      <c r="H719" s="29"/>
      <c r="I719" s="43"/>
      <c r="J719" s="43"/>
      <c r="K719" s="29"/>
      <c r="L719" s="29"/>
    </row>
    <row r="720" spans="1:12" x14ac:dyDescent="0.25">
      <c r="A720" s="4"/>
      <c r="B720" s="28" t="str">
        <f>IF(ISNUMBER(MATCH(D720, Mgt_Unit!$C$5:$C$1018, 0)), INDEX(Mgt_Unit!$B$5:$B$1018, MATCH(D720, Mgt_Unit!$C$5:$C$1018, 0)), "")</f>
        <v/>
      </c>
      <c r="C720" s="28"/>
      <c r="D720" s="9"/>
      <c r="E720" s="45"/>
      <c r="F720" s="29"/>
      <c r="G720" s="29"/>
      <c r="H720" s="29"/>
      <c r="I720" s="43"/>
      <c r="J720" s="43"/>
      <c r="K720" s="29"/>
      <c r="L720" s="29"/>
    </row>
    <row r="721" spans="1:12" x14ac:dyDescent="0.25">
      <c r="A721" s="4"/>
      <c r="B721" s="28" t="str">
        <f>IF(ISNUMBER(MATCH(D721, Mgt_Unit!$C$5:$C$1018, 0)), INDEX(Mgt_Unit!$B$5:$B$1018, MATCH(D721, Mgt_Unit!$C$5:$C$1018, 0)), "")</f>
        <v/>
      </c>
      <c r="C721" s="28"/>
      <c r="D721" s="9"/>
      <c r="E721" s="45"/>
      <c r="F721" s="29"/>
      <c r="G721" s="29"/>
      <c r="H721" s="29"/>
      <c r="I721" s="43"/>
      <c r="J721" s="43"/>
      <c r="K721" s="29"/>
      <c r="L721" s="29"/>
    </row>
    <row r="722" spans="1:12" x14ac:dyDescent="0.25">
      <c r="A722" s="4"/>
      <c r="B722" s="28" t="str">
        <f>IF(ISNUMBER(MATCH(D722, Mgt_Unit!$C$5:$C$1018, 0)), INDEX(Mgt_Unit!$B$5:$B$1018, MATCH(D722, Mgt_Unit!$C$5:$C$1018, 0)), "")</f>
        <v/>
      </c>
      <c r="C722" s="28"/>
      <c r="D722" s="9"/>
      <c r="E722" s="45"/>
      <c r="F722" s="29"/>
      <c r="G722" s="29"/>
      <c r="H722" s="29"/>
      <c r="I722" s="43"/>
      <c r="J722" s="43"/>
      <c r="K722" s="29"/>
      <c r="L722" s="29"/>
    </row>
    <row r="723" spans="1:12" x14ac:dyDescent="0.25">
      <c r="A723" s="4"/>
      <c r="B723" s="28" t="str">
        <f>IF(ISNUMBER(MATCH(D723, Mgt_Unit!$C$5:$C$1018, 0)), INDEX(Mgt_Unit!$B$5:$B$1018, MATCH(D723, Mgt_Unit!$C$5:$C$1018, 0)), "")</f>
        <v/>
      </c>
      <c r="C723" s="28"/>
      <c r="D723" s="9"/>
      <c r="E723" s="45"/>
      <c r="F723" s="29"/>
      <c r="G723" s="29"/>
      <c r="H723" s="29"/>
      <c r="I723" s="43"/>
      <c r="J723" s="43"/>
      <c r="K723" s="29"/>
      <c r="L723" s="29"/>
    </row>
    <row r="724" spans="1:12" x14ac:dyDescent="0.25">
      <c r="A724" s="4"/>
      <c r="B724" s="28" t="str">
        <f>IF(ISNUMBER(MATCH(D724, Mgt_Unit!$C$5:$C$1018, 0)), INDEX(Mgt_Unit!$B$5:$B$1018, MATCH(D724, Mgt_Unit!$C$5:$C$1018, 0)), "")</f>
        <v/>
      </c>
      <c r="C724" s="28"/>
      <c r="D724" s="9"/>
      <c r="E724" s="45"/>
      <c r="F724" s="29"/>
      <c r="G724" s="29"/>
      <c r="H724" s="29"/>
      <c r="I724" s="43"/>
      <c r="J724" s="43"/>
      <c r="K724" s="29"/>
      <c r="L724" s="29"/>
    </row>
    <row r="725" spans="1:12" x14ac:dyDescent="0.25">
      <c r="A725" s="4"/>
      <c r="B725" s="28" t="str">
        <f>IF(ISNUMBER(MATCH(D725, Mgt_Unit!$C$5:$C$1018, 0)), INDEX(Mgt_Unit!$B$5:$B$1018, MATCH(D725, Mgt_Unit!$C$5:$C$1018, 0)), "")</f>
        <v/>
      </c>
      <c r="C725" s="28"/>
      <c r="D725" s="9"/>
      <c r="E725" s="45"/>
      <c r="F725" s="29"/>
      <c r="G725" s="29"/>
      <c r="H725" s="29"/>
      <c r="I725" s="43"/>
      <c r="J725" s="43"/>
      <c r="K725" s="29"/>
      <c r="L725" s="29"/>
    </row>
    <row r="726" spans="1:12" x14ac:dyDescent="0.25">
      <c r="A726" s="4"/>
      <c r="B726" s="28" t="str">
        <f>IF(ISNUMBER(MATCH(D726, Mgt_Unit!$C$5:$C$1018, 0)), INDEX(Mgt_Unit!$B$5:$B$1018, MATCH(D726, Mgt_Unit!$C$5:$C$1018, 0)), "")</f>
        <v/>
      </c>
      <c r="C726" s="28"/>
      <c r="D726" s="9"/>
      <c r="E726" s="45"/>
      <c r="F726" s="29"/>
      <c r="G726" s="29"/>
      <c r="H726" s="29"/>
      <c r="I726" s="43"/>
      <c r="J726" s="43"/>
      <c r="K726" s="29"/>
      <c r="L726" s="29"/>
    </row>
    <row r="727" spans="1:12" x14ac:dyDescent="0.25">
      <c r="A727" s="4"/>
      <c r="B727" s="28" t="str">
        <f>IF(ISNUMBER(MATCH(D727, Mgt_Unit!$C$5:$C$1018, 0)), INDEX(Mgt_Unit!$B$5:$B$1018, MATCH(D727, Mgt_Unit!$C$5:$C$1018, 0)), "")</f>
        <v/>
      </c>
      <c r="C727" s="28"/>
      <c r="D727" s="9"/>
      <c r="E727" s="45"/>
      <c r="F727" s="29"/>
      <c r="G727" s="29"/>
      <c r="H727" s="29"/>
      <c r="I727" s="43"/>
      <c r="J727" s="43"/>
      <c r="K727" s="29"/>
      <c r="L727" s="29"/>
    </row>
    <row r="728" spans="1:12" x14ac:dyDescent="0.25">
      <c r="A728" s="4"/>
      <c r="B728" s="28" t="str">
        <f>IF(ISNUMBER(MATCH(D728, Mgt_Unit!$C$5:$C$1018, 0)), INDEX(Mgt_Unit!$B$5:$B$1018, MATCH(D728, Mgt_Unit!$C$5:$C$1018, 0)), "")</f>
        <v/>
      </c>
      <c r="C728" s="28"/>
      <c r="D728" s="9"/>
      <c r="E728" s="45"/>
      <c r="F728" s="29"/>
      <c r="G728" s="29"/>
      <c r="H728" s="29"/>
      <c r="I728" s="43"/>
      <c r="J728" s="43"/>
      <c r="K728" s="29"/>
      <c r="L728" s="29"/>
    </row>
    <row r="729" spans="1:12" x14ac:dyDescent="0.25">
      <c r="A729" s="4"/>
      <c r="B729" s="28" t="str">
        <f>IF(ISNUMBER(MATCH(D729, Mgt_Unit!$C$5:$C$1018, 0)), INDEX(Mgt_Unit!$B$5:$B$1018, MATCH(D729, Mgt_Unit!$C$5:$C$1018, 0)), "")</f>
        <v/>
      </c>
      <c r="C729" s="28"/>
      <c r="D729" s="9"/>
      <c r="E729" s="45"/>
      <c r="F729" s="29"/>
      <c r="G729" s="29"/>
      <c r="H729" s="29"/>
      <c r="I729" s="43"/>
      <c r="J729" s="43"/>
      <c r="K729" s="29"/>
      <c r="L729" s="29"/>
    </row>
    <row r="730" spans="1:12" x14ac:dyDescent="0.25">
      <c r="A730" s="4"/>
      <c r="B730" s="28" t="str">
        <f>IF(ISNUMBER(MATCH(D730, Mgt_Unit!$C$5:$C$1018, 0)), INDEX(Mgt_Unit!$B$5:$B$1018, MATCH(D730, Mgt_Unit!$C$5:$C$1018, 0)), "")</f>
        <v/>
      </c>
      <c r="C730" s="28"/>
      <c r="D730" s="9"/>
      <c r="E730" s="45"/>
      <c r="F730" s="29"/>
      <c r="G730" s="29"/>
      <c r="H730" s="29"/>
      <c r="I730" s="43"/>
      <c r="J730" s="43"/>
      <c r="K730" s="29"/>
      <c r="L730" s="29"/>
    </row>
    <row r="731" spans="1:12" x14ac:dyDescent="0.25">
      <c r="A731" s="4"/>
      <c r="B731" s="28" t="str">
        <f>IF(ISNUMBER(MATCH(D731, Mgt_Unit!$C$5:$C$1018, 0)), INDEX(Mgt_Unit!$B$5:$B$1018, MATCH(D731, Mgt_Unit!$C$5:$C$1018, 0)), "")</f>
        <v/>
      </c>
      <c r="C731" s="28"/>
      <c r="D731" s="9"/>
      <c r="E731" s="45"/>
      <c r="F731" s="29"/>
      <c r="G731" s="29"/>
      <c r="H731" s="29"/>
      <c r="I731" s="43"/>
      <c r="J731" s="43"/>
      <c r="K731" s="29"/>
      <c r="L731" s="29"/>
    </row>
    <row r="732" spans="1:12" x14ac:dyDescent="0.25">
      <c r="A732" s="4"/>
      <c r="B732" s="28" t="str">
        <f>IF(ISNUMBER(MATCH(D732, Mgt_Unit!$C$5:$C$1018, 0)), INDEX(Mgt_Unit!$B$5:$B$1018, MATCH(D732, Mgt_Unit!$C$5:$C$1018, 0)), "")</f>
        <v/>
      </c>
      <c r="C732" s="28"/>
      <c r="D732" s="9"/>
      <c r="E732" s="45"/>
      <c r="F732" s="29"/>
      <c r="G732" s="29"/>
      <c r="H732" s="29"/>
      <c r="I732" s="43"/>
      <c r="J732" s="43"/>
      <c r="K732" s="29"/>
      <c r="L732" s="29"/>
    </row>
    <row r="733" spans="1:12" x14ac:dyDescent="0.25">
      <c r="A733" s="4"/>
      <c r="B733" s="28" t="str">
        <f>IF(ISNUMBER(MATCH(D733, Mgt_Unit!$C$5:$C$1018, 0)), INDEX(Mgt_Unit!$B$5:$B$1018, MATCH(D733, Mgt_Unit!$C$5:$C$1018, 0)), "")</f>
        <v/>
      </c>
      <c r="C733" s="28"/>
      <c r="D733" s="9"/>
      <c r="E733" s="45"/>
      <c r="F733" s="29"/>
      <c r="G733" s="29"/>
      <c r="H733" s="29"/>
      <c r="I733" s="43"/>
      <c r="J733" s="43"/>
      <c r="K733" s="29"/>
      <c r="L733" s="29"/>
    </row>
    <row r="734" spans="1:12" x14ac:dyDescent="0.25">
      <c r="A734" s="4"/>
      <c r="B734" s="28" t="str">
        <f>IF(ISNUMBER(MATCH(D734, Mgt_Unit!$C$5:$C$1018, 0)), INDEX(Mgt_Unit!$B$5:$B$1018, MATCH(D734, Mgt_Unit!$C$5:$C$1018, 0)), "")</f>
        <v/>
      </c>
      <c r="C734" s="28"/>
      <c r="D734" s="9"/>
      <c r="E734" s="45"/>
      <c r="F734" s="29"/>
      <c r="G734" s="29"/>
      <c r="H734" s="29"/>
      <c r="I734" s="43"/>
      <c r="J734" s="43"/>
      <c r="K734" s="29"/>
      <c r="L734" s="29"/>
    </row>
    <row r="735" spans="1:12" x14ac:dyDescent="0.25">
      <c r="A735" s="4"/>
      <c r="B735" s="28" t="str">
        <f>IF(ISNUMBER(MATCH(D735, Mgt_Unit!$C$5:$C$1018, 0)), INDEX(Mgt_Unit!$B$5:$B$1018, MATCH(D735, Mgt_Unit!$C$5:$C$1018, 0)), "")</f>
        <v/>
      </c>
      <c r="C735" s="28"/>
      <c r="D735" s="9"/>
      <c r="E735" s="45"/>
      <c r="F735" s="29"/>
      <c r="G735" s="29"/>
      <c r="H735" s="29"/>
      <c r="I735" s="43"/>
      <c r="J735" s="43"/>
      <c r="K735" s="29"/>
      <c r="L735" s="29"/>
    </row>
    <row r="736" spans="1:12" x14ac:dyDescent="0.25">
      <c r="A736" s="4"/>
      <c r="B736" s="28" t="str">
        <f>IF(ISNUMBER(MATCH(D736, Mgt_Unit!$C$5:$C$1018, 0)), INDEX(Mgt_Unit!$B$5:$B$1018, MATCH(D736, Mgt_Unit!$C$5:$C$1018, 0)), "")</f>
        <v/>
      </c>
      <c r="C736" s="28"/>
      <c r="D736" s="9"/>
      <c r="E736" s="45"/>
      <c r="F736" s="29"/>
      <c r="G736" s="29"/>
      <c r="H736" s="29"/>
      <c r="I736" s="43"/>
      <c r="J736" s="43"/>
      <c r="K736" s="29"/>
      <c r="L736" s="29"/>
    </row>
    <row r="737" spans="1:12" x14ac:dyDescent="0.25">
      <c r="A737" s="4"/>
      <c r="B737" s="28" t="str">
        <f>IF(ISNUMBER(MATCH(D737, Mgt_Unit!$C$5:$C$1018, 0)), INDEX(Mgt_Unit!$B$5:$B$1018, MATCH(D737, Mgt_Unit!$C$5:$C$1018, 0)), "")</f>
        <v/>
      </c>
      <c r="C737" s="28"/>
      <c r="D737" s="9"/>
      <c r="E737" s="45"/>
      <c r="F737" s="29"/>
      <c r="G737" s="29"/>
      <c r="H737" s="29"/>
      <c r="I737" s="43"/>
      <c r="J737" s="43"/>
      <c r="K737" s="29"/>
      <c r="L737" s="29"/>
    </row>
    <row r="738" spans="1:12" x14ac:dyDescent="0.25">
      <c r="A738" s="4"/>
      <c r="B738" s="28" t="str">
        <f>IF(ISNUMBER(MATCH(D738, Mgt_Unit!$C$5:$C$1018, 0)), INDEX(Mgt_Unit!$B$5:$B$1018, MATCH(D738, Mgt_Unit!$C$5:$C$1018, 0)), "")</f>
        <v/>
      </c>
      <c r="C738" s="28"/>
      <c r="D738" s="9"/>
      <c r="E738" s="45"/>
      <c r="F738" s="29"/>
      <c r="G738" s="29"/>
      <c r="H738" s="29"/>
      <c r="I738" s="43"/>
      <c r="J738" s="43"/>
      <c r="K738" s="29"/>
      <c r="L738" s="29"/>
    </row>
    <row r="739" spans="1:12" x14ac:dyDescent="0.25">
      <c r="A739" s="4"/>
      <c r="B739" s="28" t="str">
        <f>IF(ISNUMBER(MATCH(D739, Mgt_Unit!$C$5:$C$1018, 0)), INDEX(Mgt_Unit!$B$5:$B$1018, MATCH(D739, Mgt_Unit!$C$5:$C$1018, 0)), "")</f>
        <v/>
      </c>
      <c r="C739" s="28"/>
      <c r="D739" s="9"/>
      <c r="E739" s="45"/>
      <c r="F739" s="29"/>
      <c r="G739" s="29"/>
      <c r="H739" s="29"/>
      <c r="I739" s="43"/>
      <c r="J739" s="43"/>
      <c r="K739" s="29"/>
      <c r="L739" s="29"/>
    </row>
    <row r="740" spans="1:12" x14ac:dyDescent="0.25">
      <c r="A740" s="4"/>
      <c r="B740" s="28" t="str">
        <f>IF(ISNUMBER(MATCH(D740, Mgt_Unit!$C$5:$C$1018, 0)), INDEX(Mgt_Unit!$B$5:$B$1018, MATCH(D740, Mgt_Unit!$C$5:$C$1018, 0)), "")</f>
        <v/>
      </c>
      <c r="C740" s="28"/>
      <c r="D740" s="9"/>
      <c r="E740" s="45"/>
      <c r="F740" s="29"/>
      <c r="G740" s="29"/>
      <c r="H740" s="29"/>
      <c r="I740" s="43"/>
      <c r="J740" s="43"/>
      <c r="K740" s="29"/>
      <c r="L740" s="29"/>
    </row>
    <row r="741" spans="1:12" x14ac:dyDescent="0.25">
      <c r="A741" s="4"/>
      <c r="B741" s="28" t="str">
        <f>IF(ISNUMBER(MATCH(D741, Mgt_Unit!$C$5:$C$1018, 0)), INDEX(Mgt_Unit!$B$5:$B$1018, MATCH(D741, Mgt_Unit!$C$5:$C$1018, 0)), "")</f>
        <v/>
      </c>
      <c r="C741" s="28"/>
      <c r="D741" s="9"/>
      <c r="E741" s="45"/>
      <c r="F741" s="29"/>
      <c r="G741" s="29"/>
      <c r="H741" s="29"/>
      <c r="I741" s="43"/>
      <c r="J741" s="43"/>
      <c r="K741" s="29"/>
      <c r="L741" s="29"/>
    </row>
    <row r="742" spans="1:12" x14ac:dyDescent="0.25">
      <c r="A742" s="4"/>
      <c r="B742" s="28" t="str">
        <f>IF(ISNUMBER(MATCH(D742, Mgt_Unit!$C$5:$C$1018, 0)), INDEX(Mgt_Unit!$B$5:$B$1018, MATCH(D742, Mgt_Unit!$C$5:$C$1018, 0)), "")</f>
        <v/>
      </c>
      <c r="C742" s="28"/>
      <c r="D742" s="9"/>
      <c r="E742" s="45"/>
      <c r="F742" s="29"/>
      <c r="G742" s="29"/>
      <c r="H742" s="29"/>
      <c r="I742" s="43"/>
      <c r="J742" s="43"/>
      <c r="K742" s="29"/>
      <c r="L742" s="29"/>
    </row>
    <row r="743" spans="1:12" x14ac:dyDescent="0.25">
      <c r="A743" s="4"/>
      <c r="B743" s="28" t="str">
        <f>IF(ISNUMBER(MATCH(D743, Mgt_Unit!$C$5:$C$1018, 0)), INDEX(Mgt_Unit!$B$5:$B$1018, MATCH(D743, Mgt_Unit!$C$5:$C$1018, 0)), "")</f>
        <v/>
      </c>
      <c r="C743" s="28"/>
      <c r="D743" s="9"/>
      <c r="E743" s="45"/>
      <c r="F743" s="29"/>
      <c r="G743" s="29"/>
      <c r="H743" s="29"/>
      <c r="I743" s="43"/>
      <c r="J743" s="43"/>
      <c r="K743" s="29"/>
      <c r="L743" s="29"/>
    </row>
    <row r="744" spans="1:12" x14ac:dyDescent="0.25">
      <c r="A744" s="4"/>
      <c r="B744" s="28" t="str">
        <f>IF(ISNUMBER(MATCH(D744, Mgt_Unit!$C$5:$C$1018, 0)), INDEX(Mgt_Unit!$B$5:$B$1018, MATCH(D744, Mgt_Unit!$C$5:$C$1018, 0)), "")</f>
        <v/>
      </c>
      <c r="C744" s="28"/>
      <c r="D744" s="9"/>
      <c r="E744" s="45"/>
      <c r="F744" s="29"/>
      <c r="G744" s="29"/>
      <c r="H744" s="29"/>
      <c r="I744" s="43"/>
      <c r="J744" s="43"/>
      <c r="K744" s="29"/>
      <c r="L744" s="29"/>
    </row>
    <row r="745" spans="1:12" x14ac:dyDescent="0.25">
      <c r="A745" s="4"/>
      <c r="B745" s="28" t="str">
        <f>IF(ISNUMBER(MATCH(D745, Mgt_Unit!$C$5:$C$1018, 0)), INDEX(Mgt_Unit!$B$5:$B$1018, MATCH(D745, Mgt_Unit!$C$5:$C$1018, 0)), "")</f>
        <v/>
      </c>
      <c r="C745" s="28"/>
      <c r="D745" s="9"/>
      <c r="E745" s="45"/>
      <c r="F745" s="29"/>
      <c r="G745" s="29"/>
      <c r="H745" s="29"/>
      <c r="I745" s="43"/>
      <c r="J745" s="43"/>
      <c r="K745" s="29"/>
      <c r="L745" s="29"/>
    </row>
    <row r="746" spans="1:12" x14ac:dyDescent="0.25">
      <c r="A746" s="4"/>
      <c r="B746" s="28" t="str">
        <f>IF(ISNUMBER(MATCH(D746, Mgt_Unit!$C$5:$C$1018, 0)), INDEX(Mgt_Unit!$B$5:$B$1018, MATCH(D746, Mgt_Unit!$C$5:$C$1018, 0)), "")</f>
        <v/>
      </c>
      <c r="C746" s="28"/>
      <c r="D746" s="9"/>
      <c r="E746" s="45"/>
      <c r="F746" s="29"/>
      <c r="G746" s="29"/>
      <c r="H746" s="29"/>
      <c r="I746" s="43"/>
      <c r="J746" s="43"/>
      <c r="K746" s="29"/>
      <c r="L746" s="29"/>
    </row>
    <row r="747" spans="1:12" x14ac:dyDescent="0.25">
      <c r="A747" s="4"/>
      <c r="B747" s="28" t="str">
        <f>IF(ISNUMBER(MATCH(D747, Mgt_Unit!$C$5:$C$1018, 0)), INDEX(Mgt_Unit!$B$5:$B$1018, MATCH(D747, Mgt_Unit!$C$5:$C$1018, 0)), "")</f>
        <v/>
      </c>
      <c r="C747" s="28"/>
      <c r="D747" s="9"/>
      <c r="E747" s="45"/>
      <c r="F747" s="29"/>
      <c r="G747" s="29"/>
      <c r="H747" s="29"/>
      <c r="I747" s="43"/>
      <c r="J747" s="43"/>
      <c r="K747" s="29"/>
      <c r="L747" s="29"/>
    </row>
    <row r="748" spans="1:12" x14ac:dyDescent="0.25">
      <c r="A748" s="4"/>
      <c r="B748" s="28" t="str">
        <f>IF(ISNUMBER(MATCH(D748, Mgt_Unit!$C$5:$C$1018, 0)), INDEX(Mgt_Unit!$B$5:$B$1018, MATCH(D748, Mgt_Unit!$C$5:$C$1018, 0)), "")</f>
        <v/>
      </c>
      <c r="C748" s="28"/>
      <c r="D748" s="9"/>
      <c r="E748" s="45"/>
      <c r="F748" s="29"/>
      <c r="G748" s="29"/>
      <c r="H748" s="29"/>
      <c r="I748" s="43"/>
      <c r="J748" s="43"/>
      <c r="K748" s="29"/>
      <c r="L748" s="29"/>
    </row>
    <row r="749" spans="1:12" x14ac:dyDescent="0.25">
      <c r="A749" s="4"/>
      <c r="B749" s="28" t="str">
        <f>IF(ISNUMBER(MATCH(D749, Mgt_Unit!$C$5:$C$1018, 0)), INDEX(Mgt_Unit!$B$5:$B$1018, MATCH(D749, Mgt_Unit!$C$5:$C$1018, 0)), "")</f>
        <v/>
      </c>
      <c r="C749" s="28"/>
      <c r="D749" s="9"/>
      <c r="E749" s="45"/>
      <c r="F749" s="29"/>
      <c r="G749" s="29"/>
      <c r="H749" s="29"/>
      <c r="I749" s="43"/>
      <c r="J749" s="43"/>
      <c r="K749" s="29"/>
      <c r="L749" s="29"/>
    </row>
    <row r="750" spans="1:12" x14ac:dyDescent="0.25">
      <c r="A750" s="4"/>
      <c r="B750" s="28" t="str">
        <f>IF(ISNUMBER(MATCH(D750, Mgt_Unit!$C$5:$C$1018, 0)), INDEX(Mgt_Unit!$B$5:$B$1018, MATCH(D750, Mgt_Unit!$C$5:$C$1018, 0)), "")</f>
        <v/>
      </c>
      <c r="C750" s="28"/>
      <c r="D750" s="9"/>
      <c r="E750" s="45"/>
      <c r="F750" s="29"/>
      <c r="G750" s="29"/>
      <c r="H750" s="29"/>
      <c r="I750" s="43"/>
      <c r="J750" s="43"/>
      <c r="K750" s="29"/>
      <c r="L750" s="29"/>
    </row>
    <row r="751" spans="1:12" x14ac:dyDescent="0.25">
      <c r="A751" s="4"/>
      <c r="B751" s="28" t="str">
        <f>IF(ISNUMBER(MATCH(D751, Mgt_Unit!$C$5:$C$1018, 0)), INDEX(Mgt_Unit!$B$5:$B$1018, MATCH(D751, Mgt_Unit!$C$5:$C$1018, 0)), "")</f>
        <v/>
      </c>
      <c r="C751" s="28"/>
      <c r="D751" s="9"/>
      <c r="E751" s="45"/>
      <c r="F751" s="29"/>
      <c r="G751" s="29"/>
      <c r="H751" s="29"/>
      <c r="I751" s="43"/>
      <c r="J751" s="43"/>
      <c r="K751" s="29"/>
      <c r="L751" s="29"/>
    </row>
    <row r="752" spans="1:12" x14ac:dyDescent="0.25">
      <c r="A752" s="4"/>
      <c r="B752" s="28" t="str">
        <f>IF(ISNUMBER(MATCH(D752, Mgt_Unit!$C$5:$C$1018, 0)), INDEX(Mgt_Unit!$B$5:$B$1018, MATCH(D752, Mgt_Unit!$C$5:$C$1018, 0)), "")</f>
        <v/>
      </c>
      <c r="C752" s="28"/>
      <c r="D752" s="9"/>
      <c r="E752" s="45"/>
      <c r="F752" s="29"/>
      <c r="G752" s="29"/>
      <c r="H752" s="29"/>
      <c r="I752" s="43"/>
      <c r="J752" s="43"/>
      <c r="K752" s="29"/>
      <c r="L752" s="29"/>
    </row>
    <row r="753" spans="1:12" x14ac:dyDescent="0.25">
      <c r="A753" s="4"/>
      <c r="B753" s="28" t="str">
        <f>IF(ISNUMBER(MATCH(D753, Mgt_Unit!$C$5:$C$1018, 0)), INDEX(Mgt_Unit!$B$5:$B$1018, MATCH(D753, Mgt_Unit!$C$5:$C$1018, 0)), "")</f>
        <v/>
      </c>
      <c r="C753" s="28"/>
      <c r="D753" s="9"/>
      <c r="E753" s="45"/>
      <c r="F753" s="29"/>
      <c r="G753" s="29"/>
      <c r="H753" s="29"/>
      <c r="I753" s="43"/>
      <c r="J753" s="43"/>
      <c r="K753" s="29"/>
      <c r="L753" s="29"/>
    </row>
    <row r="754" spans="1:12" x14ac:dyDescent="0.25">
      <c r="A754" s="4"/>
      <c r="B754" s="28" t="str">
        <f>IF(ISNUMBER(MATCH(D754, Mgt_Unit!$C$5:$C$1018, 0)), INDEX(Mgt_Unit!$B$5:$B$1018, MATCH(D754, Mgt_Unit!$C$5:$C$1018, 0)), "")</f>
        <v/>
      </c>
      <c r="C754" s="28"/>
      <c r="D754" s="9"/>
      <c r="E754" s="45"/>
      <c r="F754" s="29"/>
      <c r="G754" s="29"/>
      <c r="H754" s="29"/>
      <c r="I754" s="43"/>
      <c r="J754" s="43"/>
      <c r="K754" s="29"/>
      <c r="L754" s="29"/>
    </row>
    <row r="755" spans="1:12" x14ac:dyDescent="0.25">
      <c r="A755" s="4"/>
      <c r="B755" s="28" t="str">
        <f>IF(ISNUMBER(MATCH(D755, Mgt_Unit!$C$5:$C$1018, 0)), INDEX(Mgt_Unit!$B$5:$B$1018, MATCH(D755, Mgt_Unit!$C$5:$C$1018, 0)), "")</f>
        <v/>
      </c>
      <c r="C755" s="28"/>
      <c r="D755" s="9"/>
      <c r="E755" s="45"/>
      <c r="F755" s="29"/>
      <c r="G755" s="29"/>
      <c r="H755" s="29"/>
      <c r="I755" s="43"/>
      <c r="J755" s="43"/>
      <c r="K755" s="29"/>
      <c r="L755" s="29"/>
    </row>
    <row r="756" spans="1:12" x14ac:dyDescent="0.25">
      <c r="A756" s="4"/>
      <c r="B756" s="28" t="str">
        <f>IF(ISNUMBER(MATCH(D756, Mgt_Unit!$C$5:$C$1018, 0)), INDEX(Mgt_Unit!$B$5:$B$1018, MATCH(D756, Mgt_Unit!$C$5:$C$1018, 0)), "")</f>
        <v/>
      </c>
      <c r="C756" s="28"/>
      <c r="D756" s="9"/>
      <c r="E756" s="45"/>
      <c r="F756" s="29"/>
      <c r="G756" s="29"/>
      <c r="H756" s="29"/>
      <c r="I756" s="43"/>
      <c r="J756" s="43"/>
      <c r="K756" s="29"/>
      <c r="L756" s="29"/>
    </row>
    <row r="757" spans="1:12" x14ac:dyDescent="0.25">
      <c r="A757" s="4"/>
      <c r="B757" s="28" t="str">
        <f>IF(ISNUMBER(MATCH(D757, Mgt_Unit!$C$5:$C$1018, 0)), INDEX(Mgt_Unit!$B$5:$B$1018, MATCH(D757, Mgt_Unit!$C$5:$C$1018, 0)), "")</f>
        <v/>
      </c>
      <c r="C757" s="28"/>
      <c r="D757" s="9"/>
      <c r="E757" s="45"/>
      <c r="F757" s="29"/>
      <c r="G757" s="29"/>
      <c r="H757" s="29"/>
      <c r="I757" s="43"/>
      <c r="J757" s="43"/>
      <c r="K757" s="29"/>
      <c r="L757" s="29"/>
    </row>
    <row r="758" spans="1:12" x14ac:dyDescent="0.25">
      <c r="A758" s="4"/>
      <c r="B758" s="28" t="str">
        <f>IF(ISNUMBER(MATCH(D758, Mgt_Unit!$C$5:$C$1018, 0)), INDEX(Mgt_Unit!$B$5:$B$1018, MATCH(D758, Mgt_Unit!$C$5:$C$1018, 0)), "")</f>
        <v/>
      </c>
      <c r="C758" s="28"/>
      <c r="D758" s="9"/>
      <c r="E758" s="45"/>
      <c r="F758" s="29"/>
      <c r="G758" s="29"/>
      <c r="H758" s="29"/>
      <c r="I758" s="43"/>
      <c r="J758" s="43"/>
      <c r="K758" s="29"/>
      <c r="L758" s="29"/>
    </row>
    <row r="759" spans="1:12" x14ac:dyDescent="0.25">
      <c r="A759" s="4"/>
      <c r="B759" s="28" t="str">
        <f>IF(ISNUMBER(MATCH(D759, Mgt_Unit!$C$5:$C$1018, 0)), INDEX(Mgt_Unit!$B$5:$B$1018, MATCH(D759, Mgt_Unit!$C$5:$C$1018, 0)), "")</f>
        <v/>
      </c>
      <c r="C759" s="28"/>
      <c r="D759" s="9"/>
      <c r="E759" s="45"/>
      <c r="F759" s="29"/>
      <c r="G759" s="29"/>
      <c r="H759" s="29"/>
      <c r="I759" s="43"/>
      <c r="J759" s="43"/>
      <c r="K759" s="29"/>
      <c r="L759" s="29"/>
    </row>
    <row r="760" spans="1:12" x14ac:dyDescent="0.25">
      <c r="A760" s="4"/>
      <c r="B760" s="28" t="str">
        <f>IF(ISNUMBER(MATCH(D760, Mgt_Unit!$C$5:$C$1018, 0)), INDEX(Mgt_Unit!$B$5:$B$1018, MATCH(D760, Mgt_Unit!$C$5:$C$1018, 0)), "")</f>
        <v/>
      </c>
      <c r="C760" s="28"/>
      <c r="D760" s="9"/>
      <c r="E760" s="45"/>
      <c r="F760" s="29"/>
      <c r="G760" s="29"/>
      <c r="H760" s="29"/>
      <c r="I760" s="43"/>
      <c r="J760" s="43"/>
      <c r="K760" s="29"/>
      <c r="L760" s="29"/>
    </row>
    <row r="761" spans="1:12" x14ac:dyDescent="0.25">
      <c r="A761" s="4"/>
      <c r="B761" s="28" t="str">
        <f>IF(ISNUMBER(MATCH(D761, Mgt_Unit!$C$5:$C$1018, 0)), INDEX(Mgt_Unit!$B$5:$B$1018, MATCH(D761, Mgt_Unit!$C$5:$C$1018, 0)), "")</f>
        <v/>
      </c>
      <c r="C761" s="28"/>
      <c r="D761" s="9"/>
      <c r="E761" s="45"/>
      <c r="F761" s="29"/>
      <c r="G761" s="29"/>
      <c r="H761" s="29"/>
      <c r="I761" s="43"/>
      <c r="J761" s="43"/>
      <c r="K761" s="29"/>
      <c r="L761" s="29"/>
    </row>
    <row r="762" spans="1:12" x14ac:dyDescent="0.25">
      <c r="A762" s="4"/>
      <c r="B762" s="28" t="str">
        <f>IF(ISNUMBER(MATCH(D762, Mgt_Unit!$C$5:$C$1018, 0)), INDEX(Mgt_Unit!$B$5:$B$1018, MATCH(D762, Mgt_Unit!$C$5:$C$1018, 0)), "")</f>
        <v/>
      </c>
      <c r="C762" s="28"/>
      <c r="D762" s="9"/>
      <c r="E762" s="45"/>
      <c r="F762" s="29"/>
      <c r="G762" s="29"/>
      <c r="H762" s="29"/>
      <c r="I762" s="43"/>
      <c r="J762" s="43"/>
      <c r="K762" s="29"/>
      <c r="L762" s="29"/>
    </row>
    <row r="763" spans="1:12" x14ac:dyDescent="0.25">
      <c r="A763" s="4"/>
      <c r="B763" s="28" t="str">
        <f>IF(ISNUMBER(MATCH(D763, Mgt_Unit!$C$5:$C$1018, 0)), INDEX(Mgt_Unit!$B$5:$B$1018, MATCH(D763, Mgt_Unit!$C$5:$C$1018, 0)), "")</f>
        <v/>
      </c>
      <c r="C763" s="28"/>
      <c r="D763" s="9"/>
      <c r="E763" s="45"/>
      <c r="F763" s="29"/>
      <c r="G763" s="29"/>
      <c r="H763" s="29"/>
      <c r="I763" s="43"/>
      <c r="J763" s="43"/>
      <c r="K763" s="29"/>
      <c r="L763" s="29"/>
    </row>
    <row r="764" spans="1:12" x14ac:dyDescent="0.25">
      <c r="A764" s="4"/>
      <c r="B764" s="28" t="str">
        <f>IF(ISNUMBER(MATCH(D764, Mgt_Unit!$C$5:$C$1018, 0)), INDEX(Mgt_Unit!$B$5:$B$1018, MATCH(D764, Mgt_Unit!$C$5:$C$1018, 0)), "")</f>
        <v/>
      </c>
      <c r="C764" s="28"/>
      <c r="D764" s="9"/>
      <c r="E764" s="45"/>
      <c r="F764" s="29"/>
      <c r="G764" s="29"/>
      <c r="H764" s="29"/>
      <c r="I764" s="43"/>
      <c r="J764" s="43"/>
      <c r="K764" s="29"/>
      <c r="L764" s="29"/>
    </row>
    <row r="765" spans="1:12" x14ac:dyDescent="0.25">
      <c r="A765" s="4"/>
      <c r="B765" s="28" t="str">
        <f>IF(ISNUMBER(MATCH(D765, Mgt_Unit!$C$5:$C$1018, 0)), INDEX(Mgt_Unit!$B$5:$B$1018, MATCH(D765, Mgt_Unit!$C$5:$C$1018, 0)), "")</f>
        <v/>
      </c>
      <c r="C765" s="28"/>
      <c r="D765" s="9"/>
      <c r="E765" s="45"/>
      <c r="F765" s="29"/>
      <c r="G765" s="29"/>
      <c r="H765" s="29"/>
      <c r="I765" s="43"/>
      <c r="J765" s="43"/>
      <c r="K765" s="29"/>
      <c r="L765" s="29"/>
    </row>
    <row r="766" spans="1:12" x14ac:dyDescent="0.25">
      <c r="A766" s="4"/>
      <c r="B766" s="28" t="str">
        <f>IF(ISNUMBER(MATCH(D766, Mgt_Unit!$C$5:$C$1018, 0)), INDEX(Mgt_Unit!$B$5:$B$1018, MATCH(D766, Mgt_Unit!$C$5:$C$1018, 0)), "")</f>
        <v/>
      </c>
      <c r="C766" s="28"/>
      <c r="D766" s="9"/>
      <c r="E766" s="45"/>
      <c r="F766" s="29"/>
      <c r="G766" s="29"/>
      <c r="H766" s="29"/>
      <c r="I766" s="43"/>
      <c r="J766" s="43"/>
      <c r="K766" s="29"/>
      <c r="L766" s="29"/>
    </row>
    <row r="767" spans="1:12" x14ac:dyDescent="0.25">
      <c r="A767" s="4"/>
      <c r="B767" s="28" t="str">
        <f>IF(ISNUMBER(MATCH(D767, Mgt_Unit!$C$5:$C$1018, 0)), INDEX(Mgt_Unit!$B$5:$B$1018, MATCH(D767, Mgt_Unit!$C$5:$C$1018, 0)), "")</f>
        <v/>
      </c>
      <c r="C767" s="28"/>
      <c r="D767" s="9"/>
      <c r="E767" s="45"/>
      <c r="F767" s="29"/>
      <c r="G767" s="29"/>
      <c r="H767" s="29"/>
      <c r="I767" s="43"/>
      <c r="J767" s="43"/>
      <c r="K767" s="29"/>
      <c r="L767" s="29"/>
    </row>
    <row r="768" spans="1:12" x14ac:dyDescent="0.25">
      <c r="A768" s="4"/>
      <c r="B768" s="28" t="str">
        <f>IF(ISNUMBER(MATCH(D768, Mgt_Unit!$C$5:$C$1018, 0)), INDEX(Mgt_Unit!$B$5:$B$1018, MATCH(D768, Mgt_Unit!$C$5:$C$1018, 0)), "")</f>
        <v/>
      </c>
      <c r="C768" s="28"/>
      <c r="D768" s="9"/>
      <c r="E768" s="45"/>
      <c r="F768" s="29"/>
      <c r="G768" s="29"/>
      <c r="H768" s="29"/>
      <c r="I768" s="43"/>
      <c r="J768" s="43"/>
      <c r="K768" s="29"/>
      <c r="L768" s="29"/>
    </row>
    <row r="769" spans="1:12" x14ac:dyDescent="0.25">
      <c r="A769" s="4"/>
      <c r="B769" s="28" t="str">
        <f>IF(ISNUMBER(MATCH(D769, Mgt_Unit!$C$5:$C$1018, 0)), INDEX(Mgt_Unit!$B$5:$B$1018, MATCH(D769, Mgt_Unit!$C$5:$C$1018, 0)), "")</f>
        <v/>
      </c>
      <c r="C769" s="28"/>
      <c r="D769" s="9"/>
      <c r="E769" s="45"/>
      <c r="F769" s="29"/>
      <c r="G769" s="29"/>
      <c r="H769" s="29"/>
      <c r="I769" s="43"/>
      <c r="J769" s="43"/>
      <c r="K769" s="29"/>
      <c r="L769" s="29"/>
    </row>
    <row r="770" spans="1:12" x14ac:dyDescent="0.25">
      <c r="A770" s="4"/>
      <c r="B770" s="28" t="str">
        <f>IF(ISNUMBER(MATCH(D770, Mgt_Unit!$C$5:$C$1018, 0)), INDEX(Mgt_Unit!$B$5:$B$1018, MATCH(D770, Mgt_Unit!$C$5:$C$1018, 0)), "")</f>
        <v/>
      </c>
      <c r="C770" s="28"/>
      <c r="D770" s="9"/>
      <c r="E770" s="45"/>
      <c r="F770" s="29"/>
      <c r="G770" s="29"/>
      <c r="H770" s="29"/>
      <c r="I770" s="43"/>
      <c r="J770" s="43"/>
      <c r="K770" s="29"/>
      <c r="L770" s="29"/>
    </row>
    <row r="771" spans="1:12" x14ac:dyDescent="0.25">
      <c r="A771" s="4"/>
      <c r="B771" s="28" t="str">
        <f>IF(ISNUMBER(MATCH(D771, Mgt_Unit!$C$5:$C$1018, 0)), INDEX(Mgt_Unit!$B$5:$B$1018, MATCH(D771, Mgt_Unit!$C$5:$C$1018, 0)), "")</f>
        <v/>
      </c>
      <c r="C771" s="28"/>
      <c r="D771" s="9"/>
      <c r="E771" s="45"/>
      <c r="F771" s="29"/>
      <c r="G771" s="29"/>
      <c r="H771" s="29"/>
      <c r="I771" s="43"/>
      <c r="J771" s="43"/>
      <c r="K771" s="29"/>
      <c r="L771" s="29"/>
    </row>
    <row r="772" spans="1:12" x14ac:dyDescent="0.25">
      <c r="A772" s="4"/>
      <c r="B772" s="28" t="str">
        <f>IF(ISNUMBER(MATCH(D772, Mgt_Unit!$C$5:$C$1018, 0)), INDEX(Mgt_Unit!$B$5:$B$1018, MATCH(D772, Mgt_Unit!$C$5:$C$1018, 0)), "")</f>
        <v/>
      </c>
      <c r="C772" s="28"/>
      <c r="D772" s="9"/>
      <c r="E772" s="45"/>
      <c r="F772" s="29"/>
      <c r="G772" s="29"/>
      <c r="H772" s="29"/>
      <c r="I772" s="43"/>
      <c r="J772" s="43"/>
      <c r="K772" s="29"/>
      <c r="L772" s="29"/>
    </row>
    <row r="773" spans="1:12" x14ac:dyDescent="0.25">
      <c r="A773" s="4"/>
      <c r="B773" s="28" t="str">
        <f>IF(ISNUMBER(MATCH(D773, Mgt_Unit!$C$5:$C$1018, 0)), INDEX(Mgt_Unit!$B$5:$B$1018, MATCH(D773, Mgt_Unit!$C$5:$C$1018, 0)), "")</f>
        <v/>
      </c>
      <c r="C773" s="28"/>
      <c r="D773" s="9"/>
      <c r="E773" s="45"/>
      <c r="F773" s="29"/>
      <c r="G773" s="29"/>
      <c r="H773" s="29"/>
      <c r="I773" s="43"/>
      <c r="J773" s="43"/>
      <c r="K773" s="29"/>
      <c r="L773" s="29"/>
    </row>
    <row r="774" spans="1:12" x14ac:dyDescent="0.25">
      <c r="A774" s="4"/>
      <c r="B774" s="28" t="str">
        <f>IF(ISNUMBER(MATCH(D774, Mgt_Unit!$C$5:$C$1018, 0)), INDEX(Mgt_Unit!$B$5:$B$1018, MATCH(D774, Mgt_Unit!$C$5:$C$1018, 0)), "")</f>
        <v/>
      </c>
      <c r="C774" s="28"/>
      <c r="D774" s="9"/>
      <c r="E774" s="45"/>
      <c r="F774" s="29"/>
      <c r="G774" s="29"/>
      <c r="H774" s="29"/>
      <c r="I774" s="43"/>
      <c r="J774" s="43"/>
      <c r="K774" s="29"/>
      <c r="L774" s="29"/>
    </row>
    <row r="775" spans="1:12" x14ac:dyDescent="0.25">
      <c r="A775" s="4"/>
      <c r="B775" s="28" t="str">
        <f>IF(ISNUMBER(MATCH(D775, Mgt_Unit!$C$5:$C$1018, 0)), INDEX(Mgt_Unit!$B$5:$B$1018, MATCH(D775, Mgt_Unit!$C$5:$C$1018, 0)), "")</f>
        <v/>
      </c>
      <c r="C775" s="28"/>
      <c r="D775" s="9"/>
      <c r="E775" s="45"/>
      <c r="F775" s="29"/>
      <c r="G775" s="29"/>
      <c r="H775" s="29"/>
      <c r="I775" s="43"/>
      <c r="J775" s="43"/>
      <c r="K775" s="29"/>
      <c r="L775" s="29"/>
    </row>
    <row r="776" spans="1:12" x14ac:dyDescent="0.25">
      <c r="A776" s="4"/>
      <c r="B776" s="28" t="str">
        <f>IF(ISNUMBER(MATCH(D776, Mgt_Unit!$C$5:$C$1018, 0)), INDEX(Mgt_Unit!$B$5:$B$1018, MATCH(D776, Mgt_Unit!$C$5:$C$1018, 0)), "")</f>
        <v/>
      </c>
      <c r="C776" s="28"/>
      <c r="D776" s="9"/>
      <c r="E776" s="45"/>
      <c r="F776" s="29"/>
      <c r="G776" s="29"/>
      <c r="H776" s="29"/>
      <c r="I776" s="43"/>
      <c r="J776" s="43"/>
      <c r="K776" s="29"/>
      <c r="L776" s="29"/>
    </row>
    <row r="777" spans="1:12" x14ac:dyDescent="0.25">
      <c r="A777" s="4"/>
      <c r="B777" s="28" t="str">
        <f>IF(ISNUMBER(MATCH(D777, Mgt_Unit!$C$5:$C$1018, 0)), INDEX(Mgt_Unit!$B$5:$B$1018, MATCH(D777, Mgt_Unit!$C$5:$C$1018, 0)), "")</f>
        <v/>
      </c>
      <c r="C777" s="28"/>
      <c r="D777" s="9"/>
      <c r="E777" s="45"/>
      <c r="F777" s="29"/>
      <c r="G777" s="29"/>
      <c r="H777" s="29"/>
      <c r="I777" s="43"/>
      <c r="J777" s="43"/>
      <c r="K777" s="29"/>
      <c r="L777" s="29"/>
    </row>
    <row r="778" spans="1:12" x14ac:dyDescent="0.25">
      <c r="A778" s="4"/>
      <c r="B778" s="28" t="str">
        <f>IF(ISNUMBER(MATCH(D778, Mgt_Unit!$C$5:$C$1018, 0)), INDEX(Mgt_Unit!$B$5:$B$1018, MATCH(D778, Mgt_Unit!$C$5:$C$1018, 0)), "")</f>
        <v/>
      </c>
      <c r="C778" s="28"/>
      <c r="D778" s="9"/>
      <c r="E778" s="45"/>
      <c r="F778" s="29"/>
      <c r="G778" s="29"/>
      <c r="H778" s="29"/>
      <c r="I778" s="43"/>
      <c r="J778" s="43"/>
      <c r="K778" s="29"/>
      <c r="L778" s="29"/>
    </row>
    <row r="779" spans="1:12" x14ac:dyDescent="0.25">
      <c r="A779" s="4"/>
      <c r="B779" s="28" t="str">
        <f>IF(ISNUMBER(MATCH(D779, Mgt_Unit!$C$5:$C$1018, 0)), INDEX(Mgt_Unit!$B$5:$B$1018, MATCH(D779, Mgt_Unit!$C$5:$C$1018, 0)), "")</f>
        <v/>
      </c>
      <c r="C779" s="28"/>
      <c r="D779" s="9"/>
      <c r="E779" s="45"/>
      <c r="F779" s="29"/>
      <c r="G779" s="29"/>
      <c r="H779" s="29"/>
      <c r="I779" s="43"/>
      <c r="J779" s="43"/>
      <c r="K779" s="29"/>
      <c r="L779" s="29"/>
    </row>
    <row r="780" spans="1:12" x14ac:dyDescent="0.25">
      <c r="A780" s="4"/>
      <c r="B780" s="28" t="str">
        <f>IF(ISNUMBER(MATCH(D780, Mgt_Unit!$C$5:$C$1018, 0)), INDEX(Mgt_Unit!$B$5:$B$1018, MATCH(D780, Mgt_Unit!$C$5:$C$1018, 0)), "")</f>
        <v/>
      </c>
      <c r="C780" s="28"/>
      <c r="D780" s="9"/>
      <c r="E780" s="45"/>
      <c r="F780" s="29"/>
      <c r="G780" s="29"/>
      <c r="H780" s="29"/>
      <c r="I780" s="43"/>
      <c r="J780" s="43"/>
      <c r="K780" s="29"/>
      <c r="L780" s="29"/>
    </row>
    <row r="781" spans="1:12" x14ac:dyDescent="0.25">
      <c r="A781" s="4"/>
      <c r="B781" s="28" t="str">
        <f>IF(ISNUMBER(MATCH(D781, Mgt_Unit!$C$5:$C$1018, 0)), INDEX(Mgt_Unit!$B$5:$B$1018, MATCH(D781, Mgt_Unit!$C$5:$C$1018, 0)), "")</f>
        <v/>
      </c>
      <c r="C781" s="28"/>
      <c r="D781" s="9"/>
      <c r="E781" s="45"/>
      <c r="F781" s="29"/>
      <c r="G781" s="29"/>
      <c r="H781" s="29"/>
      <c r="I781" s="43"/>
      <c r="J781" s="43"/>
      <c r="K781" s="29"/>
      <c r="L781" s="29"/>
    </row>
    <row r="782" spans="1:12" x14ac:dyDescent="0.25">
      <c r="A782" s="4"/>
      <c r="B782" s="28" t="str">
        <f>IF(ISNUMBER(MATCH(D782, Mgt_Unit!$C$5:$C$1018, 0)), INDEX(Mgt_Unit!$B$5:$B$1018, MATCH(D782, Mgt_Unit!$C$5:$C$1018, 0)), "")</f>
        <v/>
      </c>
      <c r="C782" s="28"/>
      <c r="D782" s="9"/>
      <c r="E782" s="45"/>
      <c r="F782" s="29"/>
      <c r="G782" s="29"/>
      <c r="H782" s="29"/>
      <c r="I782" s="43"/>
      <c r="J782" s="43"/>
      <c r="K782" s="29"/>
      <c r="L782" s="29"/>
    </row>
    <row r="783" spans="1:12" x14ac:dyDescent="0.25">
      <c r="A783" s="4"/>
      <c r="B783" s="28" t="str">
        <f>IF(ISNUMBER(MATCH(D783, Mgt_Unit!$C$5:$C$1018, 0)), INDEX(Mgt_Unit!$B$5:$B$1018, MATCH(D783, Mgt_Unit!$C$5:$C$1018, 0)), "")</f>
        <v/>
      </c>
      <c r="C783" s="28"/>
      <c r="D783" s="9"/>
      <c r="E783" s="45"/>
      <c r="F783" s="29"/>
      <c r="G783" s="29"/>
      <c r="H783" s="29"/>
      <c r="I783" s="43"/>
      <c r="J783" s="43"/>
      <c r="K783" s="29"/>
      <c r="L783" s="29"/>
    </row>
    <row r="784" spans="1:12" x14ac:dyDescent="0.25">
      <c r="A784" s="4"/>
      <c r="B784" s="28" t="str">
        <f>IF(ISNUMBER(MATCH(D784, Mgt_Unit!$C$5:$C$1018, 0)), INDEX(Mgt_Unit!$B$5:$B$1018, MATCH(D784, Mgt_Unit!$C$5:$C$1018, 0)), "")</f>
        <v/>
      </c>
      <c r="C784" s="28"/>
      <c r="D784" s="9"/>
      <c r="E784" s="45"/>
      <c r="F784" s="29"/>
      <c r="G784" s="29"/>
      <c r="H784" s="29"/>
      <c r="I784" s="43"/>
      <c r="J784" s="43"/>
      <c r="K784" s="29"/>
      <c r="L784" s="29"/>
    </row>
    <row r="785" spans="1:12" x14ac:dyDescent="0.25">
      <c r="A785" s="4"/>
      <c r="B785" s="28" t="str">
        <f>IF(ISNUMBER(MATCH(D785, Mgt_Unit!$C$5:$C$1018, 0)), INDEX(Mgt_Unit!$B$5:$B$1018, MATCH(D785, Mgt_Unit!$C$5:$C$1018, 0)), "")</f>
        <v/>
      </c>
      <c r="C785" s="28"/>
      <c r="D785" s="9"/>
      <c r="E785" s="45"/>
      <c r="F785" s="29"/>
      <c r="G785" s="29"/>
      <c r="H785" s="29"/>
      <c r="I785" s="43"/>
      <c r="J785" s="43"/>
      <c r="K785" s="29"/>
      <c r="L785" s="29"/>
    </row>
    <row r="786" spans="1:12" x14ac:dyDescent="0.25">
      <c r="A786" s="4"/>
      <c r="B786" s="28" t="str">
        <f>IF(ISNUMBER(MATCH(D786, Mgt_Unit!$C$5:$C$1018, 0)), INDEX(Mgt_Unit!$B$5:$B$1018, MATCH(D786, Mgt_Unit!$C$5:$C$1018, 0)), "")</f>
        <v/>
      </c>
      <c r="C786" s="28"/>
      <c r="D786" s="9"/>
      <c r="E786" s="45"/>
      <c r="F786" s="29"/>
      <c r="G786" s="29"/>
      <c r="H786" s="29"/>
      <c r="I786" s="43"/>
      <c r="J786" s="43"/>
      <c r="K786" s="29"/>
      <c r="L786" s="29"/>
    </row>
    <row r="787" spans="1:12" x14ac:dyDescent="0.25">
      <c r="A787" s="4"/>
      <c r="B787" s="28" t="str">
        <f>IF(ISNUMBER(MATCH(D787, Mgt_Unit!$C$5:$C$1018, 0)), INDEX(Mgt_Unit!$B$5:$B$1018, MATCH(D787, Mgt_Unit!$C$5:$C$1018, 0)), "")</f>
        <v/>
      </c>
      <c r="C787" s="28"/>
      <c r="D787" s="9"/>
      <c r="E787" s="45"/>
      <c r="F787" s="29"/>
      <c r="G787" s="29"/>
      <c r="H787" s="29"/>
      <c r="I787" s="43"/>
      <c r="J787" s="43"/>
      <c r="K787" s="29"/>
      <c r="L787" s="29"/>
    </row>
    <row r="788" spans="1:12" x14ac:dyDescent="0.25">
      <c r="A788" s="4"/>
      <c r="B788" s="28" t="str">
        <f>IF(ISNUMBER(MATCH(D788, Mgt_Unit!$C$5:$C$1018, 0)), INDEX(Mgt_Unit!$B$5:$B$1018, MATCH(D788, Mgt_Unit!$C$5:$C$1018, 0)), "")</f>
        <v/>
      </c>
      <c r="C788" s="28"/>
      <c r="D788" s="9"/>
      <c r="E788" s="45"/>
      <c r="F788" s="29"/>
      <c r="G788" s="29"/>
      <c r="H788" s="29"/>
      <c r="I788" s="43"/>
      <c r="J788" s="43"/>
      <c r="K788" s="29"/>
      <c r="L788" s="29"/>
    </row>
    <row r="789" spans="1:12" x14ac:dyDescent="0.25">
      <c r="A789" s="4"/>
      <c r="B789" s="28" t="str">
        <f>IF(ISNUMBER(MATCH(D789, Mgt_Unit!$C$5:$C$1018, 0)), INDEX(Mgt_Unit!$B$5:$B$1018, MATCH(D789, Mgt_Unit!$C$5:$C$1018, 0)), "")</f>
        <v/>
      </c>
      <c r="C789" s="28"/>
      <c r="D789" s="9"/>
      <c r="E789" s="45"/>
      <c r="F789" s="29"/>
      <c r="G789" s="29"/>
      <c r="H789" s="29"/>
      <c r="I789" s="43"/>
      <c r="J789" s="43"/>
      <c r="K789" s="29"/>
      <c r="L789" s="29"/>
    </row>
    <row r="790" spans="1:12" x14ac:dyDescent="0.25">
      <c r="A790" s="4"/>
      <c r="B790" s="28" t="str">
        <f>IF(ISNUMBER(MATCH(D790, Mgt_Unit!$C$5:$C$1018, 0)), INDEX(Mgt_Unit!$B$5:$B$1018, MATCH(D790, Mgt_Unit!$C$5:$C$1018, 0)), "")</f>
        <v/>
      </c>
      <c r="C790" s="28"/>
      <c r="D790" s="9"/>
      <c r="E790" s="45"/>
      <c r="F790" s="29"/>
      <c r="G790" s="29"/>
      <c r="H790" s="29"/>
      <c r="I790" s="43"/>
      <c r="J790" s="43"/>
      <c r="K790" s="29"/>
      <c r="L790" s="29"/>
    </row>
    <row r="791" spans="1:12" x14ac:dyDescent="0.25">
      <c r="A791" s="4"/>
      <c r="B791" s="28" t="str">
        <f>IF(ISNUMBER(MATCH(D791, Mgt_Unit!$C$5:$C$1018, 0)), INDEX(Mgt_Unit!$B$5:$B$1018, MATCH(D791, Mgt_Unit!$C$5:$C$1018, 0)), "")</f>
        <v/>
      </c>
      <c r="C791" s="28"/>
      <c r="D791" s="9"/>
      <c r="E791" s="45"/>
      <c r="F791" s="29"/>
      <c r="G791" s="29"/>
      <c r="H791" s="29"/>
      <c r="I791" s="43"/>
      <c r="J791" s="43"/>
      <c r="K791" s="29"/>
      <c r="L791" s="29"/>
    </row>
    <row r="792" spans="1:12" x14ac:dyDescent="0.25">
      <c r="A792" s="4"/>
      <c r="B792" s="28" t="str">
        <f>IF(ISNUMBER(MATCH(D792, Mgt_Unit!$C$5:$C$1018, 0)), INDEX(Mgt_Unit!$B$5:$B$1018, MATCH(D792, Mgt_Unit!$C$5:$C$1018, 0)), "")</f>
        <v/>
      </c>
      <c r="C792" s="28"/>
      <c r="D792" s="9"/>
      <c r="E792" s="45"/>
      <c r="F792" s="29"/>
      <c r="G792" s="29"/>
      <c r="H792" s="29"/>
      <c r="I792" s="43"/>
      <c r="J792" s="43"/>
      <c r="K792" s="29"/>
      <c r="L792" s="29"/>
    </row>
    <row r="793" spans="1:12" x14ac:dyDescent="0.25">
      <c r="A793" s="4"/>
      <c r="B793" s="28" t="str">
        <f>IF(ISNUMBER(MATCH(D793, Mgt_Unit!$C$5:$C$1018, 0)), INDEX(Mgt_Unit!$B$5:$B$1018, MATCH(D793, Mgt_Unit!$C$5:$C$1018, 0)), "")</f>
        <v/>
      </c>
      <c r="C793" s="28"/>
      <c r="D793" s="9"/>
      <c r="E793" s="45"/>
      <c r="F793" s="29"/>
      <c r="G793" s="29"/>
      <c r="H793" s="29"/>
      <c r="I793" s="43"/>
      <c r="J793" s="43"/>
      <c r="K793" s="29"/>
      <c r="L793" s="29"/>
    </row>
    <row r="794" spans="1:12" x14ac:dyDescent="0.25">
      <c r="A794" s="4"/>
      <c r="B794" s="28" t="str">
        <f>IF(ISNUMBER(MATCH(D794, Mgt_Unit!$C$5:$C$1018, 0)), INDEX(Mgt_Unit!$B$5:$B$1018, MATCH(D794, Mgt_Unit!$C$5:$C$1018, 0)), "")</f>
        <v/>
      </c>
      <c r="C794" s="28"/>
      <c r="D794" s="9"/>
      <c r="E794" s="45"/>
      <c r="F794" s="29"/>
      <c r="G794" s="29"/>
      <c r="H794" s="29"/>
      <c r="I794" s="43"/>
      <c r="J794" s="43"/>
      <c r="K794" s="29"/>
      <c r="L794" s="29"/>
    </row>
    <row r="795" spans="1:12" x14ac:dyDescent="0.25">
      <c r="A795" s="4"/>
      <c r="B795" s="28" t="str">
        <f>IF(ISNUMBER(MATCH(D795, Mgt_Unit!$C$5:$C$1018, 0)), INDEX(Mgt_Unit!$B$5:$B$1018, MATCH(D795, Mgt_Unit!$C$5:$C$1018, 0)), "")</f>
        <v/>
      </c>
      <c r="C795" s="28"/>
      <c r="D795" s="9"/>
      <c r="E795" s="45"/>
      <c r="F795" s="29"/>
      <c r="G795" s="29"/>
      <c r="H795" s="29"/>
      <c r="I795" s="43"/>
      <c r="J795" s="43"/>
      <c r="K795" s="29"/>
      <c r="L795" s="29"/>
    </row>
    <row r="796" spans="1:12" x14ac:dyDescent="0.25">
      <c r="A796" s="4"/>
      <c r="B796" s="28" t="str">
        <f>IF(ISNUMBER(MATCH(D796, Mgt_Unit!$C$5:$C$1018, 0)), INDEX(Mgt_Unit!$B$5:$B$1018, MATCH(D796, Mgt_Unit!$C$5:$C$1018, 0)), "")</f>
        <v/>
      </c>
      <c r="C796" s="28"/>
      <c r="D796" s="9"/>
      <c r="E796" s="45"/>
      <c r="F796" s="29"/>
      <c r="G796" s="29"/>
      <c r="H796" s="29"/>
      <c r="I796" s="43"/>
      <c r="J796" s="43"/>
      <c r="K796" s="29"/>
      <c r="L796" s="29"/>
    </row>
    <row r="797" spans="1:12" x14ac:dyDescent="0.25">
      <c r="A797" s="4"/>
      <c r="B797" s="28" t="str">
        <f>IF(ISNUMBER(MATCH(D797, Mgt_Unit!$C$5:$C$1018, 0)), INDEX(Mgt_Unit!$B$5:$B$1018, MATCH(D797, Mgt_Unit!$C$5:$C$1018, 0)), "")</f>
        <v/>
      </c>
      <c r="C797" s="28"/>
      <c r="D797" s="9"/>
      <c r="E797" s="45"/>
      <c r="F797" s="29"/>
      <c r="G797" s="29"/>
      <c r="H797" s="29"/>
      <c r="I797" s="43"/>
      <c r="J797" s="43"/>
      <c r="K797" s="29"/>
      <c r="L797" s="29"/>
    </row>
    <row r="798" spans="1:12" x14ac:dyDescent="0.25">
      <c r="A798" s="4"/>
      <c r="B798" s="28" t="str">
        <f>IF(ISNUMBER(MATCH(D798, Mgt_Unit!$C$5:$C$1018, 0)), INDEX(Mgt_Unit!$B$5:$B$1018, MATCH(D798, Mgt_Unit!$C$5:$C$1018, 0)), "")</f>
        <v/>
      </c>
      <c r="C798" s="28"/>
      <c r="D798" s="9"/>
      <c r="E798" s="45"/>
      <c r="F798" s="29"/>
      <c r="G798" s="29"/>
      <c r="H798" s="29"/>
      <c r="I798" s="43"/>
      <c r="J798" s="43"/>
      <c r="K798" s="29"/>
      <c r="L798" s="29"/>
    </row>
    <row r="799" spans="1:12" x14ac:dyDescent="0.25">
      <c r="A799" s="4"/>
      <c r="B799" s="28" t="str">
        <f>IF(ISNUMBER(MATCH(D799, Mgt_Unit!$C$5:$C$1018, 0)), INDEX(Mgt_Unit!$B$5:$B$1018, MATCH(D799, Mgt_Unit!$C$5:$C$1018, 0)), "")</f>
        <v/>
      </c>
      <c r="C799" s="28"/>
      <c r="D799" s="9"/>
      <c r="E799" s="45"/>
      <c r="F799" s="29"/>
      <c r="G799" s="29"/>
      <c r="H799" s="29"/>
      <c r="I799" s="43"/>
      <c r="J799" s="43"/>
      <c r="K799" s="29"/>
      <c r="L799" s="29"/>
    </row>
    <row r="800" spans="1:12" x14ac:dyDescent="0.25">
      <c r="A800" s="4"/>
      <c r="B800" s="28" t="str">
        <f>IF(ISNUMBER(MATCH(D800, Mgt_Unit!$C$5:$C$1018, 0)), INDEX(Mgt_Unit!$B$5:$B$1018, MATCH(D800, Mgt_Unit!$C$5:$C$1018, 0)), "")</f>
        <v/>
      </c>
      <c r="C800" s="28"/>
      <c r="D800" s="9"/>
      <c r="E800" s="45"/>
      <c r="F800" s="29"/>
      <c r="G800" s="29"/>
      <c r="H800" s="29"/>
      <c r="I800" s="43"/>
      <c r="J800" s="43"/>
      <c r="K800" s="29"/>
      <c r="L800" s="29"/>
    </row>
    <row r="801" spans="1:12" x14ac:dyDescent="0.25">
      <c r="A801" s="4"/>
      <c r="B801" s="28" t="str">
        <f>IF(ISNUMBER(MATCH(D801, Mgt_Unit!$C$5:$C$1018, 0)), INDEX(Mgt_Unit!$B$5:$B$1018, MATCH(D801, Mgt_Unit!$C$5:$C$1018, 0)), "")</f>
        <v/>
      </c>
      <c r="C801" s="28"/>
      <c r="D801" s="9"/>
      <c r="E801" s="45"/>
      <c r="F801" s="29"/>
      <c r="G801" s="29"/>
      <c r="H801" s="29"/>
      <c r="I801" s="43"/>
      <c r="J801" s="43"/>
      <c r="K801" s="29"/>
      <c r="L801" s="29"/>
    </row>
    <row r="802" spans="1:12" x14ac:dyDescent="0.25">
      <c r="A802" s="4"/>
      <c r="B802" s="28" t="str">
        <f>IF(ISNUMBER(MATCH(D802, Mgt_Unit!$C$5:$C$1018, 0)), INDEX(Mgt_Unit!$B$5:$B$1018, MATCH(D802, Mgt_Unit!$C$5:$C$1018, 0)), "")</f>
        <v/>
      </c>
      <c r="C802" s="28"/>
      <c r="D802" s="9"/>
      <c r="E802" s="45"/>
      <c r="F802" s="29"/>
      <c r="G802" s="29"/>
      <c r="H802" s="29"/>
      <c r="I802" s="43"/>
      <c r="J802" s="43"/>
      <c r="K802" s="29"/>
      <c r="L802" s="29"/>
    </row>
    <row r="803" spans="1:12" x14ac:dyDescent="0.25">
      <c r="A803" s="4"/>
      <c r="B803" s="28" t="str">
        <f>IF(ISNUMBER(MATCH(D803, Mgt_Unit!$C$5:$C$1018, 0)), INDEX(Mgt_Unit!$B$5:$B$1018, MATCH(D803, Mgt_Unit!$C$5:$C$1018, 0)), "")</f>
        <v/>
      </c>
      <c r="C803" s="28"/>
      <c r="D803" s="9"/>
      <c r="E803" s="45"/>
      <c r="F803" s="29"/>
      <c r="G803" s="29"/>
      <c r="H803" s="29"/>
      <c r="I803" s="43"/>
      <c r="J803" s="43"/>
      <c r="K803" s="29"/>
      <c r="L803" s="29"/>
    </row>
    <row r="804" spans="1:12" x14ac:dyDescent="0.25">
      <c r="A804" s="4"/>
      <c r="B804" s="28" t="str">
        <f>IF(ISNUMBER(MATCH(D804, Mgt_Unit!$C$5:$C$1018, 0)), INDEX(Mgt_Unit!$B$5:$B$1018, MATCH(D804, Mgt_Unit!$C$5:$C$1018, 0)), "")</f>
        <v/>
      </c>
      <c r="C804" s="28"/>
      <c r="D804" s="9"/>
      <c r="E804" s="45"/>
      <c r="F804" s="29"/>
      <c r="G804" s="29"/>
      <c r="H804" s="29"/>
      <c r="I804" s="43"/>
      <c r="J804" s="43"/>
      <c r="K804" s="29"/>
      <c r="L804" s="29"/>
    </row>
    <row r="805" spans="1:12" x14ac:dyDescent="0.25">
      <c r="A805" s="4"/>
      <c r="B805" s="28" t="str">
        <f>IF(ISNUMBER(MATCH(D805, Mgt_Unit!$C$5:$C$1018, 0)), INDEX(Mgt_Unit!$B$5:$B$1018, MATCH(D805, Mgt_Unit!$C$5:$C$1018, 0)), "")</f>
        <v/>
      </c>
      <c r="C805" s="28"/>
      <c r="D805" s="9"/>
      <c r="E805" s="45"/>
      <c r="F805" s="29"/>
      <c r="G805" s="29"/>
      <c r="H805" s="29"/>
      <c r="I805" s="43"/>
      <c r="J805" s="43"/>
      <c r="K805" s="29"/>
      <c r="L805" s="29"/>
    </row>
    <row r="806" spans="1:12" x14ac:dyDescent="0.25">
      <c r="A806" s="4"/>
      <c r="B806" s="28" t="str">
        <f>IF(ISNUMBER(MATCH(D806, Mgt_Unit!$C$5:$C$1018, 0)), INDEX(Mgt_Unit!$B$5:$B$1018, MATCH(D806, Mgt_Unit!$C$5:$C$1018, 0)), "")</f>
        <v/>
      </c>
      <c r="C806" s="28"/>
      <c r="D806" s="9"/>
      <c r="E806" s="45"/>
      <c r="F806" s="29"/>
      <c r="G806" s="29"/>
      <c r="H806" s="29"/>
      <c r="I806" s="43"/>
      <c r="J806" s="43"/>
      <c r="K806" s="29"/>
      <c r="L806" s="29"/>
    </row>
    <row r="807" spans="1:12" x14ac:dyDescent="0.25">
      <c r="A807" s="4"/>
      <c r="B807" s="28" t="str">
        <f>IF(ISNUMBER(MATCH(D807, Mgt_Unit!$C$5:$C$1018, 0)), INDEX(Mgt_Unit!$B$5:$B$1018, MATCH(D807, Mgt_Unit!$C$5:$C$1018, 0)), "")</f>
        <v/>
      </c>
      <c r="C807" s="28"/>
      <c r="D807" s="9"/>
      <c r="E807" s="45"/>
      <c r="F807" s="29"/>
      <c r="G807" s="29"/>
      <c r="H807" s="29"/>
      <c r="I807" s="43"/>
      <c r="J807" s="43"/>
      <c r="K807" s="29"/>
      <c r="L807" s="29"/>
    </row>
    <row r="808" spans="1:12" x14ac:dyDescent="0.25">
      <c r="A808" s="4"/>
      <c r="B808" s="28" t="str">
        <f>IF(ISNUMBER(MATCH(D808, Mgt_Unit!$C$5:$C$1018, 0)), INDEX(Mgt_Unit!$B$5:$B$1018, MATCH(D808, Mgt_Unit!$C$5:$C$1018, 0)), "")</f>
        <v/>
      </c>
      <c r="C808" s="28"/>
      <c r="D808" s="9"/>
      <c r="E808" s="45"/>
      <c r="F808" s="29"/>
      <c r="G808" s="29"/>
      <c r="H808" s="29"/>
      <c r="I808" s="43"/>
      <c r="J808" s="43"/>
      <c r="K808" s="29"/>
      <c r="L808" s="29"/>
    </row>
    <row r="809" spans="1:12" x14ac:dyDescent="0.25">
      <c r="A809" s="4"/>
      <c r="B809" s="28" t="str">
        <f>IF(ISNUMBER(MATCH(D809, Mgt_Unit!$C$5:$C$1018, 0)), INDEX(Mgt_Unit!$B$5:$B$1018, MATCH(D809, Mgt_Unit!$C$5:$C$1018, 0)), "")</f>
        <v/>
      </c>
      <c r="C809" s="28"/>
      <c r="D809" s="9"/>
      <c r="E809" s="45"/>
      <c r="F809" s="29"/>
      <c r="G809" s="29"/>
      <c r="H809" s="29"/>
      <c r="I809" s="43"/>
      <c r="J809" s="43"/>
      <c r="K809" s="29"/>
      <c r="L809" s="29"/>
    </row>
    <row r="810" spans="1:12" x14ac:dyDescent="0.25">
      <c r="A810" s="4"/>
      <c r="B810" s="28" t="str">
        <f>IF(ISNUMBER(MATCH(D810, Mgt_Unit!$C$5:$C$1018, 0)), INDEX(Mgt_Unit!$B$5:$B$1018, MATCH(D810, Mgt_Unit!$C$5:$C$1018, 0)), "")</f>
        <v/>
      </c>
      <c r="C810" s="28"/>
      <c r="D810" s="9"/>
      <c r="E810" s="45"/>
      <c r="F810" s="29"/>
      <c r="G810" s="29"/>
      <c r="H810" s="29"/>
      <c r="I810" s="43"/>
      <c r="J810" s="43"/>
      <c r="K810" s="29"/>
      <c r="L810" s="29"/>
    </row>
    <row r="811" spans="1:12" x14ac:dyDescent="0.25">
      <c r="A811" s="4"/>
      <c r="B811" s="28" t="str">
        <f>IF(ISNUMBER(MATCH(D811, Mgt_Unit!$C$5:$C$1018, 0)), INDEX(Mgt_Unit!$B$5:$B$1018, MATCH(D811, Mgt_Unit!$C$5:$C$1018, 0)), "")</f>
        <v/>
      </c>
      <c r="C811" s="28"/>
      <c r="D811" s="9"/>
      <c r="E811" s="45"/>
      <c r="F811" s="29"/>
      <c r="G811" s="29"/>
      <c r="H811" s="29"/>
      <c r="I811" s="43"/>
      <c r="J811" s="43"/>
      <c r="K811" s="29"/>
      <c r="L811" s="29"/>
    </row>
    <row r="812" spans="1:12" x14ac:dyDescent="0.25">
      <c r="A812" s="4"/>
      <c r="B812" s="28" t="str">
        <f>IF(ISNUMBER(MATCH(D812, Mgt_Unit!$C$5:$C$1018, 0)), INDEX(Mgt_Unit!$B$5:$B$1018, MATCH(D812, Mgt_Unit!$C$5:$C$1018, 0)), "")</f>
        <v/>
      </c>
      <c r="C812" s="28"/>
      <c r="D812" s="9"/>
      <c r="E812" s="45"/>
      <c r="F812" s="29"/>
      <c r="G812" s="29"/>
      <c r="H812" s="29"/>
      <c r="I812" s="43"/>
      <c r="J812" s="43"/>
      <c r="K812" s="29"/>
      <c r="L812" s="29"/>
    </row>
    <row r="813" spans="1:12" x14ac:dyDescent="0.25">
      <c r="A813" s="4"/>
      <c r="B813" s="28" t="str">
        <f>IF(ISNUMBER(MATCH(D813, Mgt_Unit!$C$5:$C$1018, 0)), INDEX(Mgt_Unit!$B$5:$B$1018, MATCH(D813, Mgt_Unit!$C$5:$C$1018, 0)), "")</f>
        <v/>
      </c>
      <c r="C813" s="28"/>
      <c r="D813" s="9"/>
      <c r="E813" s="45"/>
      <c r="F813" s="29"/>
      <c r="G813" s="29"/>
      <c r="H813" s="29"/>
      <c r="I813" s="43"/>
      <c r="J813" s="43"/>
      <c r="K813" s="29"/>
      <c r="L813" s="29"/>
    </row>
    <row r="814" spans="1:12" x14ac:dyDescent="0.25">
      <c r="A814" s="4"/>
      <c r="B814" s="28" t="str">
        <f>IF(ISNUMBER(MATCH(D814, Mgt_Unit!$C$5:$C$1018, 0)), INDEX(Mgt_Unit!$B$5:$B$1018, MATCH(D814, Mgt_Unit!$C$5:$C$1018, 0)), "")</f>
        <v/>
      </c>
      <c r="C814" s="28"/>
      <c r="D814" s="9"/>
      <c r="E814" s="45"/>
      <c r="F814" s="29"/>
      <c r="G814" s="29"/>
      <c r="H814" s="29"/>
      <c r="I814" s="43"/>
      <c r="J814" s="43"/>
      <c r="K814" s="29"/>
      <c r="L814" s="29"/>
    </row>
    <row r="815" spans="1:12" x14ac:dyDescent="0.25">
      <c r="A815" s="4"/>
      <c r="B815" s="28" t="str">
        <f>IF(ISNUMBER(MATCH(D815, Mgt_Unit!$C$5:$C$1018, 0)), INDEX(Mgt_Unit!$B$5:$B$1018, MATCH(D815, Mgt_Unit!$C$5:$C$1018, 0)), "")</f>
        <v/>
      </c>
      <c r="C815" s="28"/>
      <c r="D815" s="9"/>
      <c r="E815" s="45"/>
      <c r="F815" s="29"/>
      <c r="G815" s="29"/>
      <c r="H815" s="29"/>
      <c r="I815" s="43"/>
      <c r="J815" s="43"/>
      <c r="K815" s="29"/>
      <c r="L815" s="29"/>
    </row>
    <row r="816" spans="1:12" x14ac:dyDescent="0.25">
      <c r="A816" s="4"/>
      <c r="B816" s="28" t="str">
        <f>IF(ISNUMBER(MATCH(D816, Mgt_Unit!$C$5:$C$1018, 0)), INDEX(Mgt_Unit!$B$5:$B$1018, MATCH(D816, Mgt_Unit!$C$5:$C$1018, 0)), "")</f>
        <v/>
      </c>
      <c r="C816" s="28"/>
      <c r="D816" s="9"/>
      <c r="E816" s="45"/>
      <c r="F816" s="29"/>
      <c r="G816" s="29"/>
      <c r="H816" s="29"/>
      <c r="I816" s="43"/>
      <c r="J816" s="43"/>
      <c r="K816" s="29"/>
      <c r="L816" s="29"/>
    </row>
    <row r="817" spans="1:12" x14ac:dyDescent="0.25">
      <c r="A817" s="4"/>
      <c r="B817" s="28" t="str">
        <f>IF(ISNUMBER(MATCH(D817, Mgt_Unit!$C$5:$C$1018, 0)), INDEX(Mgt_Unit!$B$5:$B$1018, MATCH(D817, Mgt_Unit!$C$5:$C$1018, 0)), "")</f>
        <v/>
      </c>
      <c r="C817" s="28"/>
      <c r="D817" s="9"/>
      <c r="E817" s="45"/>
      <c r="F817" s="29"/>
      <c r="G817" s="29"/>
      <c r="H817" s="29"/>
      <c r="I817" s="43"/>
      <c r="J817" s="43"/>
      <c r="K817" s="29"/>
      <c r="L817" s="29"/>
    </row>
    <row r="818" spans="1:12" x14ac:dyDescent="0.25">
      <c r="A818" s="4"/>
      <c r="B818" s="28" t="str">
        <f>IF(ISNUMBER(MATCH(D818, Mgt_Unit!$C$5:$C$1018, 0)), INDEX(Mgt_Unit!$B$5:$B$1018, MATCH(D818, Mgt_Unit!$C$5:$C$1018, 0)), "")</f>
        <v/>
      </c>
      <c r="C818" s="28"/>
      <c r="D818" s="9"/>
      <c r="E818" s="45"/>
      <c r="F818" s="29"/>
      <c r="G818" s="29"/>
      <c r="H818" s="29"/>
      <c r="I818" s="43"/>
      <c r="J818" s="43"/>
      <c r="K818" s="29"/>
      <c r="L818" s="29"/>
    </row>
    <row r="819" spans="1:12" x14ac:dyDescent="0.25">
      <c r="A819" s="4"/>
      <c r="B819" s="28" t="str">
        <f>IF(ISNUMBER(MATCH(D819, Mgt_Unit!$C$5:$C$1018, 0)), INDEX(Mgt_Unit!$B$5:$B$1018, MATCH(D819, Mgt_Unit!$C$5:$C$1018, 0)), "")</f>
        <v/>
      </c>
      <c r="C819" s="28"/>
      <c r="D819" s="9"/>
      <c r="E819" s="45"/>
      <c r="F819" s="29"/>
      <c r="G819" s="29"/>
      <c r="H819" s="29"/>
      <c r="I819" s="43"/>
      <c r="J819" s="43"/>
      <c r="K819" s="29"/>
      <c r="L819" s="29"/>
    </row>
    <row r="820" spans="1:12" x14ac:dyDescent="0.25">
      <c r="A820" s="4"/>
      <c r="B820" s="28" t="str">
        <f>IF(ISNUMBER(MATCH(D820, Mgt_Unit!$C$5:$C$1018, 0)), INDEX(Mgt_Unit!$B$5:$B$1018, MATCH(D820, Mgt_Unit!$C$5:$C$1018, 0)), "")</f>
        <v/>
      </c>
      <c r="C820" s="28"/>
      <c r="D820" s="9"/>
      <c r="E820" s="45"/>
      <c r="F820" s="29"/>
      <c r="G820" s="29"/>
      <c r="H820" s="29"/>
      <c r="I820" s="43"/>
      <c r="J820" s="43"/>
      <c r="K820" s="29"/>
      <c r="L820" s="29"/>
    </row>
    <row r="821" spans="1:12" x14ac:dyDescent="0.25">
      <c r="A821" s="4"/>
      <c r="B821" s="28" t="str">
        <f>IF(ISNUMBER(MATCH(D821, Mgt_Unit!$C$5:$C$1018, 0)), INDEX(Mgt_Unit!$B$5:$B$1018, MATCH(D821, Mgt_Unit!$C$5:$C$1018, 0)), "")</f>
        <v/>
      </c>
      <c r="C821" s="28"/>
      <c r="D821" s="9"/>
      <c r="E821" s="45"/>
      <c r="F821" s="29"/>
      <c r="G821" s="29"/>
      <c r="H821" s="29"/>
      <c r="I821" s="43"/>
      <c r="J821" s="43"/>
      <c r="K821" s="29"/>
      <c r="L821" s="29"/>
    </row>
    <row r="822" spans="1:12" x14ac:dyDescent="0.25">
      <c r="A822" s="4"/>
      <c r="B822" s="28" t="str">
        <f>IF(ISNUMBER(MATCH(D822, Mgt_Unit!$C$5:$C$1018, 0)), INDEX(Mgt_Unit!$B$5:$B$1018, MATCH(D822, Mgt_Unit!$C$5:$C$1018, 0)), "")</f>
        <v/>
      </c>
      <c r="C822" s="28"/>
      <c r="D822" s="9"/>
      <c r="E822" s="45"/>
      <c r="F822" s="29"/>
      <c r="G822" s="29"/>
      <c r="H822" s="29"/>
      <c r="I822" s="43"/>
      <c r="J822" s="43"/>
      <c r="K822" s="29"/>
      <c r="L822" s="29"/>
    </row>
    <row r="823" spans="1:12" x14ac:dyDescent="0.25">
      <c r="A823" s="4"/>
      <c r="B823" s="28" t="str">
        <f>IF(ISNUMBER(MATCH(D823, Mgt_Unit!$C$5:$C$1018, 0)), INDEX(Mgt_Unit!$B$5:$B$1018, MATCH(D823, Mgt_Unit!$C$5:$C$1018, 0)), "")</f>
        <v/>
      </c>
      <c r="C823" s="28"/>
      <c r="D823" s="9"/>
      <c r="E823" s="45"/>
      <c r="F823" s="29"/>
      <c r="G823" s="29"/>
      <c r="H823" s="29"/>
      <c r="I823" s="43"/>
      <c r="J823" s="43"/>
      <c r="K823" s="29"/>
      <c r="L823" s="29"/>
    </row>
    <row r="824" spans="1:12" x14ac:dyDescent="0.25">
      <c r="A824" s="4"/>
      <c r="B824" s="28" t="str">
        <f>IF(ISNUMBER(MATCH(D824, Mgt_Unit!$C$5:$C$1018, 0)), INDEX(Mgt_Unit!$B$5:$B$1018, MATCH(D824, Mgt_Unit!$C$5:$C$1018, 0)), "")</f>
        <v/>
      </c>
      <c r="C824" s="28"/>
      <c r="D824" s="9"/>
      <c r="E824" s="45"/>
      <c r="F824" s="29"/>
      <c r="G824" s="29"/>
      <c r="H824" s="29"/>
      <c r="I824" s="43"/>
      <c r="J824" s="43"/>
      <c r="K824" s="29"/>
      <c r="L824" s="29"/>
    </row>
    <row r="825" spans="1:12" x14ac:dyDescent="0.25">
      <c r="A825" s="4"/>
      <c r="B825" s="28" t="str">
        <f>IF(ISNUMBER(MATCH(D825, Mgt_Unit!$C$5:$C$1018, 0)), INDEX(Mgt_Unit!$B$5:$B$1018, MATCH(D825, Mgt_Unit!$C$5:$C$1018, 0)), "")</f>
        <v/>
      </c>
      <c r="C825" s="28"/>
      <c r="D825" s="9"/>
      <c r="E825" s="45"/>
      <c r="F825" s="29"/>
      <c r="G825" s="29"/>
      <c r="H825" s="29"/>
      <c r="I825" s="43"/>
      <c r="J825" s="43"/>
      <c r="K825" s="29"/>
      <c r="L825" s="29"/>
    </row>
    <row r="826" spans="1:12" x14ac:dyDescent="0.25">
      <c r="A826" s="4"/>
      <c r="B826" s="28" t="str">
        <f>IF(ISNUMBER(MATCH(D826, Mgt_Unit!$C$5:$C$1018, 0)), INDEX(Mgt_Unit!$B$5:$B$1018, MATCH(D826, Mgt_Unit!$C$5:$C$1018, 0)), "")</f>
        <v/>
      </c>
      <c r="C826" s="28"/>
      <c r="D826" s="9"/>
      <c r="E826" s="45"/>
      <c r="F826" s="29"/>
      <c r="G826" s="29"/>
      <c r="H826" s="29"/>
      <c r="I826" s="43"/>
      <c r="J826" s="43"/>
      <c r="K826" s="29"/>
      <c r="L826" s="29"/>
    </row>
    <row r="827" spans="1:12" x14ac:dyDescent="0.25">
      <c r="A827" s="4"/>
      <c r="B827" s="28" t="str">
        <f>IF(ISNUMBER(MATCH(D827, Mgt_Unit!$C$5:$C$1018, 0)), INDEX(Mgt_Unit!$B$5:$B$1018, MATCH(D827, Mgt_Unit!$C$5:$C$1018, 0)), "")</f>
        <v/>
      </c>
      <c r="C827" s="28"/>
      <c r="D827" s="9"/>
      <c r="E827" s="45"/>
      <c r="F827" s="29"/>
      <c r="G827" s="29"/>
      <c r="H827" s="29"/>
      <c r="I827" s="43"/>
      <c r="J827" s="43"/>
      <c r="K827" s="29"/>
      <c r="L827" s="29"/>
    </row>
    <row r="828" spans="1:12" x14ac:dyDescent="0.25">
      <c r="A828" s="4"/>
      <c r="B828" s="28" t="str">
        <f>IF(ISNUMBER(MATCH(D828, Mgt_Unit!$C$5:$C$1018, 0)), INDEX(Mgt_Unit!$B$5:$B$1018, MATCH(D828, Mgt_Unit!$C$5:$C$1018, 0)), "")</f>
        <v/>
      </c>
      <c r="C828" s="28"/>
      <c r="D828" s="9"/>
      <c r="E828" s="45"/>
      <c r="F828" s="29"/>
      <c r="G828" s="29"/>
      <c r="H828" s="29"/>
      <c r="I828" s="43"/>
      <c r="J828" s="43"/>
      <c r="K828" s="29"/>
      <c r="L828" s="29"/>
    </row>
    <row r="829" spans="1:12" x14ac:dyDescent="0.25">
      <c r="A829" s="4"/>
      <c r="B829" s="28" t="str">
        <f>IF(ISNUMBER(MATCH(D829, Mgt_Unit!$C$5:$C$1018, 0)), INDEX(Mgt_Unit!$B$5:$B$1018, MATCH(D829, Mgt_Unit!$C$5:$C$1018, 0)), "")</f>
        <v/>
      </c>
      <c r="C829" s="28"/>
      <c r="D829" s="9"/>
      <c r="E829" s="45"/>
      <c r="F829" s="29"/>
      <c r="G829" s="29"/>
      <c r="H829" s="29"/>
      <c r="I829" s="43"/>
      <c r="J829" s="43"/>
      <c r="K829" s="29"/>
      <c r="L829" s="29"/>
    </row>
    <row r="830" spans="1:12" x14ac:dyDescent="0.25">
      <c r="A830" s="4"/>
      <c r="B830" s="28" t="str">
        <f>IF(ISNUMBER(MATCH(D830, Mgt_Unit!$C$5:$C$1018, 0)), INDEX(Mgt_Unit!$B$5:$B$1018, MATCH(D830, Mgt_Unit!$C$5:$C$1018, 0)), "")</f>
        <v/>
      </c>
      <c r="C830" s="28"/>
      <c r="D830" s="9"/>
      <c r="E830" s="45"/>
      <c r="F830" s="29"/>
      <c r="G830" s="29"/>
      <c r="H830" s="29"/>
      <c r="I830" s="43"/>
      <c r="J830" s="43"/>
      <c r="K830" s="29"/>
      <c r="L830" s="29"/>
    </row>
    <row r="831" spans="1:12" x14ac:dyDescent="0.25">
      <c r="A831" s="4"/>
      <c r="B831" s="28" t="str">
        <f>IF(ISNUMBER(MATCH(D831, Mgt_Unit!$C$5:$C$1018, 0)), INDEX(Mgt_Unit!$B$5:$B$1018, MATCH(D831, Mgt_Unit!$C$5:$C$1018, 0)), "")</f>
        <v/>
      </c>
      <c r="C831" s="28"/>
      <c r="D831" s="9"/>
      <c r="E831" s="45"/>
      <c r="F831" s="29"/>
      <c r="G831" s="29"/>
      <c r="H831" s="29"/>
      <c r="I831" s="43"/>
      <c r="J831" s="43"/>
      <c r="K831" s="29"/>
      <c r="L831" s="29"/>
    </row>
    <row r="832" spans="1:12" x14ac:dyDescent="0.25">
      <c r="A832" s="4"/>
      <c r="B832" s="28" t="str">
        <f>IF(ISNUMBER(MATCH(D832, Mgt_Unit!$C$5:$C$1018, 0)), INDEX(Mgt_Unit!$B$5:$B$1018, MATCH(D832, Mgt_Unit!$C$5:$C$1018, 0)), "")</f>
        <v/>
      </c>
      <c r="C832" s="28"/>
      <c r="D832" s="9"/>
      <c r="E832" s="45"/>
      <c r="F832" s="29"/>
      <c r="G832" s="29"/>
      <c r="H832" s="29"/>
      <c r="I832" s="43"/>
      <c r="J832" s="43"/>
      <c r="K832" s="29"/>
      <c r="L832" s="29"/>
    </row>
    <row r="833" spans="1:12" x14ac:dyDescent="0.25">
      <c r="A833" s="4"/>
      <c r="B833" s="28" t="str">
        <f>IF(ISNUMBER(MATCH(D833, Mgt_Unit!$C$5:$C$1018, 0)), INDEX(Mgt_Unit!$B$5:$B$1018, MATCH(D833, Mgt_Unit!$C$5:$C$1018, 0)), "")</f>
        <v/>
      </c>
      <c r="C833" s="28"/>
      <c r="D833" s="9"/>
      <c r="E833" s="45"/>
      <c r="F833" s="29"/>
      <c r="G833" s="29"/>
      <c r="H833" s="29"/>
      <c r="I833" s="43"/>
      <c r="J833" s="43"/>
      <c r="K833" s="29"/>
      <c r="L833" s="29"/>
    </row>
    <row r="834" spans="1:12" x14ac:dyDescent="0.25">
      <c r="A834" s="4"/>
      <c r="B834" s="28" t="str">
        <f>IF(ISNUMBER(MATCH(D834, Mgt_Unit!$C$5:$C$1018, 0)), INDEX(Mgt_Unit!$B$5:$B$1018, MATCH(D834, Mgt_Unit!$C$5:$C$1018, 0)), "")</f>
        <v/>
      </c>
      <c r="C834" s="28"/>
      <c r="D834" s="9"/>
      <c r="E834" s="45"/>
      <c r="F834" s="29"/>
      <c r="G834" s="29"/>
      <c r="H834" s="29"/>
      <c r="I834" s="43"/>
      <c r="J834" s="43"/>
      <c r="K834" s="29"/>
      <c r="L834" s="29"/>
    </row>
    <row r="835" spans="1:12" x14ac:dyDescent="0.25">
      <c r="A835" s="4"/>
      <c r="B835" s="28" t="str">
        <f>IF(ISNUMBER(MATCH(D835, Mgt_Unit!$C$5:$C$1018, 0)), INDEX(Mgt_Unit!$B$5:$B$1018, MATCH(D835, Mgt_Unit!$C$5:$C$1018, 0)), "")</f>
        <v/>
      </c>
      <c r="C835" s="28"/>
      <c r="D835" s="9"/>
      <c r="E835" s="45"/>
      <c r="F835" s="29"/>
      <c r="G835" s="29"/>
      <c r="H835" s="29"/>
      <c r="I835" s="43"/>
      <c r="J835" s="43"/>
      <c r="K835" s="29"/>
      <c r="L835" s="29"/>
    </row>
    <row r="836" spans="1:12" x14ac:dyDescent="0.25">
      <c r="A836" s="4"/>
      <c r="B836" s="28" t="str">
        <f>IF(ISNUMBER(MATCH(D836, Mgt_Unit!$C$5:$C$1018, 0)), INDEX(Mgt_Unit!$B$5:$B$1018, MATCH(D836, Mgt_Unit!$C$5:$C$1018, 0)), "")</f>
        <v/>
      </c>
      <c r="C836" s="28"/>
      <c r="D836" s="9"/>
      <c r="E836" s="45"/>
      <c r="F836" s="29"/>
      <c r="G836" s="29"/>
      <c r="H836" s="29"/>
      <c r="I836" s="43"/>
      <c r="J836" s="43"/>
      <c r="K836" s="29"/>
      <c r="L836" s="29"/>
    </row>
    <row r="837" spans="1:12" x14ac:dyDescent="0.25">
      <c r="A837" s="4"/>
      <c r="B837" s="28" t="str">
        <f>IF(ISNUMBER(MATCH(D837, Mgt_Unit!$C$5:$C$1018, 0)), INDEX(Mgt_Unit!$B$5:$B$1018, MATCH(D837, Mgt_Unit!$C$5:$C$1018, 0)), "")</f>
        <v/>
      </c>
      <c r="C837" s="28"/>
      <c r="D837" s="9"/>
      <c r="E837" s="45"/>
      <c r="F837" s="29"/>
      <c r="G837" s="29"/>
      <c r="H837" s="29"/>
      <c r="I837" s="43"/>
      <c r="J837" s="43"/>
      <c r="K837" s="29"/>
      <c r="L837" s="29"/>
    </row>
    <row r="838" spans="1:12" x14ac:dyDescent="0.25">
      <c r="A838" s="4"/>
      <c r="B838" s="28" t="str">
        <f>IF(ISNUMBER(MATCH(D838, Mgt_Unit!$C$5:$C$1018, 0)), INDEX(Mgt_Unit!$B$5:$B$1018, MATCH(D838, Mgt_Unit!$C$5:$C$1018, 0)), "")</f>
        <v/>
      </c>
      <c r="C838" s="28"/>
      <c r="D838" s="9"/>
      <c r="E838" s="45"/>
      <c r="F838" s="29"/>
      <c r="G838" s="29"/>
      <c r="H838" s="29"/>
      <c r="I838" s="43"/>
      <c r="J838" s="43"/>
      <c r="K838" s="29"/>
      <c r="L838" s="29"/>
    </row>
    <row r="839" spans="1:12" x14ac:dyDescent="0.25">
      <c r="A839" s="4"/>
      <c r="B839" s="28" t="str">
        <f>IF(ISNUMBER(MATCH(D839, Mgt_Unit!$C$5:$C$1018, 0)), INDEX(Mgt_Unit!$B$5:$B$1018, MATCH(D839, Mgt_Unit!$C$5:$C$1018, 0)), "")</f>
        <v/>
      </c>
      <c r="C839" s="28"/>
      <c r="D839" s="9"/>
      <c r="E839" s="45"/>
      <c r="F839" s="29"/>
      <c r="G839" s="29"/>
      <c r="H839" s="29"/>
      <c r="I839" s="43"/>
      <c r="J839" s="43"/>
      <c r="K839" s="29"/>
      <c r="L839" s="29"/>
    </row>
    <row r="840" spans="1:12" x14ac:dyDescent="0.25">
      <c r="A840" s="4"/>
      <c r="B840" s="28" t="str">
        <f>IF(ISNUMBER(MATCH(D840, Mgt_Unit!$C$5:$C$1018, 0)), INDEX(Mgt_Unit!$B$5:$B$1018, MATCH(D840, Mgt_Unit!$C$5:$C$1018, 0)), "")</f>
        <v/>
      </c>
      <c r="C840" s="28"/>
      <c r="D840" s="9"/>
      <c r="E840" s="45"/>
      <c r="F840" s="29"/>
      <c r="G840" s="29"/>
      <c r="H840" s="29"/>
      <c r="I840" s="43"/>
      <c r="J840" s="43"/>
      <c r="K840" s="29"/>
      <c r="L840" s="29"/>
    </row>
    <row r="841" spans="1:12" x14ac:dyDescent="0.25">
      <c r="A841" s="4"/>
      <c r="B841" s="28" t="str">
        <f>IF(ISNUMBER(MATCH(D841, Mgt_Unit!$C$5:$C$1018, 0)), INDEX(Mgt_Unit!$B$5:$B$1018, MATCH(D841, Mgt_Unit!$C$5:$C$1018, 0)), "")</f>
        <v/>
      </c>
      <c r="C841" s="28"/>
      <c r="D841" s="9"/>
      <c r="E841" s="45"/>
      <c r="F841" s="29"/>
      <c r="G841" s="29"/>
      <c r="H841" s="29"/>
      <c r="I841" s="43"/>
      <c r="J841" s="43"/>
      <c r="K841" s="29"/>
      <c r="L841" s="29"/>
    </row>
    <row r="842" spans="1:12" x14ac:dyDescent="0.25">
      <c r="A842" s="4"/>
      <c r="B842" s="28" t="str">
        <f>IF(ISNUMBER(MATCH(D842, Mgt_Unit!$C$5:$C$1018, 0)), INDEX(Mgt_Unit!$B$5:$B$1018, MATCH(D842, Mgt_Unit!$C$5:$C$1018, 0)), "")</f>
        <v/>
      </c>
      <c r="C842" s="28"/>
      <c r="D842" s="9"/>
      <c r="E842" s="45"/>
      <c r="F842" s="29"/>
      <c r="G842" s="29"/>
      <c r="H842" s="29"/>
      <c r="I842" s="43"/>
      <c r="J842" s="43"/>
      <c r="K842" s="29"/>
      <c r="L842" s="29"/>
    </row>
    <row r="843" spans="1:12" x14ac:dyDescent="0.25">
      <c r="A843" s="4"/>
      <c r="B843" s="28" t="str">
        <f>IF(ISNUMBER(MATCH(D843, Mgt_Unit!$C$5:$C$1018, 0)), INDEX(Mgt_Unit!$B$5:$B$1018, MATCH(D843, Mgt_Unit!$C$5:$C$1018, 0)), "")</f>
        <v/>
      </c>
      <c r="C843" s="28"/>
      <c r="D843" s="9"/>
      <c r="E843" s="45"/>
      <c r="F843" s="29"/>
      <c r="G843" s="29"/>
      <c r="H843" s="29"/>
      <c r="I843" s="43"/>
      <c r="J843" s="43"/>
      <c r="K843" s="29"/>
      <c r="L843" s="29"/>
    </row>
    <row r="844" spans="1:12" x14ac:dyDescent="0.25">
      <c r="A844" s="4"/>
      <c r="B844" s="28" t="str">
        <f>IF(ISNUMBER(MATCH(D844, Mgt_Unit!$C$5:$C$1018, 0)), INDEX(Mgt_Unit!$B$5:$B$1018, MATCH(D844, Mgt_Unit!$C$5:$C$1018, 0)), "")</f>
        <v/>
      </c>
      <c r="C844" s="28"/>
      <c r="D844" s="9"/>
      <c r="E844" s="45"/>
      <c r="F844" s="29"/>
      <c r="G844" s="29"/>
      <c r="H844" s="29"/>
      <c r="I844" s="43"/>
      <c r="J844" s="43"/>
      <c r="K844" s="29"/>
      <c r="L844" s="29"/>
    </row>
    <row r="845" spans="1:12" x14ac:dyDescent="0.25">
      <c r="A845" s="4"/>
      <c r="B845" s="28" t="str">
        <f>IF(ISNUMBER(MATCH(D845, Mgt_Unit!$C$5:$C$1018, 0)), INDEX(Mgt_Unit!$B$5:$B$1018, MATCH(D845, Mgt_Unit!$C$5:$C$1018, 0)), "")</f>
        <v/>
      </c>
      <c r="C845" s="28"/>
      <c r="D845" s="9"/>
      <c r="E845" s="45"/>
      <c r="F845" s="29"/>
      <c r="G845" s="29"/>
      <c r="H845" s="29"/>
      <c r="I845" s="43"/>
      <c r="J845" s="43"/>
      <c r="K845" s="29"/>
      <c r="L845" s="29"/>
    </row>
    <row r="846" spans="1:12" x14ac:dyDescent="0.25">
      <c r="A846" s="4"/>
      <c r="B846" s="28" t="str">
        <f>IF(ISNUMBER(MATCH(D846, Mgt_Unit!$C$5:$C$1018, 0)), INDEX(Mgt_Unit!$B$5:$B$1018, MATCH(D846, Mgt_Unit!$C$5:$C$1018, 0)), "")</f>
        <v/>
      </c>
      <c r="C846" s="28"/>
      <c r="D846" s="9"/>
      <c r="E846" s="45"/>
      <c r="F846" s="29"/>
      <c r="G846" s="29"/>
      <c r="H846" s="29"/>
      <c r="I846" s="43"/>
      <c r="J846" s="43"/>
      <c r="K846" s="29"/>
      <c r="L846" s="29"/>
    </row>
    <row r="847" spans="1:12" x14ac:dyDescent="0.25">
      <c r="A847" s="4"/>
      <c r="B847" s="28" t="str">
        <f>IF(ISNUMBER(MATCH(D847, Mgt_Unit!$C$5:$C$1018, 0)), INDEX(Mgt_Unit!$B$5:$B$1018, MATCH(D847, Mgt_Unit!$C$5:$C$1018, 0)), "")</f>
        <v/>
      </c>
      <c r="C847" s="28"/>
      <c r="D847" s="9"/>
      <c r="E847" s="45"/>
      <c r="F847" s="29"/>
      <c r="G847" s="29"/>
      <c r="H847" s="29"/>
      <c r="I847" s="43"/>
      <c r="J847" s="43"/>
      <c r="K847" s="29"/>
      <c r="L847" s="29"/>
    </row>
    <row r="848" spans="1:12" x14ac:dyDescent="0.25">
      <c r="A848" s="4"/>
      <c r="B848" s="28" t="str">
        <f>IF(ISNUMBER(MATCH(D848, Mgt_Unit!$C$5:$C$1018, 0)), INDEX(Mgt_Unit!$B$5:$B$1018, MATCH(D848, Mgt_Unit!$C$5:$C$1018, 0)), "")</f>
        <v/>
      </c>
      <c r="C848" s="28"/>
      <c r="D848" s="9"/>
      <c r="E848" s="45"/>
      <c r="F848" s="29"/>
      <c r="G848" s="29"/>
      <c r="H848" s="29"/>
      <c r="I848" s="43"/>
      <c r="J848" s="43"/>
      <c r="K848" s="29"/>
      <c r="L848" s="29"/>
    </row>
    <row r="849" spans="1:12" x14ac:dyDescent="0.25">
      <c r="A849" s="4"/>
      <c r="B849" s="28" t="str">
        <f>IF(ISNUMBER(MATCH(D849, Mgt_Unit!$C$5:$C$1018, 0)), INDEX(Mgt_Unit!$B$5:$B$1018, MATCH(D849, Mgt_Unit!$C$5:$C$1018, 0)), "")</f>
        <v/>
      </c>
      <c r="C849" s="28"/>
      <c r="D849" s="9"/>
      <c r="E849" s="45"/>
      <c r="F849" s="29"/>
      <c r="G849" s="29"/>
      <c r="H849" s="29"/>
      <c r="I849" s="43"/>
      <c r="J849" s="43"/>
      <c r="K849" s="29"/>
      <c r="L849" s="29"/>
    </row>
    <row r="850" spans="1:12" x14ac:dyDescent="0.25">
      <c r="A850" s="4"/>
      <c r="B850" s="28" t="str">
        <f>IF(ISNUMBER(MATCH(D850, Mgt_Unit!$C$5:$C$1018, 0)), INDEX(Mgt_Unit!$B$5:$B$1018, MATCH(D850, Mgt_Unit!$C$5:$C$1018, 0)), "")</f>
        <v/>
      </c>
      <c r="C850" s="28"/>
      <c r="D850" s="9"/>
      <c r="E850" s="45"/>
      <c r="F850" s="29"/>
      <c r="G850" s="29"/>
      <c r="H850" s="29"/>
      <c r="I850" s="43"/>
      <c r="J850" s="43"/>
      <c r="K850" s="29"/>
      <c r="L850" s="29"/>
    </row>
    <row r="851" spans="1:12" x14ac:dyDescent="0.25">
      <c r="A851" s="4"/>
      <c r="B851" s="28" t="str">
        <f>IF(ISNUMBER(MATCH(D851, Mgt_Unit!$C$5:$C$1018, 0)), INDEX(Mgt_Unit!$B$5:$B$1018, MATCH(D851, Mgt_Unit!$C$5:$C$1018, 0)), "")</f>
        <v/>
      </c>
      <c r="C851" s="28"/>
      <c r="D851" s="9"/>
      <c r="E851" s="45"/>
      <c r="F851" s="29"/>
      <c r="G851" s="29"/>
      <c r="H851" s="29"/>
      <c r="I851" s="43"/>
      <c r="J851" s="43"/>
      <c r="K851" s="29"/>
      <c r="L851" s="29"/>
    </row>
    <row r="852" spans="1:12" x14ac:dyDescent="0.25">
      <c r="A852" s="4"/>
      <c r="B852" s="28" t="str">
        <f>IF(ISNUMBER(MATCH(D852, Mgt_Unit!$C$5:$C$1018, 0)), INDEX(Mgt_Unit!$B$5:$B$1018, MATCH(D852, Mgt_Unit!$C$5:$C$1018, 0)), "")</f>
        <v/>
      </c>
      <c r="C852" s="28"/>
      <c r="D852" s="9"/>
      <c r="E852" s="45"/>
      <c r="F852" s="29"/>
      <c r="G852" s="29"/>
      <c r="H852" s="29"/>
      <c r="I852" s="43"/>
      <c r="J852" s="43"/>
      <c r="K852" s="29"/>
      <c r="L852" s="29"/>
    </row>
    <row r="853" spans="1:12" x14ac:dyDescent="0.25">
      <c r="A853" s="4"/>
      <c r="B853" s="28" t="str">
        <f>IF(ISNUMBER(MATCH(D853, Mgt_Unit!$C$5:$C$1018, 0)), INDEX(Mgt_Unit!$B$5:$B$1018, MATCH(D853, Mgt_Unit!$C$5:$C$1018, 0)), "")</f>
        <v/>
      </c>
      <c r="C853" s="28"/>
      <c r="D853" s="9"/>
      <c r="E853" s="45"/>
      <c r="F853" s="29"/>
      <c r="G853" s="29"/>
      <c r="H853" s="29"/>
      <c r="I853" s="43"/>
      <c r="J853" s="43"/>
      <c r="K853" s="29"/>
      <c r="L853" s="29"/>
    </row>
    <row r="854" spans="1:12" x14ac:dyDescent="0.25">
      <c r="A854" s="4"/>
      <c r="B854" s="28" t="str">
        <f>IF(ISNUMBER(MATCH(D854, Mgt_Unit!$C$5:$C$1018, 0)), INDEX(Mgt_Unit!$B$5:$B$1018, MATCH(D854, Mgt_Unit!$C$5:$C$1018, 0)), "")</f>
        <v/>
      </c>
      <c r="C854" s="28"/>
      <c r="D854" s="9"/>
      <c r="E854" s="45"/>
      <c r="F854" s="29"/>
      <c r="G854" s="29"/>
      <c r="H854" s="29"/>
      <c r="I854" s="43"/>
      <c r="J854" s="43"/>
      <c r="K854" s="29"/>
      <c r="L854" s="29"/>
    </row>
    <row r="855" spans="1:12" x14ac:dyDescent="0.25">
      <c r="A855" s="4"/>
      <c r="B855" s="28" t="str">
        <f>IF(ISNUMBER(MATCH(D855, Mgt_Unit!$C$5:$C$1018, 0)), INDEX(Mgt_Unit!$B$5:$B$1018, MATCH(D855, Mgt_Unit!$C$5:$C$1018, 0)), "")</f>
        <v/>
      </c>
      <c r="C855" s="28"/>
      <c r="D855" s="9"/>
      <c r="E855" s="45"/>
      <c r="F855" s="29"/>
      <c r="G855" s="29"/>
      <c r="H855" s="29"/>
      <c r="I855" s="43"/>
      <c r="J855" s="43"/>
      <c r="K855" s="29"/>
      <c r="L855" s="29"/>
    </row>
    <row r="856" spans="1:12" x14ac:dyDescent="0.25">
      <c r="A856" s="4"/>
      <c r="B856" s="28" t="str">
        <f>IF(ISNUMBER(MATCH(D856, Mgt_Unit!$C$5:$C$1018, 0)), INDEX(Mgt_Unit!$B$5:$B$1018, MATCH(D856, Mgt_Unit!$C$5:$C$1018, 0)), "")</f>
        <v/>
      </c>
      <c r="C856" s="28"/>
      <c r="D856" s="9"/>
      <c r="E856" s="45"/>
      <c r="F856" s="29"/>
      <c r="G856" s="29"/>
      <c r="H856" s="29"/>
      <c r="I856" s="43"/>
      <c r="J856" s="43"/>
      <c r="K856" s="29"/>
      <c r="L856" s="29"/>
    </row>
    <row r="857" spans="1:12" x14ac:dyDescent="0.25">
      <c r="A857" s="4"/>
      <c r="B857" s="28" t="str">
        <f>IF(ISNUMBER(MATCH(D857, Mgt_Unit!$C$5:$C$1018, 0)), INDEX(Mgt_Unit!$B$5:$B$1018, MATCH(D857, Mgt_Unit!$C$5:$C$1018, 0)), "")</f>
        <v/>
      </c>
      <c r="C857" s="28"/>
      <c r="D857" s="9"/>
      <c r="E857" s="45"/>
      <c r="F857" s="29"/>
      <c r="G857" s="29"/>
      <c r="H857" s="29"/>
      <c r="I857" s="43"/>
      <c r="J857" s="43"/>
      <c r="K857" s="29"/>
      <c r="L857" s="29"/>
    </row>
    <row r="858" spans="1:12" x14ac:dyDescent="0.25">
      <c r="A858" s="4"/>
      <c r="B858" s="28" t="str">
        <f>IF(ISNUMBER(MATCH(D858, Mgt_Unit!$C$5:$C$1018, 0)), INDEX(Mgt_Unit!$B$5:$B$1018, MATCH(D858, Mgt_Unit!$C$5:$C$1018, 0)), "")</f>
        <v/>
      </c>
      <c r="C858" s="28"/>
      <c r="D858" s="9"/>
      <c r="E858" s="45"/>
      <c r="F858" s="29"/>
      <c r="G858" s="29"/>
      <c r="H858" s="29"/>
      <c r="I858" s="43"/>
      <c r="J858" s="43"/>
      <c r="K858" s="29"/>
      <c r="L858" s="29"/>
    </row>
    <row r="859" spans="1:12" x14ac:dyDescent="0.25">
      <c r="A859" s="4"/>
      <c r="B859" s="28" t="str">
        <f>IF(ISNUMBER(MATCH(D859, Mgt_Unit!$C$5:$C$1018, 0)), INDEX(Mgt_Unit!$B$5:$B$1018, MATCH(D859, Mgt_Unit!$C$5:$C$1018, 0)), "")</f>
        <v/>
      </c>
      <c r="C859" s="28"/>
      <c r="D859" s="9"/>
      <c r="E859" s="45"/>
      <c r="F859" s="29"/>
      <c r="G859" s="29"/>
      <c r="H859" s="29"/>
      <c r="I859" s="43"/>
      <c r="J859" s="43"/>
      <c r="K859" s="29"/>
      <c r="L859" s="29"/>
    </row>
    <row r="860" spans="1:12" x14ac:dyDescent="0.25">
      <c r="A860" s="4"/>
      <c r="B860" s="28" t="str">
        <f>IF(ISNUMBER(MATCH(D860, Mgt_Unit!$C$5:$C$1018, 0)), INDEX(Mgt_Unit!$B$5:$B$1018, MATCH(D860, Mgt_Unit!$C$5:$C$1018, 0)), "")</f>
        <v/>
      </c>
      <c r="C860" s="28"/>
      <c r="D860" s="9"/>
      <c r="E860" s="45"/>
      <c r="F860" s="29"/>
      <c r="G860" s="29"/>
      <c r="H860" s="29"/>
      <c r="I860" s="43"/>
      <c r="J860" s="43"/>
      <c r="K860" s="29"/>
      <c r="L860" s="29"/>
    </row>
    <row r="861" spans="1:12" x14ac:dyDescent="0.25">
      <c r="A861" s="4"/>
      <c r="B861" s="28" t="str">
        <f>IF(ISNUMBER(MATCH(D861, Mgt_Unit!$C$5:$C$1018, 0)), INDEX(Mgt_Unit!$B$5:$B$1018, MATCH(D861, Mgt_Unit!$C$5:$C$1018, 0)), "")</f>
        <v/>
      </c>
      <c r="C861" s="28"/>
      <c r="D861" s="9"/>
      <c r="E861" s="45"/>
      <c r="F861" s="29"/>
      <c r="G861" s="29"/>
      <c r="H861" s="29"/>
      <c r="I861" s="43"/>
      <c r="J861" s="43"/>
      <c r="K861" s="29"/>
      <c r="L861" s="29"/>
    </row>
    <row r="862" spans="1:12" x14ac:dyDescent="0.25">
      <c r="A862" s="4"/>
      <c r="B862" s="28" t="str">
        <f>IF(ISNUMBER(MATCH(D862, Mgt_Unit!$C$5:$C$1018, 0)), INDEX(Mgt_Unit!$B$5:$B$1018, MATCH(D862, Mgt_Unit!$C$5:$C$1018, 0)), "")</f>
        <v/>
      </c>
      <c r="C862" s="28"/>
      <c r="D862" s="9"/>
      <c r="E862" s="45"/>
      <c r="F862" s="29"/>
      <c r="G862" s="29"/>
      <c r="H862" s="29"/>
      <c r="I862" s="43"/>
      <c r="J862" s="43"/>
      <c r="K862" s="29"/>
      <c r="L862" s="29"/>
    </row>
    <row r="863" spans="1:12" x14ac:dyDescent="0.25">
      <c r="A863" s="4"/>
      <c r="B863" s="28" t="str">
        <f>IF(ISNUMBER(MATCH(D863, Mgt_Unit!$C$5:$C$1018, 0)), INDEX(Mgt_Unit!$B$5:$B$1018, MATCH(D863, Mgt_Unit!$C$5:$C$1018, 0)), "")</f>
        <v/>
      </c>
      <c r="C863" s="28"/>
      <c r="D863" s="9"/>
      <c r="E863" s="45"/>
      <c r="F863" s="29"/>
      <c r="G863" s="29"/>
      <c r="H863" s="29"/>
      <c r="I863" s="43"/>
      <c r="J863" s="43"/>
      <c r="K863" s="29"/>
      <c r="L863" s="29"/>
    </row>
    <row r="864" spans="1:12" x14ac:dyDescent="0.25">
      <c r="A864" s="4"/>
      <c r="B864" s="28" t="str">
        <f>IF(ISNUMBER(MATCH(D864, Mgt_Unit!$C$5:$C$1018, 0)), INDEX(Mgt_Unit!$B$5:$B$1018, MATCH(D864, Mgt_Unit!$C$5:$C$1018, 0)), "")</f>
        <v/>
      </c>
      <c r="C864" s="28"/>
      <c r="D864" s="9"/>
      <c r="E864" s="45"/>
      <c r="F864" s="29"/>
      <c r="G864" s="29"/>
      <c r="H864" s="29"/>
      <c r="I864" s="43"/>
      <c r="J864" s="43"/>
      <c r="K864" s="29"/>
      <c r="L864" s="29"/>
    </row>
    <row r="865" spans="1:12" x14ac:dyDescent="0.25">
      <c r="A865" s="4"/>
      <c r="B865" s="28" t="str">
        <f>IF(ISNUMBER(MATCH(D865, Mgt_Unit!$C$5:$C$1018, 0)), INDEX(Mgt_Unit!$B$5:$B$1018, MATCH(D865, Mgt_Unit!$C$5:$C$1018, 0)), "")</f>
        <v/>
      </c>
      <c r="C865" s="28"/>
      <c r="D865" s="9"/>
      <c r="E865" s="45"/>
      <c r="F865" s="29"/>
      <c r="G865" s="29"/>
      <c r="H865" s="29"/>
      <c r="I865" s="43"/>
      <c r="J865" s="43"/>
      <c r="K865" s="29"/>
      <c r="L865" s="29"/>
    </row>
    <row r="866" spans="1:12" x14ac:dyDescent="0.25">
      <c r="A866" s="4"/>
      <c r="B866" s="28" t="str">
        <f>IF(ISNUMBER(MATCH(D866, Mgt_Unit!$C$5:$C$1018, 0)), INDEX(Mgt_Unit!$B$5:$B$1018, MATCH(D866, Mgt_Unit!$C$5:$C$1018, 0)), "")</f>
        <v/>
      </c>
      <c r="C866" s="28"/>
      <c r="D866" s="9"/>
      <c r="E866" s="45"/>
      <c r="F866" s="29"/>
      <c r="G866" s="29"/>
      <c r="H866" s="29"/>
      <c r="I866" s="43"/>
      <c r="J866" s="43"/>
      <c r="K866" s="29"/>
      <c r="L866" s="29"/>
    </row>
    <row r="867" spans="1:12" x14ac:dyDescent="0.25">
      <c r="A867" s="4"/>
      <c r="B867" s="28" t="str">
        <f>IF(ISNUMBER(MATCH(D867, Mgt_Unit!$C$5:$C$1018, 0)), INDEX(Mgt_Unit!$B$5:$B$1018, MATCH(D867, Mgt_Unit!$C$5:$C$1018, 0)), "")</f>
        <v/>
      </c>
      <c r="C867" s="28"/>
      <c r="D867" s="9"/>
      <c r="E867" s="45"/>
      <c r="F867" s="29"/>
      <c r="G867" s="29"/>
      <c r="H867" s="29"/>
      <c r="I867" s="43"/>
      <c r="J867" s="43"/>
      <c r="K867" s="29"/>
      <c r="L867" s="29"/>
    </row>
    <row r="868" spans="1:12" x14ac:dyDescent="0.25">
      <c r="A868" s="4"/>
      <c r="B868" s="28" t="str">
        <f>IF(ISNUMBER(MATCH(D868, Mgt_Unit!$C$5:$C$1018, 0)), INDEX(Mgt_Unit!$B$5:$B$1018, MATCH(D868, Mgt_Unit!$C$5:$C$1018, 0)), "")</f>
        <v/>
      </c>
      <c r="C868" s="28"/>
      <c r="D868" s="9"/>
      <c r="E868" s="45"/>
      <c r="F868" s="29"/>
      <c r="G868" s="29"/>
      <c r="H868" s="29"/>
      <c r="I868" s="43"/>
      <c r="J868" s="43"/>
      <c r="K868" s="29"/>
      <c r="L868" s="29"/>
    </row>
    <row r="869" spans="1:12" x14ac:dyDescent="0.25">
      <c r="A869" s="4"/>
      <c r="B869" s="28" t="str">
        <f>IF(ISNUMBER(MATCH(D869, Mgt_Unit!$C$5:$C$1018, 0)), INDEX(Mgt_Unit!$B$5:$B$1018, MATCH(D869, Mgt_Unit!$C$5:$C$1018, 0)), "")</f>
        <v/>
      </c>
      <c r="C869" s="28"/>
      <c r="D869" s="9"/>
      <c r="E869" s="45"/>
      <c r="F869" s="29"/>
      <c r="G869" s="29"/>
      <c r="H869" s="29"/>
      <c r="I869" s="43"/>
      <c r="J869" s="43"/>
      <c r="K869" s="29"/>
      <c r="L869" s="29"/>
    </row>
    <row r="870" spans="1:12" x14ac:dyDescent="0.25">
      <c r="A870" s="4"/>
      <c r="B870" s="28" t="str">
        <f>IF(ISNUMBER(MATCH(D870, Mgt_Unit!$C$5:$C$1018, 0)), INDEX(Mgt_Unit!$B$5:$B$1018, MATCH(D870, Mgt_Unit!$C$5:$C$1018, 0)), "")</f>
        <v/>
      </c>
      <c r="C870" s="28"/>
      <c r="D870" s="9"/>
      <c r="E870" s="45"/>
      <c r="F870" s="29"/>
      <c r="G870" s="29"/>
      <c r="H870" s="29"/>
      <c r="I870" s="43"/>
      <c r="J870" s="43"/>
      <c r="K870" s="29"/>
      <c r="L870" s="29"/>
    </row>
    <row r="871" spans="1:12" x14ac:dyDescent="0.25">
      <c r="A871" s="4"/>
      <c r="B871" s="28" t="str">
        <f>IF(ISNUMBER(MATCH(D871, Mgt_Unit!$C$5:$C$1018, 0)), INDEX(Mgt_Unit!$B$5:$B$1018, MATCH(D871, Mgt_Unit!$C$5:$C$1018, 0)), "")</f>
        <v/>
      </c>
      <c r="C871" s="28"/>
      <c r="D871" s="9"/>
      <c r="E871" s="45"/>
      <c r="F871" s="29"/>
      <c r="G871" s="29"/>
      <c r="H871" s="29"/>
      <c r="I871" s="43"/>
      <c r="J871" s="43"/>
      <c r="K871" s="29"/>
      <c r="L871" s="29"/>
    </row>
    <row r="872" spans="1:12" x14ac:dyDescent="0.25">
      <c r="A872" s="4"/>
      <c r="B872" s="28" t="str">
        <f>IF(ISNUMBER(MATCH(D872, Mgt_Unit!$C$5:$C$1018, 0)), INDEX(Mgt_Unit!$B$5:$B$1018, MATCH(D872, Mgt_Unit!$C$5:$C$1018, 0)), "")</f>
        <v/>
      </c>
      <c r="C872" s="28"/>
      <c r="D872" s="9"/>
      <c r="E872" s="45"/>
      <c r="F872" s="29"/>
      <c r="G872" s="29"/>
      <c r="H872" s="29"/>
      <c r="I872" s="43"/>
      <c r="J872" s="43"/>
      <c r="K872" s="29"/>
      <c r="L872" s="29"/>
    </row>
    <row r="873" spans="1:12" x14ac:dyDescent="0.25">
      <c r="A873" s="4"/>
      <c r="B873" s="28" t="str">
        <f>IF(ISNUMBER(MATCH(D873, Mgt_Unit!$C$5:$C$1018, 0)), INDEX(Mgt_Unit!$B$5:$B$1018, MATCH(D873, Mgt_Unit!$C$5:$C$1018, 0)), "")</f>
        <v/>
      </c>
      <c r="C873" s="28"/>
      <c r="D873" s="9"/>
      <c r="E873" s="45"/>
      <c r="F873" s="29"/>
      <c r="G873" s="29"/>
      <c r="H873" s="29"/>
      <c r="I873" s="43"/>
      <c r="J873" s="43"/>
      <c r="K873" s="29"/>
      <c r="L873" s="29"/>
    </row>
    <row r="874" spans="1:12" x14ac:dyDescent="0.25">
      <c r="A874" s="4"/>
      <c r="B874" s="28" t="str">
        <f>IF(ISNUMBER(MATCH(D874, Mgt_Unit!$C$5:$C$1018, 0)), INDEX(Mgt_Unit!$B$5:$B$1018, MATCH(D874, Mgt_Unit!$C$5:$C$1018, 0)), "")</f>
        <v/>
      </c>
      <c r="C874" s="28"/>
      <c r="D874" s="9"/>
      <c r="E874" s="45"/>
      <c r="F874" s="29"/>
      <c r="G874" s="29"/>
      <c r="H874" s="29"/>
      <c r="I874" s="43"/>
      <c r="J874" s="43"/>
      <c r="K874" s="29"/>
      <c r="L874" s="29"/>
    </row>
    <row r="875" spans="1:12" x14ac:dyDescent="0.25">
      <c r="A875" s="4"/>
      <c r="B875" s="28" t="str">
        <f>IF(ISNUMBER(MATCH(D875, Mgt_Unit!$C$5:$C$1018, 0)), INDEX(Mgt_Unit!$B$5:$B$1018, MATCH(D875, Mgt_Unit!$C$5:$C$1018, 0)), "")</f>
        <v/>
      </c>
      <c r="C875" s="28"/>
      <c r="D875" s="9"/>
      <c r="E875" s="45"/>
      <c r="F875" s="29"/>
      <c r="G875" s="29"/>
      <c r="H875" s="29"/>
      <c r="I875" s="43"/>
      <c r="J875" s="43"/>
      <c r="K875" s="29"/>
      <c r="L875" s="29"/>
    </row>
    <row r="876" spans="1:12" x14ac:dyDescent="0.25">
      <c r="A876" s="4"/>
      <c r="B876" s="28" t="str">
        <f>IF(ISNUMBER(MATCH(D876, Mgt_Unit!$C$5:$C$1018, 0)), INDEX(Mgt_Unit!$B$5:$B$1018, MATCH(D876, Mgt_Unit!$C$5:$C$1018, 0)), "")</f>
        <v/>
      </c>
      <c r="C876" s="28"/>
      <c r="D876" s="9"/>
      <c r="E876" s="45"/>
      <c r="F876" s="29"/>
      <c r="G876" s="29"/>
      <c r="H876" s="29"/>
      <c r="I876" s="43"/>
      <c r="J876" s="43"/>
      <c r="K876" s="29"/>
      <c r="L876" s="29"/>
    </row>
    <row r="877" spans="1:12" x14ac:dyDescent="0.25">
      <c r="A877" s="4"/>
      <c r="B877" s="28" t="str">
        <f>IF(ISNUMBER(MATCH(D877, Mgt_Unit!$C$5:$C$1018, 0)), INDEX(Mgt_Unit!$B$5:$B$1018, MATCH(D877, Mgt_Unit!$C$5:$C$1018, 0)), "")</f>
        <v/>
      </c>
      <c r="C877" s="28"/>
      <c r="D877" s="9"/>
      <c r="E877" s="45"/>
      <c r="F877" s="29"/>
      <c r="G877" s="29"/>
      <c r="H877" s="29"/>
      <c r="I877" s="43"/>
      <c r="J877" s="43"/>
      <c r="K877" s="29"/>
      <c r="L877" s="29"/>
    </row>
    <row r="878" spans="1:12" x14ac:dyDescent="0.25">
      <c r="A878" s="4"/>
      <c r="B878" s="28" t="str">
        <f>IF(ISNUMBER(MATCH(D878, Mgt_Unit!$C$5:$C$1018, 0)), INDEX(Mgt_Unit!$B$5:$B$1018, MATCH(D878, Mgt_Unit!$C$5:$C$1018, 0)), "")</f>
        <v/>
      </c>
      <c r="C878" s="28"/>
      <c r="D878" s="9"/>
      <c r="E878" s="45"/>
      <c r="F878" s="29"/>
      <c r="G878" s="29"/>
      <c r="H878" s="29"/>
      <c r="I878" s="43"/>
      <c r="J878" s="43"/>
      <c r="K878" s="29"/>
      <c r="L878" s="29"/>
    </row>
    <row r="879" spans="1:12" x14ac:dyDescent="0.25">
      <c r="A879" s="4"/>
      <c r="B879" s="28" t="str">
        <f>IF(ISNUMBER(MATCH(D879, Mgt_Unit!$C$5:$C$1018, 0)), INDEX(Mgt_Unit!$B$5:$B$1018, MATCH(D879, Mgt_Unit!$C$5:$C$1018, 0)), "")</f>
        <v/>
      </c>
      <c r="C879" s="28"/>
      <c r="D879" s="9"/>
      <c r="E879" s="45"/>
      <c r="F879" s="29"/>
      <c r="G879" s="29"/>
      <c r="H879" s="29"/>
      <c r="I879" s="43"/>
      <c r="J879" s="43"/>
      <c r="K879" s="29"/>
      <c r="L879" s="29"/>
    </row>
    <row r="880" spans="1:12" x14ac:dyDescent="0.25">
      <c r="A880" s="4"/>
      <c r="B880" s="28" t="str">
        <f>IF(ISNUMBER(MATCH(D880, Mgt_Unit!$C$5:$C$1018, 0)), INDEX(Mgt_Unit!$B$5:$B$1018, MATCH(D880, Mgt_Unit!$C$5:$C$1018, 0)), "")</f>
        <v/>
      </c>
      <c r="C880" s="28"/>
      <c r="D880" s="9"/>
      <c r="E880" s="45"/>
      <c r="F880" s="29"/>
      <c r="G880" s="29"/>
      <c r="H880" s="29"/>
      <c r="I880" s="43"/>
      <c r="J880" s="43"/>
      <c r="K880" s="29"/>
      <c r="L880" s="29"/>
    </row>
    <row r="881" spans="1:12" x14ac:dyDescent="0.25">
      <c r="A881" s="4"/>
      <c r="B881" s="28" t="str">
        <f>IF(ISNUMBER(MATCH(D881, Mgt_Unit!$C$5:$C$1018, 0)), INDEX(Mgt_Unit!$B$5:$B$1018, MATCH(D881, Mgt_Unit!$C$5:$C$1018, 0)), "")</f>
        <v/>
      </c>
      <c r="C881" s="28"/>
      <c r="D881" s="9"/>
      <c r="E881" s="45"/>
      <c r="F881" s="29"/>
      <c r="G881" s="29"/>
      <c r="H881" s="29"/>
      <c r="I881" s="43"/>
      <c r="J881" s="43"/>
      <c r="K881" s="29"/>
      <c r="L881" s="29"/>
    </row>
    <row r="882" spans="1:12" x14ac:dyDescent="0.25">
      <c r="A882" s="4"/>
      <c r="B882" s="28" t="str">
        <f>IF(ISNUMBER(MATCH(D882, Mgt_Unit!$C$5:$C$1018, 0)), INDEX(Mgt_Unit!$B$5:$B$1018, MATCH(D882, Mgt_Unit!$C$5:$C$1018, 0)), "")</f>
        <v/>
      </c>
      <c r="C882" s="28"/>
      <c r="D882" s="9"/>
      <c r="E882" s="45"/>
      <c r="F882" s="29"/>
      <c r="G882" s="29"/>
      <c r="H882" s="29"/>
      <c r="I882" s="43"/>
      <c r="J882" s="43"/>
      <c r="K882" s="29"/>
      <c r="L882" s="29"/>
    </row>
    <row r="883" spans="1:12" x14ac:dyDescent="0.25">
      <c r="A883" s="4"/>
      <c r="B883" s="28" t="str">
        <f>IF(ISNUMBER(MATCH(D883, Mgt_Unit!$C$5:$C$1018, 0)), INDEX(Mgt_Unit!$B$5:$B$1018, MATCH(D883, Mgt_Unit!$C$5:$C$1018, 0)), "")</f>
        <v/>
      </c>
      <c r="C883" s="28"/>
      <c r="D883" s="9"/>
      <c r="E883" s="45"/>
      <c r="F883" s="29"/>
      <c r="G883" s="29"/>
      <c r="H883" s="29"/>
      <c r="I883" s="43"/>
      <c r="J883" s="43"/>
      <c r="K883" s="29"/>
      <c r="L883" s="29"/>
    </row>
    <row r="884" spans="1:12" x14ac:dyDescent="0.25">
      <c r="A884" s="4"/>
      <c r="B884" s="28" t="str">
        <f>IF(ISNUMBER(MATCH(D884, Mgt_Unit!$C$5:$C$1018, 0)), INDEX(Mgt_Unit!$B$5:$B$1018, MATCH(D884, Mgt_Unit!$C$5:$C$1018, 0)), "")</f>
        <v/>
      </c>
      <c r="C884" s="28"/>
      <c r="D884" s="9"/>
      <c r="E884" s="45"/>
      <c r="F884" s="29"/>
      <c r="G884" s="29"/>
      <c r="H884" s="29"/>
      <c r="I884" s="43"/>
      <c r="J884" s="43"/>
      <c r="K884" s="29"/>
      <c r="L884" s="29"/>
    </row>
    <row r="885" spans="1:12" x14ac:dyDescent="0.25">
      <c r="A885" s="4"/>
      <c r="B885" s="28" t="str">
        <f>IF(ISNUMBER(MATCH(D885, Mgt_Unit!$C$5:$C$1018, 0)), INDEX(Mgt_Unit!$B$5:$B$1018, MATCH(D885, Mgt_Unit!$C$5:$C$1018, 0)), "")</f>
        <v/>
      </c>
      <c r="C885" s="28"/>
      <c r="D885" s="9"/>
      <c r="E885" s="45"/>
      <c r="F885" s="29"/>
      <c r="G885" s="29"/>
      <c r="H885" s="29"/>
      <c r="I885" s="43"/>
      <c r="J885" s="43"/>
      <c r="K885" s="29"/>
      <c r="L885" s="29"/>
    </row>
    <row r="886" spans="1:12" x14ac:dyDescent="0.25">
      <c r="A886" s="4"/>
      <c r="B886" s="28" t="str">
        <f>IF(ISNUMBER(MATCH(D886, Mgt_Unit!$C$5:$C$1018, 0)), INDEX(Mgt_Unit!$B$5:$B$1018, MATCH(D886, Mgt_Unit!$C$5:$C$1018, 0)), "")</f>
        <v/>
      </c>
      <c r="C886" s="28"/>
      <c r="D886" s="9"/>
      <c r="E886" s="45"/>
      <c r="F886" s="29"/>
      <c r="G886" s="29"/>
      <c r="H886" s="29"/>
      <c r="I886" s="43"/>
      <c r="J886" s="43"/>
      <c r="K886" s="29"/>
      <c r="L886" s="29"/>
    </row>
    <row r="887" spans="1:12" x14ac:dyDescent="0.25">
      <c r="A887" s="4"/>
      <c r="B887" s="28" t="str">
        <f>IF(ISNUMBER(MATCH(D887, Mgt_Unit!$C$5:$C$1018, 0)), INDEX(Mgt_Unit!$B$5:$B$1018, MATCH(D887, Mgt_Unit!$C$5:$C$1018, 0)), "")</f>
        <v/>
      </c>
      <c r="C887" s="28"/>
      <c r="D887" s="9"/>
      <c r="E887" s="45"/>
      <c r="F887" s="29"/>
      <c r="G887" s="29"/>
      <c r="H887" s="29"/>
      <c r="I887" s="43"/>
      <c r="J887" s="43"/>
      <c r="K887" s="29"/>
      <c r="L887" s="29"/>
    </row>
    <row r="888" spans="1:12" x14ac:dyDescent="0.25">
      <c r="A888" s="4"/>
      <c r="B888" s="28" t="str">
        <f>IF(ISNUMBER(MATCH(D888, Mgt_Unit!$C$5:$C$1018, 0)), INDEX(Mgt_Unit!$B$5:$B$1018, MATCH(D888, Mgt_Unit!$C$5:$C$1018, 0)), "")</f>
        <v/>
      </c>
      <c r="C888" s="28"/>
      <c r="D888" s="9"/>
      <c r="E888" s="45"/>
      <c r="F888" s="29"/>
      <c r="G888" s="29"/>
      <c r="H888" s="29"/>
      <c r="I888" s="43"/>
      <c r="J888" s="43"/>
      <c r="K888" s="29"/>
      <c r="L888" s="29"/>
    </row>
    <row r="889" spans="1:12" x14ac:dyDescent="0.25">
      <c r="A889" s="4"/>
      <c r="B889" s="28" t="str">
        <f>IF(ISNUMBER(MATCH(D889, Mgt_Unit!$C$5:$C$1018, 0)), INDEX(Mgt_Unit!$B$5:$B$1018, MATCH(D889, Mgt_Unit!$C$5:$C$1018, 0)), "")</f>
        <v/>
      </c>
      <c r="C889" s="28"/>
      <c r="D889" s="9"/>
      <c r="E889" s="45"/>
      <c r="F889" s="29"/>
      <c r="G889" s="29"/>
      <c r="H889" s="29"/>
      <c r="I889" s="43"/>
      <c r="J889" s="43"/>
      <c r="K889" s="29"/>
      <c r="L889" s="29"/>
    </row>
    <row r="890" spans="1:12" x14ac:dyDescent="0.25">
      <c r="A890" s="4"/>
      <c r="B890" s="28" t="str">
        <f>IF(ISNUMBER(MATCH(D890, Mgt_Unit!$C$5:$C$1018, 0)), INDEX(Mgt_Unit!$B$5:$B$1018, MATCH(D890, Mgt_Unit!$C$5:$C$1018, 0)), "")</f>
        <v/>
      </c>
      <c r="C890" s="28"/>
      <c r="D890" s="9"/>
      <c r="E890" s="45"/>
      <c r="F890" s="29"/>
      <c r="G890" s="29"/>
      <c r="H890" s="29"/>
      <c r="I890" s="43"/>
      <c r="J890" s="43"/>
      <c r="K890" s="29"/>
      <c r="L890" s="29"/>
    </row>
    <row r="891" spans="1:12" x14ac:dyDescent="0.25">
      <c r="A891" s="4"/>
      <c r="B891" s="28" t="str">
        <f>IF(ISNUMBER(MATCH(D891, Mgt_Unit!$C$5:$C$1018, 0)), INDEX(Mgt_Unit!$B$5:$B$1018, MATCH(D891, Mgt_Unit!$C$5:$C$1018, 0)), "")</f>
        <v/>
      </c>
      <c r="C891" s="28"/>
      <c r="D891" s="9"/>
      <c r="E891" s="45"/>
      <c r="F891" s="29"/>
      <c r="G891" s="29"/>
      <c r="H891" s="29"/>
      <c r="I891" s="43"/>
      <c r="J891" s="43"/>
      <c r="K891" s="29"/>
      <c r="L891" s="29"/>
    </row>
    <row r="892" spans="1:12" x14ac:dyDescent="0.25">
      <c r="A892" s="4"/>
      <c r="B892" s="28" t="str">
        <f>IF(ISNUMBER(MATCH(D892, Mgt_Unit!$C$5:$C$1018, 0)), INDEX(Mgt_Unit!$B$5:$B$1018, MATCH(D892, Mgt_Unit!$C$5:$C$1018, 0)), "")</f>
        <v/>
      </c>
      <c r="C892" s="28"/>
      <c r="D892" s="9"/>
      <c r="E892" s="45"/>
      <c r="F892" s="29"/>
      <c r="G892" s="29"/>
      <c r="H892" s="29"/>
      <c r="I892" s="43"/>
      <c r="J892" s="43"/>
      <c r="K892" s="29"/>
      <c r="L892" s="29"/>
    </row>
    <row r="893" spans="1:12" x14ac:dyDescent="0.25">
      <c r="A893" s="4"/>
      <c r="B893" s="28" t="str">
        <f>IF(ISNUMBER(MATCH(D893, Mgt_Unit!$C$5:$C$1018, 0)), INDEX(Mgt_Unit!$B$5:$B$1018, MATCH(D893, Mgt_Unit!$C$5:$C$1018, 0)), "")</f>
        <v/>
      </c>
      <c r="C893" s="28"/>
      <c r="D893" s="9"/>
      <c r="E893" s="45"/>
      <c r="F893" s="29"/>
      <c r="G893" s="29"/>
      <c r="H893" s="29"/>
      <c r="I893" s="43"/>
      <c r="J893" s="43"/>
      <c r="K893" s="29"/>
      <c r="L893" s="29"/>
    </row>
    <row r="894" spans="1:12" x14ac:dyDescent="0.25">
      <c r="A894" s="4"/>
      <c r="B894" s="28" t="str">
        <f>IF(ISNUMBER(MATCH(D894, Mgt_Unit!$C$5:$C$1018, 0)), INDEX(Mgt_Unit!$B$5:$B$1018, MATCH(D894, Mgt_Unit!$C$5:$C$1018, 0)), "")</f>
        <v/>
      </c>
      <c r="C894" s="28"/>
      <c r="D894" s="9"/>
      <c r="E894" s="45"/>
      <c r="F894" s="29"/>
      <c r="G894" s="29"/>
      <c r="H894" s="29"/>
      <c r="I894" s="43"/>
      <c r="J894" s="43"/>
      <c r="K894" s="29"/>
      <c r="L894" s="29"/>
    </row>
    <row r="895" spans="1:12" x14ac:dyDescent="0.25">
      <c r="A895" s="4"/>
      <c r="B895" s="28" t="str">
        <f>IF(ISNUMBER(MATCH(D895, Mgt_Unit!$C$5:$C$1018, 0)), INDEX(Mgt_Unit!$B$5:$B$1018, MATCH(D895, Mgt_Unit!$C$5:$C$1018, 0)), "")</f>
        <v/>
      </c>
      <c r="C895" s="28"/>
      <c r="D895" s="9"/>
      <c r="E895" s="45"/>
      <c r="F895" s="29"/>
      <c r="G895" s="29"/>
      <c r="H895" s="29"/>
      <c r="I895" s="43"/>
      <c r="J895" s="43"/>
      <c r="K895" s="29"/>
      <c r="L895" s="29"/>
    </row>
    <row r="896" spans="1:12" x14ac:dyDescent="0.25">
      <c r="A896" s="4"/>
      <c r="B896" s="28" t="str">
        <f>IF(ISNUMBER(MATCH(D896, Mgt_Unit!$C$5:$C$1018, 0)), INDEX(Mgt_Unit!$B$5:$B$1018, MATCH(D896, Mgt_Unit!$C$5:$C$1018, 0)), "")</f>
        <v/>
      </c>
      <c r="C896" s="28"/>
      <c r="D896" s="9"/>
      <c r="E896" s="45"/>
      <c r="F896" s="29"/>
      <c r="G896" s="29"/>
      <c r="H896" s="29"/>
      <c r="I896" s="43"/>
      <c r="J896" s="43"/>
      <c r="K896" s="29"/>
      <c r="L896" s="29"/>
    </row>
    <row r="897" spans="1:12" x14ac:dyDescent="0.25">
      <c r="A897" s="4"/>
      <c r="B897" s="28" t="str">
        <f>IF(ISNUMBER(MATCH(D897, Mgt_Unit!$C$5:$C$1018, 0)), INDEX(Mgt_Unit!$B$5:$B$1018, MATCH(D897, Mgt_Unit!$C$5:$C$1018, 0)), "")</f>
        <v/>
      </c>
      <c r="C897" s="28"/>
      <c r="D897" s="9"/>
      <c r="E897" s="45"/>
      <c r="F897" s="29"/>
      <c r="G897" s="29"/>
      <c r="H897" s="29"/>
      <c r="I897" s="43"/>
      <c r="J897" s="43"/>
      <c r="K897" s="29"/>
      <c r="L897" s="29"/>
    </row>
    <row r="898" spans="1:12" x14ac:dyDescent="0.25">
      <c r="A898" s="4"/>
      <c r="B898" s="28" t="str">
        <f>IF(ISNUMBER(MATCH(D898, Mgt_Unit!$C$5:$C$1018, 0)), INDEX(Mgt_Unit!$B$5:$B$1018, MATCH(D898, Mgt_Unit!$C$5:$C$1018, 0)), "")</f>
        <v/>
      </c>
      <c r="C898" s="28"/>
      <c r="D898" s="9"/>
      <c r="E898" s="45"/>
      <c r="F898" s="29"/>
      <c r="G898" s="29"/>
      <c r="H898" s="29"/>
      <c r="I898" s="43"/>
      <c r="J898" s="43"/>
      <c r="K898" s="29"/>
      <c r="L898" s="29"/>
    </row>
    <row r="899" spans="1:12" x14ac:dyDescent="0.25">
      <c r="A899" s="4"/>
      <c r="B899" s="28" t="str">
        <f>IF(ISNUMBER(MATCH(D899, Mgt_Unit!$C$5:$C$1018, 0)), INDEX(Mgt_Unit!$B$5:$B$1018, MATCH(D899, Mgt_Unit!$C$5:$C$1018, 0)), "")</f>
        <v/>
      </c>
      <c r="C899" s="28"/>
      <c r="D899" s="9"/>
      <c r="E899" s="45"/>
      <c r="F899" s="29"/>
      <c r="G899" s="29"/>
      <c r="H899" s="29"/>
      <c r="I899" s="43"/>
      <c r="J899" s="43"/>
      <c r="K899" s="29"/>
      <c r="L899" s="29"/>
    </row>
    <row r="900" spans="1:12" x14ac:dyDescent="0.25">
      <c r="A900" s="4"/>
      <c r="B900" s="28" t="str">
        <f>IF(ISNUMBER(MATCH(D900, Mgt_Unit!$C$5:$C$1018, 0)), INDEX(Mgt_Unit!$B$5:$B$1018, MATCH(D900, Mgt_Unit!$C$5:$C$1018, 0)), "")</f>
        <v/>
      </c>
      <c r="C900" s="28"/>
      <c r="D900" s="9"/>
      <c r="E900" s="45"/>
      <c r="F900" s="29"/>
      <c r="G900" s="29"/>
      <c r="H900" s="29"/>
      <c r="I900" s="43"/>
      <c r="J900" s="43"/>
      <c r="K900" s="29"/>
      <c r="L900" s="29"/>
    </row>
    <row r="901" spans="1:12" x14ac:dyDescent="0.25">
      <c r="A901" s="4"/>
      <c r="B901" s="28" t="str">
        <f>IF(ISNUMBER(MATCH(D901, Mgt_Unit!$C$5:$C$1018, 0)), INDEX(Mgt_Unit!$B$5:$B$1018, MATCH(D901, Mgt_Unit!$C$5:$C$1018, 0)), "")</f>
        <v/>
      </c>
      <c r="C901" s="28"/>
      <c r="D901" s="9"/>
      <c r="E901" s="45"/>
      <c r="F901" s="29"/>
      <c r="G901" s="29"/>
      <c r="H901" s="29"/>
      <c r="I901" s="43"/>
      <c r="J901" s="43"/>
      <c r="K901" s="29"/>
      <c r="L901" s="29"/>
    </row>
    <row r="902" spans="1:12" x14ac:dyDescent="0.25">
      <c r="A902" s="4"/>
      <c r="B902" s="28" t="str">
        <f>IF(ISNUMBER(MATCH(D902, Mgt_Unit!$C$5:$C$1018, 0)), INDEX(Mgt_Unit!$B$5:$B$1018, MATCH(D902, Mgt_Unit!$C$5:$C$1018, 0)), "")</f>
        <v/>
      </c>
      <c r="C902" s="28"/>
      <c r="D902" s="9"/>
      <c r="E902" s="45"/>
      <c r="F902" s="29"/>
      <c r="G902" s="29"/>
      <c r="H902" s="29"/>
      <c r="I902" s="43"/>
      <c r="J902" s="43"/>
      <c r="K902" s="29"/>
      <c r="L902" s="29"/>
    </row>
    <row r="903" spans="1:12" x14ac:dyDescent="0.25">
      <c r="A903" s="4"/>
      <c r="B903" s="28" t="str">
        <f>IF(ISNUMBER(MATCH(D903, Mgt_Unit!$C$5:$C$1018, 0)), INDEX(Mgt_Unit!$B$5:$B$1018, MATCH(D903, Mgt_Unit!$C$5:$C$1018, 0)), "")</f>
        <v/>
      </c>
      <c r="C903" s="28"/>
      <c r="D903" s="9"/>
      <c r="E903" s="45"/>
      <c r="F903" s="29"/>
      <c r="G903" s="29"/>
      <c r="H903" s="29"/>
      <c r="I903" s="43"/>
      <c r="J903" s="43"/>
      <c r="K903" s="29"/>
      <c r="L903" s="29"/>
    </row>
    <row r="904" spans="1:12" x14ac:dyDescent="0.25">
      <c r="A904" s="4"/>
      <c r="B904" s="28" t="str">
        <f>IF(ISNUMBER(MATCH(D904, Mgt_Unit!$C$5:$C$1018, 0)), INDEX(Mgt_Unit!$B$5:$B$1018, MATCH(D904, Mgt_Unit!$C$5:$C$1018, 0)), "")</f>
        <v/>
      </c>
      <c r="C904" s="28"/>
      <c r="D904" s="9"/>
      <c r="E904" s="45"/>
      <c r="F904" s="29"/>
      <c r="G904" s="29"/>
      <c r="H904" s="29"/>
      <c r="I904" s="43"/>
      <c r="J904" s="43"/>
      <c r="K904" s="29"/>
      <c r="L904" s="29"/>
    </row>
    <row r="905" spans="1:12" x14ac:dyDescent="0.25">
      <c r="A905" s="4"/>
      <c r="B905" s="28" t="str">
        <f>IF(ISNUMBER(MATCH(D905, Mgt_Unit!$C$5:$C$1018, 0)), INDEX(Mgt_Unit!$B$5:$B$1018, MATCH(D905, Mgt_Unit!$C$5:$C$1018, 0)), "")</f>
        <v/>
      </c>
      <c r="C905" s="28"/>
      <c r="D905" s="9"/>
      <c r="E905" s="45"/>
      <c r="F905" s="29"/>
      <c r="G905" s="29"/>
      <c r="H905" s="29"/>
      <c r="I905" s="43"/>
      <c r="J905" s="43"/>
      <c r="K905" s="29"/>
      <c r="L905" s="29"/>
    </row>
    <row r="906" spans="1:12" x14ac:dyDescent="0.25">
      <c r="A906" s="4"/>
      <c r="B906" s="28" t="str">
        <f>IF(ISNUMBER(MATCH(D906, Mgt_Unit!$C$5:$C$1018, 0)), INDEX(Mgt_Unit!$B$5:$B$1018, MATCH(D906, Mgt_Unit!$C$5:$C$1018, 0)), "")</f>
        <v/>
      </c>
      <c r="C906" s="28"/>
      <c r="D906" s="9"/>
      <c r="E906" s="45"/>
      <c r="F906" s="29"/>
      <c r="G906" s="29"/>
      <c r="H906" s="29"/>
      <c r="I906" s="43"/>
      <c r="J906" s="43"/>
      <c r="K906" s="29"/>
      <c r="L906" s="29"/>
    </row>
    <row r="907" spans="1:12" x14ac:dyDescent="0.25">
      <c r="A907" s="4"/>
      <c r="B907" s="28" t="str">
        <f>IF(ISNUMBER(MATCH(D907, Mgt_Unit!$C$5:$C$1018, 0)), INDEX(Mgt_Unit!$B$5:$B$1018, MATCH(D907, Mgt_Unit!$C$5:$C$1018, 0)), "")</f>
        <v/>
      </c>
      <c r="C907" s="28"/>
      <c r="D907" s="9"/>
      <c r="E907" s="45"/>
      <c r="F907" s="29"/>
      <c r="G907" s="29"/>
      <c r="H907" s="29"/>
      <c r="I907" s="43"/>
      <c r="J907" s="43"/>
      <c r="K907" s="29"/>
      <c r="L907" s="29"/>
    </row>
    <row r="908" spans="1:12" x14ac:dyDescent="0.25">
      <c r="A908" s="4"/>
      <c r="B908" s="28" t="str">
        <f>IF(ISNUMBER(MATCH(D908, Mgt_Unit!$C$5:$C$1018, 0)), INDEX(Mgt_Unit!$B$5:$B$1018, MATCH(D908, Mgt_Unit!$C$5:$C$1018, 0)), "")</f>
        <v/>
      </c>
      <c r="C908" s="28"/>
      <c r="D908" s="9"/>
      <c r="E908" s="45"/>
      <c r="F908" s="29"/>
      <c r="G908" s="29"/>
      <c r="H908" s="29"/>
      <c r="I908" s="43"/>
      <c r="J908" s="43"/>
      <c r="K908" s="29"/>
      <c r="L908" s="29"/>
    </row>
    <row r="909" spans="1:12" x14ac:dyDescent="0.25">
      <c r="A909" s="4"/>
      <c r="B909" s="28" t="str">
        <f>IF(ISNUMBER(MATCH(D909, Mgt_Unit!$C$5:$C$1018, 0)), INDEX(Mgt_Unit!$B$5:$B$1018, MATCH(D909, Mgt_Unit!$C$5:$C$1018, 0)), "")</f>
        <v/>
      </c>
      <c r="C909" s="28"/>
      <c r="D909" s="9"/>
      <c r="E909" s="45"/>
      <c r="F909" s="29"/>
      <c r="G909" s="29"/>
      <c r="H909" s="29"/>
      <c r="I909" s="43"/>
      <c r="J909" s="43"/>
      <c r="K909" s="29"/>
      <c r="L909" s="29"/>
    </row>
    <row r="910" spans="1:12" x14ac:dyDescent="0.25">
      <c r="A910" s="4"/>
      <c r="B910" s="28" t="str">
        <f>IF(ISNUMBER(MATCH(D910, Mgt_Unit!$C$5:$C$1018, 0)), INDEX(Mgt_Unit!$B$5:$B$1018, MATCH(D910, Mgt_Unit!$C$5:$C$1018, 0)), "")</f>
        <v/>
      </c>
      <c r="C910" s="28"/>
      <c r="D910" s="9"/>
      <c r="E910" s="45"/>
      <c r="F910" s="29"/>
      <c r="G910" s="29"/>
      <c r="H910" s="29"/>
      <c r="I910" s="43"/>
      <c r="J910" s="43"/>
      <c r="K910" s="29"/>
      <c r="L910" s="29"/>
    </row>
    <row r="911" spans="1:12" x14ac:dyDescent="0.25">
      <c r="A911" s="4"/>
      <c r="B911" s="28" t="str">
        <f>IF(ISNUMBER(MATCH(D911, Mgt_Unit!$C$5:$C$1018, 0)), INDEX(Mgt_Unit!$B$5:$B$1018, MATCH(D911, Mgt_Unit!$C$5:$C$1018, 0)), "")</f>
        <v/>
      </c>
      <c r="C911" s="28"/>
      <c r="D911" s="9"/>
      <c r="E911" s="45"/>
      <c r="F911" s="29"/>
      <c r="G911" s="29"/>
      <c r="H911" s="29"/>
      <c r="I911" s="43"/>
      <c r="J911" s="43"/>
      <c r="K911" s="29"/>
      <c r="L911" s="29"/>
    </row>
    <row r="912" spans="1:12" x14ac:dyDescent="0.25">
      <c r="A912" s="4"/>
      <c r="B912" s="28" t="str">
        <f>IF(ISNUMBER(MATCH(D912, Mgt_Unit!$C$5:$C$1018, 0)), INDEX(Mgt_Unit!$B$5:$B$1018, MATCH(D912, Mgt_Unit!$C$5:$C$1018, 0)), "")</f>
        <v/>
      </c>
      <c r="C912" s="28"/>
      <c r="D912" s="9"/>
      <c r="E912" s="45"/>
      <c r="F912" s="29"/>
      <c r="G912" s="29"/>
      <c r="H912" s="29"/>
      <c r="I912" s="43"/>
      <c r="J912" s="43"/>
      <c r="K912" s="29"/>
      <c r="L912" s="29"/>
    </row>
    <row r="913" spans="1:12" x14ac:dyDescent="0.25">
      <c r="A913" s="4"/>
      <c r="B913" s="28" t="str">
        <f>IF(ISNUMBER(MATCH(D913, Mgt_Unit!$C$5:$C$1018, 0)), INDEX(Mgt_Unit!$B$5:$B$1018, MATCH(D913, Mgt_Unit!$C$5:$C$1018, 0)), "")</f>
        <v/>
      </c>
      <c r="C913" s="28"/>
      <c r="D913" s="9"/>
      <c r="E913" s="45"/>
      <c r="F913" s="29"/>
      <c r="G913" s="29"/>
      <c r="H913" s="29"/>
      <c r="I913" s="43"/>
      <c r="J913" s="43"/>
      <c r="K913" s="29"/>
      <c r="L913" s="29"/>
    </row>
    <row r="914" spans="1:12" x14ac:dyDescent="0.25">
      <c r="A914" s="4"/>
      <c r="B914" s="28" t="str">
        <f>IF(ISNUMBER(MATCH(D914, Mgt_Unit!$C$5:$C$1018, 0)), INDEX(Mgt_Unit!$B$5:$B$1018, MATCH(D914, Mgt_Unit!$C$5:$C$1018, 0)), "")</f>
        <v/>
      </c>
      <c r="C914" s="28"/>
      <c r="D914" s="9"/>
      <c r="E914" s="45"/>
      <c r="F914" s="29"/>
      <c r="G914" s="29"/>
      <c r="H914" s="29"/>
      <c r="I914" s="43"/>
      <c r="J914" s="43"/>
      <c r="K914" s="29"/>
      <c r="L914" s="29"/>
    </row>
    <row r="915" spans="1:12" x14ac:dyDescent="0.25">
      <c r="A915" s="4"/>
      <c r="B915" s="28" t="str">
        <f>IF(ISNUMBER(MATCH(D915, Mgt_Unit!$C$5:$C$1018, 0)), INDEX(Mgt_Unit!$B$5:$B$1018, MATCH(D915, Mgt_Unit!$C$5:$C$1018, 0)), "")</f>
        <v/>
      </c>
      <c r="C915" s="28"/>
      <c r="D915" s="9"/>
      <c r="E915" s="45"/>
      <c r="F915" s="29"/>
      <c r="G915" s="29"/>
      <c r="H915" s="29"/>
      <c r="I915" s="43"/>
      <c r="J915" s="43"/>
      <c r="K915" s="29"/>
      <c r="L915" s="29"/>
    </row>
    <row r="916" spans="1:12" x14ac:dyDescent="0.25">
      <c r="A916" s="4"/>
      <c r="B916" s="28" t="str">
        <f>IF(ISNUMBER(MATCH(D916, Mgt_Unit!$C$5:$C$1018, 0)), INDEX(Mgt_Unit!$B$5:$B$1018, MATCH(D916, Mgt_Unit!$C$5:$C$1018, 0)), "")</f>
        <v/>
      </c>
      <c r="C916" s="28"/>
      <c r="D916" s="9"/>
      <c r="E916" s="45"/>
      <c r="F916" s="29"/>
      <c r="G916" s="29"/>
      <c r="H916" s="29"/>
      <c r="I916" s="43"/>
      <c r="J916" s="43"/>
      <c r="K916" s="29"/>
      <c r="L916" s="29"/>
    </row>
    <row r="917" spans="1:12" x14ac:dyDescent="0.25">
      <c r="A917" s="4"/>
      <c r="B917" s="28" t="str">
        <f>IF(ISNUMBER(MATCH(D917, Mgt_Unit!$C$5:$C$1018, 0)), INDEX(Mgt_Unit!$B$5:$B$1018, MATCH(D917, Mgt_Unit!$C$5:$C$1018, 0)), "")</f>
        <v/>
      </c>
      <c r="C917" s="28"/>
      <c r="D917" s="9"/>
      <c r="E917" s="45"/>
      <c r="F917" s="29"/>
      <c r="G917" s="29"/>
      <c r="H917" s="29"/>
      <c r="I917" s="43"/>
      <c r="J917" s="43"/>
      <c r="K917" s="29"/>
      <c r="L917" s="29"/>
    </row>
    <row r="918" spans="1:12" x14ac:dyDescent="0.25">
      <c r="A918" s="4"/>
      <c r="B918" s="28" t="str">
        <f>IF(ISNUMBER(MATCH(D918, Mgt_Unit!$C$5:$C$1018, 0)), INDEX(Mgt_Unit!$B$5:$B$1018, MATCH(D918, Mgt_Unit!$C$5:$C$1018, 0)), "")</f>
        <v/>
      </c>
      <c r="C918" s="28"/>
      <c r="D918" s="9"/>
      <c r="E918" s="45"/>
      <c r="F918" s="29"/>
      <c r="G918" s="29"/>
      <c r="H918" s="29"/>
      <c r="I918" s="43"/>
      <c r="J918" s="43"/>
      <c r="K918" s="29"/>
      <c r="L918" s="29"/>
    </row>
    <row r="919" spans="1:12" x14ac:dyDescent="0.25">
      <c r="A919" s="4"/>
      <c r="B919" s="28" t="str">
        <f>IF(ISNUMBER(MATCH(D919, Mgt_Unit!$C$5:$C$1018, 0)), INDEX(Mgt_Unit!$B$5:$B$1018, MATCH(D919, Mgt_Unit!$C$5:$C$1018, 0)), "")</f>
        <v/>
      </c>
      <c r="C919" s="28"/>
      <c r="D919" s="9"/>
      <c r="E919" s="45"/>
      <c r="F919" s="29"/>
      <c r="G919" s="29"/>
      <c r="H919" s="29"/>
      <c r="I919" s="43"/>
      <c r="J919" s="43"/>
      <c r="K919" s="29"/>
      <c r="L919" s="29"/>
    </row>
    <row r="920" spans="1:12" x14ac:dyDescent="0.25">
      <c r="A920" s="4"/>
      <c r="B920" s="28" t="str">
        <f>IF(ISNUMBER(MATCH(D920, Mgt_Unit!$C$5:$C$1018, 0)), INDEX(Mgt_Unit!$B$5:$B$1018, MATCH(D920, Mgt_Unit!$C$5:$C$1018, 0)), "")</f>
        <v/>
      </c>
      <c r="C920" s="28"/>
      <c r="D920" s="9"/>
      <c r="E920" s="45"/>
      <c r="F920" s="29"/>
      <c r="G920" s="29"/>
      <c r="H920" s="29"/>
      <c r="I920" s="43"/>
      <c r="J920" s="43"/>
      <c r="K920" s="29"/>
      <c r="L920" s="29"/>
    </row>
    <row r="921" spans="1:12" x14ac:dyDescent="0.25">
      <c r="A921" s="4"/>
      <c r="B921" s="28" t="str">
        <f>IF(ISNUMBER(MATCH(D921, Mgt_Unit!$C$5:$C$1018, 0)), INDEX(Mgt_Unit!$B$5:$B$1018, MATCH(D921, Mgt_Unit!$C$5:$C$1018, 0)), "")</f>
        <v/>
      </c>
      <c r="C921" s="28"/>
      <c r="D921" s="9"/>
      <c r="E921" s="45"/>
      <c r="F921" s="29"/>
      <c r="G921" s="29"/>
      <c r="H921" s="29"/>
      <c r="I921" s="43"/>
      <c r="J921" s="43"/>
      <c r="K921" s="29"/>
      <c r="L921" s="29"/>
    </row>
    <row r="922" spans="1:12" x14ac:dyDescent="0.25">
      <c r="A922" s="4"/>
      <c r="B922" s="28" t="str">
        <f>IF(ISNUMBER(MATCH(D922, Mgt_Unit!$C$5:$C$1018, 0)), INDEX(Mgt_Unit!$B$5:$B$1018, MATCH(D922, Mgt_Unit!$C$5:$C$1018, 0)), "")</f>
        <v/>
      </c>
      <c r="C922" s="28"/>
      <c r="D922" s="9"/>
      <c r="E922" s="45"/>
      <c r="F922" s="29"/>
      <c r="G922" s="29"/>
      <c r="H922" s="29"/>
      <c r="I922" s="43"/>
      <c r="J922" s="43"/>
      <c r="K922" s="29"/>
      <c r="L922" s="29"/>
    </row>
    <row r="923" spans="1:12" x14ac:dyDescent="0.25">
      <c r="A923" s="4"/>
      <c r="B923" s="28" t="str">
        <f>IF(ISNUMBER(MATCH(D923, Mgt_Unit!$C$5:$C$1018, 0)), INDEX(Mgt_Unit!$B$5:$B$1018, MATCH(D923, Mgt_Unit!$C$5:$C$1018, 0)), "")</f>
        <v/>
      </c>
      <c r="C923" s="28"/>
      <c r="D923" s="9"/>
      <c r="E923" s="45"/>
      <c r="F923" s="29"/>
      <c r="G923" s="29"/>
      <c r="H923" s="29"/>
      <c r="I923" s="43"/>
      <c r="J923" s="43"/>
      <c r="K923" s="29"/>
      <c r="L923" s="29"/>
    </row>
    <row r="924" spans="1:12" x14ac:dyDescent="0.25">
      <c r="A924" s="4"/>
      <c r="B924" s="28" t="str">
        <f>IF(ISNUMBER(MATCH(D924, Mgt_Unit!$C$5:$C$1018, 0)), INDEX(Mgt_Unit!$B$5:$B$1018, MATCH(D924, Mgt_Unit!$C$5:$C$1018, 0)), "")</f>
        <v/>
      </c>
      <c r="C924" s="28"/>
      <c r="D924" s="9"/>
      <c r="E924" s="45"/>
      <c r="F924" s="29"/>
      <c r="G924" s="29"/>
      <c r="H924" s="29"/>
      <c r="I924" s="43"/>
      <c r="J924" s="43"/>
      <c r="K924" s="29"/>
      <c r="L924" s="29"/>
    </row>
    <row r="925" spans="1:12" x14ac:dyDescent="0.25">
      <c r="A925" s="4"/>
      <c r="B925" s="28" t="str">
        <f>IF(ISNUMBER(MATCH(D925, Mgt_Unit!$C$5:$C$1018, 0)), INDEX(Mgt_Unit!$B$5:$B$1018, MATCH(D925, Mgt_Unit!$C$5:$C$1018, 0)), "")</f>
        <v/>
      </c>
      <c r="C925" s="28"/>
      <c r="D925" s="9"/>
      <c r="E925" s="45"/>
      <c r="F925" s="29"/>
      <c r="G925" s="29"/>
      <c r="H925" s="29"/>
      <c r="I925" s="43"/>
      <c r="J925" s="43"/>
      <c r="K925" s="29"/>
      <c r="L925" s="29"/>
    </row>
    <row r="926" spans="1:12" x14ac:dyDescent="0.25">
      <c r="A926" s="4"/>
      <c r="B926" s="28" t="str">
        <f>IF(ISNUMBER(MATCH(D926, Mgt_Unit!$C$5:$C$1018, 0)), INDEX(Mgt_Unit!$B$5:$B$1018, MATCH(D926, Mgt_Unit!$C$5:$C$1018, 0)), "")</f>
        <v/>
      </c>
      <c r="C926" s="28"/>
      <c r="D926" s="9"/>
      <c r="E926" s="45"/>
      <c r="F926" s="29"/>
      <c r="G926" s="29"/>
      <c r="H926" s="29"/>
      <c r="I926" s="43"/>
      <c r="J926" s="43"/>
      <c r="K926" s="29"/>
      <c r="L926" s="29"/>
    </row>
    <row r="927" spans="1:12" x14ac:dyDescent="0.25">
      <c r="A927" s="4"/>
      <c r="B927" s="28" t="str">
        <f>IF(ISNUMBER(MATCH(D927, Mgt_Unit!$C$5:$C$1018, 0)), INDEX(Mgt_Unit!$B$5:$B$1018, MATCH(D927, Mgt_Unit!$C$5:$C$1018, 0)), "")</f>
        <v/>
      </c>
      <c r="C927" s="28"/>
      <c r="D927" s="9"/>
      <c r="E927" s="45"/>
      <c r="F927" s="29"/>
      <c r="G927" s="29"/>
      <c r="H927" s="29"/>
      <c r="I927" s="43"/>
      <c r="J927" s="43"/>
      <c r="K927" s="29"/>
      <c r="L927" s="29"/>
    </row>
    <row r="928" spans="1:12" x14ac:dyDescent="0.25">
      <c r="A928" s="4"/>
      <c r="B928" s="28" t="str">
        <f>IF(ISNUMBER(MATCH(D928, Mgt_Unit!$C$5:$C$1018, 0)), INDEX(Mgt_Unit!$B$5:$B$1018, MATCH(D928, Mgt_Unit!$C$5:$C$1018, 0)), "")</f>
        <v/>
      </c>
      <c r="C928" s="28"/>
      <c r="D928" s="9"/>
      <c r="E928" s="45"/>
      <c r="F928" s="29"/>
      <c r="G928" s="29"/>
      <c r="H928" s="29"/>
      <c r="I928" s="43"/>
      <c r="J928" s="43"/>
      <c r="K928" s="29"/>
      <c r="L928" s="29"/>
    </row>
    <row r="929" spans="1:12" x14ac:dyDescent="0.25">
      <c r="A929" s="4"/>
      <c r="B929" s="28" t="str">
        <f>IF(ISNUMBER(MATCH(D929, Mgt_Unit!$C$5:$C$1018, 0)), INDEX(Mgt_Unit!$B$5:$B$1018, MATCH(D929, Mgt_Unit!$C$5:$C$1018, 0)), "")</f>
        <v/>
      </c>
      <c r="C929" s="28"/>
      <c r="D929" s="9"/>
      <c r="E929" s="45"/>
      <c r="F929" s="29"/>
      <c r="G929" s="29"/>
      <c r="H929" s="29"/>
      <c r="I929" s="43"/>
      <c r="J929" s="43"/>
      <c r="K929" s="29"/>
      <c r="L929" s="29"/>
    </row>
    <row r="930" spans="1:12" x14ac:dyDescent="0.25">
      <c r="A930" s="4"/>
      <c r="B930" s="28" t="str">
        <f>IF(ISNUMBER(MATCH(D930, Mgt_Unit!$C$5:$C$1018, 0)), INDEX(Mgt_Unit!$B$5:$B$1018, MATCH(D930, Mgt_Unit!$C$5:$C$1018, 0)), "")</f>
        <v/>
      </c>
      <c r="C930" s="28"/>
      <c r="D930" s="9"/>
      <c r="E930" s="45"/>
      <c r="F930" s="29"/>
      <c r="G930" s="29"/>
      <c r="H930" s="29"/>
      <c r="I930" s="43"/>
      <c r="J930" s="43"/>
      <c r="K930" s="29"/>
      <c r="L930" s="29"/>
    </row>
    <row r="931" spans="1:12" x14ac:dyDescent="0.25">
      <c r="A931" s="4"/>
      <c r="B931" s="28" t="str">
        <f>IF(ISNUMBER(MATCH(D931, Mgt_Unit!$C$5:$C$1018, 0)), INDEX(Mgt_Unit!$B$5:$B$1018, MATCH(D931, Mgt_Unit!$C$5:$C$1018, 0)), "")</f>
        <v/>
      </c>
      <c r="C931" s="28"/>
      <c r="D931" s="9"/>
      <c r="E931" s="45"/>
      <c r="F931" s="29"/>
      <c r="G931" s="29"/>
      <c r="H931" s="29"/>
      <c r="I931" s="43"/>
      <c r="J931" s="43"/>
      <c r="K931" s="29"/>
      <c r="L931" s="29"/>
    </row>
    <row r="932" spans="1:12" x14ac:dyDescent="0.25">
      <c r="A932" s="4"/>
      <c r="B932" s="28" t="str">
        <f>IF(ISNUMBER(MATCH(D932, Mgt_Unit!$C$5:$C$1018, 0)), INDEX(Mgt_Unit!$B$5:$B$1018, MATCH(D932, Mgt_Unit!$C$5:$C$1018, 0)), "")</f>
        <v/>
      </c>
      <c r="C932" s="28"/>
      <c r="D932" s="9"/>
      <c r="E932" s="45"/>
      <c r="F932" s="29"/>
      <c r="G932" s="29"/>
      <c r="H932" s="29"/>
      <c r="I932" s="43"/>
      <c r="J932" s="43"/>
      <c r="K932" s="29"/>
      <c r="L932" s="29"/>
    </row>
    <row r="933" spans="1:12" x14ac:dyDescent="0.25">
      <c r="A933" s="4"/>
      <c r="B933" s="28" t="str">
        <f>IF(ISNUMBER(MATCH(D933, Mgt_Unit!$C$5:$C$1018, 0)), INDEX(Mgt_Unit!$B$5:$B$1018, MATCH(D933, Mgt_Unit!$C$5:$C$1018, 0)), "")</f>
        <v/>
      </c>
      <c r="C933" s="28"/>
      <c r="D933" s="9"/>
      <c r="E933" s="45"/>
      <c r="F933" s="29"/>
      <c r="G933" s="29"/>
      <c r="H933" s="29"/>
      <c r="I933" s="43"/>
      <c r="J933" s="43"/>
      <c r="K933" s="29"/>
      <c r="L933" s="29"/>
    </row>
    <row r="934" spans="1:12" x14ac:dyDescent="0.25">
      <c r="A934" s="4"/>
      <c r="B934" s="28" t="str">
        <f>IF(ISNUMBER(MATCH(D934, Mgt_Unit!$C$5:$C$1018, 0)), INDEX(Mgt_Unit!$B$5:$B$1018, MATCH(D934, Mgt_Unit!$C$5:$C$1018, 0)), "")</f>
        <v/>
      </c>
      <c r="C934" s="28"/>
      <c r="D934" s="9"/>
      <c r="E934" s="45"/>
      <c r="F934" s="29"/>
      <c r="G934" s="29"/>
      <c r="H934" s="29"/>
      <c r="I934" s="43"/>
      <c r="J934" s="43"/>
      <c r="K934" s="29"/>
      <c r="L934" s="29"/>
    </row>
    <row r="935" spans="1:12" x14ac:dyDescent="0.25">
      <c r="A935" s="4"/>
      <c r="B935" s="28" t="str">
        <f>IF(ISNUMBER(MATCH(D935, Mgt_Unit!$C$5:$C$1018, 0)), INDEX(Mgt_Unit!$B$5:$B$1018, MATCH(D935, Mgt_Unit!$C$5:$C$1018, 0)), "")</f>
        <v/>
      </c>
      <c r="C935" s="28"/>
      <c r="D935" s="9"/>
      <c r="E935" s="45"/>
      <c r="F935" s="29"/>
      <c r="G935" s="29"/>
      <c r="H935" s="29"/>
      <c r="I935" s="43"/>
      <c r="J935" s="43"/>
      <c r="K935" s="29"/>
      <c r="L935" s="29"/>
    </row>
    <row r="936" spans="1:12" x14ac:dyDescent="0.25">
      <c r="A936" s="4"/>
      <c r="B936" s="28" t="str">
        <f>IF(ISNUMBER(MATCH(D936, Mgt_Unit!$C$5:$C$1018, 0)), INDEX(Mgt_Unit!$B$5:$B$1018, MATCH(D936, Mgt_Unit!$C$5:$C$1018, 0)), "")</f>
        <v/>
      </c>
      <c r="C936" s="28"/>
      <c r="D936" s="9"/>
      <c r="E936" s="45"/>
      <c r="F936" s="29"/>
      <c r="G936" s="29"/>
      <c r="H936" s="29"/>
      <c r="I936" s="43"/>
      <c r="J936" s="43"/>
      <c r="K936" s="29"/>
      <c r="L936" s="29"/>
    </row>
    <row r="937" spans="1:12" x14ac:dyDescent="0.25">
      <c r="A937" s="4"/>
      <c r="B937" s="28" t="str">
        <f>IF(ISNUMBER(MATCH(D937, Mgt_Unit!$C$5:$C$1018, 0)), INDEX(Mgt_Unit!$B$5:$B$1018, MATCH(D937, Mgt_Unit!$C$5:$C$1018, 0)), "")</f>
        <v/>
      </c>
      <c r="C937" s="28"/>
      <c r="D937" s="9"/>
      <c r="E937" s="45"/>
      <c r="F937" s="29"/>
      <c r="G937" s="29"/>
      <c r="H937" s="29"/>
      <c r="I937" s="43"/>
      <c r="J937" s="43"/>
      <c r="K937" s="29"/>
      <c r="L937" s="29"/>
    </row>
    <row r="938" spans="1:12" x14ac:dyDescent="0.25">
      <c r="A938" s="4"/>
      <c r="B938" s="28" t="str">
        <f>IF(ISNUMBER(MATCH(D938, Mgt_Unit!$C$5:$C$1018, 0)), INDEX(Mgt_Unit!$B$5:$B$1018, MATCH(D938, Mgt_Unit!$C$5:$C$1018, 0)), "")</f>
        <v/>
      </c>
      <c r="C938" s="28"/>
      <c r="D938" s="9"/>
      <c r="E938" s="45"/>
      <c r="F938" s="29"/>
      <c r="G938" s="29"/>
      <c r="H938" s="29"/>
      <c r="I938" s="43"/>
      <c r="J938" s="43"/>
      <c r="K938" s="29"/>
      <c r="L938" s="29"/>
    </row>
    <row r="939" spans="1:12" x14ac:dyDescent="0.25">
      <c r="A939" s="4"/>
      <c r="B939" s="28" t="str">
        <f>IF(ISNUMBER(MATCH(D939, Mgt_Unit!$C$5:$C$1018, 0)), INDEX(Mgt_Unit!$B$5:$B$1018, MATCH(D939, Mgt_Unit!$C$5:$C$1018, 0)), "")</f>
        <v/>
      </c>
      <c r="C939" s="28"/>
      <c r="D939" s="9"/>
      <c r="E939" s="45"/>
      <c r="F939" s="29"/>
      <c r="G939" s="29"/>
      <c r="H939" s="29"/>
      <c r="I939" s="43"/>
      <c r="J939" s="43"/>
      <c r="K939" s="29"/>
      <c r="L939" s="29"/>
    </row>
    <row r="940" spans="1:12" x14ac:dyDescent="0.25">
      <c r="A940" s="4"/>
      <c r="B940" s="28" t="str">
        <f>IF(ISNUMBER(MATCH(D940, Mgt_Unit!$C$5:$C$1018, 0)), INDEX(Mgt_Unit!$B$5:$B$1018, MATCH(D940, Mgt_Unit!$C$5:$C$1018, 0)), "")</f>
        <v/>
      </c>
      <c r="C940" s="28"/>
      <c r="D940" s="9"/>
      <c r="E940" s="45"/>
      <c r="F940" s="29"/>
      <c r="G940" s="29"/>
      <c r="H940" s="29"/>
      <c r="I940" s="43"/>
      <c r="J940" s="43"/>
      <c r="K940" s="29"/>
      <c r="L940" s="29"/>
    </row>
    <row r="941" spans="1:12" x14ac:dyDescent="0.25">
      <c r="A941" s="4"/>
      <c r="B941" s="28" t="str">
        <f>IF(ISNUMBER(MATCH(D941, Mgt_Unit!$C$5:$C$1018, 0)), INDEX(Mgt_Unit!$B$5:$B$1018, MATCH(D941, Mgt_Unit!$C$5:$C$1018, 0)), "")</f>
        <v/>
      </c>
      <c r="C941" s="28"/>
      <c r="D941" s="9"/>
      <c r="E941" s="45"/>
      <c r="F941" s="29"/>
      <c r="G941" s="29"/>
      <c r="H941" s="29"/>
      <c r="I941" s="43"/>
      <c r="J941" s="43"/>
      <c r="K941" s="29"/>
      <c r="L941" s="29"/>
    </row>
    <row r="942" spans="1:12" x14ac:dyDescent="0.25">
      <c r="A942" s="4"/>
      <c r="B942" s="28" t="str">
        <f>IF(ISNUMBER(MATCH(D942, Mgt_Unit!$C$5:$C$1018, 0)), INDEX(Mgt_Unit!$B$5:$B$1018, MATCH(D942, Mgt_Unit!$C$5:$C$1018, 0)), "")</f>
        <v/>
      </c>
      <c r="C942" s="28"/>
      <c r="D942" s="9"/>
      <c r="E942" s="45"/>
      <c r="F942" s="29"/>
      <c r="G942" s="29"/>
      <c r="H942" s="29"/>
      <c r="I942" s="43"/>
      <c r="J942" s="43"/>
      <c r="K942" s="29"/>
      <c r="L942" s="29"/>
    </row>
    <row r="943" spans="1:12" x14ac:dyDescent="0.25">
      <c r="A943" s="4"/>
      <c r="B943" s="28" t="str">
        <f>IF(ISNUMBER(MATCH(D943, Mgt_Unit!$C$5:$C$1018, 0)), INDEX(Mgt_Unit!$B$5:$B$1018, MATCH(D943, Mgt_Unit!$C$5:$C$1018, 0)), "")</f>
        <v/>
      </c>
      <c r="C943" s="28"/>
      <c r="D943" s="9"/>
      <c r="E943" s="45"/>
      <c r="F943" s="29"/>
      <c r="G943" s="29"/>
      <c r="H943" s="29"/>
      <c r="I943" s="43"/>
      <c r="J943" s="43"/>
      <c r="K943" s="29"/>
      <c r="L943" s="29"/>
    </row>
    <row r="944" spans="1:12" x14ac:dyDescent="0.25">
      <c r="A944" s="4"/>
      <c r="B944" s="28" t="str">
        <f>IF(ISNUMBER(MATCH(D944, Mgt_Unit!$C$5:$C$1018, 0)), INDEX(Mgt_Unit!$B$5:$B$1018, MATCH(D944, Mgt_Unit!$C$5:$C$1018, 0)), "")</f>
        <v/>
      </c>
      <c r="C944" s="28"/>
      <c r="D944" s="9"/>
      <c r="E944" s="45"/>
      <c r="F944" s="29"/>
      <c r="G944" s="29"/>
      <c r="H944" s="29"/>
      <c r="I944" s="43"/>
      <c r="J944" s="43"/>
      <c r="K944" s="29"/>
      <c r="L944" s="29"/>
    </row>
    <row r="945" spans="1:12" x14ac:dyDescent="0.25">
      <c r="A945" s="4"/>
      <c r="B945" s="28" t="str">
        <f>IF(ISNUMBER(MATCH(D945, Mgt_Unit!$C$5:$C$1018, 0)), INDEX(Mgt_Unit!$B$5:$B$1018, MATCH(D945, Mgt_Unit!$C$5:$C$1018, 0)), "")</f>
        <v/>
      </c>
      <c r="C945" s="28"/>
      <c r="D945" s="9"/>
      <c r="E945" s="45"/>
      <c r="F945" s="29"/>
      <c r="G945" s="29"/>
      <c r="H945" s="29"/>
      <c r="I945" s="43"/>
      <c r="J945" s="43"/>
      <c r="K945" s="29"/>
      <c r="L945" s="29"/>
    </row>
    <row r="946" spans="1:12" x14ac:dyDescent="0.25">
      <c r="A946" s="4"/>
      <c r="B946" s="28" t="str">
        <f>IF(ISNUMBER(MATCH(D946, Mgt_Unit!$C$5:$C$1018, 0)), INDEX(Mgt_Unit!$B$5:$B$1018, MATCH(D946, Mgt_Unit!$C$5:$C$1018, 0)), "")</f>
        <v/>
      </c>
      <c r="C946" s="28"/>
      <c r="D946" s="9"/>
      <c r="E946" s="45"/>
      <c r="F946" s="29"/>
      <c r="G946" s="29"/>
      <c r="H946" s="29"/>
      <c r="I946" s="43"/>
      <c r="J946" s="43"/>
      <c r="K946" s="29"/>
      <c r="L946" s="29"/>
    </row>
    <row r="947" spans="1:12" x14ac:dyDescent="0.25">
      <c r="A947" s="4"/>
      <c r="B947" s="28" t="str">
        <f>IF(ISNUMBER(MATCH(D947, Mgt_Unit!$C$5:$C$1018, 0)), INDEX(Mgt_Unit!$B$5:$B$1018, MATCH(D947, Mgt_Unit!$C$5:$C$1018, 0)), "")</f>
        <v/>
      </c>
      <c r="C947" s="28"/>
      <c r="D947" s="9"/>
      <c r="E947" s="45"/>
      <c r="F947" s="29"/>
      <c r="G947" s="29"/>
      <c r="H947" s="29"/>
      <c r="I947" s="43"/>
      <c r="J947" s="43"/>
      <c r="K947" s="29"/>
      <c r="L947" s="29"/>
    </row>
    <row r="948" spans="1:12" x14ac:dyDescent="0.25">
      <c r="A948" s="4"/>
      <c r="B948" s="28" t="str">
        <f>IF(ISNUMBER(MATCH(D948, Mgt_Unit!$C$5:$C$1018, 0)), INDEX(Mgt_Unit!$B$5:$B$1018, MATCH(D948, Mgt_Unit!$C$5:$C$1018, 0)), "")</f>
        <v/>
      </c>
      <c r="C948" s="28"/>
      <c r="D948" s="9"/>
      <c r="E948" s="45"/>
      <c r="F948" s="29"/>
      <c r="G948" s="29"/>
      <c r="H948" s="29"/>
      <c r="I948" s="43"/>
      <c r="J948" s="43"/>
      <c r="K948" s="29"/>
      <c r="L948" s="29"/>
    </row>
    <row r="949" spans="1:12" x14ac:dyDescent="0.25">
      <c r="A949" s="4"/>
      <c r="B949" s="28" t="str">
        <f>IF(ISNUMBER(MATCH(D949, Mgt_Unit!$C$5:$C$1018, 0)), INDEX(Mgt_Unit!$B$5:$B$1018, MATCH(D949, Mgt_Unit!$C$5:$C$1018, 0)), "")</f>
        <v/>
      </c>
      <c r="C949" s="28"/>
      <c r="D949" s="9"/>
      <c r="E949" s="45"/>
      <c r="F949" s="29"/>
      <c r="G949" s="29"/>
      <c r="H949" s="29"/>
      <c r="I949" s="43"/>
      <c r="J949" s="43"/>
      <c r="K949" s="29"/>
      <c r="L949" s="29"/>
    </row>
    <row r="950" spans="1:12" x14ac:dyDescent="0.25">
      <c r="A950" s="4"/>
      <c r="B950" s="28" t="str">
        <f>IF(ISNUMBER(MATCH(D950, Mgt_Unit!$C$5:$C$1018, 0)), INDEX(Mgt_Unit!$B$5:$B$1018, MATCH(D950, Mgt_Unit!$C$5:$C$1018, 0)), "")</f>
        <v/>
      </c>
      <c r="C950" s="28"/>
      <c r="D950" s="9"/>
      <c r="E950" s="45"/>
      <c r="F950" s="29"/>
      <c r="G950" s="29"/>
      <c r="H950" s="29"/>
      <c r="I950" s="43"/>
      <c r="J950" s="43"/>
      <c r="K950" s="29"/>
      <c r="L950" s="29"/>
    </row>
    <row r="951" spans="1:12" x14ac:dyDescent="0.25">
      <c r="A951" s="4"/>
      <c r="B951" s="28" t="str">
        <f>IF(ISNUMBER(MATCH(D951, Mgt_Unit!$C$5:$C$1018, 0)), INDEX(Mgt_Unit!$B$5:$B$1018, MATCH(D951, Mgt_Unit!$C$5:$C$1018, 0)), "")</f>
        <v/>
      </c>
      <c r="C951" s="28"/>
      <c r="D951" s="9"/>
      <c r="E951" s="45"/>
      <c r="F951" s="29"/>
      <c r="G951" s="29"/>
      <c r="H951" s="29"/>
      <c r="I951" s="43"/>
      <c r="J951" s="43"/>
      <c r="K951" s="29"/>
      <c r="L951" s="29"/>
    </row>
    <row r="952" spans="1:12" x14ac:dyDescent="0.25">
      <c r="A952" s="4"/>
      <c r="B952" s="28" t="str">
        <f>IF(ISNUMBER(MATCH(D952, Mgt_Unit!$C$5:$C$1018, 0)), INDEX(Mgt_Unit!$B$5:$B$1018, MATCH(D952, Mgt_Unit!$C$5:$C$1018, 0)), "")</f>
        <v/>
      </c>
      <c r="C952" s="28"/>
      <c r="D952" s="9"/>
      <c r="E952" s="45"/>
      <c r="F952" s="29"/>
      <c r="G952" s="29"/>
      <c r="H952" s="29"/>
      <c r="I952" s="43"/>
      <c r="J952" s="43"/>
      <c r="K952" s="29"/>
      <c r="L952" s="29"/>
    </row>
    <row r="953" spans="1:12" x14ac:dyDescent="0.25">
      <c r="A953" s="4"/>
      <c r="B953" s="28" t="str">
        <f>IF(ISNUMBER(MATCH(D953, Mgt_Unit!$C$5:$C$1018, 0)), INDEX(Mgt_Unit!$B$5:$B$1018, MATCH(D953, Mgt_Unit!$C$5:$C$1018, 0)), "")</f>
        <v/>
      </c>
      <c r="C953" s="28"/>
      <c r="D953" s="9"/>
      <c r="E953" s="45"/>
      <c r="F953" s="29"/>
      <c r="G953" s="29"/>
      <c r="H953" s="29"/>
      <c r="I953" s="43"/>
      <c r="J953" s="43"/>
      <c r="K953" s="29"/>
      <c r="L953" s="29"/>
    </row>
    <row r="954" spans="1:12" x14ac:dyDescent="0.25">
      <c r="A954" s="4"/>
      <c r="B954" s="28" t="str">
        <f>IF(ISNUMBER(MATCH(D954, Mgt_Unit!$C$5:$C$1018, 0)), INDEX(Mgt_Unit!$B$5:$B$1018, MATCH(D954, Mgt_Unit!$C$5:$C$1018, 0)), "")</f>
        <v/>
      </c>
      <c r="C954" s="28"/>
      <c r="D954" s="9"/>
      <c r="E954" s="45"/>
      <c r="F954" s="29"/>
      <c r="G954" s="29"/>
      <c r="H954" s="29"/>
      <c r="I954" s="43"/>
      <c r="J954" s="43"/>
      <c r="K954" s="29"/>
      <c r="L954" s="29"/>
    </row>
    <row r="955" spans="1:12" x14ac:dyDescent="0.25">
      <c r="A955" s="4"/>
      <c r="B955" s="28" t="str">
        <f>IF(ISNUMBER(MATCH(D955, Mgt_Unit!$C$5:$C$1018, 0)), INDEX(Mgt_Unit!$B$5:$B$1018, MATCH(D955, Mgt_Unit!$C$5:$C$1018, 0)), "")</f>
        <v/>
      </c>
      <c r="C955" s="28"/>
      <c r="D955" s="9"/>
      <c r="E955" s="45"/>
      <c r="F955" s="29"/>
      <c r="G955" s="29"/>
      <c r="H955" s="29"/>
      <c r="I955" s="43"/>
      <c r="J955" s="43"/>
      <c r="K955" s="29"/>
      <c r="L955" s="29"/>
    </row>
    <row r="956" spans="1:12" x14ac:dyDescent="0.25">
      <c r="A956" s="4"/>
      <c r="B956" s="28" t="str">
        <f>IF(ISNUMBER(MATCH(D956, Mgt_Unit!$C$5:$C$1018, 0)), INDEX(Mgt_Unit!$B$5:$B$1018, MATCH(D956, Mgt_Unit!$C$5:$C$1018, 0)), "")</f>
        <v/>
      </c>
      <c r="C956" s="28"/>
      <c r="D956" s="9"/>
      <c r="E956" s="45"/>
      <c r="F956" s="29"/>
      <c r="G956" s="29"/>
      <c r="H956" s="29"/>
      <c r="I956" s="43"/>
      <c r="J956" s="43"/>
      <c r="K956" s="29"/>
      <c r="L956" s="29"/>
    </row>
    <row r="957" spans="1:12" x14ac:dyDescent="0.25">
      <c r="A957" s="4"/>
      <c r="B957" s="28" t="str">
        <f>IF(ISNUMBER(MATCH(D957, Mgt_Unit!$C$5:$C$1018, 0)), INDEX(Mgt_Unit!$B$5:$B$1018, MATCH(D957, Mgt_Unit!$C$5:$C$1018, 0)), "")</f>
        <v/>
      </c>
      <c r="C957" s="28"/>
      <c r="D957" s="9"/>
      <c r="E957" s="45"/>
      <c r="F957" s="29"/>
      <c r="G957" s="29"/>
      <c r="H957" s="29"/>
      <c r="I957" s="43"/>
      <c r="J957" s="43"/>
      <c r="K957" s="29"/>
      <c r="L957" s="29"/>
    </row>
    <row r="958" spans="1:12" x14ac:dyDescent="0.25">
      <c r="A958" s="4"/>
      <c r="B958" s="28" t="str">
        <f>IF(ISNUMBER(MATCH(D958, Mgt_Unit!$C$5:$C$1018, 0)), INDEX(Mgt_Unit!$B$5:$B$1018, MATCH(D958, Mgt_Unit!$C$5:$C$1018, 0)), "")</f>
        <v/>
      </c>
      <c r="C958" s="28"/>
      <c r="D958" s="9"/>
      <c r="E958" s="45"/>
      <c r="F958" s="29"/>
      <c r="G958" s="29"/>
      <c r="H958" s="29"/>
      <c r="I958" s="43"/>
      <c r="J958" s="43"/>
      <c r="K958" s="29"/>
      <c r="L958" s="29"/>
    </row>
    <row r="959" spans="1:12" x14ac:dyDescent="0.25">
      <c r="A959" s="4"/>
      <c r="B959" s="28" t="str">
        <f>IF(ISNUMBER(MATCH(D959, Mgt_Unit!$C$5:$C$1018, 0)), INDEX(Mgt_Unit!$B$5:$B$1018, MATCH(D959, Mgt_Unit!$C$5:$C$1018, 0)), "")</f>
        <v/>
      </c>
      <c r="C959" s="28"/>
      <c r="D959" s="9"/>
      <c r="E959" s="45"/>
      <c r="F959" s="29"/>
      <c r="G959" s="29"/>
      <c r="H959" s="29"/>
      <c r="I959" s="43"/>
      <c r="J959" s="43"/>
      <c r="K959" s="29"/>
      <c r="L959" s="29"/>
    </row>
    <row r="960" spans="1:12" x14ac:dyDescent="0.25">
      <c r="A960" s="4"/>
      <c r="B960" s="28" t="str">
        <f>IF(ISNUMBER(MATCH(D960, Mgt_Unit!$C$5:$C$1018, 0)), INDEX(Mgt_Unit!$B$5:$B$1018, MATCH(D960, Mgt_Unit!$C$5:$C$1018, 0)), "")</f>
        <v/>
      </c>
      <c r="C960" s="28"/>
      <c r="D960" s="9"/>
      <c r="E960" s="45"/>
      <c r="F960" s="29"/>
      <c r="G960" s="29"/>
      <c r="H960" s="29"/>
      <c r="I960" s="43"/>
      <c r="J960" s="43"/>
      <c r="K960" s="29"/>
      <c r="L960" s="29"/>
    </row>
    <row r="961" spans="1:12" x14ac:dyDescent="0.25">
      <c r="A961" s="4"/>
      <c r="B961" s="28" t="str">
        <f>IF(ISNUMBER(MATCH(D961, Mgt_Unit!$C$5:$C$1018, 0)), INDEX(Mgt_Unit!$B$5:$B$1018, MATCH(D961, Mgt_Unit!$C$5:$C$1018, 0)), "")</f>
        <v/>
      </c>
      <c r="C961" s="28"/>
      <c r="D961" s="9"/>
      <c r="E961" s="45"/>
      <c r="F961" s="29"/>
      <c r="G961" s="29"/>
      <c r="H961" s="29"/>
      <c r="I961" s="43"/>
      <c r="J961" s="43"/>
      <c r="K961" s="29"/>
      <c r="L961" s="29"/>
    </row>
    <row r="962" spans="1:12" x14ac:dyDescent="0.25">
      <c r="A962" s="4"/>
      <c r="B962" s="28" t="str">
        <f>IF(ISNUMBER(MATCH(D962, Mgt_Unit!$C$5:$C$1018, 0)), INDEX(Mgt_Unit!$B$5:$B$1018, MATCH(D962, Mgt_Unit!$C$5:$C$1018, 0)), "")</f>
        <v/>
      </c>
      <c r="C962" s="28"/>
      <c r="D962" s="9"/>
      <c r="E962" s="45"/>
      <c r="F962" s="29"/>
      <c r="G962" s="29"/>
      <c r="H962" s="29"/>
      <c r="I962" s="43"/>
      <c r="J962" s="43"/>
      <c r="K962" s="29"/>
      <c r="L962" s="29"/>
    </row>
    <row r="963" spans="1:12" x14ac:dyDescent="0.25">
      <c r="A963" s="4"/>
      <c r="B963" s="28" t="str">
        <f>IF(ISNUMBER(MATCH(D963, Mgt_Unit!$C$5:$C$1018, 0)), INDEX(Mgt_Unit!$B$5:$B$1018, MATCH(D963, Mgt_Unit!$C$5:$C$1018, 0)), "")</f>
        <v/>
      </c>
      <c r="C963" s="28"/>
      <c r="D963" s="9"/>
      <c r="E963" s="45"/>
      <c r="F963" s="29"/>
      <c r="G963" s="29"/>
      <c r="H963" s="29"/>
      <c r="I963" s="43"/>
      <c r="J963" s="43"/>
      <c r="K963" s="29"/>
      <c r="L963" s="29"/>
    </row>
    <row r="964" spans="1:12" x14ac:dyDescent="0.25">
      <c r="A964" s="4"/>
      <c r="B964" s="28" t="str">
        <f>IF(ISNUMBER(MATCH(D964, Mgt_Unit!$C$5:$C$1018, 0)), INDEX(Mgt_Unit!$B$5:$B$1018, MATCH(D964, Mgt_Unit!$C$5:$C$1018, 0)), "")</f>
        <v/>
      </c>
      <c r="C964" s="28"/>
      <c r="D964" s="9"/>
      <c r="E964" s="45"/>
      <c r="F964" s="29"/>
      <c r="G964" s="29"/>
      <c r="H964" s="29"/>
      <c r="I964" s="43"/>
      <c r="J964" s="43"/>
      <c r="K964" s="29"/>
      <c r="L964" s="29"/>
    </row>
    <row r="965" spans="1:12" x14ac:dyDescent="0.25">
      <c r="A965" s="4"/>
      <c r="B965" s="28" t="str">
        <f>IF(ISNUMBER(MATCH(D965, Mgt_Unit!$C$5:$C$1018, 0)), INDEX(Mgt_Unit!$B$5:$B$1018, MATCH(D965, Mgt_Unit!$C$5:$C$1018, 0)), "")</f>
        <v/>
      </c>
      <c r="C965" s="28"/>
      <c r="D965" s="9"/>
      <c r="E965" s="45"/>
      <c r="F965" s="29"/>
      <c r="G965" s="29"/>
      <c r="H965" s="29"/>
      <c r="I965" s="43"/>
      <c r="J965" s="43"/>
      <c r="K965" s="29"/>
      <c r="L965" s="29"/>
    </row>
    <row r="966" spans="1:12" x14ac:dyDescent="0.25">
      <c r="A966" s="4"/>
      <c r="B966" s="28" t="str">
        <f>IF(ISNUMBER(MATCH(D966, Mgt_Unit!$C$5:$C$1018, 0)), INDEX(Mgt_Unit!$B$5:$B$1018, MATCH(D966, Mgt_Unit!$C$5:$C$1018, 0)), "")</f>
        <v/>
      </c>
      <c r="C966" s="28"/>
      <c r="D966" s="9"/>
      <c r="E966" s="45"/>
      <c r="F966" s="29"/>
      <c r="G966" s="29"/>
      <c r="H966" s="29"/>
      <c r="I966" s="43"/>
      <c r="J966" s="43"/>
      <c r="K966" s="29"/>
      <c r="L966" s="29"/>
    </row>
    <row r="967" spans="1:12" x14ac:dyDescent="0.25">
      <c r="A967" s="4"/>
      <c r="B967" s="28" t="str">
        <f>IF(ISNUMBER(MATCH(D967, Mgt_Unit!$C$5:$C$1018, 0)), INDEX(Mgt_Unit!$B$5:$B$1018, MATCH(D967, Mgt_Unit!$C$5:$C$1018, 0)), "")</f>
        <v/>
      </c>
      <c r="C967" s="28"/>
      <c r="D967" s="9"/>
      <c r="E967" s="45"/>
      <c r="F967" s="29"/>
      <c r="G967" s="29"/>
      <c r="H967" s="29"/>
      <c r="I967" s="43"/>
      <c r="J967" s="43"/>
      <c r="K967" s="29"/>
      <c r="L967" s="29"/>
    </row>
    <row r="968" spans="1:12" x14ac:dyDescent="0.25">
      <c r="A968" s="4"/>
      <c r="B968" s="28" t="str">
        <f>IF(ISNUMBER(MATCH(D968, Mgt_Unit!$C$5:$C$1018, 0)), INDEX(Mgt_Unit!$B$5:$B$1018, MATCH(D968, Mgt_Unit!$C$5:$C$1018, 0)), "")</f>
        <v/>
      </c>
      <c r="C968" s="28"/>
      <c r="D968" s="9"/>
      <c r="E968" s="45"/>
      <c r="F968" s="29"/>
      <c r="G968" s="29"/>
      <c r="H968" s="29"/>
      <c r="I968" s="43"/>
      <c r="J968" s="43"/>
      <c r="K968" s="29"/>
      <c r="L968" s="29"/>
    </row>
    <row r="969" spans="1:12" x14ac:dyDescent="0.25">
      <c r="A969" s="4"/>
      <c r="B969" s="28" t="str">
        <f>IF(ISNUMBER(MATCH(D969, Mgt_Unit!$C$5:$C$1018, 0)), INDEX(Mgt_Unit!$B$5:$B$1018, MATCH(D969, Mgt_Unit!$C$5:$C$1018, 0)), "")</f>
        <v/>
      </c>
      <c r="C969" s="28"/>
      <c r="D969" s="9"/>
      <c r="E969" s="45"/>
      <c r="F969" s="29"/>
      <c r="G969" s="29"/>
      <c r="H969" s="29"/>
      <c r="I969" s="43"/>
      <c r="J969" s="43"/>
      <c r="K969" s="29"/>
      <c r="L969" s="29"/>
    </row>
    <row r="970" spans="1:12" x14ac:dyDescent="0.25">
      <c r="A970" s="4"/>
      <c r="B970" s="28" t="str">
        <f>IF(ISNUMBER(MATCH(D970, Mgt_Unit!$C$5:$C$1018, 0)), INDEX(Mgt_Unit!$B$5:$B$1018, MATCH(D970, Mgt_Unit!$C$5:$C$1018, 0)), "")</f>
        <v/>
      </c>
      <c r="C970" s="28"/>
      <c r="D970" s="9"/>
      <c r="E970" s="45"/>
      <c r="F970" s="29"/>
      <c r="G970" s="29"/>
      <c r="H970" s="29"/>
      <c r="I970" s="43"/>
      <c r="J970" s="43"/>
      <c r="K970" s="29"/>
      <c r="L970" s="29"/>
    </row>
    <row r="971" spans="1:12" x14ac:dyDescent="0.25">
      <c r="A971" s="4"/>
      <c r="B971" s="28" t="str">
        <f>IF(ISNUMBER(MATCH(D971, Mgt_Unit!$C$5:$C$1018, 0)), INDEX(Mgt_Unit!$B$5:$B$1018, MATCH(D971, Mgt_Unit!$C$5:$C$1018, 0)), "")</f>
        <v/>
      </c>
      <c r="C971" s="28"/>
      <c r="D971" s="9"/>
      <c r="E971" s="45"/>
      <c r="F971" s="29"/>
      <c r="G971" s="29"/>
      <c r="H971" s="29"/>
      <c r="I971" s="43"/>
      <c r="J971" s="43"/>
      <c r="K971" s="29"/>
      <c r="L971" s="29"/>
    </row>
    <row r="972" spans="1:12" x14ac:dyDescent="0.25">
      <c r="A972" s="4"/>
      <c r="B972" s="28" t="str">
        <f>IF(ISNUMBER(MATCH(D972, Mgt_Unit!$C$5:$C$1018, 0)), INDEX(Mgt_Unit!$B$5:$B$1018, MATCH(D972, Mgt_Unit!$C$5:$C$1018, 0)), "")</f>
        <v/>
      </c>
      <c r="C972" s="28"/>
      <c r="D972" s="9"/>
      <c r="E972" s="45"/>
      <c r="F972" s="29"/>
      <c r="G972" s="29"/>
      <c r="H972" s="29"/>
      <c r="I972" s="43"/>
      <c r="J972" s="43"/>
      <c r="K972" s="29"/>
      <c r="L972" s="29"/>
    </row>
    <row r="973" spans="1:12" x14ac:dyDescent="0.25">
      <c r="A973" s="4"/>
      <c r="B973" s="28" t="str">
        <f>IF(ISNUMBER(MATCH(D973, Mgt_Unit!$C$5:$C$1018, 0)), INDEX(Mgt_Unit!$B$5:$B$1018, MATCH(D973, Mgt_Unit!$C$5:$C$1018, 0)), "")</f>
        <v/>
      </c>
      <c r="C973" s="28"/>
      <c r="D973" s="9"/>
      <c r="E973" s="45"/>
      <c r="F973" s="29"/>
      <c r="G973" s="29"/>
      <c r="H973" s="29"/>
      <c r="I973" s="43"/>
      <c r="J973" s="43"/>
      <c r="K973" s="29"/>
      <c r="L973" s="29"/>
    </row>
    <row r="974" spans="1:12" x14ac:dyDescent="0.25">
      <c r="A974" s="4"/>
      <c r="B974" s="28" t="str">
        <f>IF(ISNUMBER(MATCH(D974, Mgt_Unit!$C$5:$C$1018, 0)), INDEX(Mgt_Unit!$B$5:$B$1018, MATCH(D974, Mgt_Unit!$C$5:$C$1018, 0)), "")</f>
        <v/>
      </c>
      <c r="C974" s="28"/>
      <c r="D974" s="9"/>
      <c r="E974" s="45"/>
      <c r="F974" s="29"/>
      <c r="G974" s="29"/>
      <c r="H974" s="29"/>
      <c r="I974" s="43"/>
      <c r="J974" s="43"/>
      <c r="K974" s="29"/>
      <c r="L974" s="29"/>
    </row>
    <row r="975" spans="1:12" x14ac:dyDescent="0.25">
      <c r="A975" s="4"/>
      <c r="B975" s="28" t="str">
        <f>IF(ISNUMBER(MATCH(D975, Mgt_Unit!$C$5:$C$1018, 0)), INDEX(Mgt_Unit!$B$5:$B$1018, MATCH(D975, Mgt_Unit!$C$5:$C$1018, 0)), "")</f>
        <v/>
      </c>
      <c r="C975" s="28"/>
      <c r="D975" s="9"/>
      <c r="E975" s="45"/>
      <c r="F975" s="29"/>
      <c r="G975" s="29"/>
      <c r="H975" s="29"/>
      <c r="I975" s="43"/>
      <c r="J975" s="43"/>
      <c r="K975" s="29"/>
      <c r="L975" s="29"/>
    </row>
    <row r="976" spans="1:12" x14ac:dyDescent="0.25">
      <c r="A976" s="4"/>
      <c r="B976" s="28" t="str">
        <f>IF(ISNUMBER(MATCH(D976, Mgt_Unit!$C$5:$C$1018, 0)), INDEX(Mgt_Unit!$B$5:$B$1018, MATCH(D976, Mgt_Unit!$C$5:$C$1018, 0)), "")</f>
        <v/>
      </c>
      <c r="C976" s="28"/>
      <c r="D976" s="9"/>
      <c r="E976" s="45"/>
      <c r="F976" s="29"/>
      <c r="G976" s="29"/>
      <c r="H976" s="29"/>
      <c r="I976" s="43"/>
      <c r="J976" s="43"/>
      <c r="K976" s="29"/>
      <c r="L976" s="29"/>
    </row>
    <row r="977" spans="1:12" x14ac:dyDescent="0.25">
      <c r="A977" s="4"/>
      <c r="B977" s="28" t="str">
        <f>IF(ISNUMBER(MATCH(D977, Mgt_Unit!$C$5:$C$1018, 0)), INDEX(Mgt_Unit!$B$5:$B$1018, MATCH(D977, Mgt_Unit!$C$5:$C$1018, 0)), "")</f>
        <v/>
      </c>
      <c r="C977" s="28"/>
      <c r="D977" s="9"/>
      <c r="E977" s="45"/>
      <c r="F977" s="29"/>
      <c r="G977" s="29"/>
      <c r="H977" s="29"/>
      <c r="I977" s="43"/>
      <c r="J977" s="43"/>
      <c r="K977" s="29"/>
      <c r="L977" s="29"/>
    </row>
    <row r="978" spans="1:12" x14ac:dyDescent="0.25">
      <c r="A978" s="4"/>
      <c r="B978" s="28" t="str">
        <f>IF(ISNUMBER(MATCH(D978, Mgt_Unit!$C$5:$C$1018, 0)), INDEX(Mgt_Unit!$B$5:$B$1018, MATCH(D978, Mgt_Unit!$C$5:$C$1018, 0)), "")</f>
        <v/>
      </c>
      <c r="C978" s="28"/>
      <c r="D978" s="9"/>
      <c r="E978" s="45"/>
      <c r="F978" s="29"/>
      <c r="G978" s="29"/>
      <c r="H978" s="29"/>
      <c r="I978" s="43"/>
      <c r="J978" s="43"/>
      <c r="K978" s="29"/>
      <c r="L978" s="29"/>
    </row>
    <row r="979" spans="1:12" x14ac:dyDescent="0.25">
      <c r="A979" s="4"/>
      <c r="B979" s="28" t="str">
        <f>IF(ISNUMBER(MATCH(D979, Mgt_Unit!$C$5:$C$1018, 0)), INDEX(Mgt_Unit!$B$5:$B$1018, MATCH(D979, Mgt_Unit!$C$5:$C$1018, 0)), "")</f>
        <v/>
      </c>
      <c r="C979" s="28"/>
      <c r="D979" s="9"/>
      <c r="E979" s="45"/>
      <c r="F979" s="29"/>
      <c r="G979" s="29"/>
      <c r="H979" s="29"/>
      <c r="I979" s="43"/>
      <c r="J979" s="43"/>
      <c r="K979" s="29"/>
      <c r="L979" s="29"/>
    </row>
    <row r="980" spans="1:12" x14ac:dyDescent="0.25">
      <c r="A980" s="4"/>
      <c r="B980" s="28" t="str">
        <f>IF(ISNUMBER(MATCH(D980, Mgt_Unit!$C$5:$C$1018, 0)), INDEX(Mgt_Unit!$B$5:$B$1018, MATCH(D980, Mgt_Unit!$C$5:$C$1018, 0)), "")</f>
        <v/>
      </c>
      <c r="C980" s="28"/>
      <c r="D980" s="9"/>
      <c r="E980" s="45"/>
      <c r="F980" s="29"/>
      <c r="G980" s="29"/>
      <c r="H980" s="29"/>
      <c r="I980" s="43"/>
      <c r="J980" s="43"/>
      <c r="K980" s="29"/>
      <c r="L980" s="29"/>
    </row>
    <row r="981" spans="1:12" x14ac:dyDescent="0.25">
      <c r="A981" s="4"/>
      <c r="B981" s="28" t="str">
        <f>IF(ISNUMBER(MATCH(D981, Mgt_Unit!$C$5:$C$1018, 0)), INDEX(Mgt_Unit!$B$5:$B$1018, MATCH(D981, Mgt_Unit!$C$5:$C$1018, 0)), "")</f>
        <v/>
      </c>
      <c r="C981" s="28"/>
      <c r="D981" s="9"/>
      <c r="E981" s="45"/>
      <c r="F981" s="29"/>
      <c r="G981" s="29"/>
      <c r="H981" s="29"/>
      <c r="I981" s="43"/>
      <c r="J981" s="43"/>
      <c r="K981" s="29"/>
      <c r="L981" s="29"/>
    </row>
    <row r="982" spans="1:12" x14ac:dyDescent="0.25">
      <c r="A982" s="4"/>
      <c r="B982" s="28" t="str">
        <f>IF(ISNUMBER(MATCH(D982, Mgt_Unit!$C$5:$C$1018, 0)), INDEX(Mgt_Unit!$B$5:$B$1018, MATCH(D982, Mgt_Unit!$C$5:$C$1018, 0)), "")</f>
        <v/>
      </c>
      <c r="C982" s="28"/>
      <c r="D982" s="9"/>
      <c r="E982" s="45"/>
      <c r="F982" s="29"/>
      <c r="G982" s="29"/>
      <c r="H982" s="29"/>
      <c r="I982" s="43"/>
      <c r="J982" s="43"/>
      <c r="K982" s="29"/>
      <c r="L982" s="29"/>
    </row>
    <row r="983" spans="1:12" x14ac:dyDescent="0.25">
      <c r="A983" s="4"/>
      <c r="B983" s="28" t="str">
        <f>IF(ISNUMBER(MATCH(D983, Mgt_Unit!$C$5:$C$1018, 0)), INDEX(Mgt_Unit!$B$5:$B$1018, MATCH(D983, Mgt_Unit!$C$5:$C$1018, 0)), "")</f>
        <v/>
      </c>
      <c r="C983" s="28"/>
      <c r="D983" s="9"/>
      <c r="E983" s="45"/>
      <c r="F983" s="29"/>
      <c r="G983" s="29"/>
      <c r="H983" s="29"/>
      <c r="I983" s="43"/>
      <c r="J983" s="43"/>
      <c r="K983" s="29"/>
      <c r="L983" s="29"/>
    </row>
    <row r="984" spans="1:12" x14ac:dyDescent="0.25">
      <c r="A984" s="4"/>
      <c r="B984" s="28" t="str">
        <f>IF(ISNUMBER(MATCH(D984, Mgt_Unit!$C$5:$C$1018, 0)), INDEX(Mgt_Unit!$B$5:$B$1018, MATCH(D984, Mgt_Unit!$C$5:$C$1018, 0)), "")</f>
        <v/>
      </c>
      <c r="C984" s="28"/>
      <c r="D984" s="9"/>
      <c r="E984" s="45"/>
      <c r="F984" s="29"/>
      <c r="G984" s="29"/>
      <c r="H984" s="29"/>
      <c r="I984" s="43"/>
      <c r="J984" s="43"/>
      <c r="K984" s="29"/>
      <c r="L984" s="29"/>
    </row>
    <row r="985" spans="1:12" x14ac:dyDescent="0.25">
      <c r="A985" s="4"/>
      <c r="B985" s="28" t="str">
        <f>IF(ISNUMBER(MATCH(D985, Mgt_Unit!$C$5:$C$1018, 0)), INDEX(Mgt_Unit!$B$5:$B$1018, MATCH(D985, Mgt_Unit!$C$5:$C$1018, 0)), "")</f>
        <v/>
      </c>
      <c r="C985" s="28"/>
      <c r="D985" s="9"/>
      <c r="E985" s="45"/>
      <c r="F985" s="29"/>
      <c r="G985" s="29"/>
      <c r="H985" s="29"/>
      <c r="I985" s="43"/>
      <c r="J985" s="43"/>
      <c r="K985" s="29"/>
      <c r="L985" s="29"/>
    </row>
    <row r="986" spans="1:12" x14ac:dyDescent="0.25">
      <c r="A986" s="4"/>
      <c r="B986" s="28" t="str">
        <f>IF(ISNUMBER(MATCH(D986, Mgt_Unit!$C$5:$C$1018, 0)), INDEX(Mgt_Unit!$B$5:$B$1018, MATCH(D986, Mgt_Unit!$C$5:$C$1018, 0)), "")</f>
        <v/>
      </c>
      <c r="C986" s="28"/>
      <c r="D986" s="9"/>
      <c r="E986" s="45"/>
      <c r="F986" s="29"/>
      <c r="G986" s="29"/>
      <c r="H986" s="29"/>
      <c r="I986" s="43"/>
      <c r="J986" s="43"/>
      <c r="K986" s="29"/>
      <c r="L986" s="29"/>
    </row>
    <row r="987" spans="1:12" x14ac:dyDescent="0.25">
      <c r="A987" s="4"/>
      <c r="B987" s="28" t="str">
        <f>IF(ISNUMBER(MATCH(D987, Mgt_Unit!$C$5:$C$1018, 0)), INDEX(Mgt_Unit!$B$5:$B$1018, MATCH(D987, Mgt_Unit!$C$5:$C$1018, 0)), "")</f>
        <v/>
      </c>
      <c r="C987" s="28"/>
      <c r="D987" s="9"/>
      <c r="E987" s="45"/>
      <c r="F987" s="29"/>
      <c r="G987" s="29"/>
      <c r="H987" s="29"/>
      <c r="I987" s="43"/>
      <c r="J987" s="43"/>
      <c r="K987" s="29"/>
      <c r="L987" s="29"/>
    </row>
    <row r="988" spans="1:12" x14ac:dyDescent="0.25">
      <c r="A988" s="4"/>
      <c r="B988" s="28" t="str">
        <f>IF(ISNUMBER(MATCH(D988, Mgt_Unit!$C$5:$C$1018, 0)), INDEX(Mgt_Unit!$B$5:$B$1018, MATCH(D988, Mgt_Unit!$C$5:$C$1018, 0)), "")</f>
        <v/>
      </c>
      <c r="C988" s="28"/>
      <c r="D988" s="9"/>
      <c r="E988" s="45"/>
      <c r="F988" s="29"/>
      <c r="G988" s="29"/>
      <c r="H988" s="29"/>
      <c r="I988" s="43"/>
      <c r="J988" s="43"/>
      <c r="K988" s="29"/>
      <c r="L988" s="29"/>
    </row>
    <row r="989" spans="1:12" x14ac:dyDescent="0.25">
      <c r="A989" s="4"/>
      <c r="B989" s="28" t="str">
        <f>IF(ISNUMBER(MATCH(D989, Mgt_Unit!$C$5:$C$1018, 0)), INDEX(Mgt_Unit!$B$5:$B$1018, MATCH(D989, Mgt_Unit!$C$5:$C$1018, 0)), "")</f>
        <v/>
      </c>
      <c r="C989" s="28"/>
      <c r="D989" s="9"/>
      <c r="E989" s="45"/>
      <c r="F989" s="29"/>
      <c r="G989" s="29"/>
      <c r="H989" s="29"/>
      <c r="I989" s="43"/>
      <c r="J989" s="43"/>
      <c r="K989" s="29"/>
      <c r="L989" s="29"/>
    </row>
    <row r="990" spans="1:12" x14ac:dyDescent="0.25">
      <c r="A990" s="4"/>
      <c r="B990" s="28" t="str">
        <f>IF(ISNUMBER(MATCH(D990, Mgt_Unit!$C$5:$C$1018, 0)), INDEX(Mgt_Unit!$B$5:$B$1018, MATCH(D990, Mgt_Unit!$C$5:$C$1018, 0)), "")</f>
        <v/>
      </c>
      <c r="C990" s="28"/>
      <c r="D990" s="9"/>
      <c r="E990" s="45"/>
      <c r="F990" s="29"/>
      <c r="G990" s="29"/>
      <c r="H990" s="29"/>
      <c r="I990" s="43"/>
      <c r="J990" s="43"/>
      <c r="K990" s="29"/>
      <c r="L990" s="29"/>
    </row>
    <row r="991" spans="1:12" x14ac:dyDescent="0.25">
      <c r="A991" s="4"/>
      <c r="B991" s="28" t="str">
        <f>IF(ISNUMBER(MATCH(D991, Mgt_Unit!$C$5:$C$1018, 0)), INDEX(Mgt_Unit!$B$5:$B$1018, MATCH(D991, Mgt_Unit!$C$5:$C$1018, 0)), "")</f>
        <v/>
      </c>
      <c r="C991" s="28"/>
      <c r="D991" s="9"/>
      <c r="E991" s="45"/>
      <c r="F991" s="29"/>
      <c r="G991" s="29"/>
      <c r="H991" s="29"/>
      <c r="I991" s="43"/>
      <c r="J991" s="43"/>
      <c r="K991" s="29"/>
      <c r="L991" s="29"/>
    </row>
    <row r="992" spans="1:12" x14ac:dyDescent="0.25">
      <c r="A992" s="4"/>
      <c r="B992" s="28" t="str">
        <f>IF(ISNUMBER(MATCH(D992, Mgt_Unit!$C$5:$C$1018, 0)), INDEX(Mgt_Unit!$B$5:$B$1018, MATCH(D992, Mgt_Unit!$C$5:$C$1018, 0)), "")</f>
        <v/>
      </c>
      <c r="C992" s="28"/>
      <c r="D992" s="9"/>
      <c r="E992" s="45"/>
      <c r="F992" s="29"/>
      <c r="G992" s="29"/>
      <c r="H992" s="29"/>
      <c r="I992" s="43"/>
      <c r="J992" s="43"/>
      <c r="K992" s="29"/>
      <c r="L992" s="29"/>
    </row>
    <row r="993" spans="1:12" x14ac:dyDescent="0.25">
      <c r="A993" s="4"/>
      <c r="B993" s="28" t="str">
        <f>IF(ISNUMBER(MATCH(D993, Mgt_Unit!$C$5:$C$1018, 0)), INDEX(Mgt_Unit!$B$5:$B$1018, MATCH(D993, Mgt_Unit!$C$5:$C$1018, 0)), "")</f>
        <v/>
      </c>
      <c r="C993" s="28"/>
      <c r="D993" s="9"/>
      <c r="E993" s="45"/>
      <c r="F993" s="29"/>
      <c r="G993" s="29"/>
      <c r="H993" s="29"/>
      <c r="I993" s="43"/>
      <c r="J993" s="43"/>
      <c r="K993" s="29"/>
      <c r="L993" s="29"/>
    </row>
    <row r="994" spans="1:12" x14ac:dyDescent="0.25">
      <c r="A994" s="4"/>
      <c r="B994" s="28" t="str">
        <f>IF(ISNUMBER(MATCH(D994, Mgt_Unit!$C$5:$C$1018, 0)), INDEX(Mgt_Unit!$B$5:$B$1018, MATCH(D994, Mgt_Unit!$C$5:$C$1018, 0)), "")</f>
        <v/>
      </c>
      <c r="C994" s="28"/>
      <c r="D994" s="9"/>
      <c r="E994" s="45"/>
      <c r="F994" s="29"/>
      <c r="G994" s="29"/>
      <c r="H994" s="29"/>
      <c r="I994" s="43"/>
      <c r="J994" s="43"/>
      <c r="K994" s="29"/>
      <c r="L994" s="29"/>
    </row>
    <row r="995" spans="1:12" x14ac:dyDescent="0.25">
      <c r="A995" s="4"/>
      <c r="B995" s="28" t="str">
        <f>IF(ISNUMBER(MATCH(D995, Mgt_Unit!$C$5:$C$1018, 0)), INDEX(Mgt_Unit!$B$5:$B$1018, MATCH(D995, Mgt_Unit!$C$5:$C$1018, 0)), "")</f>
        <v/>
      </c>
      <c r="C995" s="28"/>
      <c r="D995" s="9"/>
      <c r="E995" s="45"/>
      <c r="F995" s="29"/>
      <c r="G995" s="29"/>
      <c r="H995" s="29"/>
      <c r="I995" s="43"/>
      <c r="J995" s="43"/>
      <c r="K995" s="29"/>
      <c r="L995" s="29"/>
    </row>
    <row r="996" spans="1:12" x14ac:dyDescent="0.25">
      <c r="A996" s="4"/>
      <c r="B996" s="28" t="str">
        <f>IF(ISNUMBER(MATCH(D996, Mgt_Unit!$C$5:$C$1018, 0)), INDEX(Mgt_Unit!$B$5:$B$1018, MATCH(D996, Mgt_Unit!$C$5:$C$1018, 0)), "")</f>
        <v/>
      </c>
      <c r="C996" s="28"/>
      <c r="D996" s="9"/>
      <c r="E996" s="45"/>
      <c r="F996" s="29"/>
      <c r="G996" s="29"/>
      <c r="H996" s="29"/>
      <c r="I996" s="43"/>
      <c r="J996" s="43"/>
      <c r="K996" s="29"/>
      <c r="L996" s="29"/>
    </row>
    <row r="997" spans="1:12" x14ac:dyDescent="0.25">
      <c r="A997" s="4"/>
      <c r="B997" s="28" t="str">
        <f>IF(ISNUMBER(MATCH(D997, Mgt_Unit!$C$5:$C$1018, 0)), INDEX(Mgt_Unit!$B$5:$B$1018, MATCH(D997, Mgt_Unit!$C$5:$C$1018, 0)), "")</f>
        <v/>
      </c>
      <c r="C997" s="28"/>
      <c r="D997" s="9"/>
      <c r="E997" s="45"/>
      <c r="F997" s="29"/>
      <c r="G997" s="29"/>
      <c r="H997" s="29"/>
      <c r="I997" s="43"/>
      <c r="J997" s="43"/>
      <c r="K997" s="29"/>
      <c r="L997" s="29"/>
    </row>
    <row r="998" spans="1:12" x14ac:dyDescent="0.25">
      <c r="A998" s="4"/>
      <c r="B998" s="28" t="str">
        <f>IF(ISNUMBER(MATCH(D998, Mgt_Unit!$C$5:$C$1018, 0)), INDEX(Mgt_Unit!$B$5:$B$1018, MATCH(D998, Mgt_Unit!$C$5:$C$1018, 0)), "")</f>
        <v/>
      </c>
      <c r="C998" s="28"/>
      <c r="D998" s="9"/>
      <c r="E998" s="45"/>
      <c r="F998" s="29"/>
      <c r="G998" s="29"/>
      <c r="H998" s="29"/>
      <c r="I998" s="43"/>
      <c r="J998" s="43"/>
      <c r="K998" s="29"/>
      <c r="L998" s="29"/>
    </row>
    <row r="999" spans="1:12" x14ac:dyDescent="0.25">
      <c r="A999" s="4"/>
      <c r="B999" s="28" t="str">
        <f>IF(ISNUMBER(MATCH(D999, Mgt_Unit!$C$5:$C$1018, 0)), INDEX(Mgt_Unit!$B$5:$B$1018, MATCH(D999, Mgt_Unit!$C$5:$C$1018, 0)), "")</f>
        <v/>
      </c>
      <c r="C999" s="28"/>
      <c r="D999" s="9"/>
      <c r="E999" s="45"/>
      <c r="F999" s="29"/>
      <c r="G999" s="29"/>
      <c r="H999" s="29"/>
      <c r="I999" s="43"/>
      <c r="J999" s="43"/>
      <c r="K999" s="29"/>
      <c r="L999" s="29"/>
    </row>
    <row r="1000" spans="1:12" x14ac:dyDescent="0.25">
      <c r="A1000" s="4"/>
      <c r="B1000" s="28" t="str">
        <f>IF(ISNUMBER(MATCH(D1000, Mgt_Unit!$C$5:$C$1018, 0)), INDEX(Mgt_Unit!$B$5:$B$1018, MATCH(D1000, Mgt_Unit!$C$5:$C$1018, 0)), "")</f>
        <v/>
      </c>
      <c r="C1000" s="28"/>
      <c r="D1000" s="9"/>
      <c r="E1000" s="45"/>
      <c r="F1000" s="29"/>
      <c r="G1000" s="29"/>
      <c r="H1000" s="29"/>
      <c r="I1000" s="43"/>
      <c r="J1000" s="43"/>
      <c r="K1000" s="29"/>
      <c r="L1000" s="29"/>
    </row>
    <row r="1001" spans="1:12" x14ac:dyDescent="0.25">
      <c r="A1001" s="4"/>
      <c r="B1001" s="28" t="str">
        <f>IF(ISNUMBER(MATCH(D1001, Mgt_Unit!$C$5:$C$1018, 0)), INDEX(Mgt_Unit!$B$5:$B$1018, MATCH(D1001, Mgt_Unit!$C$5:$C$1018, 0)), "")</f>
        <v/>
      </c>
      <c r="C1001" s="28"/>
      <c r="D1001" s="9"/>
      <c r="E1001" s="45"/>
      <c r="F1001" s="29"/>
      <c r="G1001" s="29"/>
      <c r="H1001" s="29"/>
      <c r="I1001" s="43"/>
      <c r="J1001" s="43"/>
      <c r="K1001" s="29"/>
      <c r="L1001" s="29"/>
    </row>
    <row r="1002" spans="1:12" x14ac:dyDescent="0.25">
      <c r="A1002" s="4"/>
      <c r="B1002" s="28" t="str">
        <f>IF(ISNUMBER(MATCH(D1002, Mgt_Unit!$C$5:$C$1018, 0)), INDEX(Mgt_Unit!$B$5:$B$1018, MATCH(D1002, Mgt_Unit!$C$5:$C$1018, 0)), "")</f>
        <v/>
      </c>
      <c r="C1002" s="28"/>
      <c r="D1002" s="9"/>
      <c r="E1002" s="45"/>
      <c r="F1002" s="29"/>
      <c r="G1002" s="29"/>
      <c r="H1002" s="29"/>
      <c r="I1002" s="43"/>
      <c r="J1002" s="43"/>
      <c r="K1002" s="29"/>
      <c r="L1002" s="29"/>
    </row>
    <row r="1003" spans="1:12" x14ac:dyDescent="0.25">
      <c r="A1003" s="14"/>
      <c r="B1003" s="28" t="str">
        <f>IF(ISNUMBER(MATCH(D1003, Mgt_Unit!$C$5:$C$1018, 0)), INDEX(Mgt_Unit!$B$5:$B$1018, MATCH(D1003, Mgt_Unit!$C$5:$C$1018, 0)), "")</f>
        <v/>
      </c>
      <c r="C1003" s="28"/>
      <c r="D1003" s="9"/>
      <c r="E1003" s="45"/>
      <c r="F1003" s="29"/>
      <c r="G1003" s="29"/>
      <c r="H1003" s="29"/>
      <c r="I1003" s="43"/>
      <c r="J1003" s="43"/>
      <c r="K1003" s="29"/>
      <c r="L1003" s="29"/>
    </row>
  </sheetData>
  <sheetProtection formatColumns="0"/>
  <autoFilter ref="B4:L1003" xr:uid="{6BC3EF02-CD3A-405B-8C6A-98976400F8F2}"/>
  <dataValidations count="3">
    <dataValidation type="list" allowBlank="1" showInputMessage="1" showErrorMessage="1" sqref="F504:F699 F5:F199" xr:uid="{68397F97-A71B-4703-91A7-E53C6B69EEBB}">
      <formula1>AnimalType</formula1>
    </dataValidation>
    <dataValidation type="list" allowBlank="1" showInputMessage="1" showErrorMessage="1" sqref="G504:G699 G5:G199" xr:uid="{6E63B864-0D73-4D00-889B-B04902FA9895}">
      <formula1>AnimalDiv_GrazIntensity</formula1>
    </dataValidation>
    <dataValidation type="list" allowBlank="1" showInputMessage="1" showErrorMessage="1" sqref="D124 D129:D1003 D5:D103" xr:uid="{AF4284A5-EE93-4A02-8438-690382C5008A}">
      <formula1>CropUnit</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P1457"/>
  <sheetViews>
    <sheetView topLeftCell="B1" zoomScaleNormal="100" workbookViewId="0">
      <pane ySplit="4" topLeftCell="A59" activePane="bottomLeft" state="frozen"/>
      <selection activeCell="G1" sqref="G1"/>
      <selection pane="bottomLeft" activeCell="B5" sqref="B5"/>
    </sheetView>
  </sheetViews>
  <sheetFormatPr defaultColWidth="0" defaultRowHeight="15" x14ac:dyDescent="0.25"/>
  <cols>
    <col min="1" max="1" width="11.5703125" bestFit="1" customWidth="1"/>
    <col min="2" max="2" width="15.140625" style="44" customWidth="1"/>
    <col min="3" max="3" width="41.42578125" style="31" customWidth="1"/>
    <col min="4" max="4" width="36.28515625" style="17" customWidth="1"/>
    <col min="5" max="5" width="37.140625" style="48" customWidth="1"/>
    <col min="6" max="6" width="19.140625" style="42" customWidth="1"/>
    <col min="7" max="7" width="18.28515625" style="42" bestFit="1" customWidth="1"/>
    <col min="8" max="8" width="19.5703125" style="39" bestFit="1" customWidth="1"/>
    <col min="9" max="9" width="12.7109375" style="39" bestFit="1" customWidth="1"/>
    <col min="10" max="10" width="12.28515625" style="40" bestFit="1" customWidth="1"/>
    <col min="11" max="11" width="12.85546875" style="39" bestFit="1" customWidth="1"/>
    <col min="12" max="12" width="50.7109375" style="42" customWidth="1"/>
    <col min="13" max="13" width="0" style="15" hidden="1" customWidth="1"/>
    <col min="14" max="16" width="0" hidden="1" customWidth="1"/>
    <col min="17" max="16384" width="50.7109375" hidden="1"/>
  </cols>
  <sheetData>
    <row r="1" spans="1:13" ht="30" x14ac:dyDescent="0.25">
      <c r="A1" s="25" t="s">
        <v>0</v>
      </c>
      <c r="B1" s="16" t="s">
        <v>524</v>
      </c>
      <c r="C1" s="27" t="s">
        <v>537</v>
      </c>
      <c r="D1" s="27" t="s">
        <v>11</v>
      </c>
      <c r="E1" s="23" t="s">
        <v>516</v>
      </c>
      <c r="F1" s="27" t="s">
        <v>510</v>
      </c>
      <c r="G1" s="27" t="s">
        <v>527</v>
      </c>
      <c r="H1" s="27" t="s">
        <v>515</v>
      </c>
      <c r="I1" s="27" t="s">
        <v>512</v>
      </c>
      <c r="J1" s="27" t="s">
        <v>511</v>
      </c>
      <c r="K1" s="27" t="s">
        <v>513</v>
      </c>
      <c r="L1" s="27" t="s">
        <v>503</v>
      </c>
      <c r="M1"/>
    </row>
    <row r="2" spans="1:13" x14ac:dyDescent="0.25">
      <c r="A2" s="25" t="s">
        <v>1</v>
      </c>
      <c r="B2" s="21" t="s">
        <v>488</v>
      </c>
      <c r="C2" s="23" t="s">
        <v>16</v>
      </c>
      <c r="D2" s="23" t="s">
        <v>32</v>
      </c>
      <c r="E2" s="23" t="s">
        <v>488</v>
      </c>
      <c r="F2" s="23" t="s">
        <v>2</v>
      </c>
      <c r="G2" s="23" t="s">
        <v>2</v>
      </c>
      <c r="H2" s="23" t="s">
        <v>18</v>
      </c>
      <c r="I2" s="23" t="s">
        <v>18</v>
      </c>
      <c r="J2" s="23" t="s">
        <v>18</v>
      </c>
      <c r="K2" s="23" t="s">
        <v>18</v>
      </c>
      <c r="L2" s="23" t="s">
        <v>2</v>
      </c>
      <c r="M2"/>
    </row>
    <row r="3" spans="1:13" x14ac:dyDescent="0.25">
      <c r="A3" s="26" t="s">
        <v>3</v>
      </c>
      <c r="B3" s="22" t="s">
        <v>514</v>
      </c>
      <c r="C3" s="24" t="s">
        <v>514</v>
      </c>
      <c r="D3" s="24" t="s">
        <v>514</v>
      </c>
      <c r="E3" s="22" t="s">
        <v>514</v>
      </c>
      <c r="F3" s="22" t="s">
        <v>514</v>
      </c>
      <c r="G3" s="24" t="s">
        <v>25</v>
      </c>
      <c r="H3" s="24" t="s">
        <v>353</v>
      </c>
      <c r="I3" s="24" t="s">
        <v>39</v>
      </c>
      <c r="J3" s="24" t="s">
        <v>39</v>
      </c>
      <c r="K3" s="24" t="s">
        <v>475</v>
      </c>
      <c r="L3" s="24" t="s">
        <v>514</v>
      </c>
      <c r="M3"/>
    </row>
    <row r="4" spans="1:13" x14ac:dyDescent="0.25">
      <c r="A4" s="4"/>
      <c r="B4" s="19" t="s">
        <v>4</v>
      </c>
      <c r="C4" s="19" t="s">
        <v>551</v>
      </c>
      <c r="D4" s="19" t="s">
        <v>550</v>
      </c>
      <c r="E4" s="19" t="s">
        <v>548</v>
      </c>
      <c r="F4" s="19" t="s">
        <v>542</v>
      </c>
      <c r="G4" s="19" t="s">
        <v>543</v>
      </c>
      <c r="H4" s="19" t="s">
        <v>544</v>
      </c>
      <c r="I4" s="19" t="s">
        <v>545</v>
      </c>
      <c r="J4" s="19" t="s">
        <v>546</v>
      </c>
      <c r="K4" s="19" t="s">
        <v>547</v>
      </c>
      <c r="L4" s="19" t="s">
        <v>549</v>
      </c>
      <c r="M4"/>
    </row>
    <row r="5" spans="1:13" x14ac:dyDescent="0.25">
      <c r="A5" s="4"/>
      <c r="B5" s="28" t="str">
        <f>IF(ISNUMBER(MATCH(D5, Mgt_Unit!$C$5:$C$1018, 0)), INDEX(Mgt_Unit!$B$5:$B$1018, MATCH(D5, Mgt_Unit!$C$5:$C$1018, 0)), "")</f>
        <v>jennifer.moore</v>
      </c>
      <c r="C5" s="28"/>
      <c r="D5" s="9" t="s">
        <v>635</v>
      </c>
      <c r="E5" s="47"/>
      <c r="F5" s="41" t="s">
        <v>1351</v>
      </c>
      <c r="G5" s="41"/>
      <c r="H5" s="59"/>
      <c r="I5" s="38">
        <v>2.8</v>
      </c>
      <c r="J5" s="38">
        <v>7</v>
      </c>
      <c r="K5" s="38">
        <v>0.69</v>
      </c>
      <c r="L5" s="41"/>
      <c r="M5"/>
    </row>
    <row r="6" spans="1:13" x14ac:dyDescent="0.25">
      <c r="A6" s="4"/>
      <c r="B6" s="28" t="str">
        <f>IF(ISNUMBER(MATCH(D6, Mgt_Unit!$C$5:$C$1018, 0)), INDEX(Mgt_Unit!$B$5:$B$1018, MATCH(D6, Mgt_Unit!$C$5:$C$1018, 0)), "")</f>
        <v>jennifer.moore</v>
      </c>
      <c r="C6" s="28"/>
      <c r="D6" s="9" t="s">
        <v>636</v>
      </c>
      <c r="E6" s="47"/>
      <c r="F6" s="41" t="s">
        <v>1351</v>
      </c>
      <c r="G6" s="41"/>
      <c r="H6" s="59"/>
      <c r="I6" s="38">
        <v>3</v>
      </c>
      <c r="J6" s="38">
        <v>7.53</v>
      </c>
      <c r="K6" s="38">
        <v>0.37</v>
      </c>
      <c r="L6" s="41"/>
      <c r="M6"/>
    </row>
    <row r="7" spans="1:13" x14ac:dyDescent="0.25">
      <c r="A7" s="4"/>
      <c r="B7" s="28" t="str">
        <f>IF(ISNUMBER(MATCH(D7, Mgt_Unit!$C$5:$C$1018, 0)), INDEX(Mgt_Unit!$B$5:$B$1018, MATCH(D7, Mgt_Unit!$C$5:$C$1018, 0)), "")</f>
        <v>jennifer.moore</v>
      </c>
      <c r="C7" s="28"/>
      <c r="D7" s="9" t="s">
        <v>637</v>
      </c>
      <c r="E7" s="47"/>
      <c r="F7" s="41" t="s">
        <v>1351</v>
      </c>
      <c r="G7" s="41"/>
      <c r="H7" s="59"/>
      <c r="I7" s="38">
        <v>2.6</v>
      </c>
      <c r="J7" s="38">
        <v>7.54</v>
      </c>
      <c r="K7" s="38">
        <v>0.53300000000000003</v>
      </c>
      <c r="L7" s="41"/>
      <c r="M7"/>
    </row>
    <row r="8" spans="1:13" x14ac:dyDescent="0.25">
      <c r="A8" s="4"/>
      <c r="B8" s="28" t="str">
        <f>IF(ISNUMBER(MATCH(D8, Mgt_Unit!$C$5:$C$1018, 0)), INDEX(Mgt_Unit!$B$5:$B$1018, MATCH(D8, Mgt_Unit!$C$5:$C$1018, 0)), "")</f>
        <v>jennifer.moore</v>
      </c>
      <c r="C8" s="28"/>
      <c r="D8" s="9" t="s">
        <v>638</v>
      </c>
      <c r="E8" s="47"/>
      <c r="F8" s="41" t="s">
        <v>1351</v>
      </c>
      <c r="G8" s="41"/>
      <c r="H8" s="59"/>
      <c r="I8" s="38">
        <v>2</v>
      </c>
      <c r="J8" s="38">
        <v>7.89</v>
      </c>
      <c r="K8" s="38">
        <v>0.74099999999999999</v>
      </c>
      <c r="L8" s="41"/>
      <c r="M8"/>
    </row>
    <row r="9" spans="1:13" x14ac:dyDescent="0.25">
      <c r="A9" s="4"/>
      <c r="B9" s="28" t="str">
        <f>IF(ISNUMBER(MATCH(D9, Mgt_Unit!$C$5:$C$1018, 0)), INDEX(Mgt_Unit!$B$5:$B$1018, MATCH(D9, Mgt_Unit!$C$5:$C$1018, 0)), "")</f>
        <v>jennifer.moore</v>
      </c>
      <c r="C9" s="28"/>
      <c r="D9" s="9" t="s">
        <v>639</v>
      </c>
      <c r="E9" s="47"/>
      <c r="F9" s="41" t="s">
        <v>1351</v>
      </c>
      <c r="G9" s="41"/>
      <c r="H9" s="59"/>
      <c r="I9" s="38">
        <v>2.8</v>
      </c>
      <c r="J9" s="38">
        <v>7.69</v>
      </c>
      <c r="K9" s="38">
        <v>0.64500000000000002</v>
      </c>
      <c r="L9" s="41"/>
      <c r="M9"/>
    </row>
    <row r="10" spans="1:13" x14ac:dyDescent="0.25">
      <c r="A10" s="4"/>
      <c r="B10" s="28" t="str">
        <f>IF(ISNUMBER(MATCH(D10, Mgt_Unit!$C$5:$C$1018, 0)), INDEX(Mgt_Unit!$B$5:$B$1018, MATCH(D10, Mgt_Unit!$C$5:$C$1018, 0)), "")</f>
        <v>jennifer.moore</v>
      </c>
      <c r="C10" s="28"/>
      <c r="D10" s="9" t="s">
        <v>635</v>
      </c>
      <c r="E10" s="47"/>
      <c r="F10" s="41" t="s">
        <v>1351</v>
      </c>
      <c r="G10" s="41"/>
      <c r="H10" s="59"/>
      <c r="I10" s="38">
        <v>2.8</v>
      </c>
      <c r="J10" s="38">
        <v>6.52</v>
      </c>
      <c r="K10" s="38">
        <v>0.53900000000000003</v>
      </c>
      <c r="L10" s="41"/>
      <c r="M10"/>
    </row>
    <row r="11" spans="1:13" x14ac:dyDescent="0.25">
      <c r="A11" s="4"/>
      <c r="B11" s="28" t="str">
        <f>IF(ISNUMBER(MATCH(D11, Mgt_Unit!$C$5:$C$1018, 0)), INDEX(Mgt_Unit!$B$5:$B$1018, MATCH(D11, Mgt_Unit!$C$5:$C$1018, 0)), "")</f>
        <v>jennifer.moore</v>
      </c>
      <c r="C11" s="28"/>
      <c r="D11" s="9" t="s">
        <v>636</v>
      </c>
      <c r="E11" s="47"/>
      <c r="F11" s="41" t="s">
        <v>1351</v>
      </c>
      <c r="G11" s="41"/>
      <c r="H11" s="59"/>
      <c r="I11" s="38">
        <v>2.7</v>
      </c>
      <c r="J11" s="38">
        <v>6.74</v>
      </c>
      <c r="K11" s="38">
        <v>0.40500000000000003</v>
      </c>
      <c r="L11" s="41"/>
      <c r="M11"/>
    </row>
    <row r="12" spans="1:13" x14ac:dyDescent="0.25">
      <c r="A12" s="4"/>
      <c r="B12" s="28" t="str">
        <f>IF(ISNUMBER(MATCH(D12, Mgt_Unit!$C$5:$C$1018, 0)), INDEX(Mgt_Unit!$B$5:$B$1018, MATCH(D12, Mgt_Unit!$C$5:$C$1018, 0)), "")</f>
        <v>jennifer.moore</v>
      </c>
      <c r="C12" s="28"/>
      <c r="D12" s="9" t="s">
        <v>637</v>
      </c>
      <c r="E12" s="47"/>
      <c r="F12" s="41" t="s">
        <v>1351</v>
      </c>
      <c r="G12" s="41"/>
      <c r="H12" s="59"/>
      <c r="I12" s="38">
        <v>2.2999999999999998</v>
      </c>
      <c r="J12" s="38">
        <v>7.06</v>
      </c>
      <c r="K12" s="38">
        <v>0.50600000000000001</v>
      </c>
      <c r="L12" s="41"/>
      <c r="M12"/>
    </row>
    <row r="13" spans="1:13" x14ac:dyDescent="0.25">
      <c r="A13" s="4"/>
      <c r="B13" s="28" t="str">
        <f>IF(ISNUMBER(MATCH(D13, Mgt_Unit!$C$5:$C$1018, 0)), INDEX(Mgt_Unit!$B$5:$B$1018, MATCH(D13, Mgt_Unit!$C$5:$C$1018, 0)), "")</f>
        <v>jennifer.moore</v>
      </c>
      <c r="C13" s="28"/>
      <c r="D13" s="9" t="s">
        <v>638</v>
      </c>
      <c r="E13" s="47"/>
      <c r="F13" s="41" t="s">
        <v>1351</v>
      </c>
      <c r="G13" s="41"/>
      <c r="H13" s="59"/>
      <c r="I13" s="38">
        <v>2.4</v>
      </c>
      <c r="J13" s="38">
        <v>6.95</v>
      </c>
      <c r="K13" s="38">
        <v>0.54800000000000004</v>
      </c>
      <c r="L13" s="41"/>
      <c r="M13"/>
    </row>
    <row r="14" spans="1:13" x14ac:dyDescent="0.25">
      <c r="A14" s="4"/>
      <c r="B14" s="28" t="str">
        <f>IF(ISNUMBER(MATCH(D14, Mgt_Unit!$C$5:$C$1018, 0)), INDEX(Mgt_Unit!$B$5:$B$1018, MATCH(D14, Mgt_Unit!$C$5:$C$1018, 0)), "")</f>
        <v>jennifer.moore</v>
      </c>
      <c r="C14" s="28"/>
      <c r="D14" s="9" t="s">
        <v>639</v>
      </c>
      <c r="E14" s="41"/>
      <c r="F14" s="41" t="s">
        <v>1351</v>
      </c>
      <c r="G14" s="41"/>
      <c r="H14" s="59"/>
      <c r="I14" s="38">
        <v>2.4</v>
      </c>
      <c r="J14" s="38">
        <v>8.14</v>
      </c>
      <c r="K14" s="38">
        <v>0.54500000000000004</v>
      </c>
      <c r="L14" s="41"/>
      <c r="M14"/>
    </row>
    <row r="15" spans="1:13" x14ac:dyDescent="0.25">
      <c r="A15" s="4"/>
      <c r="B15" s="28" t="str">
        <f>IF(ISNUMBER(MATCH(D15, Mgt_Unit!$C$5:$C$1018, 0)), INDEX(Mgt_Unit!$B$5:$B$1018, MATCH(D15, Mgt_Unit!$C$5:$C$1018, 0)), "")</f>
        <v>jennifer.moore</v>
      </c>
      <c r="C15" s="28"/>
      <c r="D15" s="9" t="s">
        <v>640</v>
      </c>
      <c r="E15" s="41"/>
      <c r="F15" s="41" t="s">
        <v>1351</v>
      </c>
      <c r="G15" s="41"/>
      <c r="H15" s="59"/>
      <c r="I15" s="38">
        <v>4.3</v>
      </c>
      <c r="J15" s="38">
        <v>5.56</v>
      </c>
      <c r="K15" s="38">
        <v>0.127</v>
      </c>
      <c r="L15" s="41"/>
      <c r="M15"/>
    </row>
    <row r="16" spans="1:13" x14ac:dyDescent="0.25">
      <c r="A16" s="4"/>
      <c r="B16" s="28" t="str">
        <f>IF(ISNUMBER(MATCH(D16, Mgt_Unit!$C$5:$C$1018, 0)), INDEX(Mgt_Unit!$B$5:$B$1018, MATCH(D16, Mgt_Unit!$C$5:$C$1018, 0)), "")</f>
        <v>jennifer.moore</v>
      </c>
      <c r="C16" s="28"/>
      <c r="D16" s="9" t="s">
        <v>649</v>
      </c>
      <c r="E16" s="41"/>
      <c r="F16" s="41" t="s">
        <v>1351</v>
      </c>
      <c r="G16" s="41"/>
      <c r="H16" s="59"/>
      <c r="I16" s="38">
        <v>3.9</v>
      </c>
      <c r="J16" s="38">
        <v>5.57</v>
      </c>
      <c r="K16" s="38">
        <v>0.123</v>
      </c>
      <c r="L16" s="41"/>
      <c r="M16"/>
    </row>
    <row r="17" spans="1:13" x14ac:dyDescent="0.25">
      <c r="A17" s="4"/>
      <c r="B17" s="28" t="str">
        <f>IF(ISNUMBER(MATCH(D17, Mgt_Unit!$C$5:$C$1018, 0)), INDEX(Mgt_Unit!$B$5:$B$1018, MATCH(D17, Mgt_Unit!$C$5:$C$1018, 0)), "")</f>
        <v>jennifer.moore</v>
      </c>
      <c r="C17" s="28"/>
      <c r="D17" s="9" t="s">
        <v>651</v>
      </c>
      <c r="E17" s="41"/>
      <c r="F17" s="41" t="s">
        <v>1351</v>
      </c>
      <c r="G17" s="41"/>
      <c r="H17" s="59"/>
      <c r="I17" s="38">
        <v>4.2</v>
      </c>
      <c r="J17" s="38">
        <v>5.75</v>
      </c>
      <c r="K17" s="38">
        <v>0.183</v>
      </c>
      <c r="L17" s="41"/>
      <c r="M17"/>
    </row>
    <row r="18" spans="1:13" x14ac:dyDescent="0.25">
      <c r="A18" s="4"/>
      <c r="B18" s="28" t="str">
        <f>IF(ISNUMBER(MATCH(D18, Mgt_Unit!$C$5:$C$1018, 0)), INDEX(Mgt_Unit!$B$5:$B$1018, MATCH(D18, Mgt_Unit!$C$5:$C$1018, 0)), "")</f>
        <v>jennifer.moore</v>
      </c>
      <c r="C18" s="28"/>
      <c r="D18" s="9" t="s">
        <v>652</v>
      </c>
      <c r="E18" s="41"/>
      <c r="F18" s="41" t="s">
        <v>1351</v>
      </c>
      <c r="G18" s="41"/>
      <c r="H18" s="59"/>
      <c r="I18" s="38">
        <v>3.2</v>
      </c>
      <c r="J18" s="38">
        <v>4.75</v>
      </c>
      <c r="K18" s="38">
        <v>0.18099999999999999</v>
      </c>
      <c r="L18" s="41"/>
      <c r="M18"/>
    </row>
    <row r="19" spans="1:13" x14ac:dyDescent="0.25">
      <c r="A19" s="4"/>
      <c r="B19" s="28" t="str">
        <f>IF(ISNUMBER(MATCH(D19, Mgt_Unit!$C$5:$C$1018, 0)), INDEX(Mgt_Unit!$B$5:$B$1018, MATCH(D19, Mgt_Unit!$C$5:$C$1018, 0)), "")</f>
        <v>jennifer.moore</v>
      </c>
      <c r="C19" s="28"/>
      <c r="D19" s="9" t="s">
        <v>653</v>
      </c>
      <c r="E19" s="41"/>
      <c r="F19" s="41" t="s">
        <v>1351</v>
      </c>
      <c r="G19" s="41"/>
      <c r="H19" s="59"/>
      <c r="I19" s="38">
        <v>4.2</v>
      </c>
      <c r="J19" s="38">
        <v>5.17</v>
      </c>
      <c r="K19" s="38">
        <v>0.26700000000000002</v>
      </c>
      <c r="L19" s="41"/>
      <c r="M19"/>
    </row>
    <row r="20" spans="1:13" x14ac:dyDescent="0.25">
      <c r="A20" s="4"/>
      <c r="B20" s="28" t="str">
        <f>IF(ISNUMBER(MATCH(D20, Mgt_Unit!$C$5:$C$1018, 0)), INDEX(Mgt_Unit!$B$5:$B$1018, MATCH(D20, Mgt_Unit!$C$5:$C$1018, 0)), "")</f>
        <v>jennifer.moore</v>
      </c>
      <c r="C20" s="28"/>
      <c r="D20" s="9" t="s">
        <v>654</v>
      </c>
      <c r="E20" s="41"/>
      <c r="F20" s="41" t="s">
        <v>1351</v>
      </c>
      <c r="G20" s="41"/>
      <c r="H20" s="59"/>
      <c r="I20" s="38">
        <v>3.6</v>
      </c>
      <c r="J20" s="38">
        <v>5.23</v>
      </c>
      <c r="K20" s="38">
        <v>0.161</v>
      </c>
      <c r="L20" s="41"/>
      <c r="M20"/>
    </row>
    <row r="21" spans="1:13" x14ac:dyDescent="0.25">
      <c r="A21" s="4"/>
      <c r="B21" s="28" t="str">
        <f>IF(ISNUMBER(MATCH(D21, Mgt_Unit!$C$5:$C$1018, 0)), INDEX(Mgt_Unit!$B$5:$B$1018, MATCH(D21, Mgt_Unit!$C$5:$C$1018, 0)), "")</f>
        <v>jennifer.moore</v>
      </c>
      <c r="C21" s="28"/>
      <c r="D21" s="9" t="s">
        <v>655</v>
      </c>
      <c r="E21" s="41"/>
      <c r="F21" s="41" t="s">
        <v>1351</v>
      </c>
      <c r="G21" s="41"/>
      <c r="H21" s="59"/>
      <c r="I21" s="38">
        <v>4.2</v>
      </c>
      <c r="J21" s="38">
        <v>5.14</v>
      </c>
      <c r="K21" s="38">
        <v>0.19500000000000001</v>
      </c>
      <c r="L21" s="41"/>
      <c r="M21"/>
    </row>
    <row r="22" spans="1:13" x14ac:dyDescent="0.25">
      <c r="A22" s="4"/>
      <c r="B22" s="28" t="str">
        <f>IF(ISNUMBER(MATCH(D22, Mgt_Unit!$C$5:$C$1018, 0)), INDEX(Mgt_Unit!$B$5:$B$1018, MATCH(D22, Mgt_Unit!$C$5:$C$1018, 0)), "")</f>
        <v>jennifer.moore</v>
      </c>
      <c r="C22" s="28"/>
      <c r="D22" s="9" t="s">
        <v>656</v>
      </c>
      <c r="E22" s="41"/>
      <c r="F22" s="41" t="s">
        <v>1351</v>
      </c>
      <c r="G22" s="41"/>
      <c r="H22" s="59"/>
      <c r="I22" s="38">
        <v>3.4</v>
      </c>
      <c r="J22" s="38">
        <v>5.15</v>
      </c>
      <c r="K22" s="38">
        <v>0.152</v>
      </c>
      <c r="L22" s="41"/>
      <c r="M22"/>
    </row>
    <row r="23" spans="1:13" x14ac:dyDescent="0.25">
      <c r="A23" s="4"/>
      <c r="B23" s="28" t="str">
        <f>IF(ISNUMBER(MATCH(D23, Mgt_Unit!$C$5:$C$1018, 0)), INDEX(Mgt_Unit!$B$5:$B$1018, MATCH(D23, Mgt_Unit!$C$5:$C$1018, 0)), "")</f>
        <v>jennifer.moore</v>
      </c>
      <c r="C23" s="28"/>
      <c r="D23" s="9" t="s">
        <v>657</v>
      </c>
      <c r="E23" s="41"/>
      <c r="F23" s="41" t="s">
        <v>1351</v>
      </c>
      <c r="G23" s="41"/>
      <c r="H23" s="59"/>
      <c r="I23" s="38">
        <v>4</v>
      </c>
      <c r="J23" s="38">
        <v>5.44</v>
      </c>
      <c r="K23" s="38">
        <v>0.23799999999999999</v>
      </c>
      <c r="L23" s="41"/>
      <c r="M23"/>
    </row>
    <row r="24" spans="1:13" x14ac:dyDescent="0.25">
      <c r="A24" s="4"/>
      <c r="B24" s="28" t="str">
        <f>IF(ISNUMBER(MATCH(D24, Mgt_Unit!$C$5:$C$1018, 0)), INDEX(Mgt_Unit!$B$5:$B$1018, MATCH(D24, Mgt_Unit!$C$5:$C$1018, 0)), "")</f>
        <v>jennifer.moore</v>
      </c>
      <c r="C24" s="28"/>
      <c r="D24" s="9" t="s">
        <v>641</v>
      </c>
      <c r="E24" s="41"/>
      <c r="F24" s="41" t="s">
        <v>1351</v>
      </c>
      <c r="G24" s="41"/>
      <c r="H24" s="59"/>
      <c r="I24" s="38">
        <v>3.8</v>
      </c>
      <c r="J24" s="38">
        <v>5.5</v>
      </c>
      <c r="K24" s="38">
        <v>0.14599999999999999</v>
      </c>
      <c r="L24" s="41"/>
      <c r="M24"/>
    </row>
    <row r="25" spans="1:13" x14ac:dyDescent="0.25">
      <c r="A25" s="4"/>
      <c r="B25" s="28" t="str">
        <f>IF(ISNUMBER(MATCH(D25, Mgt_Unit!$C$5:$C$1018, 0)), INDEX(Mgt_Unit!$B$5:$B$1018, MATCH(D25, Mgt_Unit!$C$5:$C$1018, 0)), "")</f>
        <v>jennifer.moore</v>
      </c>
      <c r="C25" s="28"/>
      <c r="D25" s="9" t="s">
        <v>642</v>
      </c>
      <c r="E25" s="41"/>
      <c r="F25" s="41" t="s">
        <v>1351</v>
      </c>
      <c r="G25" s="41"/>
      <c r="H25" s="59"/>
      <c r="I25" s="38">
        <v>4.2</v>
      </c>
      <c r="J25" s="38">
        <v>5.19</v>
      </c>
      <c r="K25" s="38">
        <v>0.35499999999999998</v>
      </c>
      <c r="L25" s="41"/>
      <c r="M25"/>
    </row>
    <row r="26" spans="1:13" x14ac:dyDescent="0.25">
      <c r="A26" s="4"/>
      <c r="B26" s="28" t="str">
        <f>IF(ISNUMBER(MATCH(D26, Mgt_Unit!$C$5:$C$1018, 0)), INDEX(Mgt_Unit!$B$5:$B$1018, MATCH(D26, Mgt_Unit!$C$5:$C$1018, 0)), "")</f>
        <v>jennifer.moore</v>
      </c>
      <c r="C26" s="28"/>
      <c r="D26" s="9" t="s">
        <v>643</v>
      </c>
      <c r="E26" s="41"/>
      <c r="F26" s="41" t="s">
        <v>1351</v>
      </c>
      <c r="G26" s="41"/>
      <c r="H26" s="59"/>
      <c r="I26" s="38">
        <v>3.3</v>
      </c>
      <c r="J26" s="38">
        <v>5.4</v>
      </c>
      <c r="K26" s="38">
        <v>0.151</v>
      </c>
      <c r="L26" s="41"/>
      <c r="M26"/>
    </row>
    <row r="27" spans="1:13" x14ac:dyDescent="0.25">
      <c r="A27" s="4"/>
      <c r="B27" s="28" t="str">
        <f>IF(ISNUMBER(MATCH(D27, Mgt_Unit!$C$5:$C$1018, 0)), INDEX(Mgt_Unit!$B$5:$B$1018, MATCH(D27, Mgt_Unit!$C$5:$C$1018, 0)), "")</f>
        <v>jennifer.moore</v>
      </c>
      <c r="C27" s="28"/>
      <c r="D27" s="9" t="s">
        <v>644</v>
      </c>
      <c r="E27" s="41"/>
      <c r="F27" s="41" t="s">
        <v>1351</v>
      </c>
      <c r="G27" s="41"/>
      <c r="H27" s="59"/>
      <c r="I27" s="38">
        <v>4.3</v>
      </c>
      <c r="J27" s="38">
        <v>5.09</v>
      </c>
      <c r="K27" s="38">
        <v>0.1361</v>
      </c>
      <c r="L27" s="41"/>
      <c r="M27"/>
    </row>
    <row r="28" spans="1:13" x14ac:dyDescent="0.25">
      <c r="A28" s="4"/>
      <c r="B28" s="28" t="str">
        <f>IF(ISNUMBER(MATCH(D28, Mgt_Unit!$C$5:$C$1018, 0)), INDEX(Mgt_Unit!$B$5:$B$1018, MATCH(D28, Mgt_Unit!$C$5:$C$1018, 0)), "")</f>
        <v>jennifer.moore</v>
      </c>
      <c r="C28" s="28"/>
      <c r="D28" s="9" t="s">
        <v>645</v>
      </c>
      <c r="E28" s="41"/>
      <c r="F28" s="41" t="s">
        <v>1351</v>
      </c>
      <c r="G28" s="41"/>
      <c r="H28" s="59"/>
      <c r="I28" s="38">
        <v>3.3</v>
      </c>
      <c r="J28" s="38">
        <v>4.78</v>
      </c>
      <c r="K28" s="38">
        <v>0.36</v>
      </c>
      <c r="L28" s="41"/>
      <c r="M28"/>
    </row>
    <row r="29" spans="1:13" x14ac:dyDescent="0.25">
      <c r="A29" s="4"/>
      <c r="B29" s="28" t="str">
        <f>IF(ISNUMBER(MATCH(D29, Mgt_Unit!$C$5:$C$1018, 0)), INDEX(Mgt_Unit!$B$5:$B$1018, MATCH(D29, Mgt_Unit!$C$5:$C$1018, 0)), "")</f>
        <v>jennifer.moore</v>
      </c>
      <c r="C29" s="28"/>
      <c r="D29" s="9" t="s">
        <v>646</v>
      </c>
      <c r="E29" s="41"/>
      <c r="F29" s="41" t="s">
        <v>1351</v>
      </c>
      <c r="G29" s="41"/>
      <c r="H29" s="38"/>
      <c r="I29" s="38">
        <v>3.9</v>
      </c>
      <c r="J29" s="38">
        <v>5.34</v>
      </c>
      <c r="K29" s="38">
        <v>0.13850000000000001</v>
      </c>
      <c r="L29" s="41"/>
      <c r="M29"/>
    </row>
    <row r="30" spans="1:13" x14ac:dyDescent="0.25">
      <c r="A30" s="4"/>
      <c r="B30" s="28" t="str">
        <f>IF(ISNUMBER(MATCH(D30, Mgt_Unit!$C$5:$C$1018, 0)), INDEX(Mgt_Unit!$B$5:$B$1018, MATCH(D30, Mgt_Unit!$C$5:$C$1018, 0)), "")</f>
        <v>jennifer.moore</v>
      </c>
      <c r="C30" s="28"/>
      <c r="D30" s="9" t="s">
        <v>647</v>
      </c>
      <c r="E30" s="41"/>
      <c r="F30" s="41" t="s">
        <v>1351</v>
      </c>
      <c r="G30" s="41"/>
      <c r="H30" s="38"/>
      <c r="I30" s="38">
        <v>3.4</v>
      </c>
      <c r="J30" s="38">
        <v>5.43</v>
      </c>
      <c r="K30" s="38">
        <v>9.35E-2</v>
      </c>
      <c r="L30" s="41"/>
      <c r="M30"/>
    </row>
    <row r="31" spans="1:13" x14ac:dyDescent="0.25">
      <c r="A31" s="4"/>
      <c r="B31" s="28" t="str">
        <f>IF(ISNUMBER(MATCH(D31, Mgt_Unit!$C$5:$C$1018, 0)), INDEX(Mgt_Unit!$B$5:$B$1018, MATCH(D31, Mgt_Unit!$C$5:$C$1018, 0)), "")</f>
        <v>jennifer.moore</v>
      </c>
      <c r="C31" s="28"/>
      <c r="D31" s="9" t="s">
        <v>648</v>
      </c>
      <c r="E31" s="41"/>
      <c r="F31" s="41" t="s">
        <v>1351</v>
      </c>
      <c r="G31" s="41"/>
      <c r="H31" s="38"/>
      <c r="I31" s="38">
        <v>3.6</v>
      </c>
      <c r="J31" s="38">
        <v>4.9400000000000004</v>
      </c>
      <c r="K31" s="38">
        <v>0.20300000000000001</v>
      </c>
      <c r="L31" s="41"/>
      <c r="M31"/>
    </row>
    <row r="32" spans="1:13" x14ac:dyDescent="0.25">
      <c r="A32" s="4"/>
      <c r="B32" s="28" t="str">
        <f>IF(ISNUMBER(MATCH(D32, Mgt_Unit!$C$5:$C$1018, 0)), INDEX(Mgt_Unit!$B$5:$B$1018, MATCH(D32, Mgt_Unit!$C$5:$C$1018, 0)), "")</f>
        <v>jennifer.moore</v>
      </c>
      <c r="C32" s="28"/>
      <c r="D32" s="9" t="s">
        <v>650</v>
      </c>
      <c r="E32" s="41"/>
      <c r="F32" s="41" t="s">
        <v>1351</v>
      </c>
      <c r="G32" s="41"/>
      <c r="H32" s="38"/>
      <c r="I32" s="38">
        <v>3.9</v>
      </c>
      <c r="J32" s="38">
        <v>5.1100000000000003</v>
      </c>
      <c r="K32" s="38">
        <v>0.14249999999999999</v>
      </c>
      <c r="L32" s="41"/>
      <c r="M32"/>
    </row>
    <row r="33" spans="1:13" x14ac:dyDescent="0.25">
      <c r="A33" s="4"/>
      <c r="B33" s="28" t="str">
        <f>IF(ISNUMBER(MATCH(D33, Mgt_Unit!$C$5:$C$1018, 0)), INDEX(Mgt_Unit!$B$5:$B$1018, MATCH(D33, Mgt_Unit!$C$5:$C$1018, 0)), "")</f>
        <v>jennifer.moore</v>
      </c>
      <c r="C33" s="28"/>
      <c r="D33" s="9" t="s">
        <v>640</v>
      </c>
      <c r="E33" s="41"/>
      <c r="F33" s="41" t="s">
        <v>1351</v>
      </c>
      <c r="G33" s="41"/>
      <c r="H33" s="38"/>
      <c r="I33" s="38">
        <v>4.0999999999999996</v>
      </c>
      <c r="J33" s="38">
        <v>5.47</v>
      </c>
      <c r="K33" s="38">
        <v>0.11</v>
      </c>
      <c r="L33" s="41"/>
      <c r="M33"/>
    </row>
    <row r="34" spans="1:13" x14ac:dyDescent="0.25">
      <c r="A34" s="4"/>
      <c r="B34" s="28" t="str">
        <f>IF(ISNUMBER(MATCH(D34, Mgt_Unit!$C$5:$C$1018, 0)), INDEX(Mgt_Unit!$B$5:$B$1018, MATCH(D34, Mgt_Unit!$C$5:$C$1018, 0)), "")</f>
        <v>jennifer.moore</v>
      </c>
      <c r="C34" s="28"/>
      <c r="D34" s="9" t="s">
        <v>649</v>
      </c>
      <c r="E34" s="41"/>
      <c r="F34" s="41" t="s">
        <v>1351</v>
      </c>
      <c r="G34" s="41"/>
      <c r="H34" s="38"/>
      <c r="I34" s="38">
        <v>3.9</v>
      </c>
      <c r="J34" s="38">
        <v>5.34</v>
      </c>
      <c r="K34" s="38">
        <v>9.9500000000000005E-2</v>
      </c>
      <c r="L34" s="41"/>
      <c r="M34"/>
    </row>
    <row r="35" spans="1:13" x14ac:dyDescent="0.25">
      <c r="A35" s="4"/>
      <c r="B35" s="28" t="str">
        <f>IF(ISNUMBER(MATCH(D35, Mgt_Unit!$C$5:$C$1018, 0)), INDEX(Mgt_Unit!$B$5:$B$1018, MATCH(D35, Mgt_Unit!$C$5:$C$1018, 0)), "")</f>
        <v>jennifer.moore</v>
      </c>
      <c r="C35" s="28"/>
      <c r="D35" s="9" t="s">
        <v>651</v>
      </c>
      <c r="E35" s="41"/>
      <c r="F35" s="41" t="s">
        <v>1351</v>
      </c>
      <c r="G35" s="41"/>
      <c r="H35" s="38"/>
      <c r="I35" s="38">
        <v>4.8</v>
      </c>
      <c r="J35" s="38">
        <v>5.0999999999999996</v>
      </c>
      <c r="K35" s="38">
        <v>0.1789</v>
      </c>
      <c r="L35" s="41"/>
      <c r="M35"/>
    </row>
    <row r="36" spans="1:13" x14ac:dyDescent="0.25">
      <c r="A36" s="4"/>
      <c r="B36" s="28" t="str">
        <f>IF(ISNUMBER(MATCH(D36, Mgt_Unit!$C$5:$C$1018, 0)), INDEX(Mgt_Unit!$B$5:$B$1018, MATCH(D36, Mgt_Unit!$C$5:$C$1018, 0)), "")</f>
        <v>jennifer.moore</v>
      </c>
      <c r="C36" s="28"/>
      <c r="D36" s="9" t="s">
        <v>652</v>
      </c>
      <c r="E36" s="41"/>
      <c r="F36" s="41" t="s">
        <v>1351</v>
      </c>
      <c r="G36" s="41"/>
      <c r="H36" s="38"/>
      <c r="I36" s="38">
        <v>3.2</v>
      </c>
      <c r="J36" s="38">
        <v>5.57</v>
      </c>
      <c r="K36" s="38">
        <v>0.1583</v>
      </c>
      <c r="L36" s="41"/>
      <c r="M36"/>
    </row>
    <row r="37" spans="1:13" x14ac:dyDescent="0.25">
      <c r="A37" s="4"/>
      <c r="B37" s="28" t="str">
        <f>IF(ISNUMBER(MATCH(D37, Mgt_Unit!$C$5:$C$1018, 0)), INDEX(Mgt_Unit!$B$5:$B$1018, MATCH(D37, Mgt_Unit!$C$5:$C$1018, 0)), "")</f>
        <v>jennifer.moore</v>
      </c>
      <c r="C37" s="28"/>
      <c r="D37" s="9" t="s">
        <v>653</v>
      </c>
      <c r="E37" s="47"/>
      <c r="F37" s="41" t="s">
        <v>1351</v>
      </c>
      <c r="G37" s="41"/>
      <c r="H37" s="38"/>
      <c r="I37" s="38">
        <v>4.3</v>
      </c>
      <c r="J37" s="38">
        <v>5.13</v>
      </c>
      <c r="K37" s="38">
        <v>0.27700000000000002</v>
      </c>
      <c r="L37" s="41"/>
      <c r="M37"/>
    </row>
    <row r="38" spans="1:13" x14ac:dyDescent="0.25">
      <c r="A38" s="4"/>
      <c r="B38" s="28" t="str">
        <f>IF(ISNUMBER(MATCH(D38, Mgt_Unit!$C$5:$C$1018, 0)), INDEX(Mgt_Unit!$B$5:$B$1018, MATCH(D38, Mgt_Unit!$C$5:$C$1018, 0)), "")</f>
        <v>jennifer.moore</v>
      </c>
      <c r="C38" s="28"/>
      <c r="D38" s="9" t="s">
        <v>654</v>
      </c>
      <c r="E38" s="47"/>
      <c r="F38" s="41" t="s">
        <v>1351</v>
      </c>
      <c r="G38" s="41"/>
      <c r="H38" s="38"/>
      <c r="I38" s="38">
        <v>3.3</v>
      </c>
      <c r="J38" s="38">
        <v>5.23</v>
      </c>
      <c r="K38" s="38">
        <v>0.18740000000000001</v>
      </c>
      <c r="L38" s="41"/>
      <c r="M38"/>
    </row>
    <row r="39" spans="1:13" x14ac:dyDescent="0.25">
      <c r="A39" s="4"/>
      <c r="B39" s="28" t="str">
        <f>IF(ISNUMBER(MATCH(D39, Mgt_Unit!$C$5:$C$1018, 0)), INDEX(Mgt_Unit!$B$5:$B$1018, MATCH(D39, Mgt_Unit!$C$5:$C$1018, 0)), "")</f>
        <v>jennifer.moore</v>
      </c>
      <c r="C39" s="28"/>
      <c r="D39" s="9" t="s">
        <v>655</v>
      </c>
      <c r="E39" s="47"/>
      <c r="F39" s="41" t="s">
        <v>1351</v>
      </c>
      <c r="G39" s="41"/>
      <c r="H39" s="38"/>
      <c r="I39" s="38">
        <v>4.0999999999999996</v>
      </c>
      <c r="J39" s="38">
        <v>5.84</v>
      </c>
      <c r="K39" s="38">
        <v>0.156</v>
      </c>
      <c r="L39" s="41"/>
      <c r="M39"/>
    </row>
    <row r="40" spans="1:13" x14ac:dyDescent="0.25">
      <c r="A40" s="4"/>
      <c r="B40" s="28" t="str">
        <f>IF(ISNUMBER(MATCH(D40, Mgt_Unit!$C$5:$C$1018, 0)), INDEX(Mgt_Unit!$B$5:$B$1018, MATCH(D40, Mgt_Unit!$C$5:$C$1018, 0)), "")</f>
        <v>jennifer.moore</v>
      </c>
      <c r="C40" s="28"/>
      <c r="D40" s="9" t="s">
        <v>656</v>
      </c>
      <c r="E40" s="47"/>
      <c r="F40" s="41" t="s">
        <v>1351</v>
      </c>
      <c r="G40" s="41"/>
      <c r="H40" s="38"/>
      <c r="I40" s="38">
        <v>3.4</v>
      </c>
      <c r="J40" s="38">
        <v>5.55</v>
      </c>
      <c r="K40" s="38">
        <v>0.151</v>
      </c>
      <c r="L40" s="41"/>
      <c r="M40"/>
    </row>
    <row r="41" spans="1:13" x14ac:dyDescent="0.25">
      <c r="A41" s="4"/>
      <c r="B41" s="28" t="str">
        <f>IF(ISNUMBER(MATCH(D41, Mgt_Unit!$C$5:$C$1018, 0)), INDEX(Mgt_Unit!$B$5:$B$1018, MATCH(D41, Mgt_Unit!$C$5:$C$1018, 0)), "")</f>
        <v>jennifer.moore</v>
      </c>
      <c r="C41" s="28"/>
      <c r="D41" s="9" t="s">
        <v>657</v>
      </c>
      <c r="E41" s="47"/>
      <c r="F41" s="41" t="s">
        <v>1351</v>
      </c>
      <c r="G41" s="41"/>
      <c r="H41" s="38"/>
      <c r="I41" s="38">
        <v>4</v>
      </c>
      <c r="J41" s="38">
        <v>5.19</v>
      </c>
      <c r="K41" s="38">
        <v>0.27100000000000002</v>
      </c>
      <c r="L41" s="41"/>
      <c r="M41"/>
    </row>
    <row r="42" spans="1:13" x14ac:dyDescent="0.25">
      <c r="A42" s="4"/>
      <c r="B42" s="28" t="str">
        <f>IF(ISNUMBER(MATCH(D42, Mgt_Unit!$C$5:$C$1018, 0)), INDEX(Mgt_Unit!$B$5:$B$1018, MATCH(D42, Mgt_Unit!$C$5:$C$1018, 0)), "")</f>
        <v>jennifer.moore</v>
      </c>
      <c r="C42" s="28"/>
      <c r="D42" s="9" t="s">
        <v>641</v>
      </c>
      <c r="E42" s="47"/>
      <c r="F42" s="41" t="s">
        <v>1351</v>
      </c>
      <c r="G42" s="41"/>
      <c r="H42" s="38"/>
      <c r="I42" s="38">
        <v>3.8</v>
      </c>
      <c r="J42" s="38">
        <v>5.3</v>
      </c>
      <c r="K42" s="38">
        <v>0.216</v>
      </c>
      <c r="L42" s="41"/>
      <c r="M42"/>
    </row>
    <row r="43" spans="1:13" x14ac:dyDescent="0.25">
      <c r="A43" s="4"/>
      <c r="B43" s="28" t="str">
        <f>IF(ISNUMBER(MATCH(D43, Mgt_Unit!$C$5:$C$1018, 0)), INDEX(Mgt_Unit!$B$5:$B$1018, MATCH(D43, Mgt_Unit!$C$5:$C$1018, 0)), "")</f>
        <v>jennifer.moore</v>
      </c>
      <c r="C43" s="28"/>
      <c r="D43" s="9" t="s">
        <v>642</v>
      </c>
      <c r="E43" s="47"/>
      <c r="F43" s="41" t="s">
        <v>1351</v>
      </c>
      <c r="G43" s="41"/>
      <c r="H43" s="38"/>
      <c r="I43" s="38">
        <v>4.2</v>
      </c>
      <c r="J43" s="38">
        <v>5.61</v>
      </c>
      <c r="K43" s="38">
        <v>0.24099999999999999</v>
      </c>
      <c r="L43" s="41"/>
      <c r="M43"/>
    </row>
    <row r="44" spans="1:13" x14ac:dyDescent="0.25">
      <c r="A44" s="4"/>
      <c r="B44" s="28" t="str">
        <f>IF(ISNUMBER(MATCH(D44, Mgt_Unit!$C$5:$C$1018, 0)), INDEX(Mgt_Unit!$B$5:$B$1018, MATCH(D44, Mgt_Unit!$C$5:$C$1018, 0)), "")</f>
        <v>jennifer.moore</v>
      </c>
      <c r="C44" s="28"/>
      <c r="D44" s="9" t="s">
        <v>643</v>
      </c>
      <c r="E44" s="47"/>
      <c r="F44" s="41" t="s">
        <v>1351</v>
      </c>
      <c r="G44" s="41"/>
      <c r="H44" s="38"/>
      <c r="I44" s="38">
        <v>3.4</v>
      </c>
      <c r="J44" s="38">
        <v>5.4</v>
      </c>
      <c r="K44" s="38">
        <v>0.16400000000000001</v>
      </c>
      <c r="L44" s="41"/>
      <c r="M44"/>
    </row>
    <row r="45" spans="1:13" x14ac:dyDescent="0.25">
      <c r="A45" s="4"/>
      <c r="B45" s="28" t="str">
        <f>IF(ISNUMBER(MATCH(D45, Mgt_Unit!$C$5:$C$1018, 0)), INDEX(Mgt_Unit!$B$5:$B$1018, MATCH(D45, Mgt_Unit!$C$5:$C$1018, 0)), "")</f>
        <v>jennifer.moore</v>
      </c>
      <c r="C45" s="28"/>
      <c r="D45" s="9" t="s">
        <v>644</v>
      </c>
      <c r="E45" s="47"/>
      <c r="F45" s="41" t="s">
        <v>1351</v>
      </c>
      <c r="G45" s="41"/>
      <c r="H45" s="38"/>
      <c r="I45" s="38">
        <v>4.5</v>
      </c>
      <c r="J45" s="38">
        <v>5.72</v>
      </c>
      <c r="K45" s="38">
        <v>0.121</v>
      </c>
      <c r="L45" s="41"/>
      <c r="M45"/>
    </row>
    <row r="46" spans="1:13" x14ac:dyDescent="0.25">
      <c r="A46" s="4"/>
      <c r="B46" s="28" t="str">
        <f>IF(ISNUMBER(MATCH(D46, Mgt_Unit!$C$5:$C$1018, 0)), INDEX(Mgt_Unit!$B$5:$B$1018, MATCH(D46, Mgt_Unit!$C$5:$C$1018, 0)), "")</f>
        <v>jennifer.moore</v>
      </c>
      <c r="C46" s="28"/>
      <c r="D46" s="9" t="s">
        <v>645</v>
      </c>
      <c r="E46" s="47"/>
      <c r="F46" s="41" t="s">
        <v>1351</v>
      </c>
      <c r="G46" s="41"/>
      <c r="H46" s="38"/>
      <c r="I46" s="38">
        <v>3.4</v>
      </c>
      <c r="J46" s="38">
        <v>5.36</v>
      </c>
      <c r="K46" s="38">
        <v>0.1</v>
      </c>
      <c r="L46" s="41"/>
      <c r="M46"/>
    </row>
    <row r="47" spans="1:13" x14ac:dyDescent="0.25">
      <c r="A47" s="4"/>
      <c r="B47" s="28" t="str">
        <f>IF(ISNUMBER(MATCH(D47, Mgt_Unit!$C$5:$C$1018, 0)), INDEX(Mgt_Unit!$B$5:$B$1018, MATCH(D47, Mgt_Unit!$C$5:$C$1018, 0)), "")</f>
        <v>jennifer.moore</v>
      </c>
      <c r="C47" s="28"/>
      <c r="D47" s="9" t="s">
        <v>646</v>
      </c>
      <c r="E47" s="47"/>
      <c r="F47" s="41" t="s">
        <v>1351</v>
      </c>
      <c r="G47" s="41"/>
      <c r="H47" s="38"/>
      <c r="I47" s="38">
        <v>4.0999999999999996</v>
      </c>
      <c r="J47" s="38">
        <v>5.0599999999999996</v>
      </c>
      <c r="K47" s="38">
        <v>0.182</v>
      </c>
      <c r="L47" s="41"/>
      <c r="M47"/>
    </row>
    <row r="48" spans="1:13" x14ac:dyDescent="0.25">
      <c r="A48" s="4"/>
      <c r="B48" s="28" t="str">
        <f>IF(ISNUMBER(MATCH(D48, Mgt_Unit!$C$5:$C$1018, 0)), INDEX(Mgt_Unit!$B$5:$B$1018, MATCH(D48, Mgt_Unit!$C$5:$C$1018, 0)), "")</f>
        <v>jennifer.moore</v>
      </c>
      <c r="C48" s="28"/>
      <c r="D48" s="9" t="s">
        <v>647</v>
      </c>
      <c r="E48" s="47"/>
      <c r="F48" s="41" t="s">
        <v>1351</v>
      </c>
      <c r="G48" s="41"/>
      <c r="H48" s="38"/>
      <c r="I48" s="38">
        <v>3.6</v>
      </c>
      <c r="J48" s="38">
        <v>4.96</v>
      </c>
      <c r="K48" s="38">
        <v>0.124</v>
      </c>
      <c r="L48" s="41"/>
      <c r="M48"/>
    </row>
    <row r="49" spans="1:13" x14ac:dyDescent="0.25">
      <c r="A49" s="4"/>
      <c r="B49" s="28" t="str">
        <f>IF(ISNUMBER(MATCH(D49, Mgt_Unit!$C$5:$C$1018, 0)), INDEX(Mgt_Unit!$B$5:$B$1018, MATCH(D49, Mgt_Unit!$C$5:$C$1018, 0)), "")</f>
        <v>jennifer.moore</v>
      </c>
      <c r="C49" s="28"/>
      <c r="D49" s="9" t="s">
        <v>648</v>
      </c>
      <c r="E49" s="47"/>
      <c r="F49" s="41" t="s">
        <v>1351</v>
      </c>
      <c r="G49" s="41"/>
      <c r="H49" s="38"/>
      <c r="I49" s="38">
        <v>4</v>
      </c>
      <c r="J49" s="38">
        <v>4.5</v>
      </c>
      <c r="K49" s="38">
        <v>0.20499999999999999</v>
      </c>
      <c r="L49" s="41"/>
      <c r="M49"/>
    </row>
    <row r="50" spans="1:13" x14ac:dyDescent="0.25">
      <c r="A50" s="4"/>
      <c r="B50" s="28" t="str">
        <f>IF(ISNUMBER(MATCH(D50, Mgt_Unit!$C$5:$C$1018, 0)), INDEX(Mgt_Unit!$B$5:$B$1018, MATCH(D50, Mgt_Unit!$C$5:$C$1018, 0)), "")</f>
        <v>jennifer.moore</v>
      </c>
      <c r="C50" s="28"/>
      <c r="D50" s="9" t="s">
        <v>650</v>
      </c>
      <c r="E50" s="47"/>
      <c r="F50" s="41" t="s">
        <v>1351</v>
      </c>
      <c r="G50" s="41"/>
      <c r="H50" s="38"/>
      <c r="I50" s="38">
        <v>3.9</v>
      </c>
      <c r="J50" s="38">
        <v>4.87</v>
      </c>
      <c r="K50" s="38">
        <v>0.14799999999999999</v>
      </c>
      <c r="L50" s="41"/>
      <c r="M50"/>
    </row>
    <row r="51" spans="1:13" x14ac:dyDescent="0.25">
      <c r="A51" s="4"/>
      <c r="B51" s="28" t="str">
        <f>IF(ISNUMBER(MATCH(D51, Mgt_Unit!$C$5:$C$1018, 0)), INDEX(Mgt_Unit!$B$5:$B$1018, MATCH(D51, Mgt_Unit!$C$5:$C$1018, 0)), "")</f>
        <v>jennifer.moore</v>
      </c>
      <c r="C51" s="28"/>
      <c r="D51" s="9" t="s">
        <v>658</v>
      </c>
      <c r="E51" s="47"/>
      <c r="F51" s="41" t="s">
        <v>1351</v>
      </c>
      <c r="G51" s="41"/>
      <c r="H51" s="38"/>
      <c r="I51" s="38">
        <v>2.9</v>
      </c>
      <c r="J51" s="38">
        <v>6.09</v>
      </c>
      <c r="K51" s="38">
        <v>0.17299999999999999</v>
      </c>
      <c r="L51" s="41"/>
      <c r="M51"/>
    </row>
    <row r="52" spans="1:13" x14ac:dyDescent="0.25">
      <c r="A52" s="4"/>
      <c r="B52" s="28" t="str">
        <f>IF(ISNUMBER(MATCH(D52, Mgt_Unit!$C$5:$C$1018, 0)), INDEX(Mgt_Unit!$B$5:$B$1018, MATCH(D52, Mgt_Unit!$C$5:$C$1018, 0)), "")</f>
        <v>jennifer.moore</v>
      </c>
      <c r="C52" s="28"/>
      <c r="D52" s="9" t="s">
        <v>659</v>
      </c>
      <c r="E52" s="47"/>
      <c r="F52" s="41" t="s">
        <v>1351</v>
      </c>
      <c r="G52" s="41"/>
      <c r="H52" s="38"/>
      <c r="I52" s="38">
        <v>3.2</v>
      </c>
      <c r="J52" s="38">
        <v>5.71</v>
      </c>
      <c r="K52" s="38">
        <v>0.28499999999999998</v>
      </c>
      <c r="L52" s="41"/>
      <c r="M52"/>
    </row>
    <row r="53" spans="1:13" x14ac:dyDescent="0.25">
      <c r="A53" s="4"/>
      <c r="B53" s="28" t="str">
        <f>IF(ISNUMBER(MATCH(D53, Mgt_Unit!$C$5:$C$1018, 0)), INDEX(Mgt_Unit!$B$5:$B$1018, MATCH(D53, Mgt_Unit!$C$5:$C$1018, 0)), "")</f>
        <v>jennifer.moore</v>
      </c>
      <c r="C53" s="28"/>
      <c r="D53" s="9" t="s">
        <v>660</v>
      </c>
      <c r="E53" s="47"/>
      <c r="F53" s="41" t="s">
        <v>1351</v>
      </c>
      <c r="G53" s="41"/>
      <c r="H53" s="38"/>
      <c r="I53" s="38">
        <v>3.7</v>
      </c>
      <c r="J53" s="38">
        <v>5.18</v>
      </c>
      <c r="K53" s="38">
        <v>0.13700000000000001</v>
      </c>
      <c r="L53" s="41"/>
      <c r="M53"/>
    </row>
    <row r="54" spans="1:13" x14ac:dyDescent="0.25">
      <c r="A54" s="4"/>
      <c r="B54" s="28" t="str">
        <f>IF(ISNUMBER(MATCH(D54, Mgt_Unit!$C$5:$C$1018, 0)), INDEX(Mgt_Unit!$B$5:$B$1018, MATCH(D54, Mgt_Unit!$C$5:$C$1018, 0)), "")</f>
        <v>jennifer.moore</v>
      </c>
      <c r="C54" s="28"/>
      <c r="D54" s="9" t="s">
        <v>661</v>
      </c>
      <c r="E54" s="47"/>
      <c r="F54" s="41" t="s">
        <v>1351</v>
      </c>
      <c r="G54" s="41"/>
      <c r="H54" s="38"/>
      <c r="I54" s="38">
        <v>3.7</v>
      </c>
      <c r="J54" s="38">
        <v>5.01</v>
      </c>
      <c r="K54" s="38">
        <v>0.154</v>
      </c>
      <c r="L54" s="41"/>
      <c r="M54"/>
    </row>
    <row r="55" spans="1:13" x14ac:dyDescent="0.25">
      <c r="A55" s="4"/>
      <c r="B55" s="28" t="str">
        <f>IF(ISNUMBER(MATCH(D55, Mgt_Unit!$C$5:$C$1018, 0)), INDEX(Mgt_Unit!$B$5:$B$1018, MATCH(D55, Mgt_Unit!$C$5:$C$1018, 0)), "")</f>
        <v>jennifer.moore</v>
      </c>
      <c r="C55" s="28"/>
      <c r="D55" s="9" t="s">
        <v>662</v>
      </c>
      <c r="E55" s="47"/>
      <c r="F55" s="41" t="s">
        <v>1351</v>
      </c>
      <c r="G55" s="41"/>
      <c r="H55" s="38"/>
      <c r="I55" s="38">
        <v>3.1</v>
      </c>
      <c r="J55" s="38">
        <v>5.14</v>
      </c>
      <c r="K55" s="38">
        <v>0.15870000000000001</v>
      </c>
      <c r="L55" s="41"/>
      <c r="M55"/>
    </row>
    <row r="56" spans="1:13" x14ac:dyDescent="0.25">
      <c r="A56" s="4"/>
      <c r="B56" s="28" t="str">
        <f>IF(ISNUMBER(MATCH(D56, Mgt_Unit!$C$5:$C$1018, 0)), INDEX(Mgt_Unit!$B$5:$B$1018, MATCH(D56, Mgt_Unit!$C$5:$C$1018, 0)), "")</f>
        <v>jennifer.moore</v>
      </c>
      <c r="C56" s="28"/>
      <c r="D56" s="9" t="s">
        <v>663</v>
      </c>
      <c r="E56" s="47"/>
      <c r="F56" s="41" t="s">
        <v>1351</v>
      </c>
      <c r="G56" s="41"/>
      <c r="H56" s="38"/>
      <c r="I56" s="38">
        <v>2.8</v>
      </c>
      <c r="J56" s="38">
        <v>4.8499999999999996</v>
      </c>
      <c r="K56" s="38">
        <v>0.35199999999999998</v>
      </c>
      <c r="L56" s="41"/>
      <c r="M56"/>
    </row>
    <row r="57" spans="1:13" x14ac:dyDescent="0.25">
      <c r="A57" s="4"/>
      <c r="B57" s="28" t="str">
        <f>IF(ISNUMBER(MATCH(D57, Mgt_Unit!$C$5:$C$1018, 0)), INDEX(Mgt_Unit!$B$5:$B$1018, MATCH(D57, Mgt_Unit!$C$5:$C$1018, 0)), "")</f>
        <v>jennifer.moore</v>
      </c>
      <c r="C57" s="28"/>
      <c r="D57" s="9" t="s">
        <v>658</v>
      </c>
      <c r="E57" s="47"/>
      <c r="F57" s="41" t="s">
        <v>1351</v>
      </c>
      <c r="G57" s="41"/>
      <c r="H57" s="38"/>
      <c r="I57" s="38">
        <v>3.6</v>
      </c>
      <c r="J57" s="38">
        <v>5.51</v>
      </c>
      <c r="K57" s="38">
        <v>0.15</v>
      </c>
      <c r="L57" s="41"/>
      <c r="M57"/>
    </row>
    <row r="58" spans="1:13" x14ac:dyDescent="0.25">
      <c r="A58" s="4"/>
      <c r="B58" s="28" t="str">
        <f>IF(ISNUMBER(MATCH(D58, Mgt_Unit!$C$5:$C$1018, 0)), INDEX(Mgt_Unit!$B$5:$B$1018, MATCH(D58, Mgt_Unit!$C$5:$C$1018, 0)), "")</f>
        <v>jennifer.moore</v>
      </c>
      <c r="C58" s="28"/>
      <c r="D58" s="9" t="s">
        <v>659</v>
      </c>
      <c r="E58" s="47"/>
      <c r="F58" s="41" t="s">
        <v>1351</v>
      </c>
      <c r="G58" s="41"/>
      <c r="H58" s="38"/>
      <c r="I58" s="38">
        <v>3.9</v>
      </c>
      <c r="J58" s="38">
        <v>5.54</v>
      </c>
      <c r="K58" s="38">
        <v>0.26200000000000001</v>
      </c>
      <c r="L58" s="41"/>
      <c r="M58"/>
    </row>
    <row r="59" spans="1:13" x14ac:dyDescent="0.25">
      <c r="A59" s="4"/>
      <c r="B59" s="28" t="str">
        <f>IF(ISNUMBER(MATCH(D59, Mgt_Unit!$C$5:$C$1018, 0)), INDEX(Mgt_Unit!$B$5:$B$1018, MATCH(D59, Mgt_Unit!$C$5:$C$1018, 0)), "")</f>
        <v>jennifer.moore</v>
      </c>
      <c r="C59" s="28"/>
      <c r="D59" s="9" t="s">
        <v>660</v>
      </c>
      <c r="E59" s="47"/>
      <c r="F59" s="41" t="s">
        <v>1351</v>
      </c>
      <c r="G59" s="41"/>
      <c r="H59" s="38"/>
      <c r="I59" s="38">
        <v>3.7</v>
      </c>
      <c r="J59" s="38">
        <v>4.88</v>
      </c>
      <c r="K59" s="38">
        <v>0.19900000000000001</v>
      </c>
      <c r="L59" s="41"/>
      <c r="M59"/>
    </row>
    <row r="60" spans="1:13" x14ac:dyDescent="0.25">
      <c r="A60" s="4"/>
      <c r="B60" s="28" t="str">
        <f>IF(ISNUMBER(MATCH(D60, Mgt_Unit!$C$5:$C$1018, 0)), INDEX(Mgt_Unit!$B$5:$B$1018, MATCH(D60, Mgt_Unit!$C$5:$C$1018, 0)), "")</f>
        <v>jennifer.moore</v>
      </c>
      <c r="C60" s="28"/>
      <c r="D60" s="9" t="s">
        <v>661</v>
      </c>
      <c r="E60" s="47"/>
      <c r="F60" s="41" t="s">
        <v>1351</v>
      </c>
      <c r="G60" s="41"/>
      <c r="H60" s="38"/>
      <c r="I60" s="38">
        <v>4.4000000000000004</v>
      </c>
      <c r="J60" s="38">
        <v>4.9400000000000004</v>
      </c>
      <c r="K60" s="38">
        <v>0.16900000000000001</v>
      </c>
      <c r="L60" s="41"/>
      <c r="M60"/>
    </row>
    <row r="61" spans="1:13" x14ac:dyDescent="0.25">
      <c r="A61" s="4"/>
      <c r="B61" s="28" t="str">
        <f>IF(ISNUMBER(MATCH(D61, Mgt_Unit!$C$5:$C$1018, 0)), INDEX(Mgt_Unit!$B$5:$B$1018, MATCH(D61, Mgt_Unit!$C$5:$C$1018, 0)), "")</f>
        <v>jennifer.moore</v>
      </c>
      <c r="C61" s="28"/>
      <c r="D61" s="9" t="s">
        <v>662</v>
      </c>
      <c r="E61" s="47"/>
      <c r="F61" s="41" t="s">
        <v>1351</v>
      </c>
      <c r="G61" s="41"/>
      <c r="H61" s="38"/>
      <c r="I61" s="38">
        <v>3.2</v>
      </c>
      <c r="J61" s="38">
        <v>4.7</v>
      </c>
      <c r="K61" s="38">
        <v>0.45600000000000002</v>
      </c>
      <c r="L61" s="41"/>
      <c r="M61"/>
    </row>
    <row r="62" spans="1:13" x14ac:dyDescent="0.25">
      <c r="A62" s="4"/>
      <c r="B62" s="28" t="str">
        <f>IF(ISNUMBER(MATCH(D62, Mgt_Unit!$C$5:$C$1018, 0)), INDEX(Mgt_Unit!$B$5:$B$1018, MATCH(D62, Mgt_Unit!$C$5:$C$1018, 0)), "")</f>
        <v>jennifer.moore</v>
      </c>
      <c r="C62" s="28"/>
      <c r="D62" s="9" t="s">
        <v>663</v>
      </c>
      <c r="E62" s="47"/>
      <c r="F62" s="41" t="s">
        <v>1351</v>
      </c>
      <c r="G62" s="41"/>
      <c r="H62" s="38"/>
      <c r="I62" s="38">
        <v>3.5</v>
      </c>
      <c r="J62" s="38">
        <v>4.96</v>
      </c>
      <c r="K62" s="38">
        <v>0.53700000000000003</v>
      </c>
      <c r="L62" s="41"/>
      <c r="M62"/>
    </row>
    <row r="63" spans="1:13" x14ac:dyDescent="0.25">
      <c r="A63" s="4"/>
      <c r="B63" s="28" t="str">
        <f>IF(ISNUMBER(MATCH(D63, Mgt_Unit!$C$5:$C$1018, 0)), INDEX(Mgt_Unit!$B$5:$B$1018, MATCH(D63, Mgt_Unit!$C$5:$C$1018, 0)), "")</f>
        <v>jennifer.moore</v>
      </c>
      <c r="C63" s="28"/>
      <c r="D63" s="9" t="s">
        <v>664</v>
      </c>
      <c r="E63" s="47"/>
      <c r="F63" s="41" t="s">
        <v>1351</v>
      </c>
      <c r="G63" s="41"/>
      <c r="H63" s="38"/>
      <c r="I63" s="38">
        <v>4</v>
      </c>
      <c r="J63" s="38">
        <v>4.5</v>
      </c>
      <c r="K63" s="38">
        <v>0.56899999999999995</v>
      </c>
      <c r="L63" s="41"/>
      <c r="M63"/>
    </row>
    <row r="64" spans="1:13" x14ac:dyDescent="0.25">
      <c r="A64" s="4"/>
      <c r="B64" s="28" t="str">
        <f>IF(ISNUMBER(MATCH(D64, Mgt_Unit!$C$5:$C$1018, 0)), INDEX(Mgt_Unit!$B$5:$B$1018, MATCH(D64, Mgt_Unit!$C$5:$C$1018, 0)), "")</f>
        <v>jennifer.moore</v>
      </c>
      <c r="C64" s="28"/>
      <c r="D64" s="9" t="s">
        <v>665</v>
      </c>
      <c r="E64" s="47"/>
      <c r="F64" s="41" t="s">
        <v>1351</v>
      </c>
      <c r="G64" s="41"/>
      <c r="H64" s="38"/>
      <c r="I64" s="38">
        <v>4.5999999999999996</v>
      </c>
      <c r="J64" s="38">
        <v>4.53</v>
      </c>
      <c r="K64" s="38">
        <v>0.47199999999999998</v>
      </c>
      <c r="L64" s="41"/>
      <c r="M64"/>
    </row>
    <row r="65" spans="1:13" x14ac:dyDescent="0.25">
      <c r="A65" s="4"/>
      <c r="B65" s="28" t="str">
        <f>IF(ISNUMBER(MATCH(D65, Mgt_Unit!$C$5:$C$1018, 0)), INDEX(Mgt_Unit!$B$5:$B$1018, MATCH(D65, Mgt_Unit!$C$5:$C$1018, 0)), "")</f>
        <v>jennifer.moore</v>
      </c>
      <c r="C65" s="28"/>
      <c r="D65" s="9" t="s">
        <v>666</v>
      </c>
      <c r="E65" s="47"/>
      <c r="F65" s="41" t="s">
        <v>1351</v>
      </c>
      <c r="G65" s="41"/>
      <c r="H65" s="38"/>
      <c r="I65" s="38">
        <v>4.7</v>
      </c>
      <c r="J65" s="38">
        <v>4.42</v>
      </c>
      <c r="K65" s="38">
        <v>0.66300000000000003</v>
      </c>
      <c r="L65" s="41"/>
      <c r="M65"/>
    </row>
    <row r="66" spans="1:13" x14ac:dyDescent="0.25">
      <c r="A66" s="4"/>
      <c r="B66" s="28" t="str">
        <f>IF(ISNUMBER(MATCH(D66, Mgt_Unit!$C$5:$C$1018, 0)), INDEX(Mgt_Unit!$B$5:$B$1018, MATCH(D66, Mgt_Unit!$C$5:$C$1018, 0)), "")</f>
        <v>jennifer.moore</v>
      </c>
      <c r="C66" s="28"/>
      <c r="D66" s="9" t="s">
        <v>667</v>
      </c>
      <c r="E66" s="47"/>
      <c r="F66" s="41" t="s">
        <v>1351</v>
      </c>
      <c r="G66" s="41"/>
      <c r="H66" s="38"/>
      <c r="I66" s="38">
        <v>5</v>
      </c>
      <c r="J66" s="38">
        <v>4.1100000000000003</v>
      </c>
      <c r="K66" s="38">
        <v>0.86399999999999999</v>
      </c>
      <c r="L66" s="41"/>
      <c r="M66"/>
    </row>
    <row r="67" spans="1:13" x14ac:dyDescent="0.25">
      <c r="A67" s="4"/>
      <c r="B67" s="28" t="str">
        <f>IF(ISNUMBER(MATCH(D67, Mgt_Unit!$C$5:$C$1018, 0)), INDEX(Mgt_Unit!$B$5:$B$1018, MATCH(D67, Mgt_Unit!$C$5:$C$1018, 0)), "")</f>
        <v>jennifer.moore</v>
      </c>
      <c r="C67" s="28"/>
      <c r="D67" s="9" t="s">
        <v>668</v>
      </c>
      <c r="E67" s="47"/>
      <c r="F67" s="41" t="s">
        <v>1351</v>
      </c>
      <c r="G67" s="41"/>
      <c r="H67" s="38"/>
      <c r="I67" s="38">
        <v>4.9000000000000004</v>
      </c>
      <c r="J67" s="38">
        <v>4.04</v>
      </c>
      <c r="K67" s="38">
        <v>1.333</v>
      </c>
      <c r="L67" s="41"/>
      <c r="M67"/>
    </row>
    <row r="68" spans="1:13" x14ac:dyDescent="0.25">
      <c r="A68" s="4"/>
      <c r="B68" s="28" t="str">
        <f>IF(ISNUMBER(MATCH(D68, Mgt_Unit!$C$5:$C$1018, 0)), INDEX(Mgt_Unit!$B$5:$B$1018, MATCH(D68, Mgt_Unit!$C$5:$C$1018, 0)), "")</f>
        <v>jennifer.moore</v>
      </c>
      <c r="C68" s="28"/>
      <c r="D68" s="9" t="s">
        <v>664</v>
      </c>
      <c r="E68" s="47"/>
      <c r="F68" s="41" t="s">
        <v>1351</v>
      </c>
      <c r="G68" s="41"/>
      <c r="H68" s="38"/>
      <c r="I68" s="38">
        <v>4</v>
      </c>
      <c r="J68" s="38">
        <v>4.1500000000000004</v>
      </c>
      <c r="K68" s="38">
        <v>0.72499999999999998</v>
      </c>
      <c r="L68" s="41"/>
      <c r="M68"/>
    </row>
    <row r="69" spans="1:13" x14ac:dyDescent="0.25">
      <c r="A69" s="4"/>
      <c r="B69" s="28" t="str">
        <f>IF(ISNUMBER(MATCH(D69, Mgt_Unit!$C$5:$C$1018, 0)), INDEX(Mgt_Unit!$B$5:$B$1018, MATCH(D69, Mgt_Unit!$C$5:$C$1018, 0)), "")</f>
        <v>jennifer.moore</v>
      </c>
      <c r="C69" s="28"/>
      <c r="D69" s="9" t="s">
        <v>665</v>
      </c>
      <c r="E69" s="47"/>
      <c r="F69" s="41" t="s">
        <v>1351</v>
      </c>
      <c r="G69" s="41"/>
      <c r="H69" s="38"/>
      <c r="I69" s="38">
        <v>4.7</v>
      </c>
      <c r="J69" s="38">
        <v>4.2699999999999996</v>
      </c>
      <c r="K69" s="38">
        <v>0.874</v>
      </c>
      <c r="L69" s="41"/>
      <c r="M69"/>
    </row>
    <row r="70" spans="1:13" x14ac:dyDescent="0.25">
      <c r="A70" s="4"/>
      <c r="B70" s="28" t="str">
        <f>IF(ISNUMBER(MATCH(D70, Mgt_Unit!$C$5:$C$1018, 0)), INDEX(Mgt_Unit!$B$5:$B$1018, MATCH(D70, Mgt_Unit!$C$5:$C$1018, 0)), "")</f>
        <v>jennifer.moore</v>
      </c>
      <c r="C70" s="28"/>
      <c r="D70" s="9" t="s">
        <v>666</v>
      </c>
      <c r="E70" s="47"/>
      <c r="F70" s="41" t="s">
        <v>1351</v>
      </c>
      <c r="G70" s="41"/>
      <c r="H70" s="38"/>
      <c r="I70" s="38">
        <v>4</v>
      </c>
      <c r="J70" s="38">
        <v>4.32</v>
      </c>
      <c r="K70" s="38">
        <v>0.69199999999999995</v>
      </c>
      <c r="L70" s="41"/>
      <c r="M70"/>
    </row>
    <row r="71" spans="1:13" x14ac:dyDescent="0.25">
      <c r="A71" s="4"/>
      <c r="B71" s="28" t="str">
        <f>IF(ISNUMBER(MATCH(D71, Mgt_Unit!$C$5:$C$1018, 0)), INDEX(Mgt_Unit!$B$5:$B$1018, MATCH(D71, Mgt_Unit!$C$5:$C$1018, 0)), "")</f>
        <v>jennifer.moore</v>
      </c>
      <c r="C71" s="28"/>
      <c r="D71" s="9" t="s">
        <v>667</v>
      </c>
      <c r="E71" s="47"/>
      <c r="F71" s="41" t="s">
        <v>1351</v>
      </c>
      <c r="G71" s="41"/>
      <c r="H71" s="38"/>
      <c r="I71" s="38">
        <v>4.5999999999999996</v>
      </c>
      <c r="J71" s="38">
        <v>4.17</v>
      </c>
      <c r="K71" s="38">
        <v>0.78900000000000003</v>
      </c>
      <c r="L71" s="41"/>
      <c r="M71"/>
    </row>
    <row r="72" spans="1:13" x14ac:dyDescent="0.25">
      <c r="A72" s="4"/>
      <c r="B72" s="28" t="str">
        <f>IF(ISNUMBER(MATCH(D72, Mgt_Unit!$C$5:$C$1018, 0)), INDEX(Mgt_Unit!$B$5:$B$1018, MATCH(D72, Mgt_Unit!$C$5:$C$1018, 0)), "")</f>
        <v>jennifer.moore</v>
      </c>
      <c r="C72" s="28"/>
      <c r="D72" s="9" t="s">
        <v>668</v>
      </c>
      <c r="E72" s="47"/>
      <c r="F72" s="41" t="s">
        <v>1351</v>
      </c>
      <c r="G72" s="41"/>
      <c r="H72" s="38"/>
      <c r="I72" s="38">
        <v>4.5</v>
      </c>
      <c r="J72" s="38">
        <v>4.09</v>
      </c>
      <c r="K72" s="38">
        <v>1.0049999999999999</v>
      </c>
      <c r="L72" s="41"/>
      <c r="M72"/>
    </row>
    <row r="73" spans="1:13" x14ac:dyDescent="0.25">
      <c r="A73" s="4"/>
      <c r="B73" s="28" t="str">
        <f>IF(ISNUMBER(MATCH(D73, Mgt_Unit!$C$5:$C$1018, 0)), INDEX(Mgt_Unit!$B$5:$B$1018, MATCH(D73, Mgt_Unit!$C$5:$C$1018, 0)), "")</f>
        <v>jennifer.moore</v>
      </c>
      <c r="C73" s="28"/>
      <c r="D73" s="9" t="s">
        <v>664</v>
      </c>
      <c r="E73" s="47"/>
      <c r="F73" s="41" t="s">
        <v>1351</v>
      </c>
      <c r="G73" s="41"/>
      <c r="H73" s="38"/>
      <c r="I73" s="38">
        <v>4.0999999999999996</v>
      </c>
      <c r="J73" s="38">
        <v>4.22</v>
      </c>
      <c r="K73" s="38">
        <v>0.98699999999999999</v>
      </c>
      <c r="L73" s="41"/>
      <c r="M73"/>
    </row>
    <row r="74" spans="1:13" x14ac:dyDescent="0.25">
      <c r="A74" s="4"/>
      <c r="B74" s="28" t="str">
        <f>IF(ISNUMBER(MATCH(D74, Mgt_Unit!$C$5:$C$1018, 0)), INDEX(Mgt_Unit!$B$5:$B$1018, MATCH(D74, Mgt_Unit!$C$5:$C$1018, 0)), "")</f>
        <v>jennifer.moore</v>
      </c>
      <c r="C74" s="28"/>
      <c r="D74" s="9" t="s">
        <v>665</v>
      </c>
      <c r="E74" s="47"/>
      <c r="F74" s="41" t="s">
        <v>1351</v>
      </c>
      <c r="G74" s="41"/>
      <c r="H74" s="38"/>
      <c r="I74" s="38">
        <v>4.7</v>
      </c>
      <c r="J74" s="38">
        <v>4.4000000000000004</v>
      </c>
      <c r="K74" s="38">
        <v>0.84699999999999998</v>
      </c>
      <c r="L74" s="41"/>
      <c r="M74"/>
    </row>
    <row r="75" spans="1:13" x14ac:dyDescent="0.25">
      <c r="A75" s="4"/>
      <c r="B75" s="28" t="str">
        <f>IF(ISNUMBER(MATCH(D75, Mgt_Unit!$C$5:$C$1018, 0)), INDEX(Mgt_Unit!$B$5:$B$1018, MATCH(D75, Mgt_Unit!$C$5:$C$1018, 0)), "")</f>
        <v>jennifer.moore</v>
      </c>
      <c r="C75" s="28"/>
      <c r="D75" s="9" t="s">
        <v>666</v>
      </c>
      <c r="E75" s="47"/>
      <c r="F75" s="41" t="s">
        <v>1351</v>
      </c>
      <c r="G75" s="41"/>
      <c r="H75" s="38"/>
      <c r="I75" s="38">
        <v>4.5999999999999996</v>
      </c>
      <c r="J75" s="38">
        <v>4.16</v>
      </c>
      <c r="K75" s="38">
        <v>0.86099999999999999</v>
      </c>
      <c r="L75" s="41"/>
      <c r="M75"/>
    </row>
    <row r="76" spans="1:13" x14ac:dyDescent="0.25">
      <c r="A76" s="4"/>
      <c r="B76" s="28" t="str">
        <f>IF(ISNUMBER(MATCH(D76, Mgt_Unit!$C$5:$C$1018, 0)), INDEX(Mgt_Unit!$B$5:$B$1018, MATCH(D76, Mgt_Unit!$C$5:$C$1018, 0)), "")</f>
        <v>jennifer.moore</v>
      </c>
      <c r="C76" s="28"/>
      <c r="D76" s="9" t="s">
        <v>667</v>
      </c>
      <c r="E76" s="47"/>
      <c r="F76" s="41" t="s">
        <v>1351</v>
      </c>
      <c r="G76" s="41"/>
      <c r="H76" s="38"/>
      <c r="I76" s="38">
        <v>4.7</v>
      </c>
      <c r="J76" s="38">
        <v>4.3</v>
      </c>
      <c r="K76" s="38">
        <v>0.84799999999999998</v>
      </c>
      <c r="L76" s="41"/>
      <c r="M76"/>
    </row>
    <row r="77" spans="1:13" x14ac:dyDescent="0.25">
      <c r="A77" s="4"/>
      <c r="B77" s="28" t="str">
        <f>IF(ISNUMBER(MATCH(D77, Mgt_Unit!$C$5:$C$1018, 0)), INDEX(Mgt_Unit!$B$5:$B$1018, MATCH(D77, Mgt_Unit!$C$5:$C$1018, 0)), "")</f>
        <v>jennifer.moore</v>
      </c>
      <c r="C77" s="28"/>
      <c r="D77" s="9" t="s">
        <v>668</v>
      </c>
      <c r="E77" s="47"/>
      <c r="F77" s="41" t="s">
        <v>1351</v>
      </c>
      <c r="G77" s="41"/>
      <c r="H77" s="38"/>
      <c r="I77" s="38">
        <v>4.9000000000000004</v>
      </c>
      <c r="J77" s="38">
        <v>4.21</v>
      </c>
      <c r="K77" s="38">
        <v>0.754</v>
      </c>
      <c r="L77" s="41"/>
      <c r="M77"/>
    </row>
    <row r="78" spans="1:13" x14ac:dyDescent="0.25">
      <c r="A78" s="4"/>
      <c r="B78" s="28" t="str">
        <f>IF(ISNUMBER(MATCH(D78, Mgt_Unit!$C$5:$C$1018, 0)), INDEX(Mgt_Unit!$B$5:$B$1018, MATCH(D78, Mgt_Unit!$C$5:$C$1018, 0)), "")</f>
        <v>jennifer.moore</v>
      </c>
      <c r="C78" s="28"/>
      <c r="D78" s="9" t="s">
        <v>669</v>
      </c>
      <c r="E78" s="47"/>
      <c r="F78" s="41" t="s">
        <v>1351</v>
      </c>
      <c r="G78" s="41"/>
      <c r="H78" s="38"/>
      <c r="I78" s="38">
        <v>5.6</v>
      </c>
      <c r="J78" s="38">
        <v>4.63</v>
      </c>
      <c r="K78" s="38">
        <v>0.54700000000000004</v>
      </c>
      <c r="L78" s="41"/>
      <c r="M78"/>
    </row>
    <row r="79" spans="1:13" x14ac:dyDescent="0.25">
      <c r="A79" s="4"/>
      <c r="B79" s="28" t="str">
        <f>IF(ISNUMBER(MATCH(D79, Mgt_Unit!$C$5:$C$1018, 0)), INDEX(Mgt_Unit!$B$5:$B$1018, MATCH(D79, Mgt_Unit!$C$5:$C$1018, 0)), "")</f>
        <v>jennifer.moore</v>
      </c>
      <c r="C79" s="28"/>
      <c r="D79" s="9" t="s">
        <v>670</v>
      </c>
      <c r="E79" s="47"/>
      <c r="F79" s="41" t="s">
        <v>1351</v>
      </c>
      <c r="G79" s="41"/>
      <c r="H79" s="38"/>
      <c r="I79" s="38">
        <v>5.7</v>
      </c>
      <c r="J79" s="38">
        <v>4.76</v>
      </c>
      <c r="K79" s="38">
        <v>0.34899999999999998</v>
      </c>
      <c r="L79" s="41"/>
      <c r="M79"/>
    </row>
    <row r="80" spans="1:13" x14ac:dyDescent="0.25">
      <c r="A80" s="4"/>
      <c r="B80" s="28" t="str">
        <f>IF(ISNUMBER(MATCH(D80, Mgt_Unit!$C$5:$C$1018, 0)), INDEX(Mgt_Unit!$B$5:$B$1018, MATCH(D80, Mgt_Unit!$C$5:$C$1018, 0)), "")</f>
        <v>jennifer.moore</v>
      </c>
      <c r="C80" s="28"/>
      <c r="D80" s="9" t="s">
        <v>671</v>
      </c>
      <c r="E80" s="47"/>
      <c r="F80" s="41" t="s">
        <v>1351</v>
      </c>
      <c r="G80" s="41"/>
      <c r="H80" s="38"/>
      <c r="I80" s="38">
        <v>6.6</v>
      </c>
      <c r="J80" s="38">
        <v>4.38</v>
      </c>
      <c r="K80" s="38">
        <v>0.29899999999999999</v>
      </c>
      <c r="L80" s="41"/>
      <c r="M80"/>
    </row>
    <row r="81" spans="1:13" x14ac:dyDescent="0.25">
      <c r="A81" s="4"/>
      <c r="B81" s="28" t="str">
        <f>IF(ISNUMBER(MATCH(D81, Mgt_Unit!$C$5:$C$1018, 0)), INDEX(Mgt_Unit!$B$5:$B$1018, MATCH(D81, Mgt_Unit!$C$5:$C$1018, 0)), "")</f>
        <v>jennifer.moore</v>
      </c>
      <c r="C81" s="28"/>
      <c r="D81" s="9" t="s">
        <v>672</v>
      </c>
      <c r="E81" s="47"/>
      <c r="F81" s="41" t="s">
        <v>1351</v>
      </c>
      <c r="G81" s="41"/>
      <c r="H81" s="38"/>
      <c r="I81" s="38">
        <v>6.6</v>
      </c>
      <c r="J81" s="38">
        <v>4.09</v>
      </c>
      <c r="K81" s="38">
        <v>0.371</v>
      </c>
      <c r="L81" s="41"/>
      <c r="M81"/>
    </row>
    <row r="82" spans="1:13" x14ac:dyDescent="0.25">
      <c r="A82" s="4"/>
      <c r="B82" s="28" t="str">
        <f>IF(ISNUMBER(MATCH(D82, Mgt_Unit!$C$5:$C$1018, 0)), INDEX(Mgt_Unit!$B$5:$B$1018, MATCH(D82, Mgt_Unit!$C$5:$C$1018, 0)), "")</f>
        <v>jennifer.moore</v>
      </c>
      <c r="C82" s="28"/>
      <c r="D82" s="9" t="s">
        <v>673</v>
      </c>
      <c r="E82" s="47"/>
      <c r="F82" s="41" t="s">
        <v>1351</v>
      </c>
      <c r="G82" s="41"/>
      <c r="H82" s="38"/>
      <c r="I82" s="38">
        <v>5.8</v>
      </c>
      <c r="J82" s="38">
        <v>4.33</v>
      </c>
      <c r="K82" s="38">
        <v>0.41299999999999998</v>
      </c>
      <c r="L82" s="41"/>
      <c r="M82"/>
    </row>
    <row r="83" spans="1:13" x14ac:dyDescent="0.25">
      <c r="A83" s="4"/>
      <c r="B83" s="28" t="str">
        <f>IF(ISNUMBER(MATCH(D83, Mgt_Unit!$C$5:$C$1018, 0)), INDEX(Mgt_Unit!$B$5:$B$1018, MATCH(D83, Mgt_Unit!$C$5:$C$1018, 0)), "")</f>
        <v>jennifer.moore</v>
      </c>
      <c r="C83" s="28"/>
      <c r="D83" s="9" t="s">
        <v>674</v>
      </c>
      <c r="E83" s="47"/>
      <c r="F83" s="41" t="s">
        <v>1351</v>
      </c>
      <c r="G83" s="41"/>
      <c r="H83" s="38"/>
      <c r="I83" s="38">
        <v>6.6</v>
      </c>
      <c r="J83" s="38">
        <v>4.4000000000000004</v>
      </c>
      <c r="K83" s="38">
        <v>0.36</v>
      </c>
      <c r="L83" s="41"/>
      <c r="M83"/>
    </row>
    <row r="84" spans="1:13" x14ac:dyDescent="0.25">
      <c r="A84" s="4"/>
      <c r="B84" s="28" t="str">
        <f>IF(ISNUMBER(MATCH(D84, Mgt_Unit!$C$5:$C$1018, 0)), INDEX(Mgt_Unit!$B$5:$B$1018, MATCH(D84, Mgt_Unit!$C$5:$C$1018, 0)), "")</f>
        <v>jennifer.moore</v>
      </c>
      <c r="C84" s="28"/>
      <c r="D84" s="9" t="s">
        <v>675</v>
      </c>
      <c r="E84" s="47"/>
      <c r="F84" s="41" t="s">
        <v>1351</v>
      </c>
      <c r="G84" s="41"/>
      <c r="H84" s="38"/>
      <c r="I84" s="38">
        <v>7</v>
      </c>
      <c r="J84" s="38">
        <v>4.21</v>
      </c>
      <c r="K84" s="38">
        <v>0.35399999999999998</v>
      </c>
      <c r="L84" s="41"/>
      <c r="M84"/>
    </row>
    <row r="85" spans="1:13" x14ac:dyDescent="0.25">
      <c r="A85" s="4"/>
      <c r="B85" s="28" t="str">
        <f>IF(ISNUMBER(MATCH(D85, Mgt_Unit!$C$5:$C$1018, 0)), INDEX(Mgt_Unit!$B$5:$B$1018, MATCH(D85, Mgt_Unit!$C$5:$C$1018, 0)), "")</f>
        <v>jennifer.moore</v>
      </c>
      <c r="C85" s="28"/>
      <c r="D85" s="9" t="s">
        <v>676</v>
      </c>
      <c r="E85" s="47"/>
      <c r="F85" s="41" t="s">
        <v>1351</v>
      </c>
      <c r="G85" s="41"/>
      <c r="H85" s="38"/>
      <c r="I85" s="38">
        <v>6.4</v>
      </c>
      <c r="J85" s="38">
        <v>4.75</v>
      </c>
      <c r="K85" s="38">
        <v>0.33400000000000002</v>
      </c>
      <c r="L85" s="41"/>
      <c r="M85"/>
    </row>
    <row r="86" spans="1:13" x14ac:dyDescent="0.25">
      <c r="A86" s="4"/>
      <c r="B86" s="28" t="str">
        <f>IF(ISNUMBER(MATCH(D86, Mgt_Unit!$C$5:$C$1018, 0)), INDEX(Mgt_Unit!$B$5:$B$1018, MATCH(D86, Mgt_Unit!$C$5:$C$1018, 0)), "")</f>
        <v>jennifer.moore</v>
      </c>
      <c r="C86" s="28"/>
      <c r="D86" s="9" t="s">
        <v>677</v>
      </c>
      <c r="E86" s="47"/>
      <c r="F86" s="41" t="s">
        <v>1351</v>
      </c>
      <c r="G86" s="41"/>
      <c r="H86" s="38"/>
      <c r="I86" s="38">
        <v>6.8</v>
      </c>
      <c r="J86" s="38">
        <v>4.66</v>
      </c>
      <c r="K86" s="38">
        <v>0.26100000000000001</v>
      </c>
      <c r="L86" s="41"/>
      <c r="M86"/>
    </row>
    <row r="87" spans="1:13" x14ac:dyDescent="0.25">
      <c r="A87" s="4"/>
      <c r="B87" s="28" t="str">
        <f>IF(ISNUMBER(MATCH(D87, Mgt_Unit!$C$5:$C$1018, 0)), INDEX(Mgt_Unit!$B$5:$B$1018, MATCH(D87, Mgt_Unit!$C$5:$C$1018, 0)), "")</f>
        <v>jennifer.moore</v>
      </c>
      <c r="C87" s="28"/>
      <c r="D87" s="9" t="s">
        <v>678</v>
      </c>
      <c r="E87" s="47"/>
      <c r="F87" s="41" t="s">
        <v>1351</v>
      </c>
      <c r="G87" s="41"/>
      <c r="H87" s="38"/>
      <c r="I87" s="38">
        <v>3.7</v>
      </c>
      <c r="J87" s="38">
        <v>7.4</v>
      </c>
      <c r="K87" s="38">
        <v>0.54900000000000004</v>
      </c>
      <c r="L87" s="41"/>
      <c r="M87"/>
    </row>
    <row r="88" spans="1:13" x14ac:dyDescent="0.25">
      <c r="A88" s="4"/>
      <c r="B88" s="28" t="str">
        <f>IF(ISNUMBER(MATCH(D88, Mgt_Unit!$C$5:$C$1018, 0)), INDEX(Mgt_Unit!$B$5:$B$1018, MATCH(D88, Mgt_Unit!$C$5:$C$1018, 0)), "")</f>
        <v>jennifer.moore</v>
      </c>
      <c r="C88" s="28"/>
      <c r="D88" s="9" t="s">
        <v>679</v>
      </c>
      <c r="E88" s="47"/>
      <c r="F88" s="41" t="s">
        <v>1351</v>
      </c>
      <c r="G88" s="41"/>
      <c r="H88" s="38"/>
      <c r="I88" s="38">
        <v>4.7</v>
      </c>
      <c r="J88" s="38">
        <v>6.91</v>
      </c>
      <c r="K88" s="38">
        <v>0.53</v>
      </c>
      <c r="L88" s="41"/>
      <c r="M88"/>
    </row>
    <row r="89" spans="1:13" x14ac:dyDescent="0.25">
      <c r="A89" s="4"/>
      <c r="B89" s="28" t="str">
        <f>IF(ISNUMBER(MATCH(D89, Mgt_Unit!$C$5:$C$1018, 0)), INDEX(Mgt_Unit!$B$5:$B$1018, MATCH(D89, Mgt_Unit!$C$5:$C$1018, 0)), "")</f>
        <v>jennifer.moore</v>
      </c>
      <c r="C89" s="28"/>
      <c r="D89" s="9" t="s">
        <v>680</v>
      </c>
      <c r="E89" s="47"/>
      <c r="F89" s="41" t="s">
        <v>1351</v>
      </c>
      <c r="G89" s="41"/>
      <c r="H89" s="38"/>
      <c r="I89" s="38">
        <v>4.7</v>
      </c>
      <c r="J89" s="38">
        <v>7.41</v>
      </c>
      <c r="K89" s="38">
        <v>0.54600000000000004</v>
      </c>
      <c r="L89" s="41"/>
      <c r="M89"/>
    </row>
    <row r="90" spans="1:13" x14ac:dyDescent="0.25">
      <c r="A90" s="4"/>
      <c r="B90" s="28" t="str">
        <f>IF(ISNUMBER(MATCH(D90, Mgt_Unit!$C$5:$C$1018, 0)), INDEX(Mgt_Unit!$B$5:$B$1018, MATCH(D90, Mgt_Unit!$C$5:$C$1018, 0)), "")</f>
        <v>jennifer.moore</v>
      </c>
      <c r="C90" s="28"/>
      <c r="D90" s="9" t="s">
        <v>681</v>
      </c>
      <c r="E90" s="47"/>
      <c r="F90" s="41" t="s">
        <v>1351</v>
      </c>
      <c r="G90" s="41"/>
      <c r="H90" s="38"/>
      <c r="I90" s="38">
        <v>4.8</v>
      </c>
      <c r="J90" s="38">
        <v>7.24</v>
      </c>
      <c r="K90" s="38">
        <v>0.46899999999999997</v>
      </c>
      <c r="L90" s="41"/>
      <c r="M90"/>
    </row>
    <row r="91" spans="1:13" x14ac:dyDescent="0.25">
      <c r="A91" s="4"/>
      <c r="B91" s="28" t="str">
        <f>IF(ISNUMBER(MATCH(D91, Mgt_Unit!$C$5:$C$1018, 0)), INDEX(Mgt_Unit!$B$5:$B$1018, MATCH(D91, Mgt_Unit!$C$5:$C$1018, 0)), "")</f>
        <v>jennifer.moore</v>
      </c>
      <c r="C91" s="28"/>
      <c r="D91" s="9" t="s">
        <v>682</v>
      </c>
      <c r="E91" s="47"/>
      <c r="F91" s="41" t="s">
        <v>1351</v>
      </c>
      <c r="G91" s="41"/>
      <c r="H91" s="38"/>
      <c r="I91" s="38">
        <v>4.4000000000000004</v>
      </c>
      <c r="J91" s="38">
        <v>7.51</v>
      </c>
      <c r="K91" s="38">
        <v>0.49099999999999999</v>
      </c>
      <c r="L91" s="41"/>
      <c r="M91"/>
    </row>
    <row r="92" spans="1:13" x14ac:dyDescent="0.25">
      <c r="A92" s="4"/>
      <c r="B92" s="28" t="str">
        <f>IF(ISNUMBER(MATCH(D92, Mgt_Unit!$C$5:$C$1018, 0)), INDEX(Mgt_Unit!$B$5:$B$1018, MATCH(D92, Mgt_Unit!$C$5:$C$1018, 0)), "")</f>
        <v>jennifer.moore</v>
      </c>
      <c r="C92" s="28"/>
      <c r="D92" s="9" t="s">
        <v>683</v>
      </c>
      <c r="E92" s="47"/>
      <c r="F92" s="41" t="s">
        <v>1351</v>
      </c>
      <c r="G92" s="41"/>
      <c r="H92" s="38"/>
      <c r="I92" s="38">
        <v>4.7</v>
      </c>
      <c r="J92" s="38">
        <v>7.1</v>
      </c>
      <c r="K92" s="38">
        <v>0.55800000000000005</v>
      </c>
      <c r="L92" s="41"/>
      <c r="M92"/>
    </row>
    <row r="93" spans="1:13" x14ac:dyDescent="0.25">
      <c r="A93" s="4"/>
      <c r="B93" s="28" t="str">
        <f>IF(ISNUMBER(MATCH(D93, Mgt_Unit!$C$5:$C$1018, 0)), INDEX(Mgt_Unit!$B$5:$B$1018, MATCH(D93, Mgt_Unit!$C$5:$C$1018, 0)), "")</f>
        <v>jennifer.moore</v>
      </c>
      <c r="C93" s="28"/>
      <c r="D93" s="9" t="s">
        <v>678</v>
      </c>
      <c r="E93" s="47"/>
      <c r="F93" s="41" t="s">
        <v>1351</v>
      </c>
      <c r="G93" s="41"/>
      <c r="H93" s="38"/>
      <c r="I93" s="38">
        <v>4.4000000000000004</v>
      </c>
      <c r="J93" s="38">
        <v>7.04</v>
      </c>
      <c r="K93" s="38">
        <v>0.50700000000000001</v>
      </c>
      <c r="L93" s="41"/>
      <c r="M93"/>
    </row>
    <row r="94" spans="1:13" x14ac:dyDescent="0.25">
      <c r="A94" s="4"/>
      <c r="B94" s="28" t="str">
        <f>IF(ISNUMBER(MATCH(D94, Mgt_Unit!$C$5:$C$1018, 0)), INDEX(Mgt_Unit!$B$5:$B$1018, MATCH(D94, Mgt_Unit!$C$5:$C$1018, 0)), "")</f>
        <v>jennifer.moore</v>
      </c>
      <c r="C94" s="28"/>
      <c r="D94" s="9" t="s">
        <v>679</v>
      </c>
      <c r="E94" s="47"/>
      <c r="F94" s="41" t="s">
        <v>1351</v>
      </c>
      <c r="G94" s="41"/>
      <c r="H94" s="38"/>
      <c r="I94" s="38">
        <v>4.5999999999999996</v>
      </c>
      <c r="J94" s="38">
        <v>6.84</v>
      </c>
      <c r="K94" s="38">
        <v>0.50800000000000001</v>
      </c>
      <c r="L94" s="41"/>
      <c r="M94"/>
    </row>
    <row r="95" spans="1:13" x14ac:dyDescent="0.25">
      <c r="A95" s="4"/>
      <c r="B95" s="28" t="str">
        <f>IF(ISNUMBER(MATCH(D95, Mgt_Unit!$C$5:$C$1018, 0)), INDEX(Mgt_Unit!$B$5:$B$1018, MATCH(D95, Mgt_Unit!$C$5:$C$1018, 0)), "")</f>
        <v>jennifer.moore</v>
      </c>
      <c r="C95" s="28"/>
      <c r="D95" s="9" t="s">
        <v>680</v>
      </c>
      <c r="E95" s="47"/>
      <c r="F95" s="41" t="s">
        <v>1351</v>
      </c>
      <c r="G95" s="41"/>
      <c r="H95" s="38"/>
      <c r="I95" s="38">
        <v>5.5</v>
      </c>
      <c r="J95" s="38">
        <v>6.76</v>
      </c>
      <c r="K95" s="38">
        <v>0.56699999999999995</v>
      </c>
      <c r="L95" s="41"/>
      <c r="M95"/>
    </row>
    <row r="96" spans="1:13" x14ac:dyDescent="0.25">
      <c r="A96" s="4"/>
      <c r="B96" s="28" t="str">
        <f>IF(ISNUMBER(MATCH(D96, Mgt_Unit!$C$5:$C$1018, 0)), INDEX(Mgt_Unit!$B$5:$B$1018, MATCH(D96, Mgt_Unit!$C$5:$C$1018, 0)), "")</f>
        <v>jennifer.moore</v>
      </c>
      <c r="C96" s="28"/>
      <c r="D96" s="9" t="s">
        <v>681</v>
      </c>
      <c r="E96" s="47"/>
      <c r="F96" s="41" t="s">
        <v>1351</v>
      </c>
      <c r="G96" s="41"/>
      <c r="H96" s="38"/>
      <c r="I96" s="38">
        <v>4.5999999999999996</v>
      </c>
      <c r="J96" s="38">
        <v>7.1</v>
      </c>
      <c r="K96" s="38">
        <v>0.48599999999999999</v>
      </c>
      <c r="L96" s="41"/>
      <c r="M96"/>
    </row>
    <row r="97" spans="1:13" x14ac:dyDescent="0.25">
      <c r="A97" s="4"/>
      <c r="B97" s="28" t="str">
        <f>IF(ISNUMBER(MATCH(D97, Mgt_Unit!$C$5:$C$1018, 0)), INDEX(Mgt_Unit!$B$5:$B$1018, MATCH(D97, Mgt_Unit!$C$5:$C$1018, 0)), "")</f>
        <v>jennifer.moore</v>
      </c>
      <c r="C97" s="28"/>
      <c r="D97" s="9" t="s">
        <v>682</v>
      </c>
      <c r="E97" s="47"/>
      <c r="F97" s="41" t="s">
        <v>1351</v>
      </c>
      <c r="G97" s="41"/>
      <c r="H97" s="38"/>
      <c r="I97" s="38">
        <v>4.0999999999999996</v>
      </c>
      <c r="J97" s="38">
        <v>7.16</v>
      </c>
      <c r="K97" s="38">
        <v>0.44900000000000001</v>
      </c>
      <c r="L97" s="41"/>
      <c r="M97"/>
    </row>
    <row r="98" spans="1:13" x14ac:dyDescent="0.25">
      <c r="A98" s="4"/>
      <c r="B98" s="28" t="str">
        <f>IF(ISNUMBER(MATCH(D98, Mgt_Unit!$C$5:$C$1018, 0)), INDEX(Mgt_Unit!$B$5:$B$1018, MATCH(D98, Mgt_Unit!$C$5:$C$1018, 0)), "")</f>
        <v>jennifer.moore</v>
      </c>
      <c r="C98" s="28"/>
      <c r="D98" s="9" t="s">
        <v>683</v>
      </c>
      <c r="E98" s="47"/>
      <c r="F98" s="41" t="s">
        <v>1351</v>
      </c>
      <c r="G98" s="41"/>
      <c r="H98" s="38"/>
      <c r="I98" s="38">
        <v>4.5</v>
      </c>
      <c r="J98" s="38">
        <v>7.06</v>
      </c>
      <c r="K98" s="38">
        <v>0.41799999999999998</v>
      </c>
      <c r="L98" s="41"/>
      <c r="M98"/>
    </row>
    <row r="99" spans="1:13" x14ac:dyDescent="0.25">
      <c r="A99" s="4"/>
      <c r="B99" s="28" t="str">
        <f>IF(ISNUMBER(MATCH(D99, Mgt_Unit!$C$5:$C$1018, 0)), INDEX(Mgt_Unit!$B$5:$B$1018, MATCH(D99, Mgt_Unit!$C$5:$C$1018, 0)), "")</f>
        <v>jennifer.moore</v>
      </c>
      <c r="C99" s="28"/>
      <c r="D99" s="9" t="s">
        <v>684</v>
      </c>
      <c r="E99" s="47"/>
      <c r="F99" s="41" t="s">
        <v>1351</v>
      </c>
      <c r="G99" s="41"/>
      <c r="H99" s="38"/>
      <c r="I99" s="38">
        <v>3.3</v>
      </c>
      <c r="J99" s="38">
        <v>7.74</v>
      </c>
      <c r="K99" s="38">
        <v>0.6</v>
      </c>
      <c r="L99" s="41"/>
      <c r="M99"/>
    </row>
    <row r="100" spans="1:13" x14ac:dyDescent="0.25">
      <c r="A100" s="4"/>
      <c r="B100" s="28" t="str">
        <f>IF(ISNUMBER(MATCH(D100, Mgt_Unit!$C$5:$C$1018, 0)), INDEX(Mgt_Unit!$B$5:$B$1018, MATCH(D100, Mgt_Unit!$C$5:$C$1018, 0)), "")</f>
        <v>jennifer.moore</v>
      </c>
      <c r="C100" s="28"/>
      <c r="D100" s="9" t="s">
        <v>684</v>
      </c>
      <c r="E100" s="47"/>
      <c r="F100" s="41" t="s">
        <v>1351</v>
      </c>
      <c r="G100" s="41"/>
      <c r="H100" s="38"/>
      <c r="I100" s="38">
        <v>3.4</v>
      </c>
      <c r="J100" s="38">
        <v>7.7</v>
      </c>
      <c r="K100" s="38">
        <v>0.51600000000000001</v>
      </c>
      <c r="L100" s="41"/>
      <c r="M100"/>
    </row>
    <row r="101" spans="1:13" x14ac:dyDescent="0.25">
      <c r="A101" s="4"/>
      <c r="B101" s="28" t="str">
        <f>IF(ISNUMBER(MATCH(D101, Mgt_Unit!$C$5:$C$1018, 0)), INDEX(Mgt_Unit!$B$5:$B$1018, MATCH(D101, Mgt_Unit!$C$5:$C$1018, 0)), "")</f>
        <v>jennifer.moore</v>
      </c>
      <c r="C101" s="28"/>
      <c r="D101" s="9" t="s">
        <v>685</v>
      </c>
      <c r="E101" s="47"/>
      <c r="F101" s="41" t="s">
        <v>1351</v>
      </c>
      <c r="G101" s="41"/>
      <c r="H101" s="38"/>
      <c r="I101" s="38">
        <v>3.4</v>
      </c>
      <c r="J101" s="38">
        <v>7.97</v>
      </c>
      <c r="K101" s="38">
        <v>0.41499999999999998</v>
      </c>
      <c r="L101" s="41"/>
      <c r="M101"/>
    </row>
    <row r="102" spans="1:13" x14ac:dyDescent="0.25">
      <c r="A102" s="4"/>
      <c r="B102" s="28" t="str">
        <f>IF(ISNUMBER(MATCH(D102, Mgt_Unit!$C$5:$C$1018, 0)), INDEX(Mgt_Unit!$B$5:$B$1018, MATCH(D102, Mgt_Unit!$C$5:$C$1018, 0)), "")</f>
        <v>jennifer.moore</v>
      </c>
      <c r="C102" s="28"/>
      <c r="D102" s="9" t="s">
        <v>685</v>
      </c>
      <c r="E102" s="47"/>
      <c r="F102" s="41" t="s">
        <v>1351</v>
      </c>
      <c r="G102" s="41"/>
      <c r="H102" s="38"/>
      <c r="I102" s="38">
        <v>3.2</v>
      </c>
      <c r="J102" s="38">
        <v>7.86</v>
      </c>
      <c r="K102" s="38">
        <v>0.52800000000000002</v>
      </c>
      <c r="L102" s="41"/>
      <c r="M102"/>
    </row>
    <row r="103" spans="1:13" x14ac:dyDescent="0.25">
      <c r="A103" s="4"/>
      <c r="B103" s="28" t="str">
        <f>IF(ISNUMBER(MATCH(D103, Mgt_Unit!$C$5:$C$1018, 0)), INDEX(Mgt_Unit!$B$5:$B$1018, MATCH(D103, Mgt_Unit!$C$5:$C$1018, 0)), "")</f>
        <v>jennifer.moore</v>
      </c>
      <c r="C103" s="28"/>
      <c r="D103" s="9" t="s">
        <v>686</v>
      </c>
      <c r="E103" s="47"/>
      <c r="F103" s="41" t="s">
        <v>1351</v>
      </c>
      <c r="G103" s="41"/>
      <c r="H103" s="38"/>
      <c r="I103" s="38">
        <v>3</v>
      </c>
      <c r="J103" s="38">
        <v>7.63</v>
      </c>
      <c r="K103" s="38">
        <v>0.40500000000000003</v>
      </c>
      <c r="L103" s="41"/>
      <c r="M103"/>
    </row>
    <row r="104" spans="1:13" x14ac:dyDescent="0.25">
      <c r="A104" s="4"/>
      <c r="B104" s="28" t="str">
        <f>IF(ISNUMBER(MATCH(D104, Mgt_Unit!$C$5:$C$1018, 0)), INDEX(Mgt_Unit!$B$5:$B$1018, MATCH(D104, Mgt_Unit!$C$5:$C$1018, 0)), "")</f>
        <v>jennifer.moore</v>
      </c>
      <c r="C104" s="28"/>
      <c r="D104" s="9" t="s">
        <v>686</v>
      </c>
      <c r="E104" s="47"/>
      <c r="F104" s="41" t="s">
        <v>1351</v>
      </c>
      <c r="G104" s="41"/>
      <c r="H104" s="38"/>
      <c r="I104" s="38">
        <v>3.5</v>
      </c>
      <c r="J104" s="38">
        <v>7.51</v>
      </c>
      <c r="K104" s="38">
        <v>0.69199999999999995</v>
      </c>
      <c r="L104" s="41"/>
      <c r="M104"/>
    </row>
    <row r="105" spans="1:13" x14ac:dyDescent="0.25">
      <c r="A105" s="4"/>
      <c r="B105" s="28" t="str">
        <f>IF(ISNUMBER(MATCH(D105, Mgt_Unit!$C$5:$C$1018, 0)), INDEX(Mgt_Unit!$B$5:$B$1018, MATCH(D105, Mgt_Unit!$C$5:$C$1018, 0)), "")</f>
        <v>jennifer.moore</v>
      </c>
      <c r="C105" s="28"/>
      <c r="D105" s="9" t="s">
        <v>687</v>
      </c>
      <c r="E105" s="47"/>
      <c r="F105" s="41" t="s">
        <v>1351</v>
      </c>
      <c r="G105" s="41"/>
      <c r="H105" s="38"/>
      <c r="I105" s="38">
        <v>3.2</v>
      </c>
      <c r="J105" s="38">
        <v>7.56</v>
      </c>
      <c r="K105" s="38">
        <v>0.42099999999999999</v>
      </c>
      <c r="L105" s="41"/>
      <c r="M105"/>
    </row>
    <row r="106" spans="1:13" x14ac:dyDescent="0.25">
      <c r="A106" s="4"/>
      <c r="B106" s="28" t="str">
        <f>IF(ISNUMBER(MATCH(D106, Mgt_Unit!$C$5:$C$1018, 0)), INDEX(Mgt_Unit!$B$5:$B$1018, MATCH(D106, Mgt_Unit!$C$5:$C$1018, 0)), "")</f>
        <v>jennifer.moore</v>
      </c>
      <c r="C106" s="28"/>
      <c r="D106" s="9" t="s">
        <v>687</v>
      </c>
      <c r="E106" s="47"/>
      <c r="F106" s="41" t="s">
        <v>1351</v>
      </c>
      <c r="G106" s="41"/>
      <c r="H106" s="38"/>
      <c r="I106" s="38">
        <v>3.4</v>
      </c>
      <c r="J106" s="38">
        <v>7.56</v>
      </c>
      <c r="K106" s="38">
        <v>0.499</v>
      </c>
      <c r="L106" s="41"/>
      <c r="M106"/>
    </row>
    <row r="107" spans="1:13" x14ac:dyDescent="0.25">
      <c r="A107" s="4"/>
      <c r="B107" s="28" t="str">
        <f>IF(ISNUMBER(MATCH(D107, Mgt_Unit!$C$5:$C$1018, 0)), INDEX(Mgt_Unit!$B$5:$B$1018, MATCH(D107, Mgt_Unit!$C$5:$C$1018, 0)), "")</f>
        <v>jennifer.moore</v>
      </c>
      <c r="C107" s="28"/>
      <c r="D107" s="9" t="s">
        <v>688</v>
      </c>
      <c r="E107" s="47"/>
      <c r="F107" s="41" t="s">
        <v>1351</v>
      </c>
      <c r="G107" s="41"/>
      <c r="H107" s="38"/>
      <c r="I107" s="38">
        <v>3.7</v>
      </c>
      <c r="J107" s="38">
        <v>7.58</v>
      </c>
      <c r="K107" s="38">
        <v>0.55400000000000005</v>
      </c>
      <c r="L107" s="41"/>
      <c r="M107"/>
    </row>
    <row r="108" spans="1:13" x14ac:dyDescent="0.25">
      <c r="A108" s="4"/>
      <c r="B108" s="28" t="str">
        <f>IF(ISNUMBER(MATCH(D108, Mgt_Unit!$C$5:$C$1018, 0)), INDEX(Mgt_Unit!$B$5:$B$1018, MATCH(D108, Mgt_Unit!$C$5:$C$1018, 0)), "")</f>
        <v>jennifer.moore</v>
      </c>
      <c r="C108" s="28"/>
      <c r="D108" s="9" t="s">
        <v>688</v>
      </c>
      <c r="E108" s="47"/>
      <c r="F108" s="41" t="s">
        <v>1351</v>
      </c>
      <c r="G108" s="41"/>
      <c r="H108" s="38"/>
      <c r="I108" s="38">
        <v>3.7</v>
      </c>
      <c r="J108" s="38">
        <v>7.55</v>
      </c>
      <c r="K108" s="38">
        <v>0.48199999999999998</v>
      </c>
      <c r="L108" s="41"/>
      <c r="M108"/>
    </row>
    <row r="109" spans="1:13" x14ac:dyDescent="0.25">
      <c r="A109" s="4"/>
      <c r="B109" s="28" t="str">
        <f>IF(ISNUMBER(MATCH(D109, Mgt_Unit!$C$5:$C$1018, 0)), INDEX(Mgt_Unit!$B$5:$B$1018, MATCH(D109, Mgt_Unit!$C$5:$C$1018, 0)), "")</f>
        <v>jennifer.moore</v>
      </c>
      <c r="C109" s="28"/>
      <c r="D109" s="9" t="s">
        <v>692</v>
      </c>
      <c r="E109" s="47"/>
      <c r="F109" s="41" t="s">
        <v>1351</v>
      </c>
      <c r="G109" s="41"/>
      <c r="H109" s="38"/>
      <c r="I109" s="38">
        <v>4.4000000000000004</v>
      </c>
      <c r="J109" s="38">
        <v>5.61</v>
      </c>
      <c r="K109" s="38">
        <v>0.71399999999999997</v>
      </c>
      <c r="L109" s="41"/>
      <c r="M109"/>
    </row>
    <row r="110" spans="1:13" x14ac:dyDescent="0.25">
      <c r="A110" s="4"/>
      <c r="B110" s="28" t="str">
        <f>IF(ISNUMBER(MATCH(D110, Mgt_Unit!$C$5:$C$1018, 0)), INDEX(Mgt_Unit!$B$5:$B$1018, MATCH(D110, Mgt_Unit!$C$5:$C$1018, 0)), "")</f>
        <v>jennifer.moore</v>
      </c>
      <c r="C110" s="28"/>
      <c r="D110" s="9" t="s">
        <v>693</v>
      </c>
      <c r="E110" s="47"/>
      <c r="F110" s="41" t="s">
        <v>1351</v>
      </c>
      <c r="G110" s="41"/>
      <c r="H110" s="38"/>
      <c r="I110" s="38">
        <v>3.7</v>
      </c>
      <c r="J110" s="38">
        <v>5.68</v>
      </c>
      <c r="K110" s="38">
        <v>0.48199999999999998</v>
      </c>
      <c r="L110" s="41"/>
      <c r="M110"/>
    </row>
    <row r="111" spans="1:13" x14ac:dyDescent="0.25">
      <c r="A111" s="4"/>
      <c r="B111" s="28" t="str">
        <f>IF(ISNUMBER(MATCH(D111, Mgt_Unit!$C$5:$C$1018, 0)), INDEX(Mgt_Unit!$B$5:$B$1018, MATCH(D111, Mgt_Unit!$C$5:$C$1018, 0)), "")</f>
        <v>jennifer.moore</v>
      </c>
      <c r="C111" s="28"/>
      <c r="D111" s="9" t="s">
        <v>694</v>
      </c>
      <c r="E111" s="47"/>
      <c r="F111" s="41" t="s">
        <v>1351</v>
      </c>
      <c r="G111" s="41"/>
      <c r="H111" s="38"/>
      <c r="I111" s="38">
        <v>3.7</v>
      </c>
      <c r="J111" s="38">
        <v>6.33</v>
      </c>
      <c r="K111" s="38">
        <v>0.218</v>
      </c>
      <c r="L111" s="41"/>
      <c r="M111"/>
    </row>
    <row r="112" spans="1:13" x14ac:dyDescent="0.25">
      <c r="A112" s="4"/>
      <c r="B112" s="28" t="str">
        <f>IF(ISNUMBER(MATCH(D112, Mgt_Unit!$C$5:$C$1018, 0)), INDEX(Mgt_Unit!$B$5:$B$1018, MATCH(D112, Mgt_Unit!$C$5:$C$1018, 0)), "")</f>
        <v>jennifer.moore</v>
      </c>
      <c r="C112" s="28"/>
      <c r="D112" s="9" t="s">
        <v>695</v>
      </c>
      <c r="E112" s="47"/>
      <c r="F112" s="41" t="s">
        <v>1351</v>
      </c>
      <c r="G112" s="41"/>
      <c r="H112" s="38"/>
      <c r="I112" s="38">
        <v>5.0999999999999996</v>
      </c>
      <c r="J112" s="38">
        <v>5.71</v>
      </c>
      <c r="K112" s="38">
        <v>0.64700000000000002</v>
      </c>
      <c r="L112" s="41"/>
      <c r="M112"/>
    </row>
    <row r="113" spans="1:13" x14ac:dyDescent="0.25">
      <c r="A113" s="4"/>
      <c r="B113" s="28" t="str">
        <f>IF(ISNUMBER(MATCH(D113, Mgt_Unit!$C$5:$C$1018, 0)), INDEX(Mgt_Unit!$B$5:$B$1018, MATCH(D113, Mgt_Unit!$C$5:$C$1018, 0)), "")</f>
        <v>jennifer.moore</v>
      </c>
      <c r="C113" s="28"/>
      <c r="D113" s="9" t="s">
        <v>696</v>
      </c>
      <c r="E113" s="47"/>
      <c r="F113" s="41" t="s">
        <v>1351</v>
      </c>
      <c r="G113" s="41"/>
      <c r="H113" s="38"/>
      <c r="I113" s="38">
        <v>3.7</v>
      </c>
      <c r="J113" s="38">
        <v>5.58</v>
      </c>
      <c r="K113" s="38">
        <v>0.55800000000000005</v>
      </c>
      <c r="L113" s="41"/>
      <c r="M113"/>
    </row>
    <row r="114" spans="1:13" x14ac:dyDescent="0.25">
      <c r="A114" s="4"/>
      <c r="B114" s="28" t="str">
        <f>IF(ISNUMBER(MATCH(D114, Mgt_Unit!$C$5:$C$1018, 0)), INDEX(Mgt_Unit!$B$5:$B$1018, MATCH(D114, Mgt_Unit!$C$5:$C$1018, 0)), "")</f>
        <v>jennifer.moore</v>
      </c>
      <c r="C114" s="28"/>
      <c r="D114" s="9" t="s">
        <v>697</v>
      </c>
      <c r="E114" s="47"/>
      <c r="F114" s="41" t="s">
        <v>1351</v>
      </c>
      <c r="G114" s="41"/>
      <c r="H114" s="38"/>
      <c r="I114" s="38">
        <v>3.7</v>
      </c>
      <c r="J114" s="38">
        <v>5.7</v>
      </c>
      <c r="K114" s="38">
        <v>0.245</v>
      </c>
      <c r="L114" s="41"/>
      <c r="M114"/>
    </row>
    <row r="115" spans="1:13" x14ac:dyDescent="0.25">
      <c r="A115" s="4"/>
      <c r="B115" s="28" t="str">
        <f>IF(ISNUMBER(MATCH(D115, Mgt_Unit!$C$5:$C$1018, 0)), INDEX(Mgt_Unit!$B$5:$B$1018, MATCH(D115, Mgt_Unit!$C$5:$C$1018, 0)), "")</f>
        <v>jennifer.moore</v>
      </c>
      <c r="C115" s="28"/>
      <c r="D115" s="9" t="s">
        <v>689</v>
      </c>
      <c r="E115" s="47"/>
      <c r="F115" s="41" t="s">
        <v>1351</v>
      </c>
      <c r="G115" s="41"/>
      <c r="H115" s="38"/>
      <c r="I115" s="38">
        <v>4</v>
      </c>
      <c r="J115" s="38">
        <v>5.66</v>
      </c>
      <c r="K115" s="38">
        <v>0.36099999999999999</v>
      </c>
      <c r="L115" s="41"/>
      <c r="M115"/>
    </row>
    <row r="116" spans="1:13" x14ac:dyDescent="0.25">
      <c r="A116" s="4"/>
      <c r="B116" s="28" t="str">
        <f>IF(ISNUMBER(MATCH(D116, Mgt_Unit!$C$5:$C$1018, 0)), INDEX(Mgt_Unit!$B$5:$B$1018, MATCH(D116, Mgt_Unit!$C$5:$C$1018, 0)), "")</f>
        <v>jennifer.moore</v>
      </c>
      <c r="C116" s="28"/>
      <c r="D116" s="9" t="s">
        <v>690</v>
      </c>
      <c r="E116" s="47"/>
      <c r="F116" s="41" t="s">
        <v>1351</v>
      </c>
      <c r="G116" s="41"/>
      <c r="H116" s="38"/>
      <c r="I116" s="38">
        <v>4.3</v>
      </c>
      <c r="J116" s="38">
        <v>5.51</v>
      </c>
      <c r="K116" s="38">
        <v>0.52300000000000002</v>
      </c>
      <c r="L116" s="41"/>
      <c r="M116"/>
    </row>
    <row r="117" spans="1:13" x14ac:dyDescent="0.25">
      <c r="A117" s="4"/>
      <c r="B117" s="28" t="str">
        <f>IF(ISNUMBER(MATCH(D117, Mgt_Unit!$C$5:$C$1018, 0)), INDEX(Mgt_Unit!$B$5:$B$1018, MATCH(D117, Mgt_Unit!$C$5:$C$1018, 0)), "")</f>
        <v>jennifer.moore</v>
      </c>
      <c r="C117" s="28"/>
      <c r="D117" s="9" t="s">
        <v>691</v>
      </c>
      <c r="E117" s="47"/>
      <c r="F117" s="41" t="s">
        <v>1351</v>
      </c>
      <c r="G117" s="41"/>
      <c r="H117" s="38"/>
      <c r="I117" s="38">
        <v>3.7</v>
      </c>
      <c r="J117" s="38">
        <v>5.87</v>
      </c>
      <c r="K117" s="38">
        <v>0.183</v>
      </c>
      <c r="L117" s="41"/>
      <c r="M117"/>
    </row>
    <row r="118" spans="1:13" x14ac:dyDescent="0.25">
      <c r="A118" s="4"/>
      <c r="B118" s="28" t="str">
        <f>IF(ISNUMBER(MATCH(D118, Mgt_Unit!$C$5:$C$1018, 0)), INDEX(Mgt_Unit!$B$5:$B$1018, MATCH(D118, Mgt_Unit!$C$5:$C$1018, 0)), "")</f>
        <v>jennifer.moore</v>
      </c>
      <c r="C118" s="28"/>
      <c r="D118" s="9" t="s">
        <v>692</v>
      </c>
      <c r="E118" s="47"/>
      <c r="F118" s="41" t="s">
        <v>1351</v>
      </c>
      <c r="G118" s="41"/>
      <c r="H118" s="38"/>
      <c r="I118" s="38">
        <v>5</v>
      </c>
      <c r="J118" s="38">
        <v>4.8899999999999997</v>
      </c>
      <c r="K118" s="38">
        <v>0.90600000000000003</v>
      </c>
      <c r="L118" s="41"/>
      <c r="M118"/>
    </row>
    <row r="119" spans="1:13" x14ac:dyDescent="0.25">
      <c r="A119" s="4"/>
      <c r="B119" s="28" t="str">
        <f>IF(ISNUMBER(MATCH(D119, Mgt_Unit!$C$5:$C$1018, 0)), INDEX(Mgt_Unit!$B$5:$B$1018, MATCH(D119, Mgt_Unit!$C$5:$C$1018, 0)), "")</f>
        <v>jennifer.moore</v>
      </c>
      <c r="C119" s="28"/>
      <c r="D119" s="9" t="s">
        <v>693</v>
      </c>
      <c r="E119" s="47"/>
      <c r="F119" s="41" t="s">
        <v>1351</v>
      </c>
      <c r="G119" s="41"/>
      <c r="H119" s="38"/>
      <c r="I119" s="38">
        <v>3.8</v>
      </c>
      <c r="J119" s="38">
        <v>5.52</v>
      </c>
      <c r="K119" s="38">
        <v>0.42099999999999999</v>
      </c>
      <c r="L119" s="41"/>
      <c r="M119"/>
    </row>
    <row r="120" spans="1:13" x14ac:dyDescent="0.25">
      <c r="A120" s="4"/>
      <c r="B120" s="28" t="str">
        <f>IF(ISNUMBER(MATCH(D120, Mgt_Unit!$C$5:$C$1018, 0)), INDEX(Mgt_Unit!$B$5:$B$1018, MATCH(D120, Mgt_Unit!$C$5:$C$1018, 0)), "")</f>
        <v>jennifer.moore</v>
      </c>
      <c r="C120" s="28"/>
      <c r="D120" s="9" t="s">
        <v>694</v>
      </c>
      <c r="E120" s="47"/>
      <c r="F120" s="41" t="s">
        <v>1351</v>
      </c>
      <c r="G120" s="41"/>
      <c r="H120" s="38"/>
      <c r="I120" s="38">
        <v>3.7</v>
      </c>
      <c r="J120" s="38">
        <v>5.73</v>
      </c>
      <c r="K120" s="38">
        <v>0.31</v>
      </c>
      <c r="L120" s="41"/>
      <c r="M120"/>
    </row>
    <row r="121" spans="1:13" x14ac:dyDescent="0.25">
      <c r="A121" s="4"/>
      <c r="B121" s="28" t="str">
        <f>IF(ISNUMBER(MATCH(D121, Mgt_Unit!$C$5:$C$1018, 0)), INDEX(Mgt_Unit!$B$5:$B$1018, MATCH(D121, Mgt_Unit!$C$5:$C$1018, 0)), "")</f>
        <v>jennifer.moore</v>
      </c>
      <c r="C121" s="28"/>
      <c r="D121" s="9" t="s">
        <v>695</v>
      </c>
      <c r="E121" s="47"/>
      <c r="F121" s="41" t="s">
        <v>1351</v>
      </c>
      <c r="G121" s="41"/>
      <c r="H121" s="38"/>
      <c r="I121" s="38">
        <v>5.8</v>
      </c>
      <c r="J121" s="38">
        <v>5.75</v>
      </c>
      <c r="K121" s="38">
        <v>0.23599999999999999</v>
      </c>
      <c r="L121" s="41"/>
      <c r="M121"/>
    </row>
    <row r="122" spans="1:13" x14ac:dyDescent="0.25">
      <c r="A122" s="4"/>
      <c r="B122" s="28" t="str">
        <f>IF(ISNUMBER(MATCH(D122, Mgt_Unit!$C$5:$C$1018, 0)), INDEX(Mgt_Unit!$B$5:$B$1018, MATCH(D122, Mgt_Unit!$C$5:$C$1018, 0)), "")</f>
        <v>jennifer.moore</v>
      </c>
      <c r="C122" s="28"/>
      <c r="D122" s="9" t="s">
        <v>696</v>
      </c>
      <c r="E122" s="47"/>
      <c r="F122" s="41" t="s">
        <v>1351</v>
      </c>
      <c r="G122" s="41"/>
      <c r="H122" s="38"/>
      <c r="I122" s="38">
        <v>3.9</v>
      </c>
      <c r="J122" s="38">
        <v>5.72</v>
      </c>
      <c r="K122" s="38">
        <v>0.61099999999999999</v>
      </c>
      <c r="L122" s="41"/>
      <c r="M122"/>
    </row>
    <row r="123" spans="1:13" x14ac:dyDescent="0.25">
      <c r="A123" s="4"/>
      <c r="B123" s="28" t="str">
        <f>IF(ISNUMBER(MATCH(D123, Mgt_Unit!$C$5:$C$1018, 0)), INDEX(Mgt_Unit!$B$5:$B$1018, MATCH(D123, Mgt_Unit!$C$5:$C$1018, 0)), "")</f>
        <v>jennifer.moore</v>
      </c>
      <c r="C123" s="28"/>
      <c r="D123" s="9" t="s">
        <v>697</v>
      </c>
      <c r="E123" s="47"/>
      <c r="F123" s="41" t="s">
        <v>1351</v>
      </c>
      <c r="G123" s="41"/>
      <c r="H123" s="38"/>
      <c r="I123" s="38">
        <v>3.7</v>
      </c>
      <c r="J123" s="38">
        <v>6.12</v>
      </c>
      <c r="K123" s="38">
        <v>0.56799999999999995</v>
      </c>
      <c r="L123" s="41"/>
      <c r="M123"/>
    </row>
    <row r="124" spans="1:13" x14ac:dyDescent="0.25">
      <c r="A124" s="4"/>
      <c r="B124" s="28" t="str">
        <f>IF(ISNUMBER(MATCH(D124, Mgt_Unit!$C$5:$C$1018, 0)), INDEX(Mgt_Unit!$B$5:$B$1018, MATCH(D124, Mgt_Unit!$C$5:$C$1018, 0)), "")</f>
        <v>jennifer.moore</v>
      </c>
      <c r="C124" s="28"/>
      <c r="D124" s="9" t="s">
        <v>689</v>
      </c>
      <c r="E124" s="47"/>
      <c r="F124" s="41" t="s">
        <v>1351</v>
      </c>
      <c r="G124" s="41"/>
      <c r="H124" s="38"/>
      <c r="I124" s="38">
        <v>4.3</v>
      </c>
      <c r="J124" s="38">
        <v>6.18</v>
      </c>
      <c r="K124" s="38">
        <v>0.22</v>
      </c>
      <c r="L124" s="41"/>
      <c r="M124"/>
    </row>
    <row r="125" spans="1:13" x14ac:dyDescent="0.25">
      <c r="A125" s="4"/>
      <c r="B125" s="28" t="str">
        <f>IF(ISNUMBER(MATCH(D125, Mgt_Unit!$C$5:$C$1018, 0)), INDEX(Mgt_Unit!$B$5:$B$1018, MATCH(D125, Mgt_Unit!$C$5:$C$1018, 0)), "")</f>
        <v>jennifer.moore</v>
      </c>
      <c r="C125" s="28"/>
      <c r="D125" s="9" t="s">
        <v>690</v>
      </c>
      <c r="E125" s="47"/>
      <c r="F125" s="41" t="s">
        <v>1351</v>
      </c>
      <c r="G125" s="41"/>
      <c r="H125" s="38"/>
      <c r="I125" s="38">
        <v>3.6</v>
      </c>
      <c r="J125" s="38">
        <v>5.29</v>
      </c>
      <c r="K125" s="38">
        <v>1.0129999999999999</v>
      </c>
      <c r="L125" s="41"/>
      <c r="M125"/>
    </row>
    <row r="126" spans="1:13" x14ac:dyDescent="0.25">
      <c r="A126" s="4"/>
      <c r="B126" s="28" t="str">
        <f>IF(ISNUMBER(MATCH(D126, Mgt_Unit!$C$5:$C$1018, 0)), INDEX(Mgt_Unit!$B$5:$B$1018, MATCH(D126, Mgt_Unit!$C$5:$C$1018, 0)), "")</f>
        <v>jennifer.moore</v>
      </c>
      <c r="C126" s="28"/>
      <c r="D126" s="9" t="s">
        <v>691</v>
      </c>
      <c r="E126" s="47"/>
      <c r="F126" s="41" t="s">
        <v>1351</v>
      </c>
      <c r="G126" s="41"/>
      <c r="H126" s="38"/>
      <c r="I126" s="38">
        <v>3.5</v>
      </c>
      <c r="J126" s="38">
        <v>6.38</v>
      </c>
      <c r="K126" s="38">
        <v>0.32400000000000001</v>
      </c>
      <c r="L126" s="41"/>
      <c r="M126"/>
    </row>
    <row r="127" spans="1:13" x14ac:dyDescent="0.25">
      <c r="A127" s="4"/>
      <c r="B127" s="28" t="str">
        <f>IF(ISNUMBER(MATCH(D127, Mgt_Unit!$C$5:$C$1018, 0)), INDEX(Mgt_Unit!$B$5:$B$1018, MATCH(D127, Mgt_Unit!$C$5:$C$1018, 0)), "")</f>
        <v>jennifer.moore</v>
      </c>
      <c r="C127" s="28"/>
      <c r="D127" s="9" t="s">
        <v>698</v>
      </c>
      <c r="E127" s="47"/>
      <c r="F127" s="41" t="s">
        <v>1351</v>
      </c>
      <c r="G127" s="41"/>
      <c r="H127" s="38"/>
      <c r="I127" s="38">
        <v>2.7</v>
      </c>
      <c r="J127" s="38">
        <v>7.57</v>
      </c>
      <c r="K127" s="38">
        <v>2.11</v>
      </c>
      <c r="L127" s="41"/>
      <c r="M127"/>
    </row>
    <row r="128" spans="1:13" x14ac:dyDescent="0.25">
      <c r="A128" s="4"/>
      <c r="B128" s="28" t="str">
        <f>IF(ISNUMBER(MATCH(D128, Mgt_Unit!$C$5:$C$1018, 0)), INDEX(Mgt_Unit!$B$5:$B$1018, MATCH(D128, Mgt_Unit!$C$5:$C$1018, 0)), "")</f>
        <v>jennifer.moore</v>
      </c>
      <c r="C128" s="28"/>
      <c r="D128" s="9" t="s">
        <v>699</v>
      </c>
      <c r="E128" s="47"/>
      <c r="F128" s="41" t="s">
        <v>1351</v>
      </c>
      <c r="G128" s="41"/>
      <c r="H128" s="38"/>
      <c r="I128" s="38">
        <v>2.4</v>
      </c>
      <c r="J128" s="38">
        <v>7.49</v>
      </c>
      <c r="K128" s="38">
        <v>0.37</v>
      </c>
      <c r="L128" s="41"/>
      <c r="M128"/>
    </row>
    <row r="129" spans="1:13" x14ac:dyDescent="0.25">
      <c r="A129" s="4"/>
      <c r="B129" s="28" t="str">
        <f>IF(ISNUMBER(MATCH(D129, Mgt_Unit!$C$5:$C$1018, 0)), INDEX(Mgt_Unit!$B$5:$B$1018, MATCH(D129, Mgt_Unit!$C$5:$C$1018, 0)), "")</f>
        <v>jennifer.moore</v>
      </c>
      <c r="C129" s="28"/>
      <c r="D129" s="9" t="s">
        <v>700</v>
      </c>
      <c r="E129" s="47"/>
      <c r="F129" s="41" t="s">
        <v>1351</v>
      </c>
      <c r="G129" s="41"/>
      <c r="H129" s="38"/>
      <c r="I129" s="38">
        <v>2.7</v>
      </c>
      <c r="J129" s="38">
        <v>7.51</v>
      </c>
      <c r="K129" s="38">
        <v>0.38500000000000001</v>
      </c>
      <c r="L129" s="41"/>
      <c r="M129"/>
    </row>
    <row r="130" spans="1:13" x14ac:dyDescent="0.25">
      <c r="A130" s="4"/>
      <c r="B130" s="28" t="str">
        <f>IF(ISNUMBER(MATCH(D130, Mgt_Unit!$C$5:$C$1018, 0)), INDEX(Mgt_Unit!$B$5:$B$1018, MATCH(D130, Mgt_Unit!$C$5:$C$1018, 0)), "")</f>
        <v>jennifer.moore</v>
      </c>
      <c r="C130" s="28"/>
      <c r="D130" s="9" t="s">
        <v>701</v>
      </c>
      <c r="E130" s="47"/>
      <c r="F130" s="41" t="s">
        <v>1351</v>
      </c>
      <c r="G130" s="41"/>
      <c r="H130" s="38"/>
      <c r="I130" s="38">
        <v>2.9</v>
      </c>
      <c r="J130" s="38">
        <v>7.5</v>
      </c>
      <c r="K130" s="38">
        <v>0.45200000000000001</v>
      </c>
      <c r="L130" s="41"/>
      <c r="M130"/>
    </row>
    <row r="131" spans="1:13" x14ac:dyDescent="0.25">
      <c r="A131" s="4"/>
      <c r="B131" s="28" t="str">
        <f>IF(ISNUMBER(MATCH(D131, Mgt_Unit!$C$5:$C$1018, 0)), INDEX(Mgt_Unit!$B$5:$B$1018, MATCH(D131, Mgt_Unit!$C$5:$C$1018, 0)), "")</f>
        <v>jennifer.moore</v>
      </c>
      <c r="C131" s="28"/>
      <c r="D131" s="9" t="s">
        <v>702</v>
      </c>
      <c r="E131" s="47"/>
      <c r="F131" s="41" t="s">
        <v>1351</v>
      </c>
      <c r="G131" s="41"/>
      <c r="H131" s="38"/>
      <c r="I131" s="38">
        <v>2.5</v>
      </c>
      <c r="J131" s="38">
        <v>7.53</v>
      </c>
      <c r="K131" s="38">
        <v>0.38900000000000001</v>
      </c>
      <c r="L131" s="41"/>
      <c r="M131"/>
    </row>
    <row r="132" spans="1:13" x14ac:dyDescent="0.25">
      <c r="A132" s="4"/>
      <c r="B132" s="28" t="str">
        <f>IF(ISNUMBER(MATCH(D132, Mgt_Unit!$C$5:$C$1018, 0)), INDEX(Mgt_Unit!$B$5:$B$1018, MATCH(D132, Mgt_Unit!$C$5:$C$1018, 0)), "")</f>
        <v>jennifer.moore</v>
      </c>
      <c r="C132" s="28"/>
      <c r="D132" s="9" t="s">
        <v>698</v>
      </c>
      <c r="E132" s="47"/>
      <c r="F132" s="41" t="s">
        <v>1351</v>
      </c>
      <c r="G132" s="41"/>
      <c r="H132" s="38"/>
      <c r="I132" s="38">
        <v>3.1</v>
      </c>
      <c r="J132" s="38">
        <v>7.46</v>
      </c>
      <c r="K132" s="38">
        <v>0.42299999999999999</v>
      </c>
      <c r="L132" s="41"/>
      <c r="M132"/>
    </row>
    <row r="133" spans="1:13" x14ac:dyDescent="0.25">
      <c r="A133" s="4"/>
      <c r="B133" s="28" t="str">
        <f>IF(ISNUMBER(MATCH(D133, Mgt_Unit!$C$5:$C$1018, 0)), INDEX(Mgt_Unit!$B$5:$B$1018, MATCH(D133, Mgt_Unit!$C$5:$C$1018, 0)), "")</f>
        <v>jennifer.moore</v>
      </c>
      <c r="C133" s="28"/>
      <c r="D133" s="9" t="s">
        <v>699</v>
      </c>
      <c r="E133" s="47"/>
      <c r="F133" s="41" t="s">
        <v>1351</v>
      </c>
      <c r="G133" s="41"/>
      <c r="H133" s="38"/>
      <c r="I133" s="38">
        <v>2.6</v>
      </c>
      <c r="J133" s="38">
        <v>7.58</v>
      </c>
      <c r="K133" s="38">
        <v>0.31900000000000001</v>
      </c>
      <c r="L133" s="41"/>
      <c r="M133"/>
    </row>
    <row r="134" spans="1:13" x14ac:dyDescent="0.25">
      <c r="A134" s="4"/>
      <c r="B134" s="28" t="str">
        <f>IF(ISNUMBER(MATCH(D134, Mgt_Unit!$C$5:$C$1018, 0)), INDEX(Mgt_Unit!$B$5:$B$1018, MATCH(D134, Mgt_Unit!$C$5:$C$1018, 0)), "")</f>
        <v>jennifer.moore</v>
      </c>
      <c r="C134" s="28"/>
      <c r="D134" s="9" t="s">
        <v>700</v>
      </c>
      <c r="E134" s="47"/>
      <c r="F134" s="41" t="s">
        <v>1351</v>
      </c>
      <c r="G134" s="41"/>
      <c r="H134" s="38"/>
      <c r="I134" s="38">
        <v>2.8</v>
      </c>
      <c r="J134" s="38">
        <v>7.59</v>
      </c>
      <c r="K134" s="38">
        <v>0.40500000000000003</v>
      </c>
      <c r="L134" s="41"/>
      <c r="M134"/>
    </row>
    <row r="135" spans="1:13" x14ac:dyDescent="0.25">
      <c r="A135" s="4"/>
      <c r="B135" s="28" t="str">
        <f>IF(ISNUMBER(MATCH(D135, Mgt_Unit!$C$5:$C$1018, 0)), INDEX(Mgt_Unit!$B$5:$B$1018, MATCH(D135, Mgt_Unit!$C$5:$C$1018, 0)), "")</f>
        <v>jennifer.moore</v>
      </c>
      <c r="C135" s="28"/>
      <c r="D135" s="9" t="s">
        <v>701</v>
      </c>
      <c r="E135" s="47"/>
      <c r="F135" s="41" t="s">
        <v>1351</v>
      </c>
      <c r="G135" s="41"/>
      <c r="H135" s="38"/>
      <c r="I135" s="38">
        <v>2.9</v>
      </c>
      <c r="J135" s="38">
        <v>7.62</v>
      </c>
      <c r="K135" s="38">
        <v>0.443</v>
      </c>
      <c r="L135" s="41"/>
      <c r="M135"/>
    </row>
    <row r="136" spans="1:13" x14ac:dyDescent="0.25">
      <c r="A136" s="4"/>
      <c r="B136" s="28" t="str">
        <f>IF(ISNUMBER(MATCH(D136, Mgt_Unit!$C$5:$C$1018, 0)), INDEX(Mgt_Unit!$B$5:$B$1018, MATCH(D136, Mgt_Unit!$C$5:$C$1018, 0)), "")</f>
        <v>jennifer.moore</v>
      </c>
      <c r="C136" s="28"/>
      <c r="D136" s="9" t="s">
        <v>702</v>
      </c>
      <c r="E136" s="47"/>
      <c r="F136" s="41" t="s">
        <v>1351</v>
      </c>
      <c r="G136" s="41"/>
      <c r="H136" s="38"/>
      <c r="I136" s="38">
        <v>2.6</v>
      </c>
      <c r="J136" s="38">
        <v>7.68</v>
      </c>
      <c r="K136" s="38">
        <v>0.38700000000000001</v>
      </c>
      <c r="L136" s="41"/>
      <c r="M136"/>
    </row>
    <row r="137" spans="1:13" x14ac:dyDescent="0.25">
      <c r="A137" s="4"/>
      <c r="B137" s="28" t="str">
        <f>IF(ISNUMBER(MATCH(D137, Mgt_Unit!$C$5:$C$1018, 0)), INDEX(Mgt_Unit!$B$5:$B$1018, MATCH(D137, Mgt_Unit!$C$5:$C$1018, 0)), "")</f>
        <v>jennifer.moore</v>
      </c>
      <c r="C137" s="28"/>
      <c r="D137" s="9" t="s">
        <v>703</v>
      </c>
      <c r="E137" s="47"/>
      <c r="F137" s="41" t="s">
        <v>1351</v>
      </c>
      <c r="G137" s="41"/>
      <c r="H137" s="38"/>
      <c r="I137" s="38">
        <v>4.5999999999999996</v>
      </c>
      <c r="J137" s="38">
        <v>7.6</v>
      </c>
      <c r="K137" s="38">
        <v>0.79700000000000004</v>
      </c>
      <c r="L137" s="41"/>
      <c r="M137"/>
    </row>
    <row r="138" spans="1:13" x14ac:dyDescent="0.25">
      <c r="A138" s="4"/>
      <c r="B138" s="28" t="str">
        <f>IF(ISNUMBER(MATCH(D138, Mgt_Unit!$C$5:$C$1018, 0)), INDEX(Mgt_Unit!$B$5:$B$1018, MATCH(D138, Mgt_Unit!$C$5:$C$1018, 0)), "")</f>
        <v>jennifer.moore</v>
      </c>
      <c r="C138" s="28"/>
      <c r="D138" s="9" t="s">
        <v>704</v>
      </c>
      <c r="E138" s="47"/>
      <c r="F138" s="41" t="s">
        <v>1351</v>
      </c>
      <c r="G138" s="41"/>
      <c r="H138" s="38"/>
      <c r="I138" s="38">
        <v>5</v>
      </c>
      <c r="J138" s="38">
        <v>7.6</v>
      </c>
      <c r="K138" s="38">
        <v>0.82699999999999996</v>
      </c>
      <c r="L138" s="41"/>
      <c r="M138"/>
    </row>
    <row r="139" spans="1:13" x14ac:dyDescent="0.25">
      <c r="A139" s="4"/>
      <c r="B139" s="28" t="str">
        <f>IF(ISNUMBER(MATCH(D139, Mgt_Unit!$C$5:$C$1018, 0)), INDEX(Mgt_Unit!$B$5:$B$1018, MATCH(D139, Mgt_Unit!$C$5:$C$1018, 0)), "")</f>
        <v>jennifer.moore</v>
      </c>
      <c r="C139" s="28"/>
      <c r="D139" s="9" t="s">
        <v>705</v>
      </c>
      <c r="E139" s="47"/>
      <c r="F139" s="41" t="s">
        <v>1351</v>
      </c>
      <c r="G139" s="41"/>
      <c r="H139" s="38"/>
      <c r="I139" s="38">
        <v>5.0999999999999996</v>
      </c>
      <c r="J139" s="38">
        <v>7.63</v>
      </c>
      <c r="K139" s="38">
        <v>0.80500000000000005</v>
      </c>
      <c r="L139" s="41"/>
      <c r="M139"/>
    </row>
    <row r="140" spans="1:13" x14ac:dyDescent="0.25">
      <c r="A140" s="4"/>
      <c r="B140" s="28" t="str">
        <f>IF(ISNUMBER(MATCH(D140, Mgt_Unit!$C$5:$C$1018, 0)), INDEX(Mgt_Unit!$B$5:$B$1018, MATCH(D140, Mgt_Unit!$C$5:$C$1018, 0)), "")</f>
        <v>jennifer.moore</v>
      </c>
      <c r="C140" s="28"/>
      <c r="D140" s="9" t="s">
        <v>706</v>
      </c>
      <c r="E140" s="47"/>
      <c r="F140" s="41" t="s">
        <v>1351</v>
      </c>
      <c r="G140" s="41"/>
      <c r="H140" s="38"/>
      <c r="I140" s="38">
        <v>4.9000000000000004</v>
      </c>
      <c r="J140" s="38">
        <v>7.67</v>
      </c>
      <c r="K140" s="38">
        <v>0.68700000000000006</v>
      </c>
      <c r="L140" s="41"/>
      <c r="M140"/>
    </row>
    <row r="141" spans="1:13" x14ac:dyDescent="0.25">
      <c r="A141" s="4"/>
      <c r="B141" s="28" t="str">
        <f>IF(ISNUMBER(MATCH(D141, Mgt_Unit!$C$5:$C$1018, 0)), INDEX(Mgt_Unit!$B$5:$B$1018, MATCH(D141, Mgt_Unit!$C$5:$C$1018, 0)), "")</f>
        <v>jennifer.moore</v>
      </c>
      <c r="C141" s="28"/>
      <c r="D141" s="9" t="s">
        <v>707</v>
      </c>
      <c r="E141" s="47"/>
      <c r="F141" s="41" t="s">
        <v>1351</v>
      </c>
      <c r="G141" s="41"/>
      <c r="H141" s="38"/>
      <c r="I141" s="38">
        <v>4.7</v>
      </c>
      <c r="J141" s="38">
        <v>7.71</v>
      </c>
      <c r="K141" s="38">
        <v>0.99199999999999999</v>
      </c>
      <c r="L141" s="41"/>
      <c r="M141"/>
    </row>
    <row r="142" spans="1:13" x14ac:dyDescent="0.25">
      <c r="A142" s="4"/>
      <c r="B142" s="28" t="str">
        <f>IF(ISNUMBER(MATCH(D142, Mgt_Unit!$C$5:$C$1018, 0)), INDEX(Mgt_Unit!$B$5:$B$1018, MATCH(D142, Mgt_Unit!$C$5:$C$1018, 0)), "")</f>
        <v>jennifer.moore</v>
      </c>
      <c r="C142" s="28"/>
      <c r="D142" s="9" t="s">
        <v>708</v>
      </c>
      <c r="E142" s="47"/>
      <c r="F142" s="41" t="s">
        <v>1351</v>
      </c>
      <c r="G142" s="41"/>
      <c r="H142" s="38"/>
      <c r="I142" s="38">
        <v>4.9000000000000004</v>
      </c>
      <c r="J142" s="38">
        <v>7.73</v>
      </c>
      <c r="K142" s="38">
        <v>0.64600000000000002</v>
      </c>
      <c r="L142" s="41"/>
      <c r="M142"/>
    </row>
    <row r="143" spans="1:13" x14ac:dyDescent="0.25">
      <c r="A143" s="4"/>
      <c r="B143" s="28" t="str">
        <f>IF(ISNUMBER(MATCH(D143, Mgt_Unit!$C$5:$C$1018, 0)), INDEX(Mgt_Unit!$B$5:$B$1018, MATCH(D143, Mgt_Unit!$C$5:$C$1018, 0)), "")</f>
        <v>jennifer.moore</v>
      </c>
      <c r="C143" s="28"/>
      <c r="D143" s="9" t="s">
        <v>709</v>
      </c>
      <c r="E143" s="47"/>
      <c r="F143" s="41" t="s">
        <v>1351</v>
      </c>
      <c r="G143" s="41"/>
      <c r="H143" s="38"/>
      <c r="I143" s="38">
        <v>5.2</v>
      </c>
      <c r="J143" s="38">
        <v>7.43</v>
      </c>
      <c r="K143" s="38">
        <v>1.81</v>
      </c>
      <c r="L143" s="41"/>
      <c r="M143"/>
    </row>
    <row r="144" spans="1:13" x14ac:dyDescent="0.25">
      <c r="A144" s="4"/>
      <c r="B144" s="28" t="str">
        <f>IF(ISNUMBER(MATCH(D144, Mgt_Unit!$C$5:$C$1018, 0)), INDEX(Mgt_Unit!$B$5:$B$1018, MATCH(D144, Mgt_Unit!$C$5:$C$1018, 0)), "")</f>
        <v>jennifer.moore</v>
      </c>
      <c r="C144" s="28"/>
      <c r="D144" s="9" t="s">
        <v>710</v>
      </c>
      <c r="E144" s="47"/>
      <c r="F144" s="41" t="s">
        <v>1351</v>
      </c>
      <c r="G144" s="41"/>
      <c r="H144" s="38"/>
      <c r="I144" s="38">
        <v>4.8</v>
      </c>
      <c r="J144" s="38">
        <v>7.61</v>
      </c>
      <c r="K144" s="38">
        <v>0.89200000000000002</v>
      </c>
      <c r="L144" s="41"/>
      <c r="M144"/>
    </row>
    <row r="145" spans="1:13" x14ac:dyDescent="0.25">
      <c r="A145" s="4"/>
      <c r="B145" s="28" t="str">
        <f>IF(ISNUMBER(MATCH(D145, Mgt_Unit!$C$5:$C$1018, 0)), INDEX(Mgt_Unit!$B$5:$B$1018, MATCH(D145, Mgt_Unit!$C$5:$C$1018, 0)), "")</f>
        <v>jennifer.moore</v>
      </c>
      <c r="C145" s="28"/>
      <c r="D145" s="9" t="s">
        <v>703</v>
      </c>
      <c r="E145" s="47"/>
      <c r="F145" s="41" t="s">
        <v>1351</v>
      </c>
      <c r="G145" s="41"/>
      <c r="H145" s="38"/>
      <c r="I145" s="38">
        <v>5.7</v>
      </c>
      <c r="J145" s="38">
        <v>7.69</v>
      </c>
      <c r="K145" s="38">
        <v>0.73299999999999998</v>
      </c>
      <c r="L145" s="41"/>
      <c r="M145"/>
    </row>
    <row r="146" spans="1:13" x14ac:dyDescent="0.25">
      <c r="A146" s="4"/>
      <c r="B146" s="28" t="str">
        <f>IF(ISNUMBER(MATCH(D146, Mgt_Unit!$C$5:$C$1018, 0)), INDEX(Mgt_Unit!$B$5:$B$1018, MATCH(D146, Mgt_Unit!$C$5:$C$1018, 0)), "")</f>
        <v>jennifer.moore</v>
      </c>
      <c r="C146" s="28"/>
      <c r="D146" s="9" t="s">
        <v>704</v>
      </c>
      <c r="E146" s="47"/>
      <c r="F146" s="41" t="s">
        <v>1351</v>
      </c>
      <c r="G146" s="41"/>
      <c r="H146" s="38"/>
      <c r="I146" s="38">
        <v>5.4</v>
      </c>
      <c r="J146" s="38">
        <v>7.72</v>
      </c>
      <c r="K146" s="38">
        <v>0.63800000000000001</v>
      </c>
      <c r="L146" s="41"/>
      <c r="M146"/>
    </row>
    <row r="147" spans="1:13" x14ac:dyDescent="0.25">
      <c r="A147" s="4"/>
      <c r="B147" s="28" t="str">
        <f>IF(ISNUMBER(MATCH(D147, Mgt_Unit!$C$5:$C$1018, 0)), INDEX(Mgt_Unit!$B$5:$B$1018, MATCH(D147, Mgt_Unit!$C$5:$C$1018, 0)), "")</f>
        <v>jennifer.moore</v>
      </c>
      <c r="C147" s="28"/>
      <c r="D147" s="9" t="s">
        <v>705</v>
      </c>
      <c r="E147" s="47"/>
      <c r="F147" s="41" t="s">
        <v>1351</v>
      </c>
      <c r="G147" s="41"/>
      <c r="H147" s="38"/>
      <c r="I147" s="38">
        <v>5.4</v>
      </c>
      <c r="J147" s="38">
        <v>7.61</v>
      </c>
      <c r="K147" s="38">
        <v>0.76900000000000002</v>
      </c>
      <c r="L147" s="41"/>
      <c r="M147"/>
    </row>
    <row r="148" spans="1:13" x14ac:dyDescent="0.25">
      <c r="A148" s="4"/>
      <c r="B148" s="28" t="str">
        <f>IF(ISNUMBER(MATCH(D148, Mgt_Unit!$C$5:$C$1018, 0)), INDEX(Mgt_Unit!$B$5:$B$1018, MATCH(D148, Mgt_Unit!$C$5:$C$1018, 0)), "")</f>
        <v>jennifer.moore</v>
      </c>
      <c r="C148" s="28"/>
      <c r="D148" s="9" t="s">
        <v>706</v>
      </c>
      <c r="E148" s="47"/>
      <c r="F148" s="41" t="s">
        <v>1351</v>
      </c>
      <c r="G148" s="41"/>
      <c r="H148" s="38"/>
      <c r="I148" s="38">
        <v>5.0999999999999996</v>
      </c>
      <c r="J148" s="38">
        <v>7.83</v>
      </c>
      <c r="K148" s="38">
        <v>0.71799999999999997</v>
      </c>
      <c r="L148" s="41"/>
      <c r="M148"/>
    </row>
    <row r="149" spans="1:13" x14ac:dyDescent="0.25">
      <c r="A149" s="4"/>
      <c r="B149" s="28" t="str">
        <f>IF(ISNUMBER(MATCH(D149, Mgt_Unit!$C$5:$C$1018, 0)), INDEX(Mgt_Unit!$B$5:$B$1018, MATCH(D149, Mgt_Unit!$C$5:$C$1018, 0)), "")</f>
        <v>jennifer.moore</v>
      </c>
      <c r="C149" s="28"/>
      <c r="D149" s="9" t="s">
        <v>707</v>
      </c>
      <c r="E149" s="47"/>
      <c r="F149" s="41" t="s">
        <v>1351</v>
      </c>
      <c r="G149" s="41"/>
      <c r="H149" s="38"/>
      <c r="I149" s="38">
        <v>4.9000000000000004</v>
      </c>
      <c r="J149" s="38">
        <v>7.8</v>
      </c>
      <c r="K149" s="38">
        <v>0.64600000000000002</v>
      </c>
      <c r="L149" s="41"/>
      <c r="M149"/>
    </row>
    <row r="150" spans="1:13" x14ac:dyDescent="0.25">
      <c r="A150" s="4"/>
      <c r="B150" s="28" t="str">
        <f>IF(ISNUMBER(MATCH(D150, Mgt_Unit!$C$5:$C$1018, 0)), INDEX(Mgt_Unit!$B$5:$B$1018, MATCH(D150, Mgt_Unit!$C$5:$C$1018, 0)), "")</f>
        <v>jennifer.moore</v>
      </c>
      <c r="C150" s="28"/>
      <c r="D150" s="9" t="s">
        <v>708</v>
      </c>
      <c r="E150" s="47"/>
      <c r="F150" s="41" t="s">
        <v>1351</v>
      </c>
      <c r="G150" s="41"/>
      <c r="H150" s="38"/>
      <c r="I150" s="38">
        <v>5.0999999999999996</v>
      </c>
      <c r="J150" s="38">
        <v>7.93</v>
      </c>
      <c r="K150" s="38">
        <v>0.64700000000000002</v>
      </c>
      <c r="L150" s="41"/>
      <c r="M150"/>
    </row>
    <row r="151" spans="1:13" x14ac:dyDescent="0.25">
      <c r="A151" s="4"/>
      <c r="B151" s="28" t="str">
        <f>IF(ISNUMBER(MATCH(D151, Mgt_Unit!$C$5:$C$1018, 0)), INDEX(Mgt_Unit!$B$5:$B$1018, MATCH(D151, Mgt_Unit!$C$5:$C$1018, 0)), "")</f>
        <v>jennifer.moore</v>
      </c>
      <c r="C151" s="28"/>
      <c r="D151" s="9" t="s">
        <v>709</v>
      </c>
      <c r="E151" s="47"/>
      <c r="F151" s="41" t="s">
        <v>1351</v>
      </c>
      <c r="G151" s="41"/>
      <c r="H151" s="38"/>
      <c r="I151" s="38">
        <v>5.0999999999999996</v>
      </c>
      <c r="J151" s="38">
        <v>7.72</v>
      </c>
      <c r="K151" s="38">
        <v>0.65800000000000003</v>
      </c>
      <c r="L151" s="41"/>
      <c r="M151"/>
    </row>
    <row r="152" spans="1:13" x14ac:dyDescent="0.25">
      <c r="A152" s="4"/>
      <c r="B152" s="28" t="str">
        <f>IF(ISNUMBER(MATCH(D152, Mgt_Unit!$C$5:$C$1018, 0)), INDEX(Mgt_Unit!$B$5:$B$1018, MATCH(D152, Mgt_Unit!$C$5:$C$1018, 0)), "")</f>
        <v>jennifer.moore</v>
      </c>
      <c r="C152" s="28"/>
      <c r="D152" s="9" t="s">
        <v>710</v>
      </c>
      <c r="E152" s="47"/>
      <c r="F152" s="41" t="s">
        <v>1351</v>
      </c>
      <c r="G152" s="41"/>
      <c r="H152" s="38"/>
      <c r="I152" s="38">
        <v>5.0999999999999996</v>
      </c>
      <c r="J152" s="38">
        <v>7.78</v>
      </c>
      <c r="K152" s="38">
        <v>0.74199999999999999</v>
      </c>
      <c r="L152" s="41"/>
      <c r="M152"/>
    </row>
    <row r="153" spans="1:13" x14ac:dyDescent="0.25">
      <c r="A153" s="4"/>
      <c r="B153" s="28" t="str">
        <f>IF(ISNUMBER(MATCH(D153, Mgt_Unit!$C$5:$C$1018, 0)), INDEX(Mgt_Unit!$B$5:$B$1018, MATCH(D153, Mgt_Unit!$C$5:$C$1018, 0)), "")</f>
        <v>jennifer.moore</v>
      </c>
      <c r="C153" s="28"/>
      <c r="D153" s="9" t="s">
        <v>711</v>
      </c>
      <c r="E153" s="47"/>
      <c r="F153" s="41" t="s">
        <v>1351</v>
      </c>
      <c r="G153" s="41"/>
      <c r="H153" s="38"/>
      <c r="I153" s="38">
        <v>2.7</v>
      </c>
      <c r="J153" s="38">
        <v>7.34</v>
      </c>
      <c r="K153" s="38">
        <v>0.36699999999999999</v>
      </c>
      <c r="L153" s="41"/>
      <c r="M153"/>
    </row>
    <row r="154" spans="1:13" x14ac:dyDescent="0.25">
      <c r="A154" s="4"/>
      <c r="B154" s="28" t="str">
        <f>IF(ISNUMBER(MATCH(D154, Mgt_Unit!$C$5:$C$1018, 0)), INDEX(Mgt_Unit!$B$5:$B$1018, MATCH(D154, Mgt_Unit!$C$5:$C$1018, 0)), "")</f>
        <v>jennifer.moore</v>
      </c>
      <c r="C154" s="28"/>
      <c r="D154" s="9" t="s">
        <v>712</v>
      </c>
      <c r="E154" s="47"/>
      <c r="F154" s="41" t="s">
        <v>1351</v>
      </c>
      <c r="G154" s="41"/>
      <c r="H154" s="38"/>
      <c r="I154" s="38">
        <v>3</v>
      </c>
      <c r="J154" s="38"/>
      <c r="K154" s="38"/>
      <c r="L154" s="41"/>
      <c r="M154"/>
    </row>
    <row r="155" spans="1:13" x14ac:dyDescent="0.25">
      <c r="A155" s="4"/>
      <c r="B155" s="28" t="str">
        <f>IF(ISNUMBER(MATCH(D155, Mgt_Unit!$C$5:$C$1018, 0)), INDEX(Mgt_Unit!$B$5:$B$1018, MATCH(D155, Mgt_Unit!$C$5:$C$1018, 0)), "")</f>
        <v>jennifer.moore</v>
      </c>
      <c r="C155" s="28"/>
      <c r="D155" s="9" t="s">
        <v>713</v>
      </c>
      <c r="E155" s="47"/>
      <c r="F155" s="41" t="s">
        <v>1351</v>
      </c>
      <c r="G155" s="41"/>
      <c r="H155" s="38"/>
      <c r="I155" s="38">
        <v>3.2</v>
      </c>
      <c r="J155" s="38">
        <v>7.16</v>
      </c>
      <c r="K155" s="38">
        <v>0.30399999999999999</v>
      </c>
      <c r="L155" s="41"/>
      <c r="M155"/>
    </row>
    <row r="156" spans="1:13" x14ac:dyDescent="0.25">
      <c r="A156" s="4"/>
      <c r="B156" s="28" t="str">
        <f>IF(ISNUMBER(MATCH(D156, Mgt_Unit!$C$5:$C$1018, 0)), INDEX(Mgt_Unit!$B$5:$B$1018, MATCH(D156, Mgt_Unit!$C$5:$C$1018, 0)), "")</f>
        <v>jennifer.moore</v>
      </c>
      <c r="C156" s="28"/>
      <c r="D156" s="9" t="s">
        <v>714</v>
      </c>
      <c r="E156" s="47"/>
      <c r="F156" s="41" t="s">
        <v>1351</v>
      </c>
      <c r="G156" s="41"/>
      <c r="H156" s="38"/>
      <c r="I156" s="38">
        <v>3.5</v>
      </c>
      <c r="J156" s="38">
        <v>7.33</v>
      </c>
      <c r="K156" s="38">
        <v>0.246</v>
      </c>
      <c r="L156" s="41"/>
      <c r="M156"/>
    </row>
    <row r="157" spans="1:13" x14ac:dyDescent="0.25">
      <c r="A157" s="4"/>
      <c r="B157" s="28" t="str">
        <f>IF(ISNUMBER(MATCH(D157, Mgt_Unit!$C$5:$C$1018, 0)), INDEX(Mgt_Unit!$B$5:$B$1018, MATCH(D157, Mgt_Unit!$C$5:$C$1018, 0)), "")</f>
        <v>jennifer.moore</v>
      </c>
      <c r="C157" s="28"/>
      <c r="D157" s="9" t="s">
        <v>715</v>
      </c>
      <c r="E157" s="47"/>
      <c r="F157" s="41" t="s">
        <v>1351</v>
      </c>
      <c r="G157" s="41"/>
      <c r="H157" s="38"/>
      <c r="I157" s="38">
        <v>3.1</v>
      </c>
      <c r="J157" s="38">
        <v>7.29</v>
      </c>
      <c r="K157" s="38">
        <v>0.26300000000000001</v>
      </c>
      <c r="L157" s="41"/>
      <c r="M157"/>
    </row>
    <row r="158" spans="1:13" x14ac:dyDescent="0.25">
      <c r="A158" s="4"/>
      <c r="B158" s="28" t="str">
        <f>IF(ISNUMBER(MATCH(D158, Mgt_Unit!$C$5:$C$1018, 0)), INDEX(Mgt_Unit!$B$5:$B$1018, MATCH(D158, Mgt_Unit!$C$5:$C$1018, 0)), "")</f>
        <v>jennifer.moore</v>
      </c>
      <c r="C158" s="28"/>
      <c r="D158" s="9" t="s">
        <v>716</v>
      </c>
      <c r="E158" s="47"/>
      <c r="F158" s="41" t="s">
        <v>1351</v>
      </c>
      <c r="G158" s="41"/>
      <c r="H158" s="38"/>
      <c r="I158" s="38">
        <v>3.4</v>
      </c>
      <c r="J158" s="38">
        <v>7.3</v>
      </c>
      <c r="K158" s="38">
        <v>0.308</v>
      </c>
      <c r="L158" s="41"/>
      <c r="M158"/>
    </row>
    <row r="159" spans="1:13" x14ac:dyDescent="0.25">
      <c r="A159" s="4"/>
      <c r="B159" s="28" t="str">
        <f>IF(ISNUMBER(MATCH(D159, Mgt_Unit!$C$5:$C$1018, 0)), INDEX(Mgt_Unit!$B$5:$B$1018, MATCH(D159, Mgt_Unit!$C$5:$C$1018, 0)), "")</f>
        <v>jennifer.moore</v>
      </c>
      <c r="C159" s="28"/>
      <c r="D159" s="9" t="s">
        <v>711</v>
      </c>
      <c r="E159" s="47"/>
      <c r="F159" s="41" t="s">
        <v>1351</v>
      </c>
      <c r="G159" s="41"/>
      <c r="H159" s="38"/>
      <c r="I159" s="38">
        <v>2.9</v>
      </c>
      <c r="J159" s="38">
        <v>7.35</v>
      </c>
      <c r="K159" s="38">
        <v>0.27100000000000002</v>
      </c>
      <c r="L159" s="41"/>
      <c r="M159"/>
    </row>
    <row r="160" spans="1:13" x14ac:dyDescent="0.25">
      <c r="A160" s="4"/>
      <c r="B160" s="28" t="str">
        <f>IF(ISNUMBER(MATCH(D160, Mgt_Unit!$C$5:$C$1018, 0)), INDEX(Mgt_Unit!$B$5:$B$1018, MATCH(D160, Mgt_Unit!$C$5:$C$1018, 0)), "")</f>
        <v>jennifer.moore</v>
      </c>
      <c r="C160" s="28"/>
      <c r="D160" s="9" t="s">
        <v>712</v>
      </c>
      <c r="E160" s="47"/>
      <c r="F160" s="41" t="s">
        <v>1351</v>
      </c>
      <c r="G160" s="41"/>
      <c r="H160" s="38"/>
      <c r="I160" s="38">
        <v>3.1</v>
      </c>
      <c r="J160" s="38">
        <v>7.48</v>
      </c>
      <c r="K160" s="38">
        <v>0.21</v>
      </c>
      <c r="L160" s="41"/>
      <c r="M160"/>
    </row>
    <row r="161" spans="1:13" x14ac:dyDescent="0.25">
      <c r="A161" s="4"/>
      <c r="B161" s="28" t="str">
        <f>IF(ISNUMBER(MATCH(D161, Mgt_Unit!$C$5:$C$1018, 0)), INDEX(Mgt_Unit!$B$5:$B$1018, MATCH(D161, Mgt_Unit!$C$5:$C$1018, 0)), "")</f>
        <v>jennifer.moore</v>
      </c>
      <c r="C161" s="28"/>
      <c r="D161" s="9" t="s">
        <v>713</v>
      </c>
      <c r="E161" s="47"/>
      <c r="F161" s="41" t="s">
        <v>1351</v>
      </c>
      <c r="G161" s="41"/>
      <c r="H161" s="38"/>
      <c r="I161" s="38">
        <v>3.2</v>
      </c>
      <c r="J161" s="38">
        <v>7.42</v>
      </c>
      <c r="K161" s="38">
        <v>0.28799999999999998</v>
      </c>
      <c r="L161" s="41"/>
      <c r="M161"/>
    </row>
    <row r="162" spans="1:13" x14ac:dyDescent="0.25">
      <c r="A162" s="4"/>
      <c r="B162" s="28" t="str">
        <f>IF(ISNUMBER(MATCH(D162, Mgt_Unit!$C$5:$C$1018, 0)), INDEX(Mgt_Unit!$B$5:$B$1018, MATCH(D162, Mgt_Unit!$C$5:$C$1018, 0)), "")</f>
        <v>jennifer.moore</v>
      </c>
      <c r="C162" s="28"/>
      <c r="D162" s="9" t="s">
        <v>714</v>
      </c>
      <c r="E162" s="47"/>
      <c r="F162" s="41" t="s">
        <v>1351</v>
      </c>
      <c r="G162" s="41"/>
      <c r="H162" s="38"/>
      <c r="I162" s="38">
        <v>3.5</v>
      </c>
      <c r="J162" s="38">
        <v>7.31</v>
      </c>
      <c r="K162" s="38">
        <v>0.252</v>
      </c>
      <c r="L162" s="41"/>
      <c r="M162"/>
    </row>
    <row r="163" spans="1:13" x14ac:dyDescent="0.25">
      <c r="A163" s="4"/>
      <c r="B163" s="28" t="str">
        <f>IF(ISNUMBER(MATCH(D163, Mgt_Unit!$C$5:$C$1018, 0)), INDEX(Mgt_Unit!$B$5:$B$1018, MATCH(D163, Mgt_Unit!$C$5:$C$1018, 0)), "")</f>
        <v>jennifer.moore</v>
      </c>
      <c r="C163" s="28"/>
      <c r="D163" s="9" t="s">
        <v>715</v>
      </c>
      <c r="E163" s="47"/>
      <c r="F163" s="41" t="s">
        <v>1351</v>
      </c>
      <c r="G163" s="41"/>
      <c r="H163" s="38"/>
      <c r="I163" s="38">
        <v>2.6</v>
      </c>
      <c r="J163" s="38">
        <v>7.59</v>
      </c>
      <c r="K163" s="38">
        <v>0.249</v>
      </c>
      <c r="L163" s="41"/>
      <c r="M163"/>
    </row>
    <row r="164" spans="1:13" x14ac:dyDescent="0.25">
      <c r="A164" s="4"/>
      <c r="B164" s="28" t="str">
        <f>IF(ISNUMBER(MATCH(D164, Mgt_Unit!$C$5:$C$1018, 0)), INDEX(Mgt_Unit!$B$5:$B$1018, MATCH(D164, Mgt_Unit!$C$5:$C$1018, 0)), "")</f>
        <v>jennifer.moore</v>
      </c>
      <c r="C164" s="28"/>
      <c r="D164" s="9" t="s">
        <v>716</v>
      </c>
      <c r="E164" s="47"/>
      <c r="F164" s="41" t="s">
        <v>1351</v>
      </c>
      <c r="G164" s="41"/>
      <c r="H164" s="38"/>
      <c r="I164" s="38">
        <v>2.8</v>
      </c>
      <c r="J164" s="38">
        <v>7.55</v>
      </c>
      <c r="K164" s="38">
        <v>0.23300000000000001</v>
      </c>
      <c r="L164" s="41"/>
      <c r="M164"/>
    </row>
    <row r="165" spans="1:13" x14ac:dyDescent="0.25">
      <c r="A165" s="4"/>
      <c r="B165" s="28" t="str">
        <f>IF(ISNUMBER(MATCH(D165, Mgt_Unit!$C$5:$C$1018, 0)), INDEX(Mgt_Unit!$B$5:$B$1018, MATCH(D165, Mgt_Unit!$C$5:$C$1018, 0)), "")</f>
        <v>jennifer.moore</v>
      </c>
      <c r="C165" s="28"/>
      <c r="D165" s="9" t="s">
        <v>717</v>
      </c>
      <c r="E165" s="47"/>
      <c r="F165" s="41" t="s">
        <v>1351</v>
      </c>
      <c r="G165" s="41"/>
      <c r="H165" s="38"/>
      <c r="I165" s="38">
        <v>4.4000000000000004</v>
      </c>
      <c r="J165" s="38">
        <v>5.55</v>
      </c>
      <c r="K165" s="38">
        <v>0.40799999999999997</v>
      </c>
      <c r="L165" s="41"/>
      <c r="M165"/>
    </row>
    <row r="166" spans="1:13" x14ac:dyDescent="0.25">
      <c r="A166" s="4"/>
      <c r="B166" s="28" t="str">
        <f>IF(ISNUMBER(MATCH(D166, Mgt_Unit!$C$5:$C$1018, 0)), INDEX(Mgt_Unit!$B$5:$B$1018, MATCH(D166, Mgt_Unit!$C$5:$C$1018, 0)), "")</f>
        <v>jennifer.moore</v>
      </c>
      <c r="C166" s="28"/>
      <c r="D166" s="9" t="s">
        <v>719</v>
      </c>
      <c r="E166" s="47"/>
      <c r="F166" s="41" t="s">
        <v>1351</v>
      </c>
      <c r="G166" s="41"/>
      <c r="H166" s="38"/>
      <c r="I166" s="38">
        <v>3.1</v>
      </c>
      <c r="J166" s="38">
        <v>5.58</v>
      </c>
      <c r="K166" s="38">
        <v>0.19600000000000001</v>
      </c>
      <c r="L166" s="41"/>
      <c r="M166"/>
    </row>
    <row r="167" spans="1:13" x14ac:dyDescent="0.25">
      <c r="A167" s="4"/>
      <c r="B167" s="28" t="str">
        <f>IF(ISNUMBER(MATCH(D167, Mgt_Unit!$C$5:$C$1018, 0)), INDEX(Mgt_Unit!$B$5:$B$1018, MATCH(D167, Mgt_Unit!$C$5:$C$1018, 0)), "")</f>
        <v>jennifer.moore</v>
      </c>
      <c r="C167" s="28"/>
      <c r="D167" s="9" t="s">
        <v>720</v>
      </c>
      <c r="E167" s="47"/>
      <c r="F167" s="41" t="s">
        <v>1351</v>
      </c>
      <c r="G167" s="41"/>
      <c r="H167" s="38"/>
      <c r="I167" s="38">
        <v>2.7</v>
      </c>
      <c r="J167" s="38">
        <v>5.52</v>
      </c>
      <c r="K167" s="38">
        <v>0.27400000000000002</v>
      </c>
      <c r="L167" s="41"/>
      <c r="M167"/>
    </row>
    <row r="168" spans="1:13" x14ac:dyDescent="0.25">
      <c r="A168" s="4"/>
      <c r="B168" s="28" t="str">
        <f>IF(ISNUMBER(MATCH(D168, Mgt_Unit!$C$5:$C$1018, 0)), INDEX(Mgt_Unit!$B$5:$B$1018, MATCH(D168, Mgt_Unit!$C$5:$C$1018, 0)), "")</f>
        <v>jennifer.moore</v>
      </c>
      <c r="C168" s="28"/>
      <c r="D168" s="9" t="s">
        <v>721</v>
      </c>
      <c r="E168" s="47"/>
      <c r="F168" s="41" t="s">
        <v>1351</v>
      </c>
      <c r="G168" s="41"/>
      <c r="H168" s="38"/>
      <c r="I168" s="38">
        <v>2.6</v>
      </c>
      <c r="J168" s="38">
        <v>5.89</v>
      </c>
      <c r="K168" s="38">
        <v>0.14899999999999999</v>
      </c>
      <c r="L168" s="41"/>
      <c r="M168"/>
    </row>
    <row r="169" spans="1:13" x14ac:dyDescent="0.25">
      <c r="A169" s="4"/>
      <c r="B169" s="28" t="str">
        <f>IF(ISNUMBER(MATCH(D169, Mgt_Unit!$C$5:$C$1018, 0)), INDEX(Mgt_Unit!$B$5:$B$1018, MATCH(D169, Mgt_Unit!$C$5:$C$1018, 0)), "")</f>
        <v>jennifer.moore</v>
      </c>
      <c r="C169" s="28"/>
      <c r="D169" s="9" t="s">
        <v>722</v>
      </c>
      <c r="E169" s="47"/>
      <c r="F169" s="41" t="s">
        <v>1351</v>
      </c>
      <c r="G169" s="41"/>
      <c r="H169" s="38"/>
      <c r="I169" s="38">
        <v>2.7</v>
      </c>
      <c r="J169" s="38">
        <v>5.87</v>
      </c>
      <c r="K169" s="38">
        <v>0.155</v>
      </c>
      <c r="L169" s="41"/>
      <c r="M169"/>
    </row>
    <row r="170" spans="1:13" x14ac:dyDescent="0.25">
      <c r="A170" s="4"/>
      <c r="B170" s="28" t="str">
        <f>IF(ISNUMBER(MATCH(D170, Mgt_Unit!$C$5:$C$1018, 0)), INDEX(Mgt_Unit!$B$5:$B$1018, MATCH(D170, Mgt_Unit!$C$5:$C$1018, 0)), "")</f>
        <v>jennifer.moore</v>
      </c>
      <c r="C170" s="28"/>
      <c r="D170" s="9" t="s">
        <v>723</v>
      </c>
      <c r="E170" s="47"/>
      <c r="F170" s="41" t="s">
        <v>1351</v>
      </c>
      <c r="G170" s="41"/>
      <c r="H170" s="38"/>
      <c r="I170" s="38">
        <v>2.8</v>
      </c>
      <c r="J170" s="38">
        <v>6.23</v>
      </c>
      <c r="K170" s="38">
        <v>0.19400000000000001</v>
      </c>
      <c r="L170" s="41"/>
      <c r="M170"/>
    </row>
    <row r="171" spans="1:13" x14ac:dyDescent="0.25">
      <c r="A171" s="4"/>
      <c r="B171" s="28" t="str">
        <f>IF(ISNUMBER(MATCH(D171, Mgt_Unit!$C$5:$C$1018, 0)), INDEX(Mgt_Unit!$B$5:$B$1018, MATCH(D171, Mgt_Unit!$C$5:$C$1018, 0)), "")</f>
        <v>jennifer.moore</v>
      </c>
      <c r="C171" s="28"/>
      <c r="D171" s="9" t="s">
        <v>724</v>
      </c>
      <c r="E171" s="47"/>
      <c r="F171" s="41" t="s">
        <v>1351</v>
      </c>
      <c r="G171" s="41"/>
      <c r="H171" s="38"/>
      <c r="I171" s="38">
        <v>2.6</v>
      </c>
      <c r="J171" s="38">
        <v>5.86</v>
      </c>
      <c r="K171" s="38">
        <v>0.223</v>
      </c>
      <c r="L171" s="41"/>
      <c r="M171"/>
    </row>
    <row r="172" spans="1:13" x14ac:dyDescent="0.25">
      <c r="A172" s="4"/>
      <c r="B172" s="28" t="str">
        <f>IF(ISNUMBER(MATCH(D172, Mgt_Unit!$C$5:$C$1018, 0)), INDEX(Mgt_Unit!$B$5:$B$1018, MATCH(D172, Mgt_Unit!$C$5:$C$1018, 0)), "")</f>
        <v>jennifer.moore</v>
      </c>
      <c r="C172" s="28"/>
      <c r="D172" s="9" t="s">
        <v>725</v>
      </c>
      <c r="E172" s="47"/>
      <c r="F172" s="41" t="s">
        <v>1351</v>
      </c>
      <c r="G172" s="41"/>
      <c r="H172" s="38"/>
      <c r="I172" s="38">
        <v>2.5</v>
      </c>
      <c r="J172" s="38">
        <v>6.23</v>
      </c>
      <c r="K172" s="38">
        <v>0.10199999999999999</v>
      </c>
      <c r="L172" s="41"/>
      <c r="M172"/>
    </row>
    <row r="173" spans="1:13" x14ac:dyDescent="0.25">
      <c r="A173" s="4"/>
      <c r="B173" s="28" t="str">
        <f>IF(ISNUMBER(MATCH(D173, Mgt_Unit!$C$5:$C$1018, 0)), INDEX(Mgt_Unit!$B$5:$B$1018, MATCH(D173, Mgt_Unit!$C$5:$C$1018, 0)), "")</f>
        <v>jennifer.moore</v>
      </c>
      <c r="C173" s="28"/>
      <c r="D173" s="9" t="s">
        <v>726</v>
      </c>
      <c r="E173" s="47"/>
      <c r="F173" s="41" t="s">
        <v>1351</v>
      </c>
      <c r="G173" s="41"/>
      <c r="H173" s="38"/>
      <c r="I173" s="38">
        <v>2.8</v>
      </c>
      <c r="J173" s="38">
        <v>6.18</v>
      </c>
      <c r="K173" s="38">
        <v>0.23499999999999999</v>
      </c>
      <c r="L173" s="41"/>
      <c r="M173"/>
    </row>
    <row r="174" spans="1:13" x14ac:dyDescent="0.25">
      <c r="A174" s="4"/>
      <c r="B174" s="28" t="str">
        <f>IF(ISNUMBER(MATCH(D174, Mgt_Unit!$C$5:$C$1018, 0)), INDEX(Mgt_Unit!$B$5:$B$1018, MATCH(D174, Mgt_Unit!$C$5:$C$1018, 0)), "")</f>
        <v>jennifer.moore</v>
      </c>
      <c r="C174" s="28"/>
      <c r="D174" s="9" t="s">
        <v>718</v>
      </c>
      <c r="E174" s="47"/>
      <c r="F174" s="41" t="s">
        <v>1351</v>
      </c>
      <c r="G174" s="41"/>
      <c r="H174" s="38"/>
      <c r="I174" s="38">
        <v>3.2</v>
      </c>
      <c r="J174" s="38">
        <v>6.08</v>
      </c>
      <c r="K174" s="38">
        <v>0.17100000000000001</v>
      </c>
      <c r="L174" s="41"/>
      <c r="M174"/>
    </row>
    <row r="175" spans="1:13" x14ac:dyDescent="0.25">
      <c r="A175" s="4"/>
      <c r="B175" s="28" t="str">
        <f>IF(ISNUMBER(MATCH(D175, Mgt_Unit!$C$5:$C$1018, 0)), INDEX(Mgt_Unit!$B$5:$B$1018, MATCH(D175, Mgt_Unit!$C$5:$C$1018, 0)), "")</f>
        <v>jennifer.moore</v>
      </c>
      <c r="C175" s="28"/>
      <c r="D175" s="9" t="s">
        <v>717</v>
      </c>
      <c r="E175" s="47"/>
      <c r="F175" s="41" t="s">
        <v>1351</v>
      </c>
      <c r="G175" s="41"/>
      <c r="H175" s="38"/>
      <c r="I175" s="38">
        <v>2.6</v>
      </c>
      <c r="J175" s="38">
        <v>6.07</v>
      </c>
      <c r="K175" s="38">
        <v>9.6699999999999994E-2</v>
      </c>
      <c r="L175" s="41"/>
      <c r="M175"/>
    </row>
    <row r="176" spans="1:13" x14ac:dyDescent="0.25">
      <c r="A176" s="4"/>
      <c r="B176" s="28" t="str">
        <f>IF(ISNUMBER(MATCH(D176, Mgt_Unit!$C$5:$C$1018, 0)), INDEX(Mgt_Unit!$B$5:$B$1018, MATCH(D176, Mgt_Unit!$C$5:$C$1018, 0)), "")</f>
        <v>jennifer.moore</v>
      </c>
      <c r="C176" s="28"/>
      <c r="D176" s="9" t="s">
        <v>719</v>
      </c>
      <c r="E176" s="47"/>
      <c r="F176" s="41" t="s">
        <v>1351</v>
      </c>
      <c r="G176" s="41"/>
      <c r="H176" s="38"/>
      <c r="I176" s="38">
        <v>2.1</v>
      </c>
      <c r="J176" s="38">
        <v>6.14</v>
      </c>
      <c r="K176" s="38">
        <v>0.1018</v>
      </c>
      <c r="L176" s="41"/>
      <c r="M176"/>
    </row>
    <row r="177" spans="1:13" x14ac:dyDescent="0.25">
      <c r="A177" s="4"/>
      <c r="B177" s="28" t="str">
        <f>IF(ISNUMBER(MATCH(D177, Mgt_Unit!$C$5:$C$1018, 0)), INDEX(Mgt_Unit!$B$5:$B$1018, MATCH(D177, Mgt_Unit!$C$5:$C$1018, 0)), "")</f>
        <v>jennifer.moore</v>
      </c>
      <c r="C177" s="28"/>
      <c r="D177" s="9" t="s">
        <v>720</v>
      </c>
      <c r="E177" s="47"/>
      <c r="F177" s="41" t="s">
        <v>1351</v>
      </c>
      <c r="G177" s="41"/>
      <c r="H177" s="38"/>
      <c r="I177" s="38">
        <v>2</v>
      </c>
      <c r="J177" s="38">
        <v>5.51</v>
      </c>
      <c r="K177" s="38">
        <v>0.17799999999999999</v>
      </c>
      <c r="L177" s="41"/>
      <c r="M177"/>
    </row>
    <row r="178" spans="1:13" x14ac:dyDescent="0.25">
      <c r="A178" s="4"/>
      <c r="B178" s="28" t="str">
        <f>IF(ISNUMBER(MATCH(D178, Mgt_Unit!$C$5:$C$1018, 0)), INDEX(Mgt_Unit!$B$5:$B$1018, MATCH(D178, Mgt_Unit!$C$5:$C$1018, 0)), "")</f>
        <v>jennifer.moore</v>
      </c>
      <c r="C178" s="28"/>
      <c r="D178" s="9" t="s">
        <v>721</v>
      </c>
      <c r="E178" s="47"/>
      <c r="F178" s="41" t="s">
        <v>1351</v>
      </c>
      <c r="G178" s="41"/>
      <c r="H178" s="38"/>
      <c r="I178" s="38">
        <v>2</v>
      </c>
      <c r="J178" s="38">
        <v>6</v>
      </c>
      <c r="K178" s="38">
        <v>0.1237</v>
      </c>
      <c r="L178" s="41"/>
      <c r="M178"/>
    </row>
    <row r="179" spans="1:13" x14ac:dyDescent="0.25">
      <c r="A179" s="4"/>
      <c r="B179" s="28" t="str">
        <f>IF(ISNUMBER(MATCH(D179, Mgt_Unit!$C$5:$C$1018, 0)), INDEX(Mgt_Unit!$B$5:$B$1018, MATCH(D179, Mgt_Unit!$C$5:$C$1018, 0)), "")</f>
        <v>jennifer.moore</v>
      </c>
      <c r="C179" s="28"/>
      <c r="D179" s="9" t="s">
        <v>722</v>
      </c>
      <c r="E179" s="47"/>
      <c r="F179" s="41" t="s">
        <v>1351</v>
      </c>
      <c r="G179" s="41"/>
      <c r="H179" s="38"/>
      <c r="I179" s="38">
        <v>1.8</v>
      </c>
      <c r="J179" s="38">
        <v>6.34</v>
      </c>
      <c r="K179" s="38">
        <v>0.14710000000000001</v>
      </c>
      <c r="L179" s="41"/>
      <c r="M179"/>
    </row>
    <row r="180" spans="1:13" x14ac:dyDescent="0.25">
      <c r="A180" s="4"/>
      <c r="B180" s="28" t="str">
        <f>IF(ISNUMBER(MATCH(D180, Mgt_Unit!$C$5:$C$1018, 0)), INDEX(Mgt_Unit!$B$5:$B$1018, MATCH(D180, Mgt_Unit!$C$5:$C$1018, 0)), "")</f>
        <v>jennifer.moore</v>
      </c>
      <c r="C180" s="28"/>
      <c r="D180" s="9" t="s">
        <v>723</v>
      </c>
      <c r="E180" s="47"/>
      <c r="F180" s="41" t="s">
        <v>1351</v>
      </c>
      <c r="G180" s="41"/>
      <c r="H180" s="38"/>
      <c r="I180" s="38">
        <v>1.9</v>
      </c>
      <c r="J180" s="38">
        <v>6.41</v>
      </c>
      <c r="K180" s="38">
        <v>0.1086</v>
      </c>
      <c r="L180" s="41"/>
      <c r="M180"/>
    </row>
    <row r="181" spans="1:13" x14ac:dyDescent="0.25">
      <c r="A181" s="4"/>
      <c r="B181" s="28" t="str">
        <f>IF(ISNUMBER(MATCH(D181, Mgt_Unit!$C$5:$C$1018, 0)), INDEX(Mgt_Unit!$B$5:$B$1018, MATCH(D181, Mgt_Unit!$C$5:$C$1018, 0)), "")</f>
        <v>jennifer.moore</v>
      </c>
      <c r="C181" s="28"/>
      <c r="D181" s="9" t="s">
        <v>724</v>
      </c>
      <c r="E181" s="47"/>
      <c r="F181" s="41" t="s">
        <v>1351</v>
      </c>
      <c r="G181" s="41"/>
      <c r="H181" s="38"/>
      <c r="I181" s="38">
        <v>1.7</v>
      </c>
      <c r="J181" s="38">
        <v>5.87</v>
      </c>
      <c r="K181" s="38">
        <v>0.22600000000000001</v>
      </c>
      <c r="L181" s="41"/>
      <c r="M181"/>
    </row>
    <row r="182" spans="1:13" x14ac:dyDescent="0.25">
      <c r="A182" s="4"/>
      <c r="B182" s="28" t="str">
        <f>IF(ISNUMBER(MATCH(D182, Mgt_Unit!$C$5:$C$1018, 0)), INDEX(Mgt_Unit!$B$5:$B$1018, MATCH(D182, Mgt_Unit!$C$5:$C$1018, 0)), "")</f>
        <v>jennifer.moore</v>
      </c>
      <c r="C182" s="28"/>
      <c r="D182" s="9" t="s">
        <v>725</v>
      </c>
      <c r="E182" s="47"/>
      <c r="F182" s="41" t="s">
        <v>1351</v>
      </c>
      <c r="G182" s="41"/>
      <c r="H182" s="38"/>
      <c r="I182" s="38">
        <v>1.6</v>
      </c>
      <c r="J182" s="38">
        <v>6.45</v>
      </c>
      <c r="K182" s="38">
        <v>0.123</v>
      </c>
      <c r="L182" s="41"/>
      <c r="M182"/>
    </row>
    <row r="183" spans="1:13" x14ac:dyDescent="0.25">
      <c r="A183" s="4"/>
      <c r="B183" s="28" t="str">
        <f>IF(ISNUMBER(MATCH(D183, Mgt_Unit!$C$5:$C$1018, 0)), INDEX(Mgt_Unit!$B$5:$B$1018, MATCH(D183, Mgt_Unit!$C$5:$C$1018, 0)), "")</f>
        <v>jennifer.moore</v>
      </c>
      <c r="C183" s="28"/>
      <c r="D183" s="9" t="s">
        <v>726</v>
      </c>
      <c r="E183" s="47"/>
      <c r="F183" s="41" t="s">
        <v>1351</v>
      </c>
      <c r="G183" s="41"/>
      <c r="H183" s="38"/>
      <c r="I183" s="38">
        <v>1.6</v>
      </c>
      <c r="J183" s="38">
        <v>5.94</v>
      </c>
      <c r="K183" s="38">
        <v>0.21199999999999999</v>
      </c>
      <c r="L183" s="41"/>
      <c r="M183"/>
    </row>
    <row r="184" spans="1:13" x14ac:dyDescent="0.25">
      <c r="A184" s="4"/>
      <c r="B184" s="28" t="str">
        <f>IF(ISNUMBER(MATCH(D184, Mgt_Unit!$C$5:$C$1018, 0)), INDEX(Mgt_Unit!$B$5:$B$1018, MATCH(D184, Mgt_Unit!$C$5:$C$1018, 0)), "")</f>
        <v>jennifer.moore</v>
      </c>
      <c r="C184" s="28"/>
      <c r="D184" s="9" t="s">
        <v>718</v>
      </c>
      <c r="E184" s="47"/>
      <c r="F184" s="41" t="s">
        <v>1351</v>
      </c>
      <c r="G184" s="41"/>
      <c r="H184" s="38"/>
      <c r="I184" s="38">
        <v>1.7</v>
      </c>
      <c r="J184" s="38">
        <v>5.87</v>
      </c>
      <c r="K184" s="38">
        <v>0.15</v>
      </c>
      <c r="L184" s="41"/>
      <c r="M184"/>
    </row>
    <row r="185" spans="1:13" x14ac:dyDescent="0.25">
      <c r="A185" s="4"/>
      <c r="B185" s="28" t="str">
        <f>IF(ISNUMBER(MATCH(D185, Mgt_Unit!$C$5:$C$1018, 0)), INDEX(Mgt_Unit!$B$5:$B$1018, MATCH(D185, Mgt_Unit!$C$5:$C$1018, 0)), "")</f>
        <v>jennifer.moore</v>
      </c>
      <c r="C185" s="28"/>
      <c r="D185" s="9" t="s">
        <v>727</v>
      </c>
      <c r="E185" s="47"/>
      <c r="F185" s="41" t="s">
        <v>1351</v>
      </c>
      <c r="G185" s="41"/>
      <c r="H185" s="38"/>
      <c r="I185" s="38">
        <v>3.3</v>
      </c>
      <c r="J185" s="38">
        <v>7.83</v>
      </c>
      <c r="K185" s="38">
        <v>0.70799999999999996</v>
      </c>
      <c r="L185" s="41"/>
      <c r="M185"/>
    </row>
    <row r="186" spans="1:13" x14ac:dyDescent="0.25">
      <c r="A186" s="4"/>
      <c r="B186" s="28" t="str">
        <f>IF(ISNUMBER(MATCH(D186, Mgt_Unit!$C$5:$C$1018, 0)), INDEX(Mgt_Unit!$B$5:$B$1018, MATCH(D186, Mgt_Unit!$C$5:$C$1018, 0)), "")</f>
        <v>jennifer.moore</v>
      </c>
      <c r="C186" s="28"/>
      <c r="D186" s="9" t="s">
        <v>728</v>
      </c>
      <c r="E186" s="47"/>
      <c r="F186" s="41" t="s">
        <v>1351</v>
      </c>
      <c r="G186" s="41"/>
      <c r="H186" s="38"/>
      <c r="I186" s="38">
        <v>3.6</v>
      </c>
      <c r="J186" s="38">
        <v>7.84</v>
      </c>
      <c r="K186" s="38">
        <v>0.59</v>
      </c>
      <c r="L186" s="41"/>
      <c r="M186"/>
    </row>
    <row r="187" spans="1:13" x14ac:dyDescent="0.25">
      <c r="A187" s="4"/>
      <c r="B187" s="28" t="str">
        <f>IF(ISNUMBER(MATCH(D187, Mgt_Unit!$C$5:$C$1018, 0)), INDEX(Mgt_Unit!$B$5:$B$1018, MATCH(D187, Mgt_Unit!$C$5:$C$1018, 0)), "")</f>
        <v>jennifer.moore</v>
      </c>
      <c r="C187" s="28"/>
      <c r="D187" s="9" t="s">
        <v>729</v>
      </c>
      <c r="E187" s="47"/>
      <c r="F187" s="41" t="s">
        <v>1351</v>
      </c>
      <c r="G187" s="41"/>
      <c r="H187" s="38"/>
      <c r="I187" s="38">
        <v>3.4</v>
      </c>
      <c r="J187" s="38">
        <v>7.85</v>
      </c>
      <c r="K187" s="38">
        <v>0.58699999999999997</v>
      </c>
      <c r="L187" s="41"/>
      <c r="M187"/>
    </row>
    <row r="188" spans="1:13" x14ac:dyDescent="0.25">
      <c r="A188" s="4"/>
      <c r="B188" s="28" t="str">
        <f>IF(ISNUMBER(MATCH(D188, Mgt_Unit!$C$5:$C$1018, 0)), INDEX(Mgt_Unit!$B$5:$B$1018, MATCH(D188, Mgt_Unit!$C$5:$C$1018, 0)), "")</f>
        <v>jennifer.moore</v>
      </c>
      <c r="C188" s="28"/>
      <c r="D188" s="9" t="s">
        <v>730</v>
      </c>
      <c r="E188" s="47"/>
      <c r="F188" s="41" t="s">
        <v>1351</v>
      </c>
      <c r="G188" s="41"/>
      <c r="H188" s="38"/>
      <c r="I188" s="38">
        <v>4.0999999999999996</v>
      </c>
      <c r="J188" s="38">
        <v>7.73</v>
      </c>
      <c r="K188" s="38">
        <v>0.53200000000000003</v>
      </c>
      <c r="L188" s="41"/>
      <c r="M188"/>
    </row>
    <row r="189" spans="1:13" x14ac:dyDescent="0.25">
      <c r="A189" s="4"/>
      <c r="B189" s="28" t="str">
        <f>IF(ISNUMBER(MATCH(D189, Mgt_Unit!$C$5:$C$1018, 0)), INDEX(Mgt_Unit!$B$5:$B$1018, MATCH(D189, Mgt_Unit!$C$5:$C$1018, 0)), "")</f>
        <v>jennifer.moore</v>
      </c>
      <c r="C189" s="28"/>
      <c r="D189" s="9" t="s">
        <v>731</v>
      </c>
      <c r="E189" s="47"/>
      <c r="F189" s="41" t="s">
        <v>1351</v>
      </c>
      <c r="G189" s="41"/>
      <c r="H189" s="38"/>
      <c r="I189" s="38">
        <v>4.0999999999999996</v>
      </c>
      <c r="J189" s="38">
        <v>7.62</v>
      </c>
      <c r="K189" s="38">
        <v>0.73099999999999998</v>
      </c>
      <c r="L189" s="41"/>
      <c r="M189"/>
    </row>
    <row r="190" spans="1:13" x14ac:dyDescent="0.25">
      <c r="A190" s="4"/>
      <c r="B190" s="28" t="str">
        <f>IF(ISNUMBER(MATCH(D190, Mgt_Unit!$C$5:$C$1018, 0)), INDEX(Mgt_Unit!$B$5:$B$1018, MATCH(D190, Mgt_Unit!$C$5:$C$1018, 0)), "")</f>
        <v>jennifer.moore</v>
      </c>
      <c r="C190" s="28"/>
      <c r="D190" s="9" t="s">
        <v>732</v>
      </c>
      <c r="E190" s="47"/>
      <c r="F190" s="41" t="s">
        <v>1351</v>
      </c>
      <c r="G190" s="41"/>
      <c r="H190" s="38"/>
      <c r="I190" s="38">
        <v>3.9</v>
      </c>
      <c r="J190" s="38">
        <v>7.77</v>
      </c>
      <c r="K190" s="38">
        <v>0.6</v>
      </c>
      <c r="L190" s="41"/>
      <c r="M190"/>
    </row>
    <row r="191" spans="1:13" x14ac:dyDescent="0.25">
      <c r="A191" s="4"/>
      <c r="B191" s="28" t="str">
        <f>IF(ISNUMBER(MATCH(D191, Mgt_Unit!$C$5:$C$1018, 0)), INDEX(Mgt_Unit!$B$5:$B$1018, MATCH(D191, Mgt_Unit!$C$5:$C$1018, 0)), "")</f>
        <v>jennifer.moore</v>
      </c>
      <c r="C191" s="28"/>
      <c r="D191" s="9" t="s">
        <v>733</v>
      </c>
      <c r="E191" s="47"/>
      <c r="F191" s="41" t="s">
        <v>1351</v>
      </c>
      <c r="G191" s="41"/>
      <c r="H191" s="38"/>
      <c r="I191" s="38">
        <v>4.2</v>
      </c>
      <c r="J191" s="38">
        <v>7.7</v>
      </c>
      <c r="K191" s="38">
        <v>0.51700000000000002</v>
      </c>
      <c r="L191" s="41"/>
      <c r="M191"/>
    </row>
    <row r="192" spans="1:13" x14ac:dyDescent="0.25">
      <c r="A192" s="4"/>
      <c r="B192" s="28" t="str">
        <f>IF(ISNUMBER(MATCH(D192, Mgt_Unit!$C$5:$C$1018, 0)), INDEX(Mgt_Unit!$B$5:$B$1018, MATCH(D192, Mgt_Unit!$C$5:$C$1018, 0)), "")</f>
        <v>jennifer.moore</v>
      </c>
      <c r="C192" s="28"/>
      <c r="D192" s="9" t="s">
        <v>727</v>
      </c>
      <c r="E192" s="47"/>
      <c r="F192" s="41" t="s">
        <v>1351</v>
      </c>
      <c r="G192" s="41"/>
      <c r="H192" s="38"/>
      <c r="I192" s="38">
        <v>3.5</v>
      </c>
      <c r="J192" s="38">
        <v>7.88</v>
      </c>
      <c r="K192" s="38">
        <v>0.80800000000000005</v>
      </c>
      <c r="L192" s="41"/>
      <c r="M192"/>
    </row>
    <row r="193" spans="1:13" x14ac:dyDescent="0.25">
      <c r="A193" s="4"/>
      <c r="B193" s="28" t="str">
        <f>IF(ISNUMBER(MATCH(D193, Mgt_Unit!$C$5:$C$1018, 0)), INDEX(Mgt_Unit!$B$5:$B$1018, MATCH(D193, Mgt_Unit!$C$5:$C$1018, 0)), "")</f>
        <v>jennifer.moore</v>
      </c>
      <c r="C193" s="28"/>
      <c r="D193" s="9" t="s">
        <v>728</v>
      </c>
      <c r="E193" s="47"/>
      <c r="F193" s="41" t="s">
        <v>1351</v>
      </c>
      <c r="G193" s="41"/>
      <c r="H193" s="38"/>
      <c r="I193" s="38">
        <v>2.9</v>
      </c>
      <c r="J193" s="38">
        <v>7.59</v>
      </c>
      <c r="K193" s="38">
        <v>0.66500000000000004</v>
      </c>
      <c r="L193" s="41"/>
      <c r="M193"/>
    </row>
    <row r="194" spans="1:13" x14ac:dyDescent="0.25">
      <c r="A194" s="4"/>
      <c r="B194" s="28" t="str">
        <f>IF(ISNUMBER(MATCH(D194, Mgt_Unit!$C$5:$C$1018, 0)), INDEX(Mgt_Unit!$B$5:$B$1018, MATCH(D194, Mgt_Unit!$C$5:$C$1018, 0)), "")</f>
        <v>jennifer.moore</v>
      </c>
      <c r="C194" s="28"/>
      <c r="D194" s="9" t="s">
        <v>729</v>
      </c>
      <c r="E194" s="47"/>
      <c r="F194" s="41" t="s">
        <v>1351</v>
      </c>
      <c r="G194" s="41"/>
      <c r="H194" s="38"/>
      <c r="I194" s="38">
        <v>3</v>
      </c>
      <c r="J194" s="38">
        <v>7.49</v>
      </c>
      <c r="K194" s="38">
        <v>0.77300000000000002</v>
      </c>
      <c r="L194" s="41"/>
      <c r="M194"/>
    </row>
    <row r="195" spans="1:13" x14ac:dyDescent="0.25">
      <c r="A195" s="4"/>
      <c r="B195" s="28" t="str">
        <f>IF(ISNUMBER(MATCH(D195, Mgt_Unit!$C$5:$C$1018, 0)), INDEX(Mgt_Unit!$B$5:$B$1018, MATCH(D195, Mgt_Unit!$C$5:$C$1018, 0)), "")</f>
        <v>jennifer.moore</v>
      </c>
      <c r="C195" s="28"/>
      <c r="D195" s="9" t="s">
        <v>730</v>
      </c>
      <c r="E195" s="47"/>
      <c r="F195" s="41" t="s">
        <v>1351</v>
      </c>
      <c r="G195" s="41"/>
      <c r="H195" s="38"/>
      <c r="I195" s="38">
        <v>3.7</v>
      </c>
      <c r="J195" s="38">
        <v>7.41</v>
      </c>
      <c r="K195" s="38">
        <v>0.625</v>
      </c>
      <c r="L195" s="41"/>
      <c r="M195"/>
    </row>
    <row r="196" spans="1:13" x14ac:dyDescent="0.25">
      <c r="A196" s="4"/>
      <c r="B196" s="28" t="str">
        <f>IF(ISNUMBER(MATCH(D196, Mgt_Unit!$C$5:$C$1018, 0)), INDEX(Mgt_Unit!$B$5:$B$1018, MATCH(D196, Mgt_Unit!$C$5:$C$1018, 0)), "")</f>
        <v>jennifer.moore</v>
      </c>
      <c r="C196" s="28"/>
      <c r="D196" s="9" t="s">
        <v>731</v>
      </c>
      <c r="E196" s="47"/>
      <c r="F196" s="41" t="s">
        <v>1351</v>
      </c>
      <c r="G196" s="41"/>
      <c r="H196" s="38"/>
      <c r="I196" s="38">
        <v>3.1</v>
      </c>
      <c r="J196" s="38">
        <v>7.49</v>
      </c>
      <c r="K196" s="38">
        <v>0.44</v>
      </c>
      <c r="L196" s="41"/>
      <c r="M196"/>
    </row>
    <row r="197" spans="1:13" x14ac:dyDescent="0.25">
      <c r="A197" s="4"/>
      <c r="B197" s="28" t="str">
        <f>IF(ISNUMBER(MATCH(D197, Mgt_Unit!$C$5:$C$1018, 0)), INDEX(Mgt_Unit!$B$5:$B$1018, MATCH(D197, Mgt_Unit!$C$5:$C$1018, 0)), "")</f>
        <v>jennifer.moore</v>
      </c>
      <c r="C197" s="28"/>
      <c r="D197" s="9" t="s">
        <v>732</v>
      </c>
      <c r="E197" s="47"/>
      <c r="F197" s="41" t="s">
        <v>1351</v>
      </c>
      <c r="G197" s="41"/>
      <c r="H197" s="38"/>
      <c r="I197" s="38">
        <v>3</v>
      </c>
      <c r="J197" s="38">
        <v>7.44</v>
      </c>
      <c r="K197" s="38">
        <v>0.44600000000000001</v>
      </c>
      <c r="L197" s="41"/>
      <c r="M197"/>
    </row>
    <row r="198" spans="1:13" x14ac:dyDescent="0.25">
      <c r="A198" s="4"/>
      <c r="B198" s="28" t="str">
        <f>IF(ISNUMBER(MATCH(D198, Mgt_Unit!$C$5:$C$1018, 0)), INDEX(Mgt_Unit!$B$5:$B$1018, MATCH(D198, Mgt_Unit!$C$5:$C$1018, 0)), "")</f>
        <v>jennifer.moore</v>
      </c>
      <c r="C198" s="28"/>
      <c r="D198" s="9" t="s">
        <v>733</v>
      </c>
      <c r="E198" s="47"/>
      <c r="F198" s="41" t="s">
        <v>1351</v>
      </c>
      <c r="G198" s="41"/>
      <c r="H198" s="38"/>
      <c r="I198" s="38">
        <v>4.0999999999999996</v>
      </c>
      <c r="J198" s="38">
        <v>7.68</v>
      </c>
      <c r="K198" s="38">
        <v>0.42699999999999999</v>
      </c>
      <c r="L198" s="41"/>
      <c r="M198"/>
    </row>
    <row r="199" spans="1:13" x14ac:dyDescent="0.25">
      <c r="A199" s="4"/>
      <c r="B199" s="28" t="str">
        <f>IF(ISNUMBER(MATCH(D199, Mgt_Unit!$C$5:$C$1018, 0)), INDEX(Mgt_Unit!$B$5:$B$1018, MATCH(D199, Mgt_Unit!$C$5:$C$1018, 0)), "")</f>
        <v>jennifer.moore</v>
      </c>
      <c r="C199" s="28"/>
      <c r="D199" s="9" t="s">
        <v>740</v>
      </c>
      <c r="E199" s="47"/>
      <c r="F199" s="41" t="s">
        <v>1351</v>
      </c>
      <c r="G199" s="41"/>
      <c r="H199" s="38"/>
      <c r="I199" s="38"/>
      <c r="J199" s="38">
        <v>8.35</v>
      </c>
      <c r="K199" s="38">
        <v>0.40500000000000003</v>
      </c>
      <c r="L199" s="41"/>
      <c r="M199"/>
    </row>
    <row r="200" spans="1:13" x14ac:dyDescent="0.25">
      <c r="A200" s="4"/>
      <c r="B200" s="28" t="str">
        <f>IF(ISNUMBER(MATCH(D200, Mgt_Unit!$C$5:$C$1018, 0)), INDEX(Mgt_Unit!$B$5:$B$1018, MATCH(D200, Mgt_Unit!$C$5:$C$1018, 0)), "")</f>
        <v>jennifer.moore</v>
      </c>
      <c r="C200" s="28"/>
      <c r="D200" s="9" t="s">
        <v>741</v>
      </c>
      <c r="E200" s="47"/>
      <c r="F200" s="41" t="s">
        <v>1351</v>
      </c>
      <c r="G200" s="41"/>
      <c r="H200" s="38"/>
      <c r="I200" s="38"/>
      <c r="J200" s="38">
        <v>8.26</v>
      </c>
      <c r="K200" s="38">
        <v>0.502</v>
      </c>
      <c r="L200" s="41"/>
      <c r="M200"/>
    </row>
    <row r="201" spans="1:13" x14ac:dyDescent="0.25">
      <c r="A201" s="4"/>
      <c r="B201" s="28" t="str">
        <f>IF(ISNUMBER(MATCH(D201, Mgt_Unit!$C$5:$C$1018, 0)), INDEX(Mgt_Unit!$B$5:$B$1018, MATCH(D201, Mgt_Unit!$C$5:$C$1018, 0)), "")</f>
        <v>jennifer.moore</v>
      </c>
      <c r="C201" s="28"/>
      <c r="D201" s="9" t="s">
        <v>742</v>
      </c>
      <c r="E201" s="47"/>
      <c r="F201" s="41" t="s">
        <v>1351</v>
      </c>
      <c r="G201" s="41"/>
      <c r="H201" s="38"/>
      <c r="I201" s="38"/>
      <c r="J201" s="38">
        <v>8.18</v>
      </c>
      <c r="K201" s="38">
        <v>0.60799999999999998</v>
      </c>
      <c r="L201" s="41"/>
      <c r="M201"/>
    </row>
    <row r="202" spans="1:13" x14ac:dyDescent="0.25">
      <c r="A202" s="4"/>
      <c r="B202" s="28" t="str">
        <f>IF(ISNUMBER(MATCH(D202, Mgt_Unit!$C$5:$C$1018, 0)), INDEX(Mgt_Unit!$B$5:$B$1018, MATCH(D202, Mgt_Unit!$C$5:$C$1018, 0)), "")</f>
        <v>jennifer.moore</v>
      </c>
      <c r="C202" s="28"/>
      <c r="D202" s="9" t="s">
        <v>743</v>
      </c>
      <c r="E202" s="47"/>
      <c r="F202" s="41" t="s">
        <v>1351</v>
      </c>
      <c r="G202" s="41"/>
      <c r="H202" s="38"/>
      <c r="I202" s="38"/>
      <c r="J202" s="38">
        <v>8.07</v>
      </c>
      <c r="K202" s="38">
        <v>0.66200000000000003</v>
      </c>
      <c r="L202" s="41"/>
      <c r="M202"/>
    </row>
    <row r="203" spans="1:13" x14ac:dyDescent="0.25">
      <c r="A203" s="4"/>
      <c r="B203" s="28" t="str">
        <f>IF(ISNUMBER(MATCH(D203, Mgt_Unit!$C$5:$C$1018, 0)), INDEX(Mgt_Unit!$B$5:$B$1018, MATCH(D203, Mgt_Unit!$C$5:$C$1018, 0)), "")</f>
        <v>jennifer.moore</v>
      </c>
      <c r="C203" s="28"/>
      <c r="D203" s="9" t="s">
        <v>744</v>
      </c>
      <c r="E203" s="47"/>
      <c r="F203" s="41" t="s">
        <v>1351</v>
      </c>
      <c r="G203" s="41"/>
      <c r="H203" s="38"/>
      <c r="I203" s="38"/>
      <c r="J203" s="38">
        <v>8.27</v>
      </c>
      <c r="K203" s="38">
        <v>0.40799999999999997</v>
      </c>
      <c r="L203" s="41"/>
      <c r="M203"/>
    </row>
    <row r="204" spans="1:13" x14ac:dyDescent="0.25">
      <c r="A204" s="4"/>
      <c r="B204" s="28" t="str">
        <f>IF(ISNUMBER(MATCH(D204, Mgt_Unit!$C$5:$C$1018, 0)), INDEX(Mgt_Unit!$B$5:$B$1018, MATCH(D204, Mgt_Unit!$C$5:$C$1018, 0)), "")</f>
        <v>jennifer.moore</v>
      </c>
      <c r="C204" s="28"/>
      <c r="D204" s="9" t="s">
        <v>745</v>
      </c>
      <c r="E204" s="47"/>
      <c r="F204" s="41" t="s">
        <v>1351</v>
      </c>
      <c r="G204" s="41"/>
      <c r="H204" s="38"/>
      <c r="I204" s="38"/>
      <c r="J204" s="38">
        <v>8.1300000000000008</v>
      </c>
      <c r="K204" s="38">
        <v>1.0169999999999999</v>
      </c>
      <c r="L204" s="41"/>
      <c r="M204"/>
    </row>
    <row r="205" spans="1:13" x14ac:dyDescent="0.25">
      <c r="A205" s="4"/>
      <c r="B205" s="28" t="str">
        <f>IF(ISNUMBER(MATCH(D205, Mgt_Unit!$C$5:$C$1018, 0)), INDEX(Mgt_Unit!$B$5:$B$1018, MATCH(D205, Mgt_Unit!$C$5:$C$1018, 0)), "")</f>
        <v>jennifer.moore</v>
      </c>
      <c r="C205" s="28"/>
      <c r="D205" s="9" t="s">
        <v>734</v>
      </c>
      <c r="E205" s="47"/>
      <c r="F205" s="41" t="s">
        <v>1351</v>
      </c>
      <c r="G205" s="41"/>
      <c r="H205" s="38"/>
      <c r="I205" s="38"/>
      <c r="J205" s="38">
        <v>7.98</v>
      </c>
      <c r="K205" s="38">
        <v>0.91800000000000004</v>
      </c>
      <c r="L205" s="41"/>
      <c r="M205"/>
    </row>
    <row r="206" spans="1:13" x14ac:dyDescent="0.25">
      <c r="A206" s="4"/>
      <c r="B206" s="28" t="str">
        <f>IF(ISNUMBER(MATCH(D206, Mgt_Unit!$C$5:$C$1018, 0)), INDEX(Mgt_Unit!$B$5:$B$1018, MATCH(D206, Mgt_Unit!$C$5:$C$1018, 0)), "")</f>
        <v>jennifer.moore</v>
      </c>
      <c r="C206" s="28"/>
      <c r="D206" s="9" t="s">
        <v>735</v>
      </c>
      <c r="E206" s="47"/>
      <c r="F206" s="41" t="s">
        <v>1351</v>
      </c>
      <c r="G206" s="41"/>
      <c r="H206" s="38"/>
      <c r="I206" s="38"/>
      <c r="J206" s="38">
        <v>8.08</v>
      </c>
      <c r="K206" s="38">
        <v>0.92700000000000005</v>
      </c>
      <c r="L206" s="41"/>
      <c r="M206"/>
    </row>
    <row r="207" spans="1:13" x14ac:dyDescent="0.25">
      <c r="A207" s="4"/>
      <c r="B207" s="28" t="str">
        <f>IF(ISNUMBER(MATCH(D207, Mgt_Unit!$C$5:$C$1018, 0)), INDEX(Mgt_Unit!$B$5:$B$1018, MATCH(D207, Mgt_Unit!$C$5:$C$1018, 0)), "")</f>
        <v>jennifer.moore</v>
      </c>
      <c r="C207" s="28"/>
      <c r="D207" s="9" t="s">
        <v>736</v>
      </c>
      <c r="E207" s="47"/>
      <c r="F207" s="41" t="s">
        <v>1351</v>
      </c>
      <c r="G207" s="41"/>
      <c r="H207" s="38"/>
      <c r="I207" s="38"/>
      <c r="J207" s="38">
        <v>8.1</v>
      </c>
      <c r="K207" s="38">
        <v>0.81399999999999995</v>
      </c>
      <c r="L207" s="41"/>
      <c r="M207"/>
    </row>
    <row r="208" spans="1:13" x14ac:dyDescent="0.25">
      <c r="A208" s="4"/>
      <c r="B208" s="28" t="str">
        <f>IF(ISNUMBER(MATCH(D208, Mgt_Unit!$C$5:$C$1018, 0)), INDEX(Mgt_Unit!$B$5:$B$1018, MATCH(D208, Mgt_Unit!$C$5:$C$1018, 0)), "")</f>
        <v>jennifer.moore</v>
      </c>
      <c r="C208" s="28"/>
      <c r="D208" s="9" t="s">
        <v>737</v>
      </c>
      <c r="E208" s="47"/>
      <c r="F208" s="41" t="s">
        <v>1351</v>
      </c>
      <c r="G208" s="41"/>
      <c r="H208" s="38"/>
      <c r="I208" s="38"/>
      <c r="J208" s="38">
        <v>8.23</v>
      </c>
      <c r="K208" s="38">
        <v>0.79300000000000004</v>
      </c>
      <c r="L208" s="41"/>
      <c r="M208"/>
    </row>
    <row r="209" spans="1:13" x14ac:dyDescent="0.25">
      <c r="A209" s="4"/>
      <c r="B209" s="28" t="str">
        <f>IF(ISNUMBER(MATCH(D209, Mgt_Unit!$C$5:$C$1018, 0)), INDEX(Mgt_Unit!$B$5:$B$1018, MATCH(D209, Mgt_Unit!$C$5:$C$1018, 0)), "")</f>
        <v>jennifer.moore</v>
      </c>
      <c r="C209" s="28"/>
      <c r="D209" s="9" t="s">
        <v>738</v>
      </c>
      <c r="E209" s="47"/>
      <c r="F209" s="41" t="s">
        <v>1351</v>
      </c>
      <c r="G209" s="41"/>
      <c r="H209" s="38"/>
      <c r="I209" s="38"/>
      <c r="J209" s="38">
        <v>8.16</v>
      </c>
      <c r="K209" s="38">
        <v>0.69799999999999995</v>
      </c>
      <c r="L209" s="41"/>
      <c r="M209"/>
    </row>
    <row r="210" spans="1:13" x14ac:dyDescent="0.25">
      <c r="A210" s="4"/>
      <c r="B210" s="28" t="str">
        <f>IF(ISNUMBER(MATCH(D210, Mgt_Unit!$C$5:$C$1018, 0)), INDEX(Mgt_Unit!$B$5:$B$1018, MATCH(D210, Mgt_Unit!$C$5:$C$1018, 0)), "")</f>
        <v>jennifer.moore</v>
      </c>
      <c r="C210" s="28"/>
      <c r="D210" s="9" t="s">
        <v>739</v>
      </c>
      <c r="E210" s="47"/>
      <c r="F210" s="41" t="s">
        <v>1351</v>
      </c>
      <c r="G210" s="41"/>
      <c r="H210" s="38"/>
      <c r="I210" s="38"/>
      <c r="J210" s="38">
        <v>8.11</v>
      </c>
      <c r="K210" s="38">
        <v>1.03</v>
      </c>
      <c r="L210" s="41"/>
      <c r="M210"/>
    </row>
    <row r="211" spans="1:13" x14ac:dyDescent="0.25">
      <c r="A211" s="4"/>
      <c r="B211" s="28" t="str">
        <f>IF(ISNUMBER(MATCH(D211, Mgt_Unit!$C$5:$C$1018, 0)), INDEX(Mgt_Unit!$B$5:$B$1018, MATCH(D211, Mgt_Unit!$C$5:$C$1018, 0)), "")</f>
        <v>jennifer.moore</v>
      </c>
      <c r="C211" s="28"/>
      <c r="D211" s="9" t="s">
        <v>746</v>
      </c>
      <c r="E211" s="47"/>
      <c r="F211" s="41" t="s">
        <v>1351</v>
      </c>
      <c r="G211" s="41"/>
      <c r="H211" s="38"/>
      <c r="I211" s="38"/>
      <c r="J211" s="38">
        <v>8.2200000000000006</v>
      </c>
      <c r="K211" s="38">
        <v>0.76400000000000001</v>
      </c>
      <c r="L211" s="41"/>
      <c r="M211"/>
    </row>
    <row r="212" spans="1:13" x14ac:dyDescent="0.25">
      <c r="A212" s="4"/>
      <c r="B212" s="28" t="str">
        <f>IF(ISNUMBER(MATCH(D212, Mgt_Unit!$C$5:$C$1018, 0)), INDEX(Mgt_Unit!$B$5:$B$1018, MATCH(D212, Mgt_Unit!$C$5:$C$1018, 0)), "")</f>
        <v>jennifer.moore</v>
      </c>
      <c r="C212" s="28"/>
      <c r="D212" s="9" t="s">
        <v>747</v>
      </c>
      <c r="E212" s="47"/>
      <c r="F212" s="41" t="s">
        <v>1351</v>
      </c>
      <c r="G212" s="41"/>
      <c r="H212" s="38"/>
      <c r="I212" s="38">
        <v>2.2999999999999998</v>
      </c>
      <c r="J212" s="38">
        <v>8.7799999999999994</v>
      </c>
      <c r="K212" s="38">
        <v>0.308</v>
      </c>
      <c r="L212" s="41"/>
      <c r="M212"/>
    </row>
    <row r="213" spans="1:13" x14ac:dyDescent="0.25">
      <c r="A213" s="4"/>
      <c r="B213" s="28" t="str">
        <f>IF(ISNUMBER(MATCH(D213, Mgt_Unit!$C$5:$C$1018, 0)), INDEX(Mgt_Unit!$B$5:$B$1018, MATCH(D213, Mgt_Unit!$C$5:$C$1018, 0)), "")</f>
        <v>jennifer.moore</v>
      </c>
      <c r="C213" s="28"/>
      <c r="D213" s="9" t="s">
        <v>749</v>
      </c>
      <c r="E213" s="47"/>
      <c r="F213" s="41" t="s">
        <v>1351</v>
      </c>
      <c r="G213" s="41"/>
      <c r="H213" s="38"/>
      <c r="I213" s="38">
        <v>2.6</v>
      </c>
      <c r="J213" s="38">
        <v>9</v>
      </c>
      <c r="K213" s="38">
        <v>0.73499999999999999</v>
      </c>
      <c r="L213" s="41"/>
      <c r="M213"/>
    </row>
    <row r="214" spans="1:13" x14ac:dyDescent="0.25">
      <c r="A214" s="4"/>
      <c r="B214" s="28" t="str">
        <f>IF(ISNUMBER(MATCH(D214, Mgt_Unit!$C$5:$C$1018, 0)), INDEX(Mgt_Unit!$B$5:$B$1018, MATCH(D214, Mgt_Unit!$C$5:$C$1018, 0)), "")</f>
        <v>jennifer.moore</v>
      </c>
      <c r="C214" s="28"/>
      <c r="D214" s="9" t="s">
        <v>750</v>
      </c>
      <c r="E214" s="47"/>
      <c r="F214" s="41" t="s">
        <v>1351</v>
      </c>
      <c r="G214" s="41"/>
      <c r="H214" s="38"/>
      <c r="I214" s="38">
        <v>2.5</v>
      </c>
      <c r="J214" s="38">
        <v>9</v>
      </c>
      <c r="K214" s="38">
        <v>0.43099999999999999</v>
      </c>
      <c r="L214" s="41"/>
      <c r="M214"/>
    </row>
    <row r="215" spans="1:13" x14ac:dyDescent="0.25">
      <c r="A215" s="4"/>
      <c r="B215" s="28" t="str">
        <f>IF(ISNUMBER(MATCH(D215, Mgt_Unit!$C$5:$C$1018, 0)), INDEX(Mgt_Unit!$B$5:$B$1018, MATCH(D215, Mgt_Unit!$C$5:$C$1018, 0)), "")</f>
        <v>jennifer.moore</v>
      </c>
      <c r="C215" s="28"/>
      <c r="D215" s="9" t="s">
        <v>751</v>
      </c>
      <c r="E215" s="47"/>
      <c r="F215" s="41" t="s">
        <v>1351</v>
      </c>
      <c r="G215" s="41"/>
      <c r="H215" s="38"/>
      <c r="I215" s="38">
        <v>2.5</v>
      </c>
      <c r="J215" s="38">
        <v>8.9</v>
      </c>
      <c r="K215" s="38">
        <v>0.45400000000000001</v>
      </c>
      <c r="L215" s="41"/>
      <c r="M215"/>
    </row>
    <row r="216" spans="1:13" x14ac:dyDescent="0.25">
      <c r="A216" s="4"/>
      <c r="B216" s="28" t="str">
        <f>IF(ISNUMBER(MATCH(D216, Mgt_Unit!$C$5:$C$1018, 0)), INDEX(Mgt_Unit!$B$5:$B$1018, MATCH(D216, Mgt_Unit!$C$5:$C$1018, 0)), "")</f>
        <v>jennifer.moore</v>
      </c>
      <c r="C216" s="28"/>
      <c r="D216" s="9" t="s">
        <v>752</v>
      </c>
      <c r="E216" s="47"/>
      <c r="F216" s="41" t="s">
        <v>1351</v>
      </c>
      <c r="G216" s="41"/>
      <c r="H216" s="38"/>
      <c r="I216" s="38">
        <v>2.4</v>
      </c>
      <c r="J216" s="38">
        <v>8.94</v>
      </c>
      <c r="K216" s="38">
        <v>0.47199999999999998</v>
      </c>
      <c r="L216" s="41"/>
      <c r="M216"/>
    </row>
    <row r="217" spans="1:13" x14ac:dyDescent="0.25">
      <c r="A217" s="4"/>
      <c r="B217" s="28" t="str">
        <f>IF(ISNUMBER(MATCH(D217, Mgt_Unit!$C$5:$C$1018, 0)), INDEX(Mgt_Unit!$B$5:$B$1018, MATCH(D217, Mgt_Unit!$C$5:$C$1018, 0)), "")</f>
        <v>jennifer.moore</v>
      </c>
      <c r="C217" s="28"/>
      <c r="D217" s="9" t="s">
        <v>753</v>
      </c>
      <c r="E217" s="47"/>
      <c r="F217" s="41" t="s">
        <v>1351</v>
      </c>
      <c r="G217" s="41"/>
      <c r="H217" s="38"/>
      <c r="I217" s="38">
        <v>2.4</v>
      </c>
      <c r="J217" s="38">
        <v>8.7200000000000006</v>
      </c>
      <c r="K217" s="38">
        <v>0.47399999999999998</v>
      </c>
      <c r="L217" s="41"/>
      <c r="M217"/>
    </row>
    <row r="218" spans="1:13" x14ac:dyDescent="0.25">
      <c r="A218" s="4"/>
      <c r="B218" s="28" t="str">
        <f>IF(ISNUMBER(MATCH(D218, Mgt_Unit!$C$5:$C$1018, 0)), INDEX(Mgt_Unit!$B$5:$B$1018, MATCH(D218, Mgt_Unit!$C$5:$C$1018, 0)), "")</f>
        <v>jennifer.moore</v>
      </c>
      <c r="C218" s="28"/>
      <c r="D218" s="9" t="s">
        <v>754</v>
      </c>
      <c r="E218" s="47"/>
      <c r="F218" s="41" t="s">
        <v>1351</v>
      </c>
      <c r="G218" s="41"/>
      <c r="H218" s="38"/>
      <c r="I218" s="38">
        <v>3.1</v>
      </c>
      <c r="J218" s="38">
        <v>8.82</v>
      </c>
      <c r="K218" s="38">
        <v>0.38800000000000001</v>
      </c>
      <c r="L218" s="41"/>
      <c r="M218"/>
    </row>
    <row r="219" spans="1:13" x14ac:dyDescent="0.25">
      <c r="A219" s="4"/>
      <c r="B219" s="28" t="str">
        <f>IF(ISNUMBER(MATCH(D219, Mgt_Unit!$C$5:$C$1018, 0)), INDEX(Mgt_Unit!$B$5:$B$1018, MATCH(D219, Mgt_Unit!$C$5:$C$1018, 0)), "")</f>
        <v>jennifer.moore</v>
      </c>
      <c r="C219" s="28"/>
      <c r="D219" s="9" t="s">
        <v>755</v>
      </c>
      <c r="E219" s="47"/>
      <c r="F219" s="41" t="s">
        <v>1351</v>
      </c>
      <c r="G219" s="41"/>
      <c r="H219" s="38"/>
      <c r="I219" s="38">
        <v>3</v>
      </c>
      <c r="J219" s="38">
        <v>8.76</v>
      </c>
      <c r="K219" s="38">
        <v>0.39100000000000001</v>
      </c>
      <c r="L219" s="41"/>
      <c r="M219"/>
    </row>
    <row r="220" spans="1:13" x14ac:dyDescent="0.25">
      <c r="A220" s="4"/>
      <c r="B220" s="28" t="str">
        <f>IF(ISNUMBER(MATCH(D220, Mgt_Unit!$C$5:$C$1018, 0)), INDEX(Mgt_Unit!$B$5:$B$1018, MATCH(D220, Mgt_Unit!$C$5:$C$1018, 0)), "")</f>
        <v>jennifer.moore</v>
      </c>
      <c r="C220" s="28"/>
      <c r="D220" s="9" t="s">
        <v>756</v>
      </c>
      <c r="E220" s="47"/>
      <c r="F220" s="41" t="s">
        <v>1351</v>
      </c>
      <c r="G220" s="41"/>
      <c r="H220" s="38"/>
      <c r="I220" s="38">
        <v>3</v>
      </c>
      <c r="J220" s="38">
        <v>8.77</v>
      </c>
      <c r="K220" s="38">
        <v>0.38700000000000001</v>
      </c>
      <c r="L220" s="41"/>
      <c r="M220"/>
    </row>
    <row r="221" spans="1:13" x14ac:dyDescent="0.25">
      <c r="A221" s="4"/>
      <c r="B221" s="28" t="str">
        <f>IF(ISNUMBER(MATCH(D221, Mgt_Unit!$C$5:$C$1018, 0)), INDEX(Mgt_Unit!$B$5:$B$1018, MATCH(D221, Mgt_Unit!$C$5:$C$1018, 0)), "")</f>
        <v>jennifer.moore</v>
      </c>
      <c r="C221" s="28"/>
      <c r="D221" s="9" t="s">
        <v>748</v>
      </c>
      <c r="E221" s="47"/>
      <c r="F221" s="41" t="s">
        <v>1351</v>
      </c>
      <c r="G221" s="41"/>
      <c r="H221" s="38"/>
      <c r="I221" s="38">
        <v>3.1</v>
      </c>
      <c r="J221" s="38">
        <v>8.66</v>
      </c>
      <c r="K221" s="38">
        <v>0.29899999999999999</v>
      </c>
      <c r="L221" s="41"/>
      <c r="M221"/>
    </row>
    <row r="222" spans="1:13" x14ac:dyDescent="0.25">
      <c r="A222" s="4"/>
      <c r="B222" s="28" t="str">
        <f>IF(ISNUMBER(MATCH(D222, Mgt_Unit!$C$5:$C$1018, 0)), INDEX(Mgt_Unit!$B$5:$B$1018, MATCH(D222, Mgt_Unit!$C$5:$C$1018, 0)), "")</f>
        <v>jennifer.moore</v>
      </c>
      <c r="C222" s="28"/>
      <c r="D222" s="9" t="s">
        <v>747</v>
      </c>
      <c r="E222" s="47"/>
      <c r="F222" s="41" t="s">
        <v>1351</v>
      </c>
      <c r="G222" s="41"/>
      <c r="H222" s="38"/>
      <c r="I222" s="38">
        <v>2.4</v>
      </c>
      <c r="J222" s="38">
        <v>8.83</v>
      </c>
      <c r="K222" s="38">
        <v>0.311</v>
      </c>
      <c r="L222" s="41"/>
      <c r="M222"/>
    </row>
    <row r="223" spans="1:13" x14ac:dyDescent="0.25">
      <c r="A223" s="4"/>
      <c r="B223" s="28" t="str">
        <f>IF(ISNUMBER(MATCH(D223, Mgt_Unit!$C$5:$C$1018, 0)), INDEX(Mgt_Unit!$B$5:$B$1018, MATCH(D223, Mgt_Unit!$C$5:$C$1018, 0)), "")</f>
        <v>jennifer.moore</v>
      </c>
      <c r="C223" s="28"/>
      <c r="D223" s="9" t="s">
        <v>749</v>
      </c>
      <c r="E223" s="47"/>
      <c r="F223" s="41" t="s">
        <v>1351</v>
      </c>
      <c r="G223" s="41"/>
      <c r="H223" s="38"/>
      <c r="I223" s="38">
        <v>2.6</v>
      </c>
      <c r="J223" s="38">
        <v>9.0299999999999994</v>
      </c>
      <c r="K223" s="38">
        <v>0.56200000000000006</v>
      </c>
      <c r="L223" s="41"/>
      <c r="M223"/>
    </row>
    <row r="224" spans="1:13" x14ac:dyDescent="0.25">
      <c r="A224" s="4"/>
      <c r="B224" s="28" t="str">
        <f>IF(ISNUMBER(MATCH(D224, Mgt_Unit!$C$5:$C$1018, 0)), INDEX(Mgt_Unit!$B$5:$B$1018, MATCH(D224, Mgt_Unit!$C$5:$C$1018, 0)), "")</f>
        <v>jennifer.moore</v>
      </c>
      <c r="C224" s="28"/>
      <c r="D224" s="9" t="s">
        <v>750</v>
      </c>
      <c r="E224" s="47"/>
      <c r="F224" s="41" t="s">
        <v>1351</v>
      </c>
      <c r="G224" s="41"/>
      <c r="H224" s="38"/>
      <c r="I224" s="38">
        <v>2.2000000000000002</v>
      </c>
      <c r="J224" s="38">
        <v>8.9</v>
      </c>
      <c r="K224" s="38">
        <v>0.34899999999999998</v>
      </c>
      <c r="L224" s="41"/>
      <c r="M224"/>
    </row>
    <row r="225" spans="1:13" x14ac:dyDescent="0.25">
      <c r="A225" s="4"/>
      <c r="B225" s="28" t="str">
        <f>IF(ISNUMBER(MATCH(D225, Mgt_Unit!$C$5:$C$1018, 0)), INDEX(Mgt_Unit!$B$5:$B$1018, MATCH(D225, Mgt_Unit!$C$5:$C$1018, 0)), "")</f>
        <v>jennifer.moore</v>
      </c>
      <c r="C225" s="28"/>
      <c r="D225" s="9" t="s">
        <v>751</v>
      </c>
      <c r="E225" s="47"/>
      <c r="F225" s="41" t="s">
        <v>1351</v>
      </c>
      <c r="G225" s="41"/>
      <c r="H225" s="38"/>
      <c r="I225" s="38">
        <v>2.2999999999999998</v>
      </c>
      <c r="J225" s="38">
        <v>8.9499999999999993</v>
      </c>
      <c r="K225" s="38">
        <v>0.54600000000000004</v>
      </c>
      <c r="L225" s="41"/>
      <c r="M225"/>
    </row>
    <row r="226" spans="1:13" x14ac:dyDescent="0.25">
      <c r="A226" s="4"/>
      <c r="B226" s="28" t="str">
        <f>IF(ISNUMBER(MATCH(D226, Mgt_Unit!$C$5:$C$1018, 0)), INDEX(Mgt_Unit!$B$5:$B$1018, MATCH(D226, Mgt_Unit!$C$5:$C$1018, 0)), "")</f>
        <v>jennifer.moore</v>
      </c>
      <c r="C226" s="28"/>
      <c r="D226" s="9" t="s">
        <v>752</v>
      </c>
      <c r="E226" s="47"/>
      <c r="F226" s="41" t="s">
        <v>1351</v>
      </c>
      <c r="G226" s="41"/>
      <c r="H226" s="38"/>
      <c r="I226" s="38">
        <v>2.6</v>
      </c>
      <c r="J226" s="38">
        <v>8.83</v>
      </c>
      <c r="K226" s="38">
        <v>0.36499999999999999</v>
      </c>
      <c r="L226" s="41"/>
      <c r="M226"/>
    </row>
    <row r="227" spans="1:13" x14ac:dyDescent="0.25">
      <c r="A227" s="4"/>
      <c r="B227" s="28" t="str">
        <f>IF(ISNUMBER(MATCH(D227, Mgt_Unit!$C$5:$C$1018, 0)), INDEX(Mgt_Unit!$B$5:$B$1018, MATCH(D227, Mgt_Unit!$C$5:$C$1018, 0)), "")</f>
        <v>jennifer.moore</v>
      </c>
      <c r="C227" s="28"/>
      <c r="D227" s="9" t="s">
        <v>753</v>
      </c>
      <c r="E227" s="47"/>
      <c r="F227" s="41" t="s">
        <v>1351</v>
      </c>
      <c r="G227" s="41"/>
      <c r="H227" s="38"/>
      <c r="I227" s="38">
        <v>2.6</v>
      </c>
      <c r="J227" s="38">
        <v>8.7799999999999994</v>
      </c>
      <c r="K227" s="38">
        <v>0.32100000000000001</v>
      </c>
      <c r="L227" s="41"/>
      <c r="M227"/>
    </row>
    <row r="228" spans="1:13" x14ac:dyDescent="0.25">
      <c r="A228" s="4"/>
      <c r="B228" s="28" t="str">
        <f>IF(ISNUMBER(MATCH(D228, Mgt_Unit!$C$5:$C$1018, 0)), INDEX(Mgt_Unit!$B$5:$B$1018, MATCH(D228, Mgt_Unit!$C$5:$C$1018, 0)), "")</f>
        <v>jennifer.moore</v>
      </c>
      <c r="C228" s="28"/>
      <c r="D228" s="9" t="s">
        <v>754</v>
      </c>
      <c r="E228" s="47"/>
      <c r="F228" s="41" t="s">
        <v>1351</v>
      </c>
      <c r="G228" s="41"/>
      <c r="H228" s="38"/>
      <c r="I228" s="38">
        <v>3.1</v>
      </c>
      <c r="J228" s="38">
        <v>8.6999999999999993</v>
      </c>
      <c r="K228" s="38">
        <v>0.34599999999999997</v>
      </c>
      <c r="L228" s="41"/>
      <c r="M228"/>
    </row>
    <row r="229" spans="1:13" x14ac:dyDescent="0.25">
      <c r="A229" s="4"/>
      <c r="B229" s="28" t="str">
        <f>IF(ISNUMBER(MATCH(D229, Mgt_Unit!$C$5:$C$1018, 0)), INDEX(Mgt_Unit!$B$5:$B$1018, MATCH(D229, Mgt_Unit!$C$5:$C$1018, 0)), "")</f>
        <v>jennifer.moore</v>
      </c>
      <c r="C229" s="28"/>
      <c r="D229" s="9" t="s">
        <v>755</v>
      </c>
      <c r="E229" s="47"/>
      <c r="F229" s="41" t="s">
        <v>1351</v>
      </c>
      <c r="G229" s="41"/>
      <c r="H229" s="38"/>
      <c r="I229" s="38">
        <v>2.7</v>
      </c>
      <c r="J229" s="38">
        <v>8.77</v>
      </c>
      <c r="K229" s="38">
        <v>0.35799999999999998</v>
      </c>
      <c r="L229" s="41"/>
      <c r="M229"/>
    </row>
    <row r="230" spans="1:13" x14ac:dyDescent="0.25">
      <c r="A230" s="4"/>
      <c r="B230" s="28" t="str">
        <f>IF(ISNUMBER(MATCH(D230, Mgt_Unit!$C$5:$C$1018, 0)), INDEX(Mgt_Unit!$B$5:$B$1018, MATCH(D230, Mgt_Unit!$C$5:$C$1018, 0)), "")</f>
        <v>jennifer.moore</v>
      </c>
      <c r="C230" s="28"/>
      <c r="D230" s="9" t="s">
        <v>756</v>
      </c>
      <c r="E230" s="47"/>
      <c r="F230" s="41" t="s">
        <v>1351</v>
      </c>
      <c r="G230" s="41"/>
      <c r="H230" s="38"/>
      <c r="I230" s="38">
        <v>3.2</v>
      </c>
      <c r="J230" s="38">
        <v>8.67</v>
      </c>
      <c r="K230" s="38">
        <v>0.38100000000000001</v>
      </c>
      <c r="L230" s="41"/>
      <c r="M230"/>
    </row>
    <row r="231" spans="1:13" x14ac:dyDescent="0.25">
      <c r="A231" s="4"/>
      <c r="B231" s="28" t="str">
        <f>IF(ISNUMBER(MATCH(D231, Mgt_Unit!$C$5:$C$1018, 0)), INDEX(Mgt_Unit!$B$5:$B$1018, MATCH(D231, Mgt_Unit!$C$5:$C$1018, 0)), "")</f>
        <v>jennifer.moore</v>
      </c>
      <c r="C231" s="28"/>
      <c r="D231" s="9" t="s">
        <v>748</v>
      </c>
      <c r="E231" s="47"/>
      <c r="F231" s="41" t="s">
        <v>1351</v>
      </c>
      <c r="G231" s="41"/>
      <c r="H231" s="38"/>
      <c r="I231" s="38">
        <v>3.3</v>
      </c>
      <c r="J231" s="38">
        <v>8.61</v>
      </c>
      <c r="K231" s="38">
        <v>0.40899999999999997</v>
      </c>
      <c r="L231" s="41"/>
      <c r="M231"/>
    </row>
    <row r="232" spans="1:13" x14ac:dyDescent="0.25">
      <c r="A232" s="4"/>
      <c r="B232" s="28" t="str">
        <f>IF(ISNUMBER(MATCH(D232, Mgt_Unit!$C$5:$C$1018, 0)), INDEX(Mgt_Unit!$B$5:$B$1018, MATCH(D232, Mgt_Unit!$C$5:$C$1018, 0)), "")</f>
        <v>jennifer.moore</v>
      </c>
      <c r="C232" s="28"/>
      <c r="D232" s="9" t="s">
        <v>747</v>
      </c>
      <c r="E232" s="47"/>
      <c r="F232" s="41" t="s">
        <v>1351</v>
      </c>
      <c r="G232" s="41"/>
      <c r="H232" s="38"/>
      <c r="I232" s="38">
        <v>2.2999999999999998</v>
      </c>
      <c r="J232" s="38">
        <v>8.75</v>
      </c>
      <c r="K232" s="38">
        <v>0.30099999999999999</v>
      </c>
      <c r="L232" s="41"/>
      <c r="M232"/>
    </row>
    <row r="233" spans="1:13" x14ac:dyDescent="0.25">
      <c r="A233" s="4"/>
      <c r="B233" s="28" t="str">
        <f>IF(ISNUMBER(MATCH(D233, Mgt_Unit!$C$5:$C$1018, 0)), INDEX(Mgt_Unit!$B$5:$B$1018, MATCH(D233, Mgt_Unit!$C$5:$C$1018, 0)), "")</f>
        <v>jennifer.moore</v>
      </c>
      <c r="C233" s="28"/>
      <c r="D233" s="9" t="s">
        <v>749</v>
      </c>
      <c r="E233" s="47"/>
      <c r="F233" s="41" t="s">
        <v>1351</v>
      </c>
      <c r="G233" s="41"/>
      <c r="H233" s="38"/>
      <c r="I233" s="38">
        <v>2.5</v>
      </c>
      <c r="J233" s="38">
        <v>8.9700000000000006</v>
      </c>
      <c r="K233" s="38">
        <v>0.58099999999999996</v>
      </c>
      <c r="L233" s="41"/>
      <c r="M233"/>
    </row>
    <row r="234" spans="1:13" x14ac:dyDescent="0.25">
      <c r="A234" s="4"/>
      <c r="B234" s="28" t="str">
        <f>IF(ISNUMBER(MATCH(D234, Mgt_Unit!$C$5:$C$1018, 0)), INDEX(Mgt_Unit!$B$5:$B$1018, MATCH(D234, Mgt_Unit!$C$5:$C$1018, 0)), "")</f>
        <v>jennifer.moore</v>
      </c>
      <c r="C234" s="28"/>
      <c r="D234" s="9" t="s">
        <v>750</v>
      </c>
      <c r="E234" s="47"/>
      <c r="F234" s="41" t="s">
        <v>1351</v>
      </c>
      <c r="G234" s="41"/>
      <c r="H234" s="38"/>
      <c r="I234" s="38">
        <v>2.1</v>
      </c>
      <c r="J234" s="38">
        <v>8.94</v>
      </c>
      <c r="K234" s="38">
        <v>0.443</v>
      </c>
      <c r="L234" s="41"/>
      <c r="M234"/>
    </row>
    <row r="235" spans="1:13" x14ac:dyDescent="0.25">
      <c r="A235" s="4"/>
      <c r="B235" s="28" t="str">
        <f>IF(ISNUMBER(MATCH(D235, Mgt_Unit!$C$5:$C$1018, 0)), INDEX(Mgt_Unit!$B$5:$B$1018, MATCH(D235, Mgt_Unit!$C$5:$C$1018, 0)), "")</f>
        <v>jennifer.moore</v>
      </c>
      <c r="C235" s="28"/>
      <c r="D235" s="9" t="s">
        <v>751</v>
      </c>
      <c r="E235" s="47"/>
      <c r="F235" s="41" t="s">
        <v>1351</v>
      </c>
      <c r="G235" s="41"/>
      <c r="H235" s="38"/>
      <c r="I235" s="38">
        <v>2.4</v>
      </c>
      <c r="J235" s="38">
        <v>8.89</v>
      </c>
      <c r="K235" s="38">
        <v>0.56200000000000006</v>
      </c>
      <c r="L235" s="41"/>
      <c r="M235"/>
    </row>
    <row r="236" spans="1:13" x14ac:dyDescent="0.25">
      <c r="A236" s="4"/>
      <c r="B236" s="28" t="str">
        <f>IF(ISNUMBER(MATCH(D236, Mgt_Unit!$C$5:$C$1018, 0)), INDEX(Mgt_Unit!$B$5:$B$1018, MATCH(D236, Mgt_Unit!$C$5:$C$1018, 0)), "")</f>
        <v>jennifer.moore</v>
      </c>
      <c r="C236" s="28"/>
      <c r="D236" s="9" t="s">
        <v>752</v>
      </c>
      <c r="E236" s="47"/>
      <c r="F236" s="41" t="s">
        <v>1351</v>
      </c>
      <c r="G236" s="41"/>
      <c r="H236" s="38"/>
      <c r="I236" s="38">
        <v>2.5</v>
      </c>
      <c r="J236" s="38">
        <v>8.85</v>
      </c>
      <c r="K236" s="38">
        <v>0.318</v>
      </c>
      <c r="L236" s="41"/>
      <c r="M236"/>
    </row>
    <row r="237" spans="1:13" x14ac:dyDescent="0.25">
      <c r="A237" s="4"/>
      <c r="B237" s="28" t="str">
        <f>IF(ISNUMBER(MATCH(D237, Mgt_Unit!$C$5:$C$1018, 0)), INDEX(Mgt_Unit!$B$5:$B$1018, MATCH(D237, Mgt_Unit!$C$5:$C$1018, 0)), "")</f>
        <v>jennifer.moore</v>
      </c>
      <c r="C237" s="28"/>
      <c r="D237" s="9" t="s">
        <v>753</v>
      </c>
      <c r="E237" s="47"/>
      <c r="F237" s="41" t="s">
        <v>1351</v>
      </c>
      <c r="G237" s="41"/>
      <c r="H237" s="38"/>
      <c r="I237" s="38">
        <v>2.2999999999999998</v>
      </c>
      <c r="J237" s="38">
        <v>8.8000000000000007</v>
      </c>
      <c r="K237" s="38">
        <v>0.50700000000000001</v>
      </c>
      <c r="L237" s="41"/>
      <c r="M237"/>
    </row>
    <row r="238" spans="1:13" x14ac:dyDescent="0.25">
      <c r="A238" s="4"/>
      <c r="B238" s="28" t="str">
        <f>IF(ISNUMBER(MATCH(D238, Mgt_Unit!$C$5:$C$1018, 0)), INDEX(Mgt_Unit!$B$5:$B$1018, MATCH(D238, Mgt_Unit!$C$5:$C$1018, 0)), "")</f>
        <v>jennifer.moore</v>
      </c>
      <c r="C238" s="28"/>
      <c r="D238" s="9" t="s">
        <v>754</v>
      </c>
      <c r="E238" s="47"/>
      <c r="F238" s="41" t="s">
        <v>1351</v>
      </c>
      <c r="G238" s="41"/>
      <c r="H238" s="38"/>
      <c r="I238" s="38">
        <v>3</v>
      </c>
      <c r="J238" s="38">
        <v>8.69</v>
      </c>
      <c r="K238" s="38">
        <v>0.36099999999999999</v>
      </c>
      <c r="L238" s="41"/>
      <c r="M238"/>
    </row>
    <row r="239" spans="1:13" x14ac:dyDescent="0.25">
      <c r="A239" s="4"/>
      <c r="B239" s="28" t="str">
        <f>IF(ISNUMBER(MATCH(D239, Mgt_Unit!$C$5:$C$1018, 0)), INDEX(Mgt_Unit!$B$5:$B$1018, MATCH(D239, Mgt_Unit!$C$5:$C$1018, 0)), "")</f>
        <v>jennifer.moore</v>
      </c>
      <c r="C239" s="28"/>
      <c r="D239" s="9" t="s">
        <v>755</v>
      </c>
      <c r="E239" s="47"/>
      <c r="F239" s="41" t="s">
        <v>1351</v>
      </c>
      <c r="G239" s="41"/>
      <c r="H239" s="38"/>
      <c r="I239" s="38">
        <v>2.9</v>
      </c>
      <c r="J239" s="38">
        <v>8.57</v>
      </c>
      <c r="K239" s="38">
        <v>0.59099999999999997</v>
      </c>
      <c r="L239" s="41"/>
      <c r="M239"/>
    </row>
    <row r="240" spans="1:13" x14ac:dyDescent="0.25">
      <c r="A240" s="4"/>
      <c r="B240" s="28" t="str">
        <f>IF(ISNUMBER(MATCH(D240, Mgt_Unit!$C$5:$C$1018, 0)), INDEX(Mgt_Unit!$B$5:$B$1018, MATCH(D240, Mgt_Unit!$C$5:$C$1018, 0)), "")</f>
        <v>jennifer.moore</v>
      </c>
      <c r="C240" s="28"/>
      <c r="D240" s="9" t="s">
        <v>756</v>
      </c>
      <c r="E240" s="47"/>
      <c r="F240" s="41" t="s">
        <v>1351</v>
      </c>
      <c r="G240" s="41"/>
      <c r="H240" s="38"/>
      <c r="I240" s="38">
        <v>2.9</v>
      </c>
      <c r="J240" s="38">
        <v>8.5299999999999994</v>
      </c>
      <c r="K240" s="38">
        <v>0.35299999999999998</v>
      </c>
      <c r="L240" s="41"/>
      <c r="M240"/>
    </row>
    <row r="241" spans="1:13" x14ac:dyDescent="0.25">
      <c r="A241" s="4"/>
      <c r="B241" s="28" t="str">
        <f>IF(ISNUMBER(MATCH(D241, Mgt_Unit!$C$5:$C$1018, 0)), INDEX(Mgt_Unit!$B$5:$B$1018, MATCH(D241, Mgt_Unit!$C$5:$C$1018, 0)), "")</f>
        <v>jennifer.moore</v>
      </c>
      <c r="C241" s="28"/>
      <c r="D241" s="9" t="s">
        <v>748</v>
      </c>
      <c r="E241" s="47"/>
      <c r="F241" s="41" t="s">
        <v>1351</v>
      </c>
      <c r="G241" s="41"/>
      <c r="H241" s="38"/>
      <c r="I241" s="38">
        <v>2.9</v>
      </c>
      <c r="J241" s="38">
        <v>8.4700000000000006</v>
      </c>
      <c r="K241" s="38">
        <v>0.32700000000000001</v>
      </c>
      <c r="L241" s="41"/>
      <c r="M241"/>
    </row>
    <row r="242" spans="1:13" x14ac:dyDescent="0.25">
      <c r="A242" s="4"/>
      <c r="B242" s="28" t="str">
        <f>IF(ISNUMBER(MATCH(D242, Mgt_Unit!$C$5:$C$1018, 0)), INDEX(Mgt_Unit!$B$5:$B$1018, MATCH(D242, Mgt_Unit!$C$5:$C$1018, 0)), "")</f>
        <v>jennifer.moore</v>
      </c>
      <c r="C242" s="28"/>
      <c r="D242" s="9" t="s">
        <v>757</v>
      </c>
      <c r="E242" s="47"/>
      <c r="F242" s="41" t="s">
        <v>1351</v>
      </c>
      <c r="G242" s="41"/>
      <c r="H242" s="38"/>
      <c r="I242" s="38">
        <v>2.2000000000000002</v>
      </c>
      <c r="J242" s="38">
        <v>8.52</v>
      </c>
      <c r="K242" s="38">
        <v>0.45800000000000002</v>
      </c>
      <c r="L242" s="41"/>
      <c r="M242"/>
    </row>
    <row r="243" spans="1:13" x14ac:dyDescent="0.25">
      <c r="A243" s="4"/>
      <c r="B243" s="28" t="str">
        <f>IF(ISNUMBER(MATCH(D243, Mgt_Unit!$C$5:$C$1018, 0)), INDEX(Mgt_Unit!$B$5:$B$1018, MATCH(D243, Mgt_Unit!$C$5:$C$1018, 0)), "")</f>
        <v>jennifer.moore</v>
      </c>
      <c r="C243" s="28"/>
      <c r="D243" s="9" t="s">
        <v>763</v>
      </c>
      <c r="E243" s="47"/>
      <c r="F243" s="41" t="s">
        <v>1351</v>
      </c>
      <c r="G243" s="41"/>
      <c r="H243" s="38"/>
      <c r="I243" s="38">
        <v>2.6</v>
      </c>
      <c r="J243" s="38">
        <v>8.49</v>
      </c>
      <c r="K243" s="38">
        <v>0.378</v>
      </c>
      <c r="L243" s="41"/>
      <c r="M243"/>
    </row>
    <row r="244" spans="1:13" x14ac:dyDescent="0.25">
      <c r="A244" s="4"/>
      <c r="B244" s="28" t="str">
        <f>IF(ISNUMBER(MATCH(D244, Mgt_Unit!$C$5:$C$1018, 0)), INDEX(Mgt_Unit!$B$5:$B$1018, MATCH(D244, Mgt_Unit!$C$5:$C$1018, 0)), "")</f>
        <v>jennifer.moore</v>
      </c>
      <c r="C244" s="28"/>
      <c r="D244" s="9" t="s">
        <v>764</v>
      </c>
      <c r="E244" s="47"/>
      <c r="F244" s="41" t="s">
        <v>1351</v>
      </c>
      <c r="G244" s="41"/>
      <c r="H244" s="38"/>
      <c r="I244" s="38">
        <v>2.4</v>
      </c>
      <c r="J244" s="38">
        <v>8.64</v>
      </c>
      <c r="K244" s="38">
        <v>0.313</v>
      </c>
      <c r="L244" s="41"/>
      <c r="M244"/>
    </row>
    <row r="245" spans="1:13" x14ac:dyDescent="0.25">
      <c r="A245" s="4"/>
      <c r="B245" s="28" t="str">
        <f>IF(ISNUMBER(MATCH(D245, Mgt_Unit!$C$5:$C$1018, 0)), INDEX(Mgt_Unit!$B$5:$B$1018, MATCH(D245, Mgt_Unit!$C$5:$C$1018, 0)), "")</f>
        <v>jennifer.moore</v>
      </c>
      <c r="C245" s="28"/>
      <c r="D245" s="9" t="s">
        <v>765</v>
      </c>
      <c r="E245" s="47"/>
      <c r="F245" s="41" t="s">
        <v>1351</v>
      </c>
      <c r="G245" s="41"/>
      <c r="H245" s="38"/>
      <c r="I245" s="38">
        <v>3.5</v>
      </c>
      <c r="J245" s="38">
        <v>8.56</v>
      </c>
      <c r="K245" s="38">
        <v>0.39</v>
      </c>
      <c r="L245" s="41"/>
      <c r="M245"/>
    </row>
    <row r="246" spans="1:13" x14ac:dyDescent="0.25">
      <c r="A246" s="4"/>
      <c r="B246" s="28" t="str">
        <f>IF(ISNUMBER(MATCH(D246, Mgt_Unit!$C$5:$C$1018, 0)), INDEX(Mgt_Unit!$B$5:$B$1018, MATCH(D246, Mgt_Unit!$C$5:$C$1018, 0)), "")</f>
        <v>jennifer.moore</v>
      </c>
      <c r="C246" s="28"/>
      <c r="D246" s="9" t="s">
        <v>766</v>
      </c>
      <c r="E246" s="47"/>
      <c r="F246" s="41" t="s">
        <v>1351</v>
      </c>
      <c r="G246" s="41"/>
      <c r="H246" s="38"/>
      <c r="I246" s="38">
        <v>2.5</v>
      </c>
      <c r="J246" s="38">
        <v>8.52</v>
      </c>
      <c r="K246" s="38">
        <v>0.42699999999999999</v>
      </c>
      <c r="L246" s="41"/>
      <c r="M246"/>
    </row>
    <row r="247" spans="1:13" x14ac:dyDescent="0.25">
      <c r="A247" s="4"/>
      <c r="B247" s="28" t="str">
        <f>IF(ISNUMBER(MATCH(D247, Mgt_Unit!$C$5:$C$1018, 0)), INDEX(Mgt_Unit!$B$5:$B$1018, MATCH(D247, Mgt_Unit!$C$5:$C$1018, 0)), "")</f>
        <v>jennifer.moore</v>
      </c>
      <c r="C247" s="28"/>
      <c r="D247" s="9" t="s">
        <v>767</v>
      </c>
      <c r="E247" s="47"/>
      <c r="F247" s="41" t="s">
        <v>1351</v>
      </c>
      <c r="G247" s="41"/>
      <c r="H247" s="38"/>
      <c r="I247" s="38">
        <v>2.7</v>
      </c>
      <c r="J247" s="38">
        <v>8.65</v>
      </c>
      <c r="K247" s="38">
        <v>0.39500000000000002</v>
      </c>
      <c r="L247" s="41"/>
      <c r="M247"/>
    </row>
    <row r="248" spans="1:13" x14ac:dyDescent="0.25">
      <c r="A248" s="4"/>
      <c r="B248" s="28" t="str">
        <f>IF(ISNUMBER(MATCH(D248, Mgt_Unit!$C$5:$C$1018, 0)), INDEX(Mgt_Unit!$B$5:$B$1018, MATCH(D248, Mgt_Unit!$C$5:$C$1018, 0)), "")</f>
        <v>jennifer.moore</v>
      </c>
      <c r="C248" s="28"/>
      <c r="D248" s="9" t="s">
        <v>768</v>
      </c>
      <c r="E248" s="47"/>
      <c r="F248" s="41" t="s">
        <v>1351</v>
      </c>
      <c r="G248" s="41"/>
      <c r="H248" s="38"/>
      <c r="I248" s="38">
        <v>3.5</v>
      </c>
      <c r="J248" s="38">
        <v>8.5399999999999991</v>
      </c>
      <c r="K248" s="38">
        <v>0.4</v>
      </c>
      <c r="L248" s="41"/>
      <c r="M248"/>
    </row>
    <row r="249" spans="1:13" x14ac:dyDescent="0.25">
      <c r="A249" s="4"/>
      <c r="B249" s="28" t="str">
        <f>IF(ISNUMBER(MATCH(D249, Mgt_Unit!$C$5:$C$1018, 0)), INDEX(Mgt_Unit!$B$5:$B$1018, MATCH(D249, Mgt_Unit!$C$5:$C$1018, 0)), "")</f>
        <v>jennifer.moore</v>
      </c>
      <c r="C249" s="28"/>
      <c r="D249" s="9" t="s">
        <v>769</v>
      </c>
      <c r="E249" s="47"/>
      <c r="F249" s="41" t="s">
        <v>1351</v>
      </c>
      <c r="G249" s="41"/>
      <c r="H249" s="38"/>
      <c r="I249" s="38">
        <v>3</v>
      </c>
      <c r="J249" s="38">
        <v>8.51</v>
      </c>
      <c r="K249" s="38">
        <v>0.50900000000000001</v>
      </c>
      <c r="L249" s="41"/>
      <c r="M249"/>
    </row>
    <row r="250" spans="1:13" x14ac:dyDescent="0.25">
      <c r="A250" s="4"/>
      <c r="B250" s="28" t="str">
        <f>IF(ISNUMBER(MATCH(D250, Mgt_Unit!$C$5:$C$1018, 0)), INDEX(Mgt_Unit!$B$5:$B$1018, MATCH(D250, Mgt_Unit!$C$5:$C$1018, 0)), "")</f>
        <v>jennifer.moore</v>
      </c>
      <c r="C250" s="28"/>
      <c r="D250" s="9" t="s">
        <v>770</v>
      </c>
      <c r="E250" s="47"/>
      <c r="F250" s="41" t="s">
        <v>1351</v>
      </c>
      <c r="G250" s="41"/>
      <c r="H250" s="38"/>
      <c r="I250" s="38">
        <v>2.9</v>
      </c>
      <c r="J250" s="38">
        <v>8.74</v>
      </c>
      <c r="K250" s="38">
        <v>0.41</v>
      </c>
      <c r="L250" s="41"/>
      <c r="M250"/>
    </row>
    <row r="251" spans="1:13" x14ac:dyDescent="0.25">
      <c r="A251" s="4"/>
      <c r="B251" s="28" t="str">
        <f>IF(ISNUMBER(MATCH(D251, Mgt_Unit!$C$5:$C$1018, 0)), INDEX(Mgt_Unit!$B$5:$B$1018, MATCH(D251, Mgt_Unit!$C$5:$C$1018, 0)), "")</f>
        <v>jennifer.moore</v>
      </c>
      <c r="C251" s="28"/>
      <c r="D251" s="9" t="s">
        <v>758</v>
      </c>
      <c r="E251" s="47"/>
      <c r="F251" s="41" t="s">
        <v>1351</v>
      </c>
      <c r="G251" s="41"/>
      <c r="H251" s="38"/>
      <c r="I251" s="38">
        <v>4</v>
      </c>
      <c r="J251" s="38">
        <v>8.5500000000000007</v>
      </c>
      <c r="K251" s="38">
        <v>0.33800000000000002</v>
      </c>
      <c r="L251" s="41"/>
      <c r="M251"/>
    </row>
    <row r="252" spans="1:13" x14ac:dyDescent="0.25">
      <c r="A252" s="4"/>
      <c r="B252" s="28" t="str">
        <f>IF(ISNUMBER(MATCH(D252, Mgt_Unit!$C$5:$C$1018, 0)), INDEX(Mgt_Unit!$B$5:$B$1018, MATCH(D252, Mgt_Unit!$C$5:$C$1018, 0)), "")</f>
        <v>jennifer.moore</v>
      </c>
      <c r="C252" s="28"/>
      <c r="D252" s="9" t="s">
        <v>759</v>
      </c>
      <c r="E252" s="47"/>
      <c r="F252" s="41" t="s">
        <v>1351</v>
      </c>
      <c r="G252" s="41"/>
      <c r="H252" s="38"/>
      <c r="I252" s="38">
        <v>3.3</v>
      </c>
      <c r="J252" s="38">
        <v>8.56</v>
      </c>
      <c r="K252" s="38">
        <v>0.32600000000000001</v>
      </c>
      <c r="L252" s="41"/>
      <c r="M252"/>
    </row>
    <row r="253" spans="1:13" x14ac:dyDescent="0.25">
      <c r="A253" s="4"/>
      <c r="B253" s="28" t="str">
        <f>IF(ISNUMBER(MATCH(D253, Mgt_Unit!$C$5:$C$1018, 0)), INDEX(Mgt_Unit!$B$5:$B$1018, MATCH(D253, Mgt_Unit!$C$5:$C$1018, 0)), "")</f>
        <v>jennifer.moore</v>
      </c>
      <c r="C253" s="28"/>
      <c r="D253" s="9" t="s">
        <v>760</v>
      </c>
      <c r="E253" s="47"/>
      <c r="F253" s="41" t="s">
        <v>1351</v>
      </c>
      <c r="G253" s="41"/>
      <c r="H253" s="38"/>
      <c r="I253" s="38">
        <v>2.4</v>
      </c>
      <c r="J253" s="38">
        <v>8.7200000000000006</v>
      </c>
      <c r="K253" s="38">
        <v>0.39300000000000002</v>
      </c>
      <c r="L253" s="41"/>
      <c r="M253"/>
    </row>
    <row r="254" spans="1:13" x14ac:dyDescent="0.25">
      <c r="A254" s="4"/>
      <c r="B254" s="28" t="str">
        <f>IF(ISNUMBER(MATCH(D254, Mgt_Unit!$C$5:$C$1018, 0)), INDEX(Mgt_Unit!$B$5:$B$1018, MATCH(D254, Mgt_Unit!$C$5:$C$1018, 0)), "")</f>
        <v>jennifer.moore</v>
      </c>
      <c r="C254" s="28"/>
      <c r="D254" s="9" t="s">
        <v>761</v>
      </c>
      <c r="E254" s="47"/>
      <c r="F254" s="41" t="s">
        <v>1351</v>
      </c>
      <c r="G254" s="41"/>
      <c r="H254" s="38"/>
      <c r="I254" s="38">
        <v>2.5</v>
      </c>
      <c r="J254" s="38">
        <v>8.66</v>
      </c>
      <c r="K254" s="38">
        <v>0.36</v>
      </c>
      <c r="L254" s="41"/>
      <c r="M254"/>
    </row>
    <row r="255" spans="1:13" x14ac:dyDescent="0.25">
      <c r="A255" s="4"/>
      <c r="B255" s="28" t="str">
        <f>IF(ISNUMBER(MATCH(D255, Mgt_Unit!$C$5:$C$1018, 0)), INDEX(Mgt_Unit!$B$5:$B$1018, MATCH(D255, Mgt_Unit!$C$5:$C$1018, 0)), "")</f>
        <v>jennifer.moore</v>
      </c>
      <c r="C255" s="28"/>
      <c r="D255" s="9" t="s">
        <v>762</v>
      </c>
      <c r="E255" s="47"/>
      <c r="F255" s="41" t="s">
        <v>1351</v>
      </c>
      <c r="G255" s="41"/>
      <c r="H255" s="38"/>
      <c r="I255" s="38">
        <v>2.6</v>
      </c>
      <c r="J255" s="38">
        <v>8.6</v>
      </c>
      <c r="K255" s="38">
        <v>0.33600000000000002</v>
      </c>
      <c r="L255" s="41"/>
      <c r="M255"/>
    </row>
    <row r="256" spans="1:13" x14ac:dyDescent="0.25">
      <c r="A256" s="4"/>
      <c r="B256" s="28" t="str">
        <f>IF(ISNUMBER(MATCH(D256, Mgt_Unit!$C$5:$C$1018, 0)), INDEX(Mgt_Unit!$B$5:$B$1018, MATCH(D256, Mgt_Unit!$C$5:$C$1018, 0)), "")</f>
        <v>jennifer.moore</v>
      </c>
      <c r="C256" s="28"/>
      <c r="D256" s="9" t="s">
        <v>757</v>
      </c>
      <c r="E256" s="47"/>
      <c r="F256" s="41" t="s">
        <v>1351</v>
      </c>
      <c r="G256" s="41"/>
      <c r="H256" s="38"/>
      <c r="I256" s="38">
        <v>1.9</v>
      </c>
      <c r="J256" s="38">
        <v>8.93</v>
      </c>
      <c r="K256" s="38">
        <v>0.38900000000000001</v>
      </c>
      <c r="L256" s="41"/>
      <c r="M256"/>
    </row>
    <row r="257" spans="1:13" x14ac:dyDescent="0.25">
      <c r="A257" s="4"/>
      <c r="B257" s="28" t="str">
        <f>IF(ISNUMBER(MATCH(D257, Mgt_Unit!$C$5:$C$1018, 0)), INDEX(Mgt_Unit!$B$5:$B$1018, MATCH(D257, Mgt_Unit!$C$5:$C$1018, 0)), "")</f>
        <v>jennifer.moore</v>
      </c>
      <c r="C257" s="28"/>
      <c r="D257" s="9" t="s">
        <v>763</v>
      </c>
      <c r="E257" s="47"/>
      <c r="F257" s="41" t="s">
        <v>1351</v>
      </c>
      <c r="G257" s="41"/>
      <c r="H257" s="38"/>
      <c r="I257" s="38">
        <v>2.2000000000000002</v>
      </c>
      <c r="J257" s="38">
        <v>8.6199999999999992</v>
      </c>
      <c r="K257" s="38">
        <v>0.29199999999999998</v>
      </c>
      <c r="L257" s="41"/>
      <c r="M257"/>
    </row>
    <row r="258" spans="1:13" x14ac:dyDescent="0.25">
      <c r="A258" s="4"/>
      <c r="B258" s="28" t="str">
        <f>IF(ISNUMBER(MATCH(D258, Mgt_Unit!$C$5:$C$1018, 0)), INDEX(Mgt_Unit!$B$5:$B$1018, MATCH(D258, Mgt_Unit!$C$5:$C$1018, 0)), "")</f>
        <v>jennifer.moore</v>
      </c>
      <c r="C258" s="28"/>
      <c r="D258" s="9" t="s">
        <v>764</v>
      </c>
      <c r="E258" s="47"/>
      <c r="F258" s="41" t="s">
        <v>1351</v>
      </c>
      <c r="G258" s="41"/>
      <c r="H258" s="38"/>
      <c r="I258" s="38">
        <v>2.7</v>
      </c>
      <c r="J258" s="38">
        <v>8.65</v>
      </c>
      <c r="K258" s="38">
        <v>0.252</v>
      </c>
      <c r="L258" s="41"/>
      <c r="M258"/>
    </row>
    <row r="259" spans="1:13" x14ac:dyDescent="0.25">
      <c r="A259" s="4"/>
      <c r="B259" s="28" t="str">
        <f>IF(ISNUMBER(MATCH(D259, Mgt_Unit!$C$5:$C$1018, 0)), INDEX(Mgt_Unit!$B$5:$B$1018, MATCH(D259, Mgt_Unit!$C$5:$C$1018, 0)), "")</f>
        <v>jennifer.moore</v>
      </c>
      <c r="C259" s="28"/>
      <c r="D259" s="9" t="s">
        <v>765</v>
      </c>
      <c r="E259" s="47"/>
      <c r="F259" s="41" t="s">
        <v>1351</v>
      </c>
      <c r="G259" s="41"/>
      <c r="H259" s="38"/>
      <c r="I259" s="38">
        <v>3.9</v>
      </c>
      <c r="J259" s="38">
        <v>8.5500000000000007</v>
      </c>
      <c r="K259" s="38">
        <v>0.36399999999999999</v>
      </c>
      <c r="L259" s="41"/>
      <c r="M259"/>
    </row>
    <row r="260" spans="1:13" x14ac:dyDescent="0.25">
      <c r="A260" s="4"/>
      <c r="B260" s="28" t="str">
        <f>IF(ISNUMBER(MATCH(D260, Mgt_Unit!$C$5:$C$1018, 0)), INDEX(Mgt_Unit!$B$5:$B$1018, MATCH(D260, Mgt_Unit!$C$5:$C$1018, 0)), "")</f>
        <v>jennifer.moore</v>
      </c>
      <c r="C260" s="28"/>
      <c r="D260" s="9" t="s">
        <v>766</v>
      </c>
      <c r="E260" s="47"/>
      <c r="F260" s="41" t="s">
        <v>1351</v>
      </c>
      <c r="G260" s="41"/>
      <c r="H260" s="38"/>
      <c r="I260" s="38">
        <v>2.8</v>
      </c>
      <c r="J260" s="38">
        <v>8.6300000000000008</v>
      </c>
      <c r="K260" s="38">
        <v>0.40100000000000002</v>
      </c>
      <c r="L260" s="41"/>
      <c r="M260"/>
    </row>
    <row r="261" spans="1:13" x14ac:dyDescent="0.25">
      <c r="A261" s="4"/>
      <c r="B261" s="28" t="str">
        <f>IF(ISNUMBER(MATCH(D261, Mgt_Unit!$C$5:$C$1018, 0)), INDEX(Mgt_Unit!$B$5:$B$1018, MATCH(D261, Mgt_Unit!$C$5:$C$1018, 0)), "")</f>
        <v>jennifer.moore</v>
      </c>
      <c r="C261" s="28"/>
      <c r="D261" s="9" t="s">
        <v>767</v>
      </c>
      <c r="E261" s="47"/>
      <c r="F261" s="41" t="s">
        <v>1351</v>
      </c>
      <c r="G261" s="41"/>
      <c r="H261" s="38"/>
      <c r="I261" s="38">
        <v>2.7</v>
      </c>
      <c r="J261" s="38">
        <v>8.6999999999999993</v>
      </c>
      <c r="K261" s="38">
        <v>0.41099999999999998</v>
      </c>
      <c r="L261" s="41"/>
      <c r="M261"/>
    </row>
    <row r="262" spans="1:13" x14ac:dyDescent="0.25">
      <c r="A262" s="4"/>
      <c r="B262" s="28" t="str">
        <f>IF(ISNUMBER(MATCH(D262, Mgt_Unit!$C$5:$C$1018, 0)), INDEX(Mgt_Unit!$B$5:$B$1018, MATCH(D262, Mgt_Unit!$C$5:$C$1018, 0)), "")</f>
        <v>jennifer.moore</v>
      </c>
      <c r="C262" s="28"/>
      <c r="D262" s="9" t="s">
        <v>768</v>
      </c>
      <c r="E262" s="47"/>
      <c r="F262" s="41" t="s">
        <v>1351</v>
      </c>
      <c r="G262" s="41"/>
      <c r="H262" s="38"/>
      <c r="I262" s="38">
        <v>4</v>
      </c>
      <c r="J262" s="38">
        <v>8.7799999999999994</v>
      </c>
      <c r="K262" s="38">
        <v>0.34699999999999998</v>
      </c>
      <c r="L262" s="41"/>
      <c r="M262"/>
    </row>
    <row r="263" spans="1:13" x14ac:dyDescent="0.25">
      <c r="A263" s="4"/>
      <c r="B263" s="28" t="str">
        <f>IF(ISNUMBER(MATCH(D263, Mgt_Unit!$C$5:$C$1018, 0)), INDEX(Mgt_Unit!$B$5:$B$1018, MATCH(D263, Mgt_Unit!$C$5:$C$1018, 0)), "")</f>
        <v>jennifer.moore</v>
      </c>
      <c r="C263" s="28"/>
      <c r="D263" s="9" t="s">
        <v>769</v>
      </c>
      <c r="E263" s="47"/>
      <c r="F263" s="41" t="s">
        <v>1351</v>
      </c>
      <c r="G263" s="41"/>
      <c r="H263" s="38"/>
      <c r="I263" s="38">
        <v>3.1</v>
      </c>
      <c r="J263" s="38">
        <v>8.73</v>
      </c>
      <c r="K263" s="38">
        <v>0.36399999999999999</v>
      </c>
      <c r="L263" s="41"/>
      <c r="M263"/>
    </row>
    <row r="264" spans="1:13" x14ac:dyDescent="0.25">
      <c r="A264" s="4"/>
      <c r="B264" s="28" t="str">
        <f>IF(ISNUMBER(MATCH(D264, Mgt_Unit!$C$5:$C$1018, 0)), INDEX(Mgt_Unit!$B$5:$B$1018, MATCH(D264, Mgt_Unit!$C$5:$C$1018, 0)), "")</f>
        <v>jennifer.moore</v>
      </c>
      <c r="C264" s="28"/>
      <c r="D264" s="9" t="s">
        <v>770</v>
      </c>
      <c r="E264" s="47"/>
      <c r="F264" s="41" t="s">
        <v>1351</v>
      </c>
      <c r="G264" s="41"/>
      <c r="H264" s="38"/>
      <c r="I264" s="38">
        <v>3.3</v>
      </c>
      <c r="J264" s="38">
        <v>8.75</v>
      </c>
      <c r="K264" s="38">
        <v>0.36199999999999999</v>
      </c>
      <c r="L264" s="41"/>
      <c r="M264"/>
    </row>
    <row r="265" spans="1:13" x14ac:dyDescent="0.25">
      <c r="A265" s="4"/>
      <c r="B265" s="28" t="str">
        <f>IF(ISNUMBER(MATCH(D265, Mgt_Unit!$C$5:$C$1018, 0)), INDEX(Mgt_Unit!$B$5:$B$1018, MATCH(D265, Mgt_Unit!$C$5:$C$1018, 0)), "")</f>
        <v>jennifer.moore</v>
      </c>
      <c r="C265" s="28"/>
      <c r="D265" s="9" t="s">
        <v>758</v>
      </c>
      <c r="E265" s="47"/>
      <c r="F265" s="41" t="s">
        <v>1351</v>
      </c>
      <c r="G265" s="41"/>
      <c r="H265" s="38"/>
      <c r="I265" s="38">
        <v>4.2</v>
      </c>
      <c r="J265" s="38">
        <v>8.4600000000000009</v>
      </c>
      <c r="K265" s="38">
        <v>0.33200000000000002</v>
      </c>
      <c r="L265" s="41"/>
      <c r="M265"/>
    </row>
    <row r="266" spans="1:13" x14ac:dyDescent="0.25">
      <c r="A266" s="4"/>
      <c r="B266" s="28" t="str">
        <f>IF(ISNUMBER(MATCH(D266, Mgt_Unit!$C$5:$C$1018, 0)), INDEX(Mgt_Unit!$B$5:$B$1018, MATCH(D266, Mgt_Unit!$C$5:$C$1018, 0)), "")</f>
        <v>jennifer.moore</v>
      </c>
      <c r="C266" s="28"/>
      <c r="D266" s="9" t="s">
        <v>759</v>
      </c>
      <c r="E266" s="47"/>
      <c r="F266" s="41" t="s">
        <v>1351</v>
      </c>
      <c r="G266" s="41"/>
      <c r="H266" s="38"/>
      <c r="I266" s="38">
        <v>2.9</v>
      </c>
      <c r="J266" s="38">
        <v>8.59</v>
      </c>
      <c r="K266" s="38">
        <v>0.27900000000000003</v>
      </c>
      <c r="L266" s="41"/>
      <c r="M266"/>
    </row>
    <row r="267" spans="1:13" x14ac:dyDescent="0.25">
      <c r="A267" s="4"/>
      <c r="B267" s="28" t="str">
        <f>IF(ISNUMBER(MATCH(D267, Mgt_Unit!$C$5:$C$1018, 0)), INDEX(Mgt_Unit!$B$5:$B$1018, MATCH(D267, Mgt_Unit!$C$5:$C$1018, 0)), "")</f>
        <v>jennifer.moore</v>
      </c>
      <c r="C267" s="28"/>
      <c r="D267" s="9" t="s">
        <v>760</v>
      </c>
      <c r="E267" s="47"/>
      <c r="F267" s="41" t="s">
        <v>1351</v>
      </c>
      <c r="G267" s="41"/>
      <c r="H267" s="38"/>
      <c r="I267" s="38">
        <v>2.7</v>
      </c>
      <c r="J267" s="38">
        <v>8.49</v>
      </c>
      <c r="K267" s="38">
        <v>0.34599999999999997</v>
      </c>
      <c r="L267" s="41"/>
      <c r="M267"/>
    </row>
    <row r="268" spans="1:13" x14ac:dyDescent="0.25">
      <c r="A268" s="4"/>
      <c r="B268" s="28" t="str">
        <f>IF(ISNUMBER(MATCH(D268, Mgt_Unit!$C$5:$C$1018, 0)), INDEX(Mgt_Unit!$B$5:$B$1018, MATCH(D268, Mgt_Unit!$C$5:$C$1018, 0)), "")</f>
        <v>jennifer.moore</v>
      </c>
      <c r="C268" s="28"/>
      <c r="D268" s="9" t="s">
        <v>761</v>
      </c>
      <c r="E268" s="47"/>
      <c r="F268" s="41" t="s">
        <v>1351</v>
      </c>
      <c r="G268" s="41"/>
      <c r="H268" s="38"/>
      <c r="I268" s="38">
        <v>2.6</v>
      </c>
      <c r="J268" s="38">
        <v>8.6199999999999992</v>
      </c>
      <c r="K268" s="38">
        <v>0.28699999999999998</v>
      </c>
      <c r="L268" s="41"/>
      <c r="M268"/>
    </row>
    <row r="269" spans="1:13" x14ac:dyDescent="0.25">
      <c r="A269" s="4"/>
      <c r="B269" s="28" t="str">
        <f>IF(ISNUMBER(MATCH(D269, Mgt_Unit!$C$5:$C$1018, 0)), INDEX(Mgt_Unit!$B$5:$B$1018, MATCH(D269, Mgt_Unit!$C$5:$C$1018, 0)), "")</f>
        <v>jennifer.moore</v>
      </c>
      <c r="C269" s="28"/>
      <c r="D269" s="9" t="s">
        <v>762</v>
      </c>
      <c r="E269" s="47"/>
      <c r="F269" s="41" t="s">
        <v>1351</v>
      </c>
      <c r="G269" s="41"/>
      <c r="H269" s="38"/>
      <c r="I269" s="38">
        <v>2.5</v>
      </c>
      <c r="J269" s="38">
        <v>8.7100000000000009</v>
      </c>
      <c r="K269" s="38">
        <v>0.3</v>
      </c>
      <c r="L269" s="41"/>
      <c r="M269"/>
    </row>
    <row r="270" spans="1:13" x14ac:dyDescent="0.25">
      <c r="A270" s="4"/>
      <c r="B270" s="28" t="str">
        <f>IF(ISNUMBER(MATCH(D270, Mgt_Unit!$C$5:$C$1018, 0)), INDEX(Mgt_Unit!$B$5:$B$1018, MATCH(D270, Mgt_Unit!$C$5:$C$1018, 0)), "")</f>
        <v>jennifer.moore</v>
      </c>
      <c r="C270" s="28"/>
      <c r="D270" s="9" t="s">
        <v>778</v>
      </c>
      <c r="E270" s="47"/>
      <c r="F270" s="41" t="s">
        <v>1351</v>
      </c>
      <c r="G270" s="41"/>
      <c r="H270" s="38"/>
      <c r="I270" s="38">
        <v>2.2999999999999998</v>
      </c>
      <c r="J270" s="38">
        <v>5.31</v>
      </c>
      <c r="K270" s="38">
        <v>5.6099999999999997E-2</v>
      </c>
      <c r="L270" s="41"/>
      <c r="M270"/>
    </row>
    <row r="271" spans="1:13" x14ac:dyDescent="0.25">
      <c r="A271" s="4"/>
      <c r="B271" s="28" t="str">
        <f>IF(ISNUMBER(MATCH(D271, Mgt_Unit!$C$5:$C$1018, 0)), INDEX(Mgt_Unit!$B$5:$B$1018, MATCH(D271, Mgt_Unit!$C$5:$C$1018, 0)), "")</f>
        <v>jennifer.moore</v>
      </c>
      <c r="C271" s="28"/>
      <c r="D271" s="9" t="s">
        <v>776</v>
      </c>
      <c r="E271" s="47"/>
      <c r="F271" s="41" t="s">
        <v>1351</v>
      </c>
      <c r="G271" s="41"/>
      <c r="H271" s="38"/>
      <c r="I271" s="38">
        <v>2.8</v>
      </c>
      <c r="J271" s="38">
        <v>4.22</v>
      </c>
      <c r="K271" s="38">
        <v>4.4900000000000002E-2</v>
      </c>
      <c r="L271" s="41"/>
      <c r="M271"/>
    </row>
    <row r="272" spans="1:13" x14ac:dyDescent="0.25">
      <c r="A272" s="4"/>
      <c r="B272" s="28" t="str">
        <f>IF(ISNUMBER(MATCH(D272, Mgt_Unit!$C$5:$C$1018, 0)), INDEX(Mgt_Unit!$B$5:$B$1018, MATCH(D272, Mgt_Unit!$C$5:$C$1018, 0)), "")</f>
        <v>jennifer.moore</v>
      </c>
      <c r="C272" s="28"/>
      <c r="D272" s="9" t="s">
        <v>774</v>
      </c>
      <c r="E272" s="47"/>
      <c r="F272" s="41" t="s">
        <v>1351</v>
      </c>
      <c r="G272" s="41"/>
      <c r="H272" s="38"/>
      <c r="I272" s="38">
        <v>2.7</v>
      </c>
      <c r="J272" s="38">
        <v>5.55</v>
      </c>
      <c r="K272" s="38">
        <v>9.69E-2</v>
      </c>
      <c r="L272" s="41"/>
      <c r="M272"/>
    </row>
    <row r="273" spans="1:13" x14ac:dyDescent="0.25">
      <c r="A273" s="4"/>
      <c r="B273" s="28" t="str">
        <f>IF(ISNUMBER(MATCH(D273, Mgt_Unit!$C$5:$C$1018, 0)), INDEX(Mgt_Unit!$B$5:$B$1018, MATCH(D273, Mgt_Unit!$C$5:$C$1018, 0)), "")</f>
        <v>jennifer.moore</v>
      </c>
      <c r="C273" s="28"/>
      <c r="D273" s="9" t="s">
        <v>772</v>
      </c>
      <c r="E273" s="47"/>
      <c r="F273" s="41" t="s">
        <v>1351</v>
      </c>
      <c r="G273" s="41"/>
      <c r="H273" s="38"/>
      <c r="I273" s="38">
        <v>2.6</v>
      </c>
      <c r="J273" s="38">
        <v>5.34</v>
      </c>
      <c r="K273" s="38">
        <v>9.2299999999999993E-2</v>
      </c>
      <c r="L273" s="41"/>
      <c r="M273"/>
    </row>
    <row r="274" spans="1:13" x14ac:dyDescent="0.25">
      <c r="A274" s="4"/>
      <c r="B274" s="28" t="str">
        <f>IF(ISNUMBER(MATCH(D274, Mgt_Unit!$C$5:$C$1018, 0)), INDEX(Mgt_Unit!$B$5:$B$1018, MATCH(D274, Mgt_Unit!$C$5:$C$1018, 0)), "")</f>
        <v>jennifer.moore</v>
      </c>
      <c r="C274" s="28"/>
      <c r="D274" s="9" t="s">
        <v>773</v>
      </c>
      <c r="E274" s="47"/>
      <c r="F274" s="41" t="s">
        <v>1351</v>
      </c>
      <c r="G274" s="41"/>
      <c r="H274" s="38"/>
      <c r="I274" s="38">
        <v>2</v>
      </c>
      <c r="J274" s="38">
        <v>5.36</v>
      </c>
      <c r="K274" s="38">
        <v>6.88E-2</v>
      </c>
      <c r="L274" s="41"/>
      <c r="M274"/>
    </row>
    <row r="275" spans="1:13" x14ac:dyDescent="0.25">
      <c r="A275" s="4"/>
      <c r="B275" s="28" t="str">
        <f>IF(ISNUMBER(MATCH(D275, Mgt_Unit!$C$5:$C$1018, 0)), INDEX(Mgt_Unit!$B$5:$B$1018, MATCH(D275, Mgt_Unit!$C$5:$C$1018, 0)), "")</f>
        <v>jennifer.moore</v>
      </c>
      <c r="C275" s="28"/>
      <c r="D275" s="9" t="s">
        <v>771</v>
      </c>
      <c r="E275" s="47"/>
      <c r="F275" s="41" t="s">
        <v>1351</v>
      </c>
      <c r="G275" s="41"/>
      <c r="H275" s="38"/>
      <c r="I275" s="38">
        <v>1.7</v>
      </c>
      <c r="J275" s="38">
        <v>5.17</v>
      </c>
      <c r="K275" s="38">
        <v>5.0299999999999997E-2</v>
      </c>
      <c r="L275" s="41"/>
      <c r="M275"/>
    </row>
    <row r="276" spans="1:13" x14ac:dyDescent="0.25">
      <c r="A276" s="4"/>
      <c r="B276" s="28" t="str">
        <f>IF(ISNUMBER(MATCH(D276, Mgt_Unit!$C$5:$C$1018, 0)), INDEX(Mgt_Unit!$B$5:$B$1018, MATCH(D276, Mgt_Unit!$C$5:$C$1018, 0)), "")</f>
        <v>jennifer.moore</v>
      </c>
      <c r="C276" s="28"/>
      <c r="D276" s="9" t="s">
        <v>775</v>
      </c>
      <c r="E276" s="47"/>
      <c r="F276" s="41" t="s">
        <v>1351</v>
      </c>
      <c r="G276" s="41"/>
      <c r="H276" s="38"/>
      <c r="I276" s="38">
        <v>2</v>
      </c>
      <c r="J276" s="38">
        <v>5.21</v>
      </c>
      <c r="K276" s="38">
        <v>4.3299999999999998E-2</v>
      </c>
      <c r="L276" s="41"/>
      <c r="M276"/>
    </row>
    <row r="277" spans="1:13" x14ac:dyDescent="0.25">
      <c r="A277" s="4"/>
      <c r="B277" s="28" t="str">
        <f>IF(ISNUMBER(MATCH(D277, Mgt_Unit!$C$5:$C$1018, 0)), INDEX(Mgt_Unit!$B$5:$B$1018, MATCH(D277, Mgt_Unit!$C$5:$C$1018, 0)), "")</f>
        <v>jennifer.moore</v>
      </c>
      <c r="C277" s="28"/>
      <c r="D277" s="9" t="s">
        <v>777</v>
      </c>
      <c r="E277" s="47"/>
      <c r="F277" s="41" t="s">
        <v>1351</v>
      </c>
      <c r="G277" s="41"/>
      <c r="H277" s="38"/>
      <c r="I277" s="38">
        <v>2.2000000000000002</v>
      </c>
      <c r="J277" s="38">
        <v>5.07</v>
      </c>
      <c r="K277" s="38">
        <v>5.4600000000000003E-2</v>
      </c>
      <c r="L277" s="41"/>
      <c r="M277"/>
    </row>
    <row r="278" spans="1:13" x14ac:dyDescent="0.25">
      <c r="A278" s="4"/>
      <c r="B278" s="28" t="str">
        <f>IF(ISNUMBER(MATCH(D278, Mgt_Unit!$C$5:$C$1018, 0)), INDEX(Mgt_Unit!$B$5:$B$1018, MATCH(D278, Mgt_Unit!$C$5:$C$1018, 0)), "")</f>
        <v>jennifer.moore</v>
      </c>
      <c r="C278" s="28"/>
      <c r="D278" s="9" t="s">
        <v>777</v>
      </c>
      <c r="E278" s="47"/>
      <c r="F278" s="41" t="s">
        <v>1351</v>
      </c>
      <c r="G278" s="41"/>
      <c r="H278" s="38"/>
      <c r="I278" s="38">
        <v>2.1</v>
      </c>
      <c r="J278" s="38">
        <v>5.28</v>
      </c>
      <c r="K278" s="38">
        <v>5.4899999999999997E-2</v>
      </c>
      <c r="L278" s="41"/>
      <c r="M278"/>
    </row>
    <row r="279" spans="1:13" x14ac:dyDescent="0.25">
      <c r="A279" s="4"/>
      <c r="B279" s="28" t="str">
        <f>IF(ISNUMBER(MATCH(D279, Mgt_Unit!$C$5:$C$1018, 0)), INDEX(Mgt_Unit!$B$5:$B$1018, MATCH(D279, Mgt_Unit!$C$5:$C$1018, 0)), "")</f>
        <v>jennifer.moore</v>
      </c>
      <c r="C279" s="28"/>
      <c r="D279" s="9" t="s">
        <v>775</v>
      </c>
      <c r="E279" s="47"/>
      <c r="F279" s="41" t="s">
        <v>1351</v>
      </c>
      <c r="G279" s="41"/>
      <c r="H279" s="38"/>
      <c r="I279" s="38">
        <v>2</v>
      </c>
      <c r="J279" s="38">
        <v>4.99</v>
      </c>
      <c r="K279" s="38">
        <v>5.5E-2</v>
      </c>
      <c r="L279" s="41"/>
      <c r="M279"/>
    </row>
    <row r="280" spans="1:13" x14ac:dyDescent="0.25">
      <c r="A280" s="4"/>
      <c r="B280" s="28" t="str">
        <f>IF(ISNUMBER(MATCH(D280, Mgt_Unit!$C$5:$C$1018, 0)), INDEX(Mgt_Unit!$B$5:$B$1018, MATCH(D280, Mgt_Unit!$C$5:$C$1018, 0)), "")</f>
        <v>jennifer.moore</v>
      </c>
      <c r="C280" s="28"/>
      <c r="D280" s="9" t="s">
        <v>773</v>
      </c>
      <c r="E280" s="47"/>
      <c r="F280" s="41" t="s">
        <v>1351</v>
      </c>
      <c r="G280" s="41"/>
      <c r="H280" s="38"/>
      <c r="I280" s="38">
        <v>1.9</v>
      </c>
      <c r="J280" s="38">
        <v>5.43</v>
      </c>
      <c r="K280" s="38">
        <v>8.6800000000000002E-2</v>
      </c>
      <c r="L280" s="41"/>
      <c r="M280"/>
    </row>
    <row r="281" spans="1:13" x14ac:dyDescent="0.25">
      <c r="A281" s="4"/>
      <c r="B281" s="28" t="str">
        <f>IF(ISNUMBER(MATCH(D281, Mgt_Unit!$C$5:$C$1018, 0)), INDEX(Mgt_Unit!$B$5:$B$1018, MATCH(D281, Mgt_Unit!$C$5:$C$1018, 0)), "")</f>
        <v>jennifer.moore</v>
      </c>
      <c r="C281" s="28"/>
      <c r="D281" s="9" t="s">
        <v>771</v>
      </c>
      <c r="E281" s="47"/>
      <c r="F281" s="41" t="s">
        <v>1351</v>
      </c>
      <c r="G281" s="41"/>
      <c r="H281" s="38"/>
      <c r="I281" s="38">
        <v>2</v>
      </c>
      <c r="J281" s="38">
        <v>5.1100000000000003</v>
      </c>
      <c r="K281" s="38">
        <v>5.3600000000000002E-2</v>
      </c>
      <c r="L281" s="41"/>
      <c r="M281"/>
    </row>
    <row r="282" spans="1:13" x14ac:dyDescent="0.25">
      <c r="A282" s="4"/>
      <c r="B282" s="28" t="str">
        <f>IF(ISNUMBER(MATCH(D282, Mgt_Unit!$C$5:$C$1018, 0)), INDEX(Mgt_Unit!$B$5:$B$1018, MATCH(D282, Mgt_Unit!$C$5:$C$1018, 0)), "")</f>
        <v>jennifer.moore</v>
      </c>
      <c r="C282" s="28"/>
      <c r="D282" s="9" t="s">
        <v>772</v>
      </c>
      <c r="E282" s="47"/>
      <c r="F282" s="41" t="s">
        <v>1351</v>
      </c>
      <c r="G282" s="41"/>
      <c r="H282" s="38"/>
      <c r="I282" s="38">
        <v>2</v>
      </c>
      <c r="J282" s="38">
        <v>5.07</v>
      </c>
      <c r="K282" s="38">
        <v>7.4300000000000005E-2</v>
      </c>
      <c r="L282" s="41"/>
      <c r="M282"/>
    </row>
    <row r="283" spans="1:13" x14ac:dyDescent="0.25">
      <c r="A283" s="4"/>
      <c r="B283" s="28" t="str">
        <f>IF(ISNUMBER(MATCH(D283, Mgt_Unit!$C$5:$C$1018, 0)), INDEX(Mgt_Unit!$B$5:$B$1018, MATCH(D283, Mgt_Unit!$C$5:$C$1018, 0)), "")</f>
        <v>jennifer.moore</v>
      </c>
      <c r="C283" s="28"/>
      <c r="D283" s="9" t="s">
        <v>774</v>
      </c>
      <c r="E283" s="47"/>
      <c r="F283" s="41" t="s">
        <v>1351</v>
      </c>
      <c r="G283" s="41"/>
      <c r="H283" s="38"/>
      <c r="I283" s="38">
        <v>2.7</v>
      </c>
      <c r="J283" s="38">
        <v>5.65</v>
      </c>
      <c r="K283" s="38">
        <v>0.1132</v>
      </c>
      <c r="L283" s="41"/>
      <c r="M283"/>
    </row>
    <row r="284" spans="1:13" x14ac:dyDescent="0.25">
      <c r="A284" s="4"/>
      <c r="B284" s="28" t="str">
        <f>IF(ISNUMBER(MATCH(D284, Mgt_Unit!$C$5:$C$1018, 0)), INDEX(Mgt_Unit!$B$5:$B$1018, MATCH(D284, Mgt_Unit!$C$5:$C$1018, 0)), "")</f>
        <v>jennifer.moore</v>
      </c>
      <c r="C284" s="28"/>
      <c r="D284" s="9" t="s">
        <v>776</v>
      </c>
      <c r="E284" s="47"/>
      <c r="F284" s="41" t="s">
        <v>1351</v>
      </c>
      <c r="G284" s="41"/>
      <c r="H284" s="38"/>
      <c r="I284" s="38">
        <v>2.2999999999999998</v>
      </c>
      <c r="J284" s="38">
        <v>5.32</v>
      </c>
      <c r="K284" s="38">
        <v>6.0499999999999998E-2</v>
      </c>
      <c r="L284" s="41"/>
      <c r="M284"/>
    </row>
    <row r="285" spans="1:13" x14ac:dyDescent="0.25">
      <c r="A285" s="4"/>
      <c r="B285" s="28" t="str">
        <f>IF(ISNUMBER(MATCH(D285, Mgt_Unit!$C$5:$C$1018, 0)), INDEX(Mgt_Unit!$B$5:$B$1018, MATCH(D285, Mgt_Unit!$C$5:$C$1018, 0)), "")</f>
        <v>jennifer.moore</v>
      </c>
      <c r="C285" s="28"/>
      <c r="D285" s="9" t="s">
        <v>778</v>
      </c>
      <c r="E285" s="47"/>
      <c r="F285" s="41" t="s">
        <v>1351</v>
      </c>
      <c r="G285" s="41"/>
      <c r="H285" s="38"/>
      <c r="I285" s="38">
        <v>2.9</v>
      </c>
      <c r="J285" s="38">
        <v>5.27</v>
      </c>
      <c r="K285" s="38">
        <v>8.8599999999999998E-2</v>
      </c>
      <c r="L285" s="41"/>
      <c r="M285"/>
    </row>
    <row r="286" spans="1:13" x14ac:dyDescent="0.25">
      <c r="A286" s="4"/>
      <c r="B286" s="28" t="str">
        <f>IF(ISNUMBER(MATCH(D286, Mgt_Unit!$C$5:$C$1018, 0)), INDEX(Mgt_Unit!$B$5:$B$1018, MATCH(D286, Mgt_Unit!$C$5:$C$1018, 0)), "")</f>
        <v>jennifer.moore</v>
      </c>
      <c r="C286" s="28"/>
      <c r="D286" s="9" t="s">
        <v>778</v>
      </c>
      <c r="E286" s="47"/>
      <c r="F286" s="41" t="s">
        <v>1351</v>
      </c>
      <c r="G286" s="41"/>
      <c r="H286" s="38"/>
      <c r="I286" s="38">
        <v>2.2999999999999998</v>
      </c>
      <c r="J286" s="38">
        <v>6.05</v>
      </c>
      <c r="K286" s="38">
        <v>8.3099999999999993E-2</v>
      </c>
      <c r="L286" s="41"/>
      <c r="M286"/>
    </row>
    <row r="287" spans="1:13" x14ac:dyDescent="0.25">
      <c r="A287" s="4"/>
      <c r="B287" s="28" t="str">
        <f>IF(ISNUMBER(MATCH(D287, Mgt_Unit!$C$5:$C$1018, 0)), INDEX(Mgt_Unit!$B$5:$B$1018, MATCH(D287, Mgt_Unit!$C$5:$C$1018, 0)), "")</f>
        <v>jennifer.moore</v>
      </c>
      <c r="C287" s="28"/>
      <c r="D287" s="9" t="s">
        <v>776</v>
      </c>
      <c r="E287" s="47"/>
      <c r="F287" s="41" t="s">
        <v>1351</v>
      </c>
      <c r="G287" s="41"/>
      <c r="H287" s="38"/>
      <c r="I287" s="38">
        <v>2.4</v>
      </c>
      <c r="J287" s="38">
        <v>5.13</v>
      </c>
      <c r="K287" s="38">
        <v>5.2999999999999999E-2</v>
      </c>
      <c r="L287" s="41"/>
      <c r="M287"/>
    </row>
    <row r="288" spans="1:13" x14ac:dyDescent="0.25">
      <c r="A288" s="4"/>
      <c r="B288" s="28" t="str">
        <f>IF(ISNUMBER(MATCH(D288, Mgt_Unit!$C$5:$C$1018, 0)), INDEX(Mgt_Unit!$B$5:$B$1018, MATCH(D288, Mgt_Unit!$C$5:$C$1018, 0)), "")</f>
        <v>jennifer.moore</v>
      </c>
      <c r="C288" s="28"/>
      <c r="D288" s="9" t="s">
        <v>772</v>
      </c>
      <c r="E288" s="47"/>
      <c r="F288" s="41" t="s">
        <v>1351</v>
      </c>
      <c r="G288" s="41"/>
      <c r="H288" s="38"/>
      <c r="I288" s="38">
        <v>1.9</v>
      </c>
      <c r="J288" s="38">
        <v>5.25</v>
      </c>
      <c r="K288" s="38">
        <v>6.3600000000000004E-2</v>
      </c>
      <c r="L288" s="41"/>
      <c r="M288"/>
    </row>
    <row r="289" spans="1:13" x14ac:dyDescent="0.25">
      <c r="A289" s="4"/>
      <c r="B289" s="28" t="str">
        <f>IF(ISNUMBER(MATCH(D289, Mgt_Unit!$C$5:$C$1018, 0)), INDEX(Mgt_Unit!$B$5:$B$1018, MATCH(D289, Mgt_Unit!$C$5:$C$1018, 0)), "")</f>
        <v>jennifer.moore</v>
      </c>
      <c r="C289" s="28"/>
      <c r="D289" s="9" t="s">
        <v>774</v>
      </c>
      <c r="E289" s="47"/>
      <c r="F289" s="41" t="s">
        <v>1351</v>
      </c>
      <c r="G289" s="41"/>
      <c r="H289" s="38"/>
      <c r="I289" s="38">
        <v>2.4</v>
      </c>
      <c r="J289" s="38">
        <v>5.64</v>
      </c>
      <c r="K289" s="38">
        <v>8.8400000000000006E-2</v>
      </c>
      <c r="L289" s="41"/>
      <c r="M289"/>
    </row>
    <row r="290" spans="1:13" x14ac:dyDescent="0.25">
      <c r="A290" s="4"/>
      <c r="B290" s="28" t="str">
        <f>IF(ISNUMBER(MATCH(D290, Mgt_Unit!$C$5:$C$1018, 0)), INDEX(Mgt_Unit!$B$5:$B$1018, MATCH(D290, Mgt_Unit!$C$5:$C$1018, 0)), "")</f>
        <v>jennifer.moore</v>
      </c>
      <c r="C290" s="28"/>
      <c r="D290" s="9" t="s">
        <v>773</v>
      </c>
      <c r="E290" s="47"/>
      <c r="F290" s="41" t="s">
        <v>1351</v>
      </c>
      <c r="G290" s="41"/>
      <c r="H290" s="38"/>
      <c r="I290" s="38">
        <v>1.9</v>
      </c>
      <c r="J290" s="38">
        <v>5.52</v>
      </c>
      <c r="K290" s="38">
        <v>7.2300000000000003E-2</v>
      </c>
      <c r="L290" s="41"/>
      <c r="M290"/>
    </row>
    <row r="291" spans="1:13" x14ac:dyDescent="0.25">
      <c r="A291" s="4"/>
      <c r="B291" s="28" t="str">
        <f>IF(ISNUMBER(MATCH(D291, Mgt_Unit!$C$5:$C$1018, 0)), INDEX(Mgt_Unit!$B$5:$B$1018, MATCH(D291, Mgt_Unit!$C$5:$C$1018, 0)), "")</f>
        <v>jennifer.moore</v>
      </c>
      <c r="C291" s="28"/>
      <c r="D291" s="9" t="s">
        <v>771</v>
      </c>
      <c r="E291" s="47"/>
      <c r="F291" s="41" t="s">
        <v>1351</v>
      </c>
      <c r="G291" s="41"/>
      <c r="H291" s="38"/>
      <c r="I291" s="38">
        <v>2.1</v>
      </c>
      <c r="J291" s="38">
        <v>5.32</v>
      </c>
      <c r="K291" s="38">
        <v>8.4699999999999998E-2</v>
      </c>
      <c r="L291" s="41"/>
      <c r="M291"/>
    </row>
    <row r="292" spans="1:13" x14ac:dyDescent="0.25">
      <c r="A292" s="4"/>
      <c r="B292" s="28" t="str">
        <f>IF(ISNUMBER(MATCH(D292, Mgt_Unit!$C$5:$C$1018, 0)), INDEX(Mgt_Unit!$B$5:$B$1018, MATCH(D292, Mgt_Unit!$C$5:$C$1018, 0)), "")</f>
        <v>jennifer.moore</v>
      </c>
      <c r="C292" s="28"/>
      <c r="D292" s="9" t="s">
        <v>777</v>
      </c>
      <c r="E292" s="47"/>
      <c r="F292" s="41" t="s">
        <v>1351</v>
      </c>
      <c r="G292" s="41"/>
      <c r="H292" s="38"/>
      <c r="I292" s="38">
        <v>2.2000000000000002</v>
      </c>
      <c r="J292" s="38">
        <v>5.25</v>
      </c>
      <c r="K292" s="38">
        <v>5.45E-2</v>
      </c>
      <c r="L292" s="41"/>
      <c r="M292"/>
    </row>
    <row r="293" spans="1:13" x14ac:dyDescent="0.25">
      <c r="A293" s="4"/>
      <c r="B293" s="28" t="str">
        <f>IF(ISNUMBER(MATCH(D293, Mgt_Unit!$C$5:$C$1018, 0)), INDEX(Mgt_Unit!$B$5:$B$1018, MATCH(D293, Mgt_Unit!$C$5:$C$1018, 0)), "")</f>
        <v>jennifer.moore</v>
      </c>
      <c r="C293" s="28"/>
      <c r="D293" s="9" t="s">
        <v>775</v>
      </c>
      <c r="E293" s="47"/>
      <c r="F293" s="41" t="s">
        <v>1351</v>
      </c>
      <c r="G293" s="41"/>
      <c r="H293" s="38"/>
      <c r="I293" s="38">
        <v>2.2999999999999998</v>
      </c>
      <c r="J293" s="38">
        <v>5.12</v>
      </c>
      <c r="K293" s="38">
        <v>5.0099999999999999E-2</v>
      </c>
      <c r="L293" s="41"/>
      <c r="M293"/>
    </row>
    <row r="294" spans="1:13" x14ac:dyDescent="0.25">
      <c r="A294" s="4"/>
      <c r="B294" s="28" t="str">
        <f>IF(ISNUMBER(MATCH(D294, Mgt_Unit!$C$5:$C$1018, 0)), INDEX(Mgt_Unit!$B$5:$B$1018, MATCH(D294, Mgt_Unit!$C$5:$C$1018, 0)), "")</f>
        <v>jennifer.moore</v>
      </c>
      <c r="C294" s="28"/>
      <c r="D294" s="9" t="s">
        <v>777</v>
      </c>
      <c r="E294" s="47"/>
      <c r="F294" s="41" t="s">
        <v>1351</v>
      </c>
      <c r="G294" s="41"/>
      <c r="H294" s="38"/>
      <c r="I294" s="38">
        <v>1.7</v>
      </c>
      <c r="J294" s="38">
        <v>5.7</v>
      </c>
      <c r="K294" s="38">
        <v>5.7200000000000001E-2</v>
      </c>
      <c r="L294" s="41"/>
      <c r="M294"/>
    </row>
    <row r="295" spans="1:13" x14ac:dyDescent="0.25">
      <c r="A295" s="4"/>
      <c r="B295" s="28" t="str">
        <f>IF(ISNUMBER(MATCH(D295, Mgt_Unit!$C$5:$C$1018, 0)), INDEX(Mgt_Unit!$B$5:$B$1018, MATCH(D295, Mgt_Unit!$C$5:$C$1018, 0)), "")</f>
        <v>jennifer.moore</v>
      </c>
      <c r="C295" s="28"/>
      <c r="D295" s="9" t="s">
        <v>775</v>
      </c>
      <c r="E295" s="47"/>
      <c r="F295" s="41" t="s">
        <v>1351</v>
      </c>
      <c r="G295" s="41"/>
      <c r="H295" s="38"/>
      <c r="I295" s="38">
        <v>2</v>
      </c>
      <c r="J295" s="38">
        <v>5.33</v>
      </c>
      <c r="K295" s="38">
        <v>4.9200000000000001E-2</v>
      </c>
      <c r="L295" s="41"/>
      <c r="M295"/>
    </row>
    <row r="296" spans="1:13" x14ac:dyDescent="0.25">
      <c r="A296" s="4"/>
      <c r="B296" s="28" t="str">
        <f>IF(ISNUMBER(MATCH(D296, Mgt_Unit!$C$5:$C$1018, 0)), INDEX(Mgt_Unit!$B$5:$B$1018, MATCH(D296, Mgt_Unit!$C$5:$C$1018, 0)), "")</f>
        <v>jennifer.moore</v>
      </c>
      <c r="C296" s="28"/>
      <c r="D296" s="9" t="s">
        <v>773</v>
      </c>
      <c r="E296" s="47"/>
      <c r="F296" s="41" t="s">
        <v>1351</v>
      </c>
      <c r="G296" s="41"/>
      <c r="H296" s="38"/>
      <c r="I296" s="38">
        <v>2.2000000000000002</v>
      </c>
      <c r="J296" s="38">
        <v>5.49</v>
      </c>
      <c r="K296" s="38">
        <v>8.0100000000000005E-2</v>
      </c>
      <c r="L296" s="41"/>
      <c r="M296"/>
    </row>
    <row r="297" spans="1:13" x14ac:dyDescent="0.25">
      <c r="A297" s="4"/>
      <c r="B297" s="28" t="str">
        <f>IF(ISNUMBER(MATCH(D297, Mgt_Unit!$C$5:$C$1018, 0)), INDEX(Mgt_Unit!$B$5:$B$1018, MATCH(D297, Mgt_Unit!$C$5:$C$1018, 0)), "")</f>
        <v>jennifer.moore</v>
      </c>
      <c r="C297" s="28"/>
      <c r="D297" s="9" t="s">
        <v>771</v>
      </c>
      <c r="E297" s="47"/>
      <c r="F297" s="41" t="s">
        <v>1351</v>
      </c>
      <c r="G297" s="41"/>
      <c r="H297" s="38"/>
      <c r="I297" s="38">
        <v>2.1</v>
      </c>
      <c r="J297" s="38">
        <v>5.07</v>
      </c>
      <c r="K297" s="38">
        <v>7.2999999999999995E-2</v>
      </c>
      <c r="L297" s="41"/>
      <c r="M297"/>
    </row>
    <row r="298" spans="1:13" x14ac:dyDescent="0.25">
      <c r="A298" s="4"/>
      <c r="B298" s="28" t="str">
        <f>IF(ISNUMBER(MATCH(D298, Mgt_Unit!$C$5:$C$1018, 0)), INDEX(Mgt_Unit!$B$5:$B$1018, MATCH(D298, Mgt_Unit!$C$5:$C$1018, 0)), "")</f>
        <v>jennifer.moore</v>
      </c>
      <c r="C298" s="28"/>
      <c r="D298" s="9" t="s">
        <v>776</v>
      </c>
      <c r="E298" s="47"/>
      <c r="F298" s="41" t="s">
        <v>1351</v>
      </c>
      <c r="G298" s="41"/>
      <c r="H298" s="38"/>
      <c r="I298" s="38">
        <v>1.7</v>
      </c>
      <c r="J298" s="38">
        <v>5.41</v>
      </c>
      <c r="K298" s="38">
        <v>4.48E-2</v>
      </c>
      <c r="L298" s="41"/>
      <c r="M298"/>
    </row>
    <row r="299" spans="1:13" x14ac:dyDescent="0.25">
      <c r="A299" s="4"/>
      <c r="B299" s="28" t="str">
        <f>IF(ISNUMBER(MATCH(D299, Mgt_Unit!$C$5:$C$1018, 0)), INDEX(Mgt_Unit!$B$5:$B$1018, MATCH(D299, Mgt_Unit!$C$5:$C$1018, 0)), "")</f>
        <v>jennifer.moore</v>
      </c>
      <c r="C299" s="28"/>
      <c r="D299" s="9" t="s">
        <v>778</v>
      </c>
      <c r="E299" s="47"/>
      <c r="F299" s="41" t="s">
        <v>1351</v>
      </c>
      <c r="G299" s="41"/>
      <c r="H299" s="38"/>
      <c r="I299" s="38">
        <v>1.8</v>
      </c>
      <c r="J299" s="38">
        <v>5.6</v>
      </c>
      <c r="K299" s="38">
        <v>7.2300000000000003E-2</v>
      </c>
      <c r="L299" s="41"/>
      <c r="M299"/>
    </row>
    <row r="300" spans="1:13" x14ac:dyDescent="0.25">
      <c r="A300" s="4"/>
      <c r="B300" s="28" t="str">
        <f>IF(ISNUMBER(MATCH(D300, Mgt_Unit!$C$5:$C$1018, 0)), INDEX(Mgt_Unit!$B$5:$B$1018, MATCH(D300, Mgt_Unit!$C$5:$C$1018, 0)), "")</f>
        <v>jennifer.moore</v>
      </c>
      <c r="C300" s="28"/>
      <c r="D300" s="9" t="s">
        <v>772</v>
      </c>
      <c r="E300" s="47"/>
      <c r="F300" s="41" t="s">
        <v>1351</v>
      </c>
      <c r="G300" s="41"/>
      <c r="H300" s="38"/>
      <c r="I300" s="38">
        <v>1.7</v>
      </c>
      <c r="J300" s="38">
        <v>5.05</v>
      </c>
      <c r="K300" s="38">
        <v>9.5899999999999999E-2</v>
      </c>
      <c r="L300" s="41"/>
      <c r="M300"/>
    </row>
    <row r="301" spans="1:13" x14ac:dyDescent="0.25">
      <c r="A301" s="4"/>
      <c r="B301" s="28" t="str">
        <f>IF(ISNUMBER(MATCH(D301, Mgt_Unit!$C$5:$C$1018, 0)), INDEX(Mgt_Unit!$B$5:$B$1018, MATCH(D301, Mgt_Unit!$C$5:$C$1018, 0)), "")</f>
        <v>jennifer.moore</v>
      </c>
      <c r="C301" s="28"/>
      <c r="D301" s="9" t="s">
        <v>774</v>
      </c>
      <c r="E301" s="47"/>
      <c r="F301" s="41" t="s">
        <v>1351</v>
      </c>
      <c r="G301" s="41"/>
      <c r="H301" s="38"/>
      <c r="I301" s="38">
        <v>2.1</v>
      </c>
      <c r="J301" s="38">
        <v>5.5</v>
      </c>
      <c r="K301" s="38">
        <v>7.17E-2</v>
      </c>
      <c r="L301" s="41"/>
      <c r="M301"/>
    </row>
    <row r="302" spans="1:13" x14ac:dyDescent="0.25">
      <c r="A302" s="4"/>
      <c r="B302" s="28" t="str">
        <f>IF(ISNUMBER(MATCH(D302, Mgt_Unit!$C$5:$C$1018, 0)), INDEX(Mgt_Unit!$B$5:$B$1018, MATCH(D302, Mgt_Unit!$C$5:$C$1018, 0)), "")</f>
        <v>jennifer.moore</v>
      </c>
      <c r="C302" s="28"/>
      <c r="D302" s="9" t="s">
        <v>779</v>
      </c>
      <c r="E302" s="47"/>
      <c r="F302" s="41" t="s">
        <v>1351</v>
      </c>
      <c r="G302" s="41"/>
      <c r="H302" s="38"/>
      <c r="I302" s="38">
        <v>1.1000000000000001</v>
      </c>
      <c r="J302" s="38">
        <v>7.46</v>
      </c>
      <c r="K302" s="38">
        <v>7.3700000000000002E-2</v>
      </c>
      <c r="L302" s="41"/>
      <c r="M302"/>
    </row>
    <row r="303" spans="1:13" x14ac:dyDescent="0.25">
      <c r="A303" s="4"/>
      <c r="B303" s="28" t="str">
        <f>IF(ISNUMBER(MATCH(D303, Mgt_Unit!$C$5:$C$1018, 0)), INDEX(Mgt_Unit!$B$5:$B$1018, MATCH(D303, Mgt_Unit!$C$5:$C$1018, 0)), "")</f>
        <v>jennifer.moore</v>
      </c>
      <c r="C303" s="28"/>
      <c r="D303" s="9" t="s">
        <v>781</v>
      </c>
      <c r="E303" s="47"/>
      <c r="F303" s="41" t="s">
        <v>1351</v>
      </c>
      <c r="G303" s="41"/>
      <c r="H303" s="38"/>
      <c r="I303" s="38">
        <v>2.2999999999999998</v>
      </c>
      <c r="J303" s="38">
        <v>5.44</v>
      </c>
      <c r="K303" s="38">
        <v>0.12690000000000001</v>
      </c>
      <c r="L303" s="41"/>
      <c r="M303"/>
    </row>
    <row r="304" spans="1:13" x14ac:dyDescent="0.25">
      <c r="A304" s="4"/>
      <c r="B304" s="28" t="str">
        <f>IF(ISNUMBER(MATCH(D304, Mgt_Unit!$C$5:$C$1018, 0)), INDEX(Mgt_Unit!$B$5:$B$1018, MATCH(D304, Mgt_Unit!$C$5:$C$1018, 0)), "")</f>
        <v>jennifer.moore</v>
      </c>
      <c r="C304" s="28"/>
      <c r="D304" s="9" t="s">
        <v>782</v>
      </c>
      <c r="E304" s="47"/>
      <c r="F304" s="41" t="s">
        <v>1351</v>
      </c>
      <c r="G304" s="41"/>
      <c r="H304" s="38"/>
      <c r="I304" s="38">
        <v>2.5</v>
      </c>
      <c r="J304" s="38">
        <v>5.42</v>
      </c>
      <c r="K304" s="38">
        <v>0.15859999999999999</v>
      </c>
      <c r="L304" s="41"/>
      <c r="M304"/>
    </row>
    <row r="305" spans="1:13" x14ac:dyDescent="0.25">
      <c r="A305" s="4"/>
      <c r="B305" s="28" t="str">
        <f>IF(ISNUMBER(MATCH(D305, Mgt_Unit!$C$5:$C$1018, 0)), INDEX(Mgt_Unit!$B$5:$B$1018, MATCH(D305, Mgt_Unit!$C$5:$C$1018, 0)), "")</f>
        <v>jennifer.moore</v>
      </c>
      <c r="C305" s="28"/>
      <c r="D305" s="9" t="s">
        <v>784</v>
      </c>
      <c r="E305" s="47"/>
      <c r="F305" s="41" t="s">
        <v>1351</v>
      </c>
      <c r="G305" s="41"/>
      <c r="H305" s="38"/>
      <c r="I305" s="38">
        <v>2.2999999999999998</v>
      </c>
      <c r="J305" s="38">
        <v>5.2</v>
      </c>
      <c r="K305" s="38">
        <v>0.1401</v>
      </c>
      <c r="L305" s="41"/>
      <c r="M305"/>
    </row>
    <row r="306" spans="1:13" x14ac:dyDescent="0.25">
      <c r="A306" s="4"/>
      <c r="B306" s="28" t="str">
        <f>IF(ISNUMBER(MATCH(D306, Mgt_Unit!$C$5:$C$1018, 0)), INDEX(Mgt_Unit!$B$5:$B$1018, MATCH(D306, Mgt_Unit!$C$5:$C$1018, 0)), "")</f>
        <v>jennifer.moore</v>
      </c>
      <c r="C306" s="28"/>
      <c r="D306" s="9" t="s">
        <v>785</v>
      </c>
      <c r="E306" s="47"/>
      <c r="F306" s="41" t="s">
        <v>1351</v>
      </c>
      <c r="G306" s="41"/>
      <c r="H306" s="38"/>
      <c r="I306" s="38">
        <v>3.1</v>
      </c>
      <c r="J306" s="38">
        <v>5.15</v>
      </c>
      <c r="K306" s="38">
        <v>0.1653</v>
      </c>
      <c r="L306" s="41"/>
      <c r="M306"/>
    </row>
    <row r="307" spans="1:13" x14ac:dyDescent="0.25">
      <c r="A307" s="4"/>
      <c r="B307" s="28" t="str">
        <f>IF(ISNUMBER(MATCH(D307, Mgt_Unit!$C$5:$C$1018, 0)), INDEX(Mgt_Unit!$B$5:$B$1018, MATCH(D307, Mgt_Unit!$C$5:$C$1018, 0)), "")</f>
        <v>jennifer.moore</v>
      </c>
      <c r="C307" s="28"/>
      <c r="D307" s="9" t="s">
        <v>779</v>
      </c>
      <c r="E307" s="47"/>
      <c r="F307" s="41" t="s">
        <v>1351</v>
      </c>
      <c r="G307" s="41"/>
      <c r="H307" s="38"/>
      <c r="I307" s="38">
        <v>1</v>
      </c>
      <c r="J307" s="38">
        <v>6.42</v>
      </c>
      <c r="K307" s="38">
        <v>4.8899999999999999E-2</v>
      </c>
      <c r="L307" s="41"/>
      <c r="M307"/>
    </row>
    <row r="308" spans="1:13" x14ac:dyDescent="0.25">
      <c r="A308" s="4"/>
      <c r="B308" s="28" t="str">
        <f>IF(ISNUMBER(MATCH(D308, Mgt_Unit!$C$5:$C$1018, 0)), INDEX(Mgt_Unit!$B$5:$B$1018, MATCH(D308, Mgt_Unit!$C$5:$C$1018, 0)), "")</f>
        <v>jennifer.moore</v>
      </c>
      <c r="C308" s="28"/>
      <c r="D308" s="9" t="s">
        <v>786</v>
      </c>
      <c r="E308" s="47"/>
      <c r="F308" s="41" t="s">
        <v>1351</v>
      </c>
      <c r="G308" s="41"/>
      <c r="H308" s="38"/>
      <c r="I308" s="38">
        <v>2.4</v>
      </c>
      <c r="J308" s="38">
        <v>5.44</v>
      </c>
      <c r="K308" s="38">
        <v>0.1641</v>
      </c>
      <c r="L308" s="41"/>
      <c r="M308"/>
    </row>
    <row r="309" spans="1:13" x14ac:dyDescent="0.25">
      <c r="A309" s="4"/>
      <c r="B309" s="28" t="str">
        <f>IF(ISNUMBER(MATCH(D309, Mgt_Unit!$C$5:$C$1018, 0)), INDEX(Mgt_Unit!$B$5:$B$1018, MATCH(D309, Mgt_Unit!$C$5:$C$1018, 0)), "")</f>
        <v>jennifer.moore</v>
      </c>
      <c r="C309" s="28"/>
      <c r="D309" s="9" t="s">
        <v>783</v>
      </c>
      <c r="E309" s="47"/>
      <c r="F309" s="41" t="s">
        <v>1351</v>
      </c>
      <c r="G309" s="41"/>
      <c r="H309" s="38"/>
      <c r="I309" s="38">
        <v>2.1</v>
      </c>
      <c r="J309" s="38">
        <v>5.22</v>
      </c>
      <c r="K309" s="38">
        <v>0.13719999999999999</v>
      </c>
      <c r="L309" s="41"/>
      <c r="M309"/>
    </row>
    <row r="310" spans="1:13" x14ac:dyDescent="0.25">
      <c r="A310" s="4"/>
      <c r="B310" s="28" t="str">
        <f>IF(ISNUMBER(MATCH(D310, Mgt_Unit!$C$5:$C$1018, 0)), INDEX(Mgt_Unit!$B$5:$B$1018, MATCH(D310, Mgt_Unit!$C$5:$C$1018, 0)), "")</f>
        <v>jennifer.moore</v>
      </c>
      <c r="C310" s="28"/>
      <c r="D310" s="9" t="s">
        <v>787</v>
      </c>
      <c r="E310" s="47"/>
      <c r="F310" s="41" t="s">
        <v>1351</v>
      </c>
      <c r="G310" s="41"/>
      <c r="H310" s="38"/>
      <c r="I310" s="38">
        <v>2.6</v>
      </c>
      <c r="J310" s="38">
        <v>5.25</v>
      </c>
      <c r="K310" s="38">
        <v>0.12139999999999999</v>
      </c>
      <c r="L310" s="41"/>
      <c r="M310"/>
    </row>
    <row r="311" spans="1:13" x14ac:dyDescent="0.25">
      <c r="A311" s="4"/>
      <c r="B311" s="28" t="str">
        <f>IF(ISNUMBER(MATCH(D311, Mgt_Unit!$C$5:$C$1018, 0)), INDEX(Mgt_Unit!$B$5:$B$1018, MATCH(D311, Mgt_Unit!$C$5:$C$1018, 0)), "")</f>
        <v>jennifer.moore</v>
      </c>
      <c r="C311" s="28"/>
      <c r="D311" s="9" t="s">
        <v>790</v>
      </c>
      <c r="E311" s="47"/>
      <c r="F311" s="41" t="s">
        <v>1351</v>
      </c>
      <c r="G311" s="41"/>
      <c r="H311" s="38"/>
      <c r="I311" s="38">
        <v>2.7</v>
      </c>
      <c r="J311" s="38">
        <v>5.45</v>
      </c>
      <c r="K311" s="38">
        <v>7.9200000000000007E-2</v>
      </c>
      <c r="L311" s="41"/>
      <c r="M311"/>
    </row>
    <row r="312" spans="1:13" x14ac:dyDescent="0.25">
      <c r="A312" s="4"/>
      <c r="B312" s="28" t="str">
        <f>IF(ISNUMBER(MATCH(D312, Mgt_Unit!$C$5:$C$1018, 0)), INDEX(Mgt_Unit!$B$5:$B$1018, MATCH(D312, Mgt_Unit!$C$5:$C$1018, 0)), "")</f>
        <v>jennifer.moore</v>
      </c>
      <c r="C312" s="28"/>
      <c r="D312" s="9" t="s">
        <v>789</v>
      </c>
      <c r="E312" s="47"/>
      <c r="F312" s="41" t="s">
        <v>1351</v>
      </c>
      <c r="G312" s="41"/>
      <c r="H312" s="38"/>
      <c r="I312" s="38">
        <v>2.6</v>
      </c>
      <c r="J312" s="38">
        <v>5.61</v>
      </c>
      <c r="K312" s="38">
        <v>9.9900000000000003E-2</v>
      </c>
      <c r="L312" s="41"/>
      <c r="M312"/>
    </row>
    <row r="313" spans="1:13" x14ac:dyDescent="0.25">
      <c r="A313" s="4"/>
      <c r="B313" s="28" t="str">
        <f>IF(ISNUMBER(MATCH(D313, Mgt_Unit!$C$5:$C$1018, 0)), INDEX(Mgt_Unit!$B$5:$B$1018, MATCH(D313, Mgt_Unit!$C$5:$C$1018, 0)), "")</f>
        <v>jennifer.moore</v>
      </c>
      <c r="C313" s="28"/>
      <c r="D313" s="9" t="s">
        <v>788</v>
      </c>
      <c r="E313" s="47"/>
      <c r="F313" s="41" t="s">
        <v>1351</v>
      </c>
      <c r="G313" s="41"/>
      <c r="H313" s="38"/>
      <c r="I313" s="38">
        <v>2.5</v>
      </c>
      <c r="J313" s="38">
        <v>5.14</v>
      </c>
      <c r="K313" s="38">
        <v>0.1416</v>
      </c>
      <c r="L313" s="41"/>
      <c r="M313"/>
    </row>
    <row r="314" spans="1:13" x14ac:dyDescent="0.25">
      <c r="A314" s="4"/>
      <c r="B314" s="28" t="str">
        <f>IF(ISNUMBER(MATCH(D314, Mgt_Unit!$C$5:$C$1018, 0)), INDEX(Mgt_Unit!$B$5:$B$1018, MATCH(D314, Mgt_Unit!$C$5:$C$1018, 0)), "")</f>
        <v>jennifer.moore</v>
      </c>
      <c r="C314" s="28"/>
      <c r="D314" s="9" t="s">
        <v>780</v>
      </c>
      <c r="E314" s="47"/>
      <c r="F314" s="41" t="s">
        <v>1351</v>
      </c>
      <c r="G314" s="41"/>
      <c r="H314" s="38"/>
      <c r="I314" s="38">
        <v>1.9</v>
      </c>
      <c r="J314" s="38">
        <v>5.44</v>
      </c>
      <c r="K314" s="38">
        <v>8.6800000000000002E-2</v>
      </c>
      <c r="L314" s="41"/>
      <c r="M314"/>
    </row>
    <row r="315" spans="1:13" x14ac:dyDescent="0.25">
      <c r="A315" s="4"/>
      <c r="B315" s="28" t="str">
        <f>IF(ISNUMBER(MATCH(D315, Mgt_Unit!$C$5:$C$1018, 0)), INDEX(Mgt_Unit!$B$5:$B$1018, MATCH(D315, Mgt_Unit!$C$5:$C$1018, 0)), "")</f>
        <v>jennifer.moore</v>
      </c>
      <c r="C315" s="28"/>
      <c r="D315" s="9" t="s">
        <v>794</v>
      </c>
      <c r="E315" s="47"/>
      <c r="F315" s="41" t="s">
        <v>1351</v>
      </c>
      <c r="G315" s="41"/>
      <c r="H315" s="38"/>
      <c r="I315" s="38">
        <v>1.5</v>
      </c>
      <c r="J315" s="38">
        <v>5.56</v>
      </c>
      <c r="K315" s="38">
        <v>5.0299999999999997E-2</v>
      </c>
      <c r="L315" s="41"/>
      <c r="M315"/>
    </row>
    <row r="316" spans="1:13" x14ac:dyDescent="0.25">
      <c r="A316" s="4"/>
      <c r="B316" s="28" t="str">
        <f>IF(ISNUMBER(MATCH(D316, Mgt_Unit!$C$5:$C$1018, 0)), INDEX(Mgt_Unit!$B$5:$B$1018, MATCH(D316, Mgt_Unit!$C$5:$C$1018, 0)), "")</f>
        <v>jennifer.moore</v>
      </c>
      <c r="C316" s="28"/>
      <c r="D316" s="9" t="s">
        <v>793</v>
      </c>
      <c r="E316" s="47"/>
      <c r="F316" s="41" t="s">
        <v>1351</v>
      </c>
      <c r="G316" s="41"/>
      <c r="H316" s="38"/>
      <c r="I316" s="38">
        <v>1.4</v>
      </c>
      <c r="J316" s="38">
        <v>5.24</v>
      </c>
      <c r="K316" s="38">
        <v>3.2800000000000003E-2</v>
      </c>
      <c r="L316" s="41"/>
      <c r="M316"/>
    </row>
    <row r="317" spans="1:13" x14ac:dyDescent="0.25">
      <c r="A317" s="4"/>
      <c r="B317" s="28" t="str">
        <f>IF(ISNUMBER(MATCH(D317, Mgt_Unit!$C$5:$C$1018, 0)), INDEX(Mgt_Unit!$B$5:$B$1018, MATCH(D317, Mgt_Unit!$C$5:$C$1018, 0)), "")</f>
        <v>jennifer.moore</v>
      </c>
      <c r="C317" s="28"/>
      <c r="D317" s="9" t="s">
        <v>794</v>
      </c>
      <c r="E317" s="47"/>
      <c r="F317" s="41" t="s">
        <v>1351</v>
      </c>
      <c r="G317" s="41"/>
      <c r="H317" s="38"/>
      <c r="I317" s="38">
        <v>1.1000000000000001</v>
      </c>
      <c r="J317" s="38">
        <v>5.41</v>
      </c>
      <c r="K317" s="38">
        <v>3.39E-2</v>
      </c>
      <c r="L317" s="41"/>
      <c r="M317"/>
    </row>
    <row r="318" spans="1:13" x14ac:dyDescent="0.25">
      <c r="A318" s="4"/>
      <c r="B318" s="28" t="str">
        <f>IF(ISNUMBER(MATCH(D318, Mgt_Unit!$C$5:$C$1018, 0)), INDEX(Mgt_Unit!$B$5:$B$1018, MATCH(D318, Mgt_Unit!$C$5:$C$1018, 0)), "")</f>
        <v>jennifer.moore</v>
      </c>
      <c r="C318" s="28"/>
      <c r="D318" s="9" t="s">
        <v>793</v>
      </c>
      <c r="E318" s="47"/>
      <c r="F318" s="41" t="s">
        <v>1351</v>
      </c>
      <c r="G318" s="41"/>
      <c r="H318" s="38"/>
      <c r="I318" s="38">
        <v>1.1000000000000001</v>
      </c>
      <c r="J318" s="38">
        <v>5.12</v>
      </c>
      <c r="K318" s="38">
        <v>2.9000000000000001E-2</v>
      </c>
      <c r="L318" s="41"/>
      <c r="M318"/>
    </row>
    <row r="319" spans="1:13" x14ac:dyDescent="0.25">
      <c r="A319" s="4"/>
      <c r="B319" s="28" t="str">
        <f>IF(ISNUMBER(MATCH(D319, Mgt_Unit!$C$5:$C$1018, 0)), INDEX(Mgt_Unit!$B$5:$B$1018, MATCH(D319, Mgt_Unit!$C$5:$C$1018, 0)), "")</f>
        <v>jennifer.moore</v>
      </c>
      <c r="C319" s="28"/>
      <c r="D319" s="9" t="s">
        <v>793</v>
      </c>
      <c r="E319" s="47"/>
      <c r="F319" s="41" t="s">
        <v>1351</v>
      </c>
      <c r="G319" s="41"/>
      <c r="H319" s="38"/>
      <c r="I319" s="38">
        <v>1.5</v>
      </c>
      <c r="J319" s="38">
        <v>5.29</v>
      </c>
      <c r="K319" s="38">
        <v>3.4200000000000001E-2</v>
      </c>
      <c r="L319" s="41"/>
      <c r="M319"/>
    </row>
    <row r="320" spans="1:13" x14ac:dyDescent="0.25">
      <c r="A320" s="4"/>
      <c r="B320" s="28" t="str">
        <f>IF(ISNUMBER(MATCH(D320, Mgt_Unit!$C$5:$C$1018, 0)), INDEX(Mgt_Unit!$B$5:$B$1018, MATCH(D320, Mgt_Unit!$C$5:$C$1018, 0)), "")</f>
        <v>jennifer.moore</v>
      </c>
      <c r="C320" s="28"/>
      <c r="D320" s="9" t="s">
        <v>794</v>
      </c>
      <c r="E320" s="47"/>
      <c r="F320" s="41" t="s">
        <v>1351</v>
      </c>
      <c r="G320" s="41"/>
      <c r="H320" s="38"/>
      <c r="I320" s="38">
        <v>1.3</v>
      </c>
      <c r="J320" s="38">
        <v>5.46</v>
      </c>
      <c r="K320" s="38">
        <v>3.5299999999999998E-2</v>
      </c>
      <c r="L320" s="41"/>
      <c r="M320"/>
    </row>
    <row r="321" spans="1:13" x14ac:dyDescent="0.25">
      <c r="A321" s="4"/>
      <c r="B321" s="28" t="str">
        <f>IF(ISNUMBER(MATCH(D321, Mgt_Unit!$C$5:$C$1018, 0)), INDEX(Mgt_Unit!$B$5:$B$1018, MATCH(D321, Mgt_Unit!$C$5:$C$1018, 0)), "")</f>
        <v>jennifer.moore</v>
      </c>
      <c r="C321" s="28"/>
      <c r="D321" s="9" t="s">
        <v>794</v>
      </c>
      <c r="E321" s="47"/>
      <c r="F321" s="41" t="s">
        <v>1351</v>
      </c>
      <c r="G321" s="41"/>
      <c r="H321" s="38"/>
      <c r="I321" s="38">
        <v>1.3</v>
      </c>
      <c r="J321" s="38">
        <v>5.29</v>
      </c>
      <c r="K321" s="38">
        <v>4.3999999999999997E-2</v>
      </c>
      <c r="L321" s="41"/>
      <c r="M321"/>
    </row>
    <row r="322" spans="1:13" x14ac:dyDescent="0.25">
      <c r="A322" s="4"/>
      <c r="B322" s="28" t="str">
        <f>IF(ISNUMBER(MATCH(D322, Mgt_Unit!$C$5:$C$1018, 0)), INDEX(Mgt_Unit!$B$5:$B$1018, MATCH(D322, Mgt_Unit!$C$5:$C$1018, 0)), "")</f>
        <v>jennifer.moore</v>
      </c>
      <c r="C322" s="28"/>
      <c r="D322" s="9" t="s">
        <v>793</v>
      </c>
      <c r="E322" s="47"/>
      <c r="F322" s="41" t="s">
        <v>1351</v>
      </c>
      <c r="G322" s="41"/>
      <c r="H322" s="38"/>
      <c r="I322" s="38">
        <v>1.4</v>
      </c>
      <c r="J322" s="38">
        <v>5.19</v>
      </c>
      <c r="K322" s="38">
        <v>2.7799999999999998E-2</v>
      </c>
      <c r="L322" s="41"/>
      <c r="M322"/>
    </row>
    <row r="323" spans="1:13" x14ac:dyDescent="0.25">
      <c r="A323" s="4"/>
      <c r="B323" s="28" t="str">
        <f>IF(ISNUMBER(MATCH(D323, Mgt_Unit!$C$5:$C$1018, 0)), INDEX(Mgt_Unit!$B$5:$B$1018, MATCH(D323, Mgt_Unit!$C$5:$C$1018, 0)), "")</f>
        <v>jennifer.moore</v>
      </c>
      <c r="C323" s="28"/>
      <c r="D323" s="9" t="s">
        <v>791</v>
      </c>
      <c r="E323" s="47"/>
      <c r="F323" s="41" t="s">
        <v>1351</v>
      </c>
      <c r="G323" s="41"/>
      <c r="H323" s="38"/>
      <c r="I323" s="38">
        <v>1.3</v>
      </c>
      <c r="J323" s="38">
        <v>5.58</v>
      </c>
      <c r="K323" s="38">
        <v>3.3300000000000003E-2</v>
      </c>
      <c r="L323" s="41"/>
      <c r="M323"/>
    </row>
    <row r="324" spans="1:13" x14ac:dyDescent="0.25">
      <c r="A324" s="4"/>
      <c r="B324" s="28" t="str">
        <f>IF(ISNUMBER(MATCH(D324, Mgt_Unit!$C$5:$C$1018, 0)), INDEX(Mgt_Unit!$B$5:$B$1018, MATCH(D324, Mgt_Unit!$C$5:$C$1018, 0)), "")</f>
        <v>jennifer.moore</v>
      </c>
      <c r="C324" s="28"/>
      <c r="D324" s="9" t="s">
        <v>791</v>
      </c>
      <c r="E324" s="47"/>
      <c r="F324" s="41" t="s">
        <v>1351</v>
      </c>
      <c r="G324" s="41"/>
      <c r="H324" s="38"/>
      <c r="I324" s="38">
        <v>1.3</v>
      </c>
      <c r="J324" s="38">
        <v>5.54</v>
      </c>
      <c r="K324" s="38">
        <v>3.3300000000000003E-2</v>
      </c>
      <c r="L324" s="41"/>
      <c r="M324"/>
    </row>
    <row r="325" spans="1:13" x14ac:dyDescent="0.25">
      <c r="A325" s="4"/>
      <c r="B325" s="28" t="str">
        <f>IF(ISNUMBER(MATCH(D325, Mgt_Unit!$C$5:$C$1018, 0)), INDEX(Mgt_Unit!$B$5:$B$1018, MATCH(D325, Mgt_Unit!$C$5:$C$1018, 0)), "")</f>
        <v>jennifer.moore</v>
      </c>
      <c r="C325" s="28"/>
      <c r="D325" s="9" t="s">
        <v>792</v>
      </c>
      <c r="E325" s="47"/>
      <c r="F325" s="41" t="s">
        <v>1351</v>
      </c>
      <c r="G325" s="41"/>
      <c r="H325" s="38"/>
      <c r="I325" s="38">
        <v>1.4</v>
      </c>
      <c r="J325" s="38">
        <v>5.56</v>
      </c>
      <c r="K325" s="38">
        <v>4.8099999999999997E-2</v>
      </c>
      <c r="L325" s="41"/>
      <c r="M325"/>
    </row>
    <row r="326" spans="1:13" x14ac:dyDescent="0.25">
      <c r="A326" s="4"/>
      <c r="B326" s="28" t="str">
        <f>IF(ISNUMBER(MATCH(D326, Mgt_Unit!$C$5:$C$1018, 0)), INDEX(Mgt_Unit!$B$5:$B$1018, MATCH(D326, Mgt_Unit!$C$5:$C$1018, 0)), "")</f>
        <v>jennifer.moore</v>
      </c>
      <c r="C326" s="28"/>
      <c r="D326" s="9" t="s">
        <v>792</v>
      </c>
      <c r="E326" s="47"/>
      <c r="F326" s="41" t="s">
        <v>1351</v>
      </c>
      <c r="G326" s="41"/>
      <c r="H326" s="38"/>
      <c r="I326" s="38">
        <v>1.4</v>
      </c>
      <c r="J326" s="38">
        <v>5.59</v>
      </c>
      <c r="K326" s="38">
        <v>3.9800000000000002E-2</v>
      </c>
      <c r="L326" s="41"/>
      <c r="M326"/>
    </row>
    <row r="327" spans="1:13" x14ac:dyDescent="0.25">
      <c r="A327" s="4"/>
      <c r="B327" s="28" t="str">
        <f>IF(ISNUMBER(MATCH(D327, Mgt_Unit!$C$5:$C$1018, 0)), INDEX(Mgt_Unit!$B$5:$B$1018, MATCH(D327, Mgt_Unit!$C$5:$C$1018, 0)), "")</f>
        <v>jennifer.moore</v>
      </c>
      <c r="C327" s="28"/>
      <c r="D327" s="9" t="s">
        <v>792</v>
      </c>
      <c r="E327" s="47"/>
      <c r="F327" s="41" t="s">
        <v>1351</v>
      </c>
      <c r="G327" s="41"/>
      <c r="H327" s="38"/>
      <c r="I327" s="38">
        <v>1.5</v>
      </c>
      <c r="J327" s="38">
        <v>5.57</v>
      </c>
      <c r="K327" s="38">
        <v>4.3099999999999999E-2</v>
      </c>
      <c r="L327" s="41"/>
      <c r="M327"/>
    </row>
    <row r="328" spans="1:13" x14ac:dyDescent="0.25">
      <c r="A328" s="4"/>
      <c r="B328" s="28" t="str">
        <f>IF(ISNUMBER(MATCH(D328, Mgt_Unit!$C$5:$C$1018, 0)), INDEX(Mgt_Unit!$B$5:$B$1018, MATCH(D328, Mgt_Unit!$C$5:$C$1018, 0)), "")</f>
        <v>jennifer.moore</v>
      </c>
      <c r="C328" s="28"/>
      <c r="D328" s="9" t="s">
        <v>792</v>
      </c>
      <c r="E328" s="47"/>
      <c r="F328" s="41" t="s">
        <v>1351</v>
      </c>
      <c r="G328" s="41"/>
      <c r="H328" s="38"/>
      <c r="I328" s="38">
        <v>1.4</v>
      </c>
      <c r="J328" s="38">
        <v>5.56</v>
      </c>
      <c r="K328" s="38">
        <v>4.36E-2</v>
      </c>
      <c r="L328" s="41"/>
      <c r="M328"/>
    </row>
    <row r="329" spans="1:13" x14ac:dyDescent="0.25">
      <c r="A329" s="4"/>
      <c r="B329" s="28" t="str">
        <f>IF(ISNUMBER(MATCH(D329, Mgt_Unit!$C$5:$C$1018, 0)), INDEX(Mgt_Unit!$B$5:$B$1018, MATCH(D329, Mgt_Unit!$C$5:$C$1018, 0)), "")</f>
        <v>jennifer.moore</v>
      </c>
      <c r="C329" s="28"/>
      <c r="D329" s="9" t="s">
        <v>791</v>
      </c>
      <c r="E329" s="47"/>
      <c r="F329" s="41" t="s">
        <v>1351</v>
      </c>
      <c r="G329" s="41"/>
      <c r="H329" s="38"/>
      <c r="I329" s="38">
        <v>1.4</v>
      </c>
      <c r="J329" s="38">
        <v>5.49</v>
      </c>
      <c r="K329" s="38">
        <v>3.7400000000000003E-2</v>
      </c>
      <c r="L329" s="41"/>
      <c r="M329"/>
    </row>
    <row r="330" spans="1:13" x14ac:dyDescent="0.25">
      <c r="A330" s="4"/>
      <c r="B330" s="28" t="str">
        <f>IF(ISNUMBER(MATCH(D330, Mgt_Unit!$C$5:$C$1018, 0)), INDEX(Mgt_Unit!$B$5:$B$1018, MATCH(D330, Mgt_Unit!$C$5:$C$1018, 0)), "")</f>
        <v>jennifer.moore</v>
      </c>
      <c r="C330" s="28"/>
      <c r="D330" s="9" t="s">
        <v>791</v>
      </c>
      <c r="E330" s="47"/>
      <c r="F330" s="41" t="s">
        <v>1351</v>
      </c>
      <c r="G330" s="41"/>
      <c r="H330" s="38"/>
      <c r="I330" s="38">
        <v>1.4</v>
      </c>
      <c r="J330" s="38">
        <v>5.42</v>
      </c>
      <c r="K330" s="38">
        <v>3.3000000000000002E-2</v>
      </c>
      <c r="L330" s="41"/>
      <c r="M330"/>
    </row>
    <row r="331" spans="1:13" x14ac:dyDescent="0.25">
      <c r="A331" s="4"/>
      <c r="B331" s="28" t="str">
        <f>IF(ISNUMBER(MATCH(D331, Mgt_Unit!$C$5:$C$1018, 0)), INDEX(Mgt_Unit!$B$5:$B$1018, MATCH(D331, Mgt_Unit!$C$5:$C$1018, 0)), "")</f>
        <v>jennifer.moore</v>
      </c>
      <c r="C331" s="28"/>
      <c r="D331" s="9" t="s">
        <v>796</v>
      </c>
      <c r="E331" s="47"/>
      <c r="F331" s="41" t="s">
        <v>1351</v>
      </c>
      <c r="G331" s="41"/>
      <c r="H331" s="38"/>
      <c r="I331" s="38">
        <v>2.4</v>
      </c>
      <c r="J331" s="38">
        <v>4.95</v>
      </c>
      <c r="K331" s="38">
        <v>7.2999999999999995E-2</v>
      </c>
      <c r="L331" s="41"/>
      <c r="M331"/>
    </row>
    <row r="332" spans="1:13" x14ac:dyDescent="0.25">
      <c r="A332" s="4"/>
      <c r="B332" s="28" t="str">
        <f>IF(ISNUMBER(MATCH(D332, Mgt_Unit!$C$5:$C$1018, 0)), INDEX(Mgt_Unit!$B$5:$B$1018, MATCH(D332, Mgt_Unit!$C$5:$C$1018, 0)), "")</f>
        <v>jennifer.moore</v>
      </c>
      <c r="C332" s="28"/>
      <c r="D332" s="9" t="s">
        <v>795</v>
      </c>
      <c r="E332" s="47"/>
      <c r="F332" s="41" t="s">
        <v>1351</v>
      </c>
      <c r="G332" s="41"/>
      <c r="H332" s="38"/>
      <c r="I332" s="38">
        <v>1.8</v>
      </c>
      <c r="J332" s="38">
        <v>5.04</v>
      </c>
      <c r="K332" s="38">
        <v>5.6000000000000001E-2</v>
      </c>
      <c r="L332" s="41"/>
      <c r="M332"/>
    </row>
    <row r="333" spans="1:13" x14ac:dyDescent="0.25">
      <c r="A333" s="4"/>
      <c r="B333" s="28" t="str">
        <f>IF(ISNUMBER(MATCH(D333, Mgt_Unit!$C$5:$C$1018, 0)), INDEX(Mgt_Unit!$B$5:$B$1018, MATCH(D333, Mgt_Unit!$C$5:$C$1018, 0)), "")</f>
        <v>jennifer.moore</v>
      </c>
      <c r="C333" s="28"/>
      <c r="D333" s="9" t="s">
        <v>796</v>
      </c>
      <c r="E333" s="47"/>
      <c r="F333" s="41" t="s">
        <v>1351</v>
      </c>
      <c r="G333" s="41"/>
      <c r="H333" s="38"/>
      <c r="I333" s="38">
        <v>2.6</v>
      </c>
      <c r="J333" s="38">
        <v>4.6500000000000004</v>
      </c>
      <c r="K333" s="38">
        <v>8.5300000000000001E-2</v>
      </c>
      <c r="L333" s="41"/>
      <c r="M333"/>
    </row>
    <row r="334" spans="1:13" x14ac:dyDescent="0.25">
      <c r="A334" s="4"/>
      <c r="B334" s="28" t="str">
        <f>IF(ISNUMBER(MATCH(D334, Mgt_Unit!$C$5:$C$1018, 0)), INDEX(Mgt_Unit!$B$5:$B$1018, MATCH(D334, Mgt_Unit!$C$5:$C$1018, 0)), "")</f>
        <v>jennifer.moore</v>
      </c>
      <c r="C334" s="28"/>
      <c r="D334" s="9" t="s">
        <v>795</v>
      </c>
      <c r="E334" s="47"/>
      <c r="F334" s="41" t="s">
        <v>1351</v>
      </c>
      <c r="G334" s="41"/>
      <c r="H334" s="38"/>
      <c r="I334" s="38">
        <v>2.7</v>
      </c>
      <c r="J334" s="38">
        <v>4.82</v>
      </c>
      <c r="K334" s="38">
        <v>4.7500000000000001E-2</v>
      </c>
      <c r="L334" s="41"/>
      <c r="M334"/>
    </row>
    <row r="335" spans="1:13" x14ac:dyDescent="0.25">
      <c r="A335" s="4"/>
      <c r="B335" s="28" t="str">
        <f>IF(ISNUMBER(MATCH(D335, Mgt_Unit!$C$5:$C$1018, 0)), INDEX(Mgt_Unit!$B$5:$B$1018, MATCH(D335, Mgt_Unit!$C$5:$C$1018, 0)), "")</f>
        <v>jennifer.moore</v>
      </c>
      <c r="C335" s="28"/>
      <c r="D335" s="9" t="s">
        <v>796</v>
      </c>
      <c r="E335" s="47"/>
      <c r="F335" s="41" t="s">
        <v>1351</v>
      </c>
      <c r="G335" s="41"/>
      <c r="H335" s="38"/>
      <c r="I335" s="38">
        <v>1.8</v>
      </c>
      <c r="J335" s="38">
        <v>4.9400000000000004</v>
      </c>
      <c r="K335" s="38">
        <v>6.1199999999999997E-2</v>
      </c>
      <c r="L335" s="41"/>
      <c r="M335"/>
    </row>
    <row r="336" spans="1:13" x14ac:dyDescent="0.25">
      <c r="A336" s="4"/>
      <c r="B336" s="28" t="str">
        <f>IF(ISNUMBER(MATCH(D336, Mgt_Unit!$C$5:$C$1018, 0)), INDEX(Mgt_Unit!$B$5:$B$1018, MATCH(D336, Mgt_Unit!$C$5:$C$1018, 0)), "")</f>
        <v>jennifer.moore</v>
      </c>
      <c r="C336" s="28"/>
      <c r="D336" s="9" t="s">
        <v>795</v>
      </c>
      <c r="E336" s="47"/>
      <c r="F336" s="41" t="s">
        <v>1351</v>
      </c>
      <c r="G336" s="41"/>
      <c r="H336" s="38"/>
      <c r="I336" s="38">
        <v>1.4</v>
      </c>
      <c r="J336" s="38">
        <v>5.46</v>
      </c>
      <c r="K336" s="38">
        <v>4.3799999999999999E-2</v>
      </c>
      <c r="L336" s="41"/>
      <c r="M336"/>
    </row>
    <row r="337" spans="1:13" x14ac:dyDescent="0.25">
      <c r="A337" s="4"/>
      <c r="B337" s="28" t="str">
        <f>IF(ISNUMBER(MATCH(D337, Mgt_Unit!$C$5:$C$1018, 0)), INDEX(Mgt_Unit!$B$5:$B$1018, MATCH(D337, Mgt_Unit!$C$5:$C$1018, 0)), "")</f>
        <v>jennifer.moore</v>
      </c>
      <c r="C337" s="28"/>
      <c r="D337" s="9" t="s">
        <v>797</v>
      </c>
      <c r="E337" s="47"/>
      <c r="F337" s="41" t="s">
        <v>1351</v>
      </c>
      <c r="G337" s="41"/>
      <c r="H337" s="38"/>
      <c r="I337" s="38">
        <v>1.8</v>
      </c>
      <c r="J337" s="38">
        <v>5.35</v>
      </c>
      <c r="K337" s="38">
        <v>5.9200000000000003E-2</v>
      </c>
      <c r="L337" s="41"/>
      <c r="M337"/>
    </row>
    <row r="338" spans="1:13" x14ac:dyDescent="0.25">
      <c r="A338" s="4"/>
      <c r="B338" s="28" t="str">
        <f>IF(ISNUMBER(MATCH(D338, Mgt_Unit!$C$5:$C$1018, 0)), INDEX(Mgt_Unit!$B$5:$B$1018, MATCH(D338, Mgt_Unit!$C$5:$C$1018, 0)), "")</f>
        <v>jennifer.moore</v>
      </c>
      <c r="C338" s="28"/>
      <c r="D338" s="9" t="s">
        <v>1289</v>
      </c>
      <c r="E338" s="47"/>
      <c r="F338" s="41" t="s">
        <v>1351</v>
      </c>
      <c r="G338" s="41"/>
      <c r="H338" s="38"/>
      <c r="I338" s="38">
        <v>5.9</v>
      </c>
      <c r="J338" s="38">
        <v>6.02</v>
      </c>
      <c r="K338" s="38">
        <v>0.29599999999999999</v>
      </c>
      <c r="L338" s="41"/>
      <c r="M338"/>
    </row>
    <row r="339" spans="1:13" x14ac:dyDescent="0.25">
      <c r="A339" s="4"/>
      <c r="B339" s="28" t="str">
        <f>IF(ISNUMBER(MATCH(D339, Mgt_Unit!$C$5:$C$1018, 0)), INDEX(Mgt_Unit!$B$5:$B$1018, MATCH(D339, Mgt_Unit!$C$5:$C$1018, 0)), "")</f>
        <v>jennifer.moore</v>
      </c>
      <c r="C339" s="28"/>
      <c r="D339" s="9" t="s">
        <v>1290</v>
      </c>
      <c r="E339" s="47"/>
      <c r="F339" s="41" t="s">
        <v>1351</v>
      </c>
      <c r="G339" s="41"/>
      <c r="H339" s="38"/>
      <c r="I339" s="38">
        <v>5.4</v>
      </c>
      <c r="J339" s="38">
        <v>5.46</v>
      </c>
      <c r="K339" s="38">
        <v>0.33100000000000002</v>
      </c>
      <c r="L339" s="41"/>
      <c r="M339"/>
    </row>
    <row r="340" spans="1:13" x14ac:dyDescent="0.25">
      <c r="A340" s="4"/>
      <c r="B340" s="28" t="str">
        <f>IF(ISNUMBER(MATCH(D340, Mgt_Unit!$C$5:$C$1018, 0)), INDEX(Mgt_Unit!$B$5:$B$1018, MATCH(D340, Mgt_Unit!$C$5:$C$1018, 0)), "")</f>
        <v>jennifer.moore</v>
      </c>
      <c r="C340" s="28"/>
      <c r="D340" s="9" t="s">
        <v>1291</v>
      </c>
      <c r="E340" s="47"/>
      <c r="F340" s="41" t="s">
        <v>1351</v>
      </c>
      <c r="G340" s="41"/>
      <c r="H340" s="38"/>
      <c r="I340" s="38">
        <v>6.9</v>
      </c>
      <c r="J340" s="38">
        <v>4.93</v>
      </c>
      <c r="K340" s="38">
        <v>0.253</v>
      </c>
      <c r="L340" s="41"/>
      <c r="M340"/>
    </row>
    <row r="341" spans="1:13" x14ac:dyDescent="0.25">
      <c r="A341" s="4"/>
      <c r="B341" s="28" t="str">
        <f>IF(ISNUMBER(MATCH(D341, Mgt_Unit!$C$5:$C$1018, 0)), INDEX(Mgt_Unit!$B$5:$B$1018, MATCH(D341, Mgt_Unit!$C$5:$C$1018, 0)), "")</f>
        <v>jennifer.moore</v>
      </c>
      <c r="C341" s="28"/>
      <c r="D341" s="9" t="s">
        <v>1289</v>
      </c>
      <c r="E341" s="47"/>
      <c r="F341" s="41" t="s">
        <v>1351</v>
      </c>
      <c r="G341" s="41"/>
      <c r="H341" s="38"/>
      <c r="I341" s="38">
        <v>6.2</v>
      </c>
      <c r="J341" s="38">
        <v>5.23</v>
      </c>
      <c r="K341" s="38">
        <v>0.20599999999999999</v>
      </c>
      <c r="L341" s="41"/>
      <c r="M341"/>
    </row>
    <row r="342" spans="1:13" x14ac:dyDescent="0.25">
      <c r="A342" s="4"/>
      <c r="B342" s="28" t="str">
        <f>IF(ISNUMBER(MATCH(D342, Mgt_Unit!$C$5:$C$1018, 0)), INDEX(Mgt_Unit!$B$5:$B$1018, MATCH(D342, Mgt_Unit!$C$5:$C$1018, 0)), "")</f>
        <v>jennifer.moore</v>
      </c>
      <c r="C342" s="28"/>
      <c r="D342" s="9" t="s">
        <v>1290</v>
      </c>
      <c r="E342" s="47"/>
      <c r="F342" s="41" t="s">
        <v>1351</v>
      </c>
      <c r="G342" s="41"/>
      <c r="H342" s="38"/>
      <c r="I342" s="38">
        <v>5.2</v>
      </c>
      <c r="J342" s="38">
        <v>5.1100000000000003</v>
      </c>
      <c r="K342" s="38">
        <v>0.247</v>
      </c>
      <c r="L342" s="41"/>
      <c r="M342"/>
    </row>
    <row r="343" spans="1:13" x14ac:dyDescent="0.25">
      <c r="A343" s="4"/>
      <c r="B343" s="28" t="str">
        <f>IF(ISNUMBER(MATCH(D343, Mgt_Unit!$C$5:$C$1018, 0)), INDEX(Mgt_Unit!$B$5:$B$1018, MATCH(D343, Mgt_Unit!$C$5:$C$1018, 0)), "")</f>
        <v>jennifer.moore</v>
      </c>
      <c r="C343" s="28"/>
      <c r="D343" s="9" t="s">
        <v>1291</v>
      </c>
      <c r="E343" s="47"/>
      <c r="F343" s="41" t="s">
        <v>1351</v>
      </c>
      <c r="G343" s="41"/>
      <c r="H343" s="38"/>
      <c r="I343" s="38">
        <v>5.8</v>
      </c>
      <c r="J343" s="38">
        <v>5.52</v>
      </c>
      <c r="K343" s="38">
        <v>0.23699999999999999</v>
      </c>
      <c r="L343" s="41"/>
      <c r="M343"/>
    </row>
    <row r="344" spans="1:13" x14ac:dyDescent="0.25">
      <c r="A344" s="4"/>
      <c r="B344" s="28" t="str">
        <f>IF(ISNUMBER(MATCH(D344, Mgt_Unit!$C$5:$C$1018, 0)), INDEX(Mgt_Unit!$B$5:$B$1018, MATCH(D344, Mgt_Unit!$C$5:$C$1018, 0)), "")</f>
        <v>jennifer.moore</v>
      </c>
      <c r="C344" s="28"/>
      <c r="D344" s="9" t="s">
        <v>1290</v>
      </c>
      <c r="E344" s="47"/>
      <c r="F344" s="41" t="s">
        <v>1351</v>
      </c>
      <c r="G344" s="41"/>
      <c r="H344" s="38"/>
      <c r="I344" s="38">
        <v>5.4</v>
      </c>
      <c r="J344" s="38">
        <v>4.9000000000000004</v>
      </c>
      <c r="K344" s="38">
        <v>0.20399999999999999</v>
      </c>
      <c r="L344" s="41"/>
      <c r="M344"/>
    </row>
    <row r="345" spans="1:13" x14ac:dyDescent="0.25">
      <c r="A345" s="4"/>
      <c r="B345" s="28" t="str">
        <f>IF(ISNUMBER(MATCH(D345, Mgt_Unit!$C$5:$C$1018, 0)), INDEX(Mgt_Unit!$B$5:$B$1018, MATCH(D345, Mgt_Unit!$C$5:$C$1018, 0)), "")</f>
        <v>jennifer.moore</v>
      </c>
      <c r="C345" s="28"/>
      <c r="D345" s="9" t="s">
        <v>1291</v>
      </c>
      <c r="E345" s="47"/>
      <c r="F345" s="41" t="s">
        <v>1351</v>
      </c>
      <c r="G345" s="41"/>
      <c r="H345" s="38"/>
      <c r="I345" s="38">
        <v>7.6</v>
      </c>
      <c r="J345" s="38">
        <v>5.7</v>
      </c>
      <c r="K345" s="38">
        <v>0.29299999999999998</v>
      </c>
      <c r="L345" s="41"/>
      <c r="M345"/>
    </row>
    <row r="346" spans="1:13" x14ac:dyDescent="0.25">
      <c r="A346" s="4"/>
      <c r="B346" s="28" t="str">
        <f>IF(ISNUMBER(MATCH(D346, Mgt_Unit!$C$5:$C$1018, 0)), INDEX(Mgt_Unit!$B$5:$B$1018, MATCH(D346, Mgt_Unit!$C$5:$C$1018, 0)), "")</f>
        <v>jennifer.moore</v>
      </c>
      <c r="C346" s="28"/>
      <c r="D346" s="9" t="s">
        <v>1289</v>
      </c>
      <c r="E346" s="47"/>
      <c r="F346" s="41" t="s">
        <v>1351</v>
      </c>
      <c r="G346" s="41"/>
      <c r="H346" s="38"/>
      <c r="I346" s="38">
        <v>5.0999999999999996</v>
      </c>
      <c r="J346" s="38">
        <v>5.3</v>
      </c>
      <c r="K346" s="38">
        <v>0.28299999999999997</v>
      </c>
      <c r="L346" s="41"/>
      <c r="M346"/>
    </row>
    <row r="347" spans="1:13" x14ac:dyDescent="0.25">
      <c r="A347" s="4"/>
      <c r="B347" s="28" t="str">
        <f>IF(ISNUMBER(MATCH(D347, Mgt_Unit!$C$5:$C$1018, 0)), INDEX(Mgt_Unit!$B$5:$B$1018, MATCH(D347, Mgt_Unit!$C$5:$C$1018, 0)), "")</f>
        <v>jennifer.moore</v>
      </c>
      <c r="C347" s="28"/>
      <c r="D347" s="9" t="s">
        <v>1292</v>
      </c>
      <c r="E347" s="47"/>
      <c r="F347" s="41" t="s">
        <v>1351</v>
      </c>
      <c r="G347" s="41"/>
      <c r="H347" s="38"/>
      <c r="I347" s="38">
        <v>0.8</v>
      </c>
      <c r="J347" s="38">
        <v>5.47</v>
      </c>
      <c r="K347" s="38">
        <v>6.8199999999999997E-2</v>
      </c>
      <c r="L347" s="41"/>
      <c r="M347"/>
    </row>
    <row r="348" spans="1:13" x14ac:dyDescent="0.25">
      <c r="A348" s="4"/>
      <c r="B348" s="28" t="str">
        <f>IF(ISNUMBER(MATCH(D348, Mgt_Unit!$C$5:$C$1018, 0)), INDEX(Mgt_Unit!$B$5:$B$1018, MATCH(D348, Mgt_Unit!$C$5:$C$1018, 0)), "")</f>
        <v>jennifer.moore</v>
      </c>
      <c r="C348" s="28"/>
      <c r="D348" s="9" t="s">
        <v>1292</v>
      </c>
      <c r="E348" s="47"/>
      <c r="F348" s="41" t="s">
        <v>1351</v>
      </c>
      <c r="G348" s="41"/>
      <c r="H348" s="38"/>
      <c r="I348" s="38">
        <v>0.6</v>
      </c>
      <c r="J348" s="38">
        <v>5.33</v>
      </c>
      <c r="K348" s="38">
        <v>1.72E-2</v>
      </c>
      <c r="L348" s="41"/>
      <c r="M348"/>
    </row>
    <row r="349" spans="1:13" x14ac:dyDescent="0.25">
      <c r="A349" s="4"/>
      <c r="B349" s="28" t="str">
        <f>IF(ISNUMBER(MATCH(D349, Mgt_Unit!$C$5:$C$1018, 0)), INDEX(Mgt_Unit!$B$5:$B$1018, MATCH(D349, Mgt_Unit!$C$5:$C$1018, 0)), "")</f>
        <v>jennifer.moore</v>
      </c>
      <c r="C349" s="28"/>
      <c r="D349" s="9" t="s">
        <v>1292</v>
      </c>
      <c r="E349" s="47"/>
      <c r="F349" s="41" t="s">
        <v>1351</v>
      </c>
      <c r="G349" s="41"/>
      <c r="H349" s="38"/>
      <c r="I349" s="38">
        <v>0.8</v>
      </c>
      <c r="J349" s="38">
        <v>5.57</v>
      </c>
      <c r="K349" s="38">
        <v>1.34E-2</v>
      </c>
      <c r="L349" s="41"/>
      <c r="M349"/>
    </row>
    <row r="350" spans="1:13" x14ac:dyDescent="0.25">
      <c r="A350" s="4"/>
      <c r="B350" s="28" t="str">
        <f>IF(ISNUMBER(MATCH(D350, Mgt_Unit!$C$5:$C$1018, 0)), INDEX(Mgt_Unit!$B$5:$B$1018, MATCH(D350, Mgt_Unit!$C$5:$C$1018, 0)), "")</f>
        <v>jennifer.moore</v>
      </c>
      <c r="C350" s="28"/>
      <c r="D350" s="9" t="s">
        <v>1292</v>
      </c>
      <c r="E350" s="47"/>
      <c r="F350" s="41" t="s">
        <v>1351</v>
      </c>
      <c r="G350" s="41"/>
      <c r="H350" s="38"/>
      <c r="I350" s="38">
        <v>0.7</v>
      </c>
      <c r="J350" s="38">
        <v>5.39</v>
      </c>
      <c r="K350" s="38">
        <v>2.1600000000000001E-2</v>
      </c>
      <c r="L350" s="41"/>
      <c r="M350"/>
    </row>
    <row r="351" spans="1:13" x14ac:dyDescent="0.25">
      <c r="A351" s="4"/>
      <c r="B351" s="28" t="str">
        <f>IF(ISNUMBER(MATCH(D351, Mgt_Unit!$C$5:$C$1018, 0)), INDEX(Mgt_Unit!$B$5:$B$1018, MATCH(D351, Mgt_Unit!$C$5:$C$1018, 0)), "")</f>
        <v>jennifer.moore</v>
      </c>
      <c r="C351" s="28"/>
      <c r="D351" s="9" t="s">
        <v>1293</v>
      </c>
      <c r="E351" s="47"/>
      <c r="F351" s="41" t="s">
        <v>1351</v>
      </c>
      <c r="G351" s="41"/>
      <c r="H351" s="38"/>
      <c r="I351" s="38">
        <v>0.8</v>
      </c>
      <c r="J351" s="38">
        <v>5.82</v>
      </c>
      <c r="K351" s="38">
        <v>1.5800000000000002E-2</v>
      </c>
      <c r="L351" s="41"/>
      <c r="M351"/>
    </row>
    <row r="352" spans="1:13" x14ac:dyDescent="0.25">
      <c r="A352" s="4"/>
      <c r="B352" s="28" t="str">
        <f>IF(ISNUMBER(MATCH(D352, Mgt_Unit!$C$5:$C$1018, 0)), INDEX(Mgt_Unit!$B$5:$B$1018, MATCH(D352, Mgt_Unit!$C$5:$C$1018, 0)), "")</f>
        <v>jennifer.moore</v>
      </c>
      <c r="C352" s="28"/>
      <c r="D352" s="9" t="s">
        <v>1293</v>
      </c>
      <c r="E352" s="47"/>
      <c r="F352" s="41" t="s">
        <v>1351</v>
      </c>
      <c r="G352" s="41"/>
      <c r="H352" s="38"/>
      <c r="I352" s="38">
        <v>0.8</v>
      </c>
      <c r="J352" s="38">
        <v>5.65</v>
      </c>
      <c r="K352" s="38">
        <v>2.7900000000000001E-2</v>
      </c>
      <c r="L352" s="41"/>
      <c r="M352"/>
    </row>
    <row r="353" spans="1:13" x14ac:dyDescent="0.25">
      <c r="A353" s="4"/>
      <c r="B353" s="28" t="str">
        <f>IF(ISNUMBER(MATCH(D353, Mgt_Unit!$C$5:$C$1018, 0)), INDEX(Mgt_Unit!$B$5:$B$1018, MATCH(D353, Mgt_Unit!$C$5:$C$1018, 0)), "")</f>
        <v>jennifer.moore</v>
      </c>
      <c r="C353" s="28"/>
      <c r="D353" s="9" t="s">
        <v>1293</v>
      </c>
      <c r="E353" s="47"/>
      <c r="F353" s="41" t="s">
        <v>1351</v>
      </c>
      <c r="G353" s="41"/>
      <c r="H353" s="38"/>
      <c r="I353" s="38">
        <v>0.6</v>
      </c>
      <c r="J353" s="38">
        <v>5.55</v>
      </c>
      <c r="K353" s="38">
        <v>0.03</v>
      </c>
      <c r="L353" s="41"/>
      <c r="M353"/>
    </row>
    <row r="354" spans="1:13" x14ac:dyDescent="0.25">
      <c r="A354" s="4"/>
      <c r="B354" s="28" t="str">
        <f>IF(ISNUMBER(MATCH(D354, Mgt_Unit!$C$5:$C$1018, 0)), INDEX(Mgt_Unit!$B$5:$B$1018, MATCH(D354, Mgt_Unit!$C$5:$C$1018, 0)), "")</f>
        <v>jennifer.moore</v>
      </c>
      <c r="C354" s="28"/>
      <c r="D354" s="9" t="s">
        <v>1293</v>
      </c>
      <c r="E354" s="47"/>
      <c r="F354" s="41" t="s">
        <v>1351</v>
      </c>
      <c r="G354" s="41"/>
      <c r="H354" s="38"/>
      <c r="I354" s="38">
        <v>0.7</v>
      </c>
      <c r="J354" s="38">
        <v>5.34</v>
      </c>
      <c r="K354" s="38">
        <v>1.9E-2</v>
      </c>
      <c r="L354" s="41"/>
      <c r="M354"/>
    </row>
    <row r="355" spans="1:13" x14ac:dyDescent="0.25">
      <c r="A355" s="4"/>
      <c r="B355" s="28" t="str">
        <f>IF(ISNUMBER(MATCH(D355, Mgt_Unit!$C$5:$C$1018, 0)), INDEX(Mgt_Unit!$B$5:$B$1018, MATCH(D355, Mgt_Unit!$C$5:$C$1018, 0)), "")</f>
        <v>jennifer.moore</v>
      </c>
      <c r="C355" s="28"/>
      <c r="D355" s="9" t="s">
        <v>1294</v>
      </c>
      <c r="E355" s="47"/>
      <c r="F355" s="41" t="s">
        <v>1351</v>
      </c>
      <c r="G355" s="41"/>
      <c r="H355" s="38"/>
      <c r="I355" s="38">
        <v>1</v>
      </c>
      <c r="J355" s="38">
        <v>6.16</v>
      </c>
      <c r="K355" s="38">
        <v>3.78E-2</v>
      </c>
      <c r="L355" s="41"/>
      <c r="M355"/>
    </row>
    <row r="356" spans="1:13" x14ac:dyDescent="0.25">
      <c r="A356" s="4"/>
      <c r="B356" s="28" t="str">
        <f>IF(ISNUMBER(MATCH(D356, Mgt_Unit!$C$5:$C$1018, 0)), INDEX(Mgt_Unit!$B$5:$B$1018, MATCH(D356, Mgt_Unit!$C$5:$C$1018, 0)), "")</f>
        <v>jennifer.moore</v>
      </c>
      <c r="C356" s="28"/>
      <c r="D356" s="9" t="s">
        <v>1294</v>
      </c>
      <c r="E356" s="47"/>
      <c r="F356" s="41" t="s">
        <v>1351</v>
      </c>
      <c r="G356" s="41"/>
      <c r="H356" s="38"/>
      <c r="I356" s="38">
        <v>0.7</v>
      </c>
      <c r="J356" s="38">
        <v>5.82</v>
      </c>
      <c r="K356" s="38">
        <v>2.52E-2</v>
      </c>
      <c r="L356" s="41"/>
      <c r="M356"/>
    </row>
    <row r="357" spans="1:13" x14ac:dyDescent="0.25">
      <c r="A357" s="4"/>
      <c r="B357" s="28" t="str">
        <f>IF(ISNUMBER(MATCH(D357, Mgt_Unit!$C$5:$C$1018, 0)), INDEX(Mgt_Unit!$B$5:$B$1018, MATCH(D357, Mgt_Unit!$C$5:$C$1018, 0)), "")</f>
        <v>jennifer.moore</v>
      </c>
      <c r="C357" s="28"/>
      <c r="D357" s="9" t="s">
        <v>1294</v>
      </c>
      <c r="E357" s="47"/>
      <c r="F357" s="41" t="s">
        <v>1351</v>
      </c>
      <c r="G357" s="41"/>
      <c r="H357" s="38"/>
      <c r="I357" s="38">
        <v>1</v>
      </c>
      <c r="J357" s="38">
        <v>5.95</v>
      </c>
      <c r="K357" s="38">
        <v>2.86E-2</v>
      </c>
      <c r="L357" s="41"/>
      <c r="M357"/>
    </row>
    <row r="358" spans="1:13" x14ac:dyDescent="0.25">
      <c r="A358" s="4"/>
      <c r="B358" s="28" t="str">
        <f>IF(ISNUMBER(MATCH(D358, Mgt_Unit!$C$5:$C$1018, 0)), INDEX(Mgt_Unit!$B$5:$B$1018, MATCH(D358, Mgt_Unit!$C$5:$C$1018, 0)), "")</f>
        <v>jennifer.moore</v>
      </c>
      <c r="C358" s="28"/>
      <c r="D358" s="9" t="s">
        <v>1294</v>
      </c>
      <c r="E358" s="47"/>
      <c r="F358" s="41" t="s">
        <v>1351</v>
      </c>
      <c r="G358" s="41"/>
      <c r="H358" s="38"/>
      <c r="I358" s="38">
        <v>0.9</v>
      </c>
      <c r="J358" s="38">
        <v>5.84</v>
      </c>
      <c r="K358" s="38">
        <v>2.2200000000000001E-2</v>
      </c>
      <c r="L358" s="41"/>
      <c r="M358"/>
    </row>
    <row r="359" spans="1:13" x14ac:dyDescent="0.25">
      <c r="A359" s="4"/>
      <c r="B359" s="28" t="str">
        <f>IF(ISNUMBER(MATCH(D359, Mgt_Unit!$C$5:$C$1018, 0)), INDEX(Mgt_Unit!$B$5:$B$1018, MATCH(D359, Mgt_Unit!$C$5:$C$1018, 0)), "")</f>
        <v>jennifer.moore</v>
      </c>
      <c r="C359" s="28"/>
      <c r="D359" s="9" t="s">
        <v>1295</v>
      </c>
      <c r="E359" s="47"/>
      <c r="F359" s="41" t="s">
        <v>1351</v>
      </c>
      <c r="G359" s="41"/>
      <c r="H359" s="38"/>
      <c r="I359" s="38">
        <v>0.8</v>
      </c>
      <c r="J359" s="38">
        <v>5.96</v>
      </c>
      <c r="K359" s="38">
        <v>7.4499999999999997E-2</v>
      </c>
      <c r="L359" s="41"/>
      <c r="M359"/>
    </row>
    <row r="360" spans="1:13" x14ac:dyDescent="0.25">
      <c r="A360" s="4"/>
      <c r="B360" s="28" t="str">
        <f>IF(ISNUMBER(MATCH(D360, Mgt_Unit!$C$5:$C$1018, 0)), INDEX(Mgt_Unit!$B$5:$B$1018, MATCH(D360, Mgt_Unit!$C$5:$C$1018, 0)), "")</f>
        <v>jennifer.moore</v>
      </c>
      <c r="C360" s="28"/>
      <c r="D360" s="9" t="s">
        <v>1295</v>
      </c>
      <c r="E360" s="47"/>
      <c r="F360" s="41" t="s">
        <v>1351</v>
      </c>
      <c r="G360" s="41"/>
      <c r="H360" s="38"/>
      <c r="I360" s="38">
        <v>1.1000000000000001</v>
      </c>
      <c r="J360" s="38">
        <v>5.33</v>
      </c>
      <c r="K360" s="38">
        <v>0.2326</v>
      </c>
      <c r="L360" s="41"/>
      <c r="M360"/>
    </row>
    <row r="361" spans="1:13" x14ac:dyDescent="0.25">
      <c r="A361" s="4"/>
      <c r="B361" s="28" t="str">
        <f>IF(ISNUMBER(MATCH(D361, Mgt_Unit!$C$5:$C$1018, 0)), INDEX(Mgt_Unit!$B$5:$B$1018, MATCH(D361, Mgt_Unit!$C$5:$C$1018, 0)), "")</f>
        <v>jennifer.moore</v>
      </c>
      <c r="C361" s="28"/>
      <c r="D361" s="9" t="s">
        <v>1295</v>
      </c>
      <c r="E361" s="47"/>
      <c r="F361" s="41" t="s">
        <v>1351</v>
      </c>
      <c r="G361" s="41"/>
      <c r="H361" s="38"/>
      <c r="I361" s="38">
        <v>0.8</v>
      </c>
      <c r="J361" s="38">
        <v>5.47</v>
      </c>
      <c r="K361" s="38">
        <v>2.7699999999999999E-2</v>
      </c>
      <c r="L361" s="41"/>
      <c r="M361"/>
    </row>
    <row r="362" spans="1:13" x14ac:dyDescent="0.25">
      <c r="A362" s="4"/>
      <c r="B362" s="28" t="str">
        <f>IF(ISNUMBER(MATCH(D362, Mgt_Unit!$C$5:$C$1018, 0)), INDEX(Mgt_Unit!$B$5:$B$1018, MATCH(D362, Mgt_Unit!$C$5:$C$1018, 0)), "")</f>
        <v>jennifer.moore</v>
      </c>
      <c r="C362" s="28"/>
      <c r="D362" s="9" t="s">
        <v>1295</v>
      </c>
      <c r="E362" s="47"/>
      <c r="F362" s="41" t="s">
        <v>1351</v>
      </c>
      <c r="G362" s="41"/>
      <c r="H362" s="38"/>
      <c r="I362" s="38">
        <v>1</v>
      </c>
      <c r="J362" s="38">
        <v>5.39</v>
      </c>
      <c r="K362" s="38">
        <v>2.4400000000000002E-2</v>
      </c>
      <c r="L362" s="41"/>
      <c r="M362"/>
    </row>
    <row r="363" spans="1:13" x14ac:dyDescent="0.25">
      <c r="A363" s="4"/>
      <c r="B363" s="28" t="str">
        <f>IF(ISNUMBER(MATCH(D363, Mgt_Unit!$C$5:$C$1018, 0)), INDEX(Mgt_Unit!$B$5:$B$1018, MATCH(D363, Mgt_Unit!$C$5:$C$1018, 0)), "")</f>
        <v>jennifer.moore</v>
      </c>
      <c r="C363" s="28"/>
      <c r="D363" s="9" t="s">
        <v>800</v>
      </c>
      <c r="E363" s="47"/>
      <c r="F363" s="41" t="s">
        <v>1351</v>
      </c>
      <c r="G363" s="41"/>
      <c r="H363" s="38"/>
      <c r="I363" s="38">
        <v>3.7</v>
      </c>
      <c r="J363" s="38">
        <v>6.07</v>
      </c>
      <c r="K363" s="38">
        <v>6.9199999999999998E-2</v>
      </c>
      <c r="L363" s="41"/>
      <c r="M363"/>
    </row>
    <row r="364" spans="1:13" x14ac:dyDescent="0.25">
      <c r="A364" s="4"/>
      <c r="B364" s="28" t="str">
        <f>IF(ISNUMBER(MATCH(D364, Mgt_Unit!$C$5:$C$1018, 0)), INDEX(Mgt_Unit!$B$5:$B$1018, MATCH(D364, Mgt_Unit!$C$5:$C$1018, 0)), "")</f>
        <v>jennifer.moore</v>
      </c>
      <c r="C364" s="28"/>
      <c r="D364" s="9" t="s">
        <v>800</v>
      </c>
      <c r="E364" s="47"/>
      <c r="F364" s="41" t="s">
        <v>1351</v>
      </c>
      <c r="G364" s="41"/>
      <c r="H364" s="38"/>
      <c r="I364" s="38">
        <v>3.2</v>
      </c>
      <c r="J364" s="38">
        <v>6.04</v>
      </c>
      <c r="K364" s="38">
        <v>7.6799999999999993E-2</v>
      </c>
      <c r="L364" s="41"/>
      <c r="M364"/>
    </row>
    <row r="365" spans="1:13" x14ac:dyDescent="0.25">
      <c r="A365" s="4"/>
      <c r="B365" s="28" t="str">
        <f>IF(ISNUMBER(MATCH(D365, Mgt_Unit!$C$5:$C$1018, 0)), INDEX(Mgt_Unit!$B$5:$B$1018, MATCH(D365, Mgt_Unit!$C$5:$C$1018, 0)), "")</f>
        <v>jennifer.moore</v>
      </c>
      <c r="C365" s="28"/>
      <c r="D365" s="9" t="s">
        <v>800</v>
      </c>
      <c r="E365" s="47"/>
      <c r="F365" s="41" t="s">
        <v>1351</v>
      </c>
      <c r="G365" s="41"/>
      <c r="H365" s="38"/>
      <c r="I365" s="38">
        <v>3.1</v>
      </c>
      <c r="J365" s="38">
        <v>6.03</v>
      </c>
      <c r="K365" s="38">
        <v>8.2299999999999998E-2</v>
      </c>
      <c r="L365" s="41"/>
      <c r="M365"/>
    </row>
    <row r="366" spans="1:13" x14ac:dyDescent="0.25">
      <c r="A366" s="4"/>
      <c r="B366" s="28" t="str">
        <f>IF(ISNUMBER(MATCH(D366, Mgt_Unit!$C$5:$C$1018, 0)), INDEX(Mgt_Unit!$B$5:$B$1018, MATCH(D366, Mgt_Unit!$C$5:$C$1018, 0)), "")</f>
        <v>jennifer.moore</v>
      </c>
      <c r="C366" s="28"/>
      <c r="D366" s="9" t="s">
        <v>799</v>
      </c>
      <c r="E366" s="47"/>
      <c r="F366" s="41" t="s">
        <v>1351</v>
      </c>
      <c r="G366" s="41"/>
      <c r="H366" s="38"/>
      <c r="I366" s="38">
        <v>2.8</v>
      </c>
      <c r="J366" s="38">
        <v>5.79</v>
      </c>
      <c r="K366" s="38">
        <v>7.0699999999999999E-2</v>
      </c>
      <c r="L366" s="41"/>
      <c r="M366"/>
    </row>
    <row r="367" spans="1:13" x14ac:dyDescent="0.25">
      <c r="A367" s="4"/>
      <c r="B367" s="28" t="str">
        <f>IF(ISNUMBER(MATCH(D367, Mgt_Unit!$C$5:$C$1018, 0)), INDEX(Mgt_Unit!$B$5:$B$1018, MATCH(D367, Mgt_Unit!$C$5:$C$1018, 0)), "")</f>
        <v>jennifer.moore</v>
      </c>
      <c r="C367" s="28"/>
      <c r="D367" s="9" t="s">
        <v>799</v>
      </c>
      <c r="E367" s="47"/>
      <c r="F367" s="41" t="s">
        <v>1351</v>
      </c>
      <c r="G367" s="41"/>
      <c r="H367" s="38"/>
      <c r="I367" s="38">
        <v>3</v>
      </c>
      <c r="J367" s="38">
        <v>5.74</v>
      </c>
      <c r="K367" s="38">
        <v>9.5000000000000001E-2</v>
      </c>
      <c r="L367" s="41"/>
      <c r="M367"/>
    </row>
    <row r="368" spans="1:13" x14ac:dyDescent="0.25">
      <c r="A368" s="4"/>
      <c r="B368" s="28" t="str">
        <f>IF(ISNUMBER(MATCH(D368, Mgt_Unit!$C$5:$C$1018, 0)), INDEX(Mgt_Unit!$B$5:$B$1018, MATCH(D368, Mgt_Unit!$C$5:$C$1018, 0)), "")</f>
        <v>jennifer.moore</v>
      </c>
      <c r="C368" s="28"/>
      <c r="D368" s="9" t="s">
        <v>798</v>
      </c>
      <c r="E368" s="47"/>
      <c r="F368" s="41" t="s">
        <v>1351</v>
      </c>
      <c r="G368" s="41"/>
      <c r="H368" s="38"/>
      <c r="I368" s="38">
        <v>2.7</v>
      </c>
      <c r="J368" s="38">
        <v>6.12</v>
      </c>
      <c r="K368" s="38">
        <v>6.3100000000000003E-2</v>
      </c>
      <c r="L368" s="41"/>
      <c r="M368"/>
    </row>
    <row r="369" spans="1:13" x14ac:dyDescent="0.25">
      <c r="A369" s="4"/>
      <c r="B369" s="28" t="str">
        <f>IF(ISNUMBER(MATCH(D369, Mgt_Unit!$C$5:$C$1018, 0)), INDEX(Mgt_Unit!$B$5:$B$1018, MATCH(D369, Mgt_Unit!$C$5:$C$1018, 0)), "")</f>
        <v>jennifer.moore</v>
      </c>
      <c r="C369" s="28"/>
      <c r="D369" s="9" t="s">
        <v>798</v>
      </c>
      <c r="E369" s="47"/>
      <c r="F369" s="41" t="s">
        <v>1351</v>
      </c>
      <c r="G369" s="41"/>
      <c r="H369" s="38"/>
      <c r="I369" s="38">
        <v>3</v>
      </c>
      <c r="J369" s="38">
        <v>6.17</v>
      </c>
      <c r="K369" s="38">
        <v>6.4699999999999994E-2</v>
      </c>
      <c r="L369" s="41"/>
      <c r="M369"/>
    </row>
    <row r="370" spans="1:13" x14ac:dyDescent="0.25">
      <c r="A370" s="4"/>
      <c r="B370" s="28" t="str">
        <f>IF(ISNUMBER(MATCH(D370, Mgt_Unit!$C$5:$C$1018, 0)), INDEX(Mgt_Unit!$B$5:$B$1018, MATCH(D370, Mgt_Unit!$C$5:$C$1018, 0)), "")</f>
        <v>jennifer.moore</v>
      </c>
      <c r="C370" s="28"/>
      <c r="D370" s="9" t="s">
        <v>799</v>
      </c>
      <c r="E370" s="47"/>
      <c r="F370" s="41" t="s">
        <v>1351</v>
      </c>
      <c r="G370" s="41"/>
      <c r="H370" s="38"/>
      <c r="I370" s="38">
        <v>2.7</v>
      </c>
      <c r="J370" s="38">
        <v>5.85</v>
      </c>
      <c r="K370" s="38">
        <v>6.3200000000000006E-2</v>
      </c>
      <c r="L370" s="41"/>
      <c r="M370"/>
    </row>
    <row r="371" spans="1:13" x14ac:dyDescent="0.25">
      <c r="A371" s="4"/>
      <c r="B371" s="28" t="str">
        <f>IF(ISNUMBER(MATCH(D371, Mgt_Unit!$C$5:$C$1018, 0)), INDEX(Mgt_Unit!$B$5:$B$1018, MATCH(D371, Mgt_Unit!$C$5:$C$1018, 0)), "")</f>
        <v>jennifer.moore</v>
      </c>
      <c r="C371" s="28"/>
      <c r="D371" s="9" t="s">
        <v>799</v>
      </c>
      <c r="E371" s="47"/>
      <c r="F371" s="41" t="s">
        <v>1351</v>
      </c>
      <c r="G371" s="41"/>
      <c r="H371" s="38"/>
      <c r="I371" s="38">
        <v>2.6</v>
      </c>
      <c r="J371" s="38">
        <v>5.81</v>
      </c>
      <c r="K371" s="38">
        <v>9.1200000000000003E-2</v>
      </c>
      <c r="L371" s="41"/>
      <c r="M371"/>
    </row>
    <row r="372" spans="1:13" x14ac:dyDescent="0.25">
      <c r="A372" s="4"/>
      <c r="B372" s="28" t="str">
        <f>IF(ISNUMBER(MATCH(D372, Mgt_Unit!$C$5:$C$1018, 0)), INDEX(Mgt_Unit!$B$5:$B$1018, MATCH(D372, Mgt_Unit!$C$5:$C$1018, 0)), "")</f>
        <v>jennifer.moore</v>
      </c>
      <c r="C372" s="28"/>
      <c r="D372" s="9" t="s">
        <v>799</v>
      </c>
      <c r="E372" s="47"/>
      <c r="F372" s="41" t="s">
        <v>1351</v>
      </c>
      <c r="G372" s="41"/>
      <c r="H372" s="38"/>
      <c r="I372" s="38">
        <v>2.9</v>
      </c>
      <c r="J372" s="38">
        <v>5.82</v>
      </c>
      <c r="K372" s="38">
        <v>9.6100000000000005E-2</v>
      </c>
      <c r="L372" s="41"/>
      <c r="M372"/>
    </row>
    <row r="373" spans="1:13" x14ac:dyDescent="0.25">
      <c r="A373" s="4"/>
      <c r="B373" s="28" t="str">
        <f>IF(ISNUMBER(MATCH(D373, Mgt_Unit!$C$5:$C$1018, 0)), INDEX(Mgt_Unit!$B$5:$B$1018, MATCH(D373, Mgt_Unit!$C$5:$C$1018, 0)), "")</f>
        <v>jennifer.moore</v>
      </c>
      <c r="C373" s="28"/>
      <c r="D373" s="9" t="s">
        <v>798</v>
      </c>
      <c r="E373" s="47"/>
      <c r="F373" s="41" t="s">
        <v>1351</v>
      </c>
      <c r="G373" s="41"/>
      <c r="H373" s="38"/>
      <c r="I373" s="38">
        <v>2.6</v>
      </c>
      <c r="J373" s="38">
        <v>6.15</v>
      </c>
      <c r="K373" s="38">
        <v>7.5600000000000001E-2</v>
      </c>
      <c r="L373" s="41"/>
      <c r="M373"/>
    </row>
    <row r="374" spans="1:13" x14ac:dyDescent="0.25">
      <c r="A374" s="4"/>
      <c r="B374" s="28" t="str">
        <f>IF(ISNUMBER(MATCH(D374, Mgt_Unit!$C$5:$C$1018, 0)), INDEX(Mgt_Unit!$B$5:$B$1018, MATCH(D374, Mgt_Unit!$C$5:$C$1018, 0)), "")</f>
        <v>jennifer.moore</v>
      </c>
      <c r="C374" s="28"/>
      <c r="D374" s="9" t="s">
        <v>799</v>
      </c>
      <c r="E374" s="47"/>
      <c r="F374" s="41" t="s">
        <v>1351</v>
      </c>
      <c r="G374" s="41"/>
      <c r="H374" s="38"/>
      <c r="I374" s="38">
        <v>3</v>
      </c>
      <c r="J374" s="38">
        <v>5.85</v>
      </c>
      <c r="K374" s="38">
        <v>8.9399999999999993E-2</v>
      </c>
      <c r="L374" s="41"/>
      <c r="M374"/>
    </row>
    <row r="375" spans="1:13" x14ac:dyDescent="0.25">
      <c r="A375" s="4"/>
      <c r="B375" s="28" t="str">
        <f>IF(ISNUMBER(MATCH(D375, Mgt_Unit!$C$5:$C$1018, 0)), INDEX(Mgt_Unit!$B$5:$B$1018, MATCH(D375, Mgt_Unit!$C$5:$C$1018, 0)), "")</f>
        <v>jennifer.moore</v>
      </c>
      <c r="C375" s="28"/>
      <c r="D375" s="9" t="s">
        <v>802</v>
      </c>
      <c r="E375" s="47"/>
      <c r="F375" s="41" t="s">
        <v>1351</v>
      </c>
      <c r="G375" s="41"/>
      <c r="H375" s="38"/>
      <c r="I375" s="38">
        <v>3.3</v>
      </c>
      <c r="J375" s="38">
        <v>6.55</v>
      </c>
      <c r="K375" s="38">
        <v>0.13489999999999999</v>
      </c>
      <c r="L375" s="41"/>
      <c r="M375"/>
    </row>
    <row r="376" spans="1:13" x14ac:dyDescent="0.25">
      <c r="A376" s="4"/>
      <c r="B376" s="28" t="str">
        <f>IF(ISNUMBER(MATCH(D376, Mgt_Unit!$C$5:$C$1018, 0)), INDEX(Mgt_Unit!$B$5:$B$1018, MATCH(D376, Mgt_Unit!$C$5:$C$1018, 0)), "")</f>
        <v>jennifer.moore</v>
      </c>
      <c r="C376" s="28"/>
      <c r="D376" s="9" t="s">
        <v>801</v>
      </c>
      <c r="E376" s="47"/>
      <c r="F376" s="41" t="s">
        <v>1351</v>
      </c>
      <c r="G376" s="41"/>
      <c r="H376" s="38"/>
      <c r="I376" s="38">
        <v>3.5</v>
      </c>
      <c r="J376" s="38">
        <v>6.72</v>
      </c>
      <c r="K376" s="38">
        <v>0.1983</v>
      </c>
      <c r="L376" s="41"/>
      <c r="M376"/>
    </row>
    <row r="377" spans="1:13" x14ac:dyDescent="0.25">
      <c r="A377" s="4"/>
      <c r="B377" s="28" t="str">
        <f>IF(ISNUMBER(MATCH(D377, Mgt_Unit!$C$5:$C$1018, 0)), INDEX(Mgt_Unit!$B$5:$B$1018, MATCH(D377, Mgt_Unit!$C$5:$C$1018, 0)), "")</f>
        <v>jennifer.moore</v>
      </c>
      <c r="C377" s="28"/>
      <c r="D377" s="9" t="s">
        <v>803</v>
      </c>
      <c r="E377" s="47"/>
      <c r="F377" s="41" t="s">
        <v>1351</v>
      </c>
      <c r="G377" s="41"/>
      <c r="H377" s="38"/>
      <c r="I377" s="38">
        <v>3.2</v>
      </c>
      <c r="J377" s="38">
        <v>6.87</v>
      </c>
      <c r="K377" s="38">
        <v>0.14710000000000001</v>
      </c>
      <c r="L377" s="41"/>
      <c r="M377"/>
    </row>
    <row r="378" spans="1:13" x14ac:dyDescent="0.25">
      <c r="A378" s="4"/>
      <c r="B378" s="28" t="str">
        <f>IF(ISNUMBER(MATCH(D378, Mgt_Unit!$C$5:$C$1018, 0)), INDEX(Mgt_Unit!$B$5:$B$1018, MATCH(D378, Mgt_Unit!$C$5:$C$1018, 0)), "")</f>
        <v>jennifer.moore</v>
      </c>
      <c r="C378" s="28"/>
      <c r="D378" s="9" t="s">
        <v>802</v>
      </c>
      <c r="E378" s="47"/>
      <c r="F378" s="41" t="s">
        <v>1351</v>
      </c>
      <c r="G378" s="41"/>
      <c r="H378" s="38"/>
      <c r="I378" s="38">
        <v>3.3</v>
      </c>
      <c r="J378" s="38">
        <v>6.62</v>
      </c>
      <c r="K378" s="38">
        <v>0.15590000000000001</v>
      </c>
      <c r="L378" s="41"/>
      <c r="M378"/>
    </row>
    <row r="379" spans="1:13" x14ac:dyDescent="0.25">
      <c r="A379" s="4"/>
      <c r="B379" s="28" t="str">
        <f>IF(ISNUMBER(MATCH(D379, Mgt_Unit!$C$5:$C$1018, 0)), INDEX(Mgt_Unit!$B$5:$B$1018, MATCH(D379, Mgt_Unit!$C$5:$C$1018, 0)), "")</f>
        <v>jennifer.moore</v>
      </c>
      <c r="C379" s="28"/>
      <c r="D379" s="9" t="s">
        <v>801</v>
      </c>
      <c r="E379" s="47"/>
      <c r="F379" s="41" t="s">
        <v>1351</v>
      </c>
      <c r="G379" s="41"/>
      <c r="H379" s="38"/>
      <c r="I379" s="38">
        <v>3.7</v>
      </c>
      <c r="J379" s="38">
        <v>6.87</v>
      </c>
      <c r="K379" s="38">
        <v>0.221</v>
      </c>
      <c r="L379" s="41"/>
      <c r="M379"/>
    </row>
    <row r="380" spans="1:13" x14ac:dyDescent="0.25">
      <c r="A380" s="4"/>
      <c r="B380" s="28" t="str">
        <f>IF(ISNUMBER(MATCH(D380, Mgt_Unit!$C$5:$C$1018, 0)), INDEX(Mgt_Unit!$B$5:$B$1018, MATCH(D380, Mgt_Unit!$C$5:$C$1018, 0)), "")</f>
        <v>jennifer.moore</v>
      </c>
      <c r="C380" s="28"/>
      <c r="D380" s="9" t="s">
        <v>802</v>
      </c>
      <c r="E380" s="47"/>
      <c r="F380" s="41" t="s">
        <v>1351</v>
      </c>
      <c r="G380" s="41"/>
      <c r="H380" s="38"/>
      <c r="I380" s="38">
        <v>3.2</v>
      </c>
      <c r="J380" s="38">
        <v>6.65</v>
      </c>
      <c r="K380" s="38">
        <v>0.14699999999999999</v>
      </c>
      <c r="L380" s="41"/>
      <c r="M380"/>
    </row>
    <row r="381" spans="1:13" x14ac:dyDescent="0.25">
      <c r="A381" s="4"/>
      <c r="B381" s="28" t="str">
        <f>IF(ISNUMBER(MATCH(D381, Mgt_Unit!$C$5:$C$1018, 0)), INDEX(Mgt_Unit!$B$5:$B$1018, MATCH(D381, Mgt_Unit!$C$5:$C$1018, 0)), "")</f>
        <v>jennifer.moore</v>
      </c>
      <c r="C381" s="28"/>
      <c r="D381" s="9" t="s">
        <v>1296</v>
      </c>
      <c r="E381" s="47"/>
      <c r="F381" s="41" t="s">
        <v>1351</v>
      </c>
      <c r="G381" s="41"/>
      <c r="H381" s="38"/>
      <c r="I381" s="38">
        <v>2.8</v>
      </c>
      <c r="J381" s="38">
        <v>6.48</v>
      </c>
      <c r="K381" s="38">
        <v>9.4799999999999995E-2</v>
      </c>
      <c r="L381" s="41"/>
      <c r="M381"/>
    </row>
    <row r="382" spans="1:13" x14ac:dyDescent="0.25">
      <c r="A382" s="4"/>
      <c r="B382" s="28" t="str">
        <f>IF(ISNUMBER(MATCH(D382, Mgt_Unit!$C$5:$C$1018, 0)), INDEX(Mgt_Unit!$B$5:$B$1018, MATCH(D382, Mgt_Unit!$C$5:$C$1018, 0)), "")</f>
        <v>jennifer.moore</v>
      </c>
      <c r="C382" s="28"/>
      <c r="D382" s="9" t="s">
        <v>801</v>
      </c>
      <c r="E382" s="47"/>
      <c r="F382" s="41" t="s">
        <v>1351</v>
      </c>
      <c r="G382" s="41"/>
      <c r="H382" s="38"/>
      <c r="I382" s="38">
        <v>4</v>
      </c>
      <c r="J382" s="38">
        <v>6.91</v>
      </c>
      <c r="K382" s="38">
        <v>0.23799999999999999</v>
      </c>
      <c r="L382" s="41"/>
      <c r="M382"/>
    </row>
    <row r="383" spans="1:13" x14ac:dyDescent="0.25">
      <c r="A383" s="4"/>
      <c r="B383" s="28" t="str">
        <f>IF(ISNUMBER(MATCH(D383, Mgt_Unit!$C$5:$C$1018, 0)), INDEX(Mgt_Unit!$B$5:$B$1018, MATCH(D383, Mgt_Unit!$C$5:$C$1018, 0)), "")</f>
        <v>jennifer.moore</v>
      </c>
      <c r="C383" s="28"/>
      <c r="D383" s="9" t="s">
        <v>1296</v>
      </c>
      <c r="E383" s="47"/>
      <c r="F383" s="41" t="s">
        <v>1351</v>
      </c>
      <c r="G383" s="41"/>
      <c r="H383" s="38"/>
      <c r="I383" s="38">
        <v>2.8</v>
      </c>
      <c r="J383" s="38">
        <v>6.57</v>
      </c>
      <c r="K383" s="38">
        <v>9.3799999999999994E-2</v>
      </c>
      <c r="L383" s="41"/>
      <c r="M383"/>
    </row>
    <row r="384" spans="1:13" x14ac:dyDescent="0.25">
      <c r="A384" s="4"/>
      <c r="B384" s="28" t="str">
        <f>IF(ISNUMBER(MATCH(D384, Mgt_Unit!$C$5:$C$1018, 0)), INDEX(Mgt_Unit!$B$5:$B$1018, MATCH(D384, Mgt_Unit!$C$5:$C$1018, 0)), "")</f>
        <v>jennifer.moore</v>
      </c>
      <c r="C384" s="28"/>
      <c r="D384" s="9" t="s">
        <v>803</v>
      </c>
      <c r="E384" s="47"/>
      <c r="F384" s="41" t="s">
        <v>1351</v>
      </c>
      <c r="G384" s="41"/>
      <c r="H384" s="38"/>
      <c r="I384" s="38">
        <v>2.5</v>
      </c>
      <c r="J384" s="38">
        <v>7.01</v>
      </c>
      <c r="K384" s="38">
        <v>0.12909999999999999</v>
      </c>
      <c r="L384" s="41"/>
      <c r="M384"/>
    </row>
    <row r="385" spans="1:13" x14ac:dyDescent="0.25">
      <c r="A385" s="4"/>
      <c r="B385" s="28" t="str">
        <f>IF(ISNUMBER(MATCH(D385, Mgt_Unit!$C$5:$C$1018, 0)), INDEX(Mgt_Unit!$B$5:$B$1018, MATCH(D385, Mgt_Unit!$C$5:$C$1018, 0)), "")</f>
        <v>jennifer.moore</v>
      </c>
      <c r="C385" s="28"/>
      <c r="D385" s="9" t="s">
        <v>1296</v>
      </c>
      <c r="E385" s="47"/>
      <c r="F385" s="41" t="s">
        <v>1351</v>
      </c>
      <c r="G385" s="41"/>
      <c r="H385" s="38"/>
      <c r="I385" s="38">
        <v>2.8</v>
      </c>
      <c r="J385" s="38">
        <v>6.68</v>
      </c>
      <c r="K385" s="38">
        <v>8.3599999999999994E-2</v>
      </c>
      <c r="L385" s="41"/>
      <c r="M385"/>
    </row>
    <row r="386" spans="1:13" x14ac:dyDescent="0.25">
      <c r="A386" s="4"/>
      <c r="B386" s="28" t="str">
        <f>IF(ISNUMBER(MATCH(D386, Mgt_Unit!$C$5:$C$1018, 0)), INDEX(Mgt_Unit!$B$5:$B$1018, MATCH(D386, Mgt_Unit!$C$5:$C$1018, 0)), "")</f>
        <v>jennifer.moore</v>
      </c>
      <c r="C386" s="28"/>
      <c r="D386" s="9" t="s">
        <v>803</v>
      </c>
      <c r="E386" s="47"/>
      <c r="F386" s="41" t="s">
        <v>1351</v>
      </c>
      <c r="G386" s="41"/>
      <c r="H386" s="38"/>
      <c r="I386" s="38">
        <v>2.7</v>
      </c>
      <c r="J386" s="38">
        <v>6.96</v>
      </c>
      <c r="K386" s="38">
        <v>0.13170000000000001</v>
      </c>
      <c r="L386" s="41"/>
      <c r="M386"/>
    </row>
    <row r="387" spans="1:13" x14ac:dyDescent="0.25">
      <c r="A387" s="4"/>
      <c r="B387" s="28" t="str">
        <f>IF(ISNUMBER(MATCH(D387, Mgt_Unit!$C$5:$C$1018, 0)), INDEX(Mgt_Unit!$B$5:$B$1018, MATCH(D387, Mgt_Unit!$C$5:$C$1018, 0)), "")</f>
        <v>jennifer.moore</v>
      </c>
      <c r="C387" s="28"/>
      <c r="D387" s="9" t="s">
        <v>806</v>
      </c>
      <c r="E387" s="47"/>
      <c r="F387" s="41" t="s">
        <v>1351</v>
      </c>
      <c r="G387" s="41"/>
      <c r="H387" s="38"/>
      <c r="I387" s="38">
        <v>2.5</v>
      </c>
      <c r="J387" s="38">
        <v>7.4</v>
      </c>
      <c r="K387" s="38">
        <v>0.308</v>
      </c>
      <c r="L387" s="41"/>
      <c r="M387"/>
    </row>
    <row r="388" spans="1:13" x14ac:dyDescent="0.25">
      <c r="A388" s="4"/>
      <c r="B388" s="28" t="str">
        <f>IF(ISNUMBER(MATCH(D388, Mgt_Unit!$C$5:$C$1018, 0)), INDEX(Mgt_Unit!$B$5:$B$1018, MATCH(D388, Mgt_Unit!$C$5:$C$1018, 0)), "")</f>
        <v>jennifer.moore</v>
      </c>
      <c r="C388" s="28"/>
      <c r="D388" s="9" t="s">
        <v>807</v>
      </c>
      <c r="E388" s="47"/>
      <c r="F388" s="41" t="s">
        <v>1351</v>
      </c>
      <c r="G388" s="41"/>
      <c r="H388" s="38"/>
      <c r="I388" s="38">
        <v>2.5</v>
      </c>
      <c r="J388" s="38">
        <v>7.62</v>
      </c>
      <c r="K388" s="38">
        <v>0.46100000000000002</v>
      </c>
      <c r="L388" s="41"/>
      <c r="M388"/>
    </row>
    <row r="389" spans="1:13" x14ac:dyDescent="0.25">
      <c r="A389" s="4"/>
      <c r="B389" s="28" t="str">
        <f>IF(ISNUMBER(MATCH(D389, Mgt_Unit!$C$5:$C$1018, 0)), INDEX(Mgt_Unit!$B$5:$B$1018, MATCH(D389, Mgt_Unit!$C$5:$C$1018, 0)), "")</f>
        <v>jennifer.moore</v>
      </c>
      <c r="C389" s="28"/>
      <c r="D389" s="9" t="s">
        <v>805</v>
      </c>
      <c r="E389" s="47"/>
      <c r="F389" s="41" t="s">
        <v>1351</v>
      </c>
      <c r="G389" s="41"/>
      <c r="H389" s="38"/>
      <c r="I389" s="38">
        <v>2.9</v>
      </c>
      <c r="J389" s="38">
        <v>7.48</v>
      </c>
      <c r="K389" s="38">
        <v>0.33400000000000002</v>
      </c>
      <c r="L389" s="41"/>
      <c r="M389"/>
    </row>
    <row r="390" spans="1:13" x14ac:dyDescent="0.25">
      <c r="A390" s="4"/>
      <c r="B390" s="28" t="str">
        <f>IF(ISNUMBER(MATCH(D390, Mgt_Unit!$C$5:$C$1018, 0)), INDEX(Mgt_Unit!$B$5:$B$1018, MATCH(D390, Mgt_Unit!$C$5:$C$1018, 0)), "")</f>
        <v>jennifer.moore</v>
      </c>
      <c r="C390" s="28"/>
      <c r="D390" s="9" t="s">
        <v>804</v>
      </c>
      <c r="E390" s="47"/>
      <c r="F390" s="41" t="s">
        <v>1351</v>
      </c>
      <c r="G390" s="41"/>
      <c r="H390" s="38"/>
      <c r="I390" s="38">
        <v>3.3</v>
      </c>
      <c r="J390" s="38">
        <v>7.21</v>
      </c>
      <c r="K390" s="38">
        <v>0.32800000000000001</v>
      </c>
      <c r="L390" s="41"/>
      <c r="M390"/>
    </row>
    <row r="391" spans="1:13" x14ac:dyDescent="0.25">
      <c r="A391" s="4"/>
      <c r="B391" s="28" t="str">
        <f>IF(ISNUMBER(MATCH(D391, Mgt_Unit!$C$5:$C$1018, 0)), INDEX(Mgt_Unit!$B$5:$B$1018, MATCH(D391, Mgt_Unit!$C$5:$C$1018, 0)), "")</f>
        <v>jennifer.moore</v>
      </c>
      <c r="C391" s="28"/>
      <c r="D391" s="9" t="s">
        <v>804</v>
      </c>
      <c r="E391" s="47"/>
      <c r="F391" s="41" t="s">
        <v>1351</v>
      </c>
      <c r="G391" s="41"/>
      <c r="H391" s="38"/>
      <c r="I391" s="38">
        <v>3.3</v>
      </c>
      <c r="J391" s="38">
        <v>7.27</v>
      </c>
      <c r="K391" s="38">
        <v>0.38300000000000001</v>
      </c>
      <c r="L391" s="41"/>
      <c r="M391"/>
    </row>
    <row r="392" spans="1:13" x14ac:dyDescent="0.25">
      <c r="A392" s="4"/>
      <c r="B392" s="28" t="str">
        <f>IF(ISNUMBER(MATCH(D392, Mgt_Unit!$C$5:$C$1018, 0)), INDEX(Mgt_Unit!$B$5:$B$1018, MATCH(D392, Mgt_Unit!$C$5:$C$1018, 0)), "")</f>
        <v>jennifer.moore</v>
      </c>
      <c r="C392" s="28"/>
      <c r="D392" s="9" t="s">
        <v>806</v>
      </c>
      <c r="E392" s="47"/>
      <c r="F392" s="41" t="s">
        <v>1351</v>
      </c>
      <c r="G392" s="41"/>
      <c r="H392" s="38"/>
      <c r="I392" s="38">
        <v>2.6</v>
      </c>
      <c r="J392" s="38">
        <v>7.4</v>
      </c>
      <c r="K392" s="38">
        <v>0.32100000000000001</v>
      </c>
      <c r="L392" s="41"/>
      <c r="M392"/>
    </row>
    <row r="393" spans="1:13" x14ac:dyDescent="0.25">
      <c r="A393" s="4"/>
      <c r="B393" s="28" t="str">
        <f>IF(ISNUMBER(MATCH(D393, Mgt_Unit!$C$5:$C$1018, 0)), INDEX(Mgt_Unit!$B$5:$B$1018, MATCH(D393, Mgt_Unit!$C$5:$C$1018, 0)), "")</f>
        <v>jennifer.moore</v>
      </c>
      <c r="C393" s="28"/>
      <c r="D393" s="9" t="s">
        <v>807</v>
      </c>
      <c r="E393" s="47"/>
      <c r="F393" s="41" t="s">
        <v>1351</v>
      </c>
      <c r="G393" s="41"/>
      <c r="H393" s="38"/>
      <c r="I393" s="38">
        <v>2.2999999999999998</v>
      </c>
      <c r="J393" s="38">
        <v>7.57</v>
      </c>
      <c r="K393" s="38">
        <v>0.39800000000000002</v>
      </c>
      <c r="L393" s="41"/>
      <c r="M393"/>
    </row>
    <row r="394" spans="1:13" x14ac:dyDescent="0.25">
      <c r="A394" s="4"/>
      <c r="B394" s="28" t="str">
        <f>IF(ISNUMBER(MATCH(D394, Mgt_Unit!$C$5:$C$1018, 0)), INDEX(Mgt_Unit!$B$5:$B$1018, MATCH(D394, Mgt_Unit!$C$5:$C$1018, 0)), "")</f>
        <v>jennifer.moore</v>
      </c>
      <c r="C394" s="28"/>
      <c r="D394" s="9" t="s">
        <v>805</v>
      </c>
      <c r="E394" s="47"/>
      <c r="F394" s="41" t="s">
        <v>1351</v>
      </c>
      <c r="G394" s="41"/>
      <c r="H394" s="38"/>
      <c r="I394" s="38">
        <v>3</v>
      </c>
      <c r="J394" s="38">
        <v>7.46</v>
      </c>
      <c r="K394" s="38">
        <v>0.35</v>
      </c>
      <c r="L394" s="41"/>
      <c r="M394"/>
    </row>
    <row r="395" spans="1:13" x14ac:dyDescent="0.25">
      <c r="A395" s="4"/>
      <c r="B395" s="28" t="str">
        <f>IF(ISNUMBER(MATCH(D395, Mgt_Unit!$C$5:$C$1018, 0)), INDEX(Mgt_Unit!$B$5:$B$1018, MATCH(D395, Mgt_Unit!$C$5:$C$1018, 0)), "")</f>
        <v>jennifer.moore</v>
      </c>
      <c r="C395" s="28"/>
      <c r="D395" s="9" t="s">
        <v>806</v>
      </c>
      <c r="E395" s="47"/>
      <c r="F395" s="41" t="s">
        <v>1351</v>
      </c>
      <c r="G395" s="41"/>
      <c r="H395" s="38"/>
      <c r="I395" s="38">
        <v>2.5</v>
      </c>
      <c r="J395" s="38">
        <v>7.27</v>
      </c>
      <c r="K395" s="38">
        <v>0.25900000000000001</v>
      </c>
      <c r="L395" s="41"/>
      <c r="M395"/>
    </row>
    <row r="396" spans="1:13" x14ac:dyDescent="0.25">
      <c r="A396" s="4"/>
      <c r="B396" s="28" t="str">
        <f>IF(ISNUMBER(MATCH(D396, Mgt_Unit!$C$5:$C$1018, 0)), INDEX(Mgt_Unit!$B$5:$B$1018, MATCH(D396, Mgt_Unit!$C$5:$C$1018, 0)), "")</f>
        <v>jennifer.moore</v>
      </c>
      <c r="C396" s="28"/>
      <c r="D396" s="9" t="s">
        <v>804</v>
      </c>
      <c r="E396" s="47"/>
      <c r="F396" s="41" t="s">
        <v>1351</v>
      </c>
      <c r="G396" s="41"/>
      <c r="H396" s="38"/>
      <c r="I396" s="38">
        <v>2.9</v>
      </c>
      <c r="J396" s="38">
        <v>6.87</v>
      </c>
      <c r="K396" s="38">
        <v>0.26800000000000002</v>
      </c>
      <c r="L396" s="41"/>
      <c r="M396"/>
    </row>
    <row r="397" spans="1:13" x14ac:dyDescent="0.25">
      <c r="A397" s="4"/>
      <c r="B397" s="28" t="str">
        <f>IF(ISNUMBER(MATCH(D397, Mgt_Unit!$C$5:$C$1018, 0)), INDEX(Mgt_Unit!$B$5:$B$1018, MATCH(D397, Mgt_Unit!$C$5:$C$1018, 0)), "")</f>
        <v>jennifer.moore</v>
      </c>
      <c r="C397" s="28"/>
      <c r="D397" s="9" t="s">
        <v>807</v>
      </c>
      <c r="E397" s="47"/>
      <c r="F397" s="41" t="s">
        <v>1351</v>
      </c>
      <c r="G397" s="41"/>
      <c r="H397" s="38"/>
      <c r="I397" s="38">
        <v>2.2999999999999998</v>
      </c>
      <c r="J397" s="38">
        <v>7.69</v>
      </c>
      <c r="K397" s="38">
        <v>0.373</v>
      </c>
      <c r="L397" s="41"/>
      <c r="M397"/>
    </row>
    <row r="398" spans="1:13" x14ac:dyDescent="0.25">
      <c r="A398" s="4"/>
      <c r="B398" s="28" t="str">
        <f>IF(ISNUMBER(MATCH(D398, Mgt_Unit!$C$5:$C$1018, 0)), INDEX(Mgt_Unit!$B$5:$B$1018, MATCH(D398, Mgt_Unit!$C$5:$C$1018, 0)), "")</f>
        <v>jennifer.moore</v>
      </c>
      <c r="C398" s="28"/>
      <c r="D398" s="9" t="s">
        <v>805</v>
      </c>
      <c r="E398" s="47"/>
      <c r="F398" s="41" t="s">
        <v>1351</v>
      </c>
      <c r="G398" s="41"/>
      <c r="H398" s="38"/>
      <c r="I398" s="38">
        <v>2.6</v>
      </c>
      <c r="J398" s="38">
        <v>7.47</v>
      </c>
      <c r="K398" s="38">
        <v>0.30599999999999999</v>
      </c>
      <c r="L398" s="41"/>
      <c r="M398"/>
    </row>
    <row r="399" spans="1:13" x14ac:dyDescent="0.25">
      <c r="A399" s="4"/>
      <c r="B399" s="28" t="str">
        <f>IF(ISNUMBER(MATCH(D399, Mgt_Unit!$C$5:$C$1018, 0)), INDEX(Mgt_Unit!$B$5:$B$1018, MATCH(D399, Mgt_Unit!$C$5:$C$1018, 0)), "")</f>
        <v>jennifer.moore</v>
      </c>
      <c r="C399" s="28"/>
      <c r="D399" s="9" t="s">
        <v>806</v>
      </c>
      <c r="E399" s="47"/>
      <c r="F399" s="41" t="s">
        <v>1351</v>
      </c>
      <c r="G399" s="41"/>
      <c r="H399" s="38"/>
      <c r="I399" s="38">
        <v>2.2999999999999998</v>
      </c>
      <c r="J399" s="38">
        <v>7.5</v>
      </c>
      <c r="K399" s="38">
        <v>0.248</v>
      </c>
      <c r="L399" s="41"/>
      <c r="M399"/>
    </row>
    <row r="400" spans="1:13" x14ac:dyDescent="0.25">
      <c r="A400" s="4"/>
      <c r="B400" s="28" t="str">
        <f>IF(ISNUMBER(MATCH(D400, Mgt_Unit!$C$5:$C$1018, 0)), INDEX(Mgt_Unit!$B$5:$B$1018, MATCH(D400, Mgt_Unit!$C$5:$C$1018, 0)), "")</f>
        <v>jennifer.moore</v>
      </c>
      <c r="C400" s="28"/>
      <c r="D400" s="9" t="s">
        <v>804</v>
      </c>
      <c r="E400" s="47"/>
      <c r="F400" s="41" t="s">
        <v>1351</v>
      </c>
      <c r="G400" s="41"/>
      <c r="H400" s="38"/>
      <c r="I400" s="38">
        <v>3</v>
      </c>
      <c r="J400" s="38">
        <v>7.31</v>
      </c>
      <c r="K400" s="38">
        <v>0.29399999999999998</v>
      </c>
      <c r="L400" s="41"/>
      <c r="M400"/>
    </row>
    <row r="401" spans="1:13" x14ac:dyDescent="0.25">
      <c r="A401" s="4"/>
      <c r="B401" s="28" t="str">
        <f>IF(ISNUMBER(MATCH(D401, Mgt_Unit!$C$5:$C$1018, 0)), INDEX(Mgt_Unit!$B$5:$B$1018, MATCH(D401, Mgt_Unit!$C$5:$C$1018, 0)), "")</f>
        <v>jennifer.moore</v>
      </c>
      <c r="C401" s="28"/>
      <c r="D401" s="9" t="s">
        <v>807</v>
      </c>
      <c r="E401" s="47"/>
      <c r="F401" s="41" t="s">
        <v>1351</v>
      </c>
      <c r="G401" s="41"/>
      <c r="H401" s="38"/>
      <c r="I401" s="38">
        <v>2</v>
      </c>
      <c r="J401" s="38">
        <v>7.68</v>
      </c>
      <c r="K401" s="38">
        <v>0.36</v>
      </c>
      <c r="L401" s="41"/>
      <c r="M401"/>
    </row>
    <row r="402" spans="1:13" x14ac:dyDescent="0.25">
      <c r="A402" s="4"/>
      <c r="B402" s="28" t="str">
        <f>IF(ISNUMBER(MATCH(D402, Mgt_Unit!$C$5:$C$1018, 0)), INDEX(Mgt_Unit!$B$5:$B$1018, MATCH(D402, Mgt_Unit!$C$5:$C$1018, 0)), "")</f>
        <v>jennifer.moore</v>
      </c>
      <c r="C402" s="28"/>
      <c r="D402" s="9" t="s">
        <v>805</v>
      </c>
      <c r="E402" s="47"/>
      <c r="F402" s="41" t="s">
        <v>1351</v>
      </c>
      <c r="G402" s="41"/>
      <c r="H402" s="38"/>
      <c r="I402" s="38">
        <v>2.6</v>
      </c>
      <c r="J402" s="38">
        <v>7.61</v>
      </c>
      <c r="K402" s="38">
        <v>0.28299999999999997</v>
      </c>
      <c r="L402" s="41"/>
      <c r="M402"/>
    </row>
    <row r="403" spans="1:13" x14ac:dyDescent="0.25">
      <c r="A403" s="4"/>
      <c r="B403" s="28" t="str">
        <f>IF(ISNUMBER(MATCH(D403, Mgt_Unit!$C$5:$C$1018, 0)), INDEX(Mgt_Unit!$B$5:$B$1018, MATCH(D403, Mgt_Unit!$C$5:$C$1018, 0)), "")</f>
        <v>jennifer.moore</v>
      </c>
      <c r="C403" s="28"/>
      <c r="D403" s="9" t="s">
        <v>815</v>
      </c>
      <c r="E403" s="47"/>
      <c r="F403" s="41" t="s">
        <v>1351</v>
      </c>
      <c r="G403" s="41"/>
      <c r="H403" s="38"/>
      <c r="I403" s="38">
        <v>0.8</v>
      </c>
      <c r="J403" s="38">
        <v>8.2899999999999991</v>
      </c>
      <c r="K403" s="38">
        <v>0.224</v>
      </c>
      <c r="L403" s="41"/>
      <c r="M403"/>
    </row>
    <row r="404" spans="1:13" x14ac:dyDescent="0.25">
      <c r="A404" s="4"/>
      <c r="B404" s="28" t="str">
        <f>IF(ISNUMBER(MATCH(D404, Mgt_Unit!$C$5:$C$1018, 0)), INDEX(Mgt_Unit!$B$5:$B$1018, MATCH(D404, Mgt_Unit!$C$5:$C$1018, 0)), "")</f>
        <v>jennifer.moore</v>
      </c>
      <c r="C404" s="28"/>
      <c r="D404" s="9" t="s">
        <v>814</v>
      </c>
      <c r="E404" s="47"/>
      <c r="F404" s="41" t="s">
        <v>1351</v>
      </c>
      <c r="G404" s="41"/>
      <c r="H404" s="38"/>
      <c r="I404" s="38">
        <v>0.9</v>
      </c>
      <c r="J404" s="38">
        <v>8.36</v>
      </c>
      <c r="K404" s="38">
        <v>0.185</v>
      </c>
      <c r="L404" s="41"/>
      <c r="M404"/>
    </row>
    <row r="405" spans="1:13" x14ac:dyDescent="0.25">
      <c r="A405" s="4"/>
      <c r="B405" s="28" t="str">
        <f>IF(ISNUMBER(MATCH(D405, Mgt_Unit!$C$5:$C$1018, 0)), INDEX(Mgt_Unit!$B$5:$B$1018, MATCH(D405, Mgt_Unit!$C$5:$C$1018, 0)), "")</f>
        <v>jennifer.moore</v>
      </c>
      <c r="C405" s="28"/>
      <c r="D405" s="9" t="s">
        <v>816</v>
      </c>
      <c r="E405" s="47"/>
      <c r="F405" s="41" t="s">
        <v>1351</v>
      </c>
      <c r="G405" s="41"/>
      <c r="H405" s="38"/>
      <c r="I405" s="38">
        <v>1.7</v>
      </c>
      <c r="J405" s="38">
        <v>7.93</v>
      </c>
      <c r="K405" s="38">
        <v>0.21199999999999999</v>
      </c>
      <c r="L405" s="41"/>
      <c r="M405"/>
    </row>
    <row r="406" spans="1:13" x14ac:dyDescent="0.25">
      <c r="A406" s="4"/>
      <c r="B406" s="28" t="str">
        <f>IF(ISNUMBER(MATCH(D406, Mgt_Unit!$C$5:$C$1018, 0)), INDEX(Mgt_Unit!$B$5:$B$1018, MATCH(D406, Mgt_Unit!$C$5:$C$1018, 0)), "")</f>
        <v>jennifer.moore</v>
      </c>
      <c r="C406" s="28"/>
      <c r="D406" s="9" t="s">
        <v>809</v>
      </c>
      <c r="E406" s="47"/>
      <c r="F406" s="41" t="s">
        <v>1351</v>
      </c>
      <c r="G406" s="41"/>
      <c r="H406" s="38"/>
      <c r="I406" s="38">
        <v>0.8</v>
      </c>
      <c r="J406" s="38">
        <v>8.41</v>
      </c>
      <c r="K406" s="38">
        <v>0.16600000000000001</v>
      </c>
      <c r="L406" s="41"/>
      <c r="M406"/>
    </row>
    <row r="407" spans="1:13" x14ac:dyDescent="0.25">
      <c r="A407" s="4"/>
      <c r="B407" s="28" t="str">
        <f>IF(ISNUMBER(MATCH(D407, Mgt_Unit!$C$5:$C$1018, 0)), INDEX(Mgt_Unit!$B$5:$B$1018, MATCH(D407, Mgt_Unit!$C$5:$C$1018, 0)), "")</f>
        <v>jennifer.moore</v>
      </c>
      <c r="C407" s="28"/>
      <c r="D407" s="9" t="s">
        <v>808</v>
      </c>
      <c r="E407" s="47"/>
      <c r="F407" s="41" t="s">
        <v>1351</v>
      </c>
      <c r="G407" s="41"/>
      <c r="H407" s="38"/>
      <c r="I407" s="38">
        <v>0.9</v>
      </c>
      <c r="J407" s="38">
        <v>8.26</v>
      </c>
      <c r="K407" s="38">
        <v>0.215</v>
      </c>
      <c r="L407" s="41"/>
      <c r="M407"/>
    </row>
    <row r="408" spans="1:13" x14ac:dyDescent="0.25">
      <c r="A408" s="4"/>
      <c r="B408" s="28" t="str">
        <f>IF(ISNUMBER(MATCH(D408, Mgt_Unit!$C$5:$C$1018, 0)), INDEX(Mgt_Unit!$B$5:$B$1018, MATCH(D408, Mgt_Unit!$C$5:$C$1018, 0)), "")</f>
        <v>jennifer.moore</v>
      </c>
      <c r="C408" s="28"/>
      <c r="D408" s="9" t="s">
        <v>810</v>
      </c>
      <c r="E408" s="47"/>
      <c r="F408" s="41" t="s">
        <v>1351</v>
      </c>
      <c r="G408" s="41"/>
      <c r="H408" s="38"/>
      <c r="I408" s="38">
        <v>1.7</v>
      </c>
      <c r="J408" s="38">
        <v>8.11</v>
      </c>
      <c r="K408" s="38">
        <v>0.16300000000000001</v>
      </c>
      <c r="L408" s="41"/>
      <c r="M408"/>
    </row>
    <row r="409" spans="1:13" x14ac:dyDescent="0.25">
      <c r="A409" s="4"/>
      <c r="B409" s="28" t="str">
        <f>IF(ISNUMBER(MATCH(D409, Mgt_Unit!$C$5:$C$1018, 0)), INDEX(Mgt_Unit!$B$5:$B$1018, MATCH(D409, Mgt_Unit!$C$5:$C$1018, 0)), "")</f>
        <v>jennifer.moore</v>
      </c>
      <c r="C409" s="28"/>
      <c r="D409" s="9" t="s">
        <v>1297</v>
      </c>
      <c r="E409" s="47"/>
      <c r="F409" s="41" t="s">
        <v>1351</v>
      </c>
      <c r="G409" s="41"/>
      <c r="H409" s="38"/>
      <c r="I409" s="38">
        <v>1.4</v>
      </c>
      <c r="J409" s="38">
        <v>8.4700000000000006</v>
      </c>
      <c r="K409" s="38">
        <v>0.14199999999999999</v>
      </c>
      <c r="L409" s="41"/>
      <c r="M409"/>
    </row>
    <row r="410" spans="1:13" x14ac:dyDescent="0.25">
      <c r="A410" s="4"/>
      <c r="B410" s="28" t="str">
        <f>IF(ISNUMBER(MATCH(D410, Mgt_Unit!$C$5:$C$1018, 0)), INDEX(Mgt_Unit!$B$5:$B$1018, MATCH(D410, Mgt_Unit!$C$5:$C$1018, 0)), "")</f>
        <v>jennifer.moore</v>
      </c>
      <c r="C410" s="28"/>
      <c r="D410" s="9" t="s">
        <v>1298</v>
      </c>
      <c r="E410" s="47"/>
      <c r="F410" s="41" t="s">
        <v>1351</v>
      </c>
      <c r="G410" s="41"/>
      <c r="H410" s="38"/>
      <c r="I410" s="38">
        <v>1.6</v>
      </c>
      <c r="J410" s="38">
        <v>8.35</v>
      </c>
      <c r="K410" s="38">
        <v>0.13900000000000001</v>
      </c>
      <c r="L410" s="41"/>
      <c r="M410"/>
    </row>
    <row r="411" spans="1:13" x14ac:dyDescent="0.25">
      <c r="A411" s="4"/>
      <c r="B411" s="28" t="str">
        <f>IF(ISNUMBER(MATCH(D411, Mgt_Unit!$C$5:$C$1018, 0)), INDEX(Mgt_Unit!$B$5:$B$1018, MATCH(D411, Mgt_Unit!$C$5:$C$1018, 0)), "")</f>
        <v>jennifer.moore</v>
      </c>
      <c r="C411" s="28"/>
      <c r="D411" s="9" t="s">
        <v>1299</v>
      </c>
      <c r="E411" s="47"/>
      <c r="F411" s="41" t="s">
        <v>1351</v>
      </c>
      <c r="G411" s="41"/>
      <c r="H411" s="38"/>
      <c r="I411" s="38">
        <v>1.7</v>
      </c>
      <c r="J411" s="38">
        <v>8.23</v>
      </c>
      <c r="K411" s="38">
        <v>0.14799999999999999</v>
      </c>
      <c r="L411" s="41"/>
      <c r="M411"/>
    </row>
    <row r="412" spans="1:13" x14ac:dyDescent="0.25">
      <c r="A412" s="4"/>
      <c r="B412" s="28" t="str">
        <f>IF(ISNUMBER(MATCH(D412, Mgt_Unit!$C$5:$C$1018, 0)), INDEX(Mgt_Unit!$B$5:$B$1018, MATCH(D412, Mgt_Unit!$C$5:$C$1018, 0)), "")</f>
        <v>jennifer.moore</v>
      </c>
      <c r="C412" s="28"/>
      <c r="D412" s="9" t="s">
        <v>812</v>
      </c>
      <c r="E412" s="47"/>
      <c r="F412" s="41" t="s">
        <v>1351</v>
      </c>
      <c r="G412" s="41"/>
      <c r="H412" s="38"/>
      <c r="I412" s="38">
        <v>0.8</v>
      </c>
      <c r="J412" s="38">
        <v>8.41</v>
      </c>
      <c r="K412" s="38">
        <v>0.16900000000000001</v>
      </c>
      <c r="L412" s="41"/>
      <c r="M412"/>
    </row>
    <row r="413" spans="1:13" x14ac:dyDescent="0.25">
      <c r="A413" s="4"/>
      <c r="B413" s="28" t="str">
        <f>IF(ISNUMBER(MATCH(D413, Mgt_Unit!$C$5:$C$1018, 0)), INDEX(Mgt_Unit!$B$5:$B$1018, MATCH(D413, Mgt_Unit!$C$5:$C$1018, 0)), "")</f>
        <v>jennifer.moore</v>
      </c>
      <c r="C413" s="28"/>
      <c r="D413" s="9" t="s">
        <v>811</v>
      </c>
      <c r="E413" s="47"/>
      <c r="F413" s="41" t="s">
        <v>1351</v>
      </c>
      <c r="G413" s="41"/>
      <c r="H413" s="38"/>
      <c r="I413" s="38">
        <v>0.9</v>
      </c>
      <c r="J413" s="38">
        <v>8.39</v>
      </c>
      <c r="K413" s="38">
        <v>0.17499999999999999</v>
      </c>
      <c r="L413" s="41"/>
      <c r="M413"/>
    </row>
    <row r="414" spans="1:13" x14ac:dyDescent="0.25">
      <c r="A414" s="4"/>
      <c r="B414" s="28" t="str">
        <f>IF(ISNUMBER(MATCH(D414, Mgt_Unit!$C$5:$C$1018, 0)), INDEX(Mgt_Unit!$B$5:$B$1018, MATCH(D414, Mgt_Unit!$C$5:$C$1018, 0)), "")</f>
        <v>jennifer.moore</v>
      </c>
      <c r="C414" s="28"/>
      <c r="D414" s="9" t="s">
        <v>813</v>
      </c>
      <c r="E414" s="47"/>
      <c r="F414" s="41" t="s">
        <v>1351</v>
      </c>
      <c r="G414" s="41"/>
      <c r="H414" s="38"/>
      <c r="I414" s="38">
        <v>1.6</v>
      </c>
      <c r="J414" s="38">
        <v>8.07</v>
      </c>
      <c r="K414" s="38">
        <v>0.23200000000000001</v>
      </c>
      <c r="L414" s="41"/>
      <c r="M414"/>
    </row>
    <row r="415" spans="1:13" x14ac:dyDescent="0.25">
      <c r="A415" s="4"/>
      <c r="B415" s="28" t="str">
        <f>IF(ISNUMBER(MATCH(D415, Mgt_Unit!$C$5:$C$1018, 0)), INDEX(Mgt_Unit!$B$5:$B$1018, MATCH(D415, Mgt_Unit!$C$5:$C$1018, 0)), "")</f>
        <v>jennifer.moore</v>
      </c>
      <c r="C415" s="28"/>
      <c r="D415" s="9" t="s">
        <v>1297</v>
      </c>
      <c r="E415" s="47"/>
      <c r="F415" s="41" t="s">
        <v>1351</v>
      </c>
      <c r="G415" s="41"/>
      <c r="H415" s="38"/>
      <c r="I415" s="38">
        <v>1.7</v>
      </c>
      <c r="J415" s="38">
        <v>8.43</v>
      </c>
      <c r="K415" s="38">
        <v>0.14599999999999999</v>
      </c>
      <c r="L415" s="41"/>
      <c r="M415"/>
    </row>
    <row r="416" spans="1:13" x14ac:dyDescent="0.25">
      <c r="A416" s="4"/>
      <c r="B416" s="28" t="str">
        <f>IF(ISNUMBER(MATCH(D416, Mgt_Unit!$C$5:$C$1018, 0)), INDEX(Mgt_Unit!$B$5:$B$1018, MATCH(D416, Mgt_Unit!$C$5:$C$1018, 0)), "")</f>
        <v>jennifer.moore</v>
      </c>
      <c r="C416" s="28"/>
      <c r="D416" s="9" t="s">
        <v>1298</v>
      </c>
      <c r="E416" s="47"/>
      <c r="F416" s="41" t="s">
        <v>1351</v>
      </c>
      <c r="G416" s="41"/>
      <c r="H416" s="38"/>
      <c r="I416" s="38">
        <v>1.6</v>
      </c>
      <c r="J416" s="38">
        <v>8.51</v>
      </c>
      <c r="K416" s="38">
        <v>0.14499999999999999</v>
      </c>
      <c r="L416" s="41"/>
      <c r="M416"/>
    </row>
    <row r="417" spans="1:13" x14ac:dyDescent="0.25">
      <c r="A417" s="4"/>
      <c r="B417" s="28" t="str">
        <f>IF(ISNUMBER(MATCH(D417, Mgt_Unit!$C$5:$C$1018, 0)), INDEX(Mgt_Unit!$B$5:$B$1018, MATCH(D417, Mgt_Unit!$C$5:$C$1018, 0)), "")</f>
        <v>jennifer.moore</v>
      </c>
      <c r="C417" s="28"/>
      <c r="D417" s="9" t="s">
        <v>1299</v>
      </c>
      <c r="E417" s="47"/>
      <c r="F417" s="41" t="s">
        <v>1351</v>
      </c>
      <c r="G417" s="41"/>
      <c r="H417" s="38"/>
      <c r="I417" s="38">
        <v>1.8</v>
      </c>
      <c r="J417" s="38">
        <v>8.2799999999999994</v>
      </c>
      <c r="K417" s="38">
        <v>0.15</v>
      </c>
      <c r="L417" s="41"/>
      <c r="M417"/>
    </row>
    <row r="418" spans="1:13" x14ac:dyDescent="0.25">
      <c r="A418" s="4"/>
      <c r="B418" s="28" t="str">
        <f>IF(ISNUMBER(MATCH(D418, Mgt_Unit!$C$5:$C$1018, 0)), INDEX(Mgt_Unit!$B$5:$B$1018, MATCH(D418, Mgt_Unit!$C$5:$C$1018, 0)), "")</f>
        <v>jennifer.moore</v>
      </c>
      <c r="C418" s="28"/>
      <c r="D418" s="9" t="s">
        <v>812</v>
      </c>
      <c r="E418" s="47"/>
      <c r="F418" s="41" t="s">
        <v>1351</v>
      </c>
      <c r="G418" s="41"/>
      <c r="H418" s="38"/>
      <c r="I418" s="38">
        <v>0.8</v>
      </c>
      <c r="J418" s="38">
        <v>8.2899999999999991</v>
      </c>
      <c r="K418" s="38">
        <v>0.254</v>
      </c>
      <c r="L418" s="41"/>
      <c r="M418"/>
    </row>
    <row r="419" spans="1:13" x14ac:dyDescent="0.25">
      <c r="A419" s="4"/>
      <c r="B419" s="28" t="str">
        <f>IF(ISNUMBER(MATCH(D419, Mgt_Unit!$C$5:$C$1018, 0)), INDEX(Mgt_Unit!$B$5:$B$1018, MATCH(D419, Mgt_Unit!$C$5:$C$1018, 0)), "")</f>
        <v>jennifer.moore</v>
      </c>
      <c r="C419" s="28"/>
      <c r="D419" s="9" t="s">
        <v>811</v>
      </c>
      <c r="E419" s="47"/>
      <c r="F419" s="41" t="s">
        <v>1351</v>
      </c>
      <c r="G419" s="41"/>
      <c r="H419" s="38"/>
      <c r="I419" s="38">
        <v>1</v>
      </c>
      <c r="J419" s="38">
        <v>8.2799999999999994</v>
      </c>
      <c r="K419" s="38">
        <v>0.22</v>
      </c>
      <c r="L419" s="41"/>
      <c r="M419"/>
    </row>
    <row r="420" spans="1:13" x14ac:dyDescent="0.25">
      <c r="A420" s="4"/>
      <c r="B420" s="28" t="str">
        <f>IF(ISNUMBER(MATCH(D420, Mgt_Unit!$C$5:$C$1018, 0)), INDEX(Mgt_Unit!$B$5:$B$1018, MATCH(D420, Mgt_Unit!$C$5:$C$1018, 0)), "")</f>
        <v>jennifer.moore</v>
      </c>
      <c r="C420" s="28"/>
      <c r="D420" s="9" t="s">
        <v>813</v>
      </c>
      <c r="E420" s="47"/>
      <c r="F420" s="41" t="s">
        <v>1351</v>
      </c>
      <c r="G420" s="41"/>
      <c r="H420" s="38"/>
      <c r="I420" s="38">
        <v>1.5</v>
      </c>
      <c r="J420" s="38">
        <v>8.2899999999999991</v>
      </c>
      <c r="K420" s="38">
        <v>0.16600000000000001</v>
      </c>
      <c r="L420" s="41"/>
      <c r="M420"/>
    </row>
    <row r="421" spans="1:13" x14ac:dyDescent="0.25">
      <c r="A421" s="4"/>
      <c r="B421" s="28" t="str">
        <f>IF(ISNUMBER(MATCH(D421, Mgt_Unit!$C$5:$C$1018, 0)), INDEX(Mgt_Unit!$B$5:$B$1018, MATCH(D421, Mgt_Unit!$C$5:$C$1018, 0)), "")</f>
        <v>jennifer.moore</v>
      </c>
      <c r="C421" s="28"/>
      <c r="D421" s="9" t="s">
        <v>815</v>
      </c>
      <c r="E421" s="47"/>
      <c r="F421" s="41" t="s">
        <v>1351</v>
      </c>
      <c r="G421" s="41"/>
      <c r="H421" s="38"/>
      <c r="I421" s="38">
        <v>0.8</v>
      </c>
      <c r="J421" s="38">
        <v>8.36</v>
      </c>
      <c r="K421" s="38">
        <v>0.182</v>
      </c>
      <c r="L421" s="41"/>
      <c r="M421"/>
    </row>
    <row r="422" spans="1:13" x14ac:dyDescent="0.25">
      <c r="A422" s="4"/>
      <c r="B422" s="28" t="str">
        <f>IF(ISNUMBER(MATCH(D422, Mgt_Unit!$C$5:$C$1018, 0)), INDEX(Mgt_Unit!$B$5:$B$1018, MATCH(D422, Mgt_Unit!$C$5:$C$1018, 0)), "")</f>
        <v>jennifer.moore</v>
      </c>
      <c r="C422" s="28"/>
      <c r="D422" s="9" t="s">
        <v>814</v>
      </c>
      <c r="E422" s="47"/>
      <c r="F422" s="41" t="s">
        <v>1351</v>
      </c>
      <c r="G422" s="41"/>
      <c r="H422" s="38"/>
      <c r="I422" s="38">
        <v>0.8</v>
      </c>
      <c r="J422" s="38">
        <v>8.4600000000000009</v>
      </c>
      <c r="K422" s="38">
        <v>0.14599999999999999</v>
      </c>
      <c r="L422" s="41"/>
      <c r="M422"/>
    </row>
    <row r="423" spans="1:13" x14ac:dyDescent="0.25">
      <c r="A423" s="4"/>
      <c r="B423" s="28" t="str">
        <f>IF(ISNUMBER(MATCH(D423, Mgt_Unit!$C$5:$C$1018, 0)), INDEX(Mgt_Unit!$B$5:$B$1018, MATCH(D423, Mgt_Unit!$C$5:$C$1018, 0)), "")</f>
        <v>jennifer.moore</v>
      </c>
      <c r="C423" s="28"/>
      <c r="D423" s="9" t="s">
        <v>816</v>
      </c>
      <c r="E423" s="47"/>
      <c r="F423" s="41" t="s">
        <v>1351</v>
      </c>
      <c r="G423" s="41"/>
      <c r="H423" s="38"/>
      <c r="I423" s="38">
        <v>1.6</v>
      </c>
      <c r="J423" s="38">
        <v>8.33</v>
      </c>
      <c r="K423" s="38">
        <v>0.152</v>
      </c>
      <c r="L423" s="41"/>
      <c r="M423"/>
    </row>
    <row r="424" spans="1:13" x14ac:dyDescent="0.25">
      <c r="A424" s="4"/>
      <c r="B424" s="28" t="str">
        <f>IF(ISNUMBER(MATCH(D424, Mgt_Unit!$C$5:$C$1018, 0)), INDEX(Mgt_Unit!$B$5:$B$1018, MATCH(D424, Mgt_Unit!$C$5:$C$1018, 0)), "")</f>
        <v>jennifer.moore</v>
      </c>
      <c r="C424" s="28"/>
      <c r="D424" s="9" t="s">
        <v>809</v>
      </c>
      <c r="E424" s="47"/>
      <c r="F424" s="41" t="s">
        <v>1351</v>
      </c>
      <c r="G424" s="41"/>
      <c r="H424" s="38"/>
      <c r="I424" s="38">
        <v>0.9</v>
      </c>
      <c r="J424" s="38">
        <v>8.49</v>
      </c>
      <c r="K424" s="38">
        <v>0.13500000000000001</v>
      </c>
      <c r="L424" s="41"/>
      <c r="M424"/>
    </row>
    <row r="425" spans="1:13" x14ac:dyDescent="0.25">
      <c r="A425" s="4"/>
      <c r="B425" s="28" t="str">
        <f>IF(ISNUMBER(MATCH(D425, Mgt_Unit!$C$5:$C$1018, 0)), INDEX(Mgt_Unit!$B$5:$B$1018, MATCH(D425, Mgt_Unit!$C$5:$C$1018, 0)), "")</f>
        <v>jennifer.moore</v>
      </c>
      <c r="C425" s="28"/>
      <c r="D425" s="9" t="s">
        <v>808</v>
      </c>
      <c r="E425" s="47"/>
      <c r="F425" s="41" t="s">
        <v>1351</v>
      </c>
      <c r="G425" s="41"/>
      <c r="H425" s="38"/>
      <c r="I425" s="38">
        <v>1.3</v>
      </c>
      <c r="J425" s="38">
        <v>8.35</v>
      </c>
      <c r="K425" s="38">
        <v>0.219</v>
      </c>
      <c r="L425" s="41"/>
      <c r="M425"/>
    </row>
    <row r="426" spans="1:13" x14ac:dyDescent="0.25">
      <c r="A426" s="4"/>
      <c r="B426" s="28" t="str">
        <f>IF(ISNUMBER(MATCH(D426, Mgt_Unit!$C$5:$C$1018, 0)), INDEX(Mgt_Unit!$B$5:$B$1018, MATCH(D426, Mgt_Unit!$C$5:$C$1018, 0)), "")</f>
        <v>jennifer.moore</v>
      </c>
      <c r="C426" s="28"/>
      <c r="D426" s="9" t="s">
        <v>810</v>
      </c>
      <c r="E426" s="47"/>
      <c r="F426" s="41" t="s">
        <v>1351</v>
      </c>
      <c r="G426" s="41"/>
      <c r="H426" s="38"/>
      <c r="I426" s="38">
        <v>1.4</v>
      </c>
      <c r="J426" s="38">
        <v>8.2200000000000006</v>
      </c>
      <c r="K426" s="38">
        <v>0.20499999999999999</v>
      </c>
      <c r="L426" s="41"/>
      <c r="M426"/>
    </row>
    <row r="427" spans="1:13" x14ac:dyDescent="0.25">
      <c r="A427" s="4"/>
      <c r="B427" s="28" t="str">
        <f>IF(ISNUMBER(MATCH(D427, Mgt_Unit!$C$5:$C$1018, 0)), INDEX(Mgt_Unit!$B$5:$B$1018, MATCH(D427, Mgt_Unit!$C$5:$C$1018, 0)), "")</f>
        <v>jennifer.moore</v>
      </c>
      <c r="C427" s="28"/>
      <c r="D427" s="9" t="s">
        <v>818</v>
      </c>
      <c r="E427" s="47"/>
      <c r="F427" s="41" t="s">
        <v>1351</v>
      </c>
      <c r="G427" s="41"/>
      <c r="H427" s="38"/>
      <c r="I427" s="38">
        <v>2.2999999999999998</v>
      </c>
      <c r="J427" s="38">
        <v>6.03</v>
      </c>
      <c r="K427" s="38">
        <v>0.1285</v>
      </c>
      <c r="L427" s="41"/>
      <c r="M427"/>
    </row>
    <row r="428" spans="1:13" x14ac:dyDescent="0.25">
      <c r="A428" s="4"/>
      <c r="B428" s="28" t="str">
        <f>IF(ISNUMBER(MATCH(D428, Mgt_Unit!$C$5:$C$1018, 0)), INDEX(Mgt_Unit!$B$5:$B$1018, MATCH(D428, Mgt_Unit!$C$5:$C$1018, 0)), "")</f>
        <v>jennifer.moore</v>
      </c>
      <c r="C428" s="28"/>
      <c r="D428" s="9" t="s">
        <v>824</v>
      </c>
      <c r="E428" s="47"/>
      <c r="F428" s="41" t="s">
        <v>1351</v>
      </c>
      <c r="G428" s="41"/>
      <c r="H428" s="38"/>
      <c r="I428" s="38">
        <v>1.9</v>
      </c>
      <c r="J428" s="38">
        <v>6.92</v>
      </c>
      <c r="K428" s="38">
        <v>0.1852</v>
      </c>
      <c r="L428" s="41"/>
      <c r="M428"/>
    </row>
    <row r="429" spans="1:13" x14ac:dyDescent="0.25">
      <c r="A429" s="4"/>
      <c r="B429" s="28" t="str">
        <f>IF(ISNUMBER(MATCH(D429, Mgt_Unit!$C$5:$C$1018, 0)), INDEX(Mgt_Unit!$B$5:$B$1018, MATCH(D429, Mgt_Unit!$C$5:$C$1018, 0)), "")</f>
        <v>jennifer.moore</v>
      </c>
      <c r="C429" s="28"/>
      <c r="D429" s="9" t="s">
        <v>821</v>
      </c>
      <c r="E429" s="47"/>
      <c r="F429" s="41" t="s">
        <v>1351</v>
      </c>
      <c r="G429" s="41"/>
      <c r="H429" s="38"/>
      <c r="I429" s="38">
        <v>2.1</v>
      </c>
      <c r="J429" s="38">
        <v>7.02</v>
      </c>
      <c r="K429" s="38">
        <v>0.21099999999999999</v>
      </c>
      <c r="L429" s="41"/>
      <c r="M429"/>
    </row>
    <row r="430" spans="1:13" x14ac:dyDescent="0.25">
      <c r="A430" s="4"/>
      <c r="B430" s="28" t="str">
        <f>IF(ISNUMBER(MATCH(D430, Mgt_Unit!$C$5:$C$1018, 0)), INDEX(Mgt_Unit!$B$5:$B$1018, MATCH(D430, Mgt_Unit!$C$5:$C$1018, 0)), "")</f>
        <v>jennifer.moore</v>
      </c>
      <c r="C430" s="28"/>
      <c r="D430" s="9" t="s">
        <v>1300</v>
      </c>
      <c r="E430" s="47"/>
      <c r="F430" s="41" t="s">
        <v>1351</v>
      </c>
      <c r="G430" s="41"/>
      <c r="H430" s="38"/>
      <c r="I430" s="38">
        <v>2.6</v>
      </c>
      <c r="J430" s="38">
        <v>7.4</v>
      </c>
      <c r="K430" s="38">
        <v>0.20899999999999999</v>
      </c>
      <c r="L430" s="41"/>
      <c r="M430"/>
    </row>
    <row r="431" spans="1:13" x14ac:dyDescent="0.25">
      <c r="A431" s="4"/>
      <c r="B431" s="28" t="str">
        <f>IF(ISNUMBER(MATCH(D431, Mgt_Unit!$C$5:$C$1018, 0)), INDEX(Mgt_Unit!$B$5:$B$1018, MATCH(D431, Mgt_Unit!$C$5:$C$1018, 0)), "")</f>
        <v>jennifer.moore</v>
      </c>
      <c r="C431" s="28"/>
      <c r="D431" s="9" t="s">
        <v>817</v>
      </c>
      <c r="E431" s="47"/>
      <c r="F431" s="41" t="s">
        <v>1351</v>
      </c>
      <c r="G431" s="41"/>
      <c r="H431" s="38"/>
      <c r="I431" s="38">
        <v>2</v>
      </c>
      <c r="J431" s="38">
        <v>8.32</v>
      </c>
      <c r="K431" s="38">
        <v>0.1943</v>
      </c>
      <c r="L431" s="41"/>
      <c r="M431"/>
    </row>
    <row r="432" spans="1:13" x14ac:dyDescent="0.25">
      <c r="A432" s="4"/>
      <c r="B432" s="28" t="str">
        <f>IF(ISNUMBER(MATCH(D432, Mgt_Unit!$C$5:$C$1018, 0)), INDEX(Mgt_Unit!$B$5:$B$1018, MATCH(D432, Mgt_Unit!$C$5:$C$1018, 0)), "")</f>
        <v>jennifer.moore</v>
      </c>
      <c r="C432" s="28"/>
      <c r="D432" s="9" t="s">
        <v>823</v>
      </c>
      <c r="E432" s="47"/>
      <c r="F432" s="41" t="s">
        <v>1351</v>
      </c>
      <c r="G432" s="41"/>
      <c r="H432" s="38"/>
      <c r="I432" s="38">
        <v>1.7</v>
      </c>
      <c r="J432" s="38">
        <v>8.3699999999999992</v>
      </c>
      <c r="K432" s="38">
        <v>0.17979999999999999</v>
      </c>
      <c r="L432" s="41"/>
      <c r="M432"/>
    </row>
    <row r="433" spans="1:13" x14ac:dyDescent="0.25">
      <c r="A433" s="4"/>
      <c r="B433" s="28" t="str">
        <f>IF(ISNUMBER(MATCH(D433, Mgt_Unit!$C$5:$C$1018, 0)), INDEX(Mgt_Unit!$B$5:$B$1018, MATCH(D433, Mgt_Unit!$C$5:$C$1018, 0)), "")</f>
        <v>jennifer.moore</v>
      </c>
      <c r="C433" s="28"/>
      <c r="D433" s="9" t="s">
        <v>820</v>
      </c>
      <c r="E433" s="47"/>
      <c r="F433" s="41" t="s">
        <v>1351</v>
      </c>
      <c r="G433" s="41"/>
      <c r="H433" s="38"/>
      <c r="I433" s="38">
        <v>1.7</v>
      </c>
      <c r="J433" s="38">
        <v>8.2899999999999991</v>
      </c>
      <c r="K433" s="38">
        <v>0.1618</v>
      </c>
      <c r="L433" s="41"/>
      <c r="M433"/>
    </row>
    <row r="434" spans="1:13" x14ac:dyDescent="0.25">
      <c r="A434" s="4"/>
      <c r="B434" s="28" t="str">
        <f>IF(ISNUMBER(MATCH(D434, Mgt_Unit!$C$5:$C$1018, 0)), INDEX(Mgt_Unit!$B$5:$B$1018, MATCH(D434, Mgt_Unit!$C$5:$C$1018, 0)), "")</f>
        <v>jennifer.moore</v>
      </c>
      <c r="C434" s="28"/>
      <c r="D434" s="9" t="s">
        <v>1301</v>
      </c>
      <c r="E434" s="47"/>
      <c r="F434" s="41" t="s">
        <v>1351</v>
      </c>
      <c r="G434" s="41"/>
      <c r="H434" s="38"/>
      <c r="I434" s="38">
        <v>2.2999999999999998</v>
      </c>
      <c r="J434" s="38">
        <v>8.3699999999999992</v>
      </c>
      <c r="K434" s="38">
        <v>0.1628</v>
      </c>
      <c r="L434" s="41"/>
      <c r="M434"/>
    </row>
    <row r="435" spans="1:13" x14ac:dyDescent="0.25">
      <c r="A435" s="4"/>
      <c r="B435" s="28" t="str">
        <f>IF(ISNUMBER(MATCH(D435, Mgt_Unit!$C$5:$C$1018, 0)), INDEX(Mgt_Unit!$B$5:$B$1018, MATCH(D435, Mgt_Unit!$C$5:$C$1018, 0)), "")</f>
        <v>jennifer.moore</v>
      </c>
      <c r="C435" s="28"/>
      <c r="D435" s="9" t="s">
        <v>819</v>
      </c>
      <c r="E435" s="47"/>
      <c r="F435" s="41" t="s">
        <v>1351</v>
      </c>
      <c r="G435" s="41"/>
      <c r="H435" s="38"/>
      <c r="I435" s="38">
        <v>3</v>
      </c>
      <c r="J435" s="38">
        <v>8.35</v>
      </c>
      <c r="K435" s="38">
        <v>0.224</v>
      </c>
      <c r="L435" s="41"/>
      <c r="M435"/>
    </row>
    <row r="436" spans="1:13" x14ac:dyDescent="0.25">
      <c r="A436" s="4"/>
      <c r="B436" s="28" t="str">
        <f>IF(ISNUMBER(MATCH(D436, Mgt_Unit!$C$5:$C$1018, 0)), INDEX(Mgt_Unit!$B$5:$B$1018, MATCH(D436, Mgt_Unit!$C$5:$C$1018, 0)), "")</f>
        <v>jennifer.moore</v>
      </c>
      <c r="C436" s="28"/>
      <c r="D436" s="9" t="s">
        <v>825</v>
      </c>
      <c r="E436" s="47"/>
      <c r="F436" s="41" t="s">
        <v>1351</v>
      </c>
      <c r="G436" s="41"/>
      <c r="H436" s="38"/>
      <c r="I436" s="38">
        <v>3.1</v>
      </c>
      <c r="J436" s="38">
        <v>8.2100000000000009</v>
      </c>
      <c r="K436" s="38">
        <v>0.221</v>
      </c>
      <c r="L436" s="41"/>
      <c r="M436"/>
    </row>
    <row r="437" spans="1:13" x14ac:dyDescent="0.25">
      <c r="A437" s="4"/>
      <c r="B437" s="28" t="str">
        <f>IF(ISNUMBER(MATCH(D437, Mgt_Unit!$C$5:$C$1018, 0)), INDEX(Mgt_Unit!$B$5:$B$1018, MATCH(D437, Mgt_Unit!$C$5:$C$1018, 0)), "")</f>
        <v>jennifer.moore</v>
      </c>
      <c r="C437" s="28"/>
      <c r="D437" s="9" t="s">
        <v>822</v>
      </c>
      <c r="E437" s="47"/>
      <c r="F437" s="41" t="s">
        <v>1351</v>
      </c>
      <c r="G437" s="41"/>
      <c r="H437" s="38"/>
      <c r="I437" s="38">
        <v>3.6</v>
      </c>
      <c r="J437" s="38">
        <v>7.87</v>
      </c>
      <c r="K437" s="38">
        <v>0.35599999999999998</v>
      </c>
      <c r="L437" s="41"/>
      <c r="M437"/>
    </row>
    <row r="438" spans="1:13" x14ac:dyDescent="0.25">
      <c r="A438" s="4"/>
      <c r="B438" s="28" t="str">
        <f>IF(ISNUMBER(MATCH(D438, Mgt_Unit!$C$5:$C$1018, 0)), INDEX(Mgt_Unit!$B$5:$B$1018, MATCH(D438, Mgt_Unit!$C$5:$C$1018, 0)), "")</f>
        <v>jennifer.moore</v>
      </c>
      <c r="C438" s="28"/>
      <c r="D438" s="9" t="s">
        <v>1302</v>
      </c>
      <c r="E438" s="47"/>
      <c r="F438" s="41" t="s">
        <v>1351</v>
      </c>
      <c r="G438" s="41"/>
      <c r="H438" s="38"/>
      <c r="I438" s="38">
        <v>5.5</v>
      </c>
      <c r="J438" s="38">
        <v>7.83</v>
      </c>
      <c r="K438" s="38">
        <v>0.36899999999999999</v>
      </c>
      <c r="L438" s="41"/>
      <c r="M438"/>
    </row>
    <row r="439" spans="1:13" x14ac:dyDescent="0.25">
      <c r="A439" s="4"/>
      <c r="B439" s="28" t="str">
        <f>IF(ISNUMBER(MATCH(D439, Mgt_Unit!$C$5:$C$1018, 0)), INDEX(Mgt_Unit!$B$5:$B$1018, MATCH(D439, Mgt_Unit!$C$5:$C$1018, 0)), "")</f>
        <v>jennifer.moore</v>
      </c>
      <c r="C439" s="28"/>
      <c r="D439" s="9" t="s">
        <v>1300</v>
      </c>
      <c r="E439" s="47"/>
      <c r="F439" s="41" t="s">
        <v>1351</v>
      </c>
      <c r="G439" s="41"/>
      <c r="H439" s="38"/>
      <c r="I439" s="38">
        <v>3.2</v>
      </c>
      <c r="J439" s="38">
        <v>7.7</v>
      </c>
      <c r="K439" s="38">
        <v>0.17699999999999999</v>
      </c>
      <c r="L439" s="41"/>
      <c r="M439"/>
    </row>
    <row r="440" spans="1:13" x14ac:dyDescent="0.25">
      <c r="A440" s="4"/>
      <c r="B440" s="28" t="str">
        <f>IF(ISNUMBER(MATCH(D440, Mgt_Unit!$C$5:$C$1018, 0)), INDEX(Mgt_Unit!$B$5:$B$1018, MATCH(D440, Mgt_Unit!$C$5:$C$1018, 0)), "")</f>
        <v>jennifer.moore</v>
      </c>
      <c r="C440" s="28"/>
      <c r="D440" s="9" t="s">
        <v>818</v>
      </c>
      <c r="E440" s="47"/>
      <c r="F440" s="41" t="s">
        <v>1351</v>
      </c>
      <c r="G440" s="41"/>
      <c r="H440" s="38"/>
      <c r="I440" s="38">
        <v>2.1</v>
      </c>
      <c r="J440" s="38">
        <v>7.54</v>
      </c>
      <c r="K440" s="38">
        <v>0.20899999999999999</v>
      </c>
      <c r="L440" s="41"/>
      <c r="M440"/>
    </row>
    <row r="441" spans="1:13" x14ac:dyDescent="0.25">
      <c r="A441" s="4"/>
      <c r="B441" s="28" t="str">
        <f>IF(ISNUMBER(MATCH(D441, Mgt_Unit!$C$5:$C$1018, 0)), INDEX(Mgt_Unit!$B$5:$B$1018, MATCH(D441, Mgt_Unit!$C$5:$C$1018, 0)), "")</f>
        <v>jennifer.moore</v>
      </c>
      <c r="C441" s="28"/>
      <c r="D441" s="9" t="s">
        <v>824</v>
      </c>
      <c r="E441" s="47"/>
      <c r="F441" s="41" t="s">
        <v>1351</v>
      </c>
      <c r="G441" s="41"/>
      <c r="H441" s="38"/>
      <c r="I441" s="38">
        <v>1.9</v>
      </c>
      <c r="J441" s="38">
        <v>8.1199999999999992</v>
      </c>
      <c r="K441" s="38">
        <v>0.19700000000000001</v>
      </c>
      <c r="L441" s="41"/>
      <c r="M441"/>
    </row>
    <row r="442" spans="1:13" x14ac:dyDescent="0.25">
      <c r="A442" s="4"/>
      <c r="B442" s="28" t="str">
        <f>IF(ISNUMBER(MATCH(D442, Mgt_Unit!$C$5:$C$1018, 0)), INDEX(Mgt_Unit!$B$5:$B$1018, MATCH(D442, Mgt_Unit!$C$5:$C$1018, 0)), "")</f>
        <v>jennifer.moore</v>
      </c>
      <c r="C442" s="28"/>
      <c r="D442" s="9" t="s">
        <v>821</v>
      </c>
      <c r="E442" s="47"/>
      <c r="F442" s="41" t="s">
        <v>1351</v>
      </c>
      <c r="G442" s="41"/>
      <c r="H442" s="38"/>
      <c r="I442" s="38">
        <v>2.1</v>
      </c>
      <c r="J442" s="38">
        <v>8.07</v>
      </c>
      <c r="K442" s="38">
        <v>0.20899999999999999</v>
      </c>
      <c r="L442" s="41"/>
      <c r="M442"/>
    </row>
    <row r="443" spans="1:13" x14ac:dyDescent="0.25">
      <c r="A443" s="4"/>
      <c r="B443" s="28" t="str">
        <f>IF(ISNUMBER(MATCH(D443, Mgt_Unit!$C$5:$C$1018, 0)), INDEX(Mgt_Unit!$B$5:$B$1018, MATCH(D443, Mgt_Unit!$C$5:$C$1018, 0)), "")</f>
        <v>jennifer.moore</v>
      </c>
      <c r="C443" s="28"/>
      <c r="D443" s="9" t="s">
        <v>1301</v>
      </c>
      <c r="E443" s="47"/>
      <c r="F443" s="41" t="s">
        <v>1351</v>
      </c>
      <c r="G443" s="41"/>
      <c r="H443" s="38"/>
      <c r="I443" s="38">
        <v>2.5</v>
      </c>
      <c r="J443" s="38">
        <v>7.98</v>
      </c>
      <c r="K443" s="38">
        <v>0.19</v>
      </c>
      <c r="L443" s="41"/>
      <c r="M443"/>
    </row>
    <row r="444" spans="1:13" x14ac:dyDescent="0.25">
      <c r="A444" s="4"/>
      <c r="B444" s="28" t="str">
        <f>IF(ISNUMBER(MATCH(D444, Mgt_Unit!$C$5:$C$1018, 0)), INDEX(Mgt_Unit!$B$5:$B$1018, MATCH(D444, Mgt_Unit!$C$5:$C$1018, 0)), "")</f>
        <v>jennifer.moore</v>
      </c>
      <c r="C444" s="28"/>
      <c r="D444" s="9" t="s">
        <v>817</v>
      </c>
      <c r="E444" s="47"/>
      <c r="F444" s="41" t="s">
        <v>1351</v>
      </c>
      <c r="G444" s="41"/>
      <c r="H444" s="38"/>
      <c r="I444" s="38">
        <v>1.8</v>
      </c>
      <c r="J444" s="38">
        <v>6.75</v>
      </c>
      <c r="K444" s="38">
        <v>0.11</v>
      </c>
      <c r="L444" s="41"/>
      <c r="M444"/>
    </row>
    <row r="445" spans="1:13" x14ac:dyDescent="0.25">
      <c r="A445" s="4"/>
      <c r="B445" s="28" t="str">
        <f>IF(ISNUMBER(MATCH(D445, Mgt_Unit!$C$5:$C$1018, 0)), INDEX(Mgt_Unit!$B$5:$B$1018, MATCH(D445, Mgt_Unit!$C$5:$C$1018, 0)), "")</f>
        <v>jennifer.moore</v>
      </c>
      <c r="C445" s="28"/>
      <c r="D445" s="9" t="s">
        <v>823</v>
      </c>
      <c r="E445" s="47"/>
      <c r="F445" s="41" t="s">
        <v>1351</v>
      </c>
      <c r="G445" s="41"/>
      <c r="H445" s="38"/>
      <c r="I445" s="38">
        <v>1.6</v>
      </c>
      <c r="J445" s="38">
        <v>6.89</v>
      </c>
      <c r="K445" s="38">
        <v>8.2600000000000007E-2</v>
      </c>
      <c r="L445" s="41"/>
      <c r="M445"/>
    </row>
    <row r="446" spans="1:13" x14ac:dyDescent="0.25">
      <c r="A446" s="4"/>
      <c r="B446" s="28" t="str">
        <f>IF(ISNUMBER(MATCH(D446, Mgt_Unit!$C$5:$C$1018, 0)), INDEX(Mgt_Unit!$B$5:$B$1018, MATCH(D446, Mgt_Unit!$C$5:$C$1018, 0)), "")</f>
        <v>jennifer.moore</v>
      </c>
      <c r="C446" s="28"/>
      <c r="D446" s="9" t="s">
        <v>820</v>
      </c>
      <c r="E446" s="47"/>
      <c r="F446" s="41" t="s">
        <v>1351</v>
      </c>
      <c r="G446" s="41"/>
      <c r="H446" s="38"/>
      <c r="I446" s="38">
        <v>1.8</v>
      </c>
      <c r="J446" s="38">
        <v>6.87</v>
      </c>
      <c r="K446" s="38">
        <v>9.8500000000000004E-2</v>
      </c>
      <c r="L446" s="41"/>
      <c r="M446"/>
    </row>
    <row r="447" spans="1:13" x14ac:dyDescent="0.25">
      <c r="A447" s="4"/>
      <c r="B447" s="28" t="str">
        <f>IF(ISNUMBER(MATCH(D447, Mgt_Unit!$C$5:$C$1018, 0)), INDEX(Mgt_Unit!$B$5:$B$1018, MATCH(D447, Mgt_Unit!$C$5:$C$1018, 0)), "")</f>
        <v>jennifer.moore</v>
      </c>
      <c r="C447" s="28"/>
      <c r="D447" s="9" t="s">
        <v>1302</v>
      </c>
      <c r="E447" s="47"/>
      <c r="F447" s="41" t="s">
        <v>1351</v>
      </c>
      <c r="G447" s="41"/>
      <c r="H447" s="38"/>
      <c r="I447" s="38">
        <v>5.7</v>
      </c>
      <c r="J447" s="38">
        <v>7.64</v>
      </c>
      <c r="K447" s="38">
        <v>0.35599999999999998</v>
      </c>
      <c r="L447" s="41"/>
      <c r="M447"/>
    </row>
    <row r="448" spans="1:13" x14ac:dyDescent="0.25">
      <c r="A448" s="4"/>
      <c r="B448" s="28" t="str">
        <f>IF(ISNUMBER(MATCH(D448, Mgt_Unit!$C$5:$C$1018, 0)), INDEX(Mgt_Unit!$B$5:$B$1018, MATCH(D448, Mgt_Unit!$C$5:$C$1018, 0)), "")</f>
        <v>jennifer.moore</v>
      </c>
      <c r="C448" s="28"/>
      <c r="D448" s="9" t="s">
        <v>819</v>
      </c>
      <c r="E448" s="47"/>
      <c r="F448" s="41" t="s">
        <v>1351</v>
      </c>
      <c r="G448" s="41"/>
      <c r="H448" s="38"/>
      <c r="I448" s="38">
        <v>3.1</v>
      </c>
      <c r="J448" s="38">
        <v>8.11</v>
      </c>
      <c r="K448" s="38">
        <v>0.245</v>
      </c>
      <c r="L448" s="41"/>
      <c r="M448"/>
    </row>
    <row r="449" spans="1:13" x14ac:dyDescent="0.25">
      <c r="A449" s="4"/>
      <c r="B449" s="28" t="str">
        <f>IF(ISNUMBER(MATCH(D449, Mgt_Unit!$C$5:$C$1018, 0)), INDEX(Mgt_Unit!$B$5:$B$1018, MATCH(D449, Mgt_Unit!$C$5:$C$1018, 0)), "")</f>
        <v>jennifer.moore</v>
      </c>
      <c r="C449" s="28"/>
      <c r="D449" s="9" t="s">
        <v>825</v>
      </c>
      <c r="E449" s="47"/>
      <c r="F449" s="41" t="s">
        <v>1351</v>
      </c>
      <c r="G449" s="41"/>
      <c r="H449" s="38"/>
      <c r="I449" s="38">
        <v>3.1</v>
      </c>
      <c r="J449" s="38">
        <v>8.18</v>
      </c>
      <c r="K449" s="38">
        <v>0.22700000000000001</v>
      </c>
      <c r="L449" s="41"/>
      <c r="M449"/>
    </row>
    <row r="450" spans="1:13" x14ac:dyDescent="0.25">
      <c r="A450" s="4"/>
      <c r="B450" s="28" t="str">
        <f>IF(ISNUMBER(MATCH(D450, Mgt_Unit!$C$5:$C$1018, 0)), INDEX(Mgt_Unit!$B$5:$B$1018, MATCH(D450, Mgt_Unit!$C$5:$C$1018, 0)), "")</f>
        <v>jennifer.moore</v>
      </c>
      <c r="C450" s="28"/>
      <c r="D450" s="9" t="s">
        <v>822</v>
      </c>
      <c r="E450" s="47"/>
      <c r="F450" s="41" t="s">
        <v>1351</v>
      </c>
      <c r="G450" s="41"/>
      <c r="H450" s="38"/>
      <c r="I450" s="38">
        <v>3.3</v>
      </c>
      <c r="J450" s="38">
        <v>8</v>
      </c>
      <c r="K450" s="38">
        <v>0.27800000000000002</v>
      </c>
      <c r="L450" s="41"/>
      <c r="M450"/>
    </row>
    <row r="451" spans="1:13" x14ac:dyDescent="0.25">
      <c r="A451" s="4"/>
      <c r="B451" s="28" t="str">
        <f>IF(ISNUMBER(MATCH(D451, Mgt_Unit!$C$5:$C$1018, 0)), INDEX(Mgt_Unit!$B$5:$B$1018, MATCH(D451, Mgt_Unit!$C$5:$C$1018, 0)), "")</f>
        <v>jennifer.moore</v>
      </c>
      <c r="C451" s="28"/>
      <c r="D451" s="9" t="s">
        <v>833</v>
      </c>
      <c r="E451" s="47"/>
      <c r="F451" s="41" t="s">
        <v>1351</v>
      </c>
      <c r="G451" s="41"/>
      <c r="H451" s="38"/>
      <c r="I451" s="38">
        <v>2.2000000000000002</v>
      </c>
      <c r="J451" s="38">
        <v>7.44</v>
      </c>
      <c r="K451" s="38">
        <v>0.252</v>
      </c>
      <c r="L451" s="41"/>
      <c r="M451"/>
    </row>
    <row r="452" spans="1:13" x14ac:dyDescent="0.25">
      <c r="A452" s="4"/>
      <c r="B452" s="28" t="str">
        <f>IF(ISNUMBER(MATCH(D452, Mgt_Unit!$C$5:$C$1018, 0)), INDEX(Mgt_Unit!$B$5:$B$1018, MATCH(D452, Mgt_Unit!$C$5:$C$1018, 0)), "")</f>
        <v>jennifer.moore</v>
      </c>
      <c r="C452" s="28"/>
      <c r="D452" s="9" t="s">
        <v>830</v>
      </c>
      <c r="E452" s="47"/>
      <c r="F452" s="41" t="s">
        <v>1351</v>
      </c>
      <c r="G452" s="41"/>
      <c r="H452" s="38"/>
      <c r="I452" s="38">
        <v>2.1</v>
      </c>
      <c r="J452" s="38">
        <v>6.45</v>
      </c>
      <c r="K452" s="38">
        <v>9.0800000000000006E-2</v>
      </c>
      <c r="L452" s="41"/>
      <c r="M452"/>
    </row>
    <row r="453" spans="1:13" x14ac:dyDescent="0.25">
      <c r="A453" s="4"/>
      <c r="B453" s="28" t="str">
        <f>IF(ISNUMBER(MATCH(D453, Mgt_Unit!$C$5:$C$1018, 0)), INDEX(Mgt_Unit!$B$5:$B$1018, MATCH(D453, Mgt_Unit!$C$5:$C$1018, 0)), "")</f>
        <v>jennifer.moore</v>
      </c>
      <c r="C453" s="28"/>
      <c r="D453" s="9" t="s">
        <v>827</v>
      </c>
      <c r="E453" s="47"/>
      <c r="F453" s="41" t="s">
        <v>1351</v>
      </c>
      <c r="G453" s="41"/>
      <c r="H453" s="38"/>
      <c r="I453" s="38">
        <v>2.2999999999999998</v>
      </c>
      <c r="J453" s="38">
        <v>7.05</v>
      </c>
      <c r="K453" s="38">
        <v>0.15659999999999999</v>
      </c>
      <c r="L453" s="41"/>
      <c r="M453"/>
    </row>
    <row r="454" spans="1:13" x14ac:dyDescent="0.25">
      <c r="A454" s="4"/>
      <c r="B454" s="28" t="str">
        <f>IF(ISNUMBER(MATCH(D454, Mgt_Unit!$C$5:$C$1018, 0)), INDEX(Mgt_Unit!$B$5:$B$1018, MATCH(D454, Mgt_Unit!$C$5:$C$1018, 0)), "")</f>
        <v>jennifer.moore</v>
      </c>
      <c r="C454" s="28"/>
      <c r="D454" s="9" t="s">
        <v>1303</v>
      </c>
      <c r="E454" s="47"/>
      <c r="F454" s="41" t="s">
        <v>1351</v>
      </c>
      <c r="G454" s="41"/>
      <c r="H454" s="38"/>
      <c r="I454" s="38">
        <v>2.5</v>
      </c>
      <c r="J454" s="38">
        <v>7.69</v>
      </c>
      <c r="K454" s="38">
        <v>0.21199999999999999</v>
      </c>
      <c r="L454" s="41"/>
      <c r="M454"/>
    </row>
    <row r="455" spans="1:13" x14ac:dyDescent="0.25">
      <c r="A455" s="4"/>
      <c r="B455" s="28" t="str">
        <f>IF(ISNUMBER(MATCH(D455, Mgt_Unit!$C$5:$C$1018, 0)), INDEX(Mgt_Unit!$B$5:$B$1018, MATCH(D455, Mgt_Unit!$C$5:$C$1018, 0)), "")</f>
        <v>jennifer.moore</v>
      </c>
      <c r="C455" s="28"/>
      <c r="D455" s="9" t="s">
        <v>832</v>
      </c>
      <c r="E455" s="47"/>
      <c r="F455" s="41" t="s">
        <v>1351</v>
      </c>
      <c r="G455" s="41"/>
      <c r="H455" s="38"/>
      <c r="I455" s="38">
        <v>1.8</v>
      </c>
      <c r="J455" s="38">
        <v>8.06</v>
      </c>
      <c r="K455" s="38">
        <v>0.154</v>
      </c>
      <c r="L455" s="41"/>
      <c r="M455"/>
    </row>
    <row r="456" spans="1:13" x14ac:dyDescent="0.25">
      <c r="A456" s="4"/>
      <c r="B456" s="28" t="str">
        <f>IF(ISNUMBER(MATCH(D456, Mgt_Unit!$C$5:$C$1018, 0)), INDEX(Mgt_Unit!$B$5:$B$1018, MATCH(D456, Mgt_Unit!$C$5:$C$1018, 0)), "")</f>
        <v>jennifer.moore</v>
      </c>
      <c r="C456" s="28"/>
      <c r="D456" s="9" t="s">
        <v>829</v>
      </c>
      <c r="E456" s="47"/>
      <c r="F456" s="41" t="s">
        <v>1351</v>
      </c>
      <c r="G456" s="41"/>
      <c r="H456" s="38"/>
      <c r="I456" s="38">
        <v>2.1</v>
      </c>
      <c r="J456" s="38">
        <v>8.2899999999999991</v>
      </c>
      <c r="K456" s="38">
        <v>0.156</v>
      </c>
      <c r="L456" s="41"/>
      <c r="M456"/>
    </row>
    <row r="457" spans="1:13" x14ac:dyDescent="0.25">
      <c r="A457" s="4"/>
      <c r="B457" s="28" t="str">
        <f>IF(ISNUMBER(MATCH(D457, Mgt_Unit!$C$5:$C$1018, 0)), INDEX(Mgt_Unit!$B$5:$B$1018, MATCH(D457, Mgt_Unit!$C$5:$C$1018, 0)), "")</f>
        <v>jennifer.moore</v>
      </c>
      <c r="C457" s="28"/>
      <c r="D457" s="9" t="s">
        <v>826</v>
      </c>
      <c r="E457" s="47"/>
      <c r="F457" s="41" t="s">
        <v>1351</v>
      </c>
      <c r="G457" s="41"/>
      <c r="H457" s="38"/>
      <c r="I457" s="38">
        <v>2.2000000000000002</v>
      </c>
      <c r="J457" s="38">
        <v>8.34</v>
      </c>
      <c r="K457" s="38">
        <v>0.20100000000000001</v>
      </c>
      <c r="L457" s="41"/>
      <c r="M457"/>
    </row>
    <row r="458" spans="1:13" x14ac:dyDescent="0.25">
      <c r="A458" s="4"/>
      <c r="B458" s="28" t="str">
        <f>IF(ISNUMBER(MATCH(D458, Mgt_Unit!$C$5:$C$1018, 0)), INDEX(Mgt_Unit!$B$5:$B$1018, MATCH(D458, Mgt_Unit!$C$5:$C$1018, 0)), "")</f>
        <v>jennifer.moore</v>
      </c>
      <c r="C458" s="28"/>
      <c r="D458" s="9" t="s">
        <v>1304</v>
      </c>
      <c r="E458" s="47"/>
      <c r="F458" s="41" t="s">
        <v>1351</v>
      </c>
      <c r="G458" s="41"/>
      <c r="H458" s="38"/>
      <c r="I458" s="38">
        <v>2.9</v>
      </c>
      <c r="J458" s="38">
        <v>8.26</v>
      </c>
      <c r="K458" s="38">
        <v>0.19</v>
      </c>
      <c r="L458" s="41"/>
      <c r="M458"/>
    </row>
    <row r="459" spans="1:13" x14ac:dyDescent="0.25">
      <c r="A459" s="4"/>
      <c r="B459" s="28" t="str">
        <f>IF(ISNUMBER(MATCH(D459, Mgt_Unit!$C$5:$C$1018, 0)), INDEX(Mgt_Unit!$B$5:$B$1018, MATCH(D459, Mgt_Unit!$C$5:$C$1018, 0)), "")</f>
        <v>jennifer.moore</v>
      </c>
      <c r="C459" s="28"/>
      <c r="D459" s="9" t="s">
        <v>834</v>
      </c>
      <c r="E459" s="47"/>
      <c r="F459" s="41" t="s">
        <v>1351</v>
      </c>
      <c r="G459" s="41"/>
      <c r="H459" s="38"/>
      <c r="I459" s="38">
        <v>2.5</v>
      </c>
      <c r="J459" s="38">
        <v>6.57</v>
      </c>
      <c r="K459" s="38">
        <v>0.128</v>
      </c>
      <c r="L459" s="41"/>
      <c r="M459"/>
    </row>
    <row r="460" spans="1:13" x14ac:dyDescent="0.25">
      <c r="A460" s="4"/>
      <c r="B460" s="28" t="str">
        <f>IF(ISNUMBER(MATCH(D460, Mgt_Unit!$C$5:$C$1018, 0)), INDEX(Mgt_Unit!$B$5:$B$1018, MATCH(D460, Mgt_Unit!$C$5:$C$1018, 0)), "")</f>
        <v>jennifer.moore</v>
      </c>
      <c r="C460" s="28"/>
      <c r="D460" s="9" t="s">
        <v>831</v>
      </c>
      <c r="E460" s="47"/>
      <c r="F460" s="41" t="s">
        <v>1351</v>
      </c>
      <c r="G460" s="41"/>
      <c r="H460" s="38"/>
      <c r="I460" s="38">
        <v>2.9</v>
      </c>
      <c r="J460" s="38">
        <v>6.13</v>
      </c>
      <c r="K460" s="38">
        <v>0.108</v>
      </c>
      <c r="L460" s="41"/>
      <c r="M460"/>
    </row>
    <row r="461" spans="1:13" x14ac:dyDescent="0.25">
      <c r="A461" s="4"/>
      <c r="B461" s="28" t="str">
        <f>IF(ISNUMBER(MATCH(D461, Mgt_Unit!$C$5:$C$1018, 0)), INDEX(Mgt_Unit!$B$5:$B$1018, MATCH(D461, Mgt_Unit!$C$5:$C$1018, 0)), "")</f>
        <v>jennifer.moore</v>
      </c>
      <c r="C461" s="28"/>
      <c r="D461" s="9" t="s">
        <v>828</v>
      </c>
      <c r="E461" s="47"/>
      <c r="F461" s="41" t="s">
        <v>1351</v>
      </c>
      <c r="G461" s="41"/>
      <c r="H461" s="38"/>
      <c r="I461" s="38">
        <v>3.2</v>
      </c>
      <c r="J461" s="38">
        <v>6.11</v>
      </c>
      <c r="K461" s="38">
        <v>0.104</v>
      </c>
      <c r="L461" s="41"/>
      <c r="M461"/>
    </row>
    <row r="462" spans="1:13" x14ac:dyDescent="0.25">
      <c r="A462" s="4"/>
      <c r="B462" s="28" t="str">
        <f>IF(ISNUMBER(MATCH(D462, Mgt_Unit!$C$5:$C$1018, 0)), INDEX(Mgt_Unit!$B$5:$B$1018, MATCH(D462, Mgt_Unit!$C$5:$C$1018, 0)), "")</f>
        <v>jennifer.moore</v>
      </c>
      <c r="C462" s="28"/>
      <c r="D462" s="9" t="s">
        <v>1305</v>
      </c>
      <c r="E462" s="47"/>
      <c r="F462" s="41" t="s">
        <v>1351</v>
      </c>
      <c r="G462" s="41"/>
      <c r="H462" s="38"/>
      <c r="I462" s="38">
        <v>3.6</v>
      </c>
      <c r="J462" s="38">
        <v>6.85</v>
      </c>
      <c r="K462" s="38">
        <v>9.7000000000000003E-2</v>
      </c>
      <c r="L462" s="41"/>
      <c r="M462"/>
    </row>
    <row r="463" spans="1:13" x14ac:dyDescent="0.25">
      <c r="A463" s="4"/>
      <c r="B463" s="28" t="str">
        <f>IF(ISNUMBER(MATCH(D463, Mgt_Unit!$C$5:$C$1018, 0)), INDEX(Mgt_Unit!$B$5:$B$1018, MATCH(D463, Mgt_Unit!$C$5:$C$1018, 0)), "")</f>
        <v>jennifer.moore</v>
      </c>
      <c r="C463" s="28"/>
      <c r="D463" s="9" t="s">
        <v>1303</v>
      </c>
      <c r="E463" s="47"/>
      <c r="F463" s="41" t="s">
        <v>1351</v>
      </c>
      <c r="G463" s="41"/>
      <c r="H463" s="38"/>
      <c r="I463" s="38">
        <v>2.6</v>
      </c>
      <c r="J463" s="38">
        <v>7.73</v>
      </c>
      <c r="K463" s="38">
        <v>0.26400000000000001</v>
      </c>
      <c r="L463" s="41"/>
      <c r="M463"/>
    </row>
    <row r="464" spans="1:13" x14ac:dyDescent="0.25">
      <c r="A464" s="4"/>
      <c r="B464" s="28" t="str">
        <f>IF(ISNUMBER(MATCH(D464, Mgt_Unit!$C$5:$C$1018, 0)), INDEX(Mgt_Unit!$B$5:$B$1018, MATCH(D464, Mgt_Unit!$C$5:$C$1018, 0)), "")</f>
        <v>jennifer.moore</v>
      </c>
      <c r="C464" s="28"/>
      <c r="D464" s="9" t="s">
        <v>830</v>
      </c>
      <c r="E464" s="47"/>
      <c r="F464" s="41" t="s">
        <v>1351</v>
      </c>
      <c r="G464" s="41"/>
      <c r="H464" s="38"/>
      <c r="I464" s="38">
        <v>2.2000000000000002</v>
      </c>
      <c r="J464" s="38">
        <v>7.93</v>
      </c>
      <c r="K464" s="38">
        <v>0.214</v>
      </c>
      <c r="L464" s="41"/>
      <c r="M464"/>
    </row>
    <row r="465" spans="1:13" x14ac:dyDescent="0.25">
      <c r="A465" s="4"/>
      <c r="B465" s="28" t="str">
        <f>IF(ISNUMBER(MATCH(D465, Mgt_Unit!$C$5:$C$1018, 0)), INDEX(Mgt_Unit!$B$5:$B$1018, MATCH(D465, Mgt_Unit!$C$5:$C$1018, 0)), "")</f>
        <v>jennifer.moore</v>
      </c>
      <c r="C465" s="28"/>
      <c r="D465" s="9" t="s">
        <v>833</v>
      </c>
      <c r="E465" s="47"/>
      <c r="F465" s="41" t="s">
        <v>1351</v>
      </c>
      <c r="G465" s="41"/>
      <c r="H465" s="38"/>
      <c r="I465" s="38">
        <v>2.1</v>
      </c>
      <c r="J465" s="38">
        <v>7.67</v>
      </c>
      <c r="K465" s="38">
        <v>0.22</v>
      </c>
      <c r="L465" s="41"/>
      <c r="M465"/>
    </row>
    <row r="466" spans="1:13" x14ac:dyDescent="0.25">
      <c r="A466" s="4"/>
      <c r="B466" s="28" t="str">
        <f>IF(ISNUMBER(MATCH(D466, Mgt_Unit!$C$5:$C$1018, 0)), INDEX(Mgt_Unit!$B$5:$B$1018, MATCH(D466, Mgt_Unit!$C$5:$C$1018, 0)), "")</f>
        <v>jennifer.moore</v>
      </c>
      <c r="C466" s="28"/>
      <c r="D466" s="9" t="s">
        <v>827</v>
      </c>
      <c r="E466" s="47"/>
      <c r="F466" s="41" t="s">
        <v>1351</v>
      </c>
      <c r="G466" s="41"/>
      <c r="H466" s="38"/>
      <c r="I466" s="38">
        <v>2.1</v>
      </c>
      <c r="J466" s="38">
        <v>6.2</v>
      </c>
      <c r="K466" s="38">
        <v>0.13600000000000001</v>
      </c>
      <c r="L466" s="41"/>
      <c r="M466"/>
    </row>
    <row r="467" spans="1:13" x14ac:dyDescent="0.25">
      <c r="A467" s="4"/>
      <c r="B467" s="28" t="str">
        <f>IF(ISNUMBER(MATCH(D467, Mgt_Unit!$C$5:$C$1018, 0)), INDEX(Mgt_Unit!$B$5:$B$1018, MATCH(D467, Mgt_Unit!$C$5:$C$1018, 0)), "")</f>
        <v>jennifer.moore</v>
      </c>
      <c r="C467" s="28"/>
      <c r="D467" s="9" t="s">
        <v>1304</v>
      </c>
      <c r="E467" s="47"/>
      <c r="F467" s="41" t="s">
        <v>1351</v>
      </c>
      <c r="G467" s="41"/>
      <c r="H467" s="38"/>
      <c r="I467" s="38">
        <v>2.5</v>
      </c>
      <c r="J467" s="38">
        <v>7.35</v>
      </c>
      <c r="K467" s="38">
        <v>0.123</v>
      </c>
      <c r="L467" s="41"/>
      <c r="M467"/>
    </row>
    <row r="468" spans="1:13" x14ac:dyDescent="0.25">
      <c r="A468" s="4"/>
      <c r="B468" s="28" t="str">
        <f>IF(ISNUMBER(MATCH(D468, Mgt_Unit!$C$5:$C$1018, 0)), INDEX(Mgt_Unit!$B$5:$B$1018, MATCH(D468, Mgt_Unit!$C$5:$C$1018, 0)), "")</f>
        <v>jennifer.moore</v>
      </c>
      <c r="C468" s="28"/>
      <c r="D468" s="9" t="s">
        <v>829</v>
      </c>
      <c r="E468" s="47"/>
      <c r="F468" s="41" t="s">
        <v>1351</v>
      </c>
      <c r="G468" s="41"/>
      <c r="H468" s="38"/>
      <c r="I468" s="38">
        <v>2</v>
      </c>
      <c r="J468" s="38">
        <v>7.88</v>
      </c>
      <c r="K468" s="38">
        <v>0.158</v>
      </c>
      <c r="L468" s="41"/>
      <c r="M468"/>
    </row>
    <row r="469" spans="1:13" x14ac:dyDescent="0.25">
      <c r="A469" s="4"/>
      <c r="B469" s="28" t="str">
        <f>IF(ISNUMBER(MATCH(D469, Mgt_Unit!$C$5:$C$1018, 0)), INDEX(Mgt_Unit!$B$5:$B$1018, MATCH(D469, Mgt_Unit!$C$5:$C$1018, 0)), "")</f>
        <v>jennifer.moore</v>
      </c>
      <c r="C469" s="28"/>
      <c r="D469" s="9" t="s">
        <v>832</v>
      </c>
      <c r="E469" s="47"/>
      <c r="F469" s="41" t="s">
        <v>1351</v>
      </c>
      <c r="G469" s="41"/>
      <c r="H469" s="38"/>
      <c r="I469" s="38">
        <v>2.2000000000000002</v>
      </c>
      <c r="J469" s="38">
        <v>8.0500000000000007</v>
      </c>
      <c r="K469" s="38">
        <v>0.18</v>
      </c>
      <c r="L469" s="41"/>
      <c r="M469"/>
    </row>
    <row r="470" spans="1:13" x14ac:dyDescent="0.25">
      <c r="A470" s="4"/>
      <c r="B470" s="28" t="str">
        <f>IF(ISNUMBER(MATCH(D470, Mgt_Unit!$C$5:$C$1018, 0)), INDEX(Mgt_Unit!$B$5:$B$1018, MATCH(D470, Mgt_Unit!$C$5:$C$1018, 0)), "")</f>
        <v>jennifer.moore</v>
      </c>
      <c r="C470" s="28"/>
      <c r="D470" s="9" t="s">
        <v>826</v>
      </c>
      <c r="E470" s="47"/>
      <c r="F470" s="41" t="s">
        <v>1351</v>
      </c>
      <c r="G470" s="41"/>
      <c r="H470" s="38"/>
      <c r="I470" s="38">
        <v>2.5</v>
      </c>
      <c r="J470" s="38">
        <v>6.42</v>
      </c>
      <c r="K470" s="38">
        <v>0.121</v>
      </c>
      <c r="L470" s="41"/>
      <c r="M470"/>
    </row>
    <row r="471" spans="1:13" x14ac:dyDescent="0.25">
      <c r="A471" s="4"/>
      <c r="B471" s="28" t="str">
        <f>IF(ISNUMBER(MATCH(D471, Mgt_Unit!$C$5:$C$1018, 0)), INDEX(Mgt_Unit!$B$5:$B$1018, MATCH(D471, Mgt_Unit!$C$5:$C$1018, 0)), "")</f>
        <v>jennifer.moore</v>
      </c>
      <c r="C471" s="28"/>
      <c r="D471" s="9" t="s">
        <v>1305</v>
      </c>
      <c r="E471" s="47"/>
      <c r="F471" s="41" t="s">
        <v>1351</v>
      </c>
      <c r="G471" s="41"/>
      <c r="H471" s="38"/>
      <c r="I471" s="38">
        <v>3.6</v>
      </c>
      <c r="J471" s="38">
        <v>6.83</v>
      </c>
      <c r="K471" s="38">
        <v>0.129</v>
      </c>
      <c r="L471" s="41"/>
      <c r="M471"/>
    </row>
    <row r="472" spans="1:13" x14ac:dyDescent="0.25">
      <c r="A472" s="4"/>
      <c r="B472" s="28" t="str">
        <f>IF(ISNUMBER(MATCH(D472, Mgt_Unit!$C$5:$C$1018, 0)), INDEX(Mgt_Unit!$B$5:$B$1018, MATCH(D472, Mgt_Unit!$C$5:$C$1018, 0)), "")</f>
        <v>jennifer.moore</v>
      </c>
      <c r="C472" s="28"/>
      <c r="D472" s="9" t="s">
        <v>831</v>
      </c>
      <c r="E472" s="47"/>
      <c r="F472" s="41" t="s">
        <v>1351</v>
      </c>
      <c r="G472" s="41"/>
      <c r="H472" s="38"/>
      <c r="I472" s="38">
        <v>3</v>
      </c>
      <c r="J472" s="38">
        <v>6.05</v>
      </c>
      <c r="K472" s="38">
        <v>0.113</v>
      </c>
      <c r="L472" s="41"/>
      <c r="M472"/>
    </row>
    <row r="473" spans="1:13" x14ac:dyDescent="0.25">
      <c r="A473" s="4"/>
      <c r="B473" s="28" t="str">
        <f>IF(ISNUMBER(MATCH(D473, Mgt_Unit!$C$5:$C$1018, 0)), INDEX(Mgt_Unit!$B$5:$B$1018, MATCH(D473, Mgt_Unit!$C$5:$C$1018, 0)), "")</f>
        <v>jennifer.moore</v>
      </c>
      <c r="C473" s="28"/>
      <c r="D473" s="9" t="s">
        <v>834</v>
      </c>
      <c r="E473" s="47"/>
      <c r="F473" s="41" t="s">
        <v>1351</v>
      </c>
      <c r="G473" s="41"/>
      <c r="H473" s="38"/>
      <c r="I473" s="38">
        <v>2.6</v>
      </c>
      <c r="J473" s="38">
        <v>6.06</v>
      </c>
      <c r="K473" s="38">
        <v>9.8900000000000002E-2</v>
      </c>
      <c r="L473" s="41"/>
      <c r="M473"/>
    </row>
    <row r="474" spans="1:13" x14ac:dyDescent="0.25">
      <c r="A474" s="4"/>
      <c r="B474" s="28" t="str">
        <f>IF(ISNUMBER(MATCH(D474, Mgt_Unit!$C$5:$C$1018, 0)), INDEX(Mgt_Unit!$B$5:$B$1018, MATCH(D474, Mgt_Unit!$C$5:$C$1018, 0)), "")</f>
        <v>jennifer.moore</v>
      </c>
      <c r="C474" s="28"/>
      <c r="D474" s="9" t="s">
        <v>828</v>
      </c>
      <c r="E474" s="47"/>
      <c r="F474" s="41" t="s">
        <v>1351</v>
      </c>
      <c r="G474" s="41"/>
      <c r="H474" s="38"/>
      <c r="I474" s="38">
        <v>2.9</v>
      </c>
      <c r="J474" s="38">
        <v>5.78</v>
      </c>
      <c r="K474" s="38">
        <v>0.12509999999999999</v>
      </c>
      <c r="L474" s="41"/>
      <c r="M474"/>
    </row>
    <row r="475" spans="1:13" x14ac:dyDescent="0.25">
      <c r="A475" s="4"/>
      <c r="B475" s="28" t="str">
        <f>IF(ISNUMBER(MATCH(D475, Mgt_Unit!$C$5:$C$1018, 0)), INDEX(Mgt_Unit!$B$5:$B$1018, MATCH(D475, Mgt_Unit!$C$5:$C$1018, 0)), "")</f>
        <v>jennifer.moore</v>
      </c>
      <c r="C475" s="28"/>
      <c r="D475" s="9" t="s">
        <v>836</v>
      </c>
      <c r="E475" s="47"/>
      <c r="F475" s="41" t="s">
        <v>1351</v>
      </c>
      <c r="G475" s="41"/>
      <c r="H475" s="38"/>
      <c r="I475" s="38">
        <v>2</v>
      </c>
      <c r="J475" s="38">
        <v>6.59</v>
      </c>
      <c r="K475" s="38">
        <v>9.01E-2</v>
      </c>
      <c r="L475" s="41"/>
      <c r="M475"/>
    </row>
    <row r="476" spans="1:13" x14ac:dyDescent="0.25">
      <c r="A476" s="4"/>
      <c r="B476" s="28" t="str">
        <f>IF(ISNUMBER(MATCH(D476, Mgt_Unit!$C$5:$C$1018, 0)), INDEX(Mgt_Unit!$B$5:$B$1018, MATCH(D476, Mgt_Unit!$C$5:$C$1018, 0)), "")</f>
        <v>jennifer.moore</v>
      </c>
      <c r="C476" s="28"/>
      <c r="D476" s="9" t="s">
        <v>835</v>
      </c>
      <c r="E476" s="47"/>
      <c r="F476" s="41" t="s">
        <v>1351</v>
      </c>
      <c r="G476" s="41"/>
      <c r="H476" s="38"/>
      <c r="I476" s="38">
        <v>2.4</v>
      </c>
      <c r="J476" s="38">
        <v>6.03</v>
      </c>
      <c r="K476" s="38">
        <v>0.16159999999999999</v>
      </c>
      <c r="L476" s="41"/>
      <c r="M476"/>
    </row>
    <row r="477" spans="1:13" x14ac:dyDescent="0.25">
      <c r="A477" s="4"/>
      <c r="B477" s="28" t="str">
        <f>IF(ISNUMBER(MATCH(D477, Mgt_Unit!$C$5:$C$1018, 0)), INDEX(Mgt_Unit!$B$5:$B$1018, MATCH(D477, Mgt_Unit!$C$5:$C$1018, 0)), "")</f>
        <v>jennifer.moore</v>
      </c>
      <c r="C477" s="28"/>
      <c r="D477" s="9" t="s">
        <v>837</v>
      </c>
      <c r="E477" s="47"/>
      <c r="F477" s="41" t="s">
        <v>1351</v>
      </c>
      <c r="G477" s="41"/>
      <c r="H477" s="38"/>
      <c r="I477" s="38">
        <v>2.1</v>
      </c>
      <c r="J477" s="38">
        <v>6.65</v>
      </c>
      <c r="K477" s="38">
        <v>0.1075</v>
      </c>
      <c r="L477" s="41"/>
      <c r="M477"/>
    </row>
    <row r="478" spans="1:13" x14ac:dyDescent="0.25">
      <c r="A478" s="4"/>
      <c r="B478" s="28" t="str">
        <f>IF(ISNUMBER(MATCH(D478, Mgt_Unit!$C$5:$C$1018, 0)), INDEX(Mgt_Unit!$B$5:$B$1018, MATCH(D478, Mgt_Unit!$C$5:$C$1018, 0)), "")</f>
        <v>jennifer.moore</v>
      </c>
      <c r="C478" s="28"/>
      <c r="D478" s="9" t="s">
        <v>838</v>
      </c>
      <c r="E478" s="47"/>
      <c r="F478" s="41" t="s">
        <v>1351</v>
      </c>
      <c r="G478" s="41"/>
      <c r="H478" s="38"/>
      <c r="I478" s="38">
        <v>2.1</v>
      </c>
      <c r="J478" s="38">
        <v>6.77</v>
      </c>
      <c r="K478" s="38">
        <v>8.6999999999999994E-2</v>
      </c>
      <c r="L478" s="41"/>
      <c r="M478"/>
    </row>
    <row r="479" spans="1:13" x14ac:dyDescent="0.25">
      <c r="A479" s="4"/>
      <c r="B479" s="28" t="str">
        <f>IF(ISNUMBER(MATCH(D479, Mgt_Unit!$C$5:$C$1018, 0)), INDEX(Mgt_Unit!$B$5:$B$1018, MATCH(D479, Mgt_Unit!$C$5:$C$1018, 0)), "")</f>
        <v>jennifer.moore</v>
      </c>
      <c r="C479" s="28"/>
      <c r="D479" s="9" t="s">
        <v>835</v>
      </c>
      <c r="E479" s="47"/>
      <c r="F479" s="41" t="s">
        <v>1351</v>
      </c>
      <c r="G479" s="41"/>
      <c r="H479" s="38"/>
      <c r="I479" s="38">
        <v>2.4</v>
      </c>
      <c r="J479" s="38">
        <v>6.34</v>
      </c>
      <c r="K479" s="38">
        <v>0.1237</v>
      </c>
      <c r="L479" s="41"/>
      <c r="M479"/>
    </row>
    <row r="480" spans="1:13" x14ac:dyDescent="0.25">
      <c r="A480" s="4"/>
      <c r="B480" s="28" t="str">
        <f>IF(ISNUMBER(MATCH(D480, Mgt_Unit!$C$5:$C$1018, 0)), INDEX(Mgt_Unit!$B$5:$B$1018, MATCH(D480, Mgt_Unit!$C$5:$C$1018, 0)), "")</f>
        <v>jennifer.moore</v>
      </c>
      <c r="C480" s="28"/>
      <c r="D480" s="9" t="s">
        <v>836</v>
      </c>
      <c r="E480" s="47"/>
      <c r="F480" s="41" t="s">
        <v>1351</v>
      </c>
      <c r="G480" s="41"/>
      <c r="H480" s="38"/>
      <c r="I480" s="38">
        <v>2.1</v>
      </c>
      <c r="J480" s="38">
        <v>7.64</v>
      </c>
      <c r="K480" s="38">
        <v>0.1694</v>
      </c>
      <c r="L480" s="41"/>
      <c r="M480"/>
    </row>
    <row r="481" spans="1:13" x14ac:dyDescent="0.25">
      <c r="A481" s="4"/>
      <c r="B481" s="28" t="str">
        <f>IF(ISNUMBER(MATCH(D481, Mgt_Unit!$C$5:$C$1018, 0)), INDEX(Mgt_Unit!$B$5:$B$1018, MATCH(D481, Mgt_Unit!$C$5:$C$1018, 0)), "")</f>
        <v>jennifer.moore</v>
      </c>
      <c r="C481" s="28"/>
      <c r="D481" s="9" t="s">
        <v>836</v>
      </c>
      <c r="E481" s="47"/>
      <c r="F481" s="41" t="s">
        <v>1351</v>
      </c>
      <c r="G481" s="41"/>
      <c r="H481" s="38"/>
      <c r="I481" s="38">
        <v>2.2999999999999998</v>
      </c>
      <c r="J481" s="38">
        <v>7.84</v>
      </c>
      <c r="K481" s="38">
        <v>0.19950000000000001</v>
      </c>
      <c r="L481" s="41"/>
      <c r="M481"/>
    </row>
    <row r="482" spans="1:13" x14ac:dyDescent="0.25">
      <c r="A482" s="4"/>
      <c r="B482" s="28" t="str">
        <f>IF(ISNUMBER(MATCH(D482, Mgt_Unit!$C$5:$C$1018, 0)), INDEX(Mgt_Unit!$B$5:$B$1018, MATCH(D482, Mgt_Unit!$C$5:$C$1018, 0)), "")</f>
        <v>jennifer.moore</v>
      </c>
      <c r="C482" s="28"/>
      <c r="D482" s="9" t="s">
        <v>835</v>
      </c>
      <c r="E482" s="47"/>
      <c r="F482" s="41" t="s">
        <v>1351</v>
      </c>
      <c r="G482" s="41"/>
      <c r="H482" s="38"/>
      <c r="I482" s="38">
        <v>2.6</v>
      </c>
      <c r="J482" s="38">
        <v>7.66</v>
      </c>
      <c r="K482" s="38">
        <v>0.23</v>
      </c>
      <c r="L482" s="41"/>
      <c r="M482"/>
    </row>
    <row r="483" spans="1:13" x14ac:dyDescent="0.25">
      <c r="A483" s="4"/>
      <c r="B483" s="28" t="str">
        <f>IF(ISNUMBER(MATCH(D483, Mgt_Unit!$C$5:$C$1018, 0)), INDEX(Mgt_Unit!$B$5:$B$1018, MATCH(D483, Mgt_Unit!$C$5:$C$1018, 0)), "")</f>
        <v>jennifer.moore</v>
      </c>
      <c r="C483" s="28"/>
      <c r="D483" s="9" t="s">
        <v>837</v>
      </c>
      <c r="E483" s="47"/>
      <c r="F483" s="41" t="s">
        <v>1351</v>
      </c>
      <c r="G483" s="41"/>
      <c r="H483" s="38"/>
      <c r="I483" s="38">
        <v>2.7</v>
      </c>
      <c r="J483" s="38">
        <v>7.99</v>
      </c>
      <c r="K483" s="38">
        <v>0.221</v>
      </c>
      <c r="L483" s="41"/>
      <c r="M483"/>
    </row>
    <row r="484" spans="1:13" x14ac:dyDescent="0.25">
      <c r="A484" s="4"/>
      <c r="B484" s="28" t="str">
        <f>IF(ISNUMBER(MATCH(D484, Mgt_Unit!$C$5:$C$1018, 0)), INDEX(Mgt_Unit!$B$5:$B$1018, MATCH(D484, Mgt_Unit!$C$5:$C$1018, 0)), "")</f>
        <v>jennifer.moore</v>
      </c>
      <c r="C484" s="28"/>
      <c r="D484" s="9" t="s">
        <v>838</v>
      </c>
      <c r="E484" s="47"/>
      <c r="F484" s="41" t="s">
        <v>1351</v>
      </c>
      <c r="G484" s="41"/>
      <c r="H484" s="38"/>
      <c r="I484" s="38">
        <v>2.6</v>
      </c>
      <c r="J484" s="38">
        <v>8.06</v>
      </c>
      <c r="K484" s="38">
        <v>0.19</v>
      </c>
      <c r="L484" s="41"/>
      <c r="M484"/>
    </row>
    <row r="485" spans="1:13" x14ac:dyDescent="0.25">
      <c r="A485" s="4"/>
      <c r="B485" s="28" t="str">
        <f>IF(ISNUMBER(MATCH(D485, Mgt_Unit!$C$5:$C$1018, 0)), INDEX(Mgt_Unit!$B$5:$B$1018, MATCH(D485, Mgt_Unit!$C$5:$C$1018, 0)), "")</f>
        <v>jennifer.moore</v>
      </c>
      <c r="C485" s="28"/>
      <c r="D485" s="9" t="s">
        <v>837</v>
      </c>
      <c r="E485" s="47"/>
      <c r="F485" s="41" t="s">
        <v>1351</v>
      </c>
      <c r="G485" s="41"/>
      <c r="H485" s="38"/>
      <c r="I485" s="38">
        <v>2.7</v>
      </c>
      <c r="J485" s="38">
        <v>7.89</v>
      </c>
      <c r="K485" s="38">
        <v>0.192</v>
      </c>
      <c r="L485" s="41"/>
      <c r="M485"/>
    </row>
    <row r="486" spans="1:13" x14ac:dyDescent="0.25">
      <c r="A486" s="4"/>
      <c r="B486" s="28" t="str">
        <f>IF(ISNUMBER(MATCH(D486, Mgt_Unit!$C$5:$C$1018, 0)), INDEX(Mgt_Unit!$B$5:$B$1018, MATCH(D486, Mgt_Unit!$C$5:$C$1018, 0)), "")</f>
        <v>jennifer.moore</v>
      </c>
      <c r="C486" s="28"/>
      <c r="D486" s="9" t="s">
        <v>838</v>
      </c>
      <c r="E486" s="47"/>
      <c r="F486" s="41" t="s">
        <v>1351</v>
      </c>
      <c r="G486" s="41"/>
      <c r="H486" s="38"/>
      <c r="I486" s="38">
        <v>2.7</v>
      </c>
      <c r="J486" s="38">
        <v>7.81</v>
      </c>
      <c r="K486" s="38">
        <v>0.189</v>
      </c>
      <c r="L486" s="41"/>
      <c r="M486"/>
    </row>
    <row r="487" spans="1:13" x14ac:dyDescent="0.25">
      <c r="A487" s="4"/>
      <c r="B487" s="28" t="str">
        <f>IF(ISNUMBER(MATCH(D487, Mgt_Unit!$C$5:$C$1018, 0)), INDEX(Mgt_Unit!$B$5:$B$1018, MATCH(D487, Mgt_Unit!$C$5:$C$1018, 0)), "")</f>
        <v>jennifer.moore</v>
      </c>
      <c r="C487" s="28"/>
      <c r="D487" s="9" t="s">
        <v>1306</v>
      </c>
      <c r="E487" s="47"/>
      <c r="F487" s="41" t="s">
        <v>1351</v>
      </c>
      <c r="G487" s="41"/>
      <c r="H487" s="38"/>
      <c r="I487" s="38">
        <v>2.1</v>
      </c>
      <c r="J487" s="38">
        <v>6.8</v>
      </c>
      <c r="K487" s="38">
        <v>6.7400000000000002E-2</v>
      </c>
      <c r="L487" s="41"/>
      <c r="M487"/>
    </row>
    <row r="488" spans="1:13" x14ac:dyDescent="0.25">
      <c r="A488" s="4"/>
      <c r="B488" s="28" t="str">
        <f>IF(ISNUMBER(MATCH(D488, Mgt_Unit!$C$5:$C$1018, 0)), INDEX(Mgt_Unit!$B$5:$B$1018, MATCH(D488, Mgt_Unit!$C$5:$C$1018, 0)), "")</f>
        <v>jennifer.moore</v>
      </c>
      <c r="C488" s="28"/>
      <c r="D488" s="9" t="s">
        <v>1307</v>
      </c>
      <c r="E488" s="47"/>
      <c r="F488" s="41" t="s">
        <v>1351</v>
      </c>
      <c r="G488" s="41"/>
      <c r="H488" s="38"/>
      <c r="I488" s="38">
        <v>1.9</v>
      </c>
      <c r="J488" s="38">
        <v>6.28</v>
      </c>
      <c r="K488" s="38">
        <v>5.67E-2</v>
      </c>
      <c r="L488" s="41"/>
      <c r="M488"/>
    </row>
    <row r="489" spans="1:13" x14ac:dyDescent="0.25">
      <c r="A489" s="4"/>
      <c r="B489" s="28" t="str">
        <f>IF(ISNUMBER(MATCH(D489, Mgt_Unit!$C$5:$C$1018, 0)), INDEX(Mgt_Unit!$B$5:$B$1018, MATCH(D489, Mgt_Unit!$C$5:$C$1018, 0)), "")</f>
        <v>jennifer.moore</v>
      </c>
      <c r="C489" s="28"/>
      <c r="D489" s="9" t="s">
        <v>1308</v>
      </c>
      <c r="E489" s="47"/>
      <c r="F489" s="41" t="s">
        <v>1351</v>
      </c>
      <c r="G489" s="41"/>
      <c r="H489" s="38"/>
      <c r="I489" s="38">
        <v>2.1</v>
      </c>
      <c r="J489" s="38">
        <v>5.92</v>
      </c>
      <c r="K489" s="38">
        <v>5.9200000000000003E-2</v>
      </c>
      <c r="L489" s="41"/>
      <c r="M489"/>
    </row>
    <row r="490" spans="1:13" x14ac:dyDescent="0.25">
      <c r="A490" s="4"/>
      <c r="B490" s="28" t="str">
        <f>IF(ISNUMBER(MATCH(D490, Mgt_Unit!$C$5:$C$1018, 0)), INDEX(Mgt_Unit!$B$5:$B$1018, MATCH(D490, Mgt_Unit!$C$5:$C$1018, 0)), "")</f>
        <v>jennifer.moore</v>
      </c>
      <c r="C490" s="28"/>
      <c r="D490" s="9" t="s">
        <v>1309</v>
      </c>
      <c r="E490" s="47"/>
      <c r="F490" s="41" t="s">
        <v>1351</v>
      </c>
      <c r="G490" s="41"/>
      <c r="H490" s="38"/>
      <c r="I490" s="38">
        <v>3.3</v>
      </c>
      <c r="J490" s="38">
        <v>6.45</v>
      </c>
      <c r="K490" s="38">
        <v>6.0400000000000002E-2</v>
      </c>
      <c r="L490" s="41"/>
      <c r="M490"/>
    </row>
    <row r="491" spans="1:13" x14ac:dyDescent="0.25">
      <c r="A491" s="4"/>
      <c r="B491" s="28" t="str">
        <f>IF(ISNUMBER(MATCH(D491, Mgt_Unit!$C$5:$C$1018, 0)), INDEX(Mgt_Unit!$B$5:$B$1018, MATCH(D491, Mgt_Unit!$C$5:$C$1018, 0)), "")</f>
        <v>jennifer.moore</v>
      </c>
      <c r="C491" s="28"/>
      <c r="D491" s="9" t="s">
        <v>840</v>
      </c>
      <c r="E491" s="47"/>
      <c r="F491" s="41" t="s">
        <v>1351</v>
      </c>
      <c r="G491" s="41"/>
      <c r="H491" s="38"/>
      <c r="I491" s="38">
        <v>1.9</v>
      </c>
      <c r="J491" s="38">
        <v>6.17</v>
      </c>
      <c r="K491" s="38">
        <v>0.08</v>
      </c>
      <c r="L491" s="41"/>
      <c r="M491"/>
    </row>
    <row r="492" spans="1:13" x14ac:dyDescent="0.25">
      <c r="A492" s="4"/>
      <c r="B492" s="28" t="str">
        <f>IF(ISNUMBER(MATCH(D492, Mgt_Unit!$C$5:$C$1018, 0)), INDEX(Mgt_Unit!$B$5:$B$1018, MATCH(D492, Mgt_Unit!$C$5:$C$1018, 0)), "")</f>
        <v>jennifer.moore</v>
      </c>
      <c r="C492" s="28"/>
      <c r="D492" s="9" t="s">
        <v>840</v>
      </c>
      <c r="E492" s="47"/>
      <c r="F492" s="41" t="s">
        <v>1351</v>
      </c>
      <c r="G492" s="41"/>
      <c r="H492" s="38"/>
      <c r="I492" s="38">
        <v>2</v>
      </c>
      <c r="J492" s="38">
        <v>6.03</v>
      </c>
      <c r="K492" s="38">
        <v>8.4000000000000005E-2</v>
      </c>
      <c r="L492" s="41"/>
      <c r="M492"/>
    </row>
    <row r="493" spans="1:13" x14ac:dyDescent="0.25">
      <c r="A493" s="4"/>
      <c r="B493" s="28" t="str">
        <f>IF(ISNUMBER(MATCH(D493, Mgt_Unit!$C$5:$C$1018, 0)), INDEX(Mgt_Unit!$B$5:$B$1018, MATCH(D493, Mgt_Unit!$C$5:$C$1018, 0)), "")</f>
        <v>jennifer.moore</v>
      </c>
      <c r="C493" s="28"/>
      <c r="D493" s="9" t="s">
        <v>840</v>
      </c>
      <c r="E493" s="47"/>
      <c r="F493" s="41" t="s">
        <v>1351</v>
      </c>
      <c r="G493" s="41"/>
      <c r="H493" s="38"/>
      <c r="I493" s="38">
        <v>1.8</v>
      </c>
      <c r="J493" s="38">
        <v>6.06</v>
      </c>
      <c r="K493" s="38">
        <v>8.8999999999999996E-2</v>
      </c>
      <c r="L493" s="41"/>
      <c r="M493"/>
    </row>
    <row r="494" spans="1:13" x14ac:dyDescent="0.25">
      <c r="A494" s="4"/>
      <c r="B494" s="28" t="str">
        <f>IF(ISNUMBER(MATCH(D494, Mgt_Unit!$C$5:$C$1018, 0)), INDEX(Mgt_Unit!$B$5:$B$1018, MATCH(D494, Mgt_Unit!$C$5:$C$1018, 0)), "")</f>
        <v>jennifer.moore</v>
      </c>
      <c r="C494" s="28"/>
      <c r="D494" s="9" t="s">
        <v>840</v>
      </c>
      <c r="E494" s="47"/>
      <c r="F494" s="41" t="s">
        <v>1351</v>
      </c>
      <c r="G494" s="41"/>
      <c r="H494" s="38"/>
      <c r="I494" s="38">
        <v>1.8</v>
      </c>
      <c r="J494" s="38">
        <v>5.68</v>
      </c>
      <c r="K494" s="38">
        <v>8.2500000000000004E-2</v>
      </c>
      <c r="L494" s="41"/>
      <c r="M494"/>
    </row>
    <row r="495" spans="1:13" x14ac:dyDescent="0.25">
      <c r="A495" s="4"/>
      <c r="B495" s="28" t="str">
        <f>IF(ISNUMBER(MATCH(D495, Mgt_Unit!$C$5:$C$1018, 0)), INDEX(Mgt_Unit!$B$5:$B$1018, MATCH(D495, Mgt_Unit!$C$5:$C$1018, 0)), "")</f>
        <v>jennifer.moore</v>
      </c>
      <c r="C495" s="28"/>
      <c r="D495" s="9" t="s">
        <v>840</v>
      </c>
      <c r="E495" s="47"/>
      <c r="F495" s="41" t="s">
        <v>1351</v>
      </c>
      <c r="G495" s="41"/>
      <c r="H495" s="38"/>
      <c r="I495" s="38">
        <v>1.6</v>
      </c>
      <c r="J495" s="38">
        <v>5.62</v>
      </c>
      <c r="K495" s="38">
        <v>6.7100000000000007E-2</v>
      </c>
      <c r="L495" s="41"/>
      <c r="M495"/>
    </row>
    <row r="496" spans="1:13" x14ac:dyDescent="0.25">
      <c r="A496" s="4"/>
      <c r="B496" s="28" t="str">
        <f>IF(ISNUMBER(MATCH(D496, Mgt_Unit!$C$5:$C$1018, 0)), INDEX(Mgt_Unit!$B$5:$B$1018, MATCH(D496, Mgt_Unit!$C$5:$C$1018, 0)), "")</f>
        <v>jennifer.moore</v>
      </c>
      <c r="C496" s="28"/>
      <c r="D496" s="9" t="s">
        <v>839</v>
      </c>
      <c r="E496" s="47"/>
      <c r="F496" s="41" t="s">
        <v>1351</v>
      </c>
      <c r="G496" s="41"/>
      <c r="H496" s="38"/>
      <c r="I496" s="38">
        <v>1.6</v>
      </c>
      <c r="J496" s="38">
        <v>5.97</v>
      </c>
      <c r="K496" s="38">
        <v>6.7299999999999999E-2</v>
      </c>
      <c r="L496" s="41"/>
      <c r="M496"/>
    </row>
    <row r="497" spans="1:13" x14ac:dyDescent="0.25">
      <c r="A497" s="4"/>
      <c r="B497" s="28" t="str">
        <f>IF(ISNUMBER(MATCH(D497, Mgt_Unit!$C$5:$C$1018, 0)), INDEX(Mgt_Unit!$B$5:$B$1018, MATCH(D497, Mgt_Unit!$C$5:$C$1018, 0)), "")</f>
        <v>jennifer.moore</v>
      </c>
      <c r="C497" s="28"/>
      <c r="D497" s="9" t="s">
        <v>839</v>
      </c>
      <c r="E497" s="47"/>
      <c r="F497" s="41" t="s">
        <v>1351</v>
      </c>
      <c r="G497" s="41"/>
      <c r="H497" s="38"/>
      <c r="I497" s="38">
        <v>1.9</v>
      </c>
      <c r="J497" s="38">
        <v>5.75</v>
      </c>
      <c r="K497" s="38">
        <v>6.2899999999999998E-2</v>
      </c>
      <c r="L497" s="41"/>
      <c r="M497"/>
    </row>
    <row r="498" spans="1:13" x14ac:dyDescent="0.25">
      <c r="A498" s="4"/>
      <c r="B498" s="28" t="str">
        <f>IF(ISNUMBER(MATCH(D498, Mgt_Unit!$C$5:$C$1018, 0)), INDEX(Mgt_Unit!$B$5:$B$1018, MATCH(D498, Mgt_Unit!$C$5:$C$1018, 0)), "")</f>
        <v>jennifer.moore</v>
      </c>
      <c r="C498" s="28"/>
      <c r="D498" s="9" t="s">
        <v>839</v>
      </c>
      <c r="E498" s="47"/>
      <c r="F498" s="41" t="s">
        <v>1351</v>
      </c>
      <c r="G498" s="41"/>
      <c r="H498" s="38"/>
      <c r="I498" s="38">
        <v>1.8</v>
      </c>
      <c r="J498" s="38">
        <v>5.87</v>
      </c>
      <c r="K498" s="38">
        <v>6.13E-2</v>
      </c>
      <c r="L498" s="41"/>
      <c r="M498"/>
    </row>
    <row r="499" spans="1:13" x14ac:dyDescent="0.25">
      <c r="A499" s="4"/>
      <c r="B499" s="28" t="str">
        <f>IF(ISNUMBER(MATCH(D499, Mgt_Unit!$C$5:$C$1018, 0)), INDEX(Mgt_Unit!$B$5:$B$1018, MATCH(D499, Mgt_Unit!$C$5:$C$1018, 0)), "")</f>
        <v>jennifer.moore</v>
      </c>
      <c r="C499" s="28"/>
      <c r="D499" s="9" t="s">
        <v>839</v>
      </c>
      <c r="E499" s="47"/>
      <c r="F499" s="41" t="s">
        <v>1351</v>
      </c>
      <c r="G499" s="41"/>
      <c r="H499" s="38"/>
      <c r="I499" s="38">
        <v>1.6</v>
      </c>
      <c r="J499" s="38">
        <v>5.81</v>
      </c>
      <c r="K499" s="38">
        <v>7.1199999999999999E-2</v>
      </c>
      <c r="L499" s="41"/>
      <c r="M499"/>
    </row>
    <row r="500" spans="1:13" x14ac:dyDescent="0.25">
      <c r="A500" s="4"/>
      <c r="B500" s="28" t="str">
        <f>IF(ISNUMBER(MATCH(D500, Mgt_Unit!$C$5:$C$1018, 0)), INDEX(Mgt_Unit!$B$5:$B$1018, MATCH(D500, Mgt_Unit!$C$5:$C$1018, 0)), "")</f>
        <v>jennifer.moore</v>
      </c>
      <c r="C500" s="28"/>
      <c r="D500" s="9" t="s">
        <v>839</v>
      </c>
      <c r="E500" s="47"/>
      <c r="F500" s="41" t="s">
        <v>1351</v>
      </c>
      <c r="G500" s="41"/>
      <c r="H500" s="38"/>
      <c r="I500" s="38">
        <v>1.5</v>
      </c>
      <c r="J500" s="38">
        <v>5.19</v>
      </c>
      <c r="K500" s="38">
        <v>5.3800000000000001E-2</v>
      </c>
      <c r="L500" s="41"/>
      <c r="M500"/>
    </row>
    <row r="501" spans="1:13" x14ac:dyDescent="0.25">
      <c r="A501" s="4"/>
      <c r="B501" s="28" t="str">
        <f>IF(ISNUMBER(MATCH(D501, Mgt_Unit!$C$5:$C$1018, 0)), INDEX(Mgt_Unit!$B$5:$B$1018, MATCH(D501, Mgt_Unit!$C$5:$C$1018, 0)), "")</f>
        <v>jennifer.moore</v>
      </c>
      <c r="C501" s="28"/>
      <c r="D501" s="9" t="s">
        <v>842</v>
      </c>
      <c r="E501" s="47"/>
      <c r="F501" s="41" t="s">
        <v>1351</v>
      </c>
      <c r="G501" s="41"/>
      <c r="H501" s="38"/>
      <c r="I501" s="38">
        <v>1.3</v>
      </c>
      <c r="J501" s="38">
        <v>5.97</v>
      </c>
      <c r="K501" s="38">
        <v>4.6899999999999997E-2</v>
      </c>
      <c r="L501" s="41"/>
      <c r="M501"/>
    </row>
    <row r="502" spans="1:13" x14ac:dyDescent="0.25">
      <c r="A502" s="4"/>
      <c r="B502" s="28" t="str">
        <f>IF(ISNUMBER(MATCH(D502, Mgt_Unit!$C$5:$C$1018, 0)), INDEX(Mgt_Unit!$B$5:$B$1018, MATCH(D502, Mgt_Unit!$C$5:$C$1018, 0)), "")</f>
        <v>jennifer.moore</v>
      </c>
      <c r="C502" s="28"/>
      <c r="D502" s="9" t="s">
        <v>841</v>
      </c>
      <c r="E502" s="47"/>
      <c r="F502" s="41" t="s">
        <v>1351</v>
      </c>
      <c r="G502" s="41"/>
      <c r="H502" s="38"/>
      <c r="I502" s="38">
        <v>1.2</v>
      </c>
      <c r="J502" s="38">
        <v>5.7</v>
      </c>
      <c r="K502" s="38">
        <v>3.8800000000000001E-2</v>
      </c>
      <c r="L502" s="41"/>
      <c r="M502"/>
    </row>
    <row r="503" spans="1:13" x14ac:dyDescent="0.25">
      <c r="A503" s="4"/>
      <c r="B503" s="28" t="str">
        <f>IF(ISNUMBER(MATCH(D503, Mgt_Unit!$C$5:$C$1018, 0)), INDEX(Mgt_Unit!$B$5:$B$1018, MATCH(D503, Mgt_Unit!$C$5:$C$1018, 0)), "")</f>
        <v>jennifer.moore</v>
      </c>
      <c r="C503" s="28"/>
      <c r="D503" s="9" t="s">
        <v>842</v>
      </c>
      <c r="E503" s="47"/>
      <c r="F503" s="41" t="s">
        <v>1351</v>
      </c>
      <c r="G503" s="41"/>
      <c r="H503" s="38"/>
      <c r="I503" s="38">
        <v>1.2</v>
      </c>
      <c r="J503" s="38">
        <v>5.5</v>
      </c>
      <c r="K503" s="38">
        <v>4.0500000000000001E-2</v>
      </c>
      <c r="L503" s="41"/>
      <c r="M503"/>
    </row>
    <row r="504" spans="1:13" x14ac:dyDescent="0.25">
      <c r="A504" s="4"/>
      <c r="B504" s="28" t="str">
        <f>IF(ISNUMBER(MATCH(D504, Mgt_Unit!$C$5:$C$1018, 0)), INDEX(Mgt_Unit!$B$5:$B$1018, MATCH(D504, Mgt_Unit!$C$5:$C$1018, 0)), "")</f>
        <v>jennifer.moore</v>
      </c>
      <c r="C504" s="28"/>
      <c r="D504" s="9" t="s">
        <v>841</v>
      </c>
      <c r="E504" s="47"/>
      <c r="F504" s="41" t="s">
        <v>1351</v>
      </c>
      <c r="G504" s="41"/>
      <c r="H504" s="38"/>
      <c r="I504" s="38">
        <v>1.5</v>
      </c>
      <c r="J504" s="38">
        <v>5.52</v>
      </c>
      <c r="K504" s="38">
        <v>4.7500000000000001E-2</v>
      </c>
      <c r="L504" s="41"/>
      <c r="M504"/>
    </row>
    <row r="505" spans="1:13" x14ac:dyDescent="0.25">
      <c r="A505" s="4"/>
      <c r="B505" s="28" t="str">
        <f>IF(ISNUMBER(MATCH(D505, Mgt_Unit!$C$5:$C$1018, 0)), INDEX(Mgt_Unit!$B$5:$B$1018, MATCH(D505, Mgt_Unit!$C$5:$C$1018, 0)), "")</f>
        <v>jennifer.moore</v>
      </c>
      <c r="C505" s="28"/>
      <c r="D505" s="9" t="s">
        <v>843</v>
      </c>
      <c r="E505" s="47"/>
      <c r="F505" s="41" t="s">
        <v>1351</v>
      </c>
      <c r="G505" s="41"/>
      <c r="H505" s="38"/>
      <c r="I505" s="38">
        <v>1.8</v>
      </c>
      <c r="J505" s="38">
        <v>5.43</v>
      </c>
      <c r="K505" s="38">
        <v>8.1699999999999995E-2</v>
      </c>
      <c r="L505" s="41"/>
    </row>
    <row r="506" spans="1:13" x14ac:dyDescent="0.25">
      <c r="A506" s="4"/>
      <c r="B506" s="28" t="str">
        <f>IF(ISNUMBER(MATCH(D506, Mgt_Unit!$C$5:$C$1018, 0)), INDEX(Mgt_Unit!$B$5:$B$1018, MATCH(D506, Mgt_Unit!$C$5:$C$1018, 0)), "")</f>
        <v>jennifer.moore</v>
      </c>
      <c r="C506" s="28"/>
      <c r="D506" s="9" t="s">
        <v>843</v>
      </c>
      <c r="E506" s="47"/>
      <c r="F506" s="41" t="s">
        <v>1351</v>
      </c>
      <c r="G506" s="41"/>
      <c r="H506" s="38"/>
      <c r="I506" s="38">
        <v>2</v>
      </c>
      <c r="J506" s="38">
        <v>5.44</v>
      </c>
      <c r="K506" s="38">
        <v>9.3299999999999994E-2</v>
      </c>
      <c r="L506" s="41"/>
    </row>
    <row r="507" spans="1:13" x14ac:dyDescent="0.25">
      <c r="A507" s="4"/>
      <c r="B507" s="28" t="str">
        <f>IF(ISNUMBER(MATCH(D507, Mgt_Unit!$C$5:$C$1018, 0)), INDEX(Mgt_Unit!$B$5:$B$1018, MATCH(D507, Mgt_Unit!$C$5:$C$1018, 0)), "")</f>
        <v>jennifer.moore</v>
      </c>
      <c r="C507" s="28"/>
      <c r="D507" s="9" t="s">
        <v>843</v>
      </c>
      <c r="E507" s="47"/>
      <c r="F507" s="41" t="s">
        <v>1351</v>
      </c>
      <c r="G507" s="41"/>
      <c r="H507" s="38"/>
      <c r="I507" s="38">
        <v>1.8</v>
      </c>
      <c r="J507" s="38">
        <v>5.48</v>
      </c>
      <c r="K507" s="38">
        <v>8.1900000000000001E-2</v>
      </c>
      <c r="L507" s="41"/>
    </row>
    <row r="508" spans="1:13" x14ac:dyDescent="0.25">
      <c r="A508" s="4"/>
      <c r="B508" s="28" t="str">
        <f>IF(ISNUMBER(MATCH(D508, Mgt_Unit!$C$5:$C$1018, 0)), INDEX(Mgt_Unit!$B$5:$B$1018, MATCH(D508, Mgt_Unit!$C$5:$C$1018, 0)), "")</f>
        <v>jennifer.moore</v>
      </c>
      <c r="C508" s="28"/>
      <c r="D508" s="9" t="s">
        <v>844</v>
      </c>
      <c r="E508" s="47"/>
      <c r="F508" s="41" t="s">
        <v>1351</v>
      </c>
      <c r="G508" s="41"/>
      <c r="H508" s="38"/>
      <c r="I508" s="38">
        <v>1.7</v>
      </c>
      <c r="J508" s="38">
        <v>5.16</v>
      </c>
      <c r="K508" s="38">
        <v>8.3199999999999996E-2</v>
      </c>
      <c r="L508" s="41"/>
    </row>
    <row r="509" spans="1:13" x14ac:dyDescent="0.25">
      <c r="A509" s="4"/>
      <c r="B509" s="28" t="str">
        <f>IF(ISNUMBER(MATCH(D509, Mgt_Unit!$C$5:$C$1018, 0)), INDEX(Mgt_Unit!$B$5:$B$1018, MATCH(D509, Mgt_Unit!$C$5:$C$1018, 0)), "")</f>
        <v>jennifer.moore</v>
      </c>
      <c r="C509" s="28"/>
      <c r="D509" s="9" t="s">
        <v>844</v>
      </c>
      <c r="E509" s="47"/>
      <c r="F509" s="41" t="s">
        <v>1351</v>
      </c>
      <c r="G509" s="41"/>
      <c r="H509" s="38"/>
      <c r="I509" s="38">
        <v>1.7</v>
      </c>
      <c r="J509" s="38">
        <v>5.63</v>
      </c>
      <c r="K509" s="38">
        <v>8.3500000000000005E-2</v>
      </c>
      <c r="L509" s="41"/>
    </row>
    <row r="510" spans="1:13" x14ac:dyDescent="0.25">
      <c r="A510" s="4"/>
      <c r="B510" s="28" t="str">
        <f>IF(ISNUMBER(MATCH(D510, Mgt_Unit!$C$5:$C$1018, 0)), INDEX(Mgt_Unit!$B$5:$B$1018, MATCH(D510, Mgt_Unit!$C$5:$C$1018, 0)), "")</f>
        <v>jennifer.moore</v>
      </c>
      <c r="C510" s="28"/>
      <c r="D510" s="9" t="s">
        <v>844</v>
      </c>
      <c r="E510" s="47"/>
      <c r="F510" s="41" t="s">
        <v>1351</v>
      </c>
      <c r="G510" s="41"/>
      <c r="H510" s="38"/>
      <c r="I510" s="38">
        <v>1.9</v>
      </c>
      <c r="J510" s="38">
        <v>5.51</v>
      </c>
      <c r="K510" s="38">
        <v>7.5200000000000003E-2</v>
      </c>
      <c r="L510" s="41"/>
    </row>
    <row r="511" spans="1:13" x14ac:dyDescent="0.25">
      <c r="A511" s="4"/>
      <c r="B511" s="28" t="str">
        <f>IF(ISNUMBER(MATCH(D511, Mgt_Unit!$C$5:$C$1018, 0)), INDEX(Mgt_Unit!$B$5:$B$1018, MATCH(D511, Mgt_Unit!$C$5:$C$1018, 0)), "")</f>
        <v>jennifer.moore</v>
      </c>
      <c r="C511" s="28"/>
      <c r="D511" s="9" t="s">
        <v>846</v>
      </c>
      <c r="E511" s="47"/>
      <c r="F511" s="41" t="s">
        <v>1351</v>
      </c>
      <c r="G511" s="41"/>
      <c r="H511" s="38"/>
      <c r="I511" s="38">
        <v>1.6</v>
      </c>
      <c r="J511" s="38">
        <v>6.68</v>
      </c>
      <c r="K511" s="38">
        <v>0.122</v>
      </c>
      <c r="L511" s="41"/>
    </row>
    <row r="512" spans="1:13" x14ac:dyDescent="0.25">
      <c r="A512" s="4"/>
      <c r="B512" s="28" t="str">
        <f>IF(ISNUMBER(MATCH(D512, Mgt_Unit!$C$5:$C$1018, 0)), INDEX(Mgt_Unit!$B$5:$B$1018, MATCH(D512, Mgt_Unit!$C$5:$C$1018, 0)), "")</f>
        <v>jennifer.moore</v>
      </c>
      <c r="C512" s="28"/>
      <c r="D512" s="9" t="s">
        <v>845</v>
      </c>
      <c r="E512" s="47"/>
      <c r="F512" s="41" t="s">
        <v>1351</v>
      </c>
      <c r="G512" s="41"/>
      <c r="H512" s="38"/>
      <c r="I512" s="38">
        <v>0.9</v>
      </c>
      <c r="J512" s="38">
        <v>6.57</v>
      </c>
      <c r="K512" s="38">
        <v>8.5300000000000001E-2</v>
      </c>
      <c r="L512" s="41"/>
    </row>
    <row r="513" spans="1:12" x14ac:dyDescent="0.25">
      <c r="A513" s="4"/>
      <c r="B513" s="28" t="str">
        <f>IF(ISNUMBER(MATCH(D513, Mgt_Unit!$C$5:$C$1018, 0)), INDEX(Mgt_Unit!$B$5:$B$1018, MATCH(D513, Mgt_Unit!$C$5:$C$1018, 0)), "")</f>
        <v>jennifer.moore</v>
      </c>
      <c r="C513" s="28"/>
      <c r="D513" s="9" t="s">
        <v>1310</v>
      </c>
      <c r="E513" s="47"/>
      <c r="F513" s="41" t="s">
        <v>1351</v>
      </c>
      <c r="G513" s="41"/>
      <c r="H513" s="38"/>
      <c r="I513" s="38">
        <v>4.9000000000000004</v>
      </c>
      <c r="J513" s="38">
        <v>6.26</v>
      </c>
      <c r="K513" s="38">
        <v>0.107</v>
      </c>
      <c r="L513" s="41"/>
    </row>
    <row r="514" spans="1:12" x14ac:dyDescent="0.25">
      <c r="A514" s="4"/>
      <c r="B514" s="28" t="str">
        <f>IF(ISNUMBER(MATCH(D514, Mgt_Unit!$C$5:$C$1018, 0)), INDEX(Mgt_Unit!$B$5:$B$1018, MATCH(D514, Mgt_Unit!$C$5:$C$1018, 0)), "")</f>
        <v>jennifer.moore</v>
      </c>
      <c r="C514" s="28"/>
      <c r="D514" s="9" t="s">
        <v>1310</v>
      </c>
      <c r="E514" s="47"/>
      <c r="F514" s="41" t="s">
        <v>1351</v>
      </c>
      <c r="G514" s="41"/>
      <c r="H514" s="38"/>
      <c r="I514" s="38">
        <v>4</v>
      </c>
      <c r="J514" s="38">
        <v>6.49</v>
      </c>
      <c r="K514" s="38">
        <v>7.8299999999999995E-2</v>
      </c>
      <c r="L514" s="41"/>
    </row>
    <row r="515" spans="1:12" x14ac:dyDescent="0.25">
      <c r="A515" s="4"/>
      <c r="B515" s="28" t="str">
        <f>IF(ISNUMBER(MATCH(D515, Mgt_Unit!$C$5:$C$1018, 0)), INDEX(Mgt_Unit!$B$5:$B$1018, MATCH(D515, Mgt_Unit!$C$5:$C$1018, 0)), "")</f>
        <v>jennifer.moore</v>
      </c>
      <c r="C515" s="28"/>
      <c r="D515" s="9" t="s">
        <v>1310</v>
      </c>
      <c r="E515" s="47"/>
      <c r="F515" s="41" t="s">
        <v>1351</v>
      </c>
      <c r="G515" s="41"/>
      <c r="H515" s="38"/>
      <c r="I515" s="38">
        <v>4.5</v>
      </c>
      <c r="J515" s="38">
        <v>6.51</v>
      </c>
      <c r="K515" s="38">
        <v>7.6399999999999996E-2</v>
      </c>
      <c r="L515" s="41"/>
    </row>
    <row r="516" spans="1:12" x14ac:dyDescent="0.25">
      <c r="A516" s="4"/>
      <c r="B516" s="28" t="str">
        <f>IF(ISNUMBER(MATCH(D516, Mgt_Unit!$C$5:$C$1018, 0)), INDEX(Mgt_Unit!$B$5:$B$1018, MATCH(D516, Mgt_Unit!$C$5:$C$1018, 0)), "")</f>
        <v>jennifer.moore</v>
      </c>
      <c r="C516" s="28"/>
      <c r="D516" s="9" t="s">
        <v>847</v>
      </c>
      <c r="E516" s="47"/>
      <c r="F516" s="41" t="s">
        <v>1351</v>
      </c>
      <c r="G516" s="41"/>
      <c r="H516" s="38"/>
      <c r="I516" s="38">
        <v>3.7</v>
      </c>
      <c r="J516" s="38">
        <v>6.29</v>
      </c>
      <c r="K516" s="38">
        <v>6.4600000000000005E-2</v>
      </c>
      <c r="L516" s="41"/>
    </row>
    <row r="517" spans="1:12" x14ac:dyDescent="0.25">
      <c r="A517" s="4"/>
      <c r="B517" s="28" t="str">
        <f>IF(ISNUMBER(MATCH(D517, Mgt_Unit!$C$5:$C$1018, 0)), INDEX(Mgt_Unit!$B$5:$B$1018, MATCH(D517, Mgt_Unit!$C$5:$C$1018, 0)), "")</f>
        <v>jennifer.moore</v>
      </c>
      <c r="C517" s="28"/>
      <c r="D517" s="9" t="s">
        <v>847</v>
      </c>
      <c r="E517" s="47"/>
      <c r="F517" s="41" t="s">
        <v>1351</v>
      </c>
      <c r="G517" s="41"/>
      <c r="H517" s="38"/>
      <c r="I517" s="38">
        <v>3.7</v>
      </c>
      <c r="J517" s="38">
        <v>6.31</v>
      </c>
      <c r="K517" s="38">
        <v>7.4899999999999994E-2</v>
      </c>
      <c r="L517" s="41"/>
    </row>
    <row r="518" spans="1:12" x14ac:dyDescent="0.25">
      <c r="A518" s="4"/>
      <c r="B518" s="28" t="str">
        <f>IF(ISNUMBER(MATCH(D518, Mgt_Unit!$C$5:$C$1018, 0)), INDEX(Mgt_Unit!$B$5:$B$1018, MATCH(D518, Mgt_Unit!$C$5:$C$1018, 0)), "")</f>
        <v>jennifer.moore</v>
      </c>
      <c r="C518" s="28"/>
      <c r="D518" s="9" t="s">
        <v>847</v>
      </c>
      <c r="E518" s="47"/>
      <c r="F518" s="41" t="s">
        <v>1351</v>
      </c>
      <c r="G518" s="41"/>
      <c r="H518" s="38"/>
      <c r="I518" s="38">
        <v>4.0999999999999996</v>
      </c>
      <c r="J518" s="38">
        <v>5.66</v>
      </c>
      <c r="K518" s="38">
        <v>5.8200000000000002E-2</v>
      </c>
      <c r="L518" s="41"/>
    </row>
    <row r="519" spans="1:12" x14ac:dyDescent="0.25">
      <c r="A519" s="4"/>
      <c r="B519" s="28" t="str">
        <f>IF(ISNUMBER(MATCH(D519, Mgt_Unit!$C$5:$C$1018, 0)), INDEX(Mgt_Unit!$B$5:$B$1018, MATCH(D519, Mgt_Unit!$C$5:$C$1018, 0)), "")</f>
        <v>jennifer.moore</v>
      </c>
      <c r="C519" s="28"/>
      <c r="D519" s="9" t="s">
        <v>848</v>
      </c>
      <c r="E519" s="47"/>
      <c r="F519" s="41" t="s">
        <v>1351</v>
      </c>
      <c r="G519" s="41"/>
      <c r="H519" s="38"/>
      <c r="I519" s="38">
        <v>4.4000000000000004</v>
      </c>
      <c r="J519" s="38">
        <v>6.16</v>
      </c>
      <c r="K519" s="38">
        <v>8.5900000000000004E-2</v>
      </c>
      <c r="L519" s="41"/>
    </row>
    <row r="520" spans="1:12" x14ac:dyDescent="0.25">
      <c r="A520" s="4"/>
      <c r="B520" s="28" t="str">
        <f>IF(ISNUMBER(MATCH(D520, Mgt_Unit!$C$5:$C$1018, 0)), INDEX(Mgt_Unit!$B$5:$B$1018, MATCH(D520, Mgt_Unit!$C$5:$C$1018, 0)), "")</f>
        <v>jennifer.moore</v>
      </c>
      <c r="C520" s="28"/>
      <c r="D520" s="9" t="s">
        <v>848</v>
      </c>
      <c r="E520" s="47"/>
      <c r="F520" s="41" t="s">
        <v>1351</v>
      </c>
      <c r="G520" s="41"/>
      <c r="H520" s="38"/>
      <c r="I520" s="38">
        <v>4.5999999999999996</v>
      </c>
      <c r="J520" s="38">
        <v>5.97</v>
      </c>
      <c r="K520" s="38">
        <v>8.1100000000000005E-2</v>
      </c>
      <c r="L520" s="41"/>
    </row>
    <row r="521" spans="1:12" x14ac:dyDescent="0.25">
      <c r="A521" s="4"/>
      <c r="B521" s="28" t="str">
        <f>IF(ISNUMBER(MATCH(D521, Mgt_Unit!$C$5:$C$1018, 0)), INDEX(Mgt_Unit!$B$5:$B$1018, MATCH(D521, Mgt_Unit!$C$5:$C$1018, 0)), "")</f>
        <v>jennifer.moore</v>
      </c>
      <c r="C521" s="28"/>
      <c r="D521" s="9" t="s">
        <v>848</v>
      </c>
      <c r="E521" s="47"/>
      <c r="F521" s="41" t="s">
        <v>1351</v>
      </c>
      <c r="G521" s="41"/>
      <c r="H521" s="38"/>
      <c r="I521" s="38">
        <v>4.2</v>
      </c>
      <c r="J521" s="38">
        <v>6.2</v>
      </c>
      <c r="K521" s="38">
        <v>9.7900000000000001E-2</v>
      </c>
      <c r="L521" s="41"/>
    </row>
    <row r="522" spans="1:12" x14ac:dyDescent="0.25">
      <c r="A522" s="4"/>
      <c r="B522" s="28" t="str">
        <f>IF(ISNUMBER(MATCH(D522, Mgt_Unit!$C$5:$C$1018, 0)), INDEX(Mgt_Unit!$B$5:$B$1018, MATCH(D522, Mgt_Unit!$C$5:$C$1018, 0)), "")</f>
        <v>jennifer.moore</v>
      </c>
      <c r="C522" s="28"/>
      <c r="D522" s="9" t="s">
        <v>851</v>
      </c>
      <c r="E522" s="47"/>
      <c r="F522" s="41" t="s">
        <v>1351</v>
      </c>
      <c r="G522" s="41"/>
      <c r="H522" s="38"/>
      <c r="I522" s="38">
        <v>4.5999999999999996</v>
      </c>
      <c r="J522" s="38">
        <v>6.28</v>
      </c>
      <c r="K522" s="38">
        <v>0.18</v>
      </c>
      <c r="L522" s="41"/>
    </row>
    <row r="523" spans="1:12" x14ac:dyDescent="0.25">
      <c r="A523" s="4"/>
      <c r="B523" s="28" t="str">
        <f>IF(ISNUMBER(MATCH(D523, Mgt_Unit!$C$5:$C$1018, 0)), INDEX(Mgt_Unit!$B$5:$B$1018, MATCH(D523, Mgt_Unit!$C$5:$C$1018, 0)), "")</f>
        <v>jennifer.moore</v>
      </c>
      <c r="C523" s="28"/>
      <c r="D523" s="9" t="s">
        <v>851</v>
      </c>
      <c r="E523" s="47"/>
      <c r="F523" s="41" t="s">
        <v>1351</v>
      </c>
      <c r="G523" s="41"/>
      <c r="H523" s="38"/>
      <c r="I523" s="38">
        <v>3.4</v>
      </c>
      <c r="J523" s="38">
        <v>6.88</v>
      </c>
      <c r="K523" s="38">
        <v>0.17799999999999999</v>
      </c>
      <c r="L523" s="41"/>
    </row>
    <row r="524" spans="1:12" x14ac:dyDescent="0.25">
      <c r="A524" s="4"/>
      <c r="B524" s="28" t="str">
        <f>IF(ISNUMBER(MATCH(D524, Mgt_Unit!$C$5:$C$1018, 0)), INDEX(Mgt_Unit!$B$5:$B$1018, MATCH(D524, Mgt_Unit!$C$5:$C$1018, 0)), "")</f>
        <v>jennifer.moore</v>
      </c>
      <c r="C524" s="28"/>
      <c r="D524" s="9" t="s">
        <v>851</v>
      </c>
      <c r="E524" s="47"/>
      <c r="F524" s="41" t="s">
        <v>1351</v>
      </c>
      <c r="G524" s="41"/>
      <c r="H524" s="38"/>
      <c r="I524" s="38">
        <v>3.7</v>
      </c>
      <c r="J524" s="38">
        <v>6.81</v>
      </c>
      <c r="K524" s="38">
        <v>0.187</v>
      </c>
      <c r="L524" s="41"/>
    </row>
    <row r="525" spans="1:12" x14ac:dyDescent="0.25">
      <c r="A525" s="4"/>
      <c r="B525" s="28" t="str">
        <f>IF(ISNUMBER(MATCH(D525, Mgt_Unit!$C$5:$C$1018, 0)), INDEX(Mgt_Unit!$B$5:$B$1018, MATCH(D525, Mgt_Unit!$C$5:$C$1018, 0)), "")</f>
        <v>jennifer.moore</v>
      </c>
      <c r="C525" s="28"/>
      <c r="D525" s="9" t="s">
        <v>851</v>
      </c>
      <c r="E525" s="47"/>
      <c r="F525" s="41" t="s">
        <v>1351</v>
      </c>
      <c r="G525" s="41"/>
      <c r="H525" s="38"/>
      <c r="I525" s="38">
        <v>3.8</v>
      </c>
      <c r="J525" s="38">
        <v>6.86</v>
      </c>
      <c r="K525" s="38">
        <v>0.19800000000000001</v>
      </c>
      <c r="L525" s="41"/>
    </row>
    <row r="526" spans="1:12" x14ac:dyDescent="0.25">
      <c r="A526" s="4"/>
      <c r="B526" s="28" t="str">
        <f>IF(ISNUMBER(MATCH(D526, Mgt_Unit!$C$5:$C$1018, 0)), INDEX(Mgt_Unit!$B$5:$B$1018, MATCH(D526, Mgt_Unit!$C$5:$C$1018, 0)), "")</f>
        <v>jennifer.moore</v>
      </c>
      <c r="C526" s="28"/>
      <c r="D526" s="9" t="s">
        <v>849</v>
      </c>
      <c r="E526" s="47"/>
      <c r="F526" s="41" t="s">
        <v>1351</v>
      </c>
      <c r="G526" s="41"/>
      <c r="H526" s="38"/>
      <c r="I526" s="38">
        <v>4</v>
      </c>
      <c r="J526" s="38">
        <v>6.73</v>
      </c>
      <c r="K526" s="38">
        <v>0.16500000000000001</v>
      </c>
      <c r="L526" s="41"/>
    </row>
    <row r="527" spans="1:12" x14ac:dyDescent="0.25">
      <c r="A527" s="4"/>
      <c r="B527" s="28" t="str">
        <f>IF(ISNUMBER(MATCH(D527, Mgt_Unit!$C$5:$C$1018, 0)), INDEX(Mgt_Unit!$B$5:$B$1018, MATCH(D527, Mgt_Unit!$C$5:$C$1018, 0)), "")</f>
        <v>jennifer.moore</v>
      </c>
      <c r="C527" s="28"/>
      <c r="D527" s="9" t="s">
        <v>849</v>
      </c>
      <c r="E527" s="47"/>
      <c r="F527" s="41" t="s">
        <v>1351</v>
      </c>
      <c r="G527" s="41"/>
      <c r="H527" s="38"/>
      <c r="I527" s="38">
        <v>4</v>
      </c>
      <c r="J527" s="38">
        <v>6.72</v>
      </c>
      <c r="K527" s="38">
        <v>0.188</v>
      </c>
      <c r="L527" s="41"/>
    </row>
    <row r="528" spans="1:12" x14ac:dyDescent="0.25">
      <c r="A528" s="4"/>
      <c r="B528" s="28" t="str">
        <f>IF(ISNUMBER(MATCH(D528, Mgt_Unit!$C$5:$C$1018, 0)), INDEX(Mgt_Unit!$B$5:$B$1018, MATCH(D528, Mgt_Unit!$C$5:$C$1018, 0)), "")</f>
        <v>jennifer.moore</v>
      </c>
      <c r="C528" s="28"/>
      <c r="D528" s="9" t="s">
        <v>849</v>
      </c>
      <c r="E528" s="47"/>
      <c r="F528" s="41" t="s">
        <v>1351</v>
      </c>
      <c r="G528" s="41"/>
      <c r="H528" s="38"/>
      <c r="I528" s="38">
        <v>3.9</v>
      </c>
      <c r="J528" s="38">
        <v>6.51</v>
      </c>
      <c r="K528" s="38">
        <v>0.13900000000000001</v>
      </c>
      <c r="L528" s="41"/>
    </row>
    <row r="529" spans="1:12" x14ac:dyDescent="0.25">
      <c r="A529" s="4"/>
      <c r="B529" s="28" t="str">
        <f>IF(ISNUMBER(MATCH(D529, Mgt_Unit!$C$5:$C$1018, 0)), INDEX(Mgt_Unit!$B$5:$B$1018, MATCH(D529, Mgt_Unit!$C$5:$C$1018, 0)), "")</f>
        <v>jennifer.moore</v>
      </c>
      <c r="C529" s="28"/>
      <c r="D529" s="9" t="s">
        <v>849</v>
      </c>
      <c r="E529" s="47"/>
      <c r="F529" s="41" t="s">
        <v>1351</v>
      </c>
      <c r="G529" s="41"/>
      <c r="H529" s="38"/>
      <c r="I529" s="38">
        <v>3</v>
      </c>
      <c r="J529" s="38">
        <v>6.96</v>
      </c>
      <c r="K529" s="38">
        <v>0.17</v>
      </c>
      <c r="L529" s="41"/>
    </row>
    <row r="530" spans="1:12" x14ac:dyDescent="0.25">
      <c r="A530" s="4"/>
      <c r="B530" s="28" t="str">
        <f>IF(ISNUMBER(MATCH(D530, Mgt_Unit!$C$5:$C$1018, 0)), INDEX(Mgt_Unit!$B$5:$B$1018, MATCH(D530, Mgt_Unit!$C$5:$C$1018, 0)), "")</f>
        <v>jennifer.moore</v>
      </c>
      <c r="C530" s="28"/>
      <c r="D530" s="9" t="s">
        <v>1311</v>
      </c>
      <c r="E530" s="47"/>
      <c r="F530" s="41" t="s">
        <v>1351</v>
      </c>
      <c r="G530" s="41"/>
      <c r="H530" s="38"/>
      <c r="I530" s="38">
        <v>4.3</v>
      </c>
      <c r="J530" s="38">
        <v>6.59</v>
      </c>
      <c r="K530" s="38">
        <v>0.13900000000000001</v>
      </c>
      <c r="L530" s="41"/>
    </row>
    <row r="531" spans="1:12" x14ac:dyDescent="0.25">
      <c r="A531" s="4"/>
      <c r="B531" s="28" t="str">
        <f>IF(ISNUMBER(MATCH(D531, Mgt_Unit!$C$5:$C$1018, 0)), INDEX(Mgt_Unit!$B$5:$B$1018, MATCH(D531, Mgt_Unit!$C$5:$C$1018, 0)), "")</f>
        <v>jennifer.moore</v>
      </c>
      <c r="C531" s="28"/>
      <c r="D531" s="9" t="s">
        <v>1311</v>
      </c>
      <c r="E531" s="47"/>
      <c r="F531" s="41" t="s">
        <v>1351</v>
      </c>
      <c r="G531" s="41"/>
      <c r="H531" s="38"/>
      <c r="I531" s="38">
        <v>5.3</v>
      </c>
      <c r="J531" s="38">
        <v>6.24</v>
      </c>
      <c r="K531" s="38">
        <v>0.13800000000000001</v>
      </c>
      <c r="L531" s="41"/>
    </row>
    <row r="532" spans="1:12" x14ac:dyDescent="0.25">
      <c r="A532" s="4"/>
      <c r="B532" s="28" t="str">
        <f>IF(ISNUMBER(MATCH(D532, Mgt_Unit!$C$5:$C$1018, 0)), INDEX(Mgt_Unit!$B$5:$B$1018, MATCH(D532, Mgt_Unit!$C$5:$C$1018, 0)), "")</f>
        <v>jennifer.moore</v>
      </c>
      <c r="C532" s="28"/>
      <c r="D532" s="9" t="s">
        <v>1311</v>
      </c>
      <c r="E532" s="47"/>
      <c r="F532" s="41" t="s">
        <v>1351</v>
      </c>
      <c r="G532" s="41"/>
      <c r="H532" s="38"/>
      <c r="I532" s="38">
        <v>3.8</v>
      </c>
      <c r="J532" s="38">
        <v>6.84</v>
      </c>
      <c r="K532" s="38">
        <v>0.20899999999999999</v>
      </c>
      <c r="L532" s="41"/>
    </row>
    <row r="533" spans="1:12" x14ac:dyDescent="0.25">
      <c r="A533" s="4"/>
      <c r="B533" s="28" t="str">
        <f>IF(ISNUMBER(MATCH(D533, Mgt_Unit!$C$5:$C$1018, 0)), INDEX(Mgt_Unit!$B$5:$B$1018, MATCH(D533, Mgt_Unit!$C$5:$C$1018, 0)), "")</f>
        <v>jennifer.moore</v>
      </c>
      <c r="C533" s="28"/>
      <c r="D533" s="9" t="s">
        <v>1311</v>
      </c>
      <c r="E533" s="47"/>
      <c r="F533" s="41" t="s">
        <v>1351</v>
      </c>
      <c r="G533" s="41"/>
      <c r="H533" s="38"/>
      <c r="I533" s="38">
        <v>2.8</v>
      </c>
      <c r="J533" s="38">
        <v>6.59</v>
      </c>
      <c r="K533" s="38">
        <v>0.1</v>
      </c>
      <c r="L533" s="41"/>
    </row>
    <row r="534" spans="1:12" x14ac:dyDescent="0.25">
      <c r="A534" s="4"/>
      <c r="B534" s="28" t="str">
        <f>IF(ISNUMBER(MATCH(D534, Mgt_Unit!$C$5:$C$1018, 0)), INDEX(Mgt_Unit!$B$5:$B$1018, MATCH(D534, Mgt_Unit!$C$5:$C$1018, 0)), "")</f>
        <v>jennifer.moore</v>
      </c>
      <c r="C534" s="28"/>
      <c r="D534" s="9" t="s">
        <v>850</v>
      </c>
      <c r="E534" s="47"/>
      <c r="F534" s="41" t="s">
        <v>1351</v>
      </c>
      <c r="G534" s="41"/>
      <c r="H534" s="38"/>
      <c r="I534" s="38">
        <v>3.9</v>
      </c>
      <c r="J534" s="38">
        <v>6.97</v>
      </c>
      <c r="K534" s="38">
        <v>0.19800000000000001</v>
      </c>
      <c r="L534" s="41"/>
    </row>
    <row r="535" spans="1:12" x14ac:dyDescent="0.25">
      <c r="A535" s="4"/>
      <c r="B535" s="28" t="str">
        <f>IF(ISNUMBER(MATCH(D535, Mgt_Unit!$C$5:$C$1018, 0)), INDEX(Mgt_Unit!$B$5:$B$1018, MATCH(D535, Mgt_Unit!$C$5:$C$1018, 0)), "")</f>
        <v>jennifer.moore</v>
      </c>
      <c r="C535" s="28"/>
      <c r="D535" s="9" t="s">
        <v>850</v>
      </c>
      <c r="E535" s="47"/>
      <c r="F535" s="41" t="s">
        <v>1351</v>
      </c>
      <c r="G535" s="41"/>
      <c r="H535" s="38"/>
      <c r="I535" s="38">
        <v>3</v>
      </c>
      <c r="J535" s="38">
        <v>6.79</v>
      </c>
      <c r="K535" s="38">
        <v>0.12470000000000001</v>
      </c>
      <c r="L535" s="41"/>
    </row>
    <row r="536" spans="1:12" x14ac:dyDescent="0.25">
      <c r="A536" s="4"/>
      <c r="B536" s="28" t="str">
        <f>IF(ISNUMBER(MATCH(D536, Mgt_Unit!$C$5:$C$1018, 0)), INDEX(Mgt_Unit!$B$5:$B$1018, MATCH(D536, Mgt_Unit!$C$5:$C$1018, 0)), "")</f>
        <v>jennifer.moore</v>
      </c>
      <c r="C536" s="28"/>
      <c r="D536" s="9" t="s">
        <v>850</v>
      </c>
      <c r="E536" s="47"/>
      <c r="F536" s="41" t="s">
        <v>1351</v>
      </c>
      <c r="G536" s="41"/>
      <c r="H536" s="38"/>
      <c r="I536" s="38">
        <v>4.5999999999999996</v>
      </c>
      <c r="J536" s="38">
        <v>6.44</v>
      </c>
      <c r="K536" s="38">
        <v>9.8100000000000007E-2</v>
      </c>
      <c r="L536" s="41"/>
    </row>
    <row r="537" spans="1:12" x14ac:dyDescent="0.25">
      <c r="A537" s="4"/>
      <c r="B537" s="28" t="str">
        <f>IF(ISNUMBER(MATCH(D537, Mgt_Unit!$C$5:$C$1018, 0)), INDEX(Mgt_Unit!$B$5:$B$1018, MATCH(D537, Mgt_Unit!$C$5:$C$1018, 0)), "")</f>
        <v>jennifer.moore</v>
      </c>
      <c r="C537" s="28"/>
      <c r="D537" s="9" t="s">
        <v>850</v>
      </c>
      <c r="E537" s="47"/>
      <c r="F537" s="41" t="s">
        <v>1351</v>
      </c>
      <c r="G537" s="41"/>
      <c r="H537" s="38"/>
      <c r="I537" s="38">
        <v>4</v>
      </c>
      <c r="J537" s="38">
        <v>6.72</v>
      </c>
      <c r="K537" s="38">
        <v>0.17879999999999999</v>
      </c>
      <c r="L537" s="41"/>
    </row>
    <row r="538" spans="1:12" x14ac:dyDescent="0.25">
      <c r="A538" s="4"/>
      <c r="B538" s="28" t="str">
        <f>IF(ISNUMBER(MATCH(D538, Mgt_Unit!$C$5:$C$1018, 0)), INDEX(Mgt_Unit!$B$5:$B$1018, MATCH(D538, Mgt_Unit!$C$5:$C$1018, 0)), "")</f>
        <v>jennifer.moore</v>
      </c>
      <c r="C538" s="28"/>
      <c r="D538" s="9" t="s">
        <v>1312</v>
      </c>
      <c r="E538" s="47"/>
      <c r="F538" s="41" t="s">
        <v>1351</v>
      </c>
      <c r="G538" s="41"/>
      <c r="H538" s="38"/>
      <c r="I538" s="38">
        <v>4.9000000000000004</v>
      </c>
      <c r="J538" s="38">
        <v>7.04</v>
      </c>
      <c r="K538" s="38">
        <v>0.26900000000000002</v>
      </c>
      <c r="L538" s="41"/>
    </row>
    <row r="539" spans="1:12" x14ac:dyDescent="0.25">
      <c r="A539" s="4"/>
      <c r="B539" s="28" t="str">
        <f>IF(ISNUMBER(MATCH(D539, Mgt_Unit!$C$5:$C$1018, 0)), INDEX(Mgt_Unit!$B$5:$B$1018, MATCH(D539, Mgt_Unit!$C$5:$C$1018, 0)), "")</f>
        <v>jennifer.moore</v>
      </c>
      <c r="C539" s="28"/>
      <c r="D539" s="9" t="s">
        <v>1312</v>
      </c>
      <c r="E539" s="47"/>
      <c r="F539" s="41" t="s">
        <v>1351</v>
      </c>
      <c r="G539" s="41"/>
      <c r="H539" s="38"/>
      <c r="I539" s="38">
        <v>4.2</v>
      </c>
      <c r="J539" s="38">
        <v>6.87</v>
      </c>
      <c r="K539" s="38">
        <v>0.246</v>
      </c>
      <c r="L539" s="41"/>
    </row>
    <row r="540" spans="1:12" x14ac:dyDescent="0.25">
      <c r="A540" s="4"/>
      <c r="B540" s="28" t="str">
        <f>IF(ISNUMBER(MATCH(D540, Mgt_Unit!$C$5:$C$1018, 0)), INDEX(Mgt_Unit!$B$5:$B$1018, MATCH(D540, Mgt_Unit!$C$5:$C$1018, 0)), "")</f>
        <v>jennifer.moore</v>
      </c>
      <c r="C540" s="28"/>
      <c r="D540" s="9" t="s">
        <v>1312</v>
      </c>
      <c r="E540" s="47"/>
      <c r="F540" s="41" t="s">
        <v>1351</v>
      </c>
      <c r="G540" s="41"/>
      <c r="H540" s="38"/>
      <c r="I540" s="38">
        <v>3.8</v>
      </c>
      <c r="J540" s="38">
        <v>7.31</v>
      </c>
      <c r="K540" s="38">
        <v>0.16880000000000001</v>
      </c>
      <c r="L540" s="41"/>
    </row>
    <row r="541" spans="1:12" x14ac:dyDescent="0.25">
      <c r="A541" s="4"/>
      <c r="B541" s="28" t="str">
        <f>IF(ISNUMBER(MATCH(D541, Mgt_Unit!$C$5:$C$1018, 0)), INDEX(Mgt_Unit!$B$5:$B$1018, MATCH(D541, Mgt_Unit!$C$5:$C$1018, 0)), "")</f>
        <v>jennifer.moore</v>
      </c>
      <c r="C541" s="28"/>
      <c r="D541" s="9" t="s">
        <v>1312</v>
      </c>
      <c r="E541" s="47"/>
      <c r="F541" s="41" t="s">
        <v>1351</v>
      </c>
      <c r="G541" s="41"/>
      <c r="H541" s="38"/>
      <c r="I541" s="38">
        <v>4.4000000000000004</v>
      </c>
      <c r="J541" s="38">
        <v>6.04</v>
      </c>
      <c r="K541" s="38">
        <v>0.182</v>
      </c>
      <c r="L541" s="41"/>
    </row>
    <row r="542" spans="1:12" x14ac:dyDescent="0.25">
      <c r="A542" s="4"/>
      <c r="B542" s="28" t="str">
        <f>IF(ISNUMBER(MATCH(D542, Mgt_Unit!$C$5:$C$1018, 0)), INDEX(Mgt_Unit!$B$5:$B$1018, MATCH(D542, Mgt_Unit!$C$5:$C$1018, 0)), "")</f>
        <v>jennifer.moore</v>
      </c>
      <c r="C542" s="28"/>
      <c r="D542" s="9" t="s">
        <v>852</v>
      </c>
      <c r="E542" s="47"/>
      <c r="F542" s="41" t="s">
        <v>1351</v>
      </c>
      <c r="G542" s="41"/>
      <c r="H542" s="38"/>
      <c r="I542" s="38">
        <v>4.8</v>
      </c>
      <c r="J542" s="38">
        <v>6.83</v>
      </c>
      <c r="K542" s="38">
        <v>0.21</v>
      </c>
      <c r="L542" s="41"/>
    </row>
    <row r="543" spans="1:12" x14ac:dyDescent="0.25">
      <c r="A543" s="4"/>
      <c r="B543" s="28" t="str">
        <f>IF(ISNUMBER(MATCH(D543, Mgt_Unit!$C$5:$C$1018, 0)), INDEX(Mgt_Unit!$B$5:$B$1018, MATCH(D543, Mgt_Unit!$C$5:$C$1018, 0)), "")</f>
        <v>jennifer.moore</v>
      </c>
      <c r="C543" s="28"/>
      <c r="D543" s="9" t="s">
        <v>852</v>
      </c>
      <c r="E543" s="47"/>
      <c r="F543" s="41" t="s">
        <v>1351</v>
      </c>
      <c r="G543" s="41"/>
      <c r="H543" s="38"/>
      <c r="I543" s="38">
        <v>3.3</v>
      </c>
      <c r="J543" s="38">
        <v>6.61</v>
      </c>
      <c r="K543" s="38">
        <v>0.17100000000000001</v>
      </c>
      <c r="L543" s="41"/>
    </row>
    <row r="544" spans="1:12" x14ac:dyDescent="0.25">
      <c r="A544" s="4"/>
      <c r="B544" s="28" t="str">
        <f>IF(ISNUMBER(MATCH(D544, Mgt_Unit!$C$5:$C$1018, 0)), INDEX(Mgt_Unit!$B$5:$B$1018, MATCH(D544, Mgt_Unit!$C$5:$C$1018, 0)), "")</f>
        <v>jennifer.moore</v>
      </c>
      <c r="C544" s="28"/>
      <c r="D544" s="9" t="s">
        <v>852</v>
      </c>
      <c r="E544" s="47"/>
      <c r="F544" s="41" t="s">
        <v>1351</v>
      </c>
      <c r="G544" s="41"/>
      <c r="H544" s="38"/>
      <c r="I544" s="38">
        <v>3.3</v>
      </c>
      <c r="J544" s="38">
        <v>6.55</v>
      </c>
      <c r="K544" s="38">
        <v>0.193</v>
      </c>
      <c r="L544" s="41"/>
    </row>
    <row r="545" spans="1:12" x14ac:dyDescent="0.25">
      <c r="A545" s="4"/>
      <c r="B545" s="28" t="str">
        <f>IF(ISNUMBER(MATCH(D545, Mgt_Unit!$C$5:$C$1018, 0)), INDEX(Mgt_Unit!$B$5:$B$1018, MATCH(D545, Mgt_Unit!$C$5:$C$1018, 0)), "")</f>
        <v>jennifer.moore</v>
      </c>
      <c r="C545" s="28"/>
      <c r="D545" s="9" t="s">
        <v>852</v>
      </c>
      <c r="E545" s="47"/>
      <c r="F545" s="41" t="s">
        <v>1351</v>
      </c>
      <c r="G545" s="41"/>
      <c r="H545" s="38"/>
      <c r="I545" s="38">
        <v>2.9</v>
      </c>
      <c r="J545" s="38">
        <v>6.74</v>
      </c>
      <c r="K545" s="38">
        <v>0.16300000000000001</v>
      </c>
      <c r="L545" s="41"/>
    </row>
    <row r="546" spans="1:12" x14ac:dyDescent="0.25">
      <c r="A546" s="4"/>
      <c r="B546" s="28" t="str">
        <f>IF(ISNUMBER(MATCH(D546, Mgt_Unit!$C$5:$C$1018, 0)), INDEX(Mgt_Unit!$B$5:$B$1018, MATCH(D546, Mgt_Unit!$C$5:$C$1018, 0)), "")</f>
        <v>jennifer.moore</v>
      </c>
      <c r="C546" s="28"/>
      <c r="D546" s="9" t="s">
        <v>853</v>
      </c>
      <c r="E546" s="47"/>
      <c r="F546" s="41" t="s">
        <v>1351</v>
      </c>
      <c r="G546" s="41"/>
      <c r="H546" s="38"/>
      <c r="I546" s="38">
        <v>4.2</v>
      </c>
      <c r="J546" s="38">
        <v>5.54</v>
      </c>
      <c r="K546" s="38">
        <v>0.48399999999999999</v>
      </c>
      <c r="L546" s="41"/>
    </row>
    <row r="547" spans="1:12" x14ac:dyDescent="0.25">
      <c r="A547" s="4"/>
      <c r="B547" s="28" t="str">
        <f>IF(ISNUMBER(MATCH(D547, Mgt_Unit!$C$5:$C$1018, 0)), INDEX(Mgt_Unit!$B$5:$B$1018, MATCH(D547, Mgt_Unit!$C$5:$C$1018, 0)), "")</f>
        <v>jennifer.moore</v>
      </c>
      <c r="C547" s="28"/>
      <c r="D547" s="9" t="s">
        <v>853</v>
      </c>
      <c r="E547" s="47"/>
      <c r="F547" s="41" t="s">
        <v>1351</v>
      </c>
      <c r="G547" s="41"/>
      <c r="H547" s="38"/>
      <c r="I547" s="38">
        <v>5.3</v>
      </c>
      <c r="J547" s="38">
        <v>5.84</v>
      </c>
      <c r="K547" s="38">
        <v>0.28899999999999998</v>
      </c>
      <c r="L547" s="41"/>
    </row>
    <row r="548" spans="1:12" x14ac:dyDescent="0.25">
      <c r="A548" s="4"/>
      <c r="B548" s="28" t="str">
        <f>IF(ISNUMBER(MATCH(D548, Mgt_Unit!$C$5:$C$1018, 0)), INDEX(Mgt_Unit!$B$5:$B$1018, MATCH(D548, Mgt_Unit!$C$5:$C$1018, 0)), "")</f>
        <v>jennifer.moore</v>
      </c>
      <c r="C548" s="28"/>
      <c r="D548" s="9" t="s">
        <v>853</v>
      </c>
      <c r="E548" s="47"/>
      <c r="F548" s="41" t="s">
        <v>1351</v>
      </c>
      <c r="G548" s="41"/>
      <c r="H548" s="38"/>
      <c r="I548" s="38">
        <v>4.4000000000000004</v>
      </c>
      <c r="J548" s="38">
        <v>6.23</v>
      </c>
      <c r="K548" s="38">
        <v>0.28100000000000003</v>
      </c>
      <c r="L548" s="41"/>
    </row>
    <row r="549" spans="1:12" x14ac:dyDescent="0.25">
      <c r="A549" s="4"/>
      <c r="B549" s="28" t="str">
        <f>IF(ISNUMBER(MATCH(D549, Mgt_Unit!$C$5:$C$1018, 0)), INDEX(Mgt_Unit!$B$5:$B$1018, MATCH(D549, Mgt_Unit!$C$5:$C$1018, 0)), "")</f>
        <v>jennifer.moore</v>
      </c>
      <c r="C549" s="28"/>
      <c r="D549" s="9" t="s">
        <v>853</v>
      </c>
      <c r="E549" s="47"/>
      <c r="F549" s="41" t="s">
        <v>1351</v>
      </c>
      <c r="G549" s="41"/>
      <c r="H549" s="38"/>
      <c r="I549" s="38">
        <v>5.3</v>
      </c>
      <c r="J549" s="38">
        <v>6.03</v>
      </c>
      <c r="K549" s="38">
        <v>0.40699999999999997</v>
      </c>
      <c r="L549" s="41"/>
    </row>
    <row r="550" spans="1:12" x14ac:dyDescent="0.25">
      <c r="A550" s="4"/>
      <c r="B550" s="28" t="str">
        <f>IF(ISNUMBER(MATCH(D550, Mgt_Unit!$C$5:$C$1018, 0)), INDEX(Mgt_Unit!$B$5:$B$1018, MATCH(D550, Mgt_Unit!$C$5:$C$1018, 0)), "")</f>
        <v>jennifer.moore</v>
      </c>
      <c r="C550" s="28"/>
      <c r="D550" s="9" t="s">
        <v>854</v>
      </c>
      <c r="E550" s="47"/>
      <c r="F550" s="41" t="s">
        <v>1351</v>
      </c>
      <c r="G550" s="41"/>
      <c r="H550" s="38"/>
      <c r="I550" s="38">
        <v>5.5</v>
      </c>
      <c r="J550" s="38">
        <v>6.65</v>
      </c>
      <c r="K550" s="38">
        <v>0.17660000000000001</v>
      </c>
      <c r="L550" s="41"/>
    </row>
    <row r="551" spans="1:12" x14ac:dyDescent="0.25">
      <c r="A551" s="4"/>
      <c r="B551" s="28" t="str">
        <f>IF(ISNUMBER(MATCH(D551, Mgt_Unit!$C$5:$C$1018, 0)), INDEX(Mgt_Unit!$B$5:$B$1018, MATCH(D551, Mgt_Unit!$C$5:$C$1018, 0)), "")</f>
        <v>jennifer.moore</v>
      </c>
      <c r="C551" s="28"/>
      <c r="D551" s="9" t="s">
        <v>854</v>
      </c>
      <c r="E551" s="47"/>
      <c r="F551" s="41" t="s">
        <v>1351</v>
      </c>
      <c r="G551" s="41"/>
      <c r="H551" s="38"/>
      <c r="I551" s="38">
        <v>4.5</v>
      </c>
      <c r="J551" s="38">
        <v>6.68</v>
      </c>
      <c r="K551" s="38">
        <v>0.159</v>
      </c>
      <c r="L551" s="41"/>
    </row>
    <row r="552" spans="1:12" x14ac:dyDescent="0.25">
      <c r="A552" s="4"/>
      <c r="B552" s="28" t="str">
        <f>IF(ISNUMBER(MATCH(D552, Mgt_Unit!$C$5:$C$1018, 0)), INDEX(Mgt_Unit!$B$5:$B$1018, MATCH(D552, Mgt_Unit!$C$5:$C$1018, 0)), "")</f>
        <v>jennifer.moore</v>
      </c>
      <c r="C552" s="28"/>
      <c r="D552" s="9" t="s">
        <v>854</v>
      </c>
      <c r="E552" s="47"/>
      <c r="F552" s="41" t="s">
        <v>1351</v>
      </c>
      <c r="G552" s="41"/>
      <c r="H552" s="38"/>
      <c r="I552" s="38">
        <v>5.2</v>
      </c>
      <c r="J552" s="38">
        <v>7.26</v>
      </c>
      <c r="K552" s="38">
        <v>0.29399999999999998</v>
      </c>
      <c r="L552" s="41"/>
    </row>
    <row r="553" spans="1:12" x14ac:dyDescent="0.25">
      <c r="A553" s="4"/>
      <c r="B553" s="28" t="str">
        <f>IF(ISNUMBER(MATCH(D553, Mgt_Unit!$C$5:$C$1018, 0)), INDEX(Mgt_Unit!$B$5:$B$1018, MATCH(D553, Mgt_Unit!$C$5:$C$1018, 0)), "")</f>
        <v>jennifer.moore</v>
      </c>
      <c r="C553" s="28"/>
      <c r="D553" s="9" t="s">
        <v>854</v>
      </c>
      <c r="E553" s="47"/>
      <c r="F553" s="41" t="s">
        <v>1351</v>
      </c>
      <c r="G553" s="41"/>
      <c r="H553" s="38"/>
      <c r="I553" s="38">
        <v>5.6</v>
      </c>
      <c r="J553" s="38">
        <v>7.22</v>
      </c>
      <c r="K553" s="38">
        <v>0.27800000000000002</v>
      </c>
      <c r="L553" s="41"/>
    </row>
    <row r="554" spans="1:12" x14ac:dyDescent="0.25">
      <c r="A554" s="4"/>
      <c r="B554" s="28" t="str">
        <f>IF(ISNUMBER(MATCH(D554, Mgt_Unit!$C$5:$C$1018, 0)), INDEX(Mgt_Unit!$B$5:$B$1018, MATCH(D554, Mgt_Unit!$C$5:$C$1018, 0)), "")</f>
        <v>jennifer.moore</v>
      </c>
      <c r="C554" s="28"/>
      <c r="D554" s="9" t="s">
        <v>855</v>
      </c>
      <c r="E554" s="47"/>
      <c r="F554" s="41" t="s">
        <v>1351</v>
      </c>
      <c r="G554" s="41"/>
      <c r="H554" s="38"/>
      <c r="I554" s="38">
        <v>4.5</v>
      </c>
      <c r="J554" s="38">
        <v>6.68</v>
      </c>
      <c r="K554" s="38">
        <v>0.157</v>
      </c>
      <c r="L554" s="41"/>
    </row>
    <row r="555" spans="1:12" x14ac:dyDescent="0.25">
      <c r="A555" s="4"/>
      <c r="B555" s="28" t="str">
        <f>IF(ISNUMBER(MATCH(D555, Mgt_Unit!$C$5:$C$1018, 0)), INDEX(Mgt_Unit!$B$5:$B$1018, MATCH(D555, Mgt_Unit!$C$5:$C$1018, 0)), "")</f>
        <v>jennifer.moore</v>
      </c>
      <c r="C555" s="28"/>
      <c r="D555" s="9" t="s">
        <v>855</v>
      </c>
      <c r="E555" s="47"/>
      <c r="F555" s="41" t="s">
        <v>1351</v>
      </c>
      <c r="G555" s="41"/>
      <c r="H555" s="38"/>
      <c r="I555" s="38">
        <v>4.4000000000000004</v>
      </c>
      <c r="J555" s="38">
        <v>6.5</v>
      </c>
      <c r="K555" s="38">
        <v>0.16400000000000001</v>
      </c>
      <c r="L555" s="41"/>
    </row>
    <row r="556" spans="1:12" x14ac:dyDescent="0.25">
      <c r="A556" s="4"/>
      <c r="B556" s="28" t="str">
        <f>IF(ISNUMBER(MATCH(D556, Mgt_Unit!$C$5:$C$1018, 0)), INDEX(Mgt_Unit!$B$5:$B$1018, MATCH(D556, Mgt_Unit!$C$5:$C$1018, 0)), "")</f>
        <v>jennifer.moore</v>
      </c>
      <c r="C556" s="28"/>
      <c r="D556" s="9" t="s">
        <v>855</v>
      </c>
      <c r="E556" s="47"/>
      <c r="F556" s="41" t="s">
        <v>1351</v>
      </c>
      <c r="G556" s="41"/>
      <c r="H556" s="38"/>
      <c r="I556" s="38">
        <v>5.9</v>
      </c>
      <c r="J556" s="38">
        <v>7.57</v>
      </c>
      <c r="K556" s="38">
        <v>0.26600000000000001</v>
      </c>
      <c r="L556" s="41"/>
    </row>
    <row r="557" spans="1:12" x14ac:dyDescent="0.25">
      <c r="A557" s="4"/>
      <c r="B557" s="28" t="str">
        <f>IF(ISNUMBER(MATCH(D557, Mgt_Unit!$C$5:$C$1018, 0)), INDEX(Mgt_Unit!$B$5:$B$1018, MATCH(D557, Mgt_Unit!$C$5:$C$1018, 0)), "")</f>
        <v>jennifer.moore</v>
      </c>
      <c r="C557" s="28"/>
      <c r="D557" s="9" t="s">
        <v>855</v>
      </c>
      <c r="E557" s="47"/>
      <c r="F557" s="41" t="s">
        <v>1351</v>
      </c>
      <c r="G557" s="41"/>
      <c r="H557" s="38"/>
      <c r="I557" s="38">
        <v>6.4</v>
      </c>
      <c r="J557" s="38">
        <v>6.8</v>
      </c>
      <c r="K557" s="38">
        <v>0.183</v>
      </c>
      <c r="L557" s="41"/>
    </row>
    <row r="558" spans="1:12" x14ac:dyDescent="0.25">
      <c r="A558" s="4"/>
      <c r="B558" s="28" t="str">
        <f>IF(ISNUMBER(MATCH(D558, Mgt_Unit!$C$5:$C$1018, 0)), INDEX(Mgt_Unit!$B$5:$B$1018, MATCH(D558, Mgt_Unit!$C$5:$C$1018, 0)), "")</f>
        <v>jennifer.moore</v>
      </c>
      <c r="C558" s="28"/>
      <c r="D558" s="9" t="s">
        <v>856</v>
      </c>
      <c r="E558" s="47"/>
      <c r="F558" s="41" t="s">
        <v>1351</v>
      </c>
      <c r="G558" s="41"/>
      <c r="H558" s="38"/>
      <c r="I558" s="38">
        <v>2.2999999999999998</v>
      </c>
      <c r="J558" s="38">
        <v>7.4</v>
      </c>
      <c r="K558" s="38">
        <v>0.505</v>
      </c>
      <c r="L558" s="41"/>
    </row>
    <row r="559" spans="1:12" x14ac:dyDescent="0.25">
      <c r="A559" s="4"/>
      <c r="B559" s="28" t="str">
        <f>IF(ISNUMBER(MATCH(D559, Mgt_Unit!$C$5:$C$1018, 0)), INDEX(Mgt_Unit!$B$5:$B$1018, MATCH(D559, Mgt_Unit!$C$5:$C$1018, 0)), "")</f>
        <v>jennifer.moore</v>
      </c>
      <c r="C559" s="28"/>
      <c r="D559" s="9" t="s">
        <v>857</v>
      </c>
      <c r="E559" s="47"/>
      <c r="F559" s="41" t="s">
        <v>1351</v>
      </c>
      <c r="G559" s="41"/>
      <c r="H559" s="38"/>
      <c r="I559" s="38">
        <v>3.3</v>
      </c>
      <c r="J559" s="38">
        <v>7.89</v>
      </c>
      <c r="K559" s="38">
        <v>0.73399999999999999</v>
      </c>
      <c r="L559" s="41"/>
    </row>
    <row r="560" spans="1:12" x14ac:dyDescent="0.25">
      <c r="A560" s="4"/>
      <c r="B560" s="28" t="str">
        <f>IF(ISNUMBER(MATCH(D560, Mgt_Unit!$C$5:$C$1018, 0)), INDEX(Mgt_Unit!$B$5:$B$1018, MATCH(D560, Mgt_Unit!$C$5:$C$1018, 0)), "")</f>
        <v>jennifer.moore</v>
      </c>
      <c r="C560" s="28"/>
      <c r="D560" s="9" t="s">
        <v>858</v>
      </c>
      <c r="E560" s="47"/>
      <c r="F560" s="41" t="s">
        <v>1351</v>
      </c>
      <c r="G560" s="41"/>
      <c r="H560" s="38"/>
      <c r="I560" s="38">
        <v>1.8</v>
      </c>
      <c r="J560" s="38">
        <v>7.81</v>
      </c>
      <c r="K560" s="38">
        <v>0.20200000000000001</v>
      </c>
      <c r="L560" s="41"/>
    </row>
    <row r="561" spans="1:12" x14ac:dyDescent="0.25">
      <c r="A561" s="4"/>
      <c r="B561" s="28" t="str">
        <f>IF(ISNUMBER(MATCH(D561, Mgt_Unit!$C$5:$C$1018, 0)), INDEX(Mgt_Unit!$B$5:$B$1018, MATCH(D561, Mgt_Unit!$C$5:$C$1018, 0)), "")</f>
        <v>jennifer.moore</v>
      </c>
      <c r="C561" s="28"/>
      <c r="D561" s="9" t="s">
        <v>859</v>
      </c>
      <c r="E561" s="47"/>
      <c r="F561" s="41" t="s">
        <v>1351</v>
      </c>
      <c r="G561" s="41"/>
      <c r="H561" s="38"/>
      <c r="I561" s="38">
        <v>1.8</v>
      </c>
      <c r="J561" s="38">
        <v>7.69</v>
      </c>
      <c r="K561" s="38">
        <v>0.248</v>
      </c>
      <c r="L561" s="41"/>
    </row>
    <row r="562" spans="1:12" x14ac:dyDescent="0.25">
      <c r="A562" s="4"/>
      <c r="B562" s="28" t="str">
        <f>IF(ISNUMBER(MATCH(D562, Mgt_Unit!$C$5:$C$1018, 0)), INDEX(Mgt_Unit!$B$5:$B$1018, MATCH(D562, Mgt_Unit!$C$5:$C$1018, 0)), "")</f>
        <v>jennifer.moore</v>
      </c>
      <c r="C562" s="28"/>
      <c r="D562" s="9" t="s">
        <v>859</v>
      </c>
      <c r="E562" s="47"/>
      <c r="F562" s="41" t="s">
        <v>1351</v>
      </c>
      <c r="G562" s="41"/>
      <c r="H562" s="38"/>
      <c r="I562" s="38">
        <v>1.9</v>
      </c>
      <c r="J562" s="38">
        <v>7.65</v>
      </c>
      <c r="K562" s="38">
        <v>0.25</v>
      </c>
      <c r="L562" s="41"/>
    </row>
    <row r="563" spans="1:12" x14ac:dyDescent="0.25">
      <c r="A563" s="4"/>
      <c r="B563" s="28" t="str">
        <f>IF(ISNUMBER(MATCH(D563, Mgt_Unit!$C$5:$C$1018, 0)), INDEX(Mgt_Unit!$B$5:$B$1018, MATCH(D563, Mgt_Unit!$C$5:$C$1018, 0)), "")</f>
        <v>jennifer.moore</v>
      </c>
      <c r="C563" s="28"/>
      <c r="D563" s="9" t="s">
        <v>857</v>
      </c>
      <c r="E563" s="47"/>
      <c r="F563" s="41" t="s">
        <v>1351</v>
      </c>
      <c r="G563" s="41"/>
      <c r="H563" s="38"/>
      <c r="I563" s="38">
        <v>3.2</v>
      </c>
      <c r="J563" s="38">
        <v>7.94</v>
      </c>
      <c r="K563" s="38">
        <v>0.58399999999999996</v>
      </c>
      <c r="L563" s="41"/>
    </row>
    <row r="564" spans="1:12" x14ac:dyDescent="0.25">
      <c r="A564" s="4"/>
      <c r="B564" s="28" t="str">
        <f>IF(ISNUMBER(MATCH(D564, Mgt_Unit!$C$5:$C$1018, 0)), INDEX(Mgt_Unit!$B$5:$B$1018, MATCH(D564, Mgt_Unit!$C$5:$C$1018, 0)), "")</f>
        <v>jennifer.moore</v>
      </c>
      <c r="C564" s="28"/>
      <c r="D564" s="9" t="s">
        <v>858</v>
      </c>
      <c r="E564" s="47"/>
      <c r="F564" s="41" t="s">
        <v>1351</v>
      </c>
      <c r="G564" s="41"/>
      <c r="H564" s="38"/>
      <c r="I564" s="38">
        <v>1.8</v>
      </c>
      <c r="J564" s="38">
        <v>7.96</v>
      </c>
      <c r="K564" s="38">
        <v>0.19900000000000001</v>
      </c>
      <c r="L564" s="41"/>
    </row>
    <row r="565" spans="1:12" x14ac:dyDescent="0.25">
      <c r="A565" s="4"/>
      <c r="B565" s="28" t="str">
        <f>IF(ISNUMBER(MATCH(D565, Mgt_Unit!$C$5:$C$1018, 0)), INDEX(Mgt_Unit!$B$5:$B$1018, MATCH(D565, Mgt_Unit!$C$5:$C$1018, 0)), "")</f>
        <v>jennifer.moore</v>
      </c>
      <c r="C565" s="28"/>
      <c r="D565" s="9" t="s">
        <v>856</v>
      </c>
      <c r="E565" s="47"/>
      <c r="F565" s="41" t="s">
        <v>1351</v>
      </c>
      <c r="G565" s="41"/>
      <c r="H565" s="38"/>
      <c r="I565" s="38">
        <v>2</v>
      </c>
      <c r="J565" s="38">
        <v>7.78</v>
      </c>
      <c r="K565" s="38">
        <v>0.34899999999999998</v>
      </c>
      <c r="L565" s="41"/>
    </row>
    <row r="566" spans="1:12" x14ac:dyDescent="0.25">
      <c r="A566" s="4"/>
      <c r="B566" s="28" t="str">
        <f>IF(ISNUMBER(MATCH(D566, Mgt_Unit!$C$5:$C$1018, 0)), INDEX(Mgt_Unit!$B$5:$B$1018, MATCH(D566, Mgt_Unit!$C$5:$C$1018, 0)), "")</f>
        <v>jennifer.moore</v>
      </c>
      <c r="C566" s="28"/>
      <c r="D566" s="9" t="s">
        <v>858</v>
      </c>
      <c r="E566" s="47"/>
      <c r="F566" s="41" t="s">
        <v>1351</v>
      </c>
      <c r="G566" s="41"/>
      <c r="H566" s="38"/>
      <c r="I566" s="38">
        <v>1.7</v>
      </c>
      <c r="J566" s="38"/>
      <c r="K566" s="38"/>
      <c r="L566" s="41"/>
    </row>
    <row r="567" spans="1:12" x14ac:dyDescent="0.25">
      <c r="A567" s="4"/>
      <c r="B567" s="28" t="str">
        <f>IF(ISNUMBER(MATCH(D567, Mgt_Unit!$C$5:$C$1018, 0)), INDEX(Mgt_Unit!$B$5:$B$1018, MATCH(D567, Mgt_Unit!$C$5:$C$1018, 0)), "")</f>
        <v>jennifer.moore</v>
      </c>
      <c r="C567" s="28"/>
      <c r="D567" s="9" t="s">
        <v>856</v>
      </c>
      <c r="E567" s="47"/>
      <c r="F567" s="41" t="s">
        <v>1351</v>
      </c>
      <c r="G567" s="41"/>
      <c r="H567" s="38"/>
      <c r="I567" s="38">
        <v>2.1</v>
      </c>
      <c r="J567" s="38">
        <v>7.59</v>
      </c>
      <c r="K567" s="38">
        <v>0.375</v>
      </c>
      <c r="L567" s="41"/>
    </row>
    <row r="568" spans="1:12" x14ac:dyDescent="0.25">
      <c r="A568" s="4"/>
      <c r="B568" s="28" t="str">
        <f>IF(ISNUMBER(MATCH(D568, Mgt_Unit!$C$5:$C$1018, 0)), INDEX(Mgt_Unit!$B$5:$B$1018, MATCH(D568, Mgt_Unit!$C$5:$C$1018, 0)), "")</f>
        <v>jennifer.moore</v>
      </c>
      <c r="C568" s="28"/>
      <c r="D568" s="9" t="s">
        <v>859</v>
      </c>
      <c r="E568" s="47"/>
      <c r="F568" s="41" t="s">
        <v>1351</v>
      </c>
      <c r="G568" s="41"/>
      <c r="H568" s="38"/>
      <c r="I568" s="38">
        <v>1.9</v>
      </c>
      <c r="J568" s="38">
        <v>7.81</v>
      </c>
      <c r="K568" s="38">
        <v>0.308</v>
      </c>
      <c r="L568" s="41"/>
    </row>
    <row r="569" spans="1:12" x14ac:dyDescent="0.25">
      <c r="A569" s="4"/>
      <c r="B569" s="28" t="str">
        <f>IF(ISNUMBER(MATCH(D569, Mgt_Unit!$C$5:$C$1018, 0)), INDEX(Mgt_Unit!$B$5:$B$1018, MATCH(D569, Mgt_Unit!$C$5:$C$1018, 0)), "")</f>
        <v>jennifer.moore</v>
      </c>
      <c r="C569" s="28"/>
      <c r="D569" s="9" t="s">
        <v>857</v>
      </c>
      <c r="E569" s="47"/>
      <c r="F569" s="41" t="s">
        <v>1351</v>
      </c>
      <c r="G569" s="41"/>
      <c r="H569" s="38"/>
      <c r="I569" s="38">
        <v>3.5</v>
      </c>
      <c r="J569" s="38">
        <v>7.93</v>
      </c>
      <c r="K569" s="38">
        <v>0.59</v>
      </c>
      <c r="L569" s="41"/>
    </row>
    <row r="570" spans="1:12" x14ac:dyDescent="0.25">
      <c r="A570" s="4"/>
      <c r="B570" s="28" t="str">
        <f>IF(ISNUMBER(MATCH(D570, Mgt_Unit!$C$5:$C$1018, 0)), INDEX(Mgt_Unit!$B$5:$B$1018, MATCH(D570, Mgt_Unit!$C$5:$C$1018, 0)), "")</f>
        <v>jennifer.moore</v>
      </c>
      <c r="C570" s="28"/>
      <c r="D570" s="9" t="s">
        <v>859</v>
      </c>
      <c r="E570" s="47"/>
      <c r="F570" s="41" t="s">
        <v>1351</v>
      </c>
      <c r="G570" s="41"/>
      <c r="H570" s="38"/>
      <c r="I570" s="38">
        <v>1.8</v>
      </c>
      <c r="J570" s="38">
        <v>7.82</v>
      </c>
      <c r="K570" s="38">
        <v>0.28199999999999997</v>
      </c>
      <c r="L570" s="41"/>
    </row>
    <row r="571" spans="1:12" x14ac:dyDescent="0.25">
      <c r="A571" s="4"/>
      <c r="B571" s="28" t="str">
        <f>IF(ISNUMBER(MATCH(D571, Mgt_Unit!$C$5:$C$1018, 0)), INDEX(Mgt_Unit!$B$5:$B$1018, MATCH(D571, Mgt_Unit!$C$5:$C$1018, 0)), "")</f>
        <v>jennifer.moore</v>
      </c>
      <c r="C571" s="28"/>
      <c r="D571" s="9" t="s">
        <v>857</v>
      </c>
      <c r="E571" s="47"/>
      <c r="F571" s="41" t="s">
        <v>1351</v>
      </c>
      <c r="G571" s="41"/>
      <c r="H571" s="38"/>
      <c r="I571" s="38">
        <v>3.8</v>
      </c>
      <c r="J571" s="38"/>
      <c r="K571" s="38"/>
      <c r="L571" s="41"/>
    </row>
    <row r="572" spans="1:12" x14ac:dyDescent="0.25">
      <c r="A572" s="4"/>
      <c r="B572" s="28" t="str">
        <f>IF(ISNUMBER(MATCH(D572, Mgt_Unit!$C$5:$C$1018, 0)), INDEX(Mgt_Unit!$B$5:$B$1018, MATCH(D572, Mgt_Unit!$C$5:$C$1018, 0)), "")</f>
        <v>jennifer.moore</v>
      </c>
      <c r="C572" s="28"/>
      <c r="D572" s="9" t="s">
        <v>856</v>
      </c>
      <c r="E572" s="47"/>
      <c r="F572" s="41" t="s">
        <v>1351</v>
      </c>
      <c r="G572" s="41"/>
      <c r="H572" s="38"/>
      <c r="I572" s="38">
        <v>2.2999999999999998</v>
      </c>
      <c r="J572" s="38">
        <v>7.83</v>
      </c>
      <c r="K572" s="38">
        <v>0.379</v>
      </c>
      <c r="L572" s="41"/>
    </row>
    <row r="573" spans="1:12" x14ac:dyDescent="0.25">
      <c r="A573" s="4"/>
      <c r="B573" s="28" t="str">
        <f>IF(ISNUMBER(MATCH(D573, Mgt_Unit!$C$5:$C$1018, 0)), INDEX(Mgt_Unit!$B$5:$B$1018, MATCH(D573, Mgt_Unit!$C$5:$C$1018, 0)), "")</f>
        <v>jennifer.moore</v>
      </c>
      <c r="C573" s="28"/>
      <c r="D573" s="9" t="s">
        <v>858</v>
      </c>
      <c r="E573" s="47"/>
      <c r="F573" s="41" t="s">
        <v>1351</v>
      </c>
      <c r="G573" s="41"/>
      <c r="H573" s="38"/>
      <c r="I573" s="38">
        <v>1.9</v>
      </c>
      <c r="J573" s="38">
        <v>7.68</v>
      </c>
      <c r="K573" s="38">
        <v>0.19700000000000001</v>
      </c>
      <c r="L573" s="41"/>
    </row>
    <row r="574" spans="1:12" x14ac:dyDescent="0.25">
      <c r="A574" s="4"/>
      <c r="B574" s="28" t="str">
        <f>IF(ISNUMBER(MATCH(D574, Mgt_Unit!$C$5:$C$1018, 0)), INDEX(Mgt_Unit!$B$5:$B$1018, MATCH(D574, Mgt_Unit!$C$5:$C$1018, 0)), "")</f>
        <v>jennifer.moore</v>
      </c>
      <c r="C574" s="28"/>
      <c r="D574" s="9" t="s">
        <v>860</v>
      </c>
      <c r="E574" s="47"/>
      <c r="F574" s="41" t="s">
        <v>1351</v>
      </c>
      <c r="G574" s="41"/>
      <c r="H574" s="38"/>
      <c r="I574" s="38">
        <v>4.3</v>
      </c>
      <c r="J574" s="38">
        <v>6.79</v>
      </c>
      <c r="K574" s="38">
        <v>0.11899999999999999</v>
      </c>
      <c r="L574" s="41"/>
    </row>
    <row r="575" spans="1:12" x14ac:dyDescent="0.25">
      <c r="A575" s="4"/>
      <c r="B575" s="28" t="str">
        <f>IF(ISNUMBER(MATCH(D575, Mgt_Unit!$C$5:$C$1018, 0)), INDEX(Mgt_Unit!$B$5:$B$1018, MATCH(D575, Mgt_Unit!$C$5:$C$1018, 0)), "")</f>
        <v>jennifer.moore</v>
      </c>
      <c r="C575" s="28"/>
      <c r="D575" s="9" t="s">
        <v>866</v>
      </c>
      <c r="E575" s="47"/>
      <c r="F575" s="41" t="s">
        <v>1351</v>
      </c>
      <c r="G575" s="41"/>
      <c r="H575" s="38"/>
      <c r="I575" s="38">
        <v>5.0999999999999996</v>
      </c>
      <c r="J575" s="38">
        <v>6.46</v>
      </c>
      <c r="K575" s="38">
        <v>0.129</v>
      </c>
      <c r="L575" s="41"/>
    </row>
    <row r="576" spans="1:12" x14ac:dyDescent="0.25">
      <c r="A576" s="4"/>
      <c r="B576" s="28" t="str">
        <f>IF(ISNUMBER(MATCH(D576, Mgt_Unit!$C$5:$C$1018, 0)), INDEX(Mgt_Unit!$B$5:$B$1018, MATCH(D576, Mgt_Unit!$C$5:$C$1018, 0)), "")</f>
        <v>jennifer.moore</v>
      </c>
      <c r="C576" s="28"/>
      <c r="D576" s="9" t="s">
        <v>863</v>
      </c>
      <c r="E576" s="47"/>
      <c r="F576" s="41" t="s">
        <v>1351</v>
      </c>
      <c r="G576" s="41"/>
      <c r="H576" s="38"/>
      <c r="I576" s="38">
        <v>4.0999999999999996</v>
      </c>
      <c r="J576" s="38">
        <v>6.71</v>
      </c>
      <c r="K576" s="38">
        <v>0.109</v>
      </c>
      <c r="L576" s="41"/>
    </row>
    <row r="577" spans="1:12" x14ac:dyDescent="0.25">
      <c r="A577" s="4"/>
      <c r="B577" s="28" t="str">
        <f>IF(ISNUMBER(MATCH(D577, Mgt_Unit!$C$5:$C$1018, 0)), INDEX(Mgt_Unit!$B$5:$B$1018, MATCH(D577, Mgt_Unit!$C$5:$C$1018, 0)), "")</f>
        <v>jennifer.moore</v>
      </c>
      <c r="C577" s="28"/>
      <c r="D577" s="9" t="s">
        <v>860</v>
      </c>
      <c r="E577" s="47"/>
      <c r="F577" s="41" t="s">
        <v>1351</v>
      </c>
      <c r="G577" s="41"/>
      <c r="H577" s="38"/>
      <c r="I577" s="38">
        <v>4.4000000000000004</v>
      </c>
      <c r="J577" s="38">
        <v>6.79</v>
      </c>
      <c r="K577" s="38">
        <v>0.151</v>
      </c>
      <c r="L577" s="41"/>
    </row>
    <row r="578" spans="1:12" x14ac:dyDescent="0.25">
      <c r="A578" s="4"/>
      <c r="B578" s="28" t="str">
        <f>IF(ISNUMBER(MATCH(D578, Mgt_Unit!$C$5:$C$1018, 0)), INDEX(Mgt_Unit!$B$5:$B$1018, MATCH(D578, Mgt_Unit!$C$5:$C$1018, 0)), "")</f>
        <v>jennifer.moore</v>
      </c>
      <c r="C578" s="28"/>
      <c r="D578" s="9" t="s">
        <v>860</v>
      </c>
      <c r="E578" s="47"/>
      <c r="F578" s="41" t="s">
        <v>1351</v>
      </c>
      <c r="G578" s="41"/>
      <c r="H578" s="38"/>
      <c r="I578" s="38">
        <v>4.8</v>
      </c>
      <c r="J578" s="38">
        <v>6.65</v>
      </c>
      <c r="K578" s="38">
        <v>0.114</v>
      </c>
      <c r="L578" s="41"/>
    </row>
    <row r="579" spans="1:12" x14ac:dyDescent="0.25">
      <c r="A579" s="4"/>
      <c r="B579" s="28" t="str">
        <f>IF(ISNUMBER(MATCH(D579, Mgt_Unit!$C$5:$C$1018, 0)), INDEX(Mgt_Unit!$B$5:$B$1018, MATCH(D579, Mgt_Unit!$C$5:$C$1018, 0)), "")</f>
        <v>jennifer.moore</v>
      </c>
      <c r="C579" s="28"/>
      <c r="D579" s="9" t="s">
        <v>860</v>
      </c>
      <c r="E579" s="47"/>
      <c r="F579" s="41" t="s">
        <v>1351</v>
      </c>
      <c r="G579" s="41"/>
      <c r="H579" s="38"/>
      <c r="I579" s="38">
        <v>4.7</v>
      </c>
      <c r="J579" s="38">
        <v>6.64</v>
      </c>
      <c r="K579" s="38">
        <v>0.13100000000000001</v>
      </c>
      <c r="L579" s="41"/>
    </row>
    <row r="580" spans="1:12" x14ac:dyDescent="0.25">
      <c r="A580" s="4"/>
      <c r="B580" s="28" t="str">
        <f>IF(ISNUMBER(MATCH(D580, Mgt_Unit!$C$5:$C$1018, 0)), INDEX(Mgt_Unit!$B$5:$B$1018, MATCH(D580, Mgt_Unit!$C$5:$C$1018, 0)), "")</f>
        <v>jennifer.moore</v>
      </c>
      <c r="C580" s="28"/>
      <c r="D580" s="9" t="s">
        <v>866</v>
      </c>
      <c r="E580" s="47"/>
      <c r="F580" s="41" t="s">
        <v>1351</v>
      </c>
      <c r="G580" s="41"/>
      <c r="H580" s="38"/>
      <c r="I580" s="38">
        <v>4.9000000000000004</v>
      </c>
      <c r="J580" s="38">
        <v>5.85</v>
      </c>
      <c r="K580" s="38">
        <v>0.104</v>
      </c>
      <c r="L580" s="41"/>
    </row>
    <row r="581" spans="1:12" x14ac:dyDescent="0.25">
      <c r="A581" s="4"/>
      <c r="B581" s="28" t="str">
        <f>IF(ISNUMBER(MATCH(D581, Mgt_Unit!$C$5:$C$1018, 0)), INDEX(Mgt_Unit!$B$5:$B$1018, MATCH(D581, Mgt_Unit!$C$5:$C$1018, 0)), "")</f>
        <v>jennifer.moore</v>
      </c>
      <c r="C581" s="28"/>
      <c r="D581" s="9" t="s">
        <v>866</v>
      </c>
      <c r="E581" s="47"/>
      <c r="F581" s="41" t="s">
        <v>1351</v>
      </c>
      <c r="G581" s="41"/>
      <c r="H581" s="38"/>
      <c r="I581" s="38">
        <v>5.6</v>
      </c>
      <c r="J581" s="38">
        <v>6.16</v>
      </c>
      <c r="K581" s="38">
        <v>0.13300000000000001</v>
      </c>
      <c r="L581" s="41"/>
    </row>
    <row r="582" spans="1:12" x14ac:dyDescent="0.25">
      <c r="A582" s="4"/>
      <c r="B582" s="28" t="str">
        <f>IF(ISNUMBER(MATCH(D582, Mgt_Unit!$C$5:$C$1018, 0)), INDEX(Mgt_Unit!$B$5:$B$1018, MATCH(D582, Mgt_Unit!$C$5:$C$1018, 0)), "")</f>
        <v>jennifer.moore</v>
      </c>
      <c r="C582" s="28"/>
      <c r="D582" s="9" t="s">
        <v>863</v>
      </c>
      <c r="E582" s="47"/>
      <c r="F582" s="41" t="s">
        <v>1351</v>
      </c>
      <c r="G582" s="41"/>
      <c r="H582" s="38"/>
      <c r="I582" s="38">
        <v>3.6</v>
      </c>
      <c r="J582" s="38">
        <v>6.56</v>
      </c>
      <c r="K582" s="38">
        <v>0.10199999999999999</v>
      </c>
      <c r="L582" s="41"/>
    </row>
    <row r="583" spans="1:12" x14ac:dyDescent="0.25">
      <c r="A583" s="4"/>
      <c r="B583" s="28" t="str">
        <f>IF(ISNUMBER(MATCH(D583, Mgt_Unit!$C$5:$C$1018, 0)), INDEX(Mgt_Unit!$B$5:$B$1018, MATCH(D583, Mgt_Unit!$C$5:$C$1018, 0)), "")</f>
        <v>jennifer.moore</v>
      </c>
      <c r="C583" s="28"/>
      <c r="D583" s="9" t="s">
        <v>863</v>
      </c>
      <c r="E583" s="47"/>
      <c r="F583" s="41" t="s">
        <v>1351</v>
      </c>
      <c r="G583" s="41"/>
      <c r="H583" s="38"/>
      <c r="I583" s="38">
        <v>4.0999999999999996</v>
      </c>
      <c r="J583" s="38">
        <v>6.58</v>
      </c>
      <c r="K583" s="38">
        <v>0.12</v>
      </c>
      <c r="L583" s="41"/>
    </row>
    <row r="584" spans="1:12" x14ac:dyDescent="0.25">
      <c r="A584" s="4"/>
      <c r="B584" s="28" t="str">
        <f>IF(ISNUMBER(MATCH(D584, Mgt_Unit!$C$5:$C$1018, 0)), INDEX(Mgt_Unit!$B$5:$B$1018, MATCH(D584, Mgt_Unit!$C$5:$C$1018, 0)), "")</f>
        <v>jennifer.moore</v>
      </c>
      <c r="C584" s="28"/>
      <c r="D584" s="9" t="s">
        <v>861</v>
      </c>
      <c r="E584" s="47"/>
      <c r="F584" s="41" t="s">
        <v>1351</v>
      </c>
      <c r="G584" s="41"/>
      <c r="H584" s="38"/>
      <c r="I584" s="38">
        <v>4.3</v>
      </c>
      <c r="J584" s="38">
        <v>6.71</v>
      </c>
      <c r="K584" s="38">
        <v>0.13600000000000001</v>
      </c>
      <c r="L584" s="41"/>
    </row>
    <row r="585" spans="1:12" x14ac:dyDescent="0.25">
      <c r="A585" s="4"/>
      <c r="B585" s="28" t="str">
        <f>IF(ISNUMBER(MATCH(D585, Mgt_Unit!$C$5:$C$1018, 0)), INDEX(Mgt_Unit!$B$5:$B$1018, MATCH(D585, Mgt_Unit!$C$5:$C$1018, 0)), "")</f>
        <v>jennifer.moore</v>
      </c>
      <c r="C585" s="28"/>
      <c r="D585" s="9" t="s">
        <v>861</v>
      </c>
      <c r="E585" s="47"/>
      <c r="F585" s="41" t="s">
        <v>1351</v>
      </c>
      <c r="G585" s="41"/>
      <c r="H585" s="38"/>
      <c r="I585" s="38">
        <v>4.3</v>
      </c>
      <c r="J585" s="38">
        <v>6.67</v>
      </c>
      <c r="K585" s="38">
        <v>0.14299999999999999</v>
      </c>
      <c r="L585" s="41"/>
    </row>
    <row r="586" spans="1:12" x14ac:dyDescent="0.25">
      <c r="A586" s="4"/>
      <c r="B586" s="28" t="str">
        <f>IF(ISNUMBER(MATCH(D586, Mgt_Unit!$C$5:$C$1018, 0)), INDEX(Mgt_Unit!$B$5:$B$1018, MATCH(D586, Mgt_Unit!$C$5:$C$1018, 0)), "")</f>
        <v>jennifer.moore</v>
      </c>
      <c r="C586" s="28"/>
      <c r="D586" s="9" t="s">
        <v>867</v>
      </c>
      <c r="E586" s="47"/>
      <c r="F586" s="41" t="s">
        <v>1351</v>
      </c>
      <c r="G586" s="41"/>
      <c r="H586" s="38"/>
      <c r="I586" s="38">
        <v>4.8</v>
      </c>
      <c r="J586" s="38">
        <v>6.22</v>
      </c>
      <c r="K586" s="38">
        <v>0.10199999999999999</v>
      </c>
      <c r="L586" s="41"/>
    </row>
    <row r="587" spans="1:12" x14ac:dyDescent="0.25">
      <c r="A587" s="4"/>
      <c r="B587" s="28" t="str">
        <f>IF(ISNUMBER(MATCH(D587, Mgt_Unit!$C$5:$C$1018, 0)), INDEX(Mgt_Unit!$B$5:$B$1018, MATCH(D587, Mgt_Unit!$C$5:$C$1018, 0)), "")</f>
        <v>jennifer.moore</v>
      </c>
      <c r="C587" s="28"/>
      <c r="D587" s="9" t="s">
        <v>867</v>
      </c>
      <c r="E587" s="47"/>
      <c r="F587" s="41" t="s">
        <v>1351</v>
      </c>
      <c r="G587" s="41"/>
      <c r="H587" s="38"/>
      <c r="I587" s="38">
        <v>4.5999999999999996</v>
      </c>
      <c r="J587" s="38">
        <v>6.1</v>
      </c>
      <c r="K587" s="38">
        <v>0.105</v>
      </c>
      <c r="L587" s="41"/>
    </row>
    <row r="588" spans="1:12" x14ac:dyDescent="0.25">
      <c r="A588" s="4"/>
      <c r="B588" s="28" t="str">
        <f>IF(ISNUMBER(MATCH(D588, Mgt_Unit!$C$5:$C$1018, 0)), INDEX(Mgt_Unit!$B$5:$B$1018, MATCH(D588, Mgt_Unit!$C$5:$C$1018, 0)), "")</f>
        <v>jennifer.moore</v>
      </c>
      <c r="C588" s="28"/>
      <c r="D588" s="9" t="s">
        <v>867</v>
      </c>
      <c r="E588" s="47"/>
      <c r="F588" s="41" t="s">
        <v>1351</v>
      </c>
      <c r="G588" s="41"/>
      <c r="H588" s="38"/>
      <c r="I588" s="38">
        <v>5.5</v>
      </c>
      <c r="J588" s="38">
        <v>6.31</v>
      </c>
      <c r="K588" s="38">
        <v>0.15</v>
      </c>
      <c r="L588" s="41"/>
    </row>
    <row r="589" spans="1:12" x14ac:dyDescent="0.25">
      <c r="A589" s="4"/>
      <c r="B589" s="28" t="str">
        <f>IF(ISNUMBER(MATCH(D589, Mgt_Unit!$C$5:$C$1018, 0)), INDEX(Mgt_Unit!$B$5:$B$1018, MATCH(D589, Mgt_Unit!$C$5:$C$1018, 0)), "")</f>
        <v>jennifer.moore</v>
      </c>
      <c r="C589" s="28"/>
      <c r="D589" s="9" t="s">
        <v>864</v>
      </c>
      <c r="E589" s="47"/>
      <c r="F589" s="41" t="s">
        <v>1351</v>
      </c>
      <c r="G589" s="41"/>
      <c r="H589" s="38"/>
      <c r="I589" s="38">
        <v>4</v>
      </c>
      <c r="J589" s="38">
        <v>6.73</v>
      </c>
      <c r="K589" s="38">
        <v>0.13500000000000001</v>
      </c>
      <c r="L589" s="41"/>
    </row>
    <row r="590" spans="1:12" x14ac:dyDescent="0.25">
      <c r="A590" s="4"/>
      <c r="B590" s="28" t="str">
        <f>IF(ISNUMBER(MATCH(D590, Mgt_Unit!$C$5:$C$1018, 0)), INDEX(Mgt_Unit!$B$5:$B$1018, MATCH(D590, Mgt_Unit!$C$5:$C$1018, 0)), "")</f>
        <v>jennifer.moore</v>
      </c>
      <c r="C590" s="28"/>
      <c r="D590" s="9" t="s">
        <v>864</v>
      </c>
      <c r="E590" s="47"/>
      <c r="F590" s="41" t="s">
        <v>1351</v>
      </c>
      <c r="G590" s="41"/>
      <c r="H590" s="38"/>
      <c r="I590" s="38">
        <v>3.8</v>
      </c>
      <c r="J590" s="38">
        <v>6.66</v>
      </c>
      <c r="K590" s="38">
        <v>9.7600000000000006E-2</v>
      </c>
      <c r="L590" s="41"/>
    </row>
    <row r="591" spans="1:12" x14ac:dyDescent="0.25">
      <c r="A591" s="4"/>
      <c r="B591" s="28" t="str">
        <f>IF(ISNUMBER(MATCH(D591, Mgt_Unit!$C$5:$C$1018, 0)), INDEX(Mgt_Unit!$B$5:$B$1018, MATCH(D591, Mgt_Unit!$C$5:$C$1018, 0)), "")</f>
        <v>jennifer.moore</v>
      </c>
      <c r="C591" s="28"/>
      <c r="D591" s="9" t="s">
        <v>864</v>
      </c>
      <c r="E591" s="47"/>
      <c r="F591" s="41" t="s">
        <v>1351</v>
      </c>
      <c r="G591" s="41"/>
      <c r="H591" s="38"/>
      <c r="I591" s="38">
        <v>3.6</v>
      </c>
      <c r="J591" s="38">
        <v>6.72</v>
      </c>
      <c r="K591" s="38">
        <v>0.115</v>
      </c>
      <c r="L591" s="41"/>
    </row>
    <row r="592" spans="1:12" x14ac:dyDescent="0.25">
      <c r="A592" s="4"/>
      <c r="B592" s="28" t="str">
        <f>IF(ISNUMBER(MATCH(D592, Mgt_Unit!$C$5:$C$1018, 0)), INDEX(Mgt_Unit!$B$5:$B$1018, MATCH(D592, Mgt_Unit!$C$5:$C$1018, 0)), "")</f>
        <v>jennifer.moore</v>
      </c>
      <c r="C592" s="28"/>
      <c r="D592" s="9" t="s">
        <v>862</v>
      </c>
      <c r="E592" s="47"/>
      <c r="F592" s="41" t="s">
        <v>1351</v>
      </c>
      <c r="G592" s="41"/>
      <c r="H592" s="38"/>
      <c r="I592" s="38">
        <v>4.3</v>
      </c>
      <c r="J592" s="38">
        <v>6.5</v>
      </c>
      <c r="K592" s="38">
        <v>0.157</v>
      </c>
      <c r="L592" s="41"/>
    </row>
    <row r="593" spans="1:12" x14ac:dyDescent="0.25">
      <c r="A593" s="4"/>
      <c r="B593" s="28" t="str">
        <f>IF(ISNUMBER(MATCH(D593, Mgt_Unit!$C$5:$C$1018, 0)), INDEX(Mgt_Unit!$B$5:$B$1018, MATCH(D593, Mgt_Unit!$C$5:$C$1018, 0)), "")</f>
        <v>jennifer.moore</v>
      </c>
      <c r="C593" s="28"/>
      <c r="D593" s="9" t="s">
        <v>862</v>
      </c>
      <c r="E593" s="47"/>
      <c r="F593" s="41" t="s">
        <v>1351</v>
      </c>
      <c r="G593" s="41"/>
      <c r="H593" s="38"/>
      <c r="I593" s="38">
        <v>3.5</v>
      </c>
      <c r="J593" s="38">
        <v>6.51</v>
      </c>
      <c r="K593" s="38">
        <v>0.129</v>
      </c>
      <c r="L593" s="41"/>
    </row>
    <row r="594" spans="1:12" x14ac:dyDescent="0.25">
      <c r="A594" s="4"/>
      <c r="B594" s="28" t="str">
        <f>IF(ISNUMBER(MATCH(D594, Mgt_Unit!$C$5:$C$1018, 0)), INDEX(Mgt_Unit!$B$5:$B$1018, MATCH(D594, Mgt_Unit!$C$5:$C$1018, 0)), "")</f>
        <v>jennifer.moore</v>
      </c>
      <c r="C594" s="28"/>
      <c r="D594" s="9" t="s">
        <v>862</v>
      </c>
      <c r="E594" s="47"/>
      <c r="F594" s="41" t="s">
        <v>1351</v>
      </c>
      <c r="G594" s="41"/>
      <c r="H594" s="38"/>
      <c r="I594" s="38">
        <v>3.8</v>
      </c>
      <c r="J594" s="38">
        <v>6.55</v>
      </c>
      <c r="K594" s="38">
        <v>0.151</v>
      </c>
      <c r="L594" s="41"/>
    </row>
    <row r="595" spans="1:12" x14ac:dyDescent="0.25">
      <c r="A595" s="4"/>
      <c r="B595" s="28" t="str">
        <f>IF(ISNUMBER(MATCH(D595, Mgt_Unit!$C$5:$C$1018, 0)), INDEX(Mgt_Unit!$B$5:$B$1018, MATCH(D595, Mgt_Unit!$C$5:$C$1018, 0)), "")</f>
        <v>jennifer.moore</v>
      </c>
      <c r="C595" s="28"/>
      <c r="D595" s="9" t="s">
        <v>868</v>
      </c>
      <c r="E595" s="47"/>
      <c r="F595" s="41" t="s">
        <v>1351</v>
      </c>
      <c r="G595" s="41"/>
      <c r="H595" s="38"/>
      <c r="I595" s="38">
        <v>5.5</v>
      </c>
      <c r="J595" s="38">
        <v>6.29</v>
      </c>
      <c r="K595" s="38">
        <v>0.14299999999999999</v>
      </c>
      <c r="L595" s="41"/>
    </row>
    <row r="596" spans="1:12" x14ac:dyDescent="0.25">
      <c r="A596" s="4"/>
      <c r="B596" s="28" t="str">
        <f>IF(ISNUMBER(MATCH(D596, Mgt_Unit!$C$5:$C$1018, 0)), INDEX(Mgt_Unit!$B$5:$B$1018, MATCH(D596, Mgt_Unit!$C$5:$C$1018, 0)), "")</f>
        <v>jennifer.moore</v>
      </c>
      <c r="C596" s="28"/>
      <c r="D596" s="9" t="s">
        <v>868</v>
      </c>
      <c r="E596" s="47"/>
      <c r="F596" s="41" t="s">
        <v>1351</v>
      </c>
      <c r="G596" s="41"/>
      <c r="H596" s="38"/>
      <c r="I596" s="38">
        <v>4.2</v>
      </c>
      <c r="J596" s="38">
        <v>6.23</v>
      </c>
      <c r="K596" s="38">
        <v>0.108</v>
      </c>
      <c r="L596" s="41"/>
    </row>
    <row r="597" spans="1:12" x14ac:dyDescent="0.25">
      <c r="A597" s="4"/>
      <c r="B597" s="28" t="str">
        <f>IF(ISNUMBER(MATCH(D597, Mgt_Unit!$C$5:$C$1018, 0)), INDEX(Mgt_Unit!$B$5:$B$1018, MATCH(D597, Mgt_Unit!$C$5:$C$1018, 0)), "")</f>
        <v>jennifer.moore</v>
      </c>
      <c r="C597" s="28"/>
      <c r="D597" s="9" t="s">
        <v>868</v>
      </c>
      <c r="E597" s="47"/>
      <c r="F597" s="41" t="s">
        <v>1351</v>
      </c>
      <c r="G597" s="41"/>
      <c r="H597" s="38"/>
      <c r="I597" s="38">
        <v>4</v>
      </c>
      <c r="J597" s="38">
        <v>6.43</v>
      </c>
      <c r="K597" s="38">
        <v>0.13200000000000001</v>
      </c>
      <c r="L597" s="41"/>
    </row>
    <row r="598" spans="1:12" x14ac:dyDescent="0.25">
      <c r="A598" s="4"/>
      <c r="B598" s="28" t="str">
        <f>IF(ISNUMBER(MATCH(D598, Mgt_Unit!$C$5:$C$1018, 0)), INDEX(Mgt_Unit!$B$5:$B$1018, MATCH(D598, Mgt_Unit!$C$5:$C$1018, 0)), "")</f>
        <v>jennifer.moore</v>
      </c>
      <c r="C598" s="28"/>
      <c r="D598" s="9" t="s">
        <v>865</v>
      </c>
      <c r="E598" s="47"/>
      <c r="F598" s="41" t="s">
        <v>1351</v>
      </c>
      <c r="G598" s="41"/>
      <c r="H598" s="38"/>
      <c r="I598" s="38">
        <v>4.5999999999999996</v>
      </c>
      <c r="J598" s="38">
        <v>6.41</v>
      </c>
      <c r="K598" s="38">
        <v>0.19900000000000001</v>
      </c>
      <c r="L598" s="41"/>
    </row>
    <row r="599" spans="1:12" x14ac:dyDescent="0.25">
      <c r="A599" s="4"/>
      <c r="B599" s="28" t="str">
        <f>IF(ISNUMBER(MATCH(D599, Mgt_Unit!$C$5:$C$1018, 0)), INDEX(Mgt_Unit!$B$5:$B$1018, MATCH(D599, Mgt_Unit!$C$5:$C$1018, 0)), "")</f>
        <v>jennifer.moore</v>
      </c>
      <c r="C599" s="28"/>
      <c r="D599" s="9" t="s">
        <v>865</v>
      </c>
      <c r="E599" s="47"/>
      <c r="F599" s="41" t="s">
        <v>1351</v>
      </c>
      <c r="G599" s="41"/>
      <c r="H599" s="38"/>
      <c r="I599" s="38">
        <v>3.5</v>
      </c>
      <c r="J599" s="38">
        <v>6.5</v>
      </c>
      <c r="K599" s="38">
        <v>0.107</v>
      </c>
      <c r="L599" s="41"/>
    </row>
    <row r="600" spans="1:12" x14ac:dyDescent="0.25">
      <c r="A600" s="4"/>
      <c r="B600" s="28" t="str">
        <f>IF(ISNUMBER(MATCH(D600, Mgt_Unit!$C$5:$C$1018, 0)), INDEX(Mgt_Unit!$B$5:$B$1018, MATCH(D600, Mgt_Unit!$C$5:$C$1018, 0)), "")</f>
        <v>jennifer.moore</v>
      </c>
      <c r="C600" s="28"/>
      <c r="D600" s="9" t="s">
        <v>865</v>
      </c>
      <c r="E600" s="47"/>
      <c r="F600" s="41" t="s">
        <v>1351</v>
      </c>
      <c r="G600" s="41"/>
      <c r="H600" s="38"/>
      <c r="I600" s="38">
        <v>3.4</v>
      </c>
      <c r="J600" s="38">
        <v>6.7</v>
      </c>
      <c r="K600" s="38">
        <v>0.114</v>
      </c>
      <c r="L600" s="41"/>
    </row>
    <row r="601" spans="1:12" x14ac:dyDescent="0.25">
      <c r="A601" s="4"/>
      <c r="B601" s="28" t="str">
        <f>IF(ISNUMBER(MATCH(D601, Mgt_Unit!$C$5:$C$1018, 0)), INDEX(Mgt_Unit!$B$5:$B$1018, MATCH(D601, Mgt_Unit!$C$5:$C$1018, 0)), "")</f>
        <v>jennifer.moore</v>
      </c>
      <c r="C601" s="28"/>
      <c r="D601" s="9" t="s">
        <v>869</v>
      </c>
      <c r="E601" s="47"/>
      <c r="F601" s="41" t="s">
        <v>1351</v>
      </c>
      <c r="G601" s="41"/>
      <c r="H601" s="38"/>
      <c r="I601" s="38">
        <v>2.8</v>
      </c>
      <c r="J601" s="38">
        <v>5.24</v>
      </c>
      <c r="K601" s="38">
        <v>6.25E-2</v>
      </c>
      <c r="L601" s="41"/>
    </row>
    <row r="602" spans="1:12" x14ac:dyDescent="0.25">
      <c r="A602" s="4"/>
      <c r="B602" s="28" t="str">
        <f>IF(ISNUMBER(MATCH(D602, Mgt_Unit!$C$5:$C$1018, 0)), INDEX(Mgt_Unit!$B$5:$B$1018, MATCH(D602, Mgt_Unit!$C$5:$C$1018, 0)), "")</f>
        <v>jennifer.moore</v>
      </c>
      <c r="C602" s="28"/>
      <c r="D602" s="9" t="s">
        <v>869</v>
      </c>
      <c r="E602" s="47"/>
      <c r="F602" s="41" t="s">
        <v>1351</v>
      </c>
      <c r="G602" s="41"/>
      <c r="H602" s="38"/>
      <c r="I602" s="38">
        <v>3</v>
      </c>
      <c r="J602" s="38">
        <v>5.16</v>
      </c>
      <c r="K602" s="38">
        <v>8.1100000000000005E-2</v>
      </c>
      <c r="L602" s="41"/>
    </row>
    <row r="603" spans="1:12" x14ac:dyDescent="0.25">
      <c r="A603" s="4"/>
      <c r="B603" s="28" t="str">
        <f>IF(ISNUMBER(MATCH(D603, Mgt_Unit!$C$5:$C$1018, 0)), INDEX(Mgt_Unit!$B$5:$B$1018, MATCH(D603, Mgt_Unit!$C$5:$C$1018, 0)), "")</f>
        <v>jennifer.moore</v>
      </c>
      <c r="C603" s="28"/>
      <c r="D603" s="9" t="s">
        <v>869</v>
      </c>
      <c r="E603" s="47"/>
      <c r="F603" s="41" t="s">
        <v>1351</v>
      </c>
      <c r="G603" s="41"/>
      <c r="H603" s="38"/>
      <c r="I603" s="38">
        <v>2.2999999999999998</v>
      </c>
      <c r="J603" s="38">
        <v>5.05</v>
      </c>
      <c r="K603" s="38">
        <v>5.5300000000000002E-2</v>
      </c>
      <c r="L603" s="41"/>
    </row>
    <row r="604" spans="1:12" x14ac:dyDescent="0.25">
      <c r="A604" s="4"/>
      <c r="B604" s="28" t="str">
        <f>IF(ISNUMBER(MATCH(D604, Mgt_Unit!$C$5:$C$1018, 0)), INDEX(Mgt_Unit!$B$5:$B$1018, MATCH(D604, Mgt_Unit!$C$5:$C$1018, 0)), "")</f>
        <v>jennifer.moore</v>
      </c>
      <c r="C604" s="28"/>
      <c r="D604" s="9" t="s">
        <v>869</v>
      </c>
      <c r="E604" s="47"/>
      <c r="F604" s="41" t="s">
        <v>1351</v>
      </c>
      <c r="G604" s="41"/>
      <c r="H604" s="38"/>
      <c r="I604" s="38">
        <v>2.5</v>
      </c>
      <c r="J604" s="38">
        <v>5.1100000000000003</v>
      </c>
      <c r="K604" s="38">
        <v>6.2700000000000006E-2</v>
      </c>
      <c r="L604" s="41"/>
    </row>
    <row r="605" spans="1:12" x14ac:dyDescent="0.25">
      <c r="A605" s="4"/>
      <c r="B605" s="28" t="str">
        <f>IF(ISNUMBER(MATCH(D605, Mgt_Unit!$C$5:$C$1018, 0)), INDEX(Mgt_Unit!$B$5:$B$1018, MATCH(D605, Mgt_Unit!$C$5:$C$1018, 0)), "")</f>
        <v>jennifer.moore</v>
      </c>
      <c r="C605" s="28"/>
      <c r="D605" s="9" t="s">
        <v>871</v>
      </c>
      <c r="E605" s="47"/>
      <c r="F605" s="41" t="s">
        <v>1351</v>
      </c>
      <c r="G605" s="41"/>
      <c r="H605" s="38"/>
      <c r="I605" s="38">
        <v>2.9</v>
      </c>
      <c r="J605" s="38">
        <v>4.99</v>
      </c>
      <c r="K605" s="38">
        <v>7.0499999999999993E-2</v>
      </c>
      <c r="L605" s="41"/>
    </row>
    <row r="606" spans="1:12" x14ac:dyDescent="0.25">
      <c r="A606" s="4"/>
      <c r="B606" s="28" t="str">
        <f>IF(ISNUMBER(MATCH(D606, Mgt_Unit!$C$5:$C$1018, 0)), INDEX(Mgt_Unit!$B$5:$B$1018, MATCH(D606, Mgt_Unit!$C$5:$C$1018, 0)), "")</f>
        <v>jennifer.moore</v>
      </c>
      <c r="C606" s="28"/>
      <c r="D606" s="9" t="s">
        <v>871</v>
      </c>
      <c r="E606" s="47"/>
      <c r="F606" s="41" t="s">
        <v>1351</v>
      </c>
      <c r="G606" s="41"/>
      <c r="H606" s="38"/>
      <c r="I606" s="38">
        <v>3.1</v>
      </c>
      <c r="J606" s="38">
        <v>5.2</v>
      </c>
      <c r="K606" s="38">
        <v>7.46E-2</v>
      </c>
      <c r="L606" s="41"/>
    </row>
    <row r="607" spans="1:12" x14ac:dyDescent="0.25">
      <c r="A607" s="4"/>
      <c r="B607" s="28" t="str">
        <f>IF(ISNUMBER(MATCH(D607, Mgt_Unit!$C$5:$C$1018, 0)), INDEX(Mgt_Unit!$B$5:$B$1018, MATCH(D607, Mgt_Unit!$C$5:$C$1018, 0)), "")</f>
        <v>jennifer.moore</v>
      </c>
      <c r="C607" s="28"/>
      <c r="D607" s="9" t="s">
        <v>871</v>
      </c>
      <c r="E607" s="47"/>
      <c r="F607" s="41" t="s">
        <v>1351</v>
      </c>
      <c r="G607" s="41"/>
      <c r="H607" s="38"/>
      <c r="I607" s="38">
        <v>3</v>
      </c>
      <c r="J607" s="38">
        <v>5.08</v>
      </c>
      <c r="K607" s="38">
        <v>8.8300000000000003E-2</v>
      </c>
      <c r="L607" s="41"/>
    </row>
    <row r="608" spans="1:12" x14ac:dyDescent="0.25">
      <c r="A608" s="4"/>
      <c r="B608" s="28" t="str">
        <f>IF(ISNUMBER(MATCH(D608, Mgt_Unit!$C$5:$C$1018, 0)), INDEX(Mgt_Unit!$B$5:$B$1018, MATCH(D608, Mgt_Unit!$C$5:$C$1018, 0)), "")</f>
        <v>jennifer.moore</v>
      </c>
      <c r="C608" s="28"/>
      <c r="D608" s="9" t="s">
        <v>871</v>
      </c>
      <c r="E608" s="47"/>
      <c r="F608" s="41" t="s">
        <v>1351</v>
      </c>
      <c r="G608" s="41"/>
      <c r="H608" s="38"/>
      <c r="I608" s="38">
        <v>2.7</v>
      </c>
      <c r="J608" s="38">
        <v>5.56</v>
      </c>
      <c r="K608" s="38">
        <v>7.5200000000000003E-2</v>
      </c>
      <c r="L608" s="41"/>
    </row>
    <row r="609" spans="1:12" x14ac:dyDescent="0.25">
      <c r="A609" s="4"/>
      <c r="B609" s="28" t="str">
        <f>IF(ISNUMBER(MATCH(D609, Mgt_Unit!$C$5:$C$1018, 0)), INDEX(Mgt_Unit!$B$5:$B$1018, MATCH(D609, Mgt_Unit!$C$5:$C$1018, 0)), "")</f>
        <v>jennifer.moore</v>
      </c>
      <c r="C609" s="28"/>
      <c r="D609" s="9" t="s">
        <v>870</v>
      </c>
      <c r="E609" s="47"/>
      <c r="F609" s="41" t="s">
        <v>1351</v>
      </c>
      <c r="G609" s="41"/>
      <c r="H609" s="38"/>
      <c r="I609" s="38">
        <v>2.9</v>
      </c>
      <c r="J609" s="38">
        <v>5.0999999999999996</v>
      </c>
      <c r="K609" s="38">
        <v>5.7200000000000001E-2</v>
      </c>
      <c r="L609" s="41"/>
    </row>
    <row r="610" spans="1:12" x14ac:dyDescent="0.25">
      <c r="A610" s="4"/>
      <c r="B610" s="28" t="str">
        <f>IF(ISNUMBER(MATCH(D610, Mgt_Unit!$C$5:$C$1018, 0)), INDEX(Mgt_Unit!$B$5:$B$1018, MATCH(D610, Mgt_Unit!$C$5:$C$1018, 0)), "")</f>
        <v>jennifer.moore</v>
      </c>
      <c r="C610" s="28"/>
      <c r="D610" s="9" t="s">
        <v>870</v>
      </c>
      <c r="E610" s="47"/>
      <c r="F610" s="41" t="s">
        <v>1351</v>
      </c>
      <c r="G610" s="41"/>
      <c r="H610" s="38"/>
      <c r="I610" s="38">
        <v>2.8</v>
      </c>
      <c r="J610" s="38">
        <v>4.97</v>
      </c>
      <c r="K610" s="38">
        <v>5.5100000000000003E-2</v>
      </c>
      <c r="L610" s="41"/>
    </row>
    <row r="611" spans="1:12" x14ac:dyDescent="0.25">
      <c r="A611" s="4"/>
      <c r="B611" s="28" t="str">
        <f>IF(ISNUMBER(MATCH(D611, Mgt_Unit!$C$5:$C$1018, 0)), INDEX(Mgt_Unit!$B$5:$B$1018, MATCH(D611, Mgt_Unit!$C$5:$C$1018, 0)), "")</f>
        <v>jennifer.moore</v>
      </c>
      <c r="C611" s="28"/>
      <c r="D611" s="9" t="s">
        <v>870</v>
      </c>
      <c r="E611" s="47"/>
      <c r="F611" s="41" t="s">
        <v>1351</v>
      </c>
      <c r="G611" s="41"/>
      <c r="H611" s="38"/>
      <c r="I611" s="38">
        <v>2.6</v>
      </c>
      <c r="J611" s="38">
        <v>5.3</v>
      </c>
      <c r="K611" s="38">
        <v>5.8700000000000002E-2</v>
      </c>
      <c r="L611" s="41"/>
    </row>
    <row r="612" spans="1:12" x14ac:dyDescent="0.25">
      <c r="A612" s="4"/>
      <c r="B612" s="28" t="str">
        <f>IF(ISNUMBER(MATCH(D612, Mgt_Unit!$C$5:$C$1018, 0)), INDEX(Mgt_Unit!$B$5:$B$1018, MATCH(D612, Mgt_Unit!$C$5:$C$1018, 0)), "")</f>
        <v>jennifer.moore</v>
      </c>
      <c r="C612" s="28"/>
      <c r="D612" s="9" t="s">
        <v>870</v>
      </c>
      <c r="E612" s="47"/>
      <c r="F612" s="41" t="s">
        <v>1351</v>
      </c>
      <c r="G612" s="41"/>
      <c r="H612" s="38"/>
      <c r="I612" s="38">
        <v>2.6</v>
      </c>
      <c r="J612" s="38">
        <v>5.21</v>
      </c>
      <c r="K612" s="38">
        <v>6.1100000000000002E-2</v>
      </c>
      <c r="L612" s="41"/>
    </row>
    <row r="613" spans="1:12" x14ac:dyDescent="0.25">
      <c r="A613" s="4"/>
      <c r="B613" s="28" t="str">
        <f>IF(ISNUMBER(MATCH(D613, Mgt_Unit!$C$5:$C$1018, 0)), INDEX(Mgt_Unit!$B$5:$B$1018, MATCH(D613, Mgt_Unit!$C$5:$C$1018, 0)), "")</f>
        <v>jennifer.moore</v>
      </c>
      <c r="C613" s="28"/>
      <c r="D613" s="9" t="s">
        <v>872</v>
      </c>
      <c r="E613" s="47"/>
      <c r="F613" s="41" t="s">
        <v>1351</v>
      </c>
      <c r="G613" s="41"/>
      <c r="H613" s="38"/>
      <c r="I613" s="38">
        <v>3</v>
      </c>
      <c r="J613" s="38">
        <v>5.2</v>
      </c>
      <c r="K613" s="38">
        <v>7.8700000000000006E-2</v>
      </c>
      <c r="L613" s="41"/>
    </row>
    <row r="614" spans="1:12" x14ac:dyDescent="0.25">
      <c r="A614" s="4"/>
      <c r="B614" s="28" t="str">
        <f>IF(ISNUMBER(MATCH(D614, Mgt_Unit!$C$5:$C$1018, 0)), INDEX(Mgt_Unit!$B$5:$B$1018, MATCH(D614, Mgt_Unit!$C$5:$C$1018, 0)), "")</f>
        <v>jennifer.moore</v>
      </c>
      <c r="C614" s="28"/>
      <c r="D614" s="9" t="s">
        <v>872</v>
      </c>
      <c r="E614" s="47"/>
      <c r="F614" s="41" t="s">
        <v>1351</v>
      </c>
      <c r="G614" s="41"/>
      <c r="H614" s="38"/>
      <c r="I614" s="38">
        <v>3.1</v>
      </c>
      <c r="J614" s="38">
        <v>5.24</v>
      </c>
      <c r="K614" s="38">
        <v>7.4200000000000002E-2</v>
      </c>
      <c r="L614" s="41"/>
    </row>
    <row r="615" spans="1:12" x14ac:dyDescent="0.25">
      <c r="A615" s="4"/>
      <c r="B615" s="28" t="str">
        <f>IF(ISNUMBER(MATCH(D615, Mgt_Unit!$C$5:$C$1018, 0)), INDEX(Mgt_Unit!$B$5:$B$1018, MATCH(D615, Mgt_Unit!$C$5:$C$1018, 0)), "")</f>
        <v>jennifer.moore</v>
      </c>
      <c r="C615" s="28"/>
      <c r="D615" s="9" t="s">
        <v>872</v>
      </c>
      <c r="E615" s="47"/>
      <c r="F615" s="41" t="s">
        <v>1351</v>
      </c>
      <c r="G615" s="41"/>
      <c r="H615" s="38"/>
      <c r="I615" s="38">
        <v>2.8</v>
      </c>
      <c r="J615" s="38">
        <v>5.52</v>
      </c>
      <c r="K615" s="38">
        <v>8.3500000000000005E-2</v>
      </c>
      <c r="L615" s="41"/>
    </row>
    <row r="616" spans="1:12" x14ac:dyDescent="0.25">
      <c r="A616" s="4"/>
      <c r="B616" s="28" t="str">
        <f>IF(ISNUMBER(MATCH(D616, Mgt_Unit!$C$5:$C$1018, 0)), INDEX(Mgt_Unit!$B$5:$B$1018, MATCH(D616, Mgt_Unit!$C$5:$C$1018, 0)), "")</f>
        <v>jennifer.moore</v>
      </c>
      <c r="C616" s="28"/>
      <c r="D616" s="9" t="s">
        <v>872</v>
      </c>
      <c r="E616" s="47"/>
      <c r="F616" s="41" t="s">
        <v>1351</v>
      </c>
      <c r="G616" s="41"/>
      <c r="H616" s="38"/>
      <c r="I616" s="38">
        <v>3</v>
      </c>
      <c r="J616" s="38">
        <v>5.0599999999999996</v>
      </c>
      <c r="K616" s="38">
        <v>8.2100000000000006E-2</v>
      </c>
      <c r="L616" s="41"/>
    </row>
    <row r="617" spans="1:12" x14ac:dyDescent="0.25">
      <c r="A617" s="4"/>
      <c r="B617" s="28" t="str">
        <f>IF(ISNUMBER(MATCH(D617, Mgt_Unit!$C$5:$C$1018, 0)), INDEX(Mgt_Unit!$B$5:$B$1018, MATCH(D617, Mgt_Unit!$C$5:$C$1018, 0)), "")</f>
        <v>jennifer.moore</v>
      </c>
      <c r="C617" s="28"/>
      <c r="D617" s="9" t="s">
        <v>873</v>
      </c>
      <c r="E617" s="47"/>
      <c r="F617" s="41" t="s">
        <v>1351</v>
      </c>
      <c r="G617" s="41"/>
      <c r="H617" s="38"/>
      <c r="I617" s="38">
        <v>3</v>
      </c>
      <c r="J617" s="38">
        <v>5.47</v>
      </c>
      <c r="K617" s="38">
        <v>8.9499999999999996E-2</v>
      </c>
      <c r="L617" s="41"/>
    </row>
    <row r="618" spans="1:12" x14ac:dyDescent="0.25">
      <c r="A618" s="4"/>
      <c r="B618" s="28" t="str">
        <f>IF(ISNUMBER(MATCH(D618, Mgt_Unit!$C$5:$C$1018, 0)), INDEX(Mgt_Unit!$B$5:$B$1018, MATCH(D618, Mgt_Unit!$C$5:$C$1018, 0)), "")</f>
        <v>jennifer.moore</v>
      </c>
      <c r="C618" s="28"/>
      <c r="D618" s="9" t="s">
        <v>873</v>
      </c>
      <c r="E618" s="47"/>
      <c r="F618" s="41" t="s">
        <v>1351</v>
      </c>
      <c r="G618" s="41"/>
      <c r="H618" s="38"/>
      <c r="I618" s="38">
        <v>3.2</v>
      </c>
      <c r="J618" s="38">
        <v>5.42</v>
      </c>
      <c r="K618" s="38">
        <v>9.6299999999999997E-2</v>
      </c>
      <c r="L618" s="41"/>
    </row>
    <row r="619" spans="1:12" x14ac:dyDescent="0.25">
      <c r="A619" s="4"/>
      <c r="B619" s="28" t="str">
        <f>IF(ISNUMBER(MATCH(D619, Mgt_Unit!$C$5:$C$1018, 0)), INDEX(Mgt_Unit!$B$5:$B$1018, MATCH(D619, Mgt_Unit!$C$5:$C$1018, 0)), "")</f>
        <v>jennifer.moore</v>
      </c>
      <c r="C619" s="28"/>
      <c r="D619" s="9" t="s">
        <v>873</v>
      </c>
      <c r="E619" s="47"/>
      <c r="F619" s="41" t="s">
        <v>1351</v>
      </c>
      <c r="G619" s="41"/>
      <c r="H619" s="38"/>
      <c r="I619" s="38">
        <v>3.1</v>
      </c>
      <c r="J619" s="38">
        <v>5.6</v>
      </c>
      <c r="K619" s="38">
        <v>0.1042</v>
      </c>
      <c r="L619" s="41"/>
    </row>
    <row r="620" spans="1:12" x14ac:dyDescent="0.25">
      <c r="A620" s="4"/>
      <c r="B620" s="28" t="str">
        <f>IF(ISNUMBER(MATCH(D620, Mgt_Unit!$C$5:$C$1018, 0)), INDEX(Mgt_Unit!$B$5:$B$1018, MATCH(D620, Mgt_Unit!$C$5:$C$1018, 0)), "")</f>
        <v>jennifer.moore</v>
      </c>
      <c r="C620" s="28"/>
      <c r="D620" s="9" t="s">
        <v>873</v>
      </c>
      <c r="E620" s="47"/>
      <c r="F620" s="41" t="s">
        <v>1351</v>
      </c>
      <c r="G620" s="41"/>
      <c r="H620" s="38"/>
      <c r="I620" s="38">
        <v>3</v>
      </c>
      <c r="J620" s="38">
        <v>5.48</v>
      </c>
      <c r="K620" s="38">
        <v>7.9100000000000004E-2</v>
      </c>
      <c r="L620" s="41"/>
    </row>
    <row r="621" spans="1:12" x14ac:dyDescent="0.25">
      <c r="A621" s="4"/>
      <c r="B621" s="28" t="str">
        <f>IF(ISNUMBER(MATCH(D621, Mgt_Unit!$C$5:$C$1018, 0)), INDEX(Mgt_Unit!$B$5:$B$1018, MATCH(D621, Mgt_Unit!$C$5:$C$1018, 0)), "")</f>
        <v>jennifer.moore</v>
      </c>
      <c r="C621" s="28"/>
      <c r="D621" s="9" t="s">
        <v>874</v>
      </c>
      <c r="E621" s="47"/>
      <c r="F621" s="41" t="s">
        <v>1351</v>
      </c>
      <c r="G621" s="41"/>
      <c r="H621" s="38"/>
      <c r="I621" s="38">
        <v>3</v>
      </c>
      <c r="J621" s="38">
        <v>5.24</v>
      </c>
      <c r="K621" s="38">
        <v>0.11700000000000001</v>
      </c>
      <c r="L621" s="41"/>
    </row>
    <row r="622" spans="1:12" x14ac:dyDescent="0.25">
      <c r="A622" s="4"/>
      <c r="B622" s="28" t="str">
        <f>IF(ISNUMBER(MATCH(D622, Mgt_Unit!$C$5:$C$1018, 0)), INDEX(Mgt_Unit!$B$5:$B$1018, MATCH(D622, Mgt_Unit!$C$5:$C$1018, 0)), "")</f>
        <v>jennifer.moore</v>
      </c>
      <c r="C622" s="28"/>
      <c r="D622" s="9" t="s">
        <v>874</v>
      </c>
      <c r="E622" s="47"/>
      <c r="F622" s="41" t="s">
        <v>1351</v>
      </c>
      <c r="G622" s="41"/>
      <c r="H622" s="38"/>
      <c r="I622" s="38">
        <v>3.5</v>
      </c>
      <c r="J622" s="38">
        <v>5.28</v>
      </c>
      <c r="K622" s="38">
        <v>9.1899999999999996E-2</v>
      </c>
      <c r="L622" s="41"/>
    </row>
    <row r="623" spans="1:12" x14ac:dyDescent="0.25">
      <c r="A623" s="4"/>
      <c r="B623" s="28" t="str">
        <f>IF(ISNUMBER(MATCH(D623, Mgt_Unit!$C$5:$C$1018, 0)), INDEX(Mgt_Unit!$B$5:$B$1018, MATCH(D623, Mgt_Unit!$C$5:$C$1018, 0)), "")</f>
        <v>jennifer.moore</v>
      </c>
      <c r="C623" s="28"/>
      <c r="D623" s="9" t="s">
        <v>874</v>
      </c>
      <c r="E623" s="47"/>
      <c r="F623" s="41" t="s">
        <v>1351</v>
      </c>
      <c r="G623" s="41"/>
      <c r="H623" s="38"/>
      <c r="I623" s="38">
        <v>3.1</v>
      </c>
      <c r="J623" s="38">
        <v>5.25</v>
      </c>
      <c r="K623" s="38">
        <v>8.3400000000000002E-2</v>
      </c>
      <c r="L623" s="41"/>
    </row>
    <row r="624" spans="1:12" x14ac:dyDescent="0.25">
      <c r="A624" s="4"/>
      <c r="B624" s="28" t="str">
        <f>IF(ISNUMBER(MATCH(D624, Mgt_Unit!$C$5:$C$1018, 0)), INDEX(Mgt_Unit!$B$5:$B$1018, MATCH(D624, Mgt_Unit!$C$5:$C$1018, 0)), "")</f>
        <v>jennifer.moore</v>
      </c>
      <c r="C624" s="28"/>
      <c r="D624" s="9" t="s">
        <v>874</v>
      </c>
      <c r="E624" s="47"/>
      <c r="F624" s="41" t="s">
        <v>1351</v>
      </c>
      <c r="G624" s="41"/>
      <c r="H624" s="38"/>
      <c r="I624" s="38">
        <v>3</v>
      </c>
      <c r="J624" s="38">
        <v>5.31</v>
      </c>
      <c r="K624" s="38">
        <v>7.9500000000000001E-2</v>
      </c>
      <c r="L624" s="41"/>
    </row>
    <row r="625" spans="1:12" x14ac:dyDescent="0.25">
      <c r="A625" s="4"/>
      <c r="B625" s="28" t="str">
        <f>IF(ISNUMBER(MATCH(D625, Mgt_Unit!$C$5:$C$1018, 0)), INDEX(Mgt_Unit!$B$5:$B$1018, MATCH(D625, Mgt_Unit!$C$5:$C$1018, 0)), "")</f>
        <v>jennifer.moore</v>
      </c>
      <c r="C625" s="28"/>
      <c r="D625" s="9" t="s">
        <v>875</v>
      </c>
      <c r="E625" s="47"/>
      <c r="F625" s="41" t="s">
        <v>1351</v>
      </c>
      <c r="G625" s="41"/>
      <c r="H625" s="38"/>
      <c r="I625" s="38">
        <v>2.4</v>
      </c>
      <c r="J625" s="38">
        <v>6.56</v>
      </c>
      <c r="K625" s="38">
        <v>0.38200000000000001</v>
      </c>
      <c r="L625" s="41"/>
    </row>
    <row r="626" spans="1:12" x14ac:dyDescent="0.25">
      <c r="A626" s="4"/>
      <c r="B626" s="28" t="str">
        <f>IF(ISNUMBER(MATCH(D626, Mgt_Unit!$C$5:$C$1018, 0)), INDEX(Mgt_Unit!$B$5:$B$1018, MATCH(D626, Mgt_Unit!$C$5:$C$1018, 0)), "")</f>
        <v>jennifer.moore</v>
      </c>
      <c r="C626" s="28"/>
      <c r="D626" s="9" t="s">
        <v>876</v>
      </c>
      <c r="E626" s="47"/>
      <c r="F626" s="41" t="s">
        <v>1351</v>
      </c>
      <c r="G626" s="41"/>
      <c r="H626" s="38"/>
      <c r="I626" s="38">
        <v>2.2999999999999998</v>
      </c>
      <c r="J626" s="38">
        <v>6.03</v>
      </c>
      <c r="K626" s="38">
        <v>0.28299999999999997</v>
      </c>
      <c r="L626" s="41"/>
    </row>
    <row r="627" spans="1:12" x14ac:dyDescent="0.25">
      <c r="A627" s="4"/>
      <c r="B627" s="28" t="str">
        <f>IF(ISNUMBER(MATCH(D627, Mgt_Unit!$C$5:$C$1018, 0)), INDEX(Mgt_Unit!$B$5:$B$1018, MATCH(D627, Mgt_Unit!$C$5:$C$1018, 0)), "")</f>
        <v>jennifer.moore</v>
      </c>
      <c r="C627" s="28"/>
      <c r="D627" s="9" t="s">
        <v>1313</v>
      </c>
      <c r="E627" s="47"/>
      <c r="F627" s="41" t="s">
        <v>1351</v>
      </c>
      <c r="G627" s="41"/>
      <c r="H627" s="38"/>
      <c r="I627" s="38">
        <v>2.8</v>
      </c>
      <c r="J627" s="38">
        <v>6.55</v>
      </c>
      <c r="K627" s="38">
        <v>0.16900000000000001</v>
      </c>
      <c r="L627" s="41"/>
    </row>
    <row r="628" spans="1:12" x14ac:dyDescent="0.25">
      <c r="A628" s="4"/>
      <c r="B628" s="28" t="str">
        <f>IF(ISNUMBER(MATCH(D628, Mgt_Unit!$C$5:$C$1018, 0)), INDEX(Mgt_Unit!$B$5:$B$1018, MATCH(D628, Mgt_Unit!$C$5:$C$1018, 0)), "")</f>
        <v>jennifer.moore</v>
      </c>
      <c r="C628" s="28"/>
      <c r="D628" s="9" t="s">
        <v>877</v>
      </c>
      <c r="E628" s="47"/>
      <c r="F628" s="41" t="s">
        <v>1351</v>
      </c>
      <c r="G628" s="41"/>
      <c r="H628" s="38"/>
      <c r="I628" s="38">
        <v>2.5</v>
      </c>
      <c r="J628" s="38">
        <v>5.74</v>
      </c>
      <c r="K628" s="38">
        <v>0.29199999999999998</v>
      </c>
      <c r="L628" s="41"/>
    </row>
    <row r="629" spans="1:12" x14ac:dyDescent="0.25">
      <c r="A629" s="4"/>
      <c r="B629" s="28" t="str">
        <f>IF(ISNUMBER(MATCH(D629, Mgt_Unit!$C$5:$C$1018, 0)), INDEX(Mgt_Unit!$B$5:$B$1018, MATCH(D629, Mgt_Unit!$C$5:$C$1018, 0)), "")</f>
        <v>jennifer.moore</v>
      </c>
      <c r="C629" s="28"/>
      <c r="D629" s="9" t="s">
        <v>876</v>
      </c>
      <c r="E629" s="47"/>
      <c r="F629" s="41" t="s">
        <v>1351</v>
      </c>
      <c r="G629" s="41"/>
      <c r="H629" s="38"/>
      <c r="I629" s="38">
        <v>2.2999999999999998</v>
      </c>
      <c r="J629" s="38">
        <v>6.73</v>
      </c>
      <c r="K629" s="38">
        <v>0.4</v>
      </c>
      <c r="L629" s="41"/>
    </row>
    <row r="630" spans="1:12" x14ac:dyDescent="0.25">
      <c r="A630" s="4"/>
      <c r="B630" s="28" t="str">
        <f>IF(ISNUMBER(MATCH(D630, Mgt_Unit!$C$5:$C$1018, 0)), INDEX(Mgt_Unit!$B$5:$B$1018, MATCH(D630, Mgt_Unit!$C$5:$C$1018, 0)), "")</f>
        <v>jennifer.moore</v>
      </c>
      <c r="C630" s="28"/>
      <c r="D630" s="9" t="s">
        <v>875</v>
      </c>
      <c r="E630" s="47"/>
      <c r="F630" s="41" t="s">
        <v>1351</v>
      </c>
      <c r="G630" s="41"/>
      <c r="H630" s="38"/>
      <c r="I630" s="38">
        <v>2.2999999999999998</v>
      </c>
      <c r="J630" s="38">
        <v>5.2</v>
      </c>
      <c r="K630" s="38">
        <v>0.20100000000000001</v>
      </c>
      <c r="L630" s="41"/>
    </row>
    <row r="631" spans="1:12" x14ac:dyDescent="0.25">
      <c r="A631" s="4"/>
      <c r="B631" s="28" t="str">
        <f>IF(ISNUMBER(MATCH(D631, Mgt_Unit!$C$5:$C$1018, 0)), INDEX(Mgt_Unit!$B$5:$B$1018, MATCH(D631, Mgt_Unit!$C$5:$C$1018, 0)), "")</f>
        <v>jennifer.moore</v>
      </c>
      <c r="C631" s="28"/>
      <c r="D631" s="9" t="s">
        <v>1313</v>
      </c>
      <c r="E631" s="47"/>
      <c r="F631" s="41" t="s">
        <v>1351</v>
      </c>
      <c r="G631" s="41"/>
      <c r="H631" s="38"/>
      <c r="I631" s="38">
        <v>2.7</v>
      </c>
      <c r="J631" s="38">
        <v>6.36</v>
      </c>
      <c r="K631" s="38">
        <v>0.153</v>
      </c>
      <c r="L631" s="41"/>
    </row>
    <row r="632" spans="1:12" x14ac:dyDescent="0.25">
      <c r="A632" s="4"/>
      <c r="B632" s="28" t="str">
        <f>IF(ISNUMBER(MATCH(D632, Mgt_Unit!$C$5:$C$1018, 0)), INDEX(Mgt_Unit!$B$5:$B$1018, MATCH(D632, Mgt_Unit!$C$5:$C$1018, 0)), "")</f>
        <v>jennifer.moore</v>
      </c>
      <c r="C632" s="28"/>
      <c r="D632" s="9" t="s">
        <v>877</v>
      </c>
      <c r="E632" s="47"/>
      <c r="F632" s="41" t="s">
        <v>1351</v>
      </c>
      <c r="G632" s="41"/>
      <c r="H632" s="38"/>
      <c r="I632" s="38">
        <v>2.1</v>
      </c>
      <c r="J632" s="38">
        <v>5.43</v>
      </c>
      <c r="K632" s="38">
        <v>0.153</v>
      </c>
      <c r="L632" s="41"/>
    </row>
    <row r="633" spans="1:12" x14ac:dyDescent="0.25">
      <c r="A633" s="4"/>
      <c r="B633" s="28" t="str">
        <f>IF(ISNUMBER(MATCH(D633, Mgt_Unit!$C$5:$C$1018, 0)), INDEX(Mgt_Unit!$B$5:$B$1018, MATCH(D633, Mgt_Unit!$C$5:$C$1018, 0)), "")</f>
        <v>jennifer.moore</v>
      </c>
      <c r="C633" s="28"/>
      <c r="D633" s="9" t="s">
        <v>877</v>
      </c>
      <c r="E633" s="47"/>
      <c r="F633" s="41" t="s">
        <v>1351</v>
      </c>
      <c r="G633" s="41"/>
      <c r="H633" s="38"/>
      <c r="I633" s="38">
        <v>2.6</v>
      </c>
      <c r="J633" s="38">
        <v>5.14</v>
      </c>
      <c r="K633" s="38">
        <v>0.24299999999999999</v>
      </c>
      <c r="L633" s="41"/>
    </row>
    <row r="634" spans="1:12" x14ac:dyDescent="0.25">
      <c r="A634" s="4"/>
      <c r="B634" s="28" t="str">
        <f>IF(ISNUMBER(MATCH(D634, Mgt_Unit!$C$5:$C$1018, 0)), INDEX(Mgt_Unit!$B$5:$B$1018, MATCH(D634, Mgt_Unit!$C$5:$C$1018, 0)), "")</f>
        <v>jennifer.moore</v>
      </c>
      <c r="C634" s="28"/>
      <c r="D634" s="9" t="s">
        <v>877</v>
      </c>
      <c r="E634" s="47"/>
      <c r="F634" s="41" t="s">
        <v>1351</v>
      </c>
      <c r="G634" s="41"/>
      <c r="H634" s="38"/>
      <c r="I634" s="38">
        <v>2.2999999999999998</v>
      </c>
      <c r="J634" s="38">
        <v>5.61</v>
      </c>
      <c r="K634" s="38">
        <v>0.23899999999999999</v>
      </c>
      <c r="L634" s="41"/>
    </row>
    <row r="635" spans="1:12" x14ac:dyDescent="0.25">
      <c r="A635" s="4"/>
      <c r="B635" s="28" t="str">
        <f>IF(ISNUMBER(MATCH(D635, Mgt_Unit!$C$5:$C$1018, 0)), INDEX(Mgt_Unit!$B$5:$B$1018, MATCH(D635, Mgt_Unit!$C$5:$C$1018, 0)), "")</f>
        <v>jennifer.moore</v>
      </c>
      <c r="C635" s="28"/>
      <c r="D635" s="9" t="s">
        <v>1313</v>
      </c>
      <c r="E635" s="47"/>
      <c r="F635" s="41" t="s">
        <v>1351</v>
      </c>
      <c r="G635" s="41"/>
      <c r="H635" s="38"/>
      <c r="I635" s="38">
        <v>3</v>
      </c>
      <c r="J635" s="38">
        <v>6.24</v>
      </c>
      <c r="K635" s="38">
        <v>0.16800000000000001</v>
      </c>
      <c r="L635" s="41"/>
    </row>
    <row r="636" spans="1:12" x14ac:dyDescent="0.25">
      <c r="A636" s="4"/>
      <c r="B636" s="28" t="str">
        <f>IF(ISNUMBER(MATCH(D636, Mgt_Unit!$C$5:$C$1018, 0)), INDEX(Mgt_Unit!$B$5:$B$1018, MATCH(D636, Mgt_Unit!$C$5:$C$1018, 0)), "")</f>
        <v>jennifer.moore</v>
      </c>
      <c r="C636" s="28"/>
      <c r="D636" s="9" t="s">
        <v>875</v>
      </c>
      <c r="E636" s="47"/>
      <c r="F636" s="41" t="s">
        <v>1351</v>
      </c>
      <c r="G636" s="41"/>
      <c r="H636" s="38"/>
      <c r="I636" s="38">
        <v>2.2999999999999998</v>
      </c>
      <c r="J636" s="38">
        <v>5.31</v>
      </c>
      <c r="K636" s="38">
        <v>0.24099999999999999</v>
      </c>
      <c r="L636" s="41"/>
    </row>
    <row r="637" spans="1:12" x14ac:dyDescent="0.25">
      <c r="A637" s="4"/>
      <c r="B637" s="28" t="str">
        <f>IF(ISNUMBER(MATCH(D637, Mgt_Unit!$C$5:$C$1018, 0)), INDEX(Mgt_Unit!$B$5:$B$1018, MATCH(D637, Mgt_Unit!$C$5:$C$1018, 0)), "")</f>
        <v>jennifer.moore</v>
      </c>
      <c r="C637" s="28"/>
      <c r="D637" s="9" t="s">
        <v>876</v>
      </c>
      <c r="E637" s="47"/>
      <c r="F637" s="41" t="s">
        <v>1351</v>
      </c>
      <c r="G637" s="41"/>
      <c r="H637" s="38"/>
      <c r="I637" s="38">
        <v>2</v>
      </c>
      <c r="J637" s="38">
        <v>5.37</v>
      </c>
      <c r="K637" s="38">
        <v>0.25900000000000001</v>
      </c>
      <c r="L637" s="41"/>
    </row>
    <row r="638" spans="1:12" x14ac:dyDescent="0.25">
      <c r="A638" s="4"/>
      <c r="B638" s="28" t="str">
        <f>IF(ISNUMBER(MATCH(D638, Mgt_Unit!$C$5:$C$1018, 0)), INDEX(Mgt_Unit!$B$5:$B$1018, MATCH(D638, Mgt_Unit!$C$5:$C$1018, 0)), "")</f>
        <v>jennifer.moore</v>
      </c>
      <c r="C638" s="28"/>
      <c r="D638" s="9" t="s">
        <v>875</v>
      </c>
      <c r="E638" s="47"/>
      <c r="F638" s="41" t="s">
        <v>1351</v>
      </c>
      <c r="G638" s="41"/>
      <c r="H638" s="38"/>
      <c r="I638" s="38">
        <v>1.9</v>
      </c>
      <c r="J638" s="38">
        <v>5.29</v>
      </c>
      <c r="K638" s="38">
        <v>0.22600000000000001</v>
      </c>
      <c r="L638" s="41"/>
    </row>
    <row r="639" spans="1:12" x14ac:dyDescent="0.25">
      <c r="A639" s="4"/>
      <c r="B639" s="28" t="str">
        <f>IF(ISNUMBER(MATCH(D639, Mgt_Unit!$C$5:$C$1018, 0)), INDEX(Mgt_Unit!$B$5:$B$1018, MATCH(D639, Mgt_Unit!$C$5:$C$1018, 0)), "")</f>
        <v>jennifer.moore</v>
      </c>
      <c r="C639" s="28"/>
      <c r="D639" s="9" t="s">
        <v>876</v>
      </c>
      <c r="E639" s="47"/>
      <c r="F639" s="41" t="s">
        <v>1351</v>
      </c>
      <c r="G639" s="41"/>
      <c r="H639" s="38"/>
      <c r="I639" s="38">
        <v>2</v>
      </c>
      <c r="J639" s="38">
        <v>5.5</v>
      </c>
      <c r="K639" s="38">
        <v>0.22900000000000001</v>
      </c>
      <c r="L639" s="41"/>
    </row>
    <row r="640" spans="1:12" x14ac:dyDescent="0.25">
      <c r="A640" s="4"/>
      <c r="B640" s="28" t="str">
        <f>IF(ISNUMBER(MATCH(D640, Mgt_Unit!$C$5:$C$1018, 0)), INDEX(Mgt_Unit!$B$5:$B$1018, MATCH(D640, Mgt_Unit!$C$5:$C$1018, 0)), "")</f>
        <v>jennifer.moore</v>
      </c>
      <c r="C640" s="28"/>
      <c r="D640" s="9" t="s">
        <v>1313</v>
      </c>
      <c r="E640" s="47"/>
      <c r="F640" s="41" t="s">
        <v>1351</v>
      </c>
      <c r="G640" s="41"/>
      <c r="H640" s="38"/>
      <c r="I640" s="38">
        <v>2.4</v>
      </c>
      <c r="J640" s="38">
        <v>6.17</v>
      </c>
      <c r="K640" s="38">
        <v>0.108</v>
      </c>
      <c r="L640" s="41"/>
    </row>
    <row r="641" spans="1:12" x14ac:dyDescent="0.25">
      <c r="A641" s="4"/>
      <c r="B641" s="28" t="str">
        <f>IF(ISNUMBER(MATCH(D641, Mgt_Unit!$C$5:$C$1018, 0)), INDEX(Mgt_Unit!$B$5:$B$1018, MATCH(D641, Mgt_Unit!$C$5:$C$1018, 0)), "")</f>
        <v>jennifer.moore</v>
      </c>
      <c r="C641" s="28"/>
      <c r="D641" s="9" t="s">
        <v>879</v>
      </c>
      <c r="E641" s="47"/>
      <c r="F641" s="41" t="s">
        <v>1351</v>
      </c>
      <c r="G641" s="41"/>
      <c r="H641" s="38"/>
      <c r="I641" s="38">
        <v>2.8</v>
      </c>
      <c r="J641" s="38">
        <v>6.05</v>
      </c>
      <c r="K641" s="38">
        <v>0.105</v>
      </c>
      <c r="L641" s="41"/>
    </row>
    <row r="642" spans="1:12" x14ac:dyDescent="0.25">
      <c r="A642" s="4"/>
      <c r="B642" s="28" t="str">
        <f>IF(ISNUMBER(MATCH(D642, Mgt_Unit!$C$5:$C$1018, 0)), INDEX(Mgt_Unit!$B$5:$B$1018, MATCH(D642, Mgt_Unit!$C$5:$C$1018, 0)), "")</f>
        <v>jennifer.moore</v>
      </c>
      <c r="C642" s="28"/>
      <c r="D642" s="9" t="s">
        <v>879</v>
      </c>
      <c r="E642" s="47"/>
      <c r="F642" s="41" t="s">
        <v>1351</v>
      </c>
      <c r="G642" s="41"/>
      <c r="H642" s="38"/>
      <c r="I642" s="38">
        <v>2.7</v>
      </c>
      <c r="J642" s="38">
        <v>5.78</v>
      </c>
      <c r="K642" s="38">
        <v>9.2899999999999996E-2</v>
      </c>
      <c r="L642" s="41"/>
    </row>
    <row r="643" spans="1:12" x14ac:dyDescent="0.25">
      <c r="A643" s="4"/>
      <c r="B643" s="28" t="str">
        <f>IF(ISNUMBER(MATCH(D643, Mgt_Unit!$C$5:$C$1018, 0)), INDEX(Mgt_Unit!$B$5:$B$1018, MATCH(D643, Mgt_Unit!$C$5:$C$1018, 0)), "")</f>
        <v>jennifer.moore</v>
      </c>
      <c r="C643" s="28"/>
      <c r="D643" s="9" t="s">
        <v>879</v>
      </c>
      <c r="E643" s="47"/>
      <c r="F643" s="41" t="s">
        <v>1351</v>
      </c>
      <c r="G643" s="41"/>
      <c r="H643" s="38"/>
      <c r="I643" s="38">
        <v>2.7</v>
      </c>
      <c r="J643" s="38">
        <v>5.72</v>
      </c>
      <c r="K643" s="38">
        <v>9.0300000000000005E-2</v>
      </c>
      <c r="L643" s="41"/>
    </row>
    <row r="644" spans="1:12" x14ac:dyDescent="0.25">
      <c r="A644" s="4"/>
      <c r="B644" s="28" t="str">
        <f>IF(ISNUMBER(MATCH(D644, Mgt_Unit!$C$5:$C$1018, 0)), INDEX(Mgt_Unit!$B$5:$B$1018, MATCH(D644, Mgt_Unit!$C$5:$C$1018, 0)), "")</f>
        <v>jennifer.moore</v>
      </c>
      <c r="C644" s="28"/>
      <c r="D644" s="9" t="s">
        <v>879</v>
      </c>
      <c r="E644" s="47"/>
      <c r="F644" s="41" t="s">
        <v>1351</v>
      </c>
      <c r="G644" s="41"/>
      <c r="H644" s="38"/>
      <c r="I644" s="38">
        <v>2.8</v>
      </c>
      <c r="J644" s="38">
        <v>5.77</v>
      </c>
      <c r="K644" s="38">
        <v>9.3100000000000002E-2</v>
      </c>
      <c r="L644" s="41"/>
    </row>
    <row r="645" spans="1:12" x14ac:dyDescent="0.25">
      <c r="A645" s="4"/>
      <c r="B645" s="28" t="str">
        <f>IF(ISNUMBER(MATCH(D645, Mgt_Unit!$C$5:$C$1018, 0)), INDEX(Mgt_Unit!$B$5:$B$1018, MATCH(D645, Mgt_Unit!$C$5:$C$1018, 0)), "")</f>
        <v>jennifer.moore</v>
      </c>
      <c r="C645" s="28"/>
      <c r="D645" s="9" t="s">
        <v>878</v>
      </c>
      <c r="E645" s="47"/>
      <c r="F645" s="41" t="s">
        <v>1351</v>
      </c>
      <c r="G645" s="41"/>
      <c r="H645" s="38"/>
      <c r="I645" s="38">
        <v>2.6</v>
      </c>
      <c r="J645" s="38">
        <v>5.95</v>
      </c>
      <c r="K645" s="38">
        <v>9.5600000000000004E-2</v>
      </c>
      <c r="L645" s="41"/>
    </row>
    <row r="646" spans="1:12" x14ac:dyDescent="0.25">
      <c r="A646" s="4"/>
      <c r="B646" s="28" t="str">
        <f>IF(ISNUMBER(MATCH(D646, Mgt_Unit!$C$5:$C$1018, 0)), INDEX(Mgt_Unit!$B$5:$B$1018, MATCH(D646, Mgt_Unit!$C$5:$C$1018, 0)), "")</f>
        <v>jennifer.moore</v>
      </c>
      <c r="C646" s="28"/>
      <c r="D646" s="9" t="s">
        <v>878</v>
      </c>
      <c r="E646" s="47"/>
      <c r="F646" s="41" t="s">
        <v>1351</v>
      </c>
      <c r="G646" s="41"/>
      <c r="H646" s="38"/>
      <c r="I646" s="38">
        <v>2.5</v>
      </c>
      <c r="J646" s="38">
        <v>5.78</v>
      </c>
      <c r="K646" s="38">
        <v>7.7100000000000002E-2</v>
      </c>
      <c r="L646" s="41"/>
    </row>
    <row r="647" spans="1:12" x14ac:dyDescent="0.25">
      <c r="A647" s="4"/>
      <c r="B647" s="28" t="str">
        <f>IF(ISNUMBER(MATCH(D647, Mgt_Unit!$C$5:$C$1018, 0)), INDEX(Mgt_Unit!$B$5:$B$1018, MATCH(D647, Mgt_Unit!$C$5:$C$1018, 0)), "")</f>
        <v>jennifer.moore</v>
      </c>
      <c r="C647" s="28"/>
      <c r="D647" s="9" t="s">
        <v>878</v>
      </c>
      <c r="E647" s="47"/>
      <c r="F647" s="41" t="s">
        <v>1351</v>
      </c>
      <c r="G647" s="41"/>
      <c r="H647" s="38"/>
      <c r="I647" s="38">
        <v>2.6</v>
      </c>
      <c r="J647" s="38">
        <v>5.95</v>
      </c>
      <c r="K647" s="38">
        <v>8.1900000000000001E-2</v>
      </c>
      <c r="L647" s="41"/>
    </row>
    <row r="648" spans="1:12" x14ac:dyDescent="0.25">
      <c r="A648" s="4"/>
      <c r="B648" s="28" t="str">
        <f>IF(ISNUMBER(MATCH(D648, Mgt_Unit!$C$5:$C$1018, 0)), INDEX(Mgt_Unit!$B$5:$B$1018, MATCH(D648, Mgt_Unit!$C$5:$C$1018, 0)), "")</f>
        <v>jennifer.moore</v>
      </c>
      <c r="C648" s="28"/>
      <c r="D648" s="9" t="s">
        <v>878</v>
      </c>
      <c r="E648" s="47"/>
      <c r="F648" s="41" t="s">
        <v>1351</v>
      </c>
      <c r="G648" s="41"/>
      <c r="H648" s="38"/>
      <c r="I648" s="38">
        <v>2.6</v>
      </c>
      <c r="J648" s="38">
        <v>5.67</v>
      </c>
      <c r="K648" s="38">
        <v>9.3899999999999997E-2</v>
      </c>
      <c r="L648" s="41"/>
    </row>
    <row r="649" spans="1:12" x14ac:dyDescent="0.25">
      <c r="A649" s="4"/>
      <c r="B649" s="28" t="str">
        <f>IF(ISNUMBER(MATCH(D649, Mgt_Unit!$C$5:$C$1018, 0)), INDEX(Mgt_Unit!$B$5:$B$1018, MATCH(D649, Mgt_Unit!$C$5:$C$1018, 0)), "")</f>
        <v>jennifer.moore</v>
      </c>
      <c r="C649" s="28"/>
      <c r="D649" s="9" t="s">
        <v>880</v>
      </c>
      <c r="E649" s="47"/>
      <c r="F649" s="41" t="s">
        <v>1351</v>
      </c>
      <c r="G649" s="41"/>
      <c r="H649" s="38"/>
      <c r="I649" s="38">
        <v>4.0999999999999996</v>
      </c>
      <c r="J649" s="38">
        <v>5.68</v>
      </c>
      <c r="K649" s="38">
        <v>7.8600000000000003E-2</v>
      </c>
      <c r="L649" s="41"/>
    </row>
    <row r="650" spans="1:12" x14ac:dyDescent="0.25">
      <c r="A650" s="4"/>
      <c r="B650" s="28" t="str">
        <f>IF(ISNUMBER(MATCH(D650, Mgt_Unit!$C$5:$C$1018, 0)), INDEX(Mgt_Unit!$B$5:$B$1018, MATCH(D650, Mgt_Unit!$C$5:$C$1018, 0)), "")</f>
        <v>jennifer.moore</v>
      </c>
      <c r="C650" s="28"/>
      <c r="D650" s="9" t="s">
        <v>880</v>
      </c>
      <c r="E650" s="47"/>
      <c r="F650" s="41" t="s">
        <v>1351</v>
      </c>
      <c r="G650" s="41"/>
      <c r="H650" s="38"/>
      <c r="I650" s="38">
        <v>4</v>
      </c>
      <c r="J650" s="38">
        <v>6.11</v>
      </c>
      <c r="K650" s="38">
        <v>8.72E-2</v>
      </c>
      <c r="L650" s="41"/>
    </row>
    <row r="651" spans="1:12" x14ac:dyDescent="0.25">
      <c r="A651" s="4"/>
      <c r="B651" s="28" t="str">
        <f>IF(ISNUMBER(MATCH(D651, Mgt_Unit!$C$5:$C$1018, 0)), INDEX(Mgt_Unit!$B$5:$B$1018, MATCH(D651, Mgt_Unit!$C$5:$C$1018, 0)), "")</f>
        <v>jennifer.moore</v>
      </c>
      <c r="C651" s="28"/>
      <c r="D651" s="9" t="s">
        <v>880</v>
      </c>
      <c r="E651" s="47"/>
      <c r="F651" s="41" t="s">
        <v>1351</v>
      </c>
      <c r="G651" s="41"/>
      <c r="H651" s="38"/>
      <c r="I651" s="38">
        <v>3.2</v>
      </c>
      <c r="J651" s="38">
        <v>5.92</v>
      </c>
      <c r="K651" s="38">
        <v>7.7499999999999999E-2</v>
      </c>
      <c r="L651" s="41"/>
    </row>
    <row r="652" spans="1:12" x14ac:dyDescent="0.25">
      <c r="A652" s="4"/>
      <c r="B652" s="28" t="str">
        <f>IF(ISNUMBER(MATCH(D652, Mgt_Unit!$C$5:$C$1018, 0)), INDEX(Mgt_Unit!$B$5:$B$1018, MATCH(D652, Mgt_Unit!$C$5:$C$1018, 0)), "")</f>
        <v>jennifer.moore</v>
      </c>
      <c r="C652" s="28"/>
      <c r="D652" s="9" t="s">
        <v>880</v>
      </c>
      <c r="E652" s="47"/>
      <c r="F652" s="41" t="s">
        <v>1351</v>
      </c>
      <c r="G652" s="41"/>
      <c r="H652" s="38"/>
      <c r="I652" s="38">
        <v>3.1</v>
      </c>
      <c r="J652" s="38">
        <v>5.53</v>
      </c>
      <c r="K652" s="38">
        <v>7.1099999999999997E-2</v>
      </c>
      <c r="L652" s="41"/>
    </row>
    <row r="653" spans="1:12" x14ac:dyDescent="0.25">
      <c r="A653" s="4"/>
      <c r="B653" s="28" t="str">
        <f>IF(ISNUMBER(MATCH(D653, Mgt_Unit!$C$5:$C$1018, 0)), INDEX(Mgt_Unit!$B$5:$B$1018, MATCH(D653, Mgt_Unit!$C$5:$C$1018, 0)), "")</f>
        <v>jennifer.moore</v>
      </c>
      <c r="C653" s="28"/>
      <c r="D653" s="9" t="s">
        <v>881</v>
      </c>
      <c r="E653" s="47"/>
      <c r="F653" s="41" t="s">
        <v>1351</v>
      </c>
      <c r="G653" s="41"/>
      <c r="H653" s="38"/>
      <c r="I653" s="38">
        <v>3.5</v>
      </c>
      <c r="J653" s="38">
        <v>5.86</v>
      </c>
      <c r="K653" s="38">
        <v>0.1055</v>
      </c>
      <c r="L653" s="41"/>
    </row>
    <row r="654" spans="1:12" x14ac:dyDescent="0.25">
      <c r="A654" s="4"/>
      <c r="B654" s="28" t="str">
        <f>IF(ISNUMBER(MATCH(D654, Mgt_Unit!$C$5:$C$1018, 0)), INDEX(Mgt_Unit!$B$5:$B$1018, MATCH(D654, Mgt_Unit!$C$5:$C$1018, 0)), "")</f>
        <v>jennifer.moore</v>
      </c>
      <c r="C654" s="28"/>
      <c r="D654" s="9" t="s">
        <v>881</v>
      </c>
      <c r="E654" s="47"/>
      <c r="F654" s="41" t="s">
        <v>1351</v>
      </c>
      <c r="G654" s="41"/>
      <c r="H654" s="38"/>
      <c r="I654" s="38">
        <v>3.9</v>
      </c>
      <c r="J654" s="38">
        <v>6.2</v>
      </c>
      <c r="K654" s="38">
        <v>0.14810000000000001</v>
      </c>
      <c r="L654" s="41"/>
    </row>
    <row r="655" spans="1:12" x14ac:dyDescent="0.25">
      <c r="A655" s="4"/>
      <c r="B655" s="28" t="str">
        <f>IF(ISNUMBER(MATCH(D655, Mgt_Unit!$C$5:$C$1018, 0)), INDEX(Mgt_Unit!$B$5:$B$1018, MATCH(D655, Mgt_Unit!$C$5:$C$1018, 0)), "")</f>
        <v>jennifer.moore</v>
      </c>
      <c r="C655" s="28"/>
      <c r="D655" s="9" t="s">
        <v>881</v>
      </c>
      <c r="E655" s="47"/>
      <c r="F655" s="41" t="s">
        <v>1351</v>
      </c>
      <c r="G655" s="41"/>
      <c r="H655" s="38"/>
      <c r="I655" s="38">
        <v>3.7</v>
      </c>
      <c r="J655" s="38">
        <v>6.36</v>
      </c>
      <c r="K655" s="38">
        <v>0.1278</v>
      </c>
      <c r="L655" s="41"/>
    </row>
    <row r="656" spans="1:12" x14ac:dyDescent="0.25">
      <c r="A656" s="4"/>
      <c r="B656" s="28" t="str">
        <f>IF(ISNUMBER(MATCH(D656, Mgt_Unit!$C$5:$C$1018, 0)), INDEX(Mgt_Unit!$B$5:$B$1018, MATCH(D656, Mgt_Unit!$C$5:$C$1018, 0)), "")</f>
        <v>jennifer.moore</v>
      </c>
      <c r="C656" s="28"/>
      <c r="D656" s="9" t="s">
        <v>881</v>
      </c>
      <c r="E656" s="47"/>
      <c r="F656" s="41" t="s">
        <v>1351</v>
      </c>
      <c r="G656" s="41"/>
      <c r="H656" s="38"/>
      <c r="I656" s="38">
        <v>3.3</v>
      </c>
      <c r="J656" s="38">
        <v>6.03</v>
      </c>
      <c r="K656" s="38">
        <v>9.3200000000000005E-2</v>
      </c>
      <c r="L656" s="41"/>
    </row>
    <row r="657" spans="1:12" x14ac:dyDescent="0.25">
      <c r="A657" s="4"/>
      <c r="B657" s="28" t="str">
        <f>IF(ISNUMBER(MATCH(D657, Mgt_Unit!$C$5:$C$1018, 0)), INDEX(Mgt_Unit!$B$5:$B$1018, MATCH(D657, Mgt_Unit!$C$5:$C$1018, 0)), "")</f>
        <v>jennifer.moore</v>
      </c>
      <c r="C657" s="28"/>
      <c r="D657" s="9" t="s">
        <v>882</v>
      </c>
      <c r="E657" s="47"/>
      <c r="F657" s="41" t="s">
        <v>1351</v>
      </c>
      <c r="G657" s="41"/>
      <c r="H657" s="38"/>
      <c r="I657" s="38">
        <v>5.2</v>
      </c>
      <c r="J657" s="38">
        <v>6.36</v>
      </c>
      <c r="K657" s="38">
        <v>0.13600000000000001</v>
      </c>
      <c r="L657" s="41"/>
    </row>
    <row r="658" spans="1:12" x14ac:dyDescent="0.25">
      <c r="A658" s="4"/>
      <c r="B658" s="28" t="str">
        <f>IF(ISNUMBER(MATCH(D658, Mgt_Unit!$C$5:$C$1018, 0)), INDEX(Mgt_Unit!$B$5:$B$1018, MATCH(D658, Mgt_Unit!$C$5:$C$1018, 0)), "")</f>
        <v>jennifer.moore</v>
      </c>
      <c r="C658" s="28"/>
      <c r="D658" s="9" t="s">
        <v>882</v>
      </c>
      <c r="E658" s="47"/>
      <c r="F658" s="41" t="s">
        <v>1351</v>
      </c>
      <c r="G658" s="41"/>
      <c r="H658" s="38"/>
      <c r="I658" s="38">
        <v>4.3</v>
      </c>
      <c r="J658" s="38">
        <v>5.21</v>
      </c>
      <c r="K658" s="38">
        <v>8.1199999999999994E-2</v>
      </c>
      <c r="L658" s="41"/>
    </row>
    <row r="659" spans="1:12" x14ac:dyDescent="0.25">
      <c r="A659" s="4"/>
      <c r="B659" s="28" t="str">
        <f>IF(ISNUMBER(MATCH(D659, Mgt_Unit!$C$5:$C$1018, 0)), INDEX(Mgt_Unit!$B$5:$B$1018, MATCH(D659, Mgt_Unit!$C$5:$C$1018, 0)), "")</f>
        <v>jennifer.moore</v>
      </c>
      <c r="C659" s="28"/>
      <c r="D659" s="9" t="s">
        <v>882</v>
      </c>
      <c r="E659" s="47"/>
      <c r="F659" s="41" t="s">
        <v>1351</v>
      </c>
      <c r="G659" s="41"/>
      <c r="H659" s="38"/>
      <c r="I659" s="38">
        <v>4</v>
      </c>
      <c r="J659" s="38">
        <v>5.25</v>
      </c>
      <c r="K659" s="38">
        <v>7.0800000000000002E-2</v>
      </c>
      <c r="L659" s="41"/>
    </row>
    <row r="660" spans="1:12" x14ac:dyDescent="0.25">
      <c r="A660" s="4"/>
      <c r="B660" s="28" t="str">
        <f>IF(ISNUMBER(MATCH(D660, Mgt_Unit!$C$5:$C$1018, 0)), INDEX(Mgt_Unit!$B$5:$B$1018, MATCH(D660, Mgt_Unit!$C$5:$C$1018, 0)), "")</f>
        <v>jennifer.moore</v>
      </c>
      <c r="C660" s="28"/>
      <c r="D660" s="9" t="s">
        <v>882</v>
      </c>
      <c r="E660" s="47"/>
      <c r="F660" s="41" t="s">
        <v>1351</v>
      </c>
      <c r="G660" s="41"/>
      <c r="H660" s="38"/>
      <c r="I660" s="38">
        <v>3.6</v>
      </c>
      <c r="J660" s="38">
        <v>5.98</v>
      </c>
      <c r="K660" s="38">
        <v>7.7600000000000002E-2</v>
      </c>
      <c r="L660" s="41"/>
    </row>
    <row r="661" spans="1:12" x14ac:dyDescent="0.25">
      <c r="A661" s="4"/>
      <c r="B661" s="28" t="str">
        <f>IF(ISNUMBER(MATCH(D661, Mgt_Unit!$C$5:$C$1018, 0)), INDEX(Mgt_Unit!$B$5:$B$1018, MATCH(D661, Mgt_Unit!$C$5:$C$1018, 0)), "")</f>
        <v>jennifer.moore</v>
      </c>
      <c r="C661" s="28"/>
      <c r="D661" s="9" t="s">
        <v>883</v>
      </c>
      <c r="E661" s="47"/>
      <c r="F661" s="41" t="s">
        <v>1351</v>
      </c>
      <c r="G661" s="41"/>
      <c r="H661" s="38"/>
      <c r="I661" s="38">
        <v>4.5</v>
      </c>
      <c r="J661" s="38">
        <v>5.8</v>
      </c>
      <c r="K661" s="38">
        <v>8.8800000000000004E-2</v>
      </c>
      <c r="L661" s="41"/>
    </row>
    <row r="662" spans="1:12" x14ac:dyDescent="0.25">
      <c r="A662" s="4"/>
      <c r="B662" s="28" t="str">
        <f>IF(ISNUMBER(MATCH(D662, Mgt_Unit!$C$5:$C$1018, 0)), INDEX(Mgt_Unit!$B$5:$B$1018, MATCH(D662, Mgt_Unit!$C$5:$C$1018, 0)), "")</f>
        <v>jennifer.moore</v>
      </c>
      <c r="C662" s="28"/>
      <c r="D662" s="9" t="s">
        <v>883</v>
      </c>
      <c r="E662" s="47"/>
      <c r="F662" s="41" t="s">
        <v>1351</v>
      </c>
      <c r="G662" s="41"/>
      <c r="H662" s="38"/>
      <c r="I662" s="38">
        <v>4</v>
      </c>
      <c r="J662" s="38">
        <v>5.46</v>
      </c>
      <c r="K662" s="38">
        <v>7.7899999999999997E-2</v>
      </c>
      <c r="L662" s="41"/>
    </row>
    <row r="663" spans="1:12" x14ac:dyDescent="0.25">
      <c r="A663" s="4"/>
      <c r="B663" s="28" t="str">
        <f>IF(ISNUMBER(MATCH(D663, Mgt_Unit!$C$5:$C$1018, 0)), INDEX(Mgt_Unit!$B$5:$B$1018, MATCH(D663, Mgt_Unit!$C$5:$C$1018, 0)), "")</f>
        <v>jennifer.moore</v>
      </c>
      <c r="C663" s="28"/>
      <c r="D663" s="9" t="s">
        <v>883</v>
      </c>
      <c r="E663" s="47"/>
      <c r="F663" s="41" t="s">
        <v>1351</v>
      </c>
      <c r="G663" s="41"/>
      <c r="H663" s="38"/>
      <c r="I663" s="38">
        <v>3.8</v>
      </c>
      <c r="J663" s="38">
        <v>5.21</v>
      </c>
      <c r="K663" s="38">
        <v>7.3899999999999993E-2</v>
      </c>
      <c r="L663" s="41"/>
    </row>
    <row r="664" spans="1:12" x14ac:dyDescent="0.25">
      <c r="A664" s="4"/>
      <c r="B664" s="28" t="str">
        <f>IF(ISNUMBER(MATCH(D664, Mgt_Unit!$C$5:$C$1018, 0)), INDEX(Mgt_Unit!$B$5:$B$1018, MATCH(D664, Mgt_Unit!$C$5:$C$1018, 0)), "")</f>
        <v>jennifer.moore</v>
      </c>
      <c r="C664" s="28"/>
      <c r="D664" s="9" t="s">
        <v>883</v>
      </c>
      <c r="E664" s="47"/>
      <c r="F664" s="41" t="s">
        <v>1351</v>
      </c>
      <c r="G664" s="41"/>
      <c r="H664" s="38"/>
      <c r="I664" s="38">
        <v>3.5</v>
      </c>
      <c r="J664" s="38">
        <v>5.47</v>
      </c>
      <c r="K664" s="38">
        <v>7.0599999999999996E-2</v>
      </c>
      <c r="L664" s="41"/>
    </row>
    <row r="665" spans="1:12" x14ac:dyDescent="0.25">
      <c r="A665" s="4"/>
      <c r="B665" s="28" t="str">
        <f>IF(ISNUMBER(MATCH(D665, Mgt_Unit!$C$5:$C$1018, 0)), INDEX(Mgt_Unit!$B$5:$B$1018, MATCH(D665, Mgt_Unit!$C$5:$C$1018, 0)), "")</f>
        <v>jennifer.moore</v>
      </c>
      <c r="C665" s="28"/>
      <c r="D665" s="9" t="s">
        <v>884</v>
      </c>
      <c r="E665" s="47"/>
      <c r="F665" s="41" t="s">
        <v>1351</v>
      </c>
      <c r="G665" s="41"/>
      <c r="H665" s="38"/>
      <c r="I665" s="38">
        <v>3.6</v>
      </c>
      <c r="J665" s="38">
        <v>5.53</v>
      </c>
      <c r="K665" s="38">
        <v>8.2699999999999996E-2</v>
      </c>
      <c r="L665" s="41"/>
    </row>
    <row r="666" spans="1:12" x14ac:dyDescent="0.25">
      <c r="A666" s="4"/>
      <c r="B666" s="28" t="str">
        <f>IF(ISNUMBER(MATCH(D666, Mgt_Unit!$C$5:$C$1018, 0)), INDEX(Mgt_Unit!$B$5:$B$1018, MATCH(D666, Mgt_Unit!$C$5:$C$1018, 0)), "")</f>
        <v>jennifer.moore</v>
      </c>
      <c r="C666" s="28"/>
      <c r="D666" s="9" t="s">
        <v>884</v>
      </c>
      <c r="E666" s="47"/>
      <c r="F666" s="41" t="s">
        <v>1351</v>
      </c>
      <c r="G666" s="41"/>
      <c r="H666" s="38"/>
      <c r="I666" s="38">
        <v>3.4</v>
      </c>
      <c r="J666" s="38">
        <v>5.52</v>
      </c>
      <c r="K666" s="38">
        <v>8.1199999999999994E-2</v>
      </c>
      <c r="L666" s="41"/>
    </row>
    <row r="667" spans="1:12" x14ac:dyDescent="0.25">
      <c r="A667" s="4"/>
      <c r="B667" s="28" t="str">
        <f>IF(ISNUMBER(MATCH(D667, Mgt_Unit!$C$5:$C$1018, 0)), INDEX(Mgt_Unit!$B$5:$B$1018, MATCH(D667, Mgt_Unit!$C$5:$C$1018, 0)), "")</f>
        <v>jennifer.moore</v>
      </c>
      <c r="C667" s="28"/>
      <c r="D667" s="9" t="s">
        <v>884</v>
      </c>
      <c r="E667" s="47"/>
      <c r="F667" s="41" t="s">
        <v>1351</v>
      </c>
      <c r="G667" s="41"/>
      <c r="H667" s="38"/>
      <c r="I667" s="38">
        <v>3.5</v>
      </c>
      <c r="J667" s="38">
        <v>5.59</v>
      </c>
      <c r="K667" s="38">
        <v>0.109</v>
      </c>
      <c r="L667" s="41"/>
    </row>
    <row r="668" spans="1:12" x14ac:dyDescent="0.25">
      <c r="A668" s="4"/>
      <c r="B668" s="28" t="str">
        <f>IF(ISNUMBER(MATCH(D668, Mgt_Unit!$C$5:$C$1018, 0)), INDEX(Mgt_Unit!$B$5:$B$1018, MATCH(D668, Mgt_Unit!$C$5:$C$1018, 0)), "")</f>
        <v>jennifer.moore</v>
      </c>
      <c r="C668" s="28"/>
      <c r="D668" s="9" t="s">
        <v>884</v>
      </c>
      <c r="E668" s="47"/>
      <c r="F668" s="41" t="s">
        <v>1351</v>
      </c>
      <c r="G668" s="41"/>
      <c r="H668" s="38"/>
      <c r="I668" s="38">
        <v>3.4</v>
      </c>
      <c r="J668" s="38">
        <v>5.84</v>
      </c>
      <c r="K668" s="38">
        <v>9.06E-2</v>
      </c>
      <c r="L668" s="41"/>
    </row>
    <row r="669" spans="1:12" x14ac:dyDescent="0.25">
      <c r="A669" s="4"/>
      <c r="B669" s="28" t="str">
        <f>IF(ISNUMBER(MATCH(D669, Mgt_Unit!$C$5:$C$1018, 0)), INDEX(Mgt_Unit!$B$5:$B$1018, MATCH(D669, Mgt_Unit!$C$5:$C$1018, 0)), "")</f>
        <v>jennifer.moore</v>
      </c>
      <c r="C669" s="28"/>
      <c r="D669" s="9" t="s">
        <v>885</v>
      </c>
      <c r="E669" s="47"/>
      <c r="F669" s="41" t="s">
        <v>1351</v>
      </c>
      <c r="G669" s="41"/>
      <c r="H669" s="38"/>
      <c r="I669" s="38">
        <v>4.2</v>
      </c>
      <c r="J669" s="38">
        <v>5.62</v>
      </c>
      <c r="K669" s="38">
        <v>0.10580000000000001</v>
      </c>
      <c r="L669" s="41"/>
    </row>
    <row r="670" spans="1:12" x14ac:dyDescent="0.25">
      <c r="A670" s="4"/>
      <c r="B670" s="28" t="str">
        <f>IF(ISNUMBER(MATCH(D670, Mgt_Unit!$C$5:$C$1018, 0)), INDEX(Mgt_Unit!$B$5:$B$1018, MATCH(D670, Mgt_Unit!$C$5:$C$1018, 0)), "")</f>
        <v>jennifer.moore</v>
      </c>
      <c r="C670" s="28"/>
      <c r="D670" s="9" t="s">
        <v>885</v>
      </c>
      <c r="E670" s="47"/>
      <c r="F670" s="41" t="s">
        <v>1351</v>
      </c>
      <c r="G670" s="41"/>
      <c r="H670" s="38"/>
      <c r="I670" s="38">
        <v>3.7</v>
      </c>
      <c r="J670" s="38">
        <v>5.8</v>
      </c>
      <c r="K670" s="38">
        <v>0.1043</v>
      </c>
      <c r="L670" s="41"/>
    </row>
    <row r="671" spans="1:12" x14ac:dyDescent="0.25">
      <c r="A671" s="4"/>
      <c r="B671" s="28" t="str">
        <f>IF(ISNUMBER(MATCH(D671, Mgt_Unit!$C$5:$C$1018, 0)), INDEX(Mgt_Unit!$B$5:$B$1018, MATCH(D671, Mgt_Unit!$C$5:$C$1018, 0)), "")</f>
        <v>jennifer.moore</v>
      </c>
      <c r="C671" s="28"/>
      <c r="D671" s="9" t="s">
        <v>885</v>
      </c>
      <c r="E671" s="47"/>
      <c r="F671" s="41" t="s">
        <v>1351</v>
      </c>
      <c r="G671" s="41"/>
      <c r="H671" s="38"/>
      <c r="I671" s="38">
        <v>3.6</v>
      </c>
      <c r="J671" s="38">
        <v>5.19</v>
      </c>
      <c r="K671" s="38">
        <v>8.8099999999999998E-2</v>
      </c>
      <c r="L671" s="41"/>
    </row>
    <row r="672" spans="1:12" x14ac:dyDescent="0.25">
      <c r="A672" s="4"/>
      <c r="B672" s="28" t="str">
        <f>IF(ISNUMBER(MATCH(D672, Mgt_Unit!$C$5:$C$1018, 0)), INDEX(Mgt_Unit!$B$5:$B$1018, MATCH(D672, Mgt_Unit!$C$5:$C$1018, 0)), "")</f>
        <v>jennifer.moore</v>
      </c>
      <c r="C672" s="28"/>
      <c r="D672" s="9" t="s">
        <v>885</v>
      </c>
      <c r="E672" s="47"/>
      <c r="F672" s="41" t="s">
        <v>1351</v>
      </c>
      <c r="G672" s="41"/>
      <c r="H672" s="38"/>
      <c r="I672" s="38">
        <v>3.4</v>
      </c>
      <c r="J672" s="38">
        <v>6</v>
      </c>
      <c r="K672" s="38">
        <v>0.1094</v>
      </c>
      <c r="L672" s="41"/>
    </row>
    <row r="673" spans="1:12" x14ac:dyDescent="0.25">
      <c r="A673" s="4"/>
      <c r="B673" s="28" t="str">
        <f>IF(ISNUMBER(MATCH(D673, Mgt_Unit!$C$5:$C$1018, 0)), INDEX(Mgt_Unit!$B$5:$B$1018, MATCH(D673, Mgt_Unit!$C$5:$C$1018, 0)), "")</f>
        <v>jennifer.moore</v>
      </c>
      <c r="C673" s="28"/>
      <c r="D673" s="9" t="s">
        <v>886</v>
      </c>
      <c r="E673" s="47"/>
      <c r="F673" s="41" t="s">
        <v>1351</v>
      </c>
      <c r="G673" s="41"/>
      <c r="H673" s="38"/>
      <c r="I673" s="38">
        <v>3.7</v>
      </c>
      <c r="J673" s="38">
        <v>5.54</v>
      </c>
      <c r="K673" s="38">
        <v>8.6300000000000002E-2</v>
      </c>
      <c r="L673" s="41"/>
    </row>
    <row r="674" spans="1:12" x14ac:dyDescent="0.25">
      <c r="A674" s="4"/>
      <c r="B674" s="28" t="str">
        <f>IF(ISNUMBER(MATCH(D674, Mgt_Unit!$C$5:$C$1018, 0)), INDEX(Mgt_Unit!$B$5:$B$1018, MATCH(D674, Mgt_Unit!$C$5:$C$1018, 0)), "")</f>
        <v>jennifer.moore</v>
      </c>
      <c r="C674" s="28"/>
      <c r="D674" s="9" t="s">
        <v>886</v>
      </c>
      <c r="E674" s="47"/>
      <c r="F674" s="41" t="s">
        <v>1351</v>
      </c>
      <c r="G674" s="41"/>
      <c r="H674" s="38"/>
      <c r="I674" s="38">
        <v>3.8</v>
      </c>
      <c r="J674" s="38">
        <v>5.44</v>
      </c>
      <c r="K674" s="38">
        <v>9.3600000000000003E-2</v>
      </c>
      <c r="L674" s="41"/>
    </row>
    <row r="675" spans="1:12" x14ac:dyDescent="0.25">
      <c r="A675" s="4"/>
      <c r="B675" s="28" t="str">
        <f>IF(ISNUMBER(MATCH(D675, Mgt_Unit!$C$5:$C$1018, 0)), INDEX(Mgt_Unit!$B$5:$B$1018, MATCH(D675, Mgt_Unit!$C$5:$C$1018, 0)), "")</f>
        <v>jennifer.moore</v>
      </c>
      <c r="C675" s="28"/>
      <c r="D675" s="9" t="s">
        <v>886</v>
      </c>
      <c r="E675" s="47"/>
      <c r="F675" s="41" t="s">
        <v>1351</v>
      </c>
      <c r="G675" s="41"/>
      <c r="H675" s="38"/>
      <c r="I675" s="38">
        <v>4</v>
      </c>
      <c r="J675" s="38">
        <v>5.64</v>
      </c>
      <c r="K675" s="38">
        <v>9.0300000000000005E-2</v>
      </c>
      <c r="L675" s="41"/>
    </row>
    <row r="676" spans="1:12" x14ac:dyDescent="0.25">
      <c r="A676" s="4"/>
      <c r="B676" s="28" t="str">
        <f>IF(ISNUMBER(MATCH(D676, Mgt_Unit!$C$5:$C$1018, 0)), INDEX(Mgt_Unit!$B$5:$B$1018, MATCH(D676, Mgt_Unit!$C$5:$C$1018, 0)), "")</f>
        <v>jennifer.moore</v>
      </c>
      <c r="C676" s="28"/>
      <c r="D676" s="9" t="s">
        <v>886</v>
      </c>
      <c r="E676" s="47"/>
      <c r="F676" s="41" t="s">
        <v>1351</v>
      </c>
      <c r="G676" s="41"/>
      <c r="H676" s="38"/>
      <c r="I676" s="38">
        <v>4.0999999999999996</v>
      </c>
      <c r="J676" s="38">
        <v>5.21</v>
      </c>
      <c r="K676" s="38">
        <v>0.108</v>
      </c>
      <c r="L676" s="41"/>
    </row>
    <row r="677" spans="1:12" x14ac:dyDescent="0.25">
      <c r="A677" s="4"/>
      <c r="B677" s="28" t="str">
        <f>IF(ISNUMBER(MATCH(D677, Mgt_Unit!$C$5:$C$1018, 0)), INDEX(Mgt_Unit!$B$5:$B$1018, MATCH(D677, Mgt_Unit!$C$5:$C$1018, 0)), "")</f>
        <v>jennifer.moore</v>
      </c>
      <c r="C677" s="28"/>
      <c r="D677" s="9" t="s">
        <v>887</v>
      </c>
      <c r="E677" s="47"/>
      <c r="F677" s="41" t="s">
        <v>1351</v>
      </c>
      <c r="G677" s="41"/>
      <c r="H677" s="38"/>
      <c r="I677" s="38">
        <v>4.5999999999999996</v>
      </c>
      <c r="J677" s="38">
        <v>5.73</v>
      </c>
      <c r="K677" s="38">
        <v>8.8200000000000001E-2</v>
      </c>
      <c r="L677" s="41"/>
    </row>
    <row r="678" spans="1:12" x14ac:dyDescent="0.25">
      <c r="A678" s="4"/>
      <c r="B678" s="28" t="str">
        <f>IF(ISNUMBER(MATCH(D678, Mgt_Unit!$C$5:$C$1018, 0)), INDEX(Mgt_Unit!$B$5:$B$1018, MATCH(D678, Mgt_Unit!$C$5:$C$1018, 0)), "")</f>
        <v>jennifer.moore</v>
      </c>
      <c r="C678" s="28"/>
      <c r="D678" s="9" t="s">
        <v>887</v>
      </c>
      <c r="E678" s="47"/>
      <c r="F678" s="41" t="s">
        <v>1351</v>
      </c>
      <c r="G678" s="41"/>
      <c r="H678" s="38"/>
      <c r="I678" s="38">
        <v>4</v>
      </c>
      <c r="J678" s="38">
        <v>6.13</v>
      </c>
      <c r="K678" s="38">
        <v>0.1106</v>
      </c>
      <c r="L678" s="41"/>
    </row>
    <row r="679" spans="1:12" x14ac:dyDescent="0.25">
      <c r="A679" s="4"/>
      <c r="B679" s="28" t="str">
        <f>IF(ISNUMBER(MATCH(D679, Mgt_Unit!$C$5:$C$1018, 0)), INDEX(Mgt_Unit!$B$5:$B$1018, MATCH(D679, Mgt_Unit!$C$5:$C$1018, 0)), "")</f>
        <v>jennifer.moore</v>
      </c>
      <c r="C679" s="28"/>
      <c r="D679" s="9" t="s">
        <v>887</v>
      </c>
      <c r="E679" s="47"/>
      <c r="F679" s="41" t="s">
        <v>1351</v>
      </c>
      <c r="G679" s="41"/>
      <c r="H679" s="38"/>
      <c r="I679" s="38">
        <v>4.7</v>
      </c>
      <c r="J679" s="38">
        <v>5.7</v>
      </c>
      <c r="K679" s="38">
        <v>0.09</v>
      </c>
      <c r="L679" s="41"/>
    </row>
    <row r="680" spans="1:12" x14ac:dyDescent="0.25">
      <c r="A680" s="4"/>
      <c r="B680" s="28" t="str">
        <f>IF(ISNUMBER(MATCH(D680, Mgt_Unit!$C$5:$C$1018, 0)), INDEX(Mgt_Unit!$B$5:$B$1018, MATCH(D680, Mgt_Unit!$C$5:$C$1018, 0)), "")</f>
        <v>jennifer.moore</v>
      </c>
      <c r="C680" s="28"/>
      <c r="D680" s="9" t="s">
        <v>887</v>
      </c>
      <c r="E680" s="47"/>
      <c r="F680" s="41" t="s">
        <v>1351</v>
      </c>
      <c r="G680" s="41"/>
      <c r="H680" s="38"/>
      <c r="I680" s="38">
        <v>4.0999999999999996</v>
      </c>
      <c r="J680" s="38">
        <v>6.19</v>
      </c>
      <c r="K680" s="38">
        <v>8.9800000000000005E-2</v>
      </c>
      <c r="L680" s="41"/>
    </row>
    <row r="681" spans="1:12" x14ac:dyDescent="0.25">
      <c r="A681" s="4"/>
      <c r="B681" s="28" t="str">
        <f>IF(ISNUMBER(MATCH(D681, Mgt_Unit!$C$5:$C$1018, 0)), INDEX(Mgt_Unit!$B$5:$B$1018, MATCH(D681, Mgt_Unit!$C$5:$C$1018, 0)), "")</f>
        <v>jennifer.moore</v>
      </c>
      <c r="C681" s="28"/>
      <c r="D681" s="9" t="s">
        <v>888</v>
      </c>
      <c r="E681" s="47"/>
      <c r="F681" s="41" t="s">
        <v>1351</v>
      </c>
      <c r="G681" s="41"/>
      <c r="H681" s="38"/>
      <c r="I681" s="38">
        <v>3.1</v>
      </c>
      <c r="J681" s="38">
        <v>5.62</v>
      </c>
      <c r="K681" s="38">
        <v>0.1082</v>
      </c>
      <c r="L681" s="41"/>
    </row>
    <row r="682" spans="1:12" x14ac:dyDescent="0.25">
      <c r="A682" s="4"/>
      <c r="B682" s="28" t="str">
        <f>IF(ISNUMBER(MATCH(D682, Mgt_Unit!$C$5:$C$1018, 0)), INDEX(Mgt_Unit!$B$5:$B$1018, MATCH(D682, Mgt_Unit!$C$5:$C$1018, 0)), "")</f>
        <v>jennifer.moore</v>
      </c>
      <c r="C682" s="28"/>
      <c r="D682" s="9" t="s">
        <v>888</v>
      </c>
      <c r="E682" s="47"/>
      <c r="F682" s="41" t="s">
        <v>1351</v>
      </c>
      <c r="G682" s="41"/>
      <c r="H682" s="38"/>
      <c r="I682" s="38">
        <v>3</v>
      </c>
      <c r="J682" s="38">
        <v>5.61</v>
      </c>
      <c r="K682" s="38">
        <v>4.7500000000000001E-2</v>
      </c>
      <c r="L682" s="41"/>
    </row>
    <row r="683" spans="1:12" x14ac:dyDescent="0.25">
      <c r="A683" s="4"/>
      <c r="B683" s="28" t="str">
        <f>IF(ISNUMBER(MATCH(D683, Mgt_Unit!$C$5:$C$1018, 0)), INDEX(Mgt_Unit!$B$5:$B$1018, MATCH(D683, Mgt_Unit!$C$5:$C$1018, 0)), "")</f>
        <v>jennifer.moore</v>
      </c>
      <c r="C683" s="28"/>
      <c r="D683" s="9" t="s">
        <v>888</v>
      </c>
      <c r="E683" s="47"/>
      <c r="F683" s="41" t="s">
        <v>1351</v>
      </c>
      <c r="G683" s="41"/>
      <c r="H683" s="38"/>
      <c r="I683" s="38">
        <v>3.2</v>
      </c>
      <c r="J683" s="38">
        <v>5.61</v>
      </c>
      <c r="K683" s="38">
        <v>5.8599999999999999E-2</v>
      </c>
      <c r="L683" s="41"/>
    </row>
    <row r="684" spans="1:12" x14ac:dyDescent="0.25">
      <c r="A684" s="4"/>
      <c r="B684" s="28" t="str">
        <f>IF(ISNUMBER(MATCH(D684, Mgt_Unit!$C$5:$C$1018, 0)), INDEX(Mgt_Unit!$B$5:$B$1018, MATCH(D684, Mgt_Unit!$C$5:$C$1018, 0)), "")</f>
        <v>jennifer.moore</v>
      </c>
      <c r="C684" s="28"/>
      <c r="D684" s="9" t="s">
        <v>888</v>
      </c>
      <c r="E684" s="47"/>
      <c r="F684" s="41" t="s">
        <v>1351</v>
      </c>
      <c r="G684" s="41"/>
      <c r="H684" s="38"/>
      <c r="I684" s="38">
        <v>3.2</v>
      </c>
      <c r="J684" s="38">
        <v>6.02</v>
      </c>
      <c r="K684" s="38">
        <v>6.6600000000000006E-2</v>
      </c>
      <c r="L684" s="41"/>
    </row>
    <row r="685" spans="1:12" x14ac:dyDescent="0.25">
      <c r="A685" s="4"/>
      <c r="B685" s="28" t="str">
        <f>IF(ISNUMBER(MATCH(D685, Mgt_Unit!$C$5:$C$1018, 0)), INDEX(Mgt_Unit!$B$5:$B$1018, MATCH(D685, Mgt_Unit!$C$5:$C$1018, 0)), "")</f>
        <v>jennifer.moore</v>
      </c>
      <c r="C685" s="28"/>
      <c r="D685" s="9" t="s">
        <v>889</v>
      </c>
      <c r="E685" s="47"/>
      <c r="F685" s="41" t="s">
        <v>1351</v>
      </c>
      <c r="G685" s="41"/>
      <c r="H685" s="38"/>
      <c r="I685" s="38">
        <v>3.3</v>
      </c>
      <c r="J685" s="38">
        <v>5.54</v>
      </c>
      <c r="K685" s="38">
        <v>5.6300000000000003E-2</v>
      </c>
      <c r="L685" s="41"/>
    </row>
    <row r="686" spans="1:12" x14ac:dyDescent="0.25">
      <c r="A686" s="4"/>
      <c r="B686" s="28" t="str">
        <f>IF(ISNUMBER(MATCH(D686, Mgt_Unit!$C$5:$C$1018, 0)), INDEX(Mgt_Unit!$B$5:$B$1018, MATCH(D686, Mgt_Unit!$C$5:$C$1018, 0)), "")</f>
        <v>jennifer.moore</v>
      </c>
      <c r="C686" s="28"/>
      <c r="D686" s="9" t="s">
        <v>889</v>
      </c>
      <c r="E686" s="47"/>
      <c r="F686" s="41" t="s">
        <v>1351</v>
      </c>
      <c r="G686" s="41"/>
      <c r="H686" s="38"/>
      <c r="I686" s="38">
        <v>3.3</v>
      </c>
      <c r="J686" s="38">
        <v>5.75</v>
      </c>
      <c r="K686" s="38">
        <v>6.4000000000000001E-2</v>
      </c>
      <c r="L686" s="41"/>
    </row>
    <row r="687" spans="1:12" x14ac:dyDescent="0.25">
      <c r="A687" s="4"/>
      <c r="B687" s="28" t="str">
        <f>IF(ISNUMBER(MATCH(D687, Mgt_Unit!$C$5:$C$1018, 0)), INDEX(Mgt_Unit!$B$5:$B$1018, MATCH(D687, Mgt_Unit!$C$5:$C$1018, 0)), "")</f>
        <v>jennifer.moore</v>
      </c>
      <c r="C687" s="28"/>
      <c r="D687" s="9" t="s">
        <v>889</v>
      </c>
      <c r="E687" s="47"/>
      <c r="F687" s="41" t="s">
        <v>1351</v>
      </c>
      <c r="G687" s="41"/>
      <c r="H687" s="38"/>
      <c r="I687" s="38">
        <v>3.2</v>
      </c>
      <c r="J687" s="38">
        <v>5.42</v>
      </c>
      <c r="K687" s="38">
        <v>6.0600000000000001E-2</v>
      </c>
      <c r="L687" s="41"/>
    </row>
    <row r="688" spans="1:12" x14ac:dyDescent="0.25">
      <c r="A688" s="4"/>
      <c r="B688" s="28" t="str">
        <f>IF(ISNUMBER(MATCH(D688, Mgt_Unit!$C$5:$C$1018, 0)), INDEX(Mgt_Unit!$B$5:$B$1018, MATCH(D688, Mgt_Unit!$C$5:$C$1018, 0)), "")</f>
        <v>jennifer.moore</v>
      </c>
      <c r="C688" s="28"/>
      <c r="D688" s="9" t="s">
        <v>889</v>
      </c>
      <c r="E688" s="47"/>
      <c r="F688" s="41" t="s">
        <v>1351</v>
      </c>
      <c r="G688" s="41"/>
      <c r="H688" s="38"/>
      <c r="I688" s="38">
        <v>3.4</v>
      </c>
      <c r="J688" s="38">
        <v>6.08</v>
      </c>
      <c r="K688" s="38">
        <v>7.6399999999999996E-2</v>
      </c>
      <c r="L688" s="41"/>
    </row>
    <row r="689" spans="1:12" x14ac:dyDescent="0.25">
      <c r="A689" s="4"/>
      <c r="B689" s="28" t="str">
        <f>IF(ISNUMBER(MATCH(D689, Mgt_Unit!$C$5:$C$1018, 0)), INDEX(Mgt_Unit!$B$5:$B$1018, MATCH(D689, Mgt_Unit!$C$5:$C$1018, 0)), "")</f>
        <v>jennifer.moore</v>
      </c>
      <c r="C689" s="28"/>
      <c r="D689" s="9" t="s">
        <v>891</v>
      </c>
      <c r="E689" s="47"/>
      <c r="F689" s="41" t="s">
        <v>1351</v>
      </c>
      <c r="G689" s="41"/>
      <c r="H689" s="38"/>
      <c r="I689" s="38">
        <v>3</v>
      </c>
      <c r="J689" s="38">
        <v>6.09</v>
      </c>
      <c r="K689" s="38">
        <v>7.2599999999999998E-2</v>
      </c>
      <c r="L689" s="41"/>
    </row>
    <row r="690" spans="1:12" x14ac:dyDescent="0.25">
      <c r="A690" s="4"/>
      <c r="B690" s="28" t="str">
        <f>IF(ISNUMBER(MATCH(D690, Mgt_Unit!$C$5:$C$1018, 0)), INDEX(Mgt_Unit!$B$5:$B$1018, MATCH(D690, Mgt_Unit!$C$5:$C$1018, 0)), "")</f>
        <v>jennifer.moore</v>
      </c>
      <c r="C690" s="28"/>
      <c r="D690" s="9" t="s">
        <v>891</v>
      </c>
      <c r="E690" s="47"/>
      <c r="F690" s="41" t="s">
        <v>1351</v>
      </c>
      <c r="G690" s="41"/>
      <c r="H690" s="38"/>
      <c r="I690" s="38">
        <v>2.4</v>
      </c>
      <c r="J690" s="38">
        <v>6.13</v>
      </c>
      <c r="K690" s="38">
        <v>7.1800000000000003E-2</v>
      </c>
      <c r="L690" s="41"/>
    </row>
    <row r="691" spans="1:12" x14ac:dyDescent="0.25">
      <c r="A691" s="4"/>
      <c r="B691" s="28" t="str">
        <f>IF(ISNUMBER(MATCH(D691, Mgt_Unit!$C$5:$C$1018, 0)), INDEX(Mgt_Unit!$B$5:$B$1018, MATCH(D691, Mgt_Unit!$C$5:$C$1018, 0)), "")</f>
        <v>jennifer.moore</v>
      </c>
      <c r="C691" s="28"/>
      <c r="D691" s="9" t="s">
        <v>891</v>
      </c>
      <c r="E691" s="47"/>
      <c r="F691" s="41" t="s">
        <v>1351</v>
      </c>
      <c r="G691" s="41"/>
      <c r="H691" s="38"/>
      <c r="I691" s="38">
        <v>1.7</v>
      </c>
      <c r="J691" s="38">
        <v>6.11</v>
      </c>
      <c r="K691" s="38">
        <v>4.9500000000000002E-2</v>
      </c>
      <c r="L691" s="41"/>
    </row>
    <row r="692" spans="1:12" x14ac:dyDescent="0.25">
      <c r="A692" s="4"/>
      <c r="B692" s="28" t="str">
        <f>IF(ISNUMBER(MATCH(D692, Mgt_Unit!$C$5:$C$1018, 0)), INDEX(Mgt_Unit!$B$5:$B$1018, MATCH(D692, Mgt_Unit!$C$5:$C$1018, 0)), "")</f>
        <v>jennifer.moore</v>
      </c>
      <c r="C692" s="28"/>
      <c r="D692" s="9" t="s">
        <v>891</v>
      </c>
      <c r="E692" s="47"/>
      <c r="F692" s="41" t="s">
        <v>1351</v>
      </c>
      <c r="G692" s="41"/>
      <c r="H692" s="38"/>
      <c r="I692" s="38">
        <v>2.1</v>
      </c>
      <c r="J692" s="38">
        <v>6.4</v>
      </c>
      <c r="K692" s="38">
        <v>7.5499999999999998E-2</v>
      </c>
      <c r="L692" s="41"/>
    </row>
    <row r="693" spans="1:12" x14ac:dyDescent="0.25">
      <c r="A693" s="4"/>
      <c r="B693" s="28" t="str">
        <f>IF(ISNUMBER(MATCH(D693, Mgt_Unit!$C$5:$C$1018, 0)), INDEX(Mgt_Unit!$B$5:$B$1018, MATCH(D693, Mgt_Unit!$C$5:$C$1018, 0)), "")</f>
        <v>jennifer.moore</v>
      </c>
      <c r="C693" s="28"/>
      <c r="D693" s="9" t="s">
        <v>890</v>
      </c>
      <c r="E693" s="47"/>
      <c r="F693" s="41" t="s">
        <v>1351</v>
      </c>
      <c r="G693" s="41"/>
      <c r="H693" s="38"/>
      <c r="I693" s="38">
        <v>3.2</v>
      </c>
      <c r="J693" s="38">
        <v>6.91</v>
      </c>
      <c r="K693" s="38">
        <v>9.8299999999999998E-2</v>
      </c>
      <c r="L693" s="41"/>
    </row>
    <row r="694" spans="1:12" x14ac:dyDescent="0.25">
      <c r="A694" s="4"/>
      <c r="B694" s="28" t="str">
        <f>IF(ISNUMBER(MATCH(D694, Mgt_Unit!$C$5:$C$1018, 0)), INDEX(Mgt_Unit!$B$5:$B$1018, MATCH(D694, Mgt_Unit!$C$5:$C$1018, 0)), "")</f>
        <v>jennifer.moore</v>
      </c>
      <c r="C694" s="28"/>
      <c r="D694" s="9" t="s">
        <v>890</v>
      </c>
      <c r="E694" s="47"/>
      <c r="F694" s="41" t="s">
        <v>1351</v>
      </c>
      <c r="G694" s="41"/>
      <c r="H694" s="38"/>
      <c r="I694" s="38">
        <v>2.8</v>
      </c>
      <c r="J694" s="38">
        <v>7.21</v>
      </c>
      <c r="K694" s="38">
        <v>0.122</v>
      </c>
      <c r="L694" s="41"/>
    </row>
    <row r="695" spans="1:12" x14ac:dyDescent="0.25">
      <c r="A695" s="4"/>
      <c r="B695" s="28" t="str">
        <f>IF(ISNUMBER(MATCH(D695, Mgt_Unit!$C$5:$C$1018, 0)), INDEX(Mgt_Unit!$B$5:$B$1018, MATCH(D695, Mgt_Unit!$C$5:$C$1018, 0)), "")</f>
        <v>jennifer.moore</v>
      </c>
      <c r="C695" s="28"/>
      <c r="D695" s="9" t="s">
        <v>890</v>
      </c>
      <c r="E695" s="47"/>
      <c r="F695" s="41" t="s">
        <v>1351</v>
      </c>
      <c r="G695" s="41"/>
      <c r="H695" s="38"/>
      <c r="I695" s="38">
        <v>3.2</v>
      </c>
      <c r="J695" s="38">
        <v>6.76</v>
      </c>
      <c r="K695" s="38">
        <v>7.5399999999999995E-2</v>
      </c>
      <c r="L695" s="41"/>
    </row>
    <row r="696" spans="1:12" x14ac:dyDescent="0.25">
      <c r="A696" s="4"/>
      <c r="B696" s="28" t="str">
        <f>IF(ISNUMBER(MATCH(D696, Mgt_Unit!$C$5:$C$1018, 0)), INDEX(Mgt_Unit!$B$5:$B$1018, MATCH(D696, Mgt_Unit!$C$5:$C$1018, 0)), "")</f>
        <v>jennifer.moore</v>
      </c>
      <c r="C696" s="28"/>
      <c r="D696" s="9" t="s">
        <v>890</v>
      </c>
      <c r="E696" s="47"/>
      <c r="F696" s="41" t="s">
        <v>1351</v>
      </c>
      <c r="G696" s="41"/>
      <c r="H696" s="38"/>
      <c r="I696" s="38">
        <v>3.2</v>
      </c>
      <c r="J696" s="38">
        <v>6.95</v>
      </c>
      <c r="K696" s="38">
        <v>0.1142</v>
      </c>
      <c r="L696" s="41"/>
    </row>
    <row r="697" spans="1:12" x14ac:dyDescent="0.25">
      <c r="A697" s="4"/>
      <c r="B697" s="28" t="str">
        <f>IF(ISNUMBER(MATCH(D697, Mgt_Unit!$C$5:$C$1018, 0)), INDEX(Mgt_Unit!$B$5:$B$1018, MATCH(D697, Mgt_Unit!$C$5:$C$1018, 0)), "")</f>
        <v>jennifer.moore</v>
      </c>
      <c r="C697" s="28"/>
      <c r="D697" s="9" t="s">
        <v>893</v>
      </c>
      <c r="E697" s="47"/>
      <c r="F697" s="41" t="s">
        <v>1351</v>
      </c>
      <c r="G697" s="41"/>
      <c r="H697" s="38"/>
      <c r="I697" s="38">
        <v>3.3</v>
      </c>
      <c r="J697" s="38">
        <v>5.51</v>
      </c>
      <c r="K697" s="38">
        <v>6.1499999999999999E-2</v>
      </c>
      <c r="L697" s="41"/>
    </row>
    <row r="698" spans="1:12" x14ac:dyDescent="0.25">
      <c r="A698" s="4"/>
      <c r="B698" s="28" t="str">
        <f>IF(ISNUMBER(MATCH(D698, Mgt_Unit!$C$5:$C$1018, 0)), INDEX(Mgt_Unit!$B$5:$B$1018, MATCH(D698, Mgt_Unit!$C$5:$C$1018, 0)), "")</f>
        <v>jennifer.moore</v>
      </c>
      <c r="C698" s="28"/>
      <c r="D698" s="9" t="s">
        <v>893</v>
      </c>
      <c r="E698" s="47"/>
      <c r="F698" s="41" t="s">
        <v>1351</v>
      </c>
      <c r="G698" s="41"/>
      <c r="H698" s="38"/>
      <c r="I698" s="38">
        <v>2.5</v>
      </c>
      <c r="J698" s="38">
        <v>5.83</v>
      </c>
      <c r="K698" s="38">
        <v>7.7700000000000005E-2</v>
      </c>
      <c r="L698" s="41"/>
    </row>
    <row r="699" spans="1:12" x14ac:dyDescent="0.25">
      <c r="A699" s="4"/>
      <c r="B699" s="28" t="str">
        <f>IF(ISNUMBER(MATCH(D699, Mgt_Unit!$C$5:$C$1018, 0)), INDEX(Mgt_Unit!$B$5:$B$1018, MATCH(D699, Mgt_Unit!$C$5:$C$1018, 0)), "")</f>
        <v>jennifer.moore</v>
      </c>
      <c r="C699" s="28"/>
      <c r="D699" s="9" t="s">
        <v>893</v>
      </c>
      <c r="E699" s="47"/>
      <c r="F699" s="41" t="s">
        <v>1351</v>
      </c>
      <c r="G699" s="41"/>
      <c r="H699" s="38"/>
      <c r="I699" s="38">
        <v>1.8</v>
      </c>
      <c r="J699" s="38">
        <v>6.03</v>
      </c>
      <c r="K699" s="38">
        <v>4.7399999999999998E-2</v>
      </c>
      <c r="L699" s="41"/>
    </row>
    <row r="700" spans="1:12" x14ac:dyDescent="0.25">
      <c r="A700" s="4"/>
      <c r="B700" s="28" t="str">
        <f>IF(ISNUMBER(MATCH(D700, Mgt_Unit!$C$5:$C$1018, 0)), INDEX(Mgt_Unit!$B$5:$B$1018, MATCH(D700, Mgt_Unit!$C$5:$C$1018, 0)), "")</f>
        <v>jennifer.moore</v>
      </c>
      <c r="C700" s="28"/>
      <c r="D700" s="9" t="s">
        <v>893</v>
      </c>
      <c r="E700" s="47"/>
      <c r="F700" s="41" t="s">
        <v>1351</v>
      </c>
      <c r="G700" s="41"/>
      <c r="H700" s="38"/>
      <c r="I700" s="38">
        <v>2.1</v>
      </c>
      <c r="J700" s="38">
        <v>6.31</v>
      </c>
      <c r="K700" s="38">
        <v>6.0999999999999999E-2</v>
      </c>
      <c r="L700" s="41"/>
    </row>
    <row r="701" spans="1:12" x14ac:dyDescent="0.25">
      <c r="A701" s="4"/>
      <c r="B701" s="28" t="str">
        <f>IF(ISNUMBER(MATCH(D701, Mgt_Unit!$C$5:$C$1018, 0)), INDEX(Mgt_Unit!$B$5:$B$1018, MATCH(D701, Mgt_Unit!$C$5:$C$1018, 0)), "")</f>
        <v>jennifer.moore</v>
      </c>
      <c r="C701" s="28"/>
      <c r="D701" s="9" t="s">
        <v>892</v>
      </c>
      <c r="E701" s="47"/>
      <c r="F701" s="41" t="s">
        <v>1351</v>
      </c>
      <c r="G701" s="41"/>
      <c r="H701" s="38"/>
      <c r="I701" s="38">
        <v>3.4</v>
      </c>
      <c r="J701" s="38">
        <v>6.76</v>
      </c>
      <c r="K701" s="38">
        <v>9.0800000000000006E-2</v>
      </c>
      <c r="L701" s="41"/>
    </row>
    <row r="702" spans="1:12" x14ac:dyDescent="0.25">
      <c r="A702" s="4"/>
      <c r="B702" s="28" t="str">
        <f>IF(ISNUMBER(MATCH(D702, Mgt_Unit!$C$5:$C$1018, 0)), INDEX(Mgt_Unit!$B$5:$B$1018, MATCH(D702, Mgt_Unit!$C$5:$C$1018, 0)), "")</f>
        <v>jennifer.moore</v>
      </c>
      <c r="C702" s="28"/>
      <c r="D702" s="9" t="s">
        <v>892</v>
      </c>
      <c r="E702" s="47"/>
      <c r="F702" s="41" t="s">
        <v>1351</v>
      </c>
      <c r="G702" s="41"/>
      <c r="H702" s="38"/>
      <c r="I702" s="38">
        <v>3.5</v>
      </c>
      <c r="J702" s="38">
        <v>6.82</v>
      </c>
      <c r="K702" s="38">
        <v>7.9000000000000001E-2</v>
      </c>
      <c r="L702" s="41"/>
    </row>
    <row r="703" spans="1:12" x14ac:dyDescent="0.25">
      <c r="A703" s="4"/>
      <c r="B703" s="28" t="str">
        <f>IF(ISNUMBER(MATCH(D703, Mgt_Unit!$C$5:$C$1018, 0)), INDEX(Mgt_Unit!$B$5:$B$1018, MATCH(D703, Mgt_Unit!$C$5:$C$1018, 0)), "")</f>
        <v>jennifer.moore</v>
      </c>
      <c r="C703" s="28"/>
      <c r="D703" s="9" t="s">
        <v>892</v>
      </c>
      <c r="E703" s="47"/>
      <c r="F703" s="41" t="s">
        <v>1351</v>
      </c>
      <c r="G703" s="41"/>
      <c r="H703" s="38"/>
      <c r="I703" s="38">
        <v>4.2</v>
      </c>
      <c r="J703" s="38">
        <v>7.21</v>
      </c>
      <c r="K703" s="38">
        <v>0.1144</v>
      </c>
      <c r="L703" s="41"/>
    </row>
    <row r="704" spans="1:12" x14ac:dyDescent="0.25">
      <c r="A704" s="4"/>
      <c r="B704" s="28" t="str">
        <f>IF(ISNUMBER(MATCH(D704, Mgt_Unit!$C$5:$C$1018, 0)), INDEX(Mgt_Unit!$B$5:$B$1018, MATCH(D704, Mgt_Unit!$C$5:$C$1018, 0)), "")</f>
        <v>jennifer.moore</v>
      </c>
      <c r="C704" s="28"/>
      <c r="D704" s="9" t="s">
        <v>892</v>
      </c>
      <c r="E704" s="47"/>
      <c r="F704" s="41" t="s">
        <v>1351</v>
      </c>
      <c r="G704" s="41"/>
      <c r="H704" s="38"/>
      <c r="I704" s="38">
        <v>4.2</v>
      </c>
      <c r="J704" s="38">
        <v>7.03</v>
      </c>
      <c r="K704" s="38">
        <v>8.9800000000000005E-2</v>
      </c>
      <c r="L704" s="41"/>
    </row>
    <row r="705" spans="1:12" x14ac:dyDescent="0.25">
      <c r="A705" s="4"/>
      <c r="B705" s="28" t="str">
        <f>IF(ISNUMBER(MATCH(D705, Mgt_Unit!$C$5:$C$1018, 0)), INDEX(Mgt_Unit!$B$5:$B$1018, MATCH(D705, Mgt_Unit!$C$5:$C$1018, 0)), "")</f>
        <v>jennifer.moore</v>
      </c>
      <c r="C705" s="28"/>
      <c r="D705" s="9" t="s">
        <v>894</v>
      </c>
      <c r="E705" s="47"/>
      <c r="F705" s="41" t="s">
        <v>1351</v>
      </c>
      <c r="G705" s="41"/>
      <c r="H705" s="38"/>
      <c r="I705" s="38">
        <v>1.3</v>
      </c>
      <c r="J705" s="38">
        <v>5.27</v>
      </c>
      <c r="K705" s="38">
        <v>4.8099999999999997E-2</v>
      </c>
      <c r="L705" s="41"/>
    </row>
    <row r="706" spans="1:12" x14ac:dyDescent="0.25">
      <c r="A706" s="4"/>
      <c r="B706" s="28" t="str">
        <f>IF(ISNUMBER(MATCH(D706, Mgt_Unit!$C$5:$C$1018, 0)), INDEX(Mgt_Unit!$B$5:$B$1018, MATCH(D706, Mgt_Unit!$C$5:$C$1018, 0)), "")</f>
        <v>jennifer.moore</v>
      </c>
      <c r="C706" s="28"/>
      <c r="D706" s="9" t="s">
        <v>894</v>
      </c>
      <c r="E706" s="47"/>
      <c r="F706" s="41" t="s">
        <v>1351</v>
      </c>
      <c r="G706" s="41"/>
      <c r="H706" s="38"/>
      <c r="I706" s="38">
        <v>0.9</v>
      </c>
      <c r="J706" s="38">
        <v>5.49</v>
      </c>
      <c r="K706" s="38">
        <v>3.9600000000000003E-2</v>
      </c>
      <c r="L706" s="41"/>
    </row>
    <row r="707" spans="1:12" x14ac:dyDescent="0.25">
      <c r="A707" s="4"/>
      <c r="B707" s="28" t="str">
        <f>IF(ISNUMBER(MATCH(D707, Mgt_Unit!$C$5:$C$1018, 0)), INDEX(Mgt_Unit!$B$5:$B$1018, MATCH(D707, Mgt_Unit!$C$5:$C$1018, 0)), "")</f>
        <v>jennifer.moore</v>
      </c>
      <c r="C707" s="28"/>
      <c r="D707" s="9" t="s">
        <v>894</v>
      </c>
      <c r="E707" s="47"/>
      <c r="F707" s="41" t="s">
        <v>1351</v>
      </c>
      <c r="G707" s="41"/>
      <c r="H707" s="38"/>
      <c r="I707" s="38">
        <v>1.1000000000000001</v>
      </c>
      <c r="J707" s="38">
        <v>5.03</v>
      </c>
      <c r="K707" s="38">
        <v>3.4299999999999997E-2</v>
      </c>
      <c r="L707" s="41"/>
    </row>
    <row r="708" spans="1:12" x14ac:dyDescent="0.25">
      <c r="A708" s="4"/>
      <c r="B708" s="28" t="str">
        <f>IF(ISNUMBER(MATCH(D708, Mgt_Unit!$C$5:$C$1018, 0)), INDEX(Mgt_Unit!$B$5:$B$1018, MATCH(D708, Mgt_Unit!$C$5:$C$1018, 0)), "")</f>
        <v>jennifer.moore</v>
      </c>
      <c r="C708" s="28"/>
      <c r="D708" s="9" t="s">
        <v>894</v>
      </c>
      <c r="E708" s="47"/>
      <c r="F708" s="41" t="s">
        <v>1351</v>
      </c>
      <c r="G708" s="41"/>
      <c r="H708" s="38"/>
      <c r="I708" s="38">
        <v>1.2</v>
      </c>
      <c r="J708" s="38">
        <v>5.65</v>
      </c>
      <c r="K708" s="38">
        <v>3.9899999999999998E-2</v>
      </c>
      <c r="L708" s="41"/>
    </row>
    <row r="709" spans="1:12" x14ac:dyDescent="0.25">
      <c r="A709" s="4"/>
      <c r="B709" s="28" t="str">
        <f>IF(ISNUMBER(MATCH(D709, Mgt_Unit!$C$5:$C$1018, 0)), INDEX(Mgt_Unit!$B$5:$B$1018, MATCH(D709, Mgt_Unit!$C$5:$C$1018, 0)), "")</f>
        <v>jennifer.moore</v>
      </c>
      <c r="C709" s="28"/>
      <c r="D709" s="9" t="s">
        <v>896</v>
      </c>
      <c r="E709" s="47"/>
      <c r="F709" s="41" t="s">
        <v>1351</v>
      </c>
      <c r="G709" s="41"/>
      <c r="H709" s="38"/>
      <c r="I709" s="38">
        <v>1.7</v>
      </c>
      <c r="J709" s="38">
        <v>5.05</v>
      </c>
      <c r="K709" s="38">
        <v>5.3199999999999997E-2</v>
      </c>
      <c r="L709" s="41"/>
    </row>
    <row r="710" spans="1:12" x14ac:dyDescent="0.25">
      <c r="A710" s="4"/>
      <c r="B710" s="28" t="str">
        <f>IF(ISNUMBER(MATCH(D710, Mgt_Unit!$C$5:$C$1018, 0)), INDEX(Mgt_Unit!$B$5:$B$1018, MATCH(D710, Mgt_Unit!$C$5:$C$1018, 0)), "")</f>
        <v>jennifer.moore</v>
      </c>
      <c r="C710" s="28"/>
      <c r="D710" s="9" t="s">
        <v>896</v>
      </c>
      <c r="E710" s="47"/>
      <c r="F710" s="41" t="s">
        <v>1351</v>
      </c>
      <c r="G710" s="41"/>
      <c r="H710" s="38"/>
      <c r="I710" s="38">
        <v>1.5</v>
      </c>
      <c r="J710" s="38">
        <v>5.76</v>
      </c>
      <c r="K710" s="38">
        <v>5.28E-2</v>
      </c>
      <c r="L710" s="41"/>
    </row>
    <row r="711" spans="1:12" x14ac:dyDescent="0.25">
      <c r="A711" s="4"/>
      <c r="B711" s="28" t="str">
        <f>IF(ISNUMBER(MATCH(D711, Mgt_Unit!$C$5:$C$1018, 0)), INDEX(Mgt_Unit!$B$5:$B$1018, MATCH(D711, Mgt_Unit!$C$5:$C$1018, 0)), "")</f>
        <v>jennifer.moore</v>
      </c>
      <c r="C711" s="28"/>
      <c r="D711" s="9" t="s">
        <v>896</v>
      </c>
      <c r="E711" s="47"/>
      <c r="F711" s="41" t="s">
        <v>1351</v>
      </c>
      <c r="G711" s="41"/>
      <c r="H711" s="38"/>
      <c r="I711" s="38">
        <v>1.2</v>
      </c>
      <c r="J711" s="38">
        <v>5.86</v>
      </c>
      <c r="K711" s="38">
        <v>5.1499999999999997E-2</v>
      </c>
      <c r="L711" s="41"/>
    </row>
    <row r="712" spans="1:12" x14ac:dyDescent="0.25">
      <c r="A712" s="4"/>
      <c r="B712" s="28" t="str">
        <f>IF(ISNUMBER(MATCH(D712, Mgt_Unit!$C$5:$C$1018, 0)), INDEX(Mgt_Unit!$B$5:$B$1018, MATCH(D712, Mgt_Unit!$C$5:$C$1018, 0)), "")</f>
        <v>jennifer.moore</v>
      </c>
      <c r="C712" s="28"/>
      <c r="D712" s="9" t="s">
        <v>896</v>
      </c>
      <c r="E712" s="47"/>
      <c r="F712" s="41" t="s">
        <v>1351</v>
      </c>
      <c r="G712" s="41"/>
      <c r="H712" s="38"/>
      <c r="I712" s="38">
        <v>1.4</v>
      </c>
      <c r="J712" s="38">
        <v>5.61</v>
      </c>
      <c r="K712" s="38">
        <v>4.2799999999999998E-2</v>
      </c>
      <c r="L712" s="41"/>
    </row>
    <row r="713" spans="1:12" x14ac:dyDescent="0.25">
      <c r="A713" s="4"/>
      <c r="B713" s="28" t="str">
        <f>IF(ISNUMBER(MATCH(D713, Mgt_Unit!$C$5:$C$1018, 0)), INDEX(Mgt_Unit!$B$5:$B$1018, MATCH(D713, Mgt_Unit!$C$5:$C$1018, 0)), "")</f>
        <v>jennifer.moore</v>
      </c>
      <c r="C713" s="28"/>
      <c r="D713" s="9" t="s">
        <v>895</v>
      </c>
      <c r="E713" s="47"/>
      <c r="F713" s="41" t="s">
        <v>1351</v>
      </c>
      <c r="G713" s="41"/>
      <c r="H713" s="38"/>
      <c r="I713" s="38">
        <v>1.8</v>
      </c>
      <c r="J713" s="38">
        <v>5.0999999999999996</v>
      </c>
      <c r="K713" s="38">
        <v>5.57E-2</v>
      </c>
      <c r="L713" s="41"/>
    </row>
    <row r="714" spans="1:12" x14ac:dyDescent="0.25">
      <c r="A714" s="4"/>
      <c r="B714" s="28" t="str">
        <f>IF(ISNUMBER(MATCH(D714, Mgt_Unit!$C$5:$C$1018, 0)), INDEX(Mgt_Unit!$B$5:$B$1018, MATCH(D714, Mgt_Unit!$C$5:$C$1018, 0)), "")</f>
        <v>jennifer.moore</v>
      </c>
      <c r="C714" s="28"/>
      <c r="D714" s="9" t="s">
        <v>895</v>
      </c>
      <c r="E714" s="47"/>
      <c r="F714" s="41" t="s">
        <v>1351</v>
      </c>
      <c r="G714" s="41"/>
      <c r="H714" s="38"/>
      <c r="I714" s="38">
        <v>1.5</v>
      </c>
      <c r="J714" s="38">
        <v>4.99</v>
      </c>
      <c r="K714" s="38">
        <v>4.0399999999999998E-2</v>
      </c>
      <c r="L714" s="41"/>
    </row>
    <row r="715" spans="1:12" x14ac:dyDescent="0.25">
      <c r="A715" s="4"/>
      <c r="B715" s="28" t="str">
        <f>IF(ISNUMBER(MATCH(D715, Mgt_Unit!$C$5:$C$1018, 0)), INDEX(Mgt_Unit!$B$5:$B$1018, MATCH(D715, Mgt_Unit!$C$5:$C$1018, 0)), "")</f>
        <v>jennifer.moore</v>
      </c>
      <c r="C715" s="28"/>
      <c r="D715" s="9" t="s">
        <v>895</v>
      </c>
      <c r="E715" s="47"/>
      <c r="F715" s="41" t="s">
        <v>1351</v>
      </c>
      <c r="G715" s="41"/>
      <c r="H715" s="38"/>
      <c r="I715" s="38">
        <v>1.3</v>
      </c>
      <c r="J715" s="38">
        <v>5.46</v>
      </c>
      <c r="K715" s="38">
        <v>4.4499999999999998E-2</v>
      </c>
      <c r="L715" s="41"/>
    </row>
    <row r="716" spans="1:12" x14ac:dyDescent="0.25">
      <c r="A716" s="4"/>
      <c r="B716" s="28" t="str">
        <f>IF(ISNUMBER(MATCH(D716, Mgt_Unit!$C$5:$C$1018, 0)), INDEX(Mgt_Unit!$B$5:$B$1018, MATCH(D716, Mgt_Unit!$C$5:$C$1018, 0)), "")</f>
        <v>jennifer.moore</v>
      </c>
      <c r="C716" s="28"/>
      <c r="D716" s="9" t="s">
        <v>895</v>
      </c>
      <c r="E716" s="47"/>
      <c r="F716" s="41" t="s">
        <v>1351</v>
      </c>
      <c r="G716" s="41"/>
      <c r="H716" s="38"/>
      <c r="I716" s="38">
        <v>1.3</v>
      </c>
      <c r="J716" s="38">
        <v>5.43</v>
      </c>
      <c r="K716" s="38">
        <v>3.7199999999999997E-2</v>
      </c>
      <c r="L716" s="41"/>
    </row>
    <row r="717" spans="1:12" x14ac:dyDescent="0.25">
      <c r="A717" s="4"/>
      <c r="B717" s="28" t="str">
        <f>IF(ISNUMBER(MATCH(D717, Mgt_Unit!$C$5:$C$1018, 0)), INDEX(Mgt_Unit!$B$5:$B$1018, MATCH(D717, Mgt_Unit!$C$5:$C$1018, 0)), "")</f>
        <v>jennifer.moore</v>
      </c>
      <c r="C717" s="28"/>
      <c r="D717" s="9" t="s">
        <v>897</v>
      </c>
      <c r="E717" s="47"/>
      <c r="F717" s="41" t="s">
        <v>1351</v>
      </c>
      <c r="G717" s="41"/>
      <c r="H717" s="38"/>
      <c r="I717" s="38">
        <v>1.7</v>
      </c>
      <c r="J717" s="38">
        <v>5.91</v>
      </c>
      <c r="K717" s="38">
        <v>0.06</v>
      </c>
      <c r="L717" s="41"/>
    </row>
    <row r="718" spans="1:12" x14ac:dyDescent="0.25">
      <c r="A718" s="4"/>
      <c r="B718" s="28" t="str">
        <f>IF(ISNUMBER(MATCH(D718, Mgt_Unit!$C$5:$C$1018, 0)), INDEX(Mgt_Unit!$B$5:$B$1018, MATCH(D718, Mgt_Unit!$C$5:$C$1018, 0)), "")</f>
        <v>jennifer.moore</v>
      </c>
      <c r="C718" s="28"/>
      <c r="D718" s="9" t="s">
        <v>897</v>
      </c>
      <c r="E718" s="47"/>
      <c r="F718" s="41" t="s">
        <v>1351</v>
      </c>
      <c r="G718" s="41"/>
      <c r="H718" s="38"/>
      <c r="I718" s="38">
        <v>1.2</v>
      </c>
      <c r="J718" s="38">
        <v>5.66</v>
      </c>
      <c r="K718" s="38">
        <v>5.1400000000000001E-2</v>
      </c>
      <c r="L718" s="41"/>
    </row>
    <row r="719" spans="1:12" x14ac:dyDescent="0.25">
      <c r="A719" s="4"/>
      <c r="B719" s="28" t="str">
        <f>IF(ISNUMBER(MATCH(D719, Mgt_Unit!$C$5:$C$1018, 0)), INDEX(Mgt_Unit!$B$5:$B$1018, MATCH(D719, Mgt_Unit!$C$5:$C$1018, 0)), "")</f>
        <v>jennifer.moore</v>
      </c>
      <c r="C719" s="28"/>
      <c r="D719" s="9" t="s">
        <v>897</v>
      </c>
      <c r="E719" s="47"/>
      <c r="F719" s="41" t="s">
        <v>1351</v>
      </c>
      <c r="G719" s="41"/>
      <c r="H719" s="38"/>
      <c r="I719" s="38">
        <v>1.5</v>
      </c>
      <c r="J719" s="38">
        <v>5.88</v>
      </c>
      <c r="K719" s="38">
        <v>6.08E-2</v>
      </c>
      <c r="L719" s="41"/>
    </row>
    <row r="720" spans="1:12" x14ac:dyDescent="0.25">
      <c r="A720" s="4"/>
      <c r="B720" s="28" t="str">
        <f>IF(ISNUMBER(MATCH(D720, Mgt_Unit!$C$5:$C$1018, 0)), INDEX(Mgt_Unit!$B$5:$B$1018, MATCH(D720, Mgt_Unit!$C$5:$C$1018, 0)), "")</f>
        <v>jennifer.moore</v>
      </c>
      <c r="C720" s="28"/>
      <c r="D720" s="9" t="s">
        <v>897</v>
      </c>
      <c r="E720" s="47"/>
      <c r="F720" s="41" t="s">
        <v>1351</v>
      </c>
      <c r="G720" s="41"/>
      <c r="H720" s="38"/>
      <c r="I720" s="38">
        <v>1.5</v>
      </c>
      <c r="J720" s="38">
        <v>5.42</v>
      </c>
      <c r="K720" s="38">
        <v>4.24E-2</v>
      </c>
      <c r="L720" s="41"/>
    </row>
    <row r="721" spans="1:12" x14ac:dyDescent="0.25">
      <c r="A721" s="4"/>
      <c r="B721" s="28" t="str">
        <f>IF(ISNUMBER(MATCH(D721, Mgt_Unit!$C$5:$C$1018, 0)), INDEX(Mgt_Unit!$B$5:$B$1018, MATCH(D721, Mgt_Unit!$C$5:$C$1018, 0)), "")</f>
        <v>jennifer.moore</v>
      </c>
      <c r="C721" s="28"/>
      <c r="D721" s="9" t="s">
        <v>899</v>
      </c>
      <c r="E721" s="47"/>
      <c r="F721" s="41" t="s">
        <v>1351</v>
      </c>
      <c r="G721" s="41"/>
      <c r="H721" s="38"/>
      <c r="I721" s="38">
        <v>2.2999999999999998</v>
      </c>
      <c r="J721" s="38">
        <v>5.46</v>
      </c>
      <c r="K721" s="38">
        <v>7.0800000000000002E-2</v>
      </c>
      <c r="L721" s="41"/>
    </row>
    <row r="722" spans="1:12" x14ac:dyDescent="0.25">
      <c r="A722" s="4"/>
      <c r="B722" s="28" t="str">
        <f>IF(ISNUMBER(MATCH(D722, Mgt_Unit!$C$5:$C$1018, 0)), INDEX(Mgt_Unit!$B$5:$B$1018, MATCH(D722, Mgt_Unit!$C$5:$C$1018, 0)), "")</f>
        <v>jennifer.moore</v>
      </c>
      <c r="C722" s="28"/>
      <c r="D722" s="9" t="s">
        <v>899</v>
      </c>
      <c r="E722" s="47"/>
      <c r="F722" s="41" t="s">
        <v>1351</v>
      </c>
      <c r="G722" s="41"/>
      <c r="H722" s="38"/>
      <c r="I722" s="38">
        <v>1.8</v>
      </c>
      <c r="J722" s="38">
        <v>6.06</v>
      </c>
      <c r="K722" s="38">
        <v>7.5600000000000001E-2</v>
      </c>
      <c r="L722" s="41"/>
    </row>
    <row r="723" spans="1:12" x14ac:dyDescent="0.25">
      <c r="A723" s="4"/>
      <c r="B723" s="28" t="str">
        <f>IF(ISNUMBER(MATCH(D723, Mgt_Unit!$C$5:$C$1018, 0)), INDEX(Mgt_Unit!$B$5:$B$1018, MATCH(D723, Mgt_Unit!$C$5:$C$1018, 0)), "")</f>
        <v>jennifer.moore</v>
      </c>
      <c r="C723" s="28"/>
      <c r="D723" s="9" t="s">
        <v>899</v>
      </c>
      <c r="E723" s="47"/>
      <c r="F723" s="41" t="s">
        <v>1351</v>
      </c>
      <c r="G723" s="41"/>
      <c r="H723" s="38"/>
      <c r="I723" s="38">
        <v>1.5</v>
      </c>
      <c r="J723" s="38">
        <v>5.58</v>
      </c>
      <c r="K723" s="38">
        <v>6.0600000000000001E-2</v>
      </c>
      <c r="L723" s="41"/>
    </row>
    <row r="724" spans="1:12" x14ac:dyDescent="0.25">
      <c r="A724" s="4"/>
      <c r="B724" s="28" t="str">
        <f>IF(ISNUMBER(MATCH(D724, Mgt_Unit!$C$5:$C$1018, 0)), INDEX(Mgt_Unit!$B$5:$B$1018, MATCH(D724, Mgt_Unit!$C$5:$C$1018, 0)), "")</f>
        <v>jennifer.moore</v>
      </c>
      <c r="C724" s="28"/>
      <c r="D724" s="9" t="s">
        <v>899</v>
      </c>
      <c r="E724" s="47"/>
      <c r="F724" s="41" t="s">
        <v>1351</v>
      </c>
      <c r="G724" s="41"/>
      <c r="H724" s="38"/>
      <c r="I724" s="38">
        <v>1.7</v>
      </c>
      <c r="J724" s="38">
        <v>6.04</v>
      </c>
      <c r="K724" s="38">
        <v>6.9199999999999998E-2</v>
      </c>
      <c r="L724" s="41"/>
    </row>
    <row r="725" spans="1:12" x14ac:dyDescent="0.25">
      <c r="A725" s="4"/>
      <c r="B725" s="28" t="str">
        <f>IF(ISNUMBER(MATCH(D725, Mgt_Unit!$C$5:$C$1018, 0)), INDEX(Mgt_Unit!$B$5:$B$1018, MATCH(D725, Mgt_Unit!$C$5:$C$1018, 0)), "")</f>
        <v>jennifer.moore</v>
      </c>
      <c r="C725" s="28"/>
      <c r="D725" s="9" t="s">
        <v>898</v>
      </c>
      <c r="E725" s="47"/>
      <c r="F725" s="41" t="s">
        <v>1351</v>
      </c>
      <c r="G725" s="41"/>
      <c r="H725" s="38"/>
      <c r="I725" s="38">
        <v>1.6</v>
      </c>
      <c r="J725" s="38">
        <v>5.64</v>
      </c>
      <c r="K725" s="38">
        <v>6.0100000000000001E-2</v>
      </c>
      <c r="L725" s="41"/>
    </row>
    <row r="726" spans="1:12" x14ac:dyDescent="0.25">
      <c r="A726" s="4"/>
      <c r="B726" s="28" t="str">
        <f>IF(ISNUMBER(MATCH(D726, Mgt_Unit!$C$5:$C$1018, 0)), INDEX(Mgt_Unit!$B$5:$B$1018, MATCH(D726, Mgt_Unit!$C$5:$C$1018, 0)), "")</f>
        <v>jennifer.moore</v>
      </c>
      <c r="C726" s="28"/>
      <c r="D726" s="9" t="s">
        <v>898</v>
      </c>
      <c r="E726" s="47"/>
      <c r="F726" s="41" t="s">
        <v>1351</v>
      </c>
      <c r="G726" s="41"/>
      <c r="H726" s="38"/>
      <c r="I726" s="38">
        <v>1.3</v>
      </c>
      <c r="J726" s="38">
        <v>5.15</v>
      </c>
      <c r="K726" s="38">
        <v>4.36E-2</v>
      </c>
      <c r="L726" s="41"/>
    </row>
    <row r="727" spans="1:12" x14ac:dyDescent="0.25">
      <c r="A727" s="4"/>
      <c r="B727" s="28" t="str">
        <f>IF(ISNUMBER(MATCH(D727, Mgt_Unit!$C$5:$C$1018, 0)), INDEX(Mgt_Unit!$B$5:$B$1018, MATCH(D727, Mgt_Unit!$C$5:$C$1018, 0)), "")</f>
        <v>jennifer.moore</v>
      </c>
      <c r="C727" s="28"/>
      <c r="D727" s="9" t="s">
        <v>898</v>
      </c>
      <c r="E727" s="47"/>
      <c r="F727" s="41" t="s">
        <v>1351</v>
      </c>
      <c r="G727" s="41"/>
      <c r="H727" s="38"/>
      <c r="I727" s="38">
        <v>1.6</v>
      </c>
      <c r="J727" s="38">
        <v>5.77</v>
      </c>
      <c r="K727" s="38">
        <v>6.2899999999999998E-2</v>
      </c>
      <c r="L727" s="41"/>
    </row>
    <row r="728" spans="1:12" x14ac:dyDescent="0.25">
      <c r="A728" s="4"/>
      <c r="B728" s="28" t="str">
        <f>IF(ISNUMBER(MATCH(D728, Mgt_Unit!$C$5:$C$1018, 0)), INDEX(Mgt_Unit!$B$5:$B$1018, MATCH(D728, Mgt_Unit!$C$5:$C$1018, 0)), "")</f>
        <v>jennifer.moore</v>
      </c>
      <c r="C728" s="28"/>
      <c r="D728" s="9" t="s">
        <v>898</v>
      </c>
      <c r="E728" s="47"/>
      <c r="F728" s="41" t="s">
        <v>1351</v>
      </c>
      <c r="G728" s="41"/>
      <c r="H728" s="38"/>
      <c r="I728" s="38">
        <v>1.6</v>
      </c>
      <c r="J728" s="38">
        <v>5.69</v>
      </c>
      <c r="K728" s="38">
        <v>5.8400000000000001E-2</v>
      </c>
      <c r="L728" s="41"/>
    </row>
    <row r="729" spans="1:12" x14ac:dyDescent="0.25">
      <c r="A729" s="4"/>
      <c r="B729" s="28" t="str">
        <f>IF(ISNUMBER(MATCH(D729, Mgt_Unit!$C$5:$C$1018, 0)), INDEX(Mgt_Unit!$B$5:$B$1018, MATCH(D729, Mgt_Unit!$C$5:$C$1018, 0)), "")</f>
        <v>jennifer.moore</v>
      </c>
      <c r="C729" s="28"/>
      <c r="D729" s="9" t="s">
        <v>1314</v>
      </c>
      <c r="E729" s="47"/>
      <c r="F729" s="41" t="s">
        <v>1351</v>
      </c>
      <c r="G729" s="41"/>
      <c r="H729" s="38"/>
      <c r="I729" s="38">
        <v>1.9</v>
      </c>
      <c r="J729" s="38">
        <v>6.25</v>
      </c>
      <c r="K729" s="38">
        <v>8.7300000000000003E-2</v>
      </c>
      <c r="L729" s="41"/>
    </row>
    <row r="730" spans="1:12" x14ac:dyDescent="0.25">
      <c r="A730" s="4"/>
      <c r="B730" s="28" t="str">
        <f>IF(ISNUMBER(MATCH(D730, Mgt_Unit!$C$5:$C$1018, 0)), INDEX(Mgt_Unit!$B$5:$B$1018, MATCH(D730, Mgt_Unit!$C$5:$C$1018, 0)), "")</f>
        <v>jennifer.moore</v>
      </c>
      <c r="C730" s="28"/>
      <c r="D730" s="9" t="s">
        <v>1314</v>
      </c>
      <c r="E730" s="47"/>
      <c r="F730" s="41" t="s">
        <v>1351</v>
      </c>
      <c r="G730" s="41"/>
      <c r="H730" s="38"/>
      <c r="I730" s="38">
        <v>1.5</v>
      </c>
      <c r="J730" s="38">
        <v>5.8</v>
      </c>
      <c r="K730" s="38">
        <v>0.21299999999999999</v>
      </c>
      <c r="L730" s="41"/>
    </row>
    <row r="731" spans="1:12" x14ac:dyDescent="0.25">
      <c r="A731" s="4"/>
      <c r="B731" s="28" t="str">
        <f>IF(ISNUMBER(MATCH(D731, Mgt_Unit!$C$5:$C$1018, 0)), INDEX(Mgt_Unit!$B$5:$B$1018, MATCH(D731, Mgt_Unit!$C$5:$C$1018, 0)), "")</f>
        <v>jennifer.moore</v>
      </c>
      <c r="C731" s="28"/>
      <c r="D731" s="9" t="s">
        <v>1314</v>
      </c>
      <c r="E731" s="47"/>
      <c r="F731" s="41" t="s">
        <v>1351</v>
      </c>
      <c r="G731" s="41"/>
      <c r="H731" s="38"/>
      <c r="I731" s="38">
        <v>1.7</v>
      </c>
      <c r="J731" s="38">
        <v>5.52</v>
      </c>
      <c r="K731" s="38">
        <v>0.128</v>
      </c>
      <c r="L731" s="41"/>
    </row>
    <row r="732" spans="1:12" x14ac:dyDescent="0.25">
      <c r="A732" s="4"/>
      <c r="B732" s="28" t="str">
        <f>IF(ISNUMBER(MATCH(D732, Mgt_Unit!$C$5:$C$1018, 0)), INDEX(Mgt_Unit!$B$5:$B$1018, MATCH(D732, Mgt_Unit!$C$5:$C$1018, 0)), "")</f>
        <v>jennifer.moore</v>
      </c>
      <c r="C732" s="28"/>
      <c r="D732" s="9" t="s">
        <v>1314</v>
      </c>
      <c r="E732" s="47"/>
      <c r="F732" s="41" t="s">
        <v>1351</v>
      </c>
      <c r="G732" s="41"/>
      <c r="H732" s="38"/>
      <c r="I732" s="38">
        <v>2.2000000000000002</v>
      </c>
      <c r="J732" s="38">
        <v>6.24</v>
      </c>
      <c r="K732" s="38">
        <v>0.16400000000000001</v>
      </c>
      <c r="L732" s="41"/>
    </row>
    <row r="733" spans="1:12" x14ac:dyDescent="0.25">
      <c r="A733" s="4"/>
      <c r="B733" s="28" t="str">
        <f>IF(ISNUMBER(MATCH(D733, Mgt_Unit!$C$5:$C$1018, 0)), INDEX(Mgt_Unit!$B$5:$B$1018, MATCH(D733, Mgt_Unit!$C$5:$C$1018, 0)), "")</f>
        <v>jennifer.moore</v>
      </c>
      <c r="C733" s="28"/>
      <c r="D733" s="9" t="s">
        <v>905</v>
      </c>
      <c r="E733" s="47"/>
      <c r="F733" s="41" t="s">
        <v>1351</v>
      </c>
      <c r="G733" s="41"/>
      <c r="H733" s="38"/>
      <c r="I733" s="38">
        <v>2</v>
      </c>
      <c r="J733" s="38">
        <v>5.93</v>
      </c>
      <c r="K733" s="38">
        <v>0.188</v>
      </c>
      <c r="L733" s="41"/>
    </row>
    <row r="734" spans="1:12" x14ac:dyDescent="0.25">
      <c r="A734" s="4"/>
      <c r="B734" s="28" t="str">
        <f>IF(ISNUMBER(MATCH(D734, Mgt_Unit!$C$5:$C$1018, 0)), INDEX(Mgt_Unit!$B$5:$B$1018, MATCH(D734, Mgt_Unit!$C$5:$C$1018, 0)), "")</f>
        <v>jennifer.moore</v>
      </c>
      <c r="C734" s="28"/>
      <c r="D734" s="9" t="s">
        <v>905</v>
      </c>
      <c r="E734" s="47"/>
      <c r="F734" s="41" t="s">
        <v>1351</v>
      </c>
      <c r="G734" s="41"/>
      <c r="H734" s="38"/>
      <c r="I734" s="38">
        <v>1.5</v>
      </c>
      <c r="J734" s="38">
        <v>6.35</v>
      </c>
      <c r="K734" s="38">
        <v>8.0399999999999999E-2</v>
      </c>
      <c r="L734" s="41"/>
    </row>
    <row r="735" spans="1:12" x14ac:dyDescent="0.25">
      <c r="A735" s="4"/>
      <c r="B735" s="28" t="str">
        <f>IF(ISNUMBER(MATCH(D735, Mgt_Unit!$C$5:$C$1018, 0)), INDEX(Mgt_Unit!$B$5:$B$1018, MATCH(D735, Mgt_Unit!$C$5:$C$1018, 0)), "")</f>
        <v>jennifer.moore</v>
      </c>
      <c r="C735" s="28"/>
      <c r="D735" s="9" t="s">
        <v>905</v>
      </c>
      <c r="E735" s="47"/>
      <c r="F735" s="41" t="s">
        <v>1351</v>
      </c>
      <c r="G735" s="41"/>
      <c r="H735" s="38"/>
      <c r="I735" s="38">
        <v>1.4</v>
      </c>
      <c r="J735" s="38">
        <v>6.08</v>
      </c>
      <c r="K735" s="38">
        <v>6.3899999999999998E-2</v>
      </c>
      <c r="L735" s="41"/>
    </row>
    <row r="736" spans="1:12" x14ac:dyDescent="0.25">
      <c r="A736" s="4"/>
      <c r="B736" s="28" t="str">
        <f>IF(ISNUMBER(MATCH(D736, Mgt_Unit!$C$5:$C$1018, 0)), INDEX(Mgt_Unit!$B$5:$B$1018, MATCH(D736, Mgt_Unit!$C$5:$C$1018, 0)), "")</f>
        <v>jennifer.moore</v>
      </c>
      <c r="C736" s="28"/>
      <c r="D736" s="9" t="s">
        <v>905</v>
      </c>
      <c r="E736" s="47"/>
      <c r="F736" s="41" t="s">
        <v>1351</v>
      </c>
      <c r="G736" s="41"/>
      <c r="H736" s="38"/>
      <c r="I736" s="38">
        <v>1.2</v>
      </c>
      <c r="J736" s="38">
        <v>6.42</v>
      </c>
      <c r="K736" s="38">
        <v>8.8800000000000004E-2</v>
      </c>
      <c r="L736" s="41"/>
    </row>
    <row r="737" spans="1:12" x14ac:dyDescent="0.25">
      <c r="A737" s="4"/>
      <c r="B737" s="28" t="str">
        <f>IF(ISNUMBER(MATCH(D737, Mgt_Unit!$C$5:$C$1018, 0)), INDEX(Mgt_Unit!$B$5:$B$1018, MATCH(D737, Mgt_Unit!$C$5:$C$1018, 0)), "")</f>
        <v>jennifer.moore</v>
      </c>
      <c r="C737" s="28"/>
      <c r="D737" s="9" t="s">
        <v>904</v>
      </c>
      <c r="E737" s="47"/>
      <c r="F737" s="41" t="s">
        <v>1351</v>
      </c>
      <c r="G737" s="41"/>
      <c r="H737" s="38"/>
      <c r="I737" s="38">
        <v>1.5</v>
      </c>
      <c r="J737" s="38">
        <v>6.54</v>
      </c>
      <c r="K737" s="38">
        <v>0.1095</v>
      </c>
      <c r="L737" s="41"/>
    </row>
    <row r="738" spans="1:12" x14ac:dyDescent="0.25">
      <c r="A738" s="4"/>
      <c r="B738" s="28" t="str">
        <f>IF(ISNUMBER(MATCH(D738, Mgt_Unit!$C$5:$C$1018, 0)), INDEX(Mgt_Unit!$B$5:$B$1018, MATCH(D738, Mgt_Unit!$C$5:$C$1018, 0)), "")</f>
        <v>jennifer.moore</v>
      </c>
      <c r="C738" s="28"/>
      <c r="D738" s="9" t="s">
        <v>904</v>
      </c>
      <c r="E738" s="47"/>
      <c r="F738" s="41" t="s">
        <v>1351</v>
      </c>
      <c r="G738" s="41"/>
      <c r="H738" s="38"/>
      <c r="I738" s="38">
        <v>1.6</v>
      </c>
      <c r="J738" s="38">
        <v>6.19</v>
      </c>
      <c r="K738" s="38">
        <v>7.6799999999999993E-2</v>
      </c>
      <c r="L738" s="41"/>
    </row>
    <row r="739" spans="1:12" x14ac:dyDescent="0.25">
      <c r="A739" s="4"/>
      <c r="B739" s="28" t="str">
        <f>IF(ISNUMBER(MATCH(D739, Mgt_Unit!$C$5:$C$1018, 0)), INDEX(Mgt_Unit!$B$5:$B$1018, MATCH(D739, Mgt_Unit!$C$5:$C$1018, 0)), "")</f>
        <v>jennifer.moore</v>
      </c>
      <c r="C739" s="28"/>
      <c r="D739" s="9" t="s">
        <v>904</v>
      </c>
      <c r="E739" s="47"/>
      <c r="F739" s="41" t="s">
        <v>1351</v>
      </c>
      <c r="G739" s="41"/>
      <c r="H739" s="38"/>
      <c r="I739" s="38">
        <v>1.3</v>
      </c>
      <c r="J739" s="38">
        <v>6.07</v>
      </c>
      <c r="K739" s="38">
        <v>7.5899999999999995E-2</v>
      </c>
      <c r="L739" s="41"/>
    </row>
    <row r="740" spans="1:12" x14ac:dyDescent="0.25">
      <c r="A740" s="4"/>
      <c r="B740" s="28" t="str">
        <f>IF(ISNUMBER(MATCH(D740, Mgt_Unit!$C$5:$C$1018, 0)), INDEX(Mgt_Unit!$B$5:$B$1018, MATCH(D740, Mgt_Unit!$C$5:$C$1018, 0)), "")</f>
        <v>jennifer.moore</v>
      </c>
      <c r="C740" s="28"/>
      <c r="D740" s="9" t="s">
        <v>904</v>
      </c>
      <c r="E740" s="47"/>
      <c r="F740" s="41" t="s">
        <v>1351</v>
      </c>
      <c r="G740" s="41"/>
      <c r="H740" s="38"/>
      <c r="I740" s="38">
        <v>1.8</v>
      </c>
      <c r="J740" s="38">
        <v>6.08</v>
      </c>
      <c r="K740" s="38">
        <v>7.2700000000000001E-2</v>
      </c>
      <c r="L740" s="41"/>
    </row>
    <row r="741" spans="1:12" x14ac:dyDescent="0.25">
      <c r="A741" s="4"/>
      <c r="B741" s="28" t="str">
        <f>IF(ISNUMBER(MATCH(D741, Mgt_Unit!$C$5:$C$1018, 0)), INDEX(Mgt_Unit!$B$5:$B$1018, MATCH(D741, Mgt_Unit!$C$5:$C$1018, 0)), "")</f>
        <v>jennifer.moore</v>
      </c>
      <c r="C741" s="28"/>
      <c r="D741" s="9" t="s">
        <v>902</v>
      </c>
      <c r="E741" s="47"/>
      <c r="F741" s="41" t="s">
        <v>1351</v>
      </c>
      <c r="G741" s="41"/>
      <c r="H741" s="38"/>
      <c r="I741" s="38">
        <v>1.6</v>
      </c>
      <c r="J741" s="38">
        <v>6.11</v>
      </c>
      <c r="K741" s="38">
        <v>7.6700000000000004E-2</v>
      </c>
      <c r="L741" s="41"/>
    </row>
    <row r="742" spans="1:12" x14ac:dyDescent="0.25">
      <c r="A742" s="4"/>
      <c r="B742" s="28" t="str">
        <f>IF(ISNUMBER(MATCH(D742, Mgt_Unit!$C$5:$C$1018, 0)), INDEX(Mgt_Unit!$B$5:$B$1018, MATCH(D742, Mgt_Unit!$C$5:$C$1018, 0)), "")</f>
        <v>jennifer.moore</v>
      </c>
      <c r="C742" s="28"/>
      <c r="D742" s="9" t="s">
        <v>902</v>
      </c>
      <c r="E742" s="47"/>
      <c r="F742" s="41" t="s">
        <v>1351</v>
      </c>
      <c r="G742" s="41"/>
      <c r="H742" s="38"/>
      <c r="I742" s="38">
        <v>1.2</v>
      </c>
      <c r="J742" s="38">
        <v>6.55</v>
      </c>
      <c r="K742" s="38">
        <v>6.1600000000000002E-2</v>
      </c>
      <c r="L742" s="41"/>
    </row>
    <row r="743" spans="1:12" x14ac:dyDescent="0.25">
      <c r="A743" s="4"/>
      <c r="B743" s="28" t="str">
        <f>IF(ISNUMBER(MATCH(D743, Mgt_Unit!$C$5:$C$1018, 0)), INDEX(Mgt_Unit!$B$5:$B$1018, MATCH(D743, Mgt_Unit!$C$5:$C$1018, 0)), "")</f>
        <v>jennifer.moore</v>
      </c>
      <c r="C743" s="28"/>
      <c r="D743" s="9" t="s">
        <v>902</v>
      </c>
      <c r="E743" s="47"/>
      <c r="F743" s="41" t="s">
        <v>1351</v>
      </c>
      <c r="G743" s="41"/>
      <c r="H743" s="38"/>
      <c r="I743" s="38">
        <v>0.9</v>
      </c>
      <c r="J743" s="38">
        <v>6.25</v>
      </c>
      <c r="K743" s="38">
        <v>7.3690000000000005E-2</v>
      </c>
      <c r="L743" s="41"/>
    </row>
    <row r="744" spans="1:12" x14ac:dyDescent="0.25">
      <c r="A744" s="4"/>
      <c r="B744" s="28" t="str">
        <f>IF(ISNUMBER(MATCH(D744, Mgt_Unit!$C$5:$C$1018, 0)), INDEX(Mgt_Unit!$B$5:$B$1018, MATCH(D744, Mgt_Unit!$C$5:$C$1018, 0)), "")</f>
        <v>jennifer.moore</v>
      </c>
      <c r="C744" s="28"/>
      <c r="D744" s="9" t="s">
        <v>902</v>
      </c>
      <c r="E744" s="47"/>
      <c r="F744" s="41" t="s">
        <v>1351</v>
      </c>
      <c r="G744" s="41"/>
      <c r="H744" s="38"/>
      <c r="I744" s="38">
        <v>1.3</v>
      </c>
      <c r="J744" s="38">
        <v>6.21</v>
      </c>
      <c r="K744" s="38">
        <v>6.5699999999999995E-2</v>
      </c>
      <c r="L744" s="41"/>
    </row>
    <row r="745" spans="1:12" x14ac:dyDescent="0.25">
      <c r="A745" s="4"/>
      <c r="B745" s="28" t="str">
        <f>IF(ISNUMBER(MATCH(D745, Mgt_Unit!$C$5:$C$1018, 0)), INDEX(Mgt_Unit!$B$5:$B$1018, MATCH(D745, Mgt_Unit!$C$5:$C$1018, 0)), "")</f>
        <v>jennifer.moore</v>
      </c>
      <c r="C745" s="28"/>
      <c r="D745" s="9" t="s">
        <v>901</v>
      </c>
      <c r="E745" s="47"/>
      <c r="F745" s="41" t="s">
        <v>1351</v>
      </c>
      <c r="G745" s="41"/>
      <c r="H745" s="38"/>
      <c r="I745" s="38">
        <v>1.5</v>
      </c>
      <c r="J745" s="38">
        <v>5.98</v>
      </c>
      <c r="K745" s="38">
        <v>6.4199999999999993E-2</v>
      </c>
      <c r="L745" s="41"/>
    </row>
    <row r="746" spans="1:12" x14ac:dyDescent="0.25">
      <c r="A746" s="4"/>
      <c r="B746" s="28" t="str">
        <f>IF(ISNUMBER(MATCH(D746, Mgt_Unit!$C$5:$C$1018, 0)), INDEX(Mgt_Unit!$B$5:$B$1018, MATCH(D746, Mgt_Unit!$C$5:$C$1018, 0)), "")</f>
        <v>jennifer.moore</v>
      </c>
      <c r="C746" s="28"/>
      <c r="D746" s="9" t="s">
        <v>901</v>
      </c>
      <c r="E746" s="47"/>
      <c r="F746" s="41" t="s">
        <v>1351</v>
      </c>
      <c r="G746" s="41"/>
      <c r="H746" s="38"/>
      <c r="I746" s="38">
        <v>1.1000000000000001</v>
      </c>
      <c r="J746" s="38">
        <v>5.74</v>
      </c>
      <c r="K746" s="38">
        <v>4.87E-2</v>
      </c>
      <c r="L746" s="41"/>
    </row>
    <row r="747" spans="1:12" x14ac:dyDescent="0.25">
      <c r="A747" s="4"/>
      <c r="B747" s="28" t="str">
        <f>IF(ISNUMBER(MATCH(D747, Mgt_Unit!$C$5:$C$1018, 0)), INDEX(Mgt_Unit!$B$5:$B$1018, MATCH(D747, Mgt_Unit!$C$5:$C$1018, 0)), "")</f>
        <v>jennifer.moore</v>
      </c>
      <c r="C747" s="28"/>
      <c r="D747" s="9" t="s">
        <v>901</v>
      </c>
      <c r="E747" s="47"/>
      <c r="F747" s="41" t="s">
        <v>1351</v>
      </c>
      <c r="G747" s="41"/>
      <c r="H747" s="38"/>
      <c r="I747" s="38">
        <v>1.3</v>
      </c>
      <c r="J747" s="38">
        <v>5.63</v>
      </c>
      <c r="K747" s="38">
        <v>5.96E-2</v>
      </c>
      <c r="L747" s="41"/>
    </row>
    <row r="748" spans="1:12" x14ac:dyDescent="0.25">
      <c r="A748" s="4"/>
      <c r="B748" s="28" t="str">
        <f>IF(ISNUMBER(MATCH(D748, Mgt_Unit!$C$5:$C$1018, 0)), INDEX(Mgt_Unit!$B$5:$B$1018, MATCH(D748, Mgt_Unit!$C$5:$C$1018, 0)), "")</f>
        <v>jennifer.moore</v>
      </c>
      <c r="C748" s="28"/>
      <c r="D748" s="9" t="s">
        <v>901</v>
      </c>
      <c r="E748" s="47"/>
      <c r="F748" s="41" t="s">
        <v>1351</v>
      </c>
      <c r="G748" s="41"/>
      <c r="H748" s="38"/>
      <c r="I748" s="38">
        <v>1</v>
      </c>
      <c r="J748" s="38">
        <v>5.48</v>
      </c>
      <c r="K748" s="38">
        <v>5.6099999999999997E-2</v>
      </c>
      <c r="L748" s="41"/>
    </row>
    <row r="749" spans="1:12" x14ac:dyDescent="0.25">
      <c r="A749" s="4"/>
      <c r="B749" s="28" t="str">
        <f>IF(ISNUMBER(MATCH(D749, Mgt_Unit!$C$5:$C$1018, 0)), INDEX(Mgt_Unit!$B$5:$B$1018, MATCH(D749, Mgt_Unit!$C$5:$C$1018, 0)), "")</f>
        <v>jennifer.moore</v>
      </c>
      <c r="C749" s="28"/>
      <c r="D749" s="9" t="s">
        <v>903</v>
      </c>
      <c r="E749" s="47"/>
      <c r="F749" s="41" t="s">
        <v>1351</v>
      </c>
      <c r="G749" s="41"/>
      <c r="H749" s="38"/>
      <c r="I749" s="38">
        <v>1.6</v>
      </c>
      <c r="J749" s="38">
        <v>5.7</v>
      </c>
      <c r="K749" s="38">
        <v>5.79E-2</v>
      </c>
      <c r="L749" s="41"/>
    </row>
    <row r="750" spans="1:12" x14ac:dyDescent="0.25">
      <c r="A750" s="4"/>
      <c r="B750" s="28" t="str">
        <f>IF(ISNUMBER(MATCH(D750, Mgt_Unit!$C$5:$C$1018, 0)), INDEX(Mgt_Unit!$B$5:$B$1018, MATCH(D750, Mgt_Unit!$C$5:$C$1018, 0)), "")</f>
        <v>jennifer.moore</v>
      </c>
      <c r="C750" s="28"/>
      <c r="D750" s="9" t="s">
        <v>903</v>
      </c>
      <c r="E750" s="47"/>
      <c r="F750" s="41" t="s">
        <v>1351</v>
      </c>
      <c r="G750" s="41"/>
      <c r="H750" s="38"/>
      <c r="I750" s="38">
        <v>1</v>
      </c>
      <c r="J750" s="38">
        <v>5.71</v>
      </c>
      <c r="K750" s="38">
        <v>4.9399999999999999E-2</v>
      </c>
      <c r="L750" s="41"/>
    </row>
    <row r="751" spans="1:12" x14ac:dyDescent="0.25">
      <c r="A751" s="4"/>
      <c r="B751" s="28" t="str">
        <f>IF(ISNUMBER(MATCH(D751, Mgt_Unit!$C$5:$C$1018, 0)), INDEX(Mgt_Unit!$B$5:$B$1018, MATCH(D751, Mgt_Unit!$C$5:$C$1018, 0)), "")</f>
        <v>jennifer.moore</v>
      </c>
      <c r="C751" s="28"/>
      <c r="D751" s="9" t="s">
        <v>903</v>
      </c>
      <c r="E751" s="47"/>
      <c r="F751" s="41" t="s">
        <v>1351</v>
      </c>
      <c r="G751" s="41"/>
      <c r="H751" s="38"/>
      <c r="I751" s="38">
        <v>1.4</v>
      </c>
      <c r="J751" s="38">
        <v>6.64</v>
      </c>
      <c r="K751" s="38">
        <v>5.7599999999999998E-2</v>
      </c>
      <c r="L751" s="41"/>
    </row>
    <row r="752" spans="1:12" x14ac:dyDescent="0.25">
      <c r="A752" s="4"/>
      <c r="B752" s="28" t="str">
        <f>IF(ISNUMBER(MATCH(D752, Mgt_Unit!$C$5:$C$1018, 0)), INDEX(Mgt_Unit!$B$5:$B$1018, MATCH(D752, Mgt_Unit!$C$5:$C$1018, 0)), "")</f>
        <v>jennifer.moore</v>
      </c>
      <c r="C752" s="28"/>
      <c r="D752" s="9" t="s">
        <v>903</v>
      </c>
      <c r="E752" s="47"/>
      <c r="F752" s="41" t="s">
        <v>1351</v>
      </c>
      <c r="G752" s="41"/>
      <c r="H752" s="38"/>
      <c r="I752" s="38">
        <v>1.4</v>
      </c>
      <c r="J752" s="38">
        <v>6.52</v>
      </c>
      <c r="K752" s="38">
        <v>5.7099999999999998E-2</v>
      </c>
      <c r="L752" s="41"/>
    </row>
    <row r="753" spans="1:12" x14ac:dyDescent="0.25">
      <c r="A753" s="4"/>
      <c r="B753" s="28" t="str">
        <f>IF(ISNUMBER(MATCH(D753, Mgt_Unit!$C$5:$C$1018, 0)), INDEX(Mgt_Unit!$B$5:$B$1018, MATCH(D753, Mgt_Unit!$C$5:$C$1018, 0)), "")</f>
        <v>jennifer.moore</v>
      </c>
      <c r="C753" s="28"/>
      <c r="D753" s="9" t="s">
        <v>900</v>
      </c>
      <c r="E753" s="47"/>
      <c r="F753" s="41" t="s">
        <v>1351</v>
      </c>
      <c r="G753" s="41"/>
      <c r="H753" s="38"/>
      <c r="I753" s="38">
        <v>1.4</v>
      </c>
      <c r="J753" s="38">
        <v>6.75</v>
      </c>
      <c r="K753" s="38">
        <v>5.11E-2</v>
      </c>
      <c r="L753" s="41"/>
    </row>
    <row r="754" spans="1:12" x14ac:dyDescent="0.25">
      <c r="A754" s="4"/>
      <c r="B754" s="28" t="str">
        <f>IF(ISNUMBER(MATCH(D754, Mgt_Unit!$C$5:$C$1018, 0)), INDEX(Mgt_Unit!$B$5:$B$1018, MATCH(D754, Mgt_Unit!$C$5:$C$1018, 0)), "")</f>
        <v>jennifer.moore</v>
      </c>
      <c r="C754" s="28"/>
      <c r="D754" s="9" t="s">
        <v>900</v>
      </c>
      <c r="E754" s="47"/>
      <c r="F754" s="41" t="s">
        <v>1351</v>
      </c>
      <c r="G754" s="41"/>
      <c r="H754" s="38"/>
      <c r="I754" s="38">
        <v>1.2</v>
      </c>
      <c r="J754" s="38">
        <v>6.82</v>
      </c>
      <c r="K754" s="38">
        <v>4.5900000000000003E-2</v>
      </c>
      <c r="L754" s="41"/>
    </row>
    <row r="755" spans="1:12" x14ac:dyDescent="0.25">
      <c r="A755" s="4"/>
      <c r="B755" s="28" t="str">
        <f>IF(ISNUMBER(MATCH(D755, Mgt_Unit!$C$5:$C$1018, 0)), INDEX(Mgt_Unit!$B$5:$B$1018, MATCH(D755, Mgt_Unit!$C$5:$C$1018, 0)), "")</f>
        <v>jennifer.moore</v>
      </c>
      <c r="C755" s="28"/>
      <c r="D755" s="9" t="s">
        <v>900</v>
      </c>
      <c r="E755" s="47"/>
      <c r="F755" s="41" t="s">
        <v>1351</v>
      </c>
      <c r="G755" s="41"/>
      <c r="H755" s="38"/>
      <c r="I755" s="38">
        <v>0.9</v>
      </c>
      <c r="J755" s="38">
        <v>6.62</v>
      </c>
      <c r="K755" s="38">
        <v>3.7699999999999997E-2</v>
      </c>
      <c r="L755" s="41"/>
    </row>
    <row r="756" spans="1:12" x14ac:dyDescent="0.25">
      <c r="A756" s="4"/>
      <c r="B756" s="28" t="str">
        <f>IF(ISNUMBER(MATCH(D756, Mgt_Unit!$C$5:$C$1018, 0)), INDEX(Mgt_Unit!$B$5:$B$1018, MATCH(D756, Mgt_Unit!$C$5:$C$1018, 0)), "")</f>
        <v>jennifer.moore</v>
      </c>
      <c r="C756" s="28"/>
      <c r="D756" s="9" t="s">
        <v>900</v>
      </c>
      <c r="E756" s="47"/>
      <c r="F756" s="41" t="s">
        <v>1351</v>
      </c>
      <c r="G756" s="41"/>
      <c r="H756" s="38"/>
      <c r="I756" s="38">
        <v>1.5</v>
      </c>
      <c r="J756" s="38">
        <v>6.49</v>
      </c>
      <c r="K756" s="38">
        <v>5.7099999999999998E-2</v>
      </c>
      <c r="L756" s="41"/>
    </row>
    <row r="757" spans="1:12" x14ac:dyDescent="0.25">
      <c r="A757" s="4"/>
      <c r="B757" s="28" t="str">
        <f>IF(ISNUMBER(MATCH(D757, Mgt_Unit!$C$5:$C$1018, 0)), INDEX(Mgt_Unit!$B$5:$B$1018, MATCH(D757, Mgt_Unit!$C$5:$C$1018, 0)), "")</f>
        <v>jennifer.moore</v>
      </c>
      <c r="C757" s="28"/>
      <c r="D757" s="9" t="s">
        <v>1315</v>
      </c>
      <c r="E757" s="47"/>
      <c r="F757" s="41" t="s">
        <v>1351</v>
      </c>
      <c r="G757" s="41"/>
      <c r="H757" s="38"/>
      <c r="I757" s="38">
        <v>0.8</v>
      </c>
      <c r="J757" s="38">
        <v>6.24</v>
      </c>
      <c r="K757" s="38">
        <v>4.7600000000000003E-2</v>
      </c>
      <c r="L757" s="41"/>
    </row>
    <row r="758" spans="1:12" x14ac:dyDescent="0.25">
      <c r="A758" s="4"/>
      <c r="B758" s="28" t="str">
        <f>IF(ISNUMBER(MATCH(D758, Mgt_Unit!$C$5:$C$1018, 0)), INDEX(Mgt_Unit!$B$5:$B$1018, MATCH(D758, Mgt_Unit!$C$5:$C$1018, 0)), "")</f>
        <v>jennifer.moore</v>
      </c>
      <c r="C758" s="28"/>
      <c r="D758" s="9" t="s">
        <v>1315</v>
      </c>
      <c r="E758" s="47"/>
      <c r="F758" s="41" t="s">
        <v>1351</v>
      </c>
      <c r="G758" s="41"/>
      <c r="H758" s="38"/>
      <c r="I758" s="38">
        <v>0.8</v>
      </c>
      <c r="J758" s="38">
        <v>6.41</v>
      </c>
      <c r="K758" s="38">
        <v>3.1600000000000003E-2</v>
      </c>
      <c r="L758" s="41"/>
    </row>
    <row r="759" spans="1:12" x14ac:dyDescent="0.25">
      <c r="A759" s="4"/>
      <c r="B759" s="28" t="str">
        <f>IF(ISNUMBER(MATCH(D759, Mgt_Unit!$C$5:$C$1018, 0)), INDEX(Mgt_Unit!$B$5:$B$1018, MATCH(D759, Mgt_Unit!$C$5:$C$1018, 0)), "")</f>
        <v>jennifer.moore</v>
      </c>
      <c r="C759" s="28"/>
      <c r="D759" s="9" t="s">
        <v>1315</v>
      </c>
      <c r="E759" s="47"/>
      <c r="F759" s="41" t="s">
        <v>1351</v>
      </c>
      <c r="G759" s="41"/>
      <c r="H759" s="38"/>
      <c r="I759" s="38">
        <v>1.1000000000000001</v>
      </c>
      <c r="J759" s="38">
        <v>6.37</v>
      </c>
      <c r="K759" s="38">
        <v>3.1600000000000003E-2</v>
      </c>
      <c r="L759" s="41"/>
    </row>
    <row r="760" spans="1:12" x14ac:dyDescent="0.25">
      <c r="A760" s="4"/>
      <c r="B760" s="28" t="str">
        <f>IF(ISNUMBER(MATCH(D760, Mgt_Unit!$C$5:$C$1018, 0)), INDEX(Mgt_Unit!$B$5:$B$1018, MATCH(D760, Mgt_Unit!$C$5:$C$1018, 0)), "")</f>
        <v>jennifer.moore</v>
      </c>
      <c r="C760" s="28"/>
      <c r="D760" s="9" t="s">
        <v>1315</v>
      </c>
      <c r="E760" s="47"/>
      <c r="F760" s="41" t="s">
        <v>1351</v>
      </c>
      <c r="G760" s="41"/>
      <c r="H760" s="38"/>
      <c r="I760" s="38">
        <v>1.2</v>
      </c>
      <c r="J760" s="38">
        <v>6.04</v>
      </c>
      <c r="K760" s="38">
        <v>6.6500000000000004E-2</v>
      </c>
      <c r="L760" s="41"/>
    </row>
    <row r="761" spans="1:12" x14ac:dyDescent="0.25">
      <c r="A761" s="4"/>
      <c r="B761" s="28" t="str">
        <f>IF(ISNUMBER(MATCH(D761, Mgt_Unit!$C$5:$C$1018, 0)), INDEX(Mgt_Unit!$B$5:$B$1018, MATCH(D761, Mgt_Unit!$C$5:$C$1018, 0)), "")</f>
        <v>jennifer.moore</v>
      </c>
      <c r="C761" s="28"/>
      <c r="D761" s="9" t="s">
        <v>907</v>
      </c>
      <c r="E761" s="47"/>
      <c r="F761" s="41" t="s">
        <v>1351</v>
      </c>
      <c r="G761" s="41"/>
      <c r="H761" s="38"/>
      <c r="I761" s="38">
        <v>1.4</v>
      </c>
      <c r="J761" s="38">
        <v>6.42</v>
      </c>
      <c r="K761" s="38">
        <v>0.10059999999999999</v>
      </c>
      <c r="L761" s="41"/>
    </row>
    <row r="762" spans="1:12" x14ac:dyDescent="0.25">
      <c r="A762" s="4"/>
      <c r="B762" s="28" t="str">
        <f>IF(ISNUMBER(MATCH(D762, Mgt_Unit!$C$5:$C$1018, 0)), INDEX(Mgt_Unit!$B$5:$B$1018, MATCH(D762, Mgt_Unit!$C$5:$C$1018, 0)), "")</f>
        <v>jennifer.moore</v>
      </c>
      <c r="C762" s="28"/>
      <c r="D762" s="9" t="s">
        <v>907</v>
      </c>
      <c r="E762" s="47"/>
      <c r="F762" s="41" t="s">
        <v>1351</v>
      </c>
      <c r="G762" s="41"/>
      <c r="H762" s="38"/>
      <c r="I762" s="38">
        <v>1.5</v>
      </c>
      <c r="J762" s="38">
        <v>6.42</v>
      </c>
      <c r="K762" s="38">
        <v>9.9299999999999999E-2</v>
      </c>
      <c r="L762" s="41"/>
    </row>
    <row r="763" spans="1:12" x14ac:dyDescent="0.25">
      <c r="A763" s="4"/>
      <c r="B763" s="28" t="str">
        <f>IF(ISNUMBER(MATCH(D763, Mgt_Unit!$C$5:$C$1018, 0)), INDEX(Mgt_Unit!$B$5:$B$1018, MATCH(D763, Mgt_Unit!$C$5:$C$1018, 0)), "")</f>
        <v>jennifer.moore</v>
      </c>
      <c r="C763" s="28"/>
      <c r="D763" s="9" t="s">
        <v>907</v>
      </c>
      <c r="E763" s="47"/>
      <c r="F763" s="41" t="s">
        <v>1351</v>
      </c>
      <c r="G763" s="41"/>
      <c r="H763" s="38"/>
      <c r="I763" s="38">
        <v>2</v>
      </c>
      <c r="J763" s="38">
        <v>5.93</v>
      </c>
      <c r="K763" s="38">
        <v>0.216</v>
      </c>
      <c r="L763" s="41"/>
    </row>
    <row r="764" spans="1:12" x14ac:dyDescent="0.25">
      <c r="A764" s="4"/>
      <c r="B764" s="28" t="str">
        <f>IF(ISNUMBER(MATCH(D764, Mgt_Unit!$C$5:$C$1018, 0)), INDEX(Mgt_Unit!$B$5:$B$1018, MATCH(D764, Mgt_Unit!$C$5:$C$1018, 0)), "")</f>
        <v>jennifer.moore</v>
      </c>
      <c r="C764" s="28"/>
      <c r="D764" s="9" t="s">
        <v>907</v>
      </c>
      <c r="E764" s="47"/>
      <c r="F764" s="41" t="s">
        <v>1351</v>
      </c>
      <c r="G764" s="41"/>
      <c r="H764" s="38"/>
      <c r="I764" s="38">
        <v>1.7</v>
      </c>
      <c r="J764" s="38">
        <v>6.41</v>
      </c>
      <c r="K764" s="38">
        <v>0.111</v>
      </c>
      <c r="L764" s="41"/>
    </row>
    <row r="765" spans="1:12" x14ac:dyDescent="0.25">
      <c r="A765" s="4"/>
      <c r="B765" s="28" t="str">
        <f>IF(ISNUMBER(MATCH(D765, Mgt_Unit!$C$5:$C$1018, 0)), INDEX(Mgt_Unit!$B$5:$B$1018, MATCH(D765, Mgt_Unit!$C$5:$C$1018, 0)), "")</f>
        <v>jennifer.moore</v>
      </c>
      <c r="C765" s="28"/>
      <c r="D765" s="9" t="s">
        <v>908</v>
      </c>
      <c r="E765" s="47"/>
      <c r="F765" s="41" t="s">
        <v>1351</v>
      </c>
      <c r="G765" s="41"/>
      <c r="H765" s="38"/>
      <c r="I765" s="38">
        <v>1.7</v>
      </c>
      <c r="J765" s="38">
        <v>5.3</v>
      </c>
      <c r="K765" s="38">
        <v>0.20399999999999999</v>
      </c>
      <c r="L765" s="41"/>
    </row>
    <row r="766" spans="1:12" x14ac:dyDescent="0.25">
      <c r="A766" s="4"/>
      <c r="B766" s="28" t="str">
        <f>IF(ISNUMBER(MATCH(D766, Mgt_Unit!$C$5:$C$1018, 0)), INDEX(Mgt_Unit!$B$5:$B$1018, MATCH(D766, Mgt_Unit!$C$5:$C$1018, 0)), "")</f>
        <v>jennifer.moore</v>
      </c>
      <c r="C766" s="28"/>
      <c r="D766" s="9" t="s">
        <v>908</v>
      </c>
      <c r="E766" s="47"/>
      <c r="F766" s="41" t="s">
        <v>1351</v>
      </c>
      <c r="G766" s="41"/>
      <c r="H766" s="38"/>
      <c r="I766" s="38">
        <v>1.7</v>
      </c>
      <c r="J766" s="38">
        <v>5.47</v>
      </c>
      <c r="K766" s="38">
        <v>0.14799999999999999</v>
      </c>
      <c r="L766" s="41"/>
    </row>
    <row r="767" spans="1:12" x14ac:dyDescent="0.25">
      <c r="A767" s="4"/>
      <c r="B767" s="28" t="str">
        <f>IF(ISNUMBER(MATCH(D767, Mgt_Unit!$C$5:$C$1018, 0)), INDEX(Mgt_Unit!$B$5:$B$1018, MATCH(D767, Mgt_Unit!$C$5:$C$1018, 0)), "")</f>
        <v>jennifer.moore</v>
      </c>
      <c r="C767" s="28"/>
      <c r="D767" s="9" t="s">
        <v>908</v>
      </c>
      <c r="E767" s="47"/>
      <c r="F767" s="41" t="s">
        <v>1351</v>
      </c>
      <c r="G767" s="41"/>
      <c r="H767" s="38"/>
      <c r="I767" s="38">
        <v>1.3</v>
      </c>
      <c r="J767" s="38">
        <v>5.76</v>
      </c>
      <c r="K767" s="38">
        <v>0.193</v>
      </c>
      <c r="L767" s="41"/>
    </row>
    <row r="768" spans="1:12" x14ac:dyDescent="0.25">
      <c r="A768" s="4"/>
      <c r="B768" s="28" t="str">
        <f>IF(ISNUMBER(MATCH(D768, Mgt_Unit!$C$5:$C$1018, 0)), INDEX(Mgt_Unit!$B$5:$B$1018, MATCH(D768, Mgt_Unit!$C$5:$C$1018, 0)), "")</f>
        <v>jennifer.moore</v>
      </c>
      <c r="C768" s="28"/>
      <c r="D768" s="9" t="s">
        <v>908</v>
      </c>
      <c r="E768" s="47"/>
      <c r="F768" s="41" t="s">
        <v>1351</v>
      </c>
      <c r="G768" s="41"/>
      <c r="H768" s="38"/>
      <c r="I768" s="38">
        <v>1.7</v>
      </c>
      <c r="J768" s="38">
        <v>5.8</v>
      </c>
      <c r="K768" s="38">
        <v>0.218</v>
      </c>
      <c r="L768" s="41"/>
    </row>
    <row r="769" spans="1:12" x14ac:dyDescent="0.25">
      <c r="A769" s="4"/>
      <c r="B769" s="28" t="str">
        <f>IF(ISNUMBER(MATCH(D769, Mgt_Unit!$C$5:$C$1018, 0)), INDEX(Mgt_Unit!$B$5:$B$1018, MATCH(D769, Mgt_Unit!$C$5:$C$1018, 0)), "")</f>
        <v>jennifer.moore</v>
      </c>
      <c r="C769" s="28"/>
      <c r="D769" s="9" t="s">
        <v>909</v>
      </c>
      <c r="E769" s="47"/>
      <c r="F769" s="41" t="s">
        <v>1351</v>
      </c>
      <c r="G769" s="41"/>
      <c r="H769" s="38"/>
      <c r="I769" s="38">
        <v>1.3</v>
      </c>
      <c r="J769" s="38">
        <v>5.85</v>
      </c>
      <c r="K769" s="38">
        <v>0.16800000000000001</v>
      </c>
      <c r="L769" s="41"/>
    </row>
    <row r="770" spans="1:12" x14ac:dyDescent="0.25">
      <c r="A770" s="4"/>
      <c r="B770" s="28" t="str">
        <f>IF(ISNUMBER(MATCH(D770, Mgt_Unit!$C$5:$C$1018, 0)), INDEX(Mgt_Unit!$B$5:$B$1018, MATCH(D770, Mgt_Unit!$C$5:$C$1018, 0)), "")</f>
        <v>jennifer.moore</v>
      </c>
      <c r="C770" s="28"/>
      <c r="D770" s="9" t="s">
        <v>909</v>
      </c>
      <c r="E770" s="47"/>
      <c r="F770" s="41" t="s">
        <v>1351</v>
      </c>
      <c r="G770" s="41"/>
      <c r="H770" s="38"/>
      <c r="I770" s="38">
        <v>1.6</v>
      </c>
      <c r="J770" s="38">
        <v>5.67</v>
      </c>
      <c r="K770" s="38">
        <v>0.26100000000000001</v>
      </c>
      <c r="L770" s="41"/>
    </row>
    <row r="771" spans="1:12" x14ac:dyDescent="0.25">
      <c r="A771" s="4"/>
      <c r="B771" s="28" t="str">
        <f>IF(ISNUMBER(MATCH(D771, Mgt_Unit!$C$5:$C$1018, 0)), INDEX(Mgt_Unit!$B$5:$B$1018, MATCH(D771, Mgt_Unit!$C$5:$C$1018, 0)), "")</f>
        <v>jennifer.moore</v>
      </c>
      <c r="C771" s="28"/>
      <c r="D771" s="9" t="s">
        <v>909</v>
      </c>
      <c r="E771" s="47"/>
      <c r="F771" s="41" t="s">
        <v>1351</v>
      </c>
      <c r="G771" s="41"/>
      <c r="H771" s="38"/>
      <c r="I771" s="38">
        <v>1.7</v>
      </c>
      <c r="J771" s="38">
        <v>5.63</v>
      </c>
      <c r="K771" s="38">
        <v>0.22800000000000001</v>
      </c>
      <c r="L771" s="41"/>
    </row>
    <row r="772" spans="1:12" x14ac:dyDescent="0.25">
      <c r="A772" s="4"/>
      <c r="B772" s="28" t="str">
        <f>IF(ISNUMBER(MATCH(D772, Mgt_Unit!$C$5:$C$1018, 0)), INDEX(Mgt_Unit!$B$5:$B$1018, MATCH(D772, Mgt_Unit!$C$5:$C$1018, 0)), "")</f>
        <v>jennifer.moore</v>
      </c>
      <c r="C772" s="28"/>
      <c r="D772" s="9" t="s">
        <v>909</v>
      </c>
      <c r="E772" s="47"/>
      <c r="F772" s="41" t="s">
        <v>1351</v>
      </c>
      <c r="G772" s="41"/>
      <c r="H772" s="38"/>
      <c r="I772" s="38">
        <v>1.8</v>
      </c>
      <c r="J772" s="38">
        <v>6.19</v>
      </c>
      <c r="K772" s="38">
        <v>0.249</v>
      </c>
      <c r="L772" s="41"/>
    </row>
    <row r="773" spans="1:12" x14ac:dyDescent="0.25">
      <c r="A773" s="4"/>
      <c r="B773" s="28" t="str">
        <f>IF(ISNUMBER(MATCH(D773, Mgt_Unit!$C$5:$C$1018, 0)), INDEX(Mgt_Unit!$B$5:$B$1018, MATCH(D773, Mgt_Unit!$C$5:$C$1018, 0)), "")</f>
        <v>jennifer.moore</v>
      </c>
      <c r="C773" s="28"/>
      <c r="D773" s="9" t="s">
        <v>906</v>
      </c>
      <c r="E773" s="47"/>
      <c r="F773" s="41" t="s">
        <v>1351</v>
      </c>
      <c r="G773" s="41"/>
      <c r="H773" s="38"/>
      <c r="I773" s="38">
        <v>2.2999999999999998</v>
      </c>
      <c r="J773" s="38">
        <v>6.21</v>
      </c>
      <c r="K773" s="38">
        <v>0.10199999999999999</v>
      </c>
      <c r="L773" s="41"/>
    </row>
    <row r="774" spans="1:12" x14ac:dyDescent="0.25">
      <c r="A774" s="4"/>
      <c r="B774" s="28" t="str">
        <f>IF(ISNUMBER(MATCH(D774, Mgt_Unit!$C$5:$C$1018, 0)), INDEX(Mgt_Unit!$B$5:$B$1018, MATCH(D774, Mgt_Unit!$C$5:$C$1018, 0)), "")</f>
        <v>jennifer.moore</v>
      </c>
      <c r="C774" s="28"/>
      <c r="D774" s="9" t="s">
        <v>906</v>
      </c>
      <c r="E774" s="47"/>
      <c r="F774" s="41" t="s">
        <v>1351</v>
      </c>
      <c r="G774" s="41"/>
      <c r="H774" s="38"/>
      <c r="I774" s="38">
        <v>2</v>
      </c>
      <c r="J774" s="38">
        <v>6.37</v>
      </c>
      <c r="K774" s="38">
        <v>0.107</v>
      </c>
      <c r="L774" s="41"/>
    </row>
    <row r="775" spans="1:12" x14ac:dyDescent="0.25">
      <c r="A775" s="4"/>
      <c r="B775" s="28" t="str">
        <f>IF(ISNUMBER(MATCH(D775, Mgt_Unit!$C$5:$C$1018, 0)), INDEX(Mgt_Unit!$B$5:$B$1018, MATCH(D775, Mgt_Unit!$C$5:$C$1018, 0)), "")</f>
        <v>jennifer.moore</v>
      </c>
      <c r="C775" s="28"/>
      <c r="D775" s="9" t="s">
        <v>906</v>
      </c>
      <c r="E775" s="47"/>
      <c r="F775" s="41" t="s">
        <v>1351</v>
      </c>
      <c r="G775" s="41"/>
      <c r="H775" s="38"/>
      <c r="I775" s="38">
        <v>2.2999999999999998</v>
      </c>
      <c r="J775" s="38">
        <v>6.44</v>
      </c>
      <c r="K775" s="38">
        <v>0.11600000000000001</v>
      </c>
      <c r="L775" s="41"/>
    </row>
    <row r="776" spans="1:12" x14ac:dyDescent="0.25">
      <c r="A776" s="4"/>
      <c r="B776" s="28" t="str">
        <f>IF(ISNUMBER(MATCH(D776, Mgt_Unit!$C$5:$C$1018, 0)), INDEX(Mgt_Unit!$B$5:$B$1018, MATCH(D776, Mgt_Unit!$C$5:$C$1018, 0)), "")</f>
        <v>jennifer.moore</v>
      </c>
      <c r="C776" s="28"/>
      <c r="D776" s="9" t="s">
        <v>906</v>
      </c>
      <c r="E776" s="47"/>
      <c r="F776" s="41" t="s">
        <v>1351</v>
      </c>
      <c r="G776" s="41"/>
      <c r="H776" s="38"/>
      <c r="I776" s="38">
        <v>1.9</v>
      </c>
      <c r="J776" s="38">
        <v>6.45</v>
      </c>
      <c r="K776" s="38">
        <v>0.111</v>
      </c>
      <c r="L776" s="41"/>
    </row>
    <row r="777" spans="1:12" x14ac:dyDescent="0.25">
      <c r="A777" s="4"/>
      <c r="B777" s="28" t="str">
        <f>IF(ISNUMBER(MATCH(D777, Mgt_Unit!$C$5:$C$1018, 0)), INDEX(Mgt_Unit!$B$5:$B$1018, MATCH(D777, Mgt_Unit!$C$5:$C$1018, 0)), "")</f>
        <v>jennifer.moore</v>
      </c>
      <c r="C777" s="28"/>
      <c r="D777" s="9" t="s">
        <v>1316</v>
      </c>
      <c r="E777" s="47"/>
      <c r="F777" s="41" t="s">
        <v>1351</v>
      </c>
      <c r="G777" s="41"/>
      <c r="H777" s="38"/>
      <c r="I777" s="38">
        <v>2.7</v>
      </c>
      <c r="J777" s="38">
        <v>6.31</v>
      </c>
      <c r="K777" s="38">
        <v>0.121</v>
      </c>
      <c r="L777" s="41"/>
    </row>
    <row r="778" spans="1:12" x14ac:dyDescent="0.25">
      <c r="A778" s="4"/>
      <c r="B778" s="28" t="str">
        <f>IF(ISNUMBER(MATCH(D778, Mgt_Unit!$C$5:$C$1018, 0)), INDEX(Mgt_Unit!$B$5:$B$1018, MATCH(D778, Mgt_Unit!$C$5:$C$1018, 0)), "")</f>
        <v>jennifer.moore</v>
      </c>
      <c r="C778" s="28"/>
      <c r="D778" s="9" t="s">
        <v>1316</v>
      </c>
      <c r="E778" s="47"/>
      <c r="F778" s="41" t="s">
        <v>1351</v>
      </c>
      <c r="G778" s="41"/>
      <c r="H778" s="38"/>
      <c r="I778" s="38">
        <v>1.6</v>
      </c>
      <c r="J778" s="38">
        <v>6.53</v>
      </c>
      <c r="K778" s="38">
        <v>8.4000000000000005E-2</v>
      </c>
      <c r="L778" s="41"/>
    </row>
    <row r="779" spans="1:12" x14ac:dyDescent="0.25">
      <c r="A779" s="4"/>
      <c r="B779" s="28" t="str">
        <f>IF(ISNUMBER(MATCH(D779, Mgt_Unit!$C$5:$C$1018, 0)), INDEX(Mgt_Unit!$B$5:$B$1018, MATCH(D779, Mgt_Unit!$C$5:$C$1018, 0)), "")</f>
        <v>jennifer.moore</v>
      </c>
      <c r="C779" s="28"/>
      <c r="D779" s="9" t="s">
        <v>1316</v>
      </c>
      <c r="E779" s="47"/>
      <c r="F779" s="41" t="s">
        <v>1351</v>
      </c>
      <c r="G779" s="41"/>
      <c r="H779" s="38"/>
      <c r="I779" s="38">
        <v>1.5</v>
      </c>
      <c r="J779" s="38">
        <v>6.47</v>
      </c>
      <c r="K779" s="38">
        <v>7.8700000000000006E-2</v>
      </c>
      <c r="L779" s="41"/>
    </row>
    <row r="780" spans="1:12" x14ac:dyDescent="0.25">
      <c r="A780" s="4"/>
      <c r="B780" s="28" t="str">
        <f>IF(ISNUMBER(MATCH(D780, Mgt_Unit!$C$5:$C$1018, 0)), INDEX(Mgt_Unit!$B$5:$B$1018, MATCH(D780, Mgt_Unit!$C$5:$C$1018, 0)), "")</f>
        <v>jennifer.moore</v>
      </c>
      <c r="C780" s="28"/>
      <c r="D780" s="9" t="s">
        <v>1316</v>
      </c>
      <c r="E780" s="47"/>
      <c r="F780" s="41" t="s">
        <v>1351</v>
      </c>
      <c r="G780" s="41"/>
      <c r="H780" s="38"/>
      <c r="I780" s="38">
        <v>2</v>
      </c>
      <c r="J780" s="38">
        <v>6.92</v>
      </c>
      <c r="K780" s="38">
        <v>8.9700000000000002E-2</v>
      </c>
      <c r="L780" s="41"/>
    </row>
    <row r="781" spans="1:12" x14ac:dyDescent="0.25">
      <c r="A781" s="4"/>
      <c r="B781" s="28" t="str">
        <f>IF(ISNUMBER(MATCH(D781, Mgt_Unit!$C$5:$C$1018, 0)), INDEX(Mgt_Unit!$B$5:$B$1018, MATCH(D781, Mgt_Unit!$C$5:$C$1018, 0)), "")</f>
        <v>jennifer.moore</v>
      </c>
      <c r="C781" s="28"/>
      <c r="D781" s="9" t="s">
        <v>1317</v>
      </c>
      <c r="E781" s="47"/>
      <c r="F781" s="41" t="s">
        <v>1351</v>
      </c>
      <c r="G781" s="41"/>
      <c r="H781" s="38"/>
      <c r="I781" s="38">
        <v>2</v>
      </c>
      <c r="J781" s="38">
        <v>6.28</v>
      </c>
      <c r="K781" s="38">
        <v>0.1101</v>
      </c>
      <c r="L781" s="41"/>
    </row>
    <row r="782" spans="1:12" x14ac:dyDescent="0.25">
      <c r="A782" s="4"/>
      <c r="B782" s="28" t="str">
        <f>IF(ISNUMBER(MATCH(D782, Mgt_Unit!$C$5:$C$1018, 0)), INDEX(Mgt_Unit!$B$5:$B$1018, MATCH(D782, Mgt_Unit!$C$5:$C$1018, 0)), "")</f>
        <v>jennifer.moore</v>
      </c>
      <c r="C782" s="28"/>
      <c r="D782" s="9" t="s">
        <v>1317</v>
      </c>
      <c r="E782" s="47"/>
      <c r="F782" s="41" t="s">
        <v>1351</v>
      </c>
      <c r="G782" s="41"/>
      <c r="H782" s="38"/>
      <c r="I782" s="38">
        <v>1.8</v>
      </c>
      <c r="J782" s="38">
        <v>6.22</v>
      </c>
      <c r="K782" s="38">
        <v>0.1043</v>
      </c>
      <c r="L782" s="41"/>
    </row>
    <row r="783" spans="1:12" x14ac:dyDescent="0.25">
      <c r="A783" s="4"/>
      <c r="B783" s="28" t="str">
        <f>IF(ISNUMBER(MATCH(D783, Mgt_Unit!$C$5:$C$1018, 0)), INDEX(Mgt_Unit!$B$5:$B$1018, MATCH(D783, Mgt_Unit!$C$5:$C$1018, 0)), "")</f>
        <v>jennifer.moore</v>
      </c>
      <c r="C783" s="28"/>
      <c r="D783" s="9" t="s">
        <v>1317</v>
      </c>
      <c r="E783" s="47"/>
      <c r="F783" s="41" t="s">
        <v>1351</v>
      </c>
      <c r="G783" s="41"/>
      <c r="H783" s="38"/>
      <c r="I783" s="38">
        <v>2.1</v>
      </c>
      <c r="J783" s="38">
        <v>6.57</v>
      </c>
      <c r="K783" s="38">
        <v>0.13600000000000001</v>
      </c>
      <c r="L783" s="41"/>
    </row>
    <row r="784" spans="1:12" x14ac:dyDescent="0.25">
      <c r="A784" s="4"/>
      <c r="B784" s="28" t="str">
        <f>IF(ISNUMBER(MATCH(D784, Mgt_Unit!$C$5:$C$1018, 0)), INDEX(Mgt_Unit!$B$5:$B$1018, MATCH(D784, Mgt_Unit!$C$5:$C$1018, 0)), "")</f>
        <v>jennifer.moore</v>
      </c>
      <c r="C784" s="28"/>
      <c r="D784" s="9" t="s">
        <v>1317</v>
      </c>
      <c r="E784" s="47"/>
      <c r="F784" s="41" t="s">
        <v>1351</v>
      </c>
      <c r="G784" s="41"/>
      <c r="H784" s="38"/>
      <c r="I784" s="38">
        <v>2</v>
      </c>
      <c r="J784" s="38">
        <v>6.35</v>
      </c>
      <c r="K784" s="38">
        <v>0.13100000000000001</v>
      </c>
      <c r="L784" s="41"/>
    </row>
    <row r="785" spans="1:12" x14ac:dyDescent="0.25">
      <c r="A785" s="4"/>
      <c r="B785" s="28" t="str">
        <f>IF(ISNUMBER(MATCH(D785, Mgt_Unit!$C$5:$C$1018, 0)), INDEX(Mgt_Unit!$B$5:$B$1018, MATCH(D785, Mgt_Unit!$C$5:$C$1018, 0)), "")</f>
        <v>jennifer.moore</v>
      </c>
      <c r="C785" s="28"/>
      <c r="D785" s="9" t="s">
        <v>1318</v>
      </c>
      <c r="E785" s="47"/>
      <c r="F785" s="41" t="s">
        <v>1351</v>
      </c>
      <c r="G785" s="41"/>
      <c r="H785" s="38"/>
      <c r="I785" s="38">
        <v>2.2999999999999998</v>
      </c>
      <c r="J785" s="38">
        <v>6.25</v>
      </c>
      <c r="K785" s="38">
        <v>9.3399999999999997E-2</v>
      </c>
      <c r="L785" s="41"/>
    </row>
    <row r="786" spans="1:12" x14ac:dyDescent="0.25">
      <c r="A786" s="4"/>
      <c r="B786" s="28" t="str">
        <f>IF(ISNUMBER(MATCH(D786, Mgt_Unit!$C$5:$C$1018, 0)), INDEX(Mgt_Unit!$B$5:$B$1018, MATCH(D786, Mgt_Unit!$C$5:$C$1018, 0)), "")</f>
        <v>jennifer.moore</v>
      </c>
      <c r="C786" s="28"/>
      <c r="D786" s="9" t="s">
        <v>1318</v>
      </c>
      <c r="E786" s="47"/>
      <c r="F786" s="41" t="s">
        <v>1351</v>
      </c>
      <c r="G786" s="41"/>
      <c r="H786" s="38"/>
      <c r="I786" s="38">
        <v>2.5</v>
      </c>
      <c r="J786" s="38">
        <v>6.24</v>
      </c>
      <c r="K786" s="38">
        <v>0.1022</v>
      </c>
      <c r="L786" s="41"/>
    </row>
    <row r="787" spans="1:12" x14ac:dyDescent="0.25">
      <c r="A787" s="4"/>
      <c r="B787" s="28" t="str">
        <f>IF(ISNUMBER(MATCH(D787, Mgt_Unit!$C$5:$C$1018, 0)), INDEX(Mgt_Unit!$B$5:$B$1018, MATCH(D787, Mgt_Unit!$C$5:$C$1018, 0)), "")</f>
        <v>jennifer.moore</v>
      </c>
      <c r="C787" s="28"/>
      <c r="D787" s="9" t="s">
        <v>1318</v>
      </c>
      <c r="E787" s="47"/>
      <c r="F787" s="41" t="s">
        <v>1351</v>
      </c>
      <c r="G787" s="41"/>
      <c r="H787" s="38"/>
      <c r="I787" s="38">
        <v>2.4</v>
      </c>
      <c r="J787" s="38">
        <v>6.59</v>
      </c>
      <c r="K787" s="38">
        <v>0.15559999999999999</v>
      </c>
      <c r="L787" s="41"/>
    </row>
    <row r="788" spans="1:12" x14ac:dyDescent="0.25">
      <c r="A788" s="4"/>
      <c r="B788" s="28" t="str">
        <f>IF(ISNUMBER(MATCH(D788, Mgt_Unit!$C$5:$C$1018, 0)), INDEX(Mgt_Unit!$B$5:$B$1018, MATCH(D788, Mgt_Unit!$C$5:$C$1018, 0)), "")</f>
        <v>jennifer.moore</v>
      </c>
      <c r="C788" s="28"/>
      <c r="D788" s="9" t="s">
        <v>1318</v>
      </c>
      <c r="E788" s="47"/>
      <c r="F788" s="41" t="s">
        <v>1351</v>
      </c>
      <c r="G788" s="41"/>
      <c r="H788" s="38"/>
      <c r="I788" s="38">
        <v>2.4</v>
      </c>
      <c r="J788" s="38">
        <v>6.35</v>
      </c>
      <c r="K788" s="38">
        <v>0.16070000000000001</v>
      </c>
      <c r="L788" s="41"/>
    </row>
    <row r="789" spans="1:12" x14ac:dyDescent="0.25">
      <c r="A789" s="4"/>
      <c r="B789" s="28" t="str">
        <f>IF(ISNUMBER(MATCH(D789, Mgt_Unit!$C$5:$C$1018, 0)), INDEX(Mgt_Unit!$B$5:$B$1018, MATCH(D789, Mgt_Unit!$C$5:$C$1018, 0)), "")</f>
        <v>jennifer.moore</v>
      </c>
      <c r="C789" s="28"/>
      <c r="D789" s="9" t="s">
        <v>910</v>
      </c>
      <c r="E789" s="47"/>
      <c r="F789" s="41" t="s">
        <v>1351</v>
      </c>
      <c r="G789" s="41"/>
      <c r="H789" s="38"/>
      <c r="I789" s="38">
        <v>2.5</v>
      </c>
      <c r="J789" s="38">
        <v>5.4</v>
      </c>
      <c r="K789" s="38">
        <v>0.26</v>
      </c>
      <c r="L789" s="41"/>
    </row>
    <row r="790" spans="1:12" x14ac:dyDescent="0.25">
      <c r="A790" s="4"/>
      <c r="B790" s="28" t="str">
        <f>IF(ISNUMBER(MATCH(D790, Mgt_Unit!$C$5:$C$1018, 0)), INDEX(Mgt_Unit!$B$5:$B$1018, MATCH(D790, Mgt_Unit!$C$5:$C$1018, 0)), "")</f>
        <v>jennifer.moore</v>
      </c>
      <c r="C790" s="28"/>
      <c r="D790" s="9" t="s">
        <v>910</v>
      </c>
      <c r="E790" s="47"/>
      <c r="F790" s="41" t="s">
        <v>1351</v>
      </c>
      <c r="G790" s="41"/>
      <c r="H790" s="38"/>
      <c r="I790" s="38">
        <v>3.7</v>
      </c>
      <c r="J790" s="38">
        <v>5.62</v>
      </c>
      <c r="K790" s="38">
        <v>0.21199999999999999</v>
      </c>
      <c r="L790" s="41"/>
    </row>
    <row r="791" spans="1:12" x14ac:dyDescent="0.25">
      <c r="A791" s="4"/>
      <c r="B791" s="28" t="str">
        <f>IF(ISNUMBER(MATCH(D791, Mgt_Unit!$C$5:$C$1018, 0)), INDEX(Mgt_Unit!$B$5:$B$1018, MATCH(D791, Mgt_Unit!$C$5:$C$1018, 0)), "")</f>
        <v>jennifer.moore</v>
      </c>
      <c r="C791" s="28"/>
      <c r="D791" s="9" t="s">
        <v>910</v>
      </c>
      <c r="E791" s="47"/>
      <c r="F791" s="41" t="s">
        <v>1351</v>
      </c>
      <c r="G791" s="41"/>
      <c r="H791" s="38"/>
      <c r="I791" s="38">
        <v>2.4</v>
      </c>
      <c r="J791" s="38">
        <v>4.45</v>
      </c>
      <c r="K791" s="38">
        <v>0.23899999999999999</v>
      </c>
      <c r="L791" s="41"/>
    </row>
    <row r="792" spans="1:12" x14ac:dyDescent="0.25">
      <c r="A792" s="4"/>
      <c r="B792" s="28" t="str">
        <f>IF(ISNUMBER(MATCH(D792, Mgt_Unit!$C$5:$C$1018, 0)), INDEX(Mgt_Unit!$B$5:$B$1018, MATCH(D792, Mgt_Unit!$C$5:$C$1018, 0)), "")</f>
        <v>jennifer.moore</v>
      </c>
      <c r="C792" s="28"/>
      <c r="D792" s="9" t="s">
        <v>910</v>
      </c>
      <c r="E792" s="47"/>
      <c r="F792" s="41" t="s">
        <v>1351</v>
      </c>
      <c r="G792" s="41"/>
      <c r="H792" s="38"/>
      <c r="I792" s="38">
        <v>3.3</v>
      </c>
      <c r="J792" s="38">
        <v>5.84</v>
      </c>
      <c r="K792" s="38">
        <v>0.129</v>
      </c>
      <c r="L792" s="41"/>
    </row>
    <row r="793" spans="1:12" x14ac:dyDescent="0.25">
      <c r="A793" s="4"/>
      <c r="B793" s="28" t="str">
        <f>IF(ISNUMBER(MATCH(D793, Mgt_Unit!$C$5:$C$1018, 0)), INDEX(Mgt_Unit!$B$5:$B$1018, MATCH(D793, Mgt_Unit!$C$5:$C$1018, 0)), "")</f>
        <v>jennifer.moore</v>
      </c>
      <c r="C793" s="28"/>
      <c r="D793" s="9" t="s">
        <v>913</v>
      </c>
      <c r="E793" s="47"/>
      <c r="F793" s="41" t="s">
        <v>1351</v>
      </c>
      <c r="G793" s="41"/>
      <c r="H793" s="38"/>
      <c r="I793" s="38">
        <v>3.3</v>
      </c>
      <c r="J793" s="38">
        <v>4.6500000000000004</v>
      </c>
      <c r="K793" s="38">
        <v>0.11799999999999999</v>
      </c>
      <c r="L793" s="41"/>
    </row>
    <row r="794" spans="1:12" x14ac:dyDescent="0.25">
      <c r="A794" s="4"/>
      <c r="B794" s="28" t="str">
        <f>IF(ISNUMBER(MATCH(D794, Mgt_Unit!$C$5:$C$1018, 0)), INDEX(Mgt_Unit!$B$5:$B$1018, MATCH(D794, Mgt_Unit!$C$5:$C$1018, 0)), "")</f>
        <v>jennifer.moore</v>
      </c>
      <c r="C794" s="28"/>
      <c r="D794" s="9" t="s">
        <v>913</v>
      </c>
      <c r="E794" s="47"/>
      <c r="F794" s="41" t="s">
        <v>1351</v>
      </c>
      <c r="G794" s="41"/>
      <c r="H794" s="38"/>
      <c r="I794" s="38">
        <v>3.5</v>
      </c>
      <c r="J794" s="38">
        <v>4.6399999999999997</v>
      </c>
      <c r="K794" s="38">
        <v>0.113</v>
      </c>
      <c r="L794" s="41"/>
    </row>
    <row r="795" spans="1:12" x14ac:dyDescent="0.25">
      <c r="A795" s="4"/>
      <c r="B795" s="28" t="str">
        <f>IF(ISNUMBER(MATCH(D795, Mgt_Unit!$C$5:$C$1018, 0)), INDEX(Mgt_Unit!$B$5:$B$1018, MATCH(D795, Mgt_Unit!$C$5:$C$1018, 0)), "")</f>
        <v>jennifer.moore</v>
      </c>
      <c r="C795" s="28"/>
      <c r="D795" s="9" t="s">
        <v>913</v>
      </c>
      <c r="E795" s="47"/>
      <c r="F795" s="41" t="s">
        <v>1351</v>
      </c>
      <c r="G795" s="41"/>
      <c r="H795" s="38"/>
      <c r="I795" s="38">
        <v>3.1</v>
      </c>
      <c r="J795" s="38">
        <v>5.93</v>
      </c>
      <c r="K795" s="38">
        <v>0.16400000000000001</v>
      </c>
      <c r="L795" s="41"/>
    </row>
    <row r="796" spans="1:12" x14ac:dyDescent="0.25">
      <c r="A796" s="4"/>
      <c r="B796" s="28" t="str">
        <f>IF(ISNUMBER(MATCH(D796, Mgt_Unit!$C$5:$C$1018, 0)), INDEX(Mgt_Unit!$B$5:$B$1018, MATCH(D796, Mgt_Unit!$C$5:$C$1018, 0)), "")</f>
        <v>jennifer.moore</v>
      </c>
      <c r="C796" s="28"/>
      <c r="D796" s="9" t="s">
        <v>913</v>
      </c>
      <c r="E796" s="47"/>
      <c r="F796" s="41" t="s">
        <v>1351</v>
      </c>
      <c r="G796" s="41"/>
      <c r="H796" s="38"/>
      <c r="I796" s="38">
        <v>4.0999999999999996</v>
      </c>
      <c r="J796" s="38">
        <v>5.47</v>
      </c>
      <c r="K796" s="38">
        <v>0.125</v>
      </c>
      <c r="L796" s="41"/>
    </row>
    <row r="797" spans="1:12" x14ac:dyDescent="0.25">
      <c r="A797" s="4"/>
      <c r="B797" s="28" t="str">
        <f>IF(ISNUMBER(MATCH(D797, Mgt_Unit!$C$5:$C$1018, 0)), INDEX(Mgt_Unit!$B$5:$B$1018, MATCH(D797, Mgt_Unit!$C$5:$C$1018, 0)), "")</f>
        <v>jennifer.moore</v>
      </c>
      <c r="C797" s="28"/>
      <c r="D797" s="9" t="s">
        <v>911</v>
      </c>
      <c r="E797" s="47"/>
      <c r="F797" s="41" t="s">
        <v>1351</v>
      </c>
      <c r="G797" s="41"/>
      <c r="H797" s="38"/>
      <c r="I797" s="38">
        <v>3.5</v>
      </c>
      <c r="J797" s="38">
        <v>4.68</v>
      </c>
      <c r="K797" s="38">
        <v>9.0800000000000006E-2</v>
      </c>
      <c r="L797" s="41"/>
    </row>
    <row r="798" spans="1:12" x14ac:dyDescent="0.25">
      <c r="A798" s="4"/>
      <c r="B798" s="28" t="str">
        <f>IF(ISNUMBER(MATCH(D798, Mgt_Unit!$C$5:$C$1018, 0)), INDEX(Mgt_Unit!$B$5:$B$1018, MATCH(D798, Mgt_Unit!$C$5:$C$1018, 0)), "")</f>
        <v>jennifer.moore</v>
      </c>
      <c r="C798" s="28"/>
      <c r="D798" s="9" t="s">
        <v>911</v>
      </c>
      <c r="E798" s="47"/>
      <c r="F798" s="41" t="s">
        <v>1351</v>
      </c>
      <c r="G798" s="41"/>
      <c r="H798" s="38"/>
      <c r="I798" s="38">
        <v>3.4</v>
      </c>
      <c r="J798" s="38">
        <v>5.32</v>
      </c>
      <c r="K798" s="38">
        <v>8.5900000000000004E-2</v>
      </c>
      <c r="L798" s="41"/>
    </row>
    <row r="799" spans="1:12" x14ac:dyDescent="0.25">
      <c r="A799" s="4"/>
      <c r="B799" s="28" t="str">
        <f>IF(ISNUMBER(MATCH(D799, Mgt_Unit!$C$5:$C$1018, 0)), INDEX(Mgt_Unit!$B$5:$B$1018, MATCH(D799, Mgt_Unit!$C$5:$C$1018, 0)), "")</f>
        <v>jennifer.moore</v>
      </c>
      <c r="C799" s="28"/>
      <c r="D799" s="9" t="s">
        <v>911</v>
      </c>
      <c r="E799" s="47"/>
      <c r="F799" s="41" t="s">
        <v>1351</v>
      </c>
      <c r="G799" s="41"/>
      <c r="H799" s="38"/>
      <c r="I799" s="38">
        <v>3.4</v>
      </c>
      <c r="J799" s="38">
        <v>5.51</v>
      </c>
      <c r="K799" s="38">
        <v>0.12139999999999999</v>
      </c>
      <c r="L799" s="41"/>
    </row>
    <row r="800" spans="1:12" x14ac:dyDescent="0.25">
      <c r="A800" s="4"/>
      <c r="B800" s="28" t="str">
        <f>IF(ISNUMBER(MATCH(D800, Mgt_Unit!$C$5:$C$1018, 0)), INDEX(Mgt_Unit!$B$5:$B$1018, MATCH(D800, Mgt_Unit!$C$5:$C$1018, 0)), "")</f>
        <v>jennifer.moore</v>
      </c>
      <c r="C800" s="28"/>
      <c r="D800" s="9" t="s">
        <v>911</v>
      </c>
      <c r="E800" s="47"/>
      <c r="F800" s="41" t="s">
        <v>1351</v>
      </c>
      <c r="G800" s="41"/>
      <c r="H800" s="38"/>
      <c r="I800" s="38">
        <v>3.7</v>
      </c>
      <c r="J800" s="38">
        <v>5.71</v>
      </c>
      <c r="K800" s="38">
        <v>0.18440000000000001</v>
      </c>
      <c r="L800" s="41"/>
    </row>
    <row r="801" spans="1:12" x14ac:dyDescent="0.25">
      <c r="A801" s="4"/>
      <c r="B801" s="28" t="str">
        <f>IF(ISNUMBER(MATCH(D801, Mgt_Unit!$C$5:$C$1018, 0)), INDEX(Mgt_Unit!$B$5:$B$1018, MATCH(D801, Mgt_Unit!$C$5:$C$1018, 0)), "")</f>
        <v>jennifer.moore</v>
      </c>
      <c r="C801" s="28"/>
      <c r="D801" s="9" t="s">
        <v>912</v>
      </c>
      <c r="E801" s="47"/>
      <c r="F801" s="41" t="s">
        <v>1351</v>
      </c>
      <c r="G801" s="41"/>
      <c r="H801" s="38"/>
      <c r="I801" s="38">
        <v>3.6</v>
      </c>
      <c r="J801" s="38">
        <v>5.27</v>
      </c>
      <c r="K801" s="38">
        <v>0.20200000000000001</v>
      </c>
      <c r="L801" s="41"/>
    </row>
    <row r="802" spans="1:12" x14ac:dyDescent="0.25">
      <c r="A802" s="4"/>
      <c r="B802" s="28" t="str">
        <f>IF(ISNUMBER(MATCH(D802, Mgt_Unit!$C$5:$C$1018, 0)), INDEX(Mgt_Unit!$B$5:$B$1018, MATCH(D802, Mgt_Unit!$C$5:$C$1018, 0)), "")</f>
        <v>jennifer.moore</v>
      </c>
      <c r="C802" s="28"/>
      <c r="D802" s="9" t="s">
        <v>912</v>
      </c>
      <c r="E802" s="47"/>
      <c r="F802" s="41" t="s">
        <v>1351</v>
      </c>
      <c r="G802" s="41"/>
      <c r="H802" s="38"/>
      <c r="I802" s="38">
        <v>3.9</v>
      </c>
      <c r="J802" s="38">
        <v>4.5599999999999996</v>
      </c>
      <c r="K802" s="38">
        <v>0.20100000000000001</v>
      </c>
      <c r="L802" s="41"/>
    </row>
    <row r="803" spans="1:12" x14ac:dyDescent="0.25">
      <c r="A803" s="4"/>
      <c r="B803" s="28" t="str">
        <f>IF(ISNUMBER(MATCH(D803, Mgt_Unit!$C$5:$C$1018, 0)), INDEX(Mgt_Unit!$B$5:$B$1018, MATCH(D803, Mgt_Unit!$C$5:$C$1018, 0)), "")</f>
        <v>jennifer.moore</v>
      </c>
      <c r="C803" s="28"/>
      <c r="D803" s="9" t="s">
        <v>912</v>
      </c>
      <c r="E803" s="47"/>
      <c r="F803" s="41" t="s">
        <v>1351</v>
      </c>
      <c r="G803" s="41"/>
      <c r="H803" s="38"/>
      <c r="I803" s="38">
        <v>3.6</v>
      </c>
      <c r="J803" s="38">
        <v>5.62</v>
      </c>
      <c r="K803" s="38">
        <v>0.13600000000000001</v>
      </c>
      <c r="L803" s="41"/>
    </row>
    <row r="804" spans="1:12" x14ac:dyDescent="0.25">
      <c r="A804" s="4"/>
      <c r="B804" s="28" t="str">
        <f>IF(ISNUMBER(MATCH(D804, Mgt_Unit!$C$5:$C$1018, 0)), INDEX(Mgt_Unit!$B$5:$B$1018, MATCH(D804, Mgt_Unit!$C$5:$C$1018, 0)), "")</f>
        <v>jennifer.moore</v>
      </c>
      <c r="C804" s="28"/>
      <c r="D804" s="9" t="s">
        <v>912</v>
      </c>
      <c r="E804" s="47"/>
      <c r="F804" s="41" t="s">
        <v>1351</v>
      </c>
      <c r="G804" s="41"/>
      <c r="H804" s="38"/>
      <c r="I804" s="38">
        <v>4.0999999999999996</v>
      </c>
      <c r="J804" s="38">
        <v>5.29</v>
      </c>
      <c r="K804" s="38">
        <v>0.18</v>
      </c>
      <c r="L804" s="41"/>
    </row>
    <row r="805" spans="1:12" x14ac:dyDescent="0.25">
      <c r="A805" s="4"/>
      <c r="B805" s="28" t="str">
        <f>IF(ISNUMBER(MATCH(D805, Mgt_Unit!$C$5:$C$1018, 0)), INDEX(Mgt_Unit!$B$5:$B$1018, MATCH(D805, Mgt_Unit!$C$5:$C$1018, 0)), "")</f>
        <v>jennifer.moore</v>
      </c>
      <c r="C805" s="28"/>
      <c r="D805" s="9" t="s">
        <v>1319</v>
      </c>
      <c r="E805" s="47"/>
      <c r="F805" s="41" t="s">
        <v>1351</v>
      </c>
      <c r="G805" s="41"/>
      <c r="H805" s="38"/>
      <c r="I805" s="38">
        <v>3.7</v>
      </c>
      <c r="J805" s="38">
        <v>6.99</v>
      </c>
      <c r="K805" s="38">
        <v>0.186</v>
      </c>
      <c r="L805" s="41"/>
    </row>
    <row r="806" spans="1:12" x14ac:dyDescent="0.25">
      <c r="A806" s="4"/>
      <c r="B806" s="28" t="str">
        <f>IF(ISNUMBER(MATCH(D806, Mgt_Unit!$C$5:$C$1018, 0)), INDEX(Mgt_Unit!$B$5:$B$1018, MATCH(D806, Mgt_Unit!$C$5:$C$1018, 0)), "")</f>
        <v>jennifer.moore</v>
      </c>
      <c r="C806" s="28"/>
      <c r="D806" s="9" t="s">
        <v>1319</v>
      </c>
      <c r="E806" s="47"/>
      <c r="F806" s="41" t="s">
        <v>1351</v>
      </c>
      <c r="G806" s="41"/>
      <c r="H806" s="38"/>
      <c r="I806" s="38">
        <v>3.4</v>
      </c>
      <c r="J806" s="38">
        <v>5.49</v>
      </c>
      <c r="K806" s="38">
        <v>9.1399999999999995E-2</v>
      </c>
      <c r="L806" s="41"/>
    </row>
    <row r="807" spans="1:12" x14ac:dyDescent="0.25">
      <c r="A807" s="4"/>
      <c r="B807" s="28" t="str">
        <f>IF(ISNUMBER(MATCH(D807, Mgt_Unit!$C$5:$C$1018, 0)), INDEX(Mgt_Unit!$B$5:$B$1018, MATCH(D807, Mgt_Unit!$C$5:$C$1018, 0)), "")</f>
        <v>jennifer.moore</v>
      </c>
      <c r="C807" s="28"/>
      <c r="D807" s="9" t="s">
        <v>1319</v>
      </c>
      <c r="E807" s="47"/>
      <c r="F807" s="41" t="s">
        <v>1351</v>
      </c>
      <c r="G807" s="41"/>
      <c r="H807" s="38"/>
      <c r="I807" s="38">
        <v>3.3</v>
      </c>
      <c r="J807" s="38">
        <v>5.56</v>
      </c>
      <c r="K807" s="38">
        <v>7.7799999999999994E-2</v>
      </c>
      <c r="L807" s="41"/>
    </row>
    <row r="808" spans="1:12" x14ac:dyDescent="0.25">
      <c r="A808" s="4"/>
      <c r="B808" s="28" t="str">
        <f>IF(ISNUMBER(MATCH(D808, Mgt_Unit!$C$5:$C$1018, 0)), INDEX(Mgt_Unit!$B$5:$B$1018, MATCH(D808, Mgt_Unit!$C$5:$C$1018, 0)), "")</f>
        <v>jennifer.moore</v>
      </c>
      <c r="C808" s="28"/>
      <c r="D808" s="9" t="s">
        <v>1319</v>
      </c>
      <c r="E808" s="47"/>
      <c r="F808" s="41" t="s">
        <v>1351</v>
      </c>
      <c r="G808" s="41"/>
      <c r="H808" s="38"/>
      <c r="I808" s="38">
        <v>3.5</v>
      </c>
      <c r="J808" s="38">
        <v>7.28</v>
      </c>
      <c r="K808" s="38">
        <v>0.20599999999999999</v>
      </c>
      <c r="L808" s="41"/>
    </row>
    <row r="809" spans="1:12" x14ac:dyDescent="0.25">
      <c r="A809" s="4"/>
      <c r="B809" s="28" t="str">
        <f>IF(ISNUMBER(MATCH(D809, Mgt_Unit!$C$5:$C$1018, 0)), INDEX(Mgt_Unit!$B$5:$B$1018, MATCH(D809, Mgt_Unit!$C$5:$C$1018, 0)), "")</f>
        <v>jennifer.moore</v>
      </c>
      <c r="C809" s="28"/>
      <c r="D809" s="9" t="s">
        <v>1320</v>
      </c>
      <c r="E809" s="47"/>
      <c r="F809" s="41" t="s">
        <v>1351</v>
      </c>
      <c r="G809" s="41"/>
      <c r="H809" s="38"/>
      <c r="I809" s="38">
        <v>3.9</v>
      </c>
      <c r="J809" s="38">
        <v>5.49</v>
      </c>
      <c r="K809" s="38">
        <v>7.17E-2</v>
      </c>
      <c r="L809" s="41"/>
    </row>
    <row r="810" spans="1:12" x14ac:dyDescent="0.25">
      <c r="A810" s="4"/>
      <c r="B810" s="28" t="str">
        <f>IF(ISNUMBER(MATCH(D810, Mgt_Unit!$C$5:$C$1018, 0)), INDEX(Mgt_Unit!$B$5:$B$1018, MATCH(D810, Mgt_Unit!$C$5:$C$1018, 0)), "")</f>
        <v>jennifer.moore</v>
      </c>
      <c r="C810" s="28"/>
      <c r="D810" s="9" t="s">
        <v>1320</v>
      </c>
      <c r="E810" s="47"/>
      <c r="F810" s="41" t="s">
        <v>1351</v>
      </c>
      <c r="G810" s="41"/>
      <c r="H810" s="38"/>
      <c r="I810" s="38">
        <v>3.6</v>
      </c>
      <c r="J810" s="38">
        <v>5.3</v>
      </c>
      <c r="K810" s="38">
        <v>7.0199999999999999E-2</v>
      </c>
      <c r="L810" s="41"/>
    </row>
    <row r="811" spans="1:12" x14ac:dyDescent="0.25">
      <c r="A811" s="4"/>
      <c r="B811" s="28" t="str">
        <f>IF(ISNUMBER(MATCH(D811, Mgt_Unit!$C$5:$C$1018, 0)), INDEX(Mgt_Unit!$B$5:$B$1018, MATCH(D811, Mgt_Unit!$C$5:$C$1018, 0)), "")</f>
        <v>jennifer.moore</v>
      </c>
      <c r="C811" s="28"/>
      <c r="D811" s="9" t="s">
        <v>1320</v>
      </c>
      <c r="E811" s="47"/>
      <c r="F811" s="41" t="s">
        <v>1351</v>
      </c>
      <c r="G811" s="41"/>
      <c r="H811" s="38"/>
      <c r="I811" s="38">
        <v>4</v>
      </c>
      <c r="J811" s="38">
        <v>4.87</v>
      </c>
      <c r="K811" s="38">
        <v>6.7699999999999996E-2</v>
      </c>
      <c r="L811" s="41"/>
    </row>
    <row r="812" spans="1:12" x14ac:dyDescent="0.25">
      <c r="A812" s="4"/>
      <c r="B812" s="28" t="str">
        <f>IF(ISNUMBER(MATCH(D812, Mgt_Unit!$C$5:$C$1018, 0)), INDEX(Mgt_Unit!$B$5:$B$1018, MATCH(D812, Mgt_Unit!$C$5:$C$1018, 0)), "")</f>
        <v>jennifer.moore</v>
      </c>
      <c r="C812" s="28"/>
      <c r="D812" s="9" t="s">
        <v>1320</v>
      </c>
      <c r="E812" s="47"/>
      <c r="F812" s="41" t="s">
        <v>1351</v>
      </c>
      <c r="G812" s="41"/>
      <c r="H812" s="38"/>
      <c r="I812" s="38">
        <v>4</v>
      </c>
      <c r="J812" s="38">
        <v>4.92</v>
      </c>
      <c r="K812" s="38">
        <v>6.9599999999999995E-2</v>
      </c>
      <c r="L812" s="41"/>
    </row>
    <row r="813" spans="1:12" x14ac:dyDescent="0.25">
      <c r="A813" s="4"/>
      <c r="B813" s="28" t="str">
        <f>IF(ISNUMBER(MATCH(D813, Mgt_Unit!$C$5:$C$1018, 0)), INDEX(Mgt_Unit!$B$5:$B$1018, MATCH(D813, Mgt_Unit!$C$5:$C$1018, 0)), "")</f>
        <v>jennifer.moore</v>
      </c>
      <c r="C813" s="28"/>
      <c r="D813" s="9" t="s">
        <v>1321</v>
      </c>
      <c r="E813" s="47"/>
      <c r="F813" s="41" t="s">
        <v>1351</v>
      </c>
      <c r="G813" s="41"/>
      <c r="H813" s="38"/>
      <c r="I813" s="38">
        <v>3.7</v>
      </c>
      <c r="J813" s="38">
        <v>5.43</v>
      </c>
      <c r="K813" s="38">
        <v>7.6600000000000001E-2</v>
      </c>
      <c r="L813" s="41"/>
    </row>
    <row r="814" spans="1:12" x14ac:dyDescent="0.25">
      <c r="A814" s="4"/>
      <c r="B814" s="28" t="str">
        <f>IF(ISNUMBER(MATCH(D814, Mgt_Unit!$C$5:$C$1018, 0)), INDEX(Mgt_Unit!$B$5:$B$1018, MATCH(D814, Mgt_Unit!$C$5:$C$1018, 0)), "")</f>
        <v>jennifer.moore</v>
      </c>
      <c r="C814" s="28"/>
      <c r="D814" s="9" t="s">
        <v>1321</v>
      </c>
      <c r="E814" s="47"/>
      <c r="F814" s="41" t="s">
        <v>1351</v>
      </c>
      <c r="G814" s="41"/>
      <c r="H814" s="38"/>
      <c r="I814" s="38">
        <v>4.0999999999999996</v>
      </c>
      <c r="J814" s="38">
        <v>5.22</v>
      </c>
      <c r="K814" s="38">
        <v>7.1800000000000003E-2</v>
      </c>
      <c r="L814" s="41"/>
    </row>
    <row r="815" spans="1:12" x14ac:dyDescent="0.25">
      <c r="A815" s="4"/>
      <c r="B815" s="28" t="str">
        <f>IF(ISNUMBER(MATCH(D815, Mgt_Unit!$C$5:$C$1018, 0)), INDEX(Mgt_Unit!$B$5:$B$1018, MATCH(D815, Mgt_Unit!$C$5:$C$1018, 0)), "")</f>
        <v>jennifer.moore</v>
      </c>
      <c r="C815" s="28"/>
      <c r="D815" s="9" t="s">
        <v>1321</v>
      </c>
      <c r="E815" s="47"/>
      <c r="F815" s="41" t="s">
        <v>1351</v>
      </c>
      <c r="G815" s="41"/>
      <c r="H815" s="38"/>
      <c r="I815" s="38">
        <v>3.8</v>
      </c>
      <c r="J815" s="38">
        <v>4.97</v>
      </c>
      <c r="K815" s="38">
        <v>7.3200000000000001E-2</v>
      </c>
      <c r="L815" s="41"/>
    </row>
    <row r="816" spans="1:12" x14ac:dyDescent="0.25">
      <c r="A816" s="4"/>
      <c r="B816" s="28" t="str">
        <f>IF(ISNUMBER(MATCH(D816, Mgt_Unit!$C$5:$C$1018, 0)), INDEX(Mgt_Unit!$B$5:$B$1018, MATCH(D816, Mgt_Unit!$C$5:$C$1018, 0)), "")</f>
        <v>jennifer.moore</v>
      </c>
      <c r="C816" s="28"/>
      <c r="D816" s="9" t="s">
        <v>1321</v>
      </c>
      <c r="E816" s="47"/>
      <c r="F816" s="41" t="s">
        <v>1351</v>
      </c>
      <c r="G816" s="41"/>
      <c r="H816" s="38"/>
      <c r="I816" s="38">
        <v>4.0999999999999996</v>
      </c>
      <c r="J816" s="38">
        <v>5.08</v>
      </c>
      <c r="K816" s="38">
        <v>7.5999999999999998E-2</v>
      </c>
      <c r="L816" s="41"/>
    </row>
    <row r="817" spans="1:12" x14ac:dyDescent="0.25">
      <c r="A817" s="4"/>
      <c r="B817" s="28" t="str">
        <f>IF(ISNUMBER(MATCH(D817, Mgt_Unit!$C$5:$C$1018, 0)), INDEX(Mgt_Unit!$B$5:$B$1018, MATCH(D817, Mgt_Unit!$C$5:$C$1018, 0)), "")</f>
        <v>jennifer.moore</v>
      </c>
      <c r="C817" s="28"/>
      <c r="D817" s="9" t="s">
        <v>1322</v>
      </c>
      <c r="E817" s="47"/>
      <c r="F817" s="41" t="s">
        <v>1351</v>
      </c>
      <c r="G817" s="41"/>
      <c r="H817" s="38"/>
      <c r="I817" s="38">
        <v>4</v>
      </c>
      <c r="J817" s="38">
        <v>5.01</v>
      </c>
      <c r="K817" s="38">
        <v>0.11840000000000001</v>
      </c>
      <c r="L817" s="41"/>
    </row>
    <row r="818" spans="1:12" x14ac:dyDescent="0.25">
      <c r="A818" s="4"/>
      <c r="B818" s="28" t="str">
        <f>IF(ISNUMBER(MATCH(D818, Mgt_Unit!$C$5:$C$1018, 0)), INDEX(Mgt_Unit!$B$5:$B$1018, MATCH(D818, Mgt_Unit!$C$5:$C$1018, 0)), "")</f>
        <v>jennifer.moore</v>
      </c>
      <c r="C818" s="28"/>
      <c r="D818" s="9" t="s">
        <v>1322</v>
      </c>
      <c r="E818" s="47"/>
      <c r="F818" s="41" t="s">
        <v>1351</v>
      </c>
      <c r="G818" s="41"/>
      <c r="H818" s="38"/>
      <c r="I818" s="38">
        <v>4.0999999999999996</v>
      </c>
      <c r="J818" s="38">
        <v>5.0599999999999996</v>
      </c>
      <c r="K818" s="38">
        <v>7.5600000000000001E-2</v>
      </c>
      <c r="L818" s="41"/>
    </row>
    <row r="819" spans="1:12" x14ac:dyDescent="0.25">
      <c r="A819" s="4"/>
      <c r="B819" s="28" t="str">
        <f>IF(ISNUMBER(MATCH(D819, Mgt_Unit!$C$5:$C$1018, 0)), INDEX(Mgt_Unit!$B$5:$B$1018, MATCH(D819, Mgt_Unit!$C$5:$C$1018, 0)), "")</f>
        <v>jennifer.moore</v>
      </c>
      <c r="C819" s="28"/>
      <c r="D819" s="9" t="s">
        <v>1322</v>
      </c>
      <c r="E819" s="47"/>
      <c r="F819" s="41" t="s">
        <v>1351</v>
      </c>
      <c r="G819" s="41"/>
      <c r="H819" s="38"/>
      <c r="I819" s="38">
        <v>3.4</v>
      </c>
      <c r="J819" s="38">
        <v>5.65</v>
      </c>
      <c r="K819" s="38">
        <v>7.2599999999999998E-2</v>
      </c>
      <c r="L819" s="41"/>
    </row>
    <row r="820" spans="1:12" x14ac:dyDescent="0.25">
      <c r="A820" s="4"/>
      <c r="B820" s="28" t="str">
        <f>IF(ISNUMBER(MATCH(D820, Mgt_Unit!$C$5:$C$1018, 0)), INDEX(Mgt_Unit!$B$5:$B$1018, MATCH(D820, Mgt_Unit!$C$5:$C$1018, 0)), "")</f>
        <v>jennifer.moore</v>
      </c>
      <c r="C820" s="28"/>
      <c r="D820" s="9" t="s">
        <v>1322</v>
      </c>
      <c r="E820" s="47"/>
      <c r="F820" s="41" t="s">
        <v>1351</v>
      </c>
      <c r="G820" s="41"/>
      <c r="H820" s="38"/>
      <c r="I820" s="38">
        <v>4</v>
      </c>
      <c r="J820" s="38">
        <v>4.9400000000000004</v>
      </c>
      <c r="K820" s="38">
        <v>7.0099999999999996E-2</v>
      </c>
      <c r="L820" s="41"/>
    </row>
    <row r="821" spans="1:12" x14ac:dyDescent="0.25">
      <c r="A821" s="4"/>
      <c r="B821" s="28" t="str">
        <f>IF(ISNUMBER(MATCH(D821, Mgt_Unit!$C$5:$C$1018, 0)), INDEX(Mgt_Unit!$B$5:$B$1018, MATCH(D821, Mgt_Unit!$C$5:$C$1018, 0)), "")</f>
        <v>jennifer.moore</v>
      </c>
      <c r="C821" s="28"/>
      <c r="D821" s="9" t="s">
        <v>916</v>
      </c>
      <c r="E821" s="47"/>
      <c r="F821" s="41" t="s">
        <v>1351</v>
      </c>
      <c r="G821" s="41"/>
      <c r="H821" s="38"/>
      <c r="I821" s="38">
        <v>4.5999999999999996</v>
      </c>
      <c r="J821" s="38">
        <v>6.57</v>
      </c>
      <c r="K821" s="38">
        <v>0.152</v>
      </c>
      <c r="L821" s="41"/>
    </row>
    <row r="822" spans="1:12" x14ac:dyDescent="0.25">
      <c r="A822" s="4"/>
      <c r="B822" s="28" t="str">
        <f>IF(ISNUMBER(MATCH(D822, Mgt_Unit!$C$5:$C$1018, 0)), INDEX(Mgt_Unit!$B$5:$B$1018, MATCH(D822, Mgt_Unit!$C$5:$C$1018, 0)), "")</f>
        <v>jennifer.moore</v>
      </c>
      <c r="C822" s="28"/>
      <c r="D822" s="9" t="s">
        <v>916</v>
      </c>
      <c r="E822" s="47"/>
      <c r="F822" s="41" t="s">
        <v>1351</v>
      </c>
      <c r="G822" s="41"/>
      <c r="H822" s="38"/>
      <c r="I822" s="38">
        <v>4.4000000000000004</v>
      </c>
      <c r="J822" s="38">
        <v>6.73</v>
      </c>
      <c r="K822" s="38">
        <v>0.13500000000000001</v>
      </c>
      <c r="L822" s="41"/>
    </row>
    <row r="823" spans="1:12" x14ac:dyDescent="0.25">
      <c r="A823" s="4"/>
      <c r="B823" s="28" t="str">
        <f>IF(ISNUMBER(MATCH(D823, Mgt_Unit!$C$5:$C$1018, 0)), INDEX(Mgt_Unit!$B$5:$B$1018, MATCH(D823, Mgt_Unit!$C$5:$C$1018, 0)), "")</f>
        <v>jennifer.moore</v>
      </c>
      <c r="C823" s="28"/>
      <c r="D823" s="9" t="s">
        <v>916</v>
      </c>
      <c r="E823" s="47"/>
      <c r="F823" s="41" t="s">
        <v>1351</v>
      </c>
      <c r="G823" s="41"/>
      <c r="H823" s="38"/>
      <c r="I823" s="38">
        <v>5.6</v>
      </c>
      <c r="J823" s="38">
        <v>6.51</v>
      </c>
      <c r="K823" s="38">
        <v>0.17699999999999999</v>
      </c>
      <c r="L823" s="41"/>
    </row>
    <row r="824" spans="1:12" x14ac:dyDescent="0.25">
      <c r="A824" s="4"/>
      <c r="B824" s="28" t="str">
        <f>IF(ISNUMBER(MATCH(D824, Mgt_Unit!$C$5:$C$1018, 0)), INDEX(Mgt_Unit!$B$5:$B$1018, MATCH(D824, Mgt_Unit!$C$5:$C$1018, 0)), "")</f>
        <v>jennifer.moore</v>
      </c>
      <c r="C824" s="28"/>
      <c r="D824" s="9" t="s">
        <v>916</v>
      </c>
      <c r="E824" s="47"/>
      <c r="F824" s="41" t="s">
        <v>1351</v>
      </c>
      <c r="G824" s="41"/>
      <c r="H824" s="38"/>
      <c r="I824" s="38">
        <v>4.7</v>
      </c>
      <c r="J824" s="38">
        <v>6.55</v>
      </c>
      <c r="K824" s="38">
        <v>8.1699999999999995E-2</v>
      </c>
      <c r="L824" s="41"/>
    </row>
    <row r="825" spans="1:12" x14ac:dyDescent="0.25">
      <c r="A825" s="4"/>
      <c r="B825" s="28" t="str">
        <f>IF(ISNUMBER(MATCH(D825, Mgt_Unit!$C$5:$C$1018, 0)), INDEX(Mgt_Unit!$B$5:$B$1018, MATCH(D825, Mgt_Unit!$C$5:$C$1018, 0)), "")</f>
        <v>jennifer.moore</v>
      </c>
      <c r="C825" s="28"/>
      <c r="D825" s="9" t="s">
        <v>914</v>
      </c>
      <c r="E825" s="47"/>
      <c r="F825" s="41" t="s">
        <v>1351</v>
      </c>
      <c r="G825" s="41"/>
      <c r="H825" s="38"/>
      <c r="I825" s="38">
        <v>4.7</v>
      </c>
      <c r="J825" s="38">
        <v>6.45</v>
      </c>
      <c r="K825" s="38">
        <v>0.1041</v>
      </c>
      <c r="L825" s="41"/>
    </row>
    <row r="826" spans="1:12" x14ac:dyDescent="0.25">
      <c r="A826" s="4"/>
      <c r="B826" s="28" t="str">
        <f>IF(ISNUMBER(MATCH(D826, Mgt_Unit!$C$5:$C$1018, 0)), INDEX(Mgt_Unit!$B$5:$B$1018, MATCH(D826, Mgt_Unit!$C$5:$C$1018, 0)), "")</f>
        <v>jennifer.moore</v>
      </c>
      <c r="C826" s="28"/>
      <c r="D826" s="9" t="s">
        <v>914</v>
      </c>
      <c r="E826" s="47"/>
      <c r="F826" s="41" t="s">
        <v>1351</v>
      </c>
      <c r="G826" s="41"/>
      <c r="H826" s="38"/>
      <c r="I826" s="38">
        <v>4.4000000000000004</v>
      </c>
      <c r="J826" s="38">
        <v>6.51</v>
      </c>
      <c r="K826" s="38">
        <v>8.5300000000000001E-2</v>
      </c>
      <c r="L826" s="41"/>
    </row>
    <row r="827" spans="1:12" x14ac:dyDescent="0.25">
      <c r="A827" s="4"/>
      <c r="B827" s="28" t="str">
        <f>IF(ISNUMBER(MATCH(D827, Mgt_Unit!$C$5:$C$1018, 0)), INDEX(Mgt_Unit!$B$5:$B$1018, MATCH(D827, Mgt_Unit!$C$5:$C$1018, 0)), "")</f>
        <v>jennifer.moore</v>
      </c>
      <c r="C827" s="28"/>
      <c r="D827" s="9" t="s">
        <v>914</v>
      </c>
      <c r="E827" s="47"/>
      <c r="F827" s="41" t="s">
        <v>1351</v>
      </c>
      <c r="G827" s="41"/>
      <c r="H827" s="38"/>
      <c r="I827" s="38">
        <v>4.9000000000000004</v>
      </c>
      <c r="J827" s="38">
        <v>6.27</v>
      </c>
      <c r="K827" s="38">
        <v>8.1299999999999997E-2</v>
      </c>
      <c r="L827" s="41"/>
    </row>
    <row r="828" spans="1:12" x14ac:dyDescent="0.25">
      <c r="A828" s="4"/>
      <c r="B828" s="28" t="str">
        <f>IF(ISNUMBER(MATCH(D828, Mgt_Unit!$C$5:$C$1018, 0)), INDEX(Mgt_Unit!$B$5:$B$1018, MATCH(D828, Mgt_Unit!$C$5:$C$1018, 0)), "")</f>
        <v>jennifer.moore</v>
      </c>
      <c r="C828" s="28"/>
      <c r="D828" s="9" t="s">
        <v>914</v>
      </c>
      <c r="E828" s="47"/>
      <c r="F828" s="41" t="s">
        <v>1351</v>
      </c>
      <c r="G828" s="41"/>
      <c r="H828" s="38"/>
      <c r="I828" s="38">
        <v>5</v>
      </c>
      <c r="J828" s="38">
        <v>6.56</v>
      </c>
      <c r="K828" s="38">
        <v>8.2400000000000001E-2</v>
      </c>
      <c r="L828" s="41"/>
    </row>
    <row r="829" spans="1:12" x14ac:dyDescent="0.25">
      <c r="A829" s="4"/>
      <c r="B829" s="28" t="str">
        <f>IF(ISNUMBER(MATCH(D829, Mgt_Unit!$C$5:$C$1018, 0)), INDEX(Mgt_Unit!$B$5:$B$1018, MATCH(D829, Mgt_Unit!$C$5:$C$1018, 0)), "")</f>
        <v>jennifer.moore</v>
      </c>
      <c r="C829" s="28"/>
      <c r="D829" s="9" t="s">
        <v>915</v>
      </c>
      <c r="E829" s="47"/>
      <c r="F829" s="41" t="s">
        <v>1351</v>
      </c>
      <c r="G829" s="41"/>
      <c r="H829" s="38"/>
      <c r="I829" s="38">
        <v>5.0999999999999996</v>
      </c>
      <c r="J829" s="38">
        <v>6.18</v>
      </c>
      <c r="K829" s="38">
        <v>0.15909999999999999</v>
      </c>
      <c r="L829" s="41"/>
    </row>
    <row r="830" spans="1:12" x14ac:dyDescent="0.25">
      <c r="A830" s="4"/>
      <c r="B830" s="28" t="str">
        <f>IF(ISNUMBER(MATCH(D830, Mgt_Unit!$C$5:$C$1018, 0)), INDEX(Mgt_Unit!$B$5:$B$1018, MATCH(D830, Mgt_Unit!$C$5:$C$1018, 0)), "")</f>
        <v>jennifer.moore</v>
      </c>
      <c r="C830" s="28"/>
      <c r="D830" s="9" t="s">
        <v>915</v>
      </c>
      <c r="E830" s="47"/>
      <c r="F830" s="41" t="s">
        <v>1351</v>
      </c>
      <c r="G830" s="41"/>
      <c r="H830" s="38"/>
      <c r="I830" s="38">
        <v>3.6</v>
      </c>
      <c r="J830" s="38">
        <v>6.89</v>
      </c>
      <c r="K830" s="38">
        <v>0.1166</v>
      </c>
      <c r="L830" s="41"/>
    </row>
    <row r="831" spans="1:12" x14ac:dyDescent="0.25">
      <c r="A831" s="4"/>
      <c r="B831" s="28" t="str">
        <f>IF(ISNUMBER(MATCH(D831, Mgt_Unit!$C$5:$C$1018, 0)), INDEX(Mgt_Unit!$B$5:$B$1018, MATCH(D831, Mgt_Unit!$C$5:$C$1018, 0)), "")</f>
        <v>jennifer.moore</v>
      </c>
      <c r="C831" s="28"/>
      <c r="D831" s="9" t="s">
        <v>915</v>
      </c>
      <c r="E831" s="47"/>
      <c r="F831" s="41" t="s">
        <v>1351</v>
      </c>
      <c r="G831" s="41"/>
      <c r="H831" s="38"/>
      <c r="I831" s="38">
        <v>5.3</v>
      </c>
      <c r="J831" s="38">
        <v>6.34</v>
      </c>
      <c r="K831" s="38">
        <v>0.1462</v>
      </c>
      <c r="L831" s="41"/>
    </row>
    <row r="832" spans="1:12" x14ac:dyDescent="0.25">
      <c r="A832" s="4"/>
      <c r="B832" s="28" t="str">
        <f>IF(ISNUMBER(MATCH(D832, Mgt_Unit!$C$5:$C$1018, 0)), INDEX(Mgt_Unit!$B$5:$B$1018, MATCH(D832, Mgt_Unit!$C$5:$C$1018, 0)), "")</f>
        <v>jennifer.moore</v>
      </c>
      <c r="C832" s="28"/>
      <c r="D832" s="9" t="s">
        <v>915</v>
      </c>
      <c r="E832" s="47"/>
      <c r="F832" s="41" t="s">
        <v>1351</v>
      </c>
      <c r="G832" s="41"/>
      <c r="H832" s="38"/>
      <c r="I832" s="38">
        <v>3.9</v>
      </c>
      <c r="J832" s="38">
        <v>6.93</v>
      </c>
      <c r="K832" s="38">
        <v>0.14399999999999999</v>
      </c>
      <c r="L832" s="41"/>
    </row>
    <row r="833" spans="1:12" x14ac:dyDescent="0.25">
      <c r="A833" s="4"/>
      <c r="B833" s="28" t="str">
        <f>IF(ISNUMBER(MATCH(D833, Mgt_Unit!$C$5:$C$1018, 0)), INDEX(Mgt_Unit!$B$5:$B$1018, MATCH(D833, Mgt_Unit!$C$5:$C$1018, 0)), "")</f>
        <v>jennifer.moore</v>
      </c>
      <c r="C833" s="28"/>
      <c r="D833" s="9" t="s">
        <v>918</v>
      </c>
      <c r="E833" s="47"/>
      <c r="F833" s="41" t="s">
        <v>1351</v>
      </c>
      <c r="G833" s="41"/>
      <c r="H833" s="38"/>
      <c r="I833" s="38">
        <v>2.8</v>
      </c>
      <c r="J833" s="38">
        <v>6.19</v>
      </c>
      <c r="K833" s="38">
        <v>8.0600000000000005E-2</v>
      </c>
      <c r="L833" s="41"/>
    </row>
    <row r="834" spans="1:12" x14ac:dyDescent="0.25">
      <c r="A834" s="4"/>
      <c r="B834" s="28" t="str">
        <f>IF(ISNUMBER(MATCH(D834, Mgt_Unit!$C$5:$C$1018, 0)), INDEX(Mgt_Unit!$B$5:$B$1018, MATCH(D834, Mgt_Unit!$C$5:$C$1018, 0)), "")</f>
        <v>jennifer.moore</v>
      </c>
      <c r="C834" s="28"/>
      <c r="D834" s="9" t="s">
        <v>918</v>
      </c>
      <c r="E834" s="47"/>
      <c r="F834" s="41" t="s">
        <v>1351</v>
      </c>
      <c r="G834" s="41"/>
      <c r="H834" s="38"/>
      <c r="I834" s="38">
        <v>3.5</v>
      </c>
      <c r="J834" s="38">
        <v>5.67</v>
      </c>
      <c r="K834" s="38">
        <v>6.7299999999999999E-2</v>
      </c>
      <c r="L834" s="41"/>
    </row>
    <row r="835" spans="1:12" x14ac:dyDescent="0.25">
      <c r="A835" s="4"/>
      <c r="B835" s="28" t="str">
        <f>IF(ISNUMBER(MATCH(D835, Mgt_Unit!$C$5:$C$1018, 0)), INDEX(Mgt_Unit!$B$5:$B$1018, MATCH(D835, Mgt_Unit!$C$5:$C$1018, 0)), "")</f>
        <v>jennifer.moore</v>
      </c>
      <c r="C835" s="28"/>
      <c r="D835" s="9" t="s">
        <v>918</v>
      </c>
      <c r="E835" s="47"/>
      <c r="F835" s="41" t="s">
        <v>1351</v>
      </c>
      <c r="G835" s="41"/>
      <c r="H835" s="38"/>
      <c r="I835" s="38">
        <v>3.2</v>
      </c>
      <c r="J835" s="38">
        <v>5.86</v>
      </c>
      <c r="K835" s="38">
        <v>6.9400000000000003E-2</v>
      </c>
      <c r="L835" s="41"/>
    </row>
    <row r="836" spans="1:12" x14ac:dyDescent="0.25">
      <c r="A836" s="4"/>
      <c r="B836" s="28" t="str">
        <f>IF(ISNUMBER(MATCH(D836, Mgt_Unit!$C$5:$C$1018, 0)), INDEX(Mgt_Unit!$B$5:$B$1018, MATCH(D836, Mgt_Unit!$C$5:$C$1018, 0)), "")</f>
        <v>jennifer.moore</v>
      </c>
      <c r="C836" s="28"/>
      <c r="D836" s="9" t="s">
        <v>918</v>
      </c>
      <c r="E836" s="47"/>
      <c r="F836" s="41" t="s">
        <v>1351</v>
      </c>
      <c r="G836" s="41"/>
      <c r="H836" s="38"/>
      <c r="I836" s="38">
        <v>3.2</v>
      </c>
      <c r="J836" s="38">
        <v>5.39</v>
      </c>
      <c r="K836" s="38">
        <v>6.0199999999999997E-2</v>
      </c>
      <c r="L836" s="41"/>
    </row>
    <row r="837" spans="1:12" x14ac:dyDescent="0.25">
      <c r="A837" s="4"/>
      <c r="B837" s="28" t="str">
        <f>IF(ISNUMBER(MATCH(D837, Mgt_Unit!$C$5:$C$1018, 0)), INDEX(Mgt_Unit!$B$5:$B$1018, MATCH(D837, Mgt_Unit!$C$5:$C$1018, 0)), "")</f>
        <v>jennifer.moore</v>
      </c>
      <c r="C837" s="28"/>
      <c r="D837" s="9" t="s">
        <v>918</v>
      </c>
      <c r="E837" s="47"/>
      <c r="F837" s="41" t="s">
        <v>1351</v>
      </c>
      <c r="G837" s="41"/>
      <c r="H837" s="38"/>
      <c r="I837" s="38">
        <v>4</v>
      </c>
      <c r="J837" s="38">
        <v>5.44</v>
      </c>
      <c r="K837" s="38">
        <v>8.5699999999999998E-2</v>
      </c>
      <c r="L837" s="41"/>
    </row>
    <row r="838" spans="1:12" x14ac:dyDescent="0.25">
      <c r="A838" s="4"/>
      <c r="B838" s="28" t="str">
        <f>IF(ISNUMBER(MATCH(D838, Mgt_Unit!$C$5:$C$1018, 0)), INDEX(Mgt_Unit!$B$5:$B$1018, MATCH(D838, Mgt_Unit!$C$5:$C$1018, 0)), "")</f>
        <v>jennifer.moore</v>
      </c>
      <c r="C838" s="28"/>
      <c r="D838" s="9" t="s">
        <v>918</v>
      </c>
      <c r="E838" s="47"/>
      <c r="F838" s="41" t="s">
        <v>1351</v>
      </c>
      <c r="G838" s="41"/>
      <c r="H838" s="38"/>
      <c r="I838" s="38">
        <v>3.6</v>
      </c>
      <c r="J838" s="38">
        <v>6.43</v>
      </c>
      <c r="K838" s="38">
        <v>0.12720000000000001</v>
      </c>
      <c r="L838" s="41"/>
    </row>
    <row r="839" spans="1:12" x14ac:dyDescent="0.25">
      <c r="A839" s="4"/>
      <c r="B839" s="28" t="str">
        <f>IF(ISNUMBER(MATCH(D839, Mgt_Unit!$C$5:$C$1018, 0)), INDEX(Mgt_Unit!$B$5:$B$1018, MATCH(D839, Mgt_Unit!$C$5:$C$1018, 0)), "")</f>
        <v>jennifer.moore</v>
      </c>
      <c r="C839" s="28"/>
      <c r="D839" s="9" t="s">
        <v>918</v>
      </c>
      <c r="E839" s="47"/>
      <c r="F839" s="41" t="s">
        <v>1351</v>
      </c>
      <c r="G839" s="41"/>
      <c r="H839" s="38"/>
      <c r="I839" s="38">
        <v>2.5</v>
      </c>
      <c r="J839" s="38">
        <v>6.23</v>
      </c>
      <c r="K839" s="38">
        <v>9.6100000000000005E-2</v>
      </c>
      <c r="L839" s="41"/>
    </row>
    <row r="840" spans="1:12" x14ac:dyDescent="0.25">
      <c r="A840" s="4"/>
      <c r="B840" s="28" t="str">
        <f>IF(ISNUMBER(MATCH(D840, Mgt_Unit!$C$5:$C$1018, 0)), INDEX(Mgt_Unit!$B$5:$B$1018, MATCH(D840, Mgt_Unit!$C$5:$C$1018, 0)), "")</f>
        <v>jennifer.moore</v>
      </c>
      <c r="C840" s="28"/>
      <c r="D840" s="9" t="s">
        <v>918</v>
      </c>
      <c r="E840" s="47"/>
      <c r="F840" s="41" t="s">
        <v>1351</v>
      </c>
      <c r="G840" s="41"/>
      <c r="H840" s="38"/>
      <c r="I840" s="38">
        <v>3.6</v>
      </c>
      <c r="J840" s="38">
        <v>5.84</v>
      </c>
      <c r="K840" s="38">
        <v>9.6199999999999994E-2</v>
      </c>
      <c r="L840" s="41"/>
    </row>
    <row r="841" spans="1:12" x14ac:dyDescent="0.25">
      <c r="A841" s="4"/>
      <c r="B841" s="28" t="str">
        <f>IF(ISNUMBER(MATCH(D841, Mgt_Unit!$C$5:$C$1018, 0)), INDEX(Mgt_Unit!$B$5:$B$1018, MATCH(D841, Mgt_Unit!$C$5:$C$1018, 0)), "")</f>
        <v>jennifer.moore</v>
      </c>
      <c r="C841" s="28"/>
      <c r="D841" s="9" t="s">
        <v>918</v>
      </c>
      <c r="E841" s="47"/>
      <c r="F841" s="41" t="s">
        <v>1351</v>
      </c>
      <c r="G841" s="41"/>
      <c r="H841" s="38"/>
      <c r="I841" s="38">
        <v>3.3</v>
      </c>
      <c r="J841" s="38">
        <v>6.61</v>
      </c>
      <c r="K841" s="38">
        <v>0.104</v>
      </c>
      <c r="L841" s="41"/>
    </row>
    <row r="842" spans="1:12" x14ac:dyDescent="0.25">
      <c r="A842" s="4"/>
      <c r="B842" s="28" t="str">
        <f>IF(ISNUMBER(MATCH(D842, Mgt_Unit!$C$5:$C$1018, 0)), INDEX(Mgt_Unit!$B$5:$B$1018, MATCH(D842, Mgt_Unit!$C$5:$C$1018, 0)), "")</f>
        <v>jennifer.moore</v>
      </c>
      <c r="C842" s="28"/>
      <c r="D842" s="9" t="s">
        <v>1323</v>
      </c>
      <c r="E842" s="47"/>
      <c r="F842" s="41" t="s">
        <v>1351</v>
      </c>
      <c r="G842" s="41"/>
      <c r="H842" s="38"/>
      <c r="I842" s="38">
        <v>4.8</v>
      </c>
      <c r="J842" s="38">
        <v>6.26</v>
      </c>
      <c r="K842" s="38">
        <v>0.13800000000000001</v>
      </c>
      <c r="L842" s="41"/>
    </row>
    <row r="843" spans="1:12" x14ac:dyDescent="0.25">
      <c r="A843" s="4"/>
      <c r="B843" s="28" t="str">
        <f>IF(ISNUMBER(MATCH(D843, Mgt_Unit!$C$5:$C$1018, 0)), INDEX(Mgt_Unit!$B$5:$B$1018, MATCH(D843, Mgt_Unit!$C$5:$C$1018, 0)), "")</f>
        <v>jennifer.moore</v>
      </c>
      <c r="C843" s="28"/>
      <c r="D843" s="9" t="s">
        <v>1323</v>
      </c>
      <c r="E843" s="47"/>
      <c r="F843" s="41" t="s">
        <v>1351</v>
      </c>
      <c r="G843" s="41"/>
      <c r="H843" s="38"/>
      <c r="I843" s="38">
        <v>3.6</v>
      </c>
      <c r="J843" s="38">
        <v>6.36</v>
      </c>
      <c r="K843" s="38">
        <v>0.16900000000000001</v>
      </c>
      <c r="L843" s="41"/>
    </row>
    <row r="844" spans="1:12" x14ac:dyDescent="0.25">
      <c r="A844" s="4"/>
      <c r="B844" s="28" t="str">
        <f>IF(ISNUMBER(MATCH(D844, Mgt_Unit!$C$5:$C$1018, 0)), INDEX(Mgt_Unit!$B$5:$B$1018, MATCH(D844, Mgt_Unit!$C$5:$C$1018, 0)), "")</f>
        <v>jennifer.moore</v>
      </c>
      <c r="C844" s="28"/>
      <c r="D844" s="9" t="s">
        <v>1323</v>
      </c>
      <c r="E844" s="47"/>
      <c r="F844" s="41" t="s">
        <v>1351</v>
      </c>
      <c r="G844" s="41"/>
      <c r="H844" s="38"/>
      <c r="I844" s="38">
        <v>3.2</v>
      </c>
      <c r="J844" s="38">
        <v>6.37</v>
      </c>
      <c r="K844" s="38">
        <v>0.13500000000000001</v>
      </c>
      <c r="L844" s="41"/>
    </row>
    <row r="845" spans="1:12" x14ac:dyDescent="0.25">
      <c r="A845" s="4"/>
      <c r="B845" s="28" t="str">
        <f>IF(ISNUMBER(MATCH(D845, Mgt_Unit!$C$5:$C$1018, 0)), INDEX(Mgt_Unit!$B$5:$B$1018, MATCH(D845, Mgt_Unit!$C$5:$C$1018, 0)), "")</f>
        <v>jennifer.moore</v>
      </c>
      <c r="C845" s="28"/>
      <c r="D845" s="9" t="s">
        <v>1323</v>
      </c>
      <c r="E845" s="47"/>
      <c r="F845" s="41" t="s">
        <v>1351</v>
      </c>
      <c r="G845" s="41"/>
      <c r="H845" s="38"/>
      <c r="I845" s="38">
        <v>3.2</v>
      </c>
      <c r="J845" s="38">
        <v>6.45</v>
      </c>
      <c r="K845" s="38">
        <v>0.11799999999999999</v>
      </c>
      <c r="L845" s="41"/>
    </row>
    <row r="846" spans="1:12" x14ac:dyDescent="0.25">
      <c r="A846" s="4"/>
      <c r="B846" s="28" t="str">
        <f>IF(ISNUMBER(MATCH(D846, Mgt_Unit!$C$5:$C$1018, 0)), INDEX(Mgt_Unit!$B$5:$B$1018, MATCH(D846, Mgt_Unit!$C$5:$C$1018, 0)), "")</f>
        <v>jennifer.moore</v>
      </c>
      <c r="C846" s="28"/>
      <c r="D846" s="9" t="s">
        <v>1323</v>
      </c>
      <c r="E846" s="47"/>
      <c r="F846" s="41" t="s">
        <v>1351</v>
      </c>
      <c r="G846" s="41"/>
      <c r="H846" s="38"/>
      <c r="I846" s="38">
        <v>3.7</v>
      </c>
      <c r="J846" s="38">
        <v>6.09</v>
      </c>
      <c r="K846" s="38">
        <v>0.16800000000000001</v>
      </c>
      <c r="L846" s="41"/>
    </row>
    <row r="847" spans="1:12" x14ac:dyDescent="0.25">
      <c r="A847" s="4"/>
      <c r="B847" s="28" t="str">
        <f>IF(ISNUMBER(MATCH(D847, Mgt_Unit!$C$5:$C$1018, 0)), INDEX(Mgt_Unit!$B$5:$B$1018, MATCH(D847, Mgt_Unit!$C$5:$C$1018, 0)), "")</f>
        <v>jennifer.moore</v>
      </c>
      <c r="C847" s="28"/>
      <c r="D847" s="9" t="s">
        <v>1323</v>
      </c>
      <c r="E847" s="47"/>
      <c r="F847" s="41" t="s">
        <v>1351</v>
      </c>
      <c r="G847" s="41"/>
      <c r="H847" s="38"/>
      <c r="I847" s="38">
        <v>3.4</v>
      </c>
      <c r="J847" s="38">
        <v>6.44</v>
      </c>
      <c r="K847" s="38">
        <v>0.14280000000000001</v>
      </c>
      <c r="L847" s="41"/>
    </row>
    <row r="848" spans="1:12" x14ac:dyDescent="0.25">
      <c r="A848" s="4"/>
      <c r="B848" s="28" t="str">
        <f>IF(ISNUMBER(MATCH(D848, Mgt_Unit!$C$5:$C$1018, 0)), INDEX(Mgt_Unit!$B$5:$B$1018, MATCH(D848, Mgt_Unit!$C$5:$C$1018, 0)), "")</f>
        <v>jennifer.moore</v>
      </c>
      <c r="C848" s="28"/>
      <c r="D848" s="9" t="s">
        <v>1323</v>
      </c>
      <c r="E848" s="47"/>
      <c r="F848" s="41" t="s">
        <v>1351</v>
      </c>
      <c r="G848" s="41"/>
      <c r="H848" s="38"/>
      <c r="I848" s="38">
        <v>3.4</v>
      </c>
      <c r="J848" s="38">
        <v>6.55</v>
      </c>
      <c r="K848" s="38">
        <v>0.13189999999999999</v>
      </c>
      <c r="L848" s="41"/>
    </row>
    <row r="849" spans="1:12" x14ac:dyDescent="0.25">
      <c r="A849" s="4"/>
      <c r="B849" s="28" t="str">
        <f>IF(ISNUMBER(MATCH(D849, Mgt_Unit!$C$5:$C$1018, 0)), INDEX(Mgt_Unit!$B$5:$B$1018, MATCH(D849, Mgt_Unit!$C$5:$C$1018, 0)), "")</f>
        <v>jennifer.moore</v>
      </c>
      <c r="C849" s="28"/>
      <c r="D849" s="9" t="s">
        <v>1323</v>
      </c>
      <c r="E849" s="47"/>
      <c r="F849" s="41" t="s">
        <v>1351</v>
      </c>
      <c r="G849" s="41"/>
      <c r="H849" s="38"/>
      <c r="I849" s="38">
        <v>4.2</v>
      </c>
      <c r="J849" s="38">
        <v>6.36</v>
      </c>
      <c r="K849" s="38">
        <v>0.1394</v>
      </c>
      <c r="L849" s="41"/>
    </row>
    <row r="850" spans="1:12" x14ac:dyDescent="0.25">
      <c r="A850" s="4"/>
      <c r="B850" s="28" t="str">
        <f>IF(ISNUMBER(MATCH(D850, Mgt_Unit!$C$5:$C$1018, 0)), INDEX(Mgt_Unit!$B$5:$B$1018, MATCH(D850, Mgt_Unit!$C$5:$C$1018, 0)), "")</f>
        <v>jennifer.moore</v>
      </c>
      <c r="C850" s="28"/>
      <c r="D850" s="9" t="s">
        <v>1323</v>
      </c>
      <c r="E850" s="47"/>
      <c r="F850" s="41" t="s">
        <v>1351</v>
      </c>
      <c r="G850" s="41"/>
      <c r="H850" s="38"/>
      <c r="I850" s="38">
        <v>4.0999999999999996</v>
      </c>
      <c r="J850" s="38">
        <v>6.31</v>
      </c>
      <c r="K850" s="38">
        <v>0.1255</v>
      </c>
      <c r="L850" s="41"/>
    </row>
    <row r="851" spans="1:12" x14ac:dyDescent="0.25">
      <c r="A851" s="4"/>
      <c r="B851" s="28" t="str">
        <f>IF(ISNUMBER(MATCH(D851, Mgt_Unit!$C$5:$C$1018, 0)), INDEX(Mgt_Unit!$B$5:$B$1018, MATCH(D851, Mgt_Unit!$C$5:$C$1018, 0)), "")</f>
        <v>jennifer.moore</v>
      </c>
      <c r="C851" s="28"/>
      <c r="D851" s="9" t="s">
        <v>919</v>
      </c>
      <c r="E851" s="47"/>
      <c r="F851" s="41" t="s">
        <v>1351</v>
      </c>
      <c r="G851" s="41"/>
      <c r="H851" s="38"/>
      <c r="I851" s="38">
        <v>3.7</v>
      </c>
      <c r="J851" s="38">
        <v>6.48</v>
      </c>
      <c r="K851" s="38">
        <v>0.106</v>
      </c>
      <c r="L851" s="41"/>
    </row>
    <row r="852" spans="1:12" x14ac:dyDescent="0.25">
      <c r="A852" s="4"/>
      <c r="B852" s="28" t="str">
        <f>IF(ISNUMBER(MATCH(D852, Mgt_Unit!$C$5:$C$1018, 0)), INDEX(Mgt_Unit!$B$5:$B$1018, MATCH(D852, Mgt_Unit!$C$5:$C$1018, 0)), "")</f>
        <v>jennifer.moore</v>
      </c>
      <c r="C852" s="28"/>
      <c r="D852" s="9" t="s">
        <v>919</v>
      </c>
      <c r="E852" s="47"/>
      <c r="F852" s="41" t="s">
        <v>1351</v>
      </c>
      <c r="G852" s="41"/>
      <c r="H852" s="38"/>
      <c r="I852" s="38">
        <v>3.3</v>
      </c>
      <c r="J852" s="38">
        <v>6.56</v>
      </c>
      <c r="K852" s="38">
        <v>0.13</v>
      </c>
      <c r="L852" s="41"/>
    </row>
    <row r="853" spans="1:12" x14ac:dyDescent="0.25">
      <c r="A853" s="4"/>
      <c r="B853" s="28" t="str">
        <f>IF(ISNUMBER(MATCH(D853, Mgt_Unit!$C$5:$C$1018, 0)), INDEX(Mgt_Unit!$B$5:$B$1018, MATCH(D853, Mgt_Unit!$C$5:$C$1018, 0)), "")</f>
        <v>jennifer.moore</v>
      </c>
      <c r="C853" s="28"/>
      <c r="D853" s="9" t="s">
        <v>919</v>
      </c>
      <c r="E853" s="47"/>
      <c r="F853" s="41" t="s">
        <v>1351</v>
      </c>
      <c r="G853" s="41"/>
      <c r="H853" s="38"/>
      <c r="I853" s="38">
        <v>3.6</v>
      </c>
      <c r="J853" s="38">
        <v>6.33</v>
      </c>
      <c r="K853" s="38">
        <v>0.11899999999999999</v>
      </c>
      <c r="L853" s="41"/>
    </row>
    <row r="854" spans="1:12" x14ac:dyDescent="0.25">
      <c r="A854" s="4"/>
      <c r="B854" s="28" t="str">
        <f>IF(ISNUMBER(MATCH(D854, Mgt_Unit!$C$5:$C$1018, 0)), INDEX(Mgt_Unit!$B$5:$B$1018, MATCH(D854, Mgt_Unit!$C$5:$C$1018, 0)), "")</f>
        <v>jennifer.moore</v>
      </c>
      <c r="C854" s="28"/>
      <c r="D854" s="9" t="s">
        <v>919</v>
      </c>
      <c r="E854" s="47"/>
      <c r="F854" s="41" t="s">
        <v>1351</v>
      </c>
      <c r="G854" s="41"/>
      <c r="H854" s="38"/>
      <c r="I854" s="38">
        <v>3.5</v>
      </c>
      <c r="J854" s="38">
        <v>6.34</v>
      </c>
      <c r="K854" s="38">
        <v>0.13</v>
      </c>
      <c r="L854" s="41"/>
    </row>
    <row r="855" spans="1:12" x14ac:dyDescent="0.25">
      <c r="A855" s="4"/>
      <c r="B855" s="28" t="str">
        <f>IF(ISNUMBER(MATCH(D855, Mgt_Unit!$C$5:$C$1018, 0)), INDEX(Mgt_Unit!$B$5:$B$1018, MATCH(D855, Mgt_Unit!$C$5:$C$1018, 0)), "")</f>
        <v>jennifer.moore</v>
      </c>
      <c r="C855" s="28"/>
      <c r="D855" s="9" t="s">
        <v>919</v>
      </c>
      <c r="E855" s="47"/>
      <c r="F855" s="41" t="s">
        <v>1351</v>
      </c>
      <c r="G855" s="41"/>
      <c r="H855" s="38"/>
      <c r="I855" s="38">
        <v>2.8</v>
      </c>
      <c r="J855" s="38">
        <v>6.22</v>
      </c>
      <c r="K855" s="38">
        <v>0.12</v>
      </c>
      <c r="L855" s="41"/>
    </row>
    <row r="856" spans="1:12" x14ac:dyDescent="0.25">
      <c r="A856" s="4"/>
      <c r="B856" s="28" t="str">
        <f>IF(ISNUMBER(MATCH(D856, Mgt_Unit!$C$5:$C$1018, 0)), INDEX(Mgt_Unit!$B$5:$B$1018, MATCH(D856, Mgt_Unit!$C$5:$C$1018, 0)), "")</f>
        <v>jennifer.moore</v>
      </c>
      <c r="C856" s="28"/>
      <c r="D856" s="9" t="s">
        <v>919</v>
      </c>
      <c r="E856" s="47"/>
      <c r="F856" s="41" t="s">
        <v>1351</v>
      </c>
      <c r="G856" s="41"/>
      <c r="H856" s="38"/>
      <c r="I856" s="38">
        <v>2.5</v>
      </c>
      <c r="J856" s="38">
        <v>6.38</v>
      </c>
      <c r="K856" s="38">
        <v>0.13100000000000001</v>
      </c>
      <c r="L856" s="41"/>
    </row>
    <row r="857" spans="1:12" x14ac:dyDescent="0.25">
      <c r="A857" s="4"/>
      <c r="B857" s="28" t="str">
        <f>IF(ISNUMBER(MATCH(D857, Mgt_Unit!$C$5:$C$1018, 0)), INDEX(Mgt_Unit!$B$5:$B$1018, MATCH(D857, Mgt_Unit!$C$5:$C$1018, 0)), "")</f>
        <v>jennifer.moore</v>
      </c>
      <c r="C857" s="28"/>
      <c r="D857" s="9" t="s">
        <v>919</v>
      </c>
      <c r="E857" s="47"/>
      <c r="F857" s="41" t="s">
        <v>1351</v>
      </c>
      <c r="G857" s="41"/>
      <c r="H857" s="38"/>
      <c r="I857" s="38">
        <v>2.5</v>
      </c>
      <c r="J857" s="38">
        <v>6.19</v>
      </c>
      <c r="K857" s="38">
        <v>0.106</v>
      </c>
      <c r="L857" s="41"/>
    </row>
    <row r="858" spans="1:12" x14ac:dyDescent="0.25">
      <c r="A858" s="4"/>
      <c r="B858" s="28" t="str">
        <f>IF(ISNUMBER(MATCH(D858, Mgt_Unit!$C$5:$C$1018, 0)), INDEX(Mgt_Unit!$B$5:$B$1018, MATCH(D858, Mgt_Unit!$C$5:$C$1018, 0)), "")</f>
        <v>jennifer.moore</v>
      </c>
      <c r="C858" s="28"/>
      <c r="D858" s="9" t="s">
        <v>919</v>
      </c>
      <c r="E858" s="47"/>
      <c r="F858" s="41" t="s">
        <v>1351</v>
      </c>
      <c r="G858" s="41"/>
      <c r="H858" s="38"/>
      <c r="I858" s="38">
        <v>2.7</v>
      </c>
      <c r="J858" s="38">
        <v>6.02</v>
      </c>
      <c r="K858" s="38">
        <v>0.111</v>
      </c>
      <c r="L858" s="41"/>
    </row>
    <row r="859" spans="1:12" x14ac:dyDescent="0.25">
      <c r="A859" s="4"/>
      <c r="B859" s="28" t="str">
        <f>IF(ISNUMBER(MATCH(D859, Mgt_Unit!$C$5:$C$1018, 0)), INDEX(Mgt_Unit!$B$5:$B$1018, MATCH(D859, Mgt_Unit!$C$5:$C$1018, 0)), "")</f>
        <v>jennifer.moore</v>
      </c>
      <c r="C859" s="28"/>
      <c r="D859" s="9" t="s">
        <v>919</v>
      </c>
      <c r="E859" s="47"/>
      <c r="F859" s="41" t="s">
        <v>1351</v>
      </c>
      <c r="G859" s="41"/>
      <c r="H859" s="38"/>
      <c r="I859" s="38">
        <v>2.6</v>
      </c>
      <c r="J859" s="38">
        <v>6.55</v>
      </c>
      <c r="K859" s="38">
        <v>0.13500000000000001</v>
      </c>
      <c r="L859" s="41"/>
    </row>
    <row r="860" spans="1:12" x14ac:dyDescent="0.25">
      <c r="A860" s="4"/>
      <c r="B860" s="28" t="str">
        <f>IF(ISNUMBER(MATCH(D860, Mgt_Unit!$C$5:$C$1018, 0)), INDEX(Mgt_Unit!$B$5:$B$1018, MATCH(D860, Mgt_Unit!$C$5:$C$1018, 0)), "")</f>
        <v>jennifer.moore</v>
      </c>
      <c r="C860" s="28"/>
      <c r="D860" s="9" t="s">
        <v>917</v>
      </c>
      <c r="E860" s="47"/>
      <c r="F860" s="41" t="s">
        <v>1351</v>
      </c>
      <c r="G860" s="41"/>
      <c r="H860" s="38"/>
      <c r="I860" s="38">
        <v>4</v>
      </c>
      <c r="J860" s="38">
        <v>6.11</v>
      </c>
      <c r="K860" s="38">
        <v>0.11</v>
      </c>
      <c r="L860" s="41"/>
    </row>
    <row r="861" spans="1:12" x14ac:dyDescent="0.25">
      <c r="A861" s="4"/>
      <c r="B861" s="28" t="str">
        <f>IF(ISNUMBER(MATCH(D861, Mgt_Unit!$C$5:$C$1018, 0)), INDEX(Mgt_Unit!$B$5:$B$1018, MATCH(D861, Mgt_Unit!$C$5:$C$1018, 0)), "")</f>
        <v>jennifer.moore</v>
      </c>
      <c r="C861" s="28"/>
      <c r="D861" s="9" t="s">
        <v>917</v>
      </c>
      <c r="E861" s="47"/>
      <c r="F861" s="41" t="s">
        <v>1351</v>
      </c>
      <c r="G861" s="41"/>
      <c r="H861" s="38"/>
      <c r="I861" s="38">
        <v>4</v>
      </c>
      <c r="J861" s="38">
        <v>6.06</v>
      </c>
      <c r="K861" s="38">
        <v>9.06E-2</v>
      </c>
      <c r="L861" s="41"/>
    </row>
    <row r="862" spans="1:12" x14ac:dyDescent="0.25">
      <c r="A862" s="4"/>
      <c r="B862" s="28" t="str">
        <f>IF(ISNUMBER(MATCH(D862, Mgt_Unit!$C$5:$C$1018, 0)), INDEX(Mgt_Unit!$B$5:$B$1018, MATCH(D862, Mgt_Unit!$C$5:$C$1018, 0)), "")</f>
        <v>jennifer.moore</v>
      </c>
      <c r="C862" s="28"/>
      <c r="D862" s="9" t="s">
        <v>917</v>
      </c>
      <c r="E862" s="47"/>
      <c r="F862" s="41" t="s">
        <v>1351</v>
      </c>
      <c r="G862" s="41"/>
      <c r="H862" s="38"/>
      <c r="I862" s="38">
        <v>3.3</v>
      </c>
      <c r="J862" s="38">
        <v>6.47</v>
      </c>
      <c r="K862" s="38">
        <v>0.11210000000000001</v>
      </c>
      <c r="L862" s="41"/>
    </row>
    <row r="863" spans="1:12" x14ac:dyDescent="0.25">
      <c r="A863" s="4"/>
      <c r="B863" s="28" t="str">
        <f>IF(ISNUMBER(MATCH(D863, Mgt_Unit!$C$5:$C$1018, 0)), INDEX(Mgt_Unit!$B$5:$B$1018, MATCH(D863, Mgt_Unit!$C$5:$C$1018, 0)), "")</f>
        <v>jennifer.moore</v>
      </c>
      <c r="C863" s="28"/>
      <c r="D863" s="9" t="s">
        <v>917</v>
      </c>
      <c r="E863" s="47"/>
      <c r="F863" s="41" t="s">
        <v>1351</v>
      </c>
      <c r="G863" s="41"/>
      <c r="H863" s="38"/>
      <c r="I863" s="38">
        <v>3.1</v>
      </c>
      <c r="J863" s="38">
        <v>6.11</v>
      </c>
      <c r="K863" s="38">
        <v>8.2400000000000001E-2</v>
      </c>
      <c r="L863" s="41"/>
    </row>
    <row r="864" spans="1:12" x14ac:dyDescent="0.25">
      <c r="A864" s="4"/>
      <c r="B864" s="28" t="str">
        <f>IF(ISNUMBER(MATCH(D864, Mgt_Unit!$C$5:$C$1018, 0)), INDEX(Mgt_Unit!$B$5:$B$1018, MATCH(D864, Mgt_Unit!$C$5:$C$1018, 0)), "")</f>
        <v>jennifer.moore</v>
      </c>
      <c r="C864" s="28"/>
      <c r="D864" s="9" t="s">
        <v>917</v>
      </c>
      <c r="E864" s="47"/>
      <c r="F864" s="41" t="s">
        <v>1351</v>
      </c>
      <c r="G864" s="41"/>
      <c r="H864" s="38"/>
      <c r="I864" s="38">
        <v>4.5</v>
      </c>
      <c r="J864" s="38">
        <v>5.75</v>
      </c>
      <c r="K864" s="38">
        <v>0.11</v>
      </c>
      <c r="L864" s="41"/>
    </row>
    <row r="865" spans="1:12" x14ac:dyDescent="0.25">
      <c r="A865" s="4"/>
      <c r="B865" s="28" t="str">
        <f>IF(ISNUMBER(MATCH(D865, Mgt_Unit!$C$5:$C$1018, 0)), INDEX(Mgt_Unit!$B$5:$B$1018, MATCH(D865, Mgt_Unit!$C$5:$C$1018, 0)), "")</f>
        <v>jennifer.moore</v>
      </c>
      <c r="C865" s="28"/>
      <c r="D865" s="9" t="s">
        <v>917</v>
      </c>
      <c r="E865" s="47"/>
      <c r="F865" s="41" t="s">
        <v>1351</v>
      </c>
      <c r="G865" s="41"/>
      <c r="H865" s="38"/>
      <c r="I865" s="38">
        <v>3.8</v>
      </c>
      <c r="J865" s="38">
        <v>6.38</v>
      </c>
      <c r="K865" s="38">
        <v>0.13400000000000001</v>
      </c>
      <c r="L865" s="41"/>
    </row>
    <row r="866" spans="1:12" x14ac:dyDescent="0.25">
      <c r="A866" s="4"/>
      <c r="B866" s="28" t="str">
        <f>IF(ISNUMBER(MATCH(D866, Mgt_Unit!$C$5:$C$1018, 0)), INDEX(Mgt_Unit!$B$5:$B$1018, MATCH(D866, Mgt_Unit!$C$5:$C$1018, 0)), "")</f>
        <v>jennifer.moore</v>
      </c>
      <c r="C866" s="28"/>
      <c r="D866" s="9" t="s">
        <v>917</v>
      </c>
      <c r="E866" s="47"/>
      <c r="F866" s="41" t="s">
        <v>1351</v>
      </c>
      <c r="G866" s="41"/>
      <c r="H866" s="38"/>
      <c r="I866" s="38">
        <v>3.4</v>
      </c>
      <c r="J866" s="38">
        <v>6.52</v>
      </c>
      <c r="K866" s="38">
        <v>0.113</v>
      </c>
      <c r="L866" s="41"/>
    </row>
    <row r="867" spans="1:12" x14ac:dyDescent="0.25">
      <c r="A867" s="4"/>
      <c r="B867" s="28" t="str">
        <f>IF(ISNUMBER(MATCH(D867, Mgt_Unit!$C$5:$C$1018, 0)), INDEX(Mgt_Unit!$B$5:$B$1018, MATCH(D867, Mgt_Unit!$C$5:$C$1018, 0)), "")</f>
        <v>jennifer.moore</v>
      </c>
      <c r="C867" s="28"/>
      <c r="D867" s="9" t="s">
        <v>917</v>
      </c>
      <c r="E867" s="47"/>
      <c r="F867" s="41" t="s">
        <v>1351</v>
      </c>
      <c r="G867" s="41"/>
      <c r="H867" s="38"/>
      <c r="I867" s="38">
        <v>3.9</v>
      </c>
      <c r="J867" s="38">
        <v>6.08</v>
      </c>
      <c r="K867" s="38">
        <v>0.1</v>
      </c>
      <c r="L867" s="41"/>
    </row>
    <row r="868" spans="1:12" x14ac:dyDescent="0.25">
      <c r="A868" s="4"/>
      <c r="B868" s="28" t="str">
        <f>IF(ISNUMBER(MATCH(D868, Mgt_Unit!$C$5:$C$1018, 0)), INDEX(Mgt_Unit!$B$5:$B$1018, MATCH(D868, Mgt_Unit!$C$5:$C$1018, 0)), "")</f>
        <v>jennifer.moore</v>
      </c>
      <c r="C868" s="28"/>
      <c r="D868" s="9" t="s">
        <v>917</v>
      </c>
      <c r="E868" s="47"/>
      <c r="F868" s="41" t="s">
        <v>1351</v>
      </c>
      <c r="G868" s="41"/>
      <c r="H868" s="38"/>
      <c r="I868" s="38">
        <v>3.5</v>
      </c>
      <c r="J868" s="38">
        <v>6.6</v>
      </c>
      <c r="K868" s="38">
        <v>0.14299999999999999</v>
      </c>
      <c r="L868" s="41"/>
    </row>
    <row r="869" spans="1:12" x14ac:dyDescent="0.25">
      <c r="A869" s="4"/>
      <c r="B869" s="28" t="str">
        <f>IF(ISNUMBER(MATCH(D869, Mgt_Unit!$C$5:$C$1018, 0)), INDEX(Mgt_Unit!$B$5:$B$1018, MATCH(D869, Mgt_Unit!$C$5:$C$1018, 0)), "")</f>
        <v>jennifer.moore</v>
      </c>
      <c r="C869" s="28"/>
      <c r="D869" s="9" t="s">
        <v>933</v>
      </c>
      <c r="E869" s="47"/>
      <c r="F869" s="41" t="s">
        <v>1351</v>
      </c>
      <c r="G869" s="41"/>
      <c r="H869" s="38"/>
      <c r="I869" s="38">
        <v>2.2999999999999998</v>
      </c>
      <c r="J869" s="38">
        <v>5.62</v>
      </c>
      <c r="K869" s="38">
        <v>0.14099999999999999</v>
      </c>
      <c r="L869" s="41"/>
    </row>
    <row r="870" spans="1:12" x14ac:dyDescent="0.25">
      <c r="A870" s="4"/>
      <c r="B870" s="28" t="str">
        <f>IF(ISNUMBER(MATCH(D870, Mgt_Unit!$C$5:$C$1018, 0)), INDEX(Mgt_Unit!$B$5:$B$1018, MATCH(D870, Mgt_Unit!$C$5:$C$1018, 0)), "")</f>
        <v>jennifer.moore</v>
      </c>
      <c r="C870" s="28"/>
      <c r="D870" s="9" t="s">
        <v>927</v>
      </c>
      <c r="E870" s="47"/>
      <c r="F870" s="41" t="s">
        <v>1351</v>
      </c>
      <c r="G870" s="41"/>
      <c r="H870" s="38"/>
      <c r="I870" s="38">
        <v>2.2999999999999998</v>
      </c>
      <c r="J870" s="38">
        <v>4.78</v>
      </c>
      <c r="K870" s="38">
        <v>7.7299999999999994E-2</v>
      </c>
      <c r="L870" s="41"/>
    </row>
    <row r="871" spans="1:12" x14ac:dyDescent="0.25">
      <c r="A871" s="4"/>
      <c r="B871" s="28" t="str">
        <f>IF(ISNUMBER(MATCH(D871, Mgt_Unit!$C$5:$C$1018, 0)), INDEX(Mgt_Unit!$B$5:$B$1018, MATCH(D871, Mgt_Unit!$C$5:$C$1018, 0)), "")</f>
        <v>jennifer.moore</v>
      </c>
      <c r="C871" s="28"/>
      <c r="D871" s="9" t="s">
        <v>928</v>
      </c>
      <c r="E871" s="47"/>
      <c r="F871" s="41" t="s">
        <v>1351</v>
      </c>
      <c r="G871" s="41"/>
      <c r="H871" s="38"/>
      <c r="I871" s="38">
        <v>3.5</v>
      </c>
      <c r="J871" s="38">
        <v>4.93</v>
      </c>
      <c r="K871" s="38">
        <v>0.1</v>
      </c>
      <c r="L871" s="41"/>
    </row>
    <row r="872" spans="1:12" x14ac:dyDescent="0.25">
      <c r="A872" s="4"/>
      <c r="B872" s="28" t="str">
        <f>IF(ISNUMBER(MATCH(D872, Mgt_Unit!$C$5:$C$1018, 0)), INDEX(Mgt_Unit!$B$5:$B$1018, MATCH(D872, Mgt_Unit!$C$5:$C$1018, 0)), "")</f>
        <v>jennifer.moore</v>
      </c>
      <c r="C872" s="28"/>
      <c r="D872" s="9" t="s">
        <v>935</v>
      </c>
      <c r="E872" s="47"/>
      <c r="F872" s="41" t="s">
        <v>1351</v>
      </c>
      <c r="G872" s="41"/>
      <c r="H872" s="38"/>
      <c r="I872" s="38">
        <v>2.8</v>
      </c>
      <c r="J872" s="38">
        <v>4.6100000000000003</v>
      </c>
      <c r="K872" s="38">
        <v>8.1100000000000005E-2</v>
      </c>
      <c r="L872" s="41"/>
    </row>
    <row r="873" spans="1:12" x14ac:dyDescent="0.25">
      <c r="A873" s="4"/>
      <c r="B873" s="28" t="str">
        <f>IF(ISNUMBER(MATCH(D873, Mgt_Unit!$C$5:$C$1018, 0)), INDEX(Mgt_Unit!$B$5:$B$1018, MATCH(D873, Mgt_Unit!$C$5:$C$1018, 0)), "")</f>
        <v>jennifer.moore</v>
      </c>
      <c r="C873" s="28"/>
      <c r="D873" s="9" t="s">
        <v>934</v>
      </c>
      <c r="E873" s="47"/>
      <c r="F873" s="41" t="s">
        <v>1351</v>
      </c>
      <c r="G873" s="41"/>
      <c r="H873" s="38"/>
      <c r="I873" s="38">
        <v>3.9</v>
      </c>
      <c r="J873" s="38">
        <v>6.39</v>
      </c>
      <c r="K873" s="38">
        <v>0.17899999999999999</v>
      </c>
      <c r="L873" s="41"/>
    </row>
    <row r="874" spans="1:12" x14ac:dyDescent="0.25">
      <c r="A874" s="4"/>
      <c r="B874" s="28" t="str">
        <f>IF(ISNUMBER(MATCH(D874, Mgt_Unit!$C$5:$C$1018, 0)), INDEX(Mgt_Unit!$B$5:$B$1018, MATCH(D874, Mgt_Unit!$C$5:$C$1018, 0)), "")</f>
        <v>jennifer.moore</v>
      </c>
      <c r="C874" s="28"/>
      <c r="D874" s="9" t="s">
        <v>930</v>
      </c>
      <c r="E874" s="47"/>
      <c r="F874" s="41" t="s">
        <v>1351</v>
      </c>
      <c r="G874" s="41"/>
      <c r="H874" s="38"/>
      <c r="I874" s="38">
        <v>2.1</v>
      </c>
      <c r="J874" s="38">
        <v>5.0999999999999996</v>
      </c>
      <c r="K874" s="38">
        <v>5.16E-2</v>
      </c>
      <c r="L874" s="41"/>
    </row>
    <row r="875" spans="1:12" x14ac:dyDescent="0.25">
      <c r="A875" s="4"/>
      <c r="B875" s="28" t="str">
        <f>IF(ISNUMBER(MATCH(D875, Mgt_Unit!$C$5:$C$1018, 0)), INDEX(Mgt_Unit!$B$5:$B$1018, MATCH(D875, Mgt_Unit!$C$5:$C$1018, 0)), "")</f>
        <v>jennifer.moore</v>
      </c>
      <c r="C875" s="28"/>
      <c r="D875" s="9" t="s">
        <v>929</v>
      </c>
      <c r="E875" s="47"/>
      <c r="F875" s="41" t="s">
        <v>1351</v>
      </c>
      <c r="G875" s="41"/>
      <c r="H875" s="38"/>
      <c r="I875" s="38">
        <v>3.1</v>
      </c>
      <c r="J875" s="38">
        <v>6.8</v>
      </c>
      <c r="K875" s="38">
        <v>0.1706</v>
      </c>
      <c r="L875" s="41"/>
    </row>
    <row r="876" spans="1:12" x14ac:dyDescent="0.25">
      <c r="A876" s="4"/>
      <c r="B876" s="28" t="str">
        <f>IF(ISNUMBER(MATCH(D876, Mgt_Unit!$C$5:$C$1018, 0)), INDEX(Mgt_Unit!$B$5:$B$1018, MATCH(D876, Mgt_Unit!$C$5:$C$1018, 0)), "")</f>
        <v>jennifer.moore</v>
      </c>
      <c r="C876" s="28"/>
      <c r="D876" s="9" t="s">
        <v>931</v>
      </c>
      <c r="E876" s="47"/>
      <c r="F876" s="41" t="s">
        <v>1351</v>
      </c>
      <c r="G876" s="41"/>
      <c r="H876" s="38"/>
      <c r="I876" s="38">
        <v>5</v>
      </c>
      <c r="J876" s="38">
        <v>6.66</v>
      </c>
      <c r="K876" s="38">
        <v>0.16300000000000001</v>
      </c>
      <c r="L876" s="41"/>
    </row>
    <row r="877" spans="1:12" x14ac:dyDescent="0.25">
      <c r="A877" s="4"/>
      <c r="B877" s="28" t="str">
        <f>IF(ISNUMBER(MATCH(D877, Mgt_Unit!$C$5:$C$1018, 0)), INDEX(Mgt_Unit!$B$5:$B$1018, MATCH(D877, Mgt_Unit!$C$5:$C$1018, 0)), "")</f>
        <v>jennifer.moore</v>
      </c>
      <c r="C877" s="28"/>
      <c r="D877" s="9" t="s">
        <v>932</v>
      </c>
      <c r="E877" s="47"/>
      <c r="F877" s="41" t="s">
        <v>1351</v>
      </c>
      <c r="G877" s="41"/>
      <c r="H877" s="38"/>
      <c r="I877" s="38">
        <v>4.0999999999999996</v>
      </c>
      <c r="J877" s="38">
        <v>5.47</v>
      </c>
      <c r="K877" s="38">
        <v>0.08</v>
      </c>
      <c r="L877" s="41"/>
    </row>
    <row r="878" spans="1:12" x14ac:dyDescent="0.25">
      <c r="A878" s="4"/>
      <c r="B878" s="28" t="str">
        <f>IF(ISNUMBER(MATCH(D878, Mgt_Unit!$C$5:$C$1018, 0)), INDEX(Mgt_Unit!$B$5:$B$1018, MATCH(D878, Mgt_Unit!$C$5:$C$1018, 0)), "")</f>
        <v>jennifer.moore</v>
      </c>
      <c r="C878" s="28"/>
      <c r="D878" s="9" t="s">
        <v>926</v>
      </c>
      <c r="E878" s="47"/>
      <c r="F878" s="41" t="s">
        <v>1351</v>
      </c>
      <c r="G878" s="41"/>
      <c r="H878" s="38"/>
      <c r="I878" s="38">
        <v>3.7</v>
      </c>
      <c r="J878" s="38">
        <v>6.45</v>
      </c>
      <c r="K878" s="38">
        <v>0.1343</v>
      </c>
      <c r="L878" s="41"/>
    </row>
    <row r="879" spans="1:12" x14ac:dyDescent="0.25">
      <c r="A879" s="4"/>
      <c r="B879" s="28" t="str">
        <f>IF(ISNUMBER(MATCH(D879, Mgt_Unit!$C$5:$C$1018, 0)), INDEX(Mgt_Unit!$B$5:$B$1018, MATCH(D879, Mgt_Unit!$C$5:$C$1018, 0)), "")</f>
        <v>jennifer.moore</v>
      </c>
      <c r="C879" s="28"/>
      <c r="D879" s="9" t="s">
        <v>924</v>
      </c>
      <c r="E879" s="47"/>
      <c r="F879" s="41" t="s">
        <v>1351</v>
      </c>
      <c r="G879" s="41"/>
      <c r="H879" s="38"/>
      <c r="I879" s="38">
        <v>2.9</v>
      </c>
      <c r="J879" s="38">
        <v>5.47</v>
      </c>
      <c r="K879" s="38">
        <v>0.1128</v>
      </c>
      <c r="L879" s="41"/>
    </row>
    <row r="880" spans="1:12" x14ac:dyDescent="0.25">
      <c r="A880" s="4"/>
      <c r="B880" s="28" t="str">
        <f>IF(ISNUMBER(MATCH(D880, Mgt_Unit!$C$5:$C$1018, 0)), INDEX(Mgt_Unit!$B$5:$B$1018, MATCH(D880, Mgt_Unit!$C$5:$C$1018, 0)), "")</f>
        <v>jennifer.moore</v>
      </c>
      <c r="C880" s="28"/>
      <c r="D880" s="9" t="s">
        <v>925</v>
      </c>
      <c r="E880" s="47"/>
      <c r="F880" s="41" t="s">
        <v>1351</v>
      </c>
      <c r="G880" s="41"/>
      <c r="H880" s="38"/>
      <c r="I880" s="38">
        <v>2.7</v>
      </c>
      <c r="J880" s="38">
        <v>5.38</v>
      </c>
      <c r="K880" s="38">
        <v>6.59E-2</v>
      </c>
      <c r="L880" s="41"/>
    </row>
    <row r="881" spans="1:12" x14ac:dyDescent="0.25">
      <c r="A881" s="4"/>
      <c r="B881" s="28" t="str">
        <f>IF(ISNUMBER(MATCH(D881, Mgt_Unit!$C$5:$C$1018, 0)), INDEX(Mgt_Unit!$B$5:$B$1018, MATCH(D881, Mgt_Unit!$C$5:$C$1018, 0)), "")</f>
        <v>jennifer.moore</v>
      </c>
      <c r="C881" s="28"/>
      <c r="D881" s="9" t="s">
        <v>920</v>
      </c>
      <c r="E881" s="47"/>
      <c r="F881" s="41" t="s">
        <v>1351</v>
      </c>
      <c r="G881" s="41"/>
      <c r="H881" s="38"/>
      <c r="I881" s="38">
        <v>3.1</v>
      </c>
      <c r="J881" s="38">
        <v>5.28</v>
      </c>
      <c r="K881" s="38">
        <v>6.8000000000000005E-2</v>
      </c>
      <c r="L881" s="41"/>
    </row>
    <row r="882" spans="1:12" x14ac:dyDescent="0.25">
      <c r="A882" s="4"/>
      <c r="B882" s="28" t="str">
        <f>IF(ISNUMBER(MATCH(D882, Mgt_Unit!$C$5:$C$1018, 0)), INDEX(Mgt_Unit!$B$5:$B$1018, MATCH(D882, Mgt_Unit!$C$5:$C$1018, 0)), "")</f>
        <v>jennifer.moore</v>
      </c>
      <c r="C882" s="28"/>
      <c r="D882" s="9" t="s">
        <v>921</v>
      </c>
      <c r="E882" s="47"/>
      <c r="F882" s="41" t="s">
        <v>1351</v>
      </c>
      <c r="G882" s="41"/>
      <c r="H882" s="38"/>
      <c r="I882" s="38">
        <v>3.1</v>
      </c>
      <c r="J882" s="38">
        <v>5.54</v>
      </c>
      <c r="K882" s="38">
        <v>8.1299999999999997E-2</v>
      </c>
      <c r="L882" s="41"/>
    </row>
    <row r="883" spans="1:12" x14ac:dyDescent="0.25">
      <c r="A883" s="4"/>
      <c r="B883" s="28" t="str">
        <f>IF(ISNUMBER(MATCH(D883, Mgt_Unit!$C$5:$C$1018, 0)), INDEX(Mgt_Unit!$B$5:$B$1018, MATCH(D883, Mgt_Unit!$C$5:$C$1018, 0)), "")</f>
        <v>jennifer.moore</v>
      </c>
      <c r="C883" s="28"/>
      <c r="D883" s="9" t="s">
        <v>922</v>
      </c>
      <c r="E883" s="47"/>
      <c r="F883" s="41" t="s">
        <v>1351</v>
      </c>
      <c r="G883" s="41"/>
      <c r="H883" s="38"/>
      <c r="I883" s="38">
        <v>2.8</v>
      </c>
      <c r="J883" s="38">
        <v>5.35</v>
      </c>
      <c r="K883" s="38">
        <v>8.0500000000000002E-2</v>
      </c>
      <c r="L883" s="41"/>
    </row>
    <row r="884" spans="1:12" x14ac:dyDescent="0.25">
      <c r="A884" s="4"/>
      <c r="B884" s="28" t="str">
        <f>IF(ISNUMBER(MATCH(D884, Mgt_Unit!$C$5:$C$1018, 0)), INDEX(Mgt_Unit!$B$5:$B$1018, MATCH(D884, Mgt_Unit!$C$5:$C$1018, 0)), "")</f>
        <v>jennifer.moore</v>
      </c>
      <c r="C884" s="28"/>
      <c r="D884" s="9" t="s">
        <v>923</v>
      </c>
      <c r="E884" s="47"/>
      <c r="F884" s="41" t="s">
        <v>1351</v>
      </c>
      <c r="G884" s="41"/>
      <c r="H884" s="38"/>
      <c r="I884" s="38">
        <v>3.5</v>
      </c>
      <c r="J884" s="38">
        <v>6.52</v>
      </c>
      <c r="K884" s="38">
        <v>0.12189999999999999</v>
      </c>
      <c r="L884" s="41"/>
    </row>
    <row r="885" spans="1:12" x14ac:dyDescent="0.25">
      <c r="A885" s="4"/>
      <c r="B885" s="28" t="str">
        <f>IF(ISNUMBER(MATCH(D885, Mgt_Unit!$C$5:$C$1018, 0)), INDEX(Mgt_Unit!$B$5:$B$1018, MATCH(D885, Mgt_Unit!$C$5:$C$1018, 0)), "")</f>
        <v>jennifer.moore</v>
      </c>
      <c r="C885" s="28"/>
      <c r="D885" s="9" t="s">
        <v>936</v>
      </c>
      <c r="E885" s="47"/>
      <c r="F885" s="41" t="s">
        <v>1351</v>
      </c>
      <c r="G885" s="41"/>
      <c r="H885" s="38"/>
      <c r="I885" s="38">
        <v>2.6</v>
      </c>
      <c r="J885" s="38">
        <v>5.65</v>
      </c>
      <c r="K885" s="38">
        <v>0.10299999999999999</v>
      </c>
      <c r="L885" s="41"/>
    </row>
    <row r="886" spans="1:12" x14ac:dyDescent="0.25">
      <c r="A886" s="4"/>
      <c r="B886" s="28" t="str">
        <f>IF(ISNUMBER(MATCH(D886, Mgt_Unit!$C$5:$C$1018, 0)), INDEX(Mgt_Unit!$B$5:$B$1018, MATCH(D886, Mgt_Unit!$C$5:$C$1018, 0)), "")</f>
        <v>jennifer.moore</v>
      </c>
      <c r="C886" s="28"/>
      <c r="D886" s="9" t="s">
        <v>937</v>
      </c>
      <c r="E886" s="47"/>
      <c r="F886" s="41" t="s">
        <v>1351</v>
      </c>
      <c r="G886" s="41"/>
      <c r="H886" s="38"/>
      <c r="I886" s="38">
        <v>2.9</v>
      </c>
      <c r="J886" s="38">
        <v>5.66</v>
      </c>
      <c r="K886" s="38">
        <v>8.9099999999999999E-2</v>
      </c>
      <c r="L886" s="41"/>
    </row>
    <row r="887" spans="1:12" x14ac:dyDescent="0.25">
      <c r="A887" s="4"/>
      <c r="B887" s="28" t="str">
        <f>IF(ISNUMBER(MATCH(D887, Mgt_Unit!$C$5:$C$1018, 0)), INDEX(Mgt_Unit!$B$5:$B$1018, MATCH(D887, Mgt_Unit!$C$5:$C$1018, 0)), "")</f>
        <v>jennifer.moore</v>
      </c>
      <c r="C887" s="28"/>
      <c r="D887" s="9" t="s">
        <v>940</v>
      </c>
      <c r="E887" s="47"/>
      <c r="F887" s="41" t="s">
        <v>1351</v>
      </c>
      <c r="G887" s="41"/>
      <c r="H887" s="38"/>
      <c r="I887" s="38">
        <v>3.9</v>
      </c>
      <c r="J887" s="38">
        <v>6.54</v>
      </c>
      <c r="K887" s="38">
        <v>0.14449999999999999</v>
      </c>
      <c r="L887" s="41"/>
    </row>
    <row r="888" spans="1:12" x14ac:dyDescent="0.25">
      <c r="A888" s="4"/>
      <c r="B888" s="28" t="str">
        <f>IF(ISNUMBER(MATCH(D888, Mgt_Unit!$C$5:$C$1018, 0)), INDEX(Mgt_Unit!$B$5:$B$1018, MATCH(D888, Mgt_Unit!$C$5:$C$1018, 0)), "")</f>
        <v>jennifer.moore</v>
      </c>
      <c r="C888" s="28"/>
      <c r="D888" s="9" t="s">
        <v>940</v>
      </c>
      <c r="E888" s="47"/>
      <c r="F888" s="41" t="s">
        <v>1351</v>
      </c>
      <c r="G888" s="41"/>
      <c r="H888" s="38"/>
      <c r="I888" s="38">
        <v>4.5</v>
      </c>
      <c r="J888" s="38">
        <v>6.07</v>
      </c>
      <c r="K888" s="38">
        <v>0.1123</v>
      </c>
      <c r="L888" s="41"/>
    </row>
    <row r="889" spans="1:12" x14ac:dyDescent="0.25">
      <c r="A889" s="4"/>
      <c r="B889" s="28" t="str">
        <f>IF(ISNUMBER(MATCH(D889, Mgt_Unit!$C$5:$C$1018, 0)), INDEX(Mgt_Unit!$B$5:$B$1018, MATCH(D889, Mgt_Unit!$C$5:$C$1018, 0)), "")</f>
        <v>jennifer.moore</v>
      </c>
      <c r="C889" s="28"/>
      <c r="D889" s="9" t="s">
        <v>940</v>
      </c>
      <c r="E889" s="47"/>
      <c r="F889" s="41" t="s">
        <v>1351</v>
      </c>
      <c r="G889" s="41"/>
      <c r="H889" s="38"/>
      <c r="I889" s="38">
        <v>4.4000000000000004</v>
      </c>
      <c r="J889" s="38">
        <v>6.79</v>
      </c>
      <c r="K889" s="38">
        <v>0.126</v>
      </c>
      <c r="L889" s="41"/>
    </row>
    <row r="890" spans="1:12" x14ac:dyDescent="0.25">
      <c r="A890" s="4"/>
      <c r="B890" s="28" t="str">
        <f>IF(ISNUMBER(MATCH(D890, Mgt_Unit!$C$5:$C$1018, 0)), INDEX(Mgt_Unit!$B$5:$B$1018, MATCH(D890, Mgt_Unit!$C$5:$C$1018, 0)), "")</f>
        <v>jennifer.moore</v>
      </c>
      <c r="C890" s="28"/>
      <c r="D890" s="9" t="s">
        <v>940</v>
      </c>
      <c r="E890" s="47"/>
      <c r="F890" s="41" t="s">
        <v>1351</v>
      </c>
      <c r="G890" s="41"/>
      <c r="H890" s="38"/>
      <c r="I890" s="38">
        <v>5.4</v>
      </c>
      <c r="J890" s="38">
        <v>6.48</v>
      </c>
      <c r="K890" s="38">
        <v>0.1128</v>
      </c>
      <c r="L890" s="41"/>
    </row>
    <row r="891" spans="1:12" x14ac:dyDescent="0.25">
      <c r="A891" s="4"/>
      <c r="B891" s="28" t="str">
        <f>IF(ISNUMBER(MATCH(D891, Mgt_Unit!$C$5:$C$1018, 0)), INDEX(Mgt_Unit!$B$5:$B$1018, MATCH(D891, Mgt_Unit!$C$5:$C$1018, 0)), "")</f>
        <v>jennifer.moore</v>
      </c>
      <c r="C891" s="28"/>
      <c r="D891" s="9" t="s">
        <v>939</v>
      </c>
      <c r="E891" s="47"/>
      <c r="F891" s="41" t="s">
        <v>1351</v>
      </c>
      <c r="G891" s="41"/>
      <c r="H891" s="38"/>
      <c r="I891" s="38">
        <v>4.0999999999999996</v>
      </c>
      <c r="J891" s="38">
        <v>6.41</v>
      </c>
      <c r="K891" s="38">
        <v>0.14030000000000001</v>
      </c>
      <c r="L891" s="41"/>
    </row>
    <row r="892" spans="1:12" x14ac:dyDescent="0.25">
      <c r="A892" s="4"/>
      <c r="B892" s="28" t="str">
        <f>IF(ISNUMBER(MATCH(D892, Mgt_Unit!$C$5:$C$1018, 0)), INDEX(Mgt_Unit!$B$5:$B$1018, MATCH(D892, Mgt_Unit!$C$5:$C$1018, 0)), "")</f>
        <v>jennifer.moore</v>
      </c>
      <c r="C892" s="28"/>
      <c r="D892" s="9" t="s">
        <v>939</v>
      </c>
      <c r="E892" s="47"/>
      <c r="F892" s="41" t="s">
        <v>1351</v>
      </c>
      <c r="G892" s="41"/>
      <c r="H892" s="38"/>
      <c r="I892" s="38">
        <v>4.2</v>
      </c>
      <c r="J892" s="38">
        <v>6.05</v>
      </c>
      <c r="K892" s="38">
        <v>0.1293</v>
      </c>
      <c r="L892" s="41"/>
    </row>
    <row r="893" spans="1:12" x14ac:dyDescent="0.25">
      <c r="A893" s="4"/>
      <c r="B893" s="28" t="str">
        <f>IF(ISNUMBER(MATCH(D893, Mgt_Unit!$C$5:$C$1018, 0)), INDEX(Mgt_Unit!$B$5:$B$1018, MATCH(D893, Mgt_Unit!$C$5:$C$1018, 0)), "")</f>
        <v>jennifer.moore</v>
      </c>
      <c r="C893" s="28"/>
      <c r="D893" s="9" t="s">
        <v>939</v>
      </c>
      <c r="E893" s="47"/>
      <c r="F893" s="41" t="s">
        <v>1351</v>
      </c>
      <c r="G893" s="41"/>
      <c r="H893" s="38"/>
      <c r="I893" s="38">
        <v>4.2</v>
      </c>
      <c r="J893" s="38">
        <v>5.65</v>
      </c>
      <c r="K893" s="38">
        <v>0.1153</v>
      </c>
      <c r="L893" s="41"/>
    </row>
    <row r="894" spans="1:12" x14ac:dyDescent="0.25">
      <c r="A894" s="4"/>
      <c r="B894" s="28" t="str">
        <f>IF(ISNUMBER(MATCH(D894, Mgt_Unit!$C$5:$C$1018, 0)), INDEX(Mgt_Unit!$B$5:$B$1018, MATCH(D894, Mgt_Unit!$C$5:$C$1018, 0)), "")</f>
        <v>jennifer.moore</v>
      </c>
      <c r="C894" s="28"/>
      <c r="D894" s="9" t="s">
        <v>939</v>
      </c>
      <c r="E894" s="47"/>
      <c r="F894" s="41" t="s">
        <v>1351</v>
      </c>
      <c r="G894" s="41"/>
      <c r="H894" s="38"/>
      <c r="I894" s="38">
        <v>4.3</v>
      </c>
      <c r="J894" s="38">
        <v>6.07</v>
      </c>
      <c r="K894" s="38">
        <v>0.13930000000000001</v>
      </c>
      <c r="L894" s="41"/>
    </row>
    <row r="895" spans="1:12" x14ac:dyDescent="0.25">
      <c r="A895" s="4"/>
      <c r="B895" s="28" t="str">
        <f>IF(ISNUMBER(MATCH(D895, Mgt_Unit!$C$5:$C$1018, 0)), INDEX(Mgt_Unit!$B$5:$B$1018, MATCH(D895, Mgt_Unit!$C$5:$C$1018, 0)), "")</f>
        <v>jennifer.moore</v>
      </c>
      <c r="C895" s="28"/>
      <c r="D895" s="9" t="s">
        <v>938</v>
      </c>
      <c r="E895" s="47"/>
      <c r="F895" s="41" t="s">
        <v>1351</v>
      </c>
      <c r="G895" s="41"/>
      <c r="H895" s="38"/>
      <c r="I895" s="38">
        <v>3.6</v>
      </c>
      <c r="J895" s="38">
        <v>6.05</v>
      </c>
      <c r="K895" s="38">
        <v>0.14330000000000001</v>
      </c>
      <c r="L895" s="41"/>
    </row>
    <row r="896" spans="1:12" x14ac:dyDescent="0.25">
      <c r="A896" s="4"/>
      <c r="B896" s="28" t="str">
        <f>IF(ISNUMBER(MATCH(D896, Mgt_Unit!$C$5:$C$1018, 0)), INDEX(Mgt_Unit!$B$5:$B$1018, MATCH(D896, Mgt_Unit!$C$5:$C$1018, 0)), "")</f>
        <v>jennifer.moore</v>
      </c>
      <c r="C896" s="28"/>
      <c r="D896" s="9" t="s">
        <v>938</v>
      </c>
      <c r="E896" s="47"/>
      <c r="F896" s="41" t="s">
        <v>1351</v>
      </c>
      <c r="G896" s="41"/>
      <c r="H896" s="38"/>
      <c r="I896" s="38">
        <v>3.8</v>
      </c>
      <c r="J896" s="38">
        <v>5.87</v>
      </c>
      <c r="K896" s="38">
        <v>0.12820000000000001</v>
      </c>
      <c r="L896" s="41"/>
    </row>
    <row r="897" spans="1:12" x14ac:dyDescent="0.25">
      <c r="A897" s="4"/>
      <c r="B897" s="28" t="str">
        <f>IF(ISNUMBER(MATCH(D897, Mgt_Unit!$C$5:$C$1018, 0)), INDEX(Mgt_Unit!$B$5:$B$1018, MATCH(D897, Mgt_Unit!$C$5:$C$1018, 0)), "")</f>
        <v>jennifer.moore</v>
      </c>
      <c r="C897" s="28"/>
      <c r="D897" s="9" t="s">
        <v>938</v>
      </c>
      <c r="E897" s="47"/>
      <c r="F897" s="41" t="s">
        <v>1351</v>
      </c>
      <c r="G897" s="41"/>
      <c r="H897" s="38"/>
      <c r="I897" s="38">
        <v>4.0999999999999996</v>
      </c>
      <c r="J897" s="38">
        <v>6.47</v>
      </c>
      <c r="K897" s="38">
        <v>0.16339999999999999</v>
      </c>
      <c r="L897" s="41"/>
    </row>
    <row r="898" spans="1:12" x14ac:dyDescent="0.25">
      <c r="A898" s="4"/>
      <c r="B898" s="28" t="str">
        <f>IF(ISNUMBER(MATCH(D898, Mgt_Unit!$C$5:$C$1018, 0)), INDEX(Mgt_Unit!$B$5:$B$1018, MATCH(D898, Mgt_Unit!$C$5:$C$1018, 0)), "")</f>
        <v>jennifer.moore</v>
      </c>
      <c r="C898" s="28"/>
      <c r="D898" s="9" t="s">
        <v>938</v>
      </c>
      <c r="E898" s="47"/>
      <c r="F898" s="41" t="s">
        <v>1351</v>
      </c>
      <c r="G898" s="41"/>
      <c r="H898" s="38"/>
      <c r="I898" s="38">
        <v>3.7</v>
      </c>
      <c r="J898" s="38">
        <v>5.7</v>
      </c>
      <c r="K898" s="38">
        <v>0.11260000000000001</v>
      </c>
      <c r="L898" s="41"/>
    </row>
    <row r="899" spans="1:12" x14ac:dyDescent="0.25">
      <c r="A899" s="4"/>
      <c r="B899" s="28" t="str">
        <f>IF(ISNUMBER(MATCH(D899, Mgt_Unit!$C$5:$C$1018, 0)), INDEX(Mgt_Unit!$B$5:$B$1018, MATCH(D899, Mgt_Unit!$C$5:$C$1018, 0)), "")</f>
        <v>jennifer.moore</v>
      </c>
      <c r="C899" s="28"/>
      <c r="D899" s="9" t="s">
        <v>941</v>
      </c>
      <c r="E899" s="47"/>
      <c r="F899" s="41" t="s">
        <v>1351</v>
      </c>
      <c r="G899" s="41"/>
      <c r="H899" s="38"/>
      <c r="I899" s="38">
        <v>1.7</v>
      </c>
      <c r="J899" s="38">
        <v>6.47</v>
      </c>
      <c r="K899" s="38">
        <v>0.1343</v>
      </c>
      <c r="L899" s="41"/>
    </row>
    <row r="900" spans="1:12" x14ac:dyDescent="0.25">
      <c r="A900" s="4"/>
      <c r="B900" s="28" t="str">
        <f>IF(ISNUMBER(MATCH(D900, Mgt_Unit!$C$5:$C$1018, 0)), INDEX(Mgt_Unit!$B$5:$B$1018, MATCH(D900, Mgt_Unit!$C$5:$C$1018, 0)), "")</f>
        <v>jennifer.moore</v>
      </c>
      <c r="C900" s="28"/>
      <c r="D900" s="9" t="s">
        <v>942</v>
      </c>
      <c r="E900" s="47"/>
      <c r="F900" s="41" t="s">
        <v>1351</v>
      </c>
      <c r="G900" s="41"/>
      <c r="H900" s="38"/>
      <c r="I900" s="38">
        <v>2.2000000000000002</v>
      </c>
      <c r="J900" s="38">
        <v>6.15</v>
      </c>
      <c r="K900" s="38">
        <v>0.10150000000000001</v>
      </c>
      <c r="L900" s="41"/>
    </row>
    <row r="901" spans="1:12" x14ac:dyDescent="0.25">
      <c r="A901" s="4"/>
      <c r="B901" s="28" t="str">
        <f>IF(ISNUMBER(MATCH(D901, Mgt_Unit!$C$5:$C$1018, 0)), INDEX(Mgt_Unit!$B$5:$B$1018, MATCH(D901, Mgt_Unit!$C$5:$C$1018, 0)), "")</f>
        <v>jennifer.moore</v>
      </c>
      <c r="C901" s="28"/>
      <c r="D901" s="9" t="s">
        <v>941</v>
      </c>
      <c r="E901" s="47"/>
      <c r="F901" s="41" t="s">
        <v>1351</v>
      </c>
      <c r="G901" s="41"/>
      <c r="H901" s="38"/>
      <c r="I901" s="38">
        <v>2.2999999999999998</v>
      </c>
      <c r="J901" s="38">
        <v>5.91</v>
      </c>
      <c r="K901" s="38">
        <v>8.9800000000000005E-2</v>
      </c>
      <c r="L901" s="41"/>
    </row>
    <row r="902" spans="1:12" x14ac:dyDescent="0.25">
      <c r="A902" s="4"/>
      <c r="B902" s="28" t="str">
        <f>IF(ISNUMBER(MATCH(D902, Mgt_Unit!$C$5:$C$1018, 0)), INDEX(Mgt_Unit!$B$5:$B$1018, MATCH(D902, Mgt_Unit!$C$5:$C$1018, 0)), "")</f>
        <v>jennifer.moore</v>
      </c>
      <c r="C902" s="28"/>
      <c r="D902" s="9" t="s">
        <v>942</v>
      </c>
      <c r="E902" s="47"/>
      <c r="F902" s="41" t="s">
        <v>1351</v>
      </c>
      <c r="G902" s="41"/>
      <c r="H902" s="38"/>
      <c r="I902" s="38">
        <v>2.8</v>
      </c>
      <c r="J902" s="38">
        <v>6.71</v>
      </c>
      <c r="K902" s="38">
        <v>0.1193</v>
      </c>
      <c r="L902" s="41"/>
    </row>
    <row r="903" spans="1:12" x14ac:dyDescent="0.25">
      <c r="A903" s="4"/>
      <c r="B903" s="28" t="str">
        <f>IF(ISNUMBER(MATCH(D903, Mgt_Unit!$C$5:$C$1018, 0)), INDEX(Mgt_Unit!$B$5:$B$1018, MATCH(D903, Mgt_Unit!$C$5:$C$1018, 0)), "")</f>
        <v>jennifer.moore</v>
      </c>
      <c r="C903" s="28"/>
      <c r="D903" s="9" t="s">
        <v>941</v>
      </c>
      <c r="E903" s="47"/>
      <c r="F903" s="41" t="s">
        <v>1351</v>
      </c>
      <c r="G903" s="41"/>
      <c r="H903" s="38"/>
      <c r="I903" s="38">
        <v>2.7</v>
      </c>
      <c r="J903" s="38">
        <v>6.07</v>
      </c>
      <c r="K903" s="38">
        <v>0.1082</v>
      </c>
      <c r="L903" s="41"/>
    </row>
    <row r="904" spans="1:12" x14ac:dyDescent="0.25">
      <c r="A904" s="4"/>
      <c r="B904" s="28" t="str">
        <f>IF(ISNUMBER(MATCH(D904, Mgt_Unit!$C$5:$C$1018, 0)), INDEX(Mgt_Unit!$B$5:$B$1018, MATCH(D904, Mgt_Unit!$C$5:$C$1018, 0)), "")</f>
        <v>jennifer.moore</v>
      </c>
      <c r="C904" s="28"/>
      <c r="D904" s="9" t="s">
        <v>942</v>
      </c>
      <c r="E904" s="47"/>
      <c r="F904" s="41" t="s">
        <v>1351</v>
      </c>
      <c r="G904" s="41"/>
      <c r="H904" s="38"/>
      <c r="I904" s="38">
        <v>2.4</v>
      </c>
      <c r="J904" s="38">
        <v>6.12</v>
      </c>
      <c r="K904" s="38">
        <v>8.5900000000000004E-2</v>
      </c>
      <c r="L904" s="41"/>
    </row>
    <row r="905" spans="1:12" x14ac:dyDescent="0.25">
      <c r="A905" s="4"/>
      <c r="B905" s="28" t="str">
        <f>IF(ISNUMBER(MATCH(D905, Mgt_Unit!$C$5:$C$1018, 0)), INDEX(Mgt_Unit!$B$5:$B$1018, MATCH(D905, Mgt_Unit!$C$5:$C$1018, 0)), "")</f>
        <v>jennifer.moore</v>
      </c>
      <c r="C905" s="28"/>
      <c r="D905" s="9" t="s">
        <v>941</v>
      </c>
      <c r="E905" s="47"/>
      <c r="F905" s="41" t="s">
        <v>1351</v>
      </c>
      <c r="G905" s="41"/>
      <c r="H905" s="38"/>
      <c r="I905" s="38">
        <v>2.9</v>
      </c>
      <c r="J905" s="38">
        <v>6.31</v>
      </c>
      <c r="K905" s="38">
        <v>0.1409</v>
      </c>
      <c r="L905" s="41"/>
    </row>
    <row r="906" spans="1:12" x14ac:dyDescent="0.25">
      <c r="A906" s="4"/>
      <c r="B906" s="28" t="str">
        <f>IF(ISNUMBER(MATCH(D906, Mgt_Unit!$C$5:$C$1018, 0)), INDEX(Mgt_Unit!$B$5:$B$1018, MATCH(D906, Mgt_Unit!$C$5:$C$1018, 0)), "")</f>
        <v>jennifer.moore</v>
      </c>
      <c r="C906" s="28"/>
      <c r="D906" s="9" t="s">
        <v>942</v>
      </c>
      <c r="E906" s="47"/>
      <c r="F906" s="41" t="s">
        <v>1351</v>
      </c>
      <c r="G906" s="41"/>
      <c r="H906" s="38"/>
      <c r="I906" s="38">
        <v>2.6</v>
      </c>
      <c r="J906" s="38">
        <v>6.34</v>
      </c>
      <c r="K906" s="38">
        <v>0.13189999999999999</v>
      </c>
      <c r="L906" s="41"/>
    </row>
    <row r="907" spans="1:12" x14ac:dyDescent="0.25">
      <c r="A907" s="4"/>
      <c r="B907" s="28" t="str">
        <f>IF(ISNUMBER(MATCH(D907, Mgt_Unit!$C$5:$C$1018, 0)), INDEX(Mgt_Unit!$B$5:$B$1018, MATCH(D907, Mgt_Unit!$C$5:$C$1018, 0)), "")</f>
        <v>jennifer.moore</v>
      </c>
      <c r="C907" s="28"/>
      <c r="D907" s="9" t="s">
        <v>943</v>
      </c>
      <c r="E907" s="47"/>
      <c r="F907" s="41" t="s">
        <v>1351</v>
      </c>
      <c r="G907" s="41"/>
      <c r="H907" s="38"/>
      <c r="I907" s="38">
        <v>2.4</v>
      </c>
      <c r="J907" s="38">
        <v>7.22</v>
      </c>
      <c r="K907" s="38">
        <v>0.1958</v>
      </c>
      <c r="L907" s="41"/>
    </row>
    <row r="908" spans="1:12" x14ac:dyDescent="0.25">
      <c r="A908" s="4"/>
      <c r="B908" s="28" t="str">
        <f>IF(ISNUMBER(MATCH(D908, Mgt_Unit!$C$5:$C$1018, 0)), INDEX(Mgt_Unit!$B$5:$B$1018, MATCH(D908, Mgt_Unit!$C$5:$C$1018, 0)), "")</f>
        <v>jennifer.moore</v>
      </c>
      <c r="C908" s="28"/>
      <c r="D908" s="9" t="s">
        <v>944</v>
      </c>
      <c r="E908" s="47"/>
      <c r="F908" s="41" t="s">
        <v>1351</v>
      </c>
      <c r="G908" s="41"/>
      <c r="H908" s="38"/>
      <c r="I908" s="38">
        <v>2.4</v>
      </c>
      <c r="J908" s="38">
        <v>6.87</v>
      </c>
      <c r="K908" s="38">
        <v>0.17</v>
      </c>
      <c r="L908" s="41"/>
    </row>
    <row r="909" spans="1:12" x14ac:dyDescent="0.25">
      <c r="A909" s="4"/>
      <c r="B909" s="28" t="str">
        <f>IF(ISNUMBER(MATCH(D909, Mgt_Unit!$C$5:$C$1018, 0)), INDEX(Mgt_Unit!$B$5:$B$1018, MATCH(D909, Mgt_Unit!$C$5:$C$1018, 0)), "")</f>
        <v>jennifer.moore</v>
      </c>
      <c r="C909" s="28"/>
      <c r="D909" s="9" t="s">
        <v>949</v>
      </c>
      <c r="E909" s="47"/>
      <c r="F909" s="41" t="s">
        <v>1351</v>
      </c>
      <c r="G909" s="41"/>
      <c r="H909" s="38"/>
      <c r="I909" s="38">
        <v>2.2999999999999998</v>
      </c>
      <c r="J909" s="38">
        <v>6.13</v>
      </c>
      <c r="K909" s="38">
        <v>8.5699999999999998E-2</v>
      </c>
      <c r="L909" s="41"/>
    </row>
    <row r="910" spans="1:12" x14ac:dyDescent="0.25">
      <c r="A910" s="4"/>
      <c r="B910" s="28" t="str">
        <f>IF(ISNUMBER(MATCH(D910, Mgt_Unit!$C$5:$C$1018, 0)), INDEX(Mgt_Unit!$B$5:$B$1018, MATCH(D910, Mgt_Unit!$C$5:$C$1018, 0)), "")</f>
        <v>jennifer.moore</v>
      </c>
      <c r="C910" s="28"/>
      <c r="D910" s="9" t="s">
        <v>950</v>
      </c>
      <c r="E910" s="47"/>
      <c r="F910" s="41" t="s">
        <v>1351</v>
      </c>
      <c r="G910" s="41"/>
      <c r="H910" s="38"/>
      <c r="I910" s="38">
        <v>2.5</v>
      </c>
      <c r="J910" s="38">
        <v>7.34</v>
      </c>
      <c r="K910" s="38">
        <v>0.1832</v>
      </c>
      <c r="L910" s="41"/>
    </row>
    <row r="911" spans="1:12" x14ac:dyDescent="0.25">
      <c r="A911" s="4"/>
      <c r="B911" s="28" t="str">
        <f>IF(ISNUMBER(MATCH(D911, Mgt_Unit!$C$5:$C$1018, 0)), INDEX(Mgt_Unit!$B$5:$B$1018, MATCH(D911, Mgt_Unit!$C$5:$C$1018, 0)), "")</f>
        <v>jennifer.moore</v>
      </c>
      <c r="C911" s="28"/>
      <c r="D911" s="9" t="s">
        <v>946</v>
      </c>
      <c r="E911" s="47"/>
      <c r="F911" s="41" t="s">
        <v>1351</v>
      </c>
      <c r="G911" s="41"/>
      <c r="H911" s="38"/>
      <c r="I911" s="38">
        <v>2.4</v>
      </c>
      <c r="J911" s="38">
        <v>6.01</v>
      </c>
      <c r="K911" s="38">
        <v>0.12809999999999999</v>
      </c>
      <c r="L911" s="41"/>
    </row>
    <row r="912" spans="1:12" x14ac:dyDescent="0.25">
      <c r="A912" s="4"/>
      <c r="B912" s="28" t="str">
        <f>IF(ISNUMBER(MATCH(D912, Mgt_Unit!$C$5:$C$1018, 0)), INDEX(Mgt_Unit!$B$5:$B$1018, MATCH(D912, Mgt_Unit!$C$5:$C$1018, 0)), "")</f>
        <v>jennifer.moore</v>
      </c>
      <c r="C912" s="28"/>
      <c r="D912" s="9" t="s">
        <v>945</v>
      </c>
      <c r="E912" s="47"/>
      <c r="F912" s="41" t="s">
        <v>1351</v>
      </c>
      <c r="G912" s="41"/>
      <c r="H912" s="38"/>
      <c r="I912" s="38">
        <v>2.4</v>
      </c>
      <c r="J912" s="38">
        <v>6.94</v>
      </c>
      <c r="K912" s="38">
        <v>0.18529999999999999</v>
      </c>
      <c r="L912" s="41"/>
    </row>
    <row r="913" spans="1:12" x14ac:dyDescent="0.25">
      <c r="A913" s="4"/>
      <c r="B913" s="28" t="str">
        <f>IF(ISNUMBER(MATCH(D913, Mgt_Unit!$C$5:$C$1018, 0)), INDEX(Mgt_Unit!$B$5:$B$1018, MATCH(D913, Mgt_Unit!$C$5:$C$1018, 0)), "")</f>
        <v>jennifer.moore</v>
      </c>
      <c r="C913" s="28"/>
      <c r="D913" s="9" t="s">
        <v>947</v>
      </c>
      <c r="E913" s="47"/>
      <c r="F913" s="41" t="s">
        <v>1351</v>
      </c>
      <c r="G913" s="41"/>
      <c r="H913" s="38"/>
      <c r="I913" s="38">
        <v>2.5</v>
      </c>
      <c r="J913" s="38">
        <v>7.33</v>
      </c>
      <c r="K913" s="38">
        <v>0.20100000000000001</v>
      </c>
      <c r="L913" s="41"/>
    </row>
    <row r="914" spans="1:12" x14ac:dyDescent="0.25">
      <c r="A914" s="4"/>
      <c r="B914" s="28" t="str">
        <f>IF(ISNUMBER(MATCH(D914, Mgt_Unit!$C$5:$C$1018, 0)), INDEX(Mgt_Unit!$B$5:$B$1018, MATCH(D914, Mgt_Unit!$C$5:$C$1018, 0)), "")</f>
        <v>jennifer.moore</v>
      </c>
      <c r="C914" s="28"/>
      <c r="D914" s="9" t="s">
        <v>948</v>
      </c>
      <c r="E914" s="47"/>
      <c r="F914" s="41" t="s">
        <v>1351</v>
      </c>
      <c r="G914" s="41"/>
      <c r="H914" s="38"/>
      <c r="I914" s="38">
        <v>2.4</v>
      </c>
      <c r="J914" s="38">
        <v>7.4</v>
      </c>
      <c r="K914" s="38">
        <v>0.21099999999999999</v>
      </c>
      <c r="L914" s="41"/>
    </row>
    <row r="915" spans="1:12" x14ac:dyDescent="0.25">
      <c r="A915" s="4"/>
      <c r="B915" s="28" t="str">
        <f>IF(ISNUMBER(MATCH(D915, Mgt_Unit!$C$5:$C$1018, 0)), INDEX(Mgt_Unit!$B$5:$B$1018, MATCH(D915, Mgt_Unit!$C$5:$C$1018, 0)), "")</f>
        <v>jennifer.moore</v>
      </c>
      <c r="C915" s="28"/>
      <c r="D915" s="9" t="s">
        <v>949</v>
      </c>
      <c r="E915" s="47"/>
      <c r="F915" s="41" t="s">
        <v>1351</v>
      </c>
      <c r="G915" s="41"/>
      <c r="H915" s="38"/>
      <c r="I915" s="38">
        <v>2.6</v>
      </c>
      <c r="J915" s="38">
        <v>6.06</v>
      </c>
      <c r="K915" s="38">
        <v>9.0499999999999997E-2</v>
      </c>
      <c r="L915" s="41"/>
    </row>
    <row r="916" spans="1:12" x14ac:dyDescent="0.25">
      <c r="A916" s="4"/>
      <c r="B916" s="28" t="str">
        <f>IF(ISNUMBER(MATCH(D916, Mgt_Unit!$C$5:$C$1018, 0)), INDEX(Mgt_Unit!$B$5:$B$1018, MATCH(D916, Mgt_Unit!$C$5:$C$1018, 0)), "")</f>
        <v>jennifer.moore</v>
      </c>
      <c r="C916" s="28"/>
      <c r="D916" s="9" t="s">
        <v>950</v>
      </c>
      <c r="E916" s="47"/>
      <c r="F916" s="41" t="s">
        <v>1351</v>
      </c>
      <c r="G916" s="41"/>
      <c r="H916" s="38"/>
      <c r="I916" s="38">
        <v>2.7</v>
      </c>
      <c r="J916" s="38">
        <v>5.75</v>
      </c>
      <c r="K916" s="38">
        <v>9.2399999999999996E-2</v>
      </c>
      <c r="L916" s="41"/>
    </row>
    <row r="917" spans="1:12" x14ac:dyDescent="0.25">
      <c r="A917" s="4"/>
      <c r="B917" s="28" t="str">
        <f>IF(ISNUMBER(MATCH(D917, Mgt_Unit!$C$5:$C$1018, 0)), INDEX(Mgt_Unit!$B$5:$B$1018, MATCH(D917, Mgt_Unit!$C$5:$C$1018, 0)), "")</f>
        <v>jennifer.moore</v>
      </c>
      <c r="C917" s="28"/>
      <c r="D917" s="9" t="s">
        <v>946</v>
      </c>
      <c r="E917" s="47"/>
      <c r="F917" s="41" t="s">
        <v>1351</v>
      </c>
      <c r="G917" s="41"/>
      <c r="H917" s="38"/>
      <c r="I917" s="38">
        <v>2.4</v>
      </c>
      <c r="J917" s="38">
        <v>5.69</v>
      </c>
      <c r="K917" s="38">
        <v>0.1174</v>
      </c>
      <c r="L917" s="41"/>
    </row>
    <row r="918" spans="1:12" x14ac:dyDescent="0.25">
      <c r="A918" s="4"/>
      <c r="B918" s="28" t="str">
        <f>IF(ISNUMBER(MATCH(D918, Mgt_Unit!$C$5:$C$1018, 0)), INDEX(Mgt_Unit!$B$5:$B$1018, MATCH(D918, Mgt_Unit!$C$5:$C$1018, 0)), "")</f>
        <v>jennifer.moore</v>
      </c>
      <c r="C918" s="28"/>
      <c r="D918" s="9" t="s">
        <v>945</v>
      </c>
      <c r="E918" s="47"/>
      <c r="F918" s="41" t="s">
        <v>1351</v>
      </c>
      <c r="G918" s="41"/>
      <c r="H918" s="38"/>
      <c r="I918" s="38">
        <v>2.4</v>
      </c>
      <c r="J918" s="38">
        <v>7.29</v>
      </c>
      <c r="K918" s="38">
        <v>0.215</v>
      </c>
      <c r="L918" s="41"/>
    </row>
    <row r="919" spans="1:12" x14ac:dyDescent="0.25">
      <c r="A919" s="4"/>
      <c r="B919" s="28" t="str">
        <f>IF(ISNUMBER(MATCH(D919, Mgt_Unit!$C$5:$C$1018, 0)), INDEX(Mgt_Unit!$B$5:$B$1018, MATCH(D919, Mgt_Unit!$C$5:$C$1018, 0)), "")</f>
        <v>jennifer.moore</v>
      </c>
      <c r="C919" s="28"/>
      <c r="D919" s="9" t="s">
        <v>944</v>
      </c>
      <c r="E919" s="47"/>
      <c r="F919" s="41" t="s">
        <v>1351</v>
      </c>
      <c r="G919" s="41"/>
      <c r="H919" s="38"/>
      <c r="I919" s="38">
        <v>2.8</v>
      </c>
      <c r="J919" s="38">
        <v>5.53</v>
      </c>
      <c r="K919" s="38">
        <v>0.1176</v>
      </c>
      <c r="L919" s="41"/>
    </row>
    <row r="920" spans="1:12" x14ac:dyDescent="0.25">
      <c r="A920" s="4"/>
      <c r="B920" s="28" t="str">
        <f>IF(ISNUMBER(MATCH(D920, Mgt_Unit!$C$5:$C$1018, 0)), INDEX(Mgt_Unit!$B$5:$B$1018, MATCH(D920, Mgt_Unit!$C$5:$C$1018, 0)), "")</f>
        <v>jennifer.moore</v>
      </c>
      <c r="C920" s="28"/>
      <c r="D920" s="9" t="s">
        <v>943</v>
      </c>
      <c r="E920" s="47"/>
      <c r="F920" s="41" t="s">
        <v>1351</v>
      </c>
      <c r="G920" s="41"/>
      <c r="H920" s="38"/>
      <c r="I920" s="38">
        <v>2.7</v>
      </c>
      <c r="J920" s="38">
        <v>6.09</v>
      </c>
      <c r="K920" s="38">
        <v>0.1057</v>
      </c>
      <c r="L920" s="41"/>
    </row>
    <row r="921" spans="1:12" x14ac:dyDescent="0.25">
      <c r="A921" s="4"/>
      <c r="B921" s="28" t="str">
        <f>IF(ISNUMBER(MATCH(D921, Mgt_Unit!$C$5:$C$1018, 0)), INDEX(Mgt_Unit!$B$5:$B$1018, MATCH(D921, Mgt_Unit!$C$5:$C$1018, 0)), "")</f>
        <v>jennifer.moore</v>
      </c>
      <c r="C921" s="28"/>
      <c r="D921" s="9" t="s">
        <v>947</v>
      </c>
      <c r="E921" s="47"/>
      <c r="F921" s="41" t="s">
        <v>1351</v>
      </c>
      <c r="G921" s="41"/>
      <c r="H921" s="38"/>
      <c r="I921" s="38">
        <v>2.2999999999999998</v>
      </c>
      <c r="J921" s="38">
        <v>5.58</v>
      </c>
      <c r="K921" s="38">
        <v>0.1016</v>
      </c>
      <c r="L921" s="41"/>
    </row>
    <row r="922" spans="1:12" x14ac:dyDescent="0.25">
      <c r="A922" s="4"/>
      <c r="B922" s="28" t="str">
        <f>IF(ISNUMBER(MATCH(D922, Mgt_Unit!$C$5:$C$1018, 0)), INDEX(Mgt_Unit!$B$5:$B$1018, MATCH(D922, Mgt_Unit!$C$5:$C$1018, 0)), "")</f>
        <v>jennifer.moore</v>
      </c>
      <c r="C922" s="28"/>
      <c r="D922" s="9" t="s">
        <v>948</v>
      </c>
      <c r="E922" s="47"/>
      <c r="F922" s="41" t="s">
        <v>1351</v>
      </c>
      <c r="G922" s="41"/>
      <c r="H922" s="38"/>
      <c r="I922" s="38">
        <v>2.4</v>
      </c>
      <c r="J922" s="38">
        <v>5.63</v>
      </c>
      <c r="K922" s="38">
        <v>0.10539999999999999</v>
      </c>
      <c r="L922" s="41"/>
    </row>
    <row r="923" spans="1:12" x14ac:dyDescent="0.25">
      <c r="A923" s="4"/>
      <c r="B923" s="28" t="str">
        <f>IF(ISNUMBER(MATCH(D923, Mgt_Unit!$C$5:$C$1018, 0)), INDEX(Mgt_Unit!$B$5:$B$1018, MATCH(D923, Mgt_Unit!$C$5:$C$1018, 0)), "")</f>
        <v>jennifer.moore</v>
      </c>
      <c r="C923" s="28"/>
      <c r="D923" s="9" t="s">
        <v>949</v>
      </c>
      <c r="E923" s="47"/>
      <c r="F923" s="41" t="s">
        <v>1351</v>
      </c>
      <c r="G923" s="41"/>
      <c r="H923" s="38"/>
      <c r="I923" s="38">
        <v>2.6</v>
      </c>
      <c r="J923" s="38">
        <v>7.05</v>
      </c>
      <c r="K923" s="38">
        <v>0.16139999999999999</v>
      </c>
      <c r="L923" s="41"/>
    </row>
    <row r="924" spans="1:12" x14ac:dyDescent="0.25">
      <c r="A924" s="4"/>
      <c r="B924" s="28" t="str">
        <f>IF(ISNUMBER(MATCH(D924, Mgt_Unit!$C$5:$C$1018, 0)), INDEX(Mgt_Unit!$B$5:$B$1018, MATCH(D924, Mgt_Unit!$C$5:$C$1018, 0)), "")</f>
        <v>jennifer.moore</v>
      </c>
      <c r="C924" s="28"/>
      <c r="D924" s="9" t="s">
        <v>950</v>
      </c>
      <c r="E924" s="47"/>
      <c r="F924" s="41" t="s">
        <v>1351</v>
      </c>
      <c r="G924" s="41"/>
      <c r="H924" s="38"/>
      <c r="I924" s="38">
        <v>2.6</v>
      </c>
      <c r="J924" s="38">
        <v>6.43</v>
      </c>
      <c r="K924" s="38">
        <v>0.1376</v>
      </c>
      <c r="L924" s="41"/>
    </row>
    <row r="925" spans="1:12" x14ac:dyDescent="0.25">
      <c r="A925" s="4"/>
      <c r="B925" s="28" t="str">
        <f>IF(ISNUMBER(MATCH(D925, Mgt_Unit!$C$5:$C$1018, 0)), INDEX(Mgt_Unit!$B$5:$B$1018, MATCH(D925, Mgt_Unit!$C$5:$C$1018, 0)), "")</f>
        <v>jennifer.moore</v>
      </c>
      <c r="C925" s="28"/>
      <c r="D925" s="9" t="s">
        <v>946</v>
      </c>
      <c r="E925" s="47"/>
      <c r="F925" s="41" t="s">
        <v>1351</v>
      </c>
      <c r="G925" s="41"/>
      <c r="H925" s="38"/>
      <c r="I925" s="38">
        <v>2.2999999999999998</v>
      </c>
      <c r="J925" s="38">
        <v>7.22</v>
      </c>
      <c r="K925" s="38">
        <v>0.20300000000000001</v>
      </c>
      <c r="L925" s="41"/>
    </row>
    <row r="926" spans="1:12" x14ac:dyDescent="0.25">
      <c r="A926" s="4"/>
      <c r="B926" s="28" t="str">
        <f>IF(ISNUMBER(MATCH(D926, Mgt_Unit!$C$5:$C$1018, 0)), INDEX(Mgt_Unit!$B$5:$B$1018, MATCH(D926, Mgt_Unit!$C$5:$C$1018, 0)), "")</f>
        <v>jennifer.moore</v>
      </c>
      <c r="C926" s="28"/>
      <c r="D926" s="9" t="s">
        <v>945</v>
      </c>
      <c r="E926" s="47"/>
      <c r="F926" s="41" t="s">
        <v>1351</v>
      </c>
      <c r="G926" s="41"/>
      <c r="H926" s="38"/>
      <c r="I926" s="38">
        <v>2.2999999999999998</v>
      </c>
      <c r="J926" s="38">
        <v>6.77</v>
      </c>
      <c r="K926" s="38">
        <v>0.13700000000000001</v>
      </c>
      <c r="L926" s="41"/>
    </row>
    <row r="927" spans="1:12" x14ac:dyDescent="0.25">
      <c r="A927" s="4"/>
      <c r="B927" s="28" t="str">
        <f>IF(ISNUMBER(MATCH(D927, Mgt_Unit!$C$5:$C$1018, 0)), INDEX(Mgt_Unit!$B$5:$B$1018, MATCH(D927, Mgt_Unit!$C$5:$C$1018, 0)), "")</f>
        <v>jennifer.moore</v>
      </c>
      <c r="C927" s="28"/>
      <c r="D927" s="9" t="s">
        <v>944</v>
      </c>
      <c r="E927" s="47"/>
      <c r="F927" s="41" t="s">
        <v>1351</v>
      </c>
      <c r="G927" s="41"/>
      <c r="H927" s="38"/>
      <c r="I927" s="38">
        <v>2.5</v>
      </c>
      <c r="J927" s="38">
        <v>5.95</v>
      </c>
      <c r="K927" s="38">
        <v>0.10100000000000001</v>
      </c>
      <c r="L927" s="41"/>
    </row>
    <row r="928" spans="1:12" x14ac:dyDescent="0.25">
      <c r="A928" s="4"/>
      <c r="B928" s="28" t="str">
        <f>IF(ISNUMBER(MATCH(D928, Mgt_Unit!$C$5:$C$1018, 0)), INDEX(Mgt_Unit!$B$5:$B$1018, MATCH(D928, Mgt_Unit!$C$5:$C$1018, 0)), "")</f>
        <v>jennifer.moore</v>
      </c>
      <c r="C928" s="28"/>
      <c r="D928" s="9" t="s">
        <v>943</v>
      </c>
      <c r="E928" s="47"/>
      <c r="F928" s="41" t="s">
        <v>1351</v>
      </c>
      <c r="G928" s="41"/>
      <c r="H928" s="38"/>
      <c r="I928" s="38">
        <v>2.6</v>
      </c>
      <c r="J928" s="38">
        <v>5.87</v>
      </c>
      <c r="K928" s="38">
        <v>0.10199999999999999</v>
      </c>
      <c r="L928" s="41"/>
    </row>
    <row r="929" spans="1:12" x14ac:dyDescent="0.25">
      <c r="A929" s="4"/>
      <c r="B929" s="28" t="str">
        <f>IF(ISNUMBER(MATCH(D929, Mgt_Unit!$C$5:$C$1018, 0)), INDEX(Mgt_Unit!$B$5:$B$1018, MATCH(D929, Mgt_Unit!$C$5:$C$1018, 0)), "")</f>
        <v>jennifer.moore</v>
      </c>
      <c r="C929" s="28"/>
      <c r="D929" s="9" t="s">
        <v>947</v>
      </c>
      <c r="E929" s="47"/>
      <c r="F929" s="41" t="s">
        <v>1351</v>
      </c>
      <c r="G929" s="41"/>
      <c r="H929" s="38"/>
      <c r="I929" s="38">
        <v>2.2999999999999998</v>
      </c>
      <c r="J929" s="38">
        <v>5.77</v>
      </c>
      <c r="K929" s="38">
        <v>9.9299999999999999E-2</v>
      </c>
      <c r="L929" s="41"/>
    </row>
    <row r="930" spans="1:12" x14ac:dyDescent="0.25">
      <c r="A930" s="4"/>
      <c r="B930" s="28" t="str">
        <f>IF(ISNUMBER(MATCH(D930, Mgt_Unit!$C$5:$C$1018, 0)), INDEX(Mgt_Unit!$B$5:$B$1018, MATCH(D930, Mgt_Unit!$C$5:$C$1018, 0)), "")</f>
        <v>jennifer.moore</v>
      </c>
      <c r="C930" s="28"/>
      <c r="D930" s="9" t="s">
        <v>948</v>
      </c>
      <c r="E930" s="47"/>
      <c r="F930" s="41" t="s">
        <v>1351</v>
      </c>
      <c r="G930" s="41"/>
      <c r="H930" s="38"/>
      <c r="I930" s="38">
        <v>2.5</v>
      </c>
      <c r="J930" s="38">
        <v>5.6</v>
      </c>
      <c r="K930" s="38">
        <v>0.1154</v>
      </c>
      <c r="L930" s="41"/>
    </row>
    <row r="931" spans="1:12" x14ac:dyDescent="0.25">
      <c r="A931" s="4"/>
      <c r="B931" s="28" t="str">
        <f>IF(ISNUMBER(MATCH(D931, Mgt_Unit!$C$5:$C$1018, 0)), INDEX(Mgt_Unit!$B$5:$B$1018, MATCH(D931, Mgt_Unit!$C$5:$C$1018, 0)), "")</f>
        <v>jennifer.moore</v>
      </c>
      <c r="C931" s="28"/>
      <c r="D931" s="9" t="s">
        <v>952</v>
      </c>
      <c r="E931" s="47"/>
      <c r="F931" s="41" t="s">
        <v>1351</v>
      </c>
      <c r="G931" s="41"/>
      <c r="H931" s="38"/>
      <c r="I931" s="38">
        <v>2</v>
      </c>
      <c r="J931" s="38">
        <v>4.9400000000000004</v>
      </c>
      <c r="K931" s="38">
        <v>0.13500000000000001</v>
      </c>
      <c r="L931" s="41"/>
    </row>
    <row r="932" spans="1:12" x14ac:dyDescent="0.25">
      <c r="A932" s="4"/>
      <c r="B932" s="28" t="str">
        <f>IF(ISNUMBER(MATCH(D932, Mgt_Unit!$C$5:$C$1018, 0)), INDEX(Mgt_Unit!$B$5:$B$1018, MATCH(D932, Mgt_Unit!$C$5:$C$1018, 0)), "")</f>
        <v>jennifer.moore</v>
      </c>
      <c r="C932" s="28"/>
      <c r="D932" s="9" t="s">
        <v>951</v>
      </c>
      <c r="E932" s="47"/>
      <c r="F932" s="41" t="s">
        <v>1351</v>
      </c>
      <c r="G932" s="41"/>
      <c r="H932" s="38"/>
      <c r="I932" s="38">
        <v>1.6</v>
      </c>
      <c r="J932" s="38">
        <v>5.74</v>
      </c>
      <c r="K932" s="38">
        <v>0.157</v>
      </c>
      <c r="L932" s="41"/>
    </row>
    <row r="933" spans="1:12" x14ac:dyDescent="0.25">
      <c r="A933" s="4"/>
      <c r="B933" s="28" t="str">
        <f>IF(ISNUMBER(MATCH(D933, Mgt_Unit!$C$5:$C$1018, 0)), INDEX(Mgt_Unit!$B$5:$B$1018, MATCH(D933, Mgt_Unit!$C$5:$C$1018, 0)), "")</f>
        <v>jennifer.moore</v>
      </c>
      <c r="C933" s="28"/>
      <c r="D933" s="9" t="s">
        <v>953</v>
      </c>
      <c r="E933" s="47"/>
      <c r="F933" s="41" t="s">
        <v>1351</v>
      </c>
      <c r="G933" s="41"/>
      <c r="H933" s="38"/>
      <c r="I933" s="38">
        <v>1.7</v>
      </c>
      <c r="J933" s="38">
        <v>4.99</v>
      </c>
      <c r="K933" s="38">
        <v>9.35E-2</v>
      </c>
      <c r="L933" s="41"/>
    </row>
    <row r="934" spans="1:12" x14ac:dyDescent="0.25">
      <c r="A934" s="4"/>
      <c r="B934" s="28" t="str">
        <f>IF(ISNUMBER(MATCH(D934, Mgt_Unit!$C$5:$C$1018, 0)), INDEX(Mgt_Unit!$B$5:$B$1018, MATCH(D934, Mgt_Unit!$C$5:$C$1018, 0)), "")</f>
        <v>jennifer.moore</v>
      </c>
      <c r="C934" s="28"/>
      <c r="D934" s="9" t="s">
        <v>954</v>
      </c>
      <c r="E934" s="47"/>
      <c r="F934" s="41" t="s">
        <v>1351</v>
      </c>
      <c r="G934" s="41"/>
      <c r="H934" s="38"/>
      <c r="I934" s="38">
        <v>1.2</v>
      </c>
      <c r="J934" s="38">
        <v>5</v>
      </c>
      <c r="K934" s="38">
        <v>5.7000000000000002E-2</v>
      </c>
      <c r="L934" s="41"/>
    </row>
    <row r="935" spans="1:12" x14ac:dyDescent="0.25">
      <c r="A935" s="4"/>
      <c r="B935" s="28" t="str">
        <f>IF(ISNUMBER(MATCH(D935, Mgt_Unit!$C$5:$C$1018, 0)), INDEX(Mgt_Unit!$B$5:$B$1018, MATCH(D935, Mgt_Unit!$C$5:$C$1018, 0)), "")</f>
        <v>jennifer.moore</v>
      </c>
      <c r="C935" s="28"/>
      <c r="D935" s="9" t="s">
        <v>951</v>
      </c>
      <c r="E935" s="47"/>
      <c r="F935" s="41" t="s">
        <v>1351</v>
      </c>
      <c r="G935" s="41"/>
      <c r="H935" s="38"/>
      <c r="I935" s="38">
        <v>1.2</v>
      </c>
      <c r="J935" s="38">
        <v>4.6399999999999997</v>
      </c>
      <c r="K935" s="38">
        <v>9.1800000000000007E-2</v>
      </c>
      <c r="L935" s="41"/>
    </row>
    <row r="936" spans="1:12" x14ac:dyDescent="0.25">
      <c r="A936" s="4"/>
      <c r="B936" s="28" t="str">
        <f>IF(ISNUMBER(MATCH(D936, Mgt_Unit!$C$5:$C$1018, 0)), INDEX(Mgt_Unit!$B$5:$B$1018, MATCH(D936, Mgt_Unit!$C$5:$C$1018, 0)), "")</f>
        <v>jennifer.moore</v>
      </c>
      <c r="C936" s="28"/>
      <c r="D936" s="9" t="s">
        <v>954</v>
      </c>
      <c r="E936" s="47"/>
      <c r="F936" s="41" t="s">
        <v>1351</v>
      </c>
      <c r="G936" s="41"/>
      <c r="H936" s="38"/>
      <c r="I936" s="38">
        <v>1.2</v>
      </c>
      <c r="J936" s="38">
        <v>5</v>
      </c>
      <c r="K936" s="38">
        <v>8.4400000000000003E-2</v>
      </c>
      <c r="L936" s="41"/>
    </row>
    <row r="937" spans="1:12" x14ac:dyDescent="0.25">
      <c r="A937" s="4"/>
      <c r="B937" s="28" t="str">
        <f>IF(ISNUMBER(MATCH(D937, Mgt_Unit!$C$5:$C$1018, 0)), INDEX(Mgt_Unit!$B$5:$B$1018, MATCH(D937, Mgt_Unit!$C$5:$C$1018, 0)), "")</f>
        <v>jennifer.moore</v>
      </c>
      <c r="C937" s="28"/>
      <c r="D937" s="9" t="s">
        <v>952</v>
      </c>
      <c r="E937" s="47"/>
      <c r="F937" s="41" t="s">
        <v>1351</v>
      </c>
      <c r="G937" s="41"/>
      <c r="H937" s="38"/>
      <c r="I937" s="38">
        <v>2</v>
      </c>
      <c r="J937" s="38">
        <v>4.8</v>
      </c>
      <c r="K937" s="38">
        <v>0.1193</v>
      </c>
      <c r="L937" s="41"/>
    </row>
    <row r="938" spans="1:12" x14ac:dyDescent="0.25">
      <c r="A938" s="4"/>
      <c r="B938" s="28" t="str">
        <f>IF(ISNUMBER(MATCH(D938, Mgt_Unit!$C$5:$C$1018, 0)), INDEX(Mgt_Unit!$B$5:$B$1018, MATCH(D938, Mgt_Unit!$C$5:$C$1018, 0)), "")</f>
        <v>jennifer.moore</v>
      </c>
      <c r="C938" s="28"/>
      <c r="D938" s="9" t="s">
        <v>953</v>
      </c>
      <c r="E938" s="47"/>
      <c r="F938" s="41" t="s">
        <v>1351</v>
      </c>
      <c r="G938" s="41"/>
      <c r="H938" s="38"/>
      <c r="I938" s="38">
        <v>2.2999999999999998</v>
      </c>
      <c r="J938" s="38">
        <v>4.8099999999999996</v>
      </c>
      <c r="K938" s="38">
        <v>0.1148</v>
      </c>
      <c r="L938" s="41"/>
    </row>
    <row r="939" spans="1:12" x14ac:dyDescent="0.25">
      <c r="A939" s="4"/>
      <c r="B939" s="28" t="str">
        <f>IF(ISNUMBER(MATCH(D939, Mgt_Unit!$C$5:$C$1018, 0)), INDEX(Mgt_Unit!$B$5:$B$1018, MATCH(D939, Mgt_Unit!$C$5:$C$1018, 0)), "")</f>
        <v>jennifer.moore</v>
      </c>
      <c r="C939" s="28"/>
      <c r="D939" s="9" t="s">
        <v>953</v>
      </c>
      <c r="E939" s="47"/>
      <c r="F939" s="41" t="s">
        <v>1351</v>
      </c>
      <c r="G939" s="41"/>
      <c r="H939" s="38"/>
      <c r="I939" s="38">
        <v>1.9</v>
      </c>
      <c r="J939" s="38">
        <v>4.97</v>
      </c>
      <c r="K939" s="38">
        <v>0.10050000000000001</v>
      </c>
      <c r="L939" s="41"/>
    </row>
    <row r="940" spans="1:12" x14ac:dyDescent="0.25">
      <c r="A940" s="4"/>
      <c r="B940" s="28" t="str">
        <f>IF(ISNUMBER(MATCH(D940, Mgt_Unit!$C$5:$C$1018, 0)), INDEX(Mgt_Unit!$B$5:$B$1018, MATCH(D940, Mgt_Unit!$C$5:$C$1018, 0)), "")</f>
        <v>jennifer.moore</v>
      </c>
      <c r="C940" s="28"/>
      <c r="D940" s="9" t="s">
        <v>951</v>
      </c>
      <c r="E940" s="47"/>
      <c r="F940" s="41" t="s">
        <v>1351</v>
      </c>
      <c r="G940" s="41"/>
      <c r="H940" s="38"/>
      <c r="I940" s="38">
        <v>1.7</v>
      </c>
      <c r="J940" s="38">
        <v>5.21</v>
      </c>
      <c r="K940" s="38">
        <v>0.1178</v>
      </c>
      <c r="L940" s="41"/>
    </row>
    <row r="941" spans="1:12" x14ac:dyDescent="0.25">
      <c r="A941" s="4"/>
      <c r="B941" s="28" t="str">
        <f>IF(ISNUMBER(MATCH(D941, Mgt_Unit!$C$5:$C$1018, 0)), INDEX(Mgt_Unit!$B$5:$B$1018, MATCH(D941, Mgt_Unit!$C$5:$C$1018, 0)), "")</f>
        <v>jennifer.moore</v>
      </c>
      <c r="C941" s="28"/>
      <c r="D941" s="9" t="s">
        <v>952</v>
      </c>
      <c r="E941" s="47"/>
      <c r="F941" s="41" t="s">
        <v>1351</v>
      </c>
      <c r="G941" s="41"/>
      <c r="H941" s="38"/>
      <c r="I941" s="38">
        <v>1.9</v>
      </c>
      <c r="J941" s="38">
        <v>5.0599999999999996</v>
      </c>
      <c r="K941" s="38">
        <v>0.115</v>
      </c>
      <c r="L941" s="41"/>
    </row>
    <row r="942" spans="1:12" x14ac:dyDescent="0.25">
      <c r="A942" s="4"/>
      <c r="B942" s="28" t="str">
        <f>IF(ISNUMBER(MATCH(D942, Mgt_Unit!$C$5:$C$1018, 0)), INDEX(Mgt_Unit!$B$5:$B$1018, MATCH(D942, Mgt_Unit!$C$5:$C$1018, 0)), "")</f>
        <v>jennifer.moore</v>
      </c>
      <c r="C942" s="28"/>
      <c r="D942" s="9" t="s">
        <v>954</v>
      </c>
      <c r="E942" s="47"/>
      <c r="F942" s="41" t="s">
        <v>1351</v>
      </c>
      <c r="G942" s="41"/>
      <c r="H942" s="38"/>
      <c r="I942" s="38">
        <v>1.3</v>
      </c>
      <c r="J942" s="38">
        <v>5.8</v>
      </c>
      <c r="K942" s="38">
        <v>9.4E-2</v>
      </c>
      <c r="L942" s="41"/>
    </row>
    <row r="943" spans="1:12" x14ac:dyDescent="0.25">
      <c r="A943" s="4"/>
      <c r="B943" s="28" t="str">
        <f>IF(ISNUMBER(MATCH(D943, Mgt_Unit!$C$5:$C$1018, 0)), INDEX(Mgt_Unit!$B$5:$B$1018, MATCH(D943, Mgt_Unit!$C$5:$C$1018, 0)), "")</f>
        <v>jennifer.moore</v>
      </c>
      <c r="C943" s="28"/>
      <c r="D943" s="9" t="s">
        <v>954</v>
      </c>
      <c r="E943" s="47"/>
      <c r="F943" s="41" t="s">
        <v>1351</v>
      </c>
      <c r="G943" s="41"/>
      <c r="H943" s="38"/>
      <c r="I943" s="38">
        <v>1.5</v>
      </c>
      <c r="J943" s="38">
        <v>5.45</v>
      </c>
      <c r="K943" s="38">
        <v>8.5099999999999995E-2</v>
      </c>
      <c r="L943" s="41"/>
    </row>
    <row r="944" spans="1:12" x14ac:dyDescent="0.25">
      <c r="A944" s="4"/>
      <c r="B944" s="28" t="str">
        <f>IF(ISNUMBER(MATCH(D944, Mgt_Unit!$C$5:$C$1018, 0)), INDEX(Mgt_Unit!$B$5:$B$1018, MATCH(D944, Mgt_Unit!$C$5:$C$1018, 0)), "")</f>
        <v>jennifer.moore</v>
      </c>
      <c r="C944" s="28"/>
      <c r="D944" s="9" t="s">
        <v>952</v>
      </c>
      <c r="E944" s="47"/>
      <c r="F944" s="41" t="s">
        <v>1351</v>
      </c>
      <c r="G944" s="41"/>
      <c r="H944" s="38"/>
      <c r="I944" s="38">
        <v>1.9</v>
      </c>
      <c r="J944" s="38">
        <v>4.7699999999999996</v>
      </c>
      <c r="K944" s="38">
        <v>0.1389</v>
      </c>
      <c r="L944" s="41"/>
    </row>
    <row r="945" spans="1:12" x14ac:dyDescent="0.25">
      <c r="A945" s="4"/>
      <c r="B945" s="28" t="str">
        <f>IF(ISNUMBER(MATCH(D945, Mgt_Unit!$C$5:$C$1018, 0)), INDEX(Mgt_Unit!$B$5:$B$1018, MATCH(D945, Mgt_Unit!$C$5:$C$1018, 0)), "")</f>
        <v>jennifer.moore</v>
      </c>
      <c r="C945" s="28"/>
      <c r="D945" s="9" t="s">
        <v>953</v>
      </c>
      <c r="E945" s="47"/>
      <c r="F945" s="41" t="s">
        <v>1351</v>
      </c>
      <c r="G945" s="41"/>
      <c r="H945" s="38"/>
      <c r="I945" s="38">
        <v>2.1</v>
      </c>
      <c r="J945" s="38">
        <v>4.67</v>
      </c>
      <c r="K945" s="38">
        <v>9.8299999999999998E-2</v>
      </c>
      <c r="L945" s="41"/>
    </row>
    <row r="946" spans="1:12" x14ac:dyDescent="0.25">
      <c r="A946" s="4"/>
      <c r="B946" s="28" t="str">
        <f>IF(ISNUMBER(MATCH(D946, Mgt_Unit!$C$5:$C$1018, 0)), INDEX(Mgt_Unit!$B$5:$B$1018, MATCH(D946, Mgt_Unit!$C$5:$C$1018, 0)), "")</f>
        <v>jennifer.moore</v>
      </c>
      <c r="C946" s="28"/>
      <c r="D946" s="9" t="s">
        <v>951</v>
      </c>
      <c r="E946" s="47"/>
      <c r="F946" s="41" t="s">
        <v>1351</v>
      </c>
      <c r="G946" s="41"/>
      <c r="H946" s="38"/>
      <c r="I946" s="38">
        <v>2.4</v>
      </c>
      <c r="J946" s="38">
        <v>6.25</v>
      </c>
      <c r="K946" s="38">
        <v>0.2</v>
      </c>
      <c r="L946" s="41"/>
    </row>
    <row r="947" spans="1:12" x14ac:dyDescent="0.25">
      <c r="A947" s="4"/>
      <c r="B947" s="28" t="str">
        <f>IF(ISNUMBER(MATCH(D947, Mgt_Unit!$C$5:$C$1018, 0)), INDEX(Mgt_Unit!$B$5:$B$1018, MATCH(D947, Mgt_Unit!$C$5:$C$1018, 0)), "")</f>
        <v>jennifer.moore</v>
      </c>
      <c r="C947" s="28"/>
      <c r="D947" s="9" t="s">
        <v>956</v>
      </c>
      <c r="E947" s="47"/>
      <c r="F947" s="41" t="s">
        <v>1351</v>
      </c>
      <c r="G947" s="41"/>
      <c r="H947" s="38"/>
      <c r="I947" s="38">
        <v>2.2999999999999998</v>
      </c>
      <c r="J947" s="38">
        <v>5.21</v>
      </c>
      <c r="K947" s="38">
        <v>0.23799999999999999</v>
      </c>
      <c r="L947" s="41"/>
    </row>
    <row r="948" spans="1:12" x14ac:dyDescent="0.25">
      <c r="A948" s="4"/>
      <c r="B948" s="28" t="str">
        <f>IF(ISNUMBER(MATCH(D948, Mgt_Unit!$C$5:$C$1018, 0)), INDEX(Mgt_Unit!$B$5:$B$1018, MATCH(D948, Mgt_Unit!$C$5:$C$1018, 0)), "")</f>
        <v>jennifer.moore</v>
      </c>
      <c r="C948" s="28"/>
      <c r="D948" s="9" t="s">
        <v>955</v>
      </c>
      <c r="E948" s="47"/>
      <c r="F948" s="41" t="s">
        <v>1351</v>
      </c>
      <c r="G948" s="41"/>
      <c r="H948" s="38"/>
      <c r="I948" s="38">
        <v>2.2999999999999998</v>
      </c>
      <c r="J948" s="38">
        <v>6.2</v>
      </c>
      <c r="K948" s="38">
        <v>8.2900000000000001E-2</v>
      </c>
      <c r="L948" s="41"/>
    </row>
    <row r="949" spans="1:12" x14ac:dyDescent="0.25">
      <c r="A949" s="4"/>
      <c r="B949" s="28" t="str">
        <f>IF(ISNUMBER(MATCH(D949, Mgt_Unit!$C$5:$C$1018, 0)), INDEX(Mgt_Unit!$B$5:$B$1018, MATCH(D949, Mgt_Unit!$C$5:$C$1018, 0)), "")</f>
        <v>jennifer.moore</v>
      </c>
      <c r="C949" s="28"/>
      <c r="D949" s="9" t="s">
        <v>957</v>
      </c>
      <c r="E949" s="47"/>
      <c r="F949" s="41" t="s">
        <v>1351</v>
      </c>
      <c r="G949" s="41"/>
      <c r="H949" s="38"/>
      <c r="I949" s="38">
        <v>2.4</v>
      </c>
      <c r="J949" s="38">
        <v>6.05</v>
      </c>
      <c r="K949" s="38">
        <v>9.11E-2</v>
      </c>
      <c r="L949" s="41"/>
    </row>
    <row r="950" spans="1:12" x14ac:dyDescent="0.25">
      <c r="A950" s="4"/>
      <c r="B950" s="28" t="str">
        <f>IF(ISNUMBER(MATCH(D950, Mgt_Unit!$C$5:$C$1018, 0)), INDEX(Mgt_Unit!$B$5:$B$1018, MATCH(D950, Mgt_Unit!$C$5:$C$1018, 0)), "")</f>
        <v>jennifer.moore</v>
      </c>
      <c r="C950" s="28"/>
      <c r="D950" s="9" t="s">
        <v>957</v>
      </c>
      <c r="E950" s="47"/>
      <c r="F950" s="41" t="s">
        <v>1351</v>
      </c>
      <c r="G950" s="41"/>
      <c r="H950" s="38"/>
      <c r="I950" s="38">
        <v>2.8</v>
      </c>
      <c r="J950" s="38">
        <v>6.63</v>
      </c>
      <c r="K950" s="38">
        <v>0.1027</v>
      </c>
      <c r="L950" s="41"/>
    </row>
    <row r="951" spans="1:12" x14ac:dyDescent="0.25">
      <c r="A951" s="4"/>
      <c r="B951" s="28" t="str">
        <f>IF(ISNUMBER(MATCH(D951, Mgt_Unit!$C$5:$C$1018, 0)), INDEX(Mgt_Unit!$B$5:$B$1018, MATCH(D951, Mgt_Unit!$C$5:$C$1018, 0)), "")</f>
        <v>jennifer.moore</v>
      </c>
      <c r="C951" s="28"/>
      <c r="D951" s="9" t="s">
        <v>955</v>
      </c>
      <c r="E951" s="47"/>
      <c r="F951" s="41" t="s">
        <v>1351</v>
      </c>
      <c r="G951" s="41"/>
      <c r="H951" s="38"/>
      <c r="I951" s="38">
        <v>3.2</v>
      </c>
      <c r="J951" s="38">
        <v>5.86</v>
      </c>
      <c r="K951" s="38">
        <v>0.10639999999999999</v>
      </c>
      <c r="L951" s="41"/>
    </row>
    <row r="952" spans="1:12" x14ac:dyDescent="0.25">
      <c r="A952" s="4"/>
      <c r="B952" s="28" t="str">
        <f>IF(ISNUMBER(MATCH(D952, Mgt_Unit!$C$5:$C$1018, 0)), INDEX(Mgt_Unit!$B$5:$B$1018, MATCH(D952, Mgt_Unit!$C$5:$C$1018, 0)), "")</f>
        <v>jennifer.moore</v>
      </c>
      <c r="C952" s="28"/>
      <c r="D952" s="9" t="s">
        <v>956</v>
      </c>
      <c r="E952" s="47"/>
      <c r="F952" s="41" t="s">
        <v>1351</v>
      </c>
      <c r="G952" s="41"/>
      <c r="H952" s="38"/>
      <c r="I952" s="38">
        <v>2.5</v>
      </c>
      <c r="J952" s="38">
        <v>6.44</v>
      </c>
      <c r="K952" s="38">
        <v>7.0499999999999993E-2</v>
      </c>
      <c r="L952" s="41"/>
    </row>
    <row r="953" spans="1:12" x14ac:dyDescent="0.25">
      <c r="A953" s="4"/>
      <c r="B953" s="28" t="str">
        <f>IF(ISNUMBER(MATCH(D953, Mgt_Unit!$C$5:$C$1018, 0)), INDEX(Mgt_Unit!$B$5:$B$1018, MATCH(D953, Mgt_Unit!$C$5:$C$1018, 0)), "")</f>
        <v>jennifer.moore</v>
      </c>
      <c r="C953" s="28"/>
      <c r="D953" s="9" t="s">
        <v>955</v>
      </c>
      <c r="E953" s="47"/>
      <c r="F953" s="41" t="s">
        <v>1351</v>
      </c>
      <c r="G953" s="41"/>
      <c r="H953" s="38"/>
      <c r="I953" s="38">
        <v>2.5</v>
      </c>
      <c r="J953" s="38">
        <v>6.45</v>
      </c>
      <c r="K953" s="38">
        <v>9.2399999999999996E-2</v>
      </c>
      <c r="L953" s="41"/>
    </row>
    <row r="954" spans="1:12" x14ac:dyDescent="0.25">
      <c r="A954" s="4"/>
      <c r="B954" s="28" t="str">
        <f>IF(ISNUMBER(MATCH(D954, Mgt_Unit!$C$5:$C$1018, 0)), INDEX(Mgt_Unit!$B$5:$B$1018, MATCH(D954, Mgt_Unit!$C$5:$C$1018, 0)), "")</f>
        <v>jennifer.moore</v>
      </c>
      <c r="C954" s="28"/>
      <c r="D954" s="9" t="s">
        <v>956</v>
      </c>
      <c r="E954" s="47"/>
      <c r="F954" s="41" t="s">
        <v>1351</v>
      </c>
      <c r="G954" s="41"/>
      <c r="H954" s="38"/>
      <c r="I954" s="38">
        <v>2.1</v>
      </c>
      <c r="J954" s="38">
        <v>6.32</v>
      </c>
      <c r="K954" s="38">
        <v>5.6500000000000002E-2</v>
      </c>
      <c r="L954" s="41"/>
    </row>
    <row r="955" spans="1:12" x14ac:dyDescent="0.25">
      <c r="A955" s="4"/>
      <c r="B955" s="28" t="str">
        <f>IF(ISNUMBER(MATCH(D955, Mgt_Unit!$C$5:$C$1018, 0)), INDEX(Mgt_Unit!$B$5:$B$1018, MATCH(D955, Mgt_Unit!$C$5:$C$1018, 0)), "")</f>
        <v>jennifer.moore</v>
      </c>
      <c r="C955" s="28"/>
      <c r="D955" s="9" t="s">
        <v>957</v>
      </c>
      <c r="E955" s="47"/>
      <c r="F955" s="41" t="s">
        <v>1351</v>
      </c>
      <c r="G955" s="41"/>
      <c r="H955" s="38"/>
      <c r="I955" s="38">
        <v>3.4</v>
      </c>
      <c r="J955" s="38">
        <v>6.17</v>
      </c>
      <c r="K955" s="38">
        <v>0.14499999999999999</v>
      </c>
      <c r="L955" s="41"/>
    </row>
    <row r="956" spans="1:12" x14ac:dyDescent="0.25">
      <c r="A956" s="4"/>
      <c r="B956" s="28" t="str">
        <f>IF(ISNUMBER(MATCH(D956, Mgt_Unit!$C$5:$C$1018, 0)), INDEX(Mgt_Unit!$B$5:$B$1018, MATCH(D956, Mgt_Unit!$C$5:$C$1018, 0)), "")</f>
        <v>jennifer.moore</v>
      </c>
      <c r="C956" s="28"/>
      <c r="D956" s="9" t="s">
        <v>957</v>
      </c>
      <c r="E956" s="47"/>
      <c r="F956" s="41" t="s">
        <v>1351</v>
      </c>
      <c r="G956" s="41"/>
      <c r="H956" s="38"/>
      <c r="I956" s="38">
        <v>3.2</v>
      </c>
      <c r="J956" s="38">
        <v>5.72</v>
      </c>
      <c r="K956" s="38">
        <v>0.77600000000000002</v>
      </c>
      <c r="L956" s="41"/>
    </row>
    <row r="957" spans="1:12" x14ac:dyDescent="0.25">
      <c r="A957" s="4"/>
      <c r="B957" s="28" t="str">
        <f>IF(ISNUMBER(MATCH(D957, Mgt_Unit!$C$5:$C$1018, 0)), INDEX(Mgt_Unit!$B$5:$B$1018, MATCH(D957, Mgt_Unit!$C$5:$C$1018, 0)), "")</f>
        <v>jennifer.moore</v>
      </c>
      <c r="C957" s="28"/>
      <c r="D957" s="9" t="s">
        <v>956</v>
      </c>
      <c r="E957" s="47"/>
      <c r="F957" s="41" t="s">
        <v>1351</v>
      </c>
      <c r="G957" s="41"/>
      <c r="H957" s="38"/>
      <c r="I957" s="38">
        <v>1.5</v>
      </c>
      <c r="J957" s="38">
        <v>5.67</v>
      </c>
      <c r="K957" s="38">
        <v>9.9900000000000003E-2</v>
      </c>
      <c r="L957" s="41"/>
    </row>
    <row r="958" spans="1:12" x14ac:dyDescent="0.25">
      <c r="A958" s="4"/>
      <c r="B958" s="28" t="str">
        <f>IF(ISNUMBER(MATCH(D958, Mgt_Unit!$C$5:$C$1018, 0)), INDEX(Mgt_Unit!$B$5:$B$1018, MATCH(D958, Mgt_Unit!$C$5:$C$1018, 0)), "")</f>
        <v>jennifer.moore</v>
      </c>
      <c r="C958" s="28"/>
      <c r="D958" s="9" t="s">
        <v>955</v>
      </c>
      <c r="E958" s="47"/>
      <c r="F958" s="41" t="s">
        <v>1351</v>
      </c>
      <c r="G958" s="41"/>
      <c r="H958" s="38"/>
      <c r="I958" s="38">
        <v>2.9</v>
      </c>
      <c r="J958" s="38">
        <v>6.54</v>
      </c>
      <c r="K958" s="38">
        <v>9.1899999999999996E-2</v>
      </c>
      <c r="L958" s="41"/>
    </row>
    <row r="959" spans="1:12" x14ac:dyDescent="0.25">
      <c r="A959" s="4"/>
      <c r="B959" s="28" t="str">
        <f>IF(ISNUMBER(MATCH(D959, Mgt_Unit!$C$5:$C$1018, 0)), INDEX(Mgt_Unit!$B$5:$B$1018, MATCH(D959, Mgt_Unit!$C$5:$C$1018, 0)), "")</f>
        <v>jennifer.moore</v>
      </c>
      <c r="C959" s="28"/>
      <c r="D959" s="9" t="s">
        <v>964</v>
      </c>
      <c r="E959" s="47"/>
      <c r="F959" s="41" t="s">
        <v>1351</v>
      </c>
      <c r="G959" s="41"/>
      <c r="H959" s="38"/>
      <c r="I959" s="38">
        <v>2</v>
      </c>
      <c r="J959" s="38">
        <v>6.17</v>
      </c>
      <c r="K959" s="38">
        <v>0.108</v>
      </c>
      <c r="L959" s="41"/>
    </row>
    <row r="960" spans="1:12" x14ac:dyDescent="0.25">
      <c r="A960" s="4"/>
      <c r="B960" s="28" t="str">
        <f>IF(ISNUMBER(MATCH(D960, Mgt_Unit!$C$5:$C$1018, 0)), INDEX(Mgt_Unit!$B$5:$B$1018, MATCH(D960, Mgt_Unit!$C$5:$C$1018, 0)), "")</f>
        <v>jennifer.moore</v>
      </c>
      <c r="C960" s="28"/>
      <c r="D960" s="9" t="s">
        <v>965</v>
      </c>
      <c r="E960" s="47"/>
      <c r="F960" s="41" t="s">
        <v>1351</v>
      </c>
      <c r="G960" s="41"/>
      <c r="H960" s="38"/>
      <c r="I960" s="38">
        <v>2.2999999999999998</v>
      </c>
      <c r="J960" s="38">
        <v>5.79</v>
      </c>
      <c r="K960" s="38">
        <v>0.14799999999999999</v>
      </c>
      <c r="L960" s="41"/>
    </row>
    <row r="961" spans="1:12" x14ac:dyDescent="0.25">
      <c r="A961" s="4"/>
      <c r="B961" s="28" t="str">
        <f>IF(ISNUMBER(MATCH(D961, Mgt_Unit!$C$5:$C$1018, 0)), INDEX(Mgt_Unit!$B$5:$B$1018, MATCH(D961, Mgt_Unit!$C$5:$C$1018, 0)), "")</f>
        <v>jennifer.moore</v>
      </c>
      <c r="C961" s="28"/>
      <c r="D961" s="9" t="s">
        <v>966</v>
      </c>
      <c r="E961" s="47"/>
      <c r="F961" s="41" t="s">
        <v>1351</v>
      </c>
      <c r="G961" s="41"/>
      <c r="H961" s="38"/>
      <c r="I961" s="38">
        <v>2.4</v>
      </c>
      <c r="J961" s="38">
        <v>5.88</v>
      </c>
      <c r="K961" s="38">
        <v>0.19500000000000001</v>
      </c>
      <c r="L961" s="41"/>
    </row>
    <row r="962" spans="1:12" x14ac:dyDescent="0.25">
      <c r="A962" s="4"/>
      <c r="B962" s="28" t="str">
        <f>IF(ISNUMBER(MATCH(D962, Mgt_Unit!$C$5:$C$1018, 0)), INDEX(Mgt_Unit!$B$5:$B$1018, MATCH(D962, Mgt_Unit!$C$5:$C$1018, 0)), "")</f>
        <v>jennifer.moore</v>
      </c>
      <c r="C962" s="28"/>
      <c r="D962" s="9" t="s">
        <v>963</v>
      </c>
      <c r="E962" s="47"/>
      <c r="F962" s="41" t="s">
        <v>1351</v>
      </c>
      <c r="G962" s="41"/>
      <c r="H962" s="38"/>
      <c r="I962" s="38">
        <v>2.2000000000000002</v>
      </c>
      <c r="J962" s="38">
        <v>4.76</v>
      </c>
      <c r="K962" s="38">
        <v>0.18970000000000001</v>
      </c>
      <c r="L962" s="41"/>
    </row>
    <row r="963" spans="1:12" x14ac:dyDescent="0.25">
      <c r="A963" s="4"/>
      <c r="B963" s="28" t="str">
        <f>IF(ISNUMBER(MATCH(D963, Mgt_Unit!$C$5:$C$1018, 0)), INDEX(Mgt_Unit!$B$5:$B$1018, MATCH(D963, Mgt_Unit!$C$5:$C$1018, 0)), "")</f>
        <v>jennifer.moore</v>
      </c>
      <c r="C963" s="28"/>
      <c r="D963" s="9" t="s">
        <v>958</v>
      </c>
      <c r="E963" s="47"/>
      <c r="F963" s="41" t="s">
        <v>1351</v>
      </c>
      <c r="G963" s="41"/>
      <c r="H963" s="38"/>
      <c r="I963" s="38">
        <v>2</v>
      </c>
      <c r="J963" s="38">
        <v>5.81</v>
      </c>
      <c r="K963" s="38">
        <v>9.3700000000000006E-2</v>
      </c>
      <c r="L963" s="41"/>
    </row>
    <row r="964" spans="1:12" x14ac:dyDescent="0.25">
      <c r="A964" s="4"/>
      <c r="B964" s="28" t="str">
        <f>IF(ISNUMBER(MATCH(D964, Mgt_Unit!$C$5:$C$1018, 0)), INDEX(Mgt_Unit!$B$5:$B$1018, MATCH(D964, Mgt_Unit!$C$5:$C$1018, 0)), "")</f>
        <v>jennifer.moore</v>
      </c>
      <c r="C964" s="28"/>
      <c r="D964" s="9" t="s">
        <v>959</v>
      </c>
      <c r="E964" s="47"/>
      <c r="F964" s="41" t="s">
        <v>1351</v>
      </c>
      <c r="G964" s="41"/>
      <c r="H964" s="38"/>
      <c r="I964" s="38">
        <v>2.4</v>
      </c>
      <c r="J964" s="38">
        <v>5.41</v>
      </c>
      <c r="K964" s="38">
        <v>6.9400000000000003E-2</v>
      </c>
      <c r="L964" s="41"/>
    </row>
    <row r="965" spans="1:12" x14ac:dyDescent="0.25">
      <c r="A965" s="4"/>
      <c r="B965" s="28" t="str">
        <f>IF(ISNUMBER(MATCH(D965, Mgt_Unit!$C$5:$C$1018, 0)), INDEX(Mgt_Unit!$B$5:$B$1018, MATCH(D965, Mgt_Unit!$C$5:$C$1018, 0)), "")</f>
        <v>jennifer.moore</v>
      </c>
      <c r="C965" s="28"/>
      <c r="D965" s="9" t="s">
        <v>1324</v>
      </c>
      <c r="E965" s="47"/>
      <c r="F965" s="41" t="s">
        <v>1351</v>
      </c>
      <c r="G965" s="41"/>
      <c r="H965" s="38"/>
      <c r="I965" s="38">
        <v>2</v>
      </c>
      <c r="J965" s="38">
        <v>5.03</v>
      </c>
      <c r="K965" s="38">
        <v>7.0900000000000005E-2</v>
      </c>
      <c r="L965" s="41"/>
    </row>
    <row r="966" spans="1:12" x14ac:dyDescent="0.25">
      <c r="A966" s="4"/>
      <c r="B966" s="28" t="str">
        <f>IF(ISNUMBER(MATCH(D966, Mgt_Unit!$C$5:$C$1018, 0)), INDEX(Mgt_Unit!$B$5:$B$1018, MATCH(D966, Mgt_Unit!$C$5:$C$1018, 0)), "")</f>
        <v>jennifer.moore</v>
      </c>
      <c r="C966" s="28"/>
      <c r="D966" s="9" t="s">
        <v>1325</v>
      </c>
      <c r="E966" s="47"/>
      <c r="F966" s="41" t="s">
        <v>1351</v>
      </c>
      <c r="G966" s="41"/>
      <c r="H966" s="38"/>
      <c r="I966" s="38">
        <v>1</v>
      </c>
      <c r="J966" s="38">
        <v>4.3099999999999996</v>
      </c>
      <c r="K966" s="38">
        <v>4.6199999999999998E-2</v>
      </c>
      <c r="L966" s="41"/>
    </row>
    <row r="967" spans="1:12" x14ac:dyDescent="0.25">
      <c r="A967" s="4"/>
      <c r="B967" s="28" t="str">
        <f>IF(ISNUMBER(MATCH(D967, Mgt_Unit!$C$5:$C$1018, 0)), INDEX(Mgt_Unit!$B$5:$B$1018, MATCH(D967, Mgt_Unit!$C$5:$C$1018, 0)), "")</f>
        <v>jennifer.moore</v>
      </c>
      <c r="C967" s="28"/>
      <c r="D967" s="9" t="s">
        <v>1326</v>
      </c>
      <c r="E967" s="47"/>
      <c r="F967" s="41" t="s">
        <v>1351</v>
      </c>
      <c r="G967" s="41"/>
      <c r="H967" s="38"/>
      <c r="I967" s="38">
        <v>1</v>
      </c>
      <c r="J967" s="38">
        <v>4.58</v>
      </c>
      <c r="K967" s="38">
        <v>3.7699999999999997E-2</v>
      </c>
      <c r="L967" s="41"/>
    </row>
    <row r="968" spans="1:12" x14ac:dyDescent="0.25">
      <c r="A968" s="4"/>
      <c r="B968" s="28" t="str">
        <f>IF(ISNUMBER(MATCH(D968, Mgt_Unit!$C$5:$C$1018, 0)), INDEX(Mgt_Unit!$B$5:$B$1018, MATCH(D968, Mgt_Unit!$C$5:$C$1018, 0)), "")</f>
        <v>jennifer.moore</v>
      </c>
      <c r="C968" s="28"/>
      <c r="D968" s="9" t="s">
        <v>1327</v>
      </c>
      <c r="E968" s="47"/>
      <c r="F968" s="41" t="s">
        <v>1351</v>
      </c>
      <c r="G968" s="41"/>
      <c r="H968" s="38"/>
      <c r="I968" s="38">
        <v>0.9</v>
      </c>
      <c r="J968" s="38">
        <v>4.6100000000000003</v>
      </c>
      <c r="K968" s="38">
        <v>3.15E-2</v>
      </c>
      <c r="L968" s="41"/>
    </row>
    <row r="969" spans="1:12" x14ac:dyDescent="0.25">
      <c r="A969" s="4"/>
      <c r="B969" s="28" t="str">
        <f>IF(ISNUMBER(MATCH(D969, Mgt_Unit!$C$5:$C$1018, 0)), INDEX(Mgt_Unit!$B$5:$B$1018, MATCH(D969, Mgt_Unit!$C$5:$C$1018, 0)), "")</f>
        <v>jennifer.moore</v>
      </c>
      <c r="C969" s="28"/>
      <c r="D969" s="9" t="s">
        <v>1328</v>
      </c>
      <c r="E969" s="47"/>
      <c r="F969" s="41" t="s">
        <v>1351</v>
      </c>
      <c r="G969" s="41"/>
      <c r="H969" s="38"/>
      <c r="I969" s="38">
        <v>1.3</v>
      </c>
      <c r="J969" s="38">
        <v>4.72</v>
      </c>
      <c r="K969" s="38">
        <v>3.6200000000000003E-2</v>
      </c>
      <c r="L969" s="41"/>
    </row>
    <row r="970" spans="1:12" x14ac:dyDescent="0.25">
      <c r="A970" s="4"/>
      <c r="B970" s="28" t="str">
        <f>IF(ISNUMBER(MATCH(D970, Mgt_Unit!$C$5:$C$1018, 0)), INDEX(Mgt_Unit!$B$5:$B$1018, MATCH(D970, Mgt_Unit!$C$5:$C$1018, 0)), "")</f>
        <v>jennifer.moore</v>
      </c>
      <c r="C970" s="28"/>
      <c r="D970" s="9" t="s">
        <v>959</v>
      </c>
      <c r="E970" s="47"/>
      <c r="F970" s="41" t="s">
        <v>1351</v>
      </c>
      <c r="G970" s="41"/>
      <c r="H970" s="38"/>
      <c r="I970" s="38">
        <v>1.4</v>
      </c>
      <c r="J970" s="38">
        <v>5.92</v>
      </c>
      <c r="K970" s="38">
        <v>6.88E-2</v>
      </c>
      <c r="L970" s="41"/>
    </row>
    <row r="971" spans="1:12" x14ac:dyDescent="0.25">
      <c r="A971" s="4"/>
      <c r="B971" s="28" t="str">
        <f>IF(ISNUMBER(MATCH(D971, Mgt_Unit!$C$5:$C$1018, 0)), INDEX(Mgt_Unit!$B$5:$B$1018, MATCH(D971, Mgt_Unit!$C$5:$C$1018, 0)), "")</f>
        <v>jennifer.moore</v>
      </c>
      <c r="C971" s="28"/>
      <c r="D971" s="9" t="s">
        <v>958</v>
      </c>
      <c r="E971" s="47"/>
      <c r="F971" s="41" t="s">
        <v>1351</v>
      </c>
      <c r="G971" s="41"/>
      <c r="H971" s="38"/>
      <c r="I971" s="38">
        <v>1</v>
      </c>
      <c r="J971" s="38">
        <v>5.85</v>
      </c>
      <c r="K971" s="38">
        <v>7.8299999999999995E-2</v>
      </c>
      <c r="L971" s="41"/>
    </row>
    <row r="972" spans="1:12" x14ac:dyDescent="0.25">
      <c r="A972" s="4"/>
      <c r="B972" s="28" t="str">
        <f>IF(ISNUMBER(MATCH(D972, Mgt_Unit!$C$5:$C$1018, 0)), INDEX(Mgt_Unit!$B$5:$B$1018, MATCH(D972, Mgt_Unit!$C$5:$C$1018, 0)), "")</f>
        <v>jennifer.moore</v>
      </c>
      <c r="C972" s="28"/>
      <c r="D972" s="9" t="s">
        <v>1324</v>
      </c>
      <c r="E972" s="47"/>
      <c r="F972" s="41" t="s">
        <v>1351</v>
      </c>
      <c r="G972" s="41"/>
      <c r="H972" s="38"/>
      <c r="I972" s="38">
        <v>0.7</v>
      </c>
      <c r="J972" s="38">
        <v>4.5999999999999996</v>
      </c>
      <c r="K972" s="38">
        <v>3.0200000000000001E-2</v>
      </c>
      <c r="L972" s="41"/>
    </row>
    <row r="973" spans="1:12" x14ac:dyDescent="0.25">
      <c r="A973" s="4"/>
      <c r="B973" s="28" t="str">
        <f>IF(ISNUMBER(MATCH(D973, Mgt_Unit!$C$5:$C$1018, 0)), INDEX(Mgt_Unit!$B$5:$B$1018, MATCH(D973, Mgt_Unit!$C$5:$C$1018, 0)), "")</f>
        <v>jennifer.moore</v>
      </c>
      <c r="C973" s="28"/>
      <c r="D973" s="9" t="s">
        <v>966</v>
      </c>
      <c r="E973" s="47"/>
      <c r="F973" s="41" t="s">
        <v>1351</v>
      </c>
      <c r="G973" s="41"/>
      <c r="H973" s="38"/>
      <c r="I973" s="38">
        <v>1.6</v>
      </c>
      <c r="J973" s="38">
        <v>5.78</v>
      </c>
      <c r="K973" s="38">
        <v>0.20699999999999999</v>
      </c>
      <c r="L973" s="41"/>
    </row>
    <row r="974" spans="1:12" x14ac:dyDescent="0.25">
      <c r="A974" s="4"/>
      <c r="B974" s="28" t="str">
        <f>IF(ISNUMBER(MATCH(D974, Mgt_Unit!$C$5:$C$1018, 0)), INDEX(Mgt_Unit!$B$5:$B$1018, MATCH(D974, Mgt_Unit!$C$5:$C$1018, 0)), "")</f>
        <v>jennifer.moore</v>
      </c>
      <c r="C974" s="28"/>
      <c r="D974" s="9" t="s">
        <v>963</v>
      </c>
      <c r="E974" s="47"/>
      <c r="F974" s="41" t="s">
        <v>1351</v>
      </c>
      <c r="G974" s="41"/>
      <c r="H974" s="38"/>
      <c r="I974" s="38">
        <v>1.6</v>
      </c>
      <c r="J974" s="38">
        <v>5.81</v>
      </c>
      <c r="K974" s="38">
        <v>0.19500000000000001</v>
      </c>
      <c r="L974" s="41"/>
    </row>
    <row r="975" spans="1:12" x14ac:dyDescent="0.25">
      <c r="A975" s="4"/>
      <c r="B975" s="28" t="str">
        <f>IF(ISNUMBER(MATCH(D975, Mgt_Unit!$C$5:$C$1018, 0)), INDEX(Mgt_Unit!$B$5:$B$1018, MATCH(D975, Mgt_Unit!$C$5:$C$1018, 0)), "")</f>
        <v>jennifer.moore</v>
      </c>
      <c r="C975" s="28"/>
      <c r="D975" s="9" t="s">
        <v>965</v>
      </c>
      <c r="E975" s="47"/>
      <c r="F975" s="41" t="s">
        <v>1351</v>
      </c>
      <c r="G975" s="41"/>
      <c r="H975" s="38"/>
      <c r="I975" s="38">
        <v>1.4</v>
      </c>
      <c r="J975" s="38">
        <v>6.07</v>
      </c>
      <c r="K975" s="38">
        <v>6.3500000000000001E-2</v>
      </c>
      <c r="L975" s="41"/>
    </row>
    <row r="976" spans="1:12" x14ac:dyDescent="0.25">
      <c r="A976" s="4"/>
      <c r="B976" s="28" t="str">
        <f>IF(ISNUMBER(MATCH(D976, Mgt_Unit!$C$5:$C$1018, 0)), INDEX(Mgt_Unit!$B$5:$B$1018, MATCH(D976, Mgt_Unit!$C$5:$C$1018, 0)), "")</f>
        <v>jennifer.moore</v>
      </c>
      <c r="C976" s="28"/>
      <c r="D976" s="9" t="s">
        <v>964</v>
      </c>
      <c r="E976" s="47"/>
      <c r="F976" s="41" t="s">
        <v>1351</v>
      </c>
      <c r="G976" s="41"/>
      <c r="H976" s="38"/>
      <c r="I976" s="38">
        <v>1.4</v>
      </c>
      <c r="J976" s="38">
        <v>6.3</v>
      </c>
      <c r="K976" s="38">
        <v>9.8699999999999996E-2</v>
      </c>
      <c r="L976" s="41"/>
    </row>
    <row r="977" spans="1:12" x14ac:dyDescent="0.25">
      <c r="A977" s="4"/>
      <c r="B977" s="28" t="str">
        <f>IF(ISNUMBER(MATCH(D977, Mgt_Unit!$C$5:$C$1018, 0)), INDEX(Mgt_Unit!$B$5:$B$1018, MATCH(D977, Mgt_Unit!$C$5:$C$1018, 0)), "")</f>
        <v>jennifer.moore</v>
      </c>
      <c r="C977" s="28"/>
      <c r="D977" s="9" t="s">
        <v>961</v>
      </c>
      <c r="E977" s="47"/>
      <c r="F977" s="41" t="s">
        <v>1351</v>
      </c>
      <c r="G977" s="41"/>
      <c r="H977" s="38"/>
      <c r="I977" s="38">
        <v>1.6</v>
      </c>
      <c r="J977" s="38">
        <v>5.53</v>
      </c>
      <c r="K977" s="38">
        <v>6.0600000000000001E-2</v>
      </c>
      <c r="L977" s="41"/>
    </row>
    <row r="978" spans="1:12" x14ac:dyDescent="0.25">
      <c r="A978" s="4"/>
      <c r="B978" s="28" t="str">
        <f>IF(ISNUMBER(MATCH(D978, Mgt_Unit!$C$5:$C$1018, 0)), INDEX(Mgt_Unit!$B$5:$B$1018, MATCH(D978, Mgt_Unit!$C$5:$C$1018, 0)), "")</f>
        <v>jennifer.moore</v>
      </c>
      <c r="C978" s="28"/>
      <c r="D978" s="9" t="s">
        <v>960</v>
      </c>
      <c r="E978" s="47"/>
      <c r="F978" s="41" t="s">
        <v>1351</v>
      </c>
      <c r="G978" s="41"/>
      <c r="H978" s="38"/>
      <c r="I978" s="38">
        <v>1.3</v>
      </c>
      <c r="J978" s="38">
        <v>5.51</v>
      </c>
      <c r="K978" s="38">
        <v>6.6799999999999998E-2</v>
      </c>
      <c r="L978" s="41"/>
    </row>
    <row r="979" spans="1:12" x14ac:dyDescent="0.25">
      <c r="A979" s="4"/>
      <c r="B979" s="28" t="str">
        <f>IF(ISNUMBER(MATCH(D979, Mgt_Unit!$C$5:$C$1018, 0)), INDEX(Mgt_Unit!$B$5:$B$1018, MATCH(D979, Mgt_Unit!$C$5:$C$1018, 0)), "")</f>
        <v>jennifer.moore</v>
      </c>
      <c r="C979" s="28"/>
      <c r="D979" s="9" t="s">
        <v>962</v>
      </c>
      <c r="E979" s="47"/>
      <c r="F979" s="41" t="s">
        <v>1351</v>
      </c>
      <c r="G979" s="41"/>
      <c r="H979" s="38"/>
      <c r="I979" s="38">
        <v>0.8</v>
      </c>
      <c r="J979" s="38">
        <v>6.65</v>
      </c>
      <c r="K979" s="38">
        <v>5.8099999999999999E-2</v>
      </c>
      <c r="L979" s="41"/>
    </row>
    <row r="980" spans="1:12" x14ac:dyDescent="0.25">
      <c r="A980" s="4"/>
      <c r="B980" s="28" t="str">
        <f>IF(ISNUMBER(MATCH(D980, Mgt_Unit!$C$5:$C$1018, 0)), INDEX(Mgt_Unit!$B$5:$B$1018, MATCH(D980, Mgt_Unit!$C$5:$C$1018, 0)), "")</f>
        <v>jennifer.moore</v>
      </c>
      <c r="C980" s="28"/>
      <c r="D980" s="9" t="s">
        <v>960</v>
      </c>
      <c r="E980" s="47"/>
      <c r="F980" s="41" t="s">
        <v>1351</v>
      </c>
      <c r="G980" s="41"/>
      <c r="H980" s="38"/>
      <c r="I980" s="38">
        <v>1.2</v>
      </c>
      <c r="J980" s="38">
        <v>6.21</v>
      </c>
      <c r="K980" s="38">
        <v>0.10630000000000001</v>
      </c>
      <c r="L980" s="41"/>
    </row>
    <row r="981" spans="1:12" x14ac:dyDescent="0.25">
      <c r="A981" s="4"/>
      <c r="B981" s="28" t="str">
        <f>IF(ISNUMBER(MATCH(D981, Mgt_Unit!$C$5:$C$1018, 0)), INDEX(Mgt_Unit!$B$5:$B$1018, MATCH(D981, Mgt_Unit!$C$5:$C$1018, 0)), "")</f>
        <v>jennifer.moore</v>
      </c>
      <c r="C981" s="28"/>
      <c r="D981" s="9" t="s">
        <v>961</v>
      </c>
      <c r="E981" s="47"/>
      <c r="F981" s="41" t="s">
        <v>1351</v>
      </c>
      <c r="G981" s="41"/>
      <c r="H981" s="38"/>
      <c r="I981" s="38">
        <v>1.7</v>
      </c>
      <c r="J981" s="38">
        <v>5.23</v>
      </c>
      <c r="K981" s="38">
        <v>7.0300000000000001E-2</v>
      </c>
      <c r="L981" s="41"/>
    </row>
    <row r="982" spans="1:12" x14ac:dyDescent="0.25">
      <c r="A982" s="4"/>
      <c r="B982" s="28" t="str">
        <f>IF(ISNUMBER(MATCH(D982, Mgt_Unit!$C$5:$C$1018, 0)), INDEX(Mgt_Unit!$B$5:$B$1018, MATCH(D982, Mgt_Unit!$C$5:$C$1018, 0)), "")</f>
        <v>jennifer.moore</v>
      </c>
      <c r="C982" s="28"/>
      <c r="D982" s="9" t="s">
        <v>962</v>
      </c>
      <c r="E982" s="47"/>
      <c r="F982" s="41" t="s">
        <v>1351</v>
      </c>
      <c r="G982" s="41"/>
      <c r="H982" s="38"/>
      <c r="I982" s="38">
        <v>1.3</v>
      </c>
      <c r="J982" s="38">
        <v>5.98</v>
      </c>
      <c r="K982" s="38">
        <v>5.6899999999999999E-2</v>
      </c>
      <c r="L982" s="41"/>
    </row>
    <row r="983" spans="1:12" x14ac:dyDescent="0.25">
      <c r="A983" s="4"/>
      <c r="B983" s="28" t="str">
        <f>IF(ISNUMBER(MATCH(D983, Mgt_Unit!$C$5:$C$1018, 0)), INDEX(Mgt_Unit!$B$5:$B$1018, MATCH(D983, Mgt_Unit!$C$5:$C$1018, 0)), "")</f>
        <v>jennifer.moore</v>
      </c>
      <c r="C983" s="28"/>
      <c r="D983" s="9" t="s">
        <v>1326</v>
      </c>
      <c r="E983" s="47"/>
      <c r="F983" s="41" t="s">
        <v>1351</v>
      </c>
      <c r="G983" s="41"/>
      <c r="H983" s="38"/>
      <c r="I983" s="38">
        <v>1.3</v>
      </c>
      <c r="J983" s="38">
        <v>5.37</v>
      </c>
      <c r="K983" s="38">
        <v>4.4299999999999999E-2</v>
      </c>
      <c r="L983" s="41"/>
    </row>
    <row r="984" spans="1:12" x14ac:dyDescent="0.25">
      <c r="A984" s="4"/>
      <c r="B984" s="28" t="str">
        <f>IF(ISNUMBER(MATCH(D984, Mgt_Unit!$C$5:$C$1018, 0)), INDEX(Mgt_Unit!$B$5:$B$1018, MATCH(D984, Mgt_Unit!$C$5:$C$1018, 0)), "")</f>
        <v>jennifer.moore</v>
      </c>
      <c r="C984" s="28"/>
      <c r="D984" s="9" t="s">
        <v>1328</v>
      </c>
      <c r="E984" s="47"/>
      <c r="F984" s="41" t="s">
        <v>1351</v>
      </c>
      <c r="G984" s="41"/>
      <c r="H984" s="38"/>
      <c r="I984" s="38">
        <v>1.4</v>
      </c>
      <c r="J984" s="38">
        <v>5.38</v>
      </c>
      <c r="K984" s="38">
        <v>4.9799999999999997E-2</v>
      </c>
      <c r="L984" s="41"/>
    </row>
    <row r="985" spans="1:12" x14ac:dyDescent="0.25">
      <c r="A985" s="4"/>
      <c r="B985" s="28" t="str">
        <f>IF(ISNUMBER(MATCH(D985, Mgt_Unit!$C$5:$C$1018, 0)), INDEX(Mgt_Unit!$B$5:$B$1018, MATCH(D985, Mgt_Unit!$C$5:$C$1018, 0)), "")</f>
        <v>jennifer.moore</v>
      </c>
      <c r="C985" s="28"/>
      <c r="D985" s="9" t="s">
        <v>1327</v>
      </c>
      <c r="E985" s="47"/>
      <c r="F985" s="41" t="s">
        <v>1351</v>
      </c>
      <c r="G985" s="41"/>
      <c r="H985" s="38"/>
      <c r="I985" s="38">
        <v>1.1000000000000001</v>
      </c>
      <c r="J985" s="38">
        <v>5.32</v>
      </c>
      <c r="K985" s="38">
        <v>3.6499999999999998E-2</v>
      </c>
      <c r="L985" s="41"/>
    </row>
    <row r="986" spans="1:12" x14ac:dyDescent="0.25">
      <c r="A986" s="4"/>
      <c r="B986" s="28" t="str">
        <f>IF(ISNUMBER(MATCH(D986, Mgt_Unit!$C$5:$C$1018, 0)), INDEX(Mgt_Unit!$B$5:$B$1018, MATCH(D986, Mgt_Unit!$C$5:$C$1018, 0)), "")</f>
        <v>jennifer.moore</v>
      </c>
      <c r="C986" s="28"/>
      <c r="D986" s="9" t="s">
        <v>1325</v>
      </c>
      <c r="E986" s="47"/>
      <c r="F986" s="41" t="s">
        <v>1351</v>
      </c>
      <c r="G986" s="41"/>
      <c r="H986" s="38"/>
      <c r="I986" s="38">
        <v>1.3</v>
      </c>
      <c r="J986" s="38">
        <v>5.03</v>
      </c>
      <c r="K986" s="38">
        <v>3.39E-2</v>
      </c>
      <c r="L986" s="41"/>
    </row>
    <row r="987" spans="1:12" x14ac:dyDescent="0.25">
      <c r="A987" s="4"/>
      <c r="B987" s="28" t="str">
        <f>IF(ISNUMBER(MATCH(D987, Mgt_Unit!$C$5:$C$1018, 0)), INDEX(Mgt_Unit!$B$5:$B$1018, MATCH(D987, Mgt_Unit!$C$5:$C$1018, 0)), "")</f>
        <v>jennifer.moore</v>
      </c>
      <c r="C987" s="28"/>
      <c r="D987" s="9" t="s">
        <v>1324</v>
      </c>
      <c r="E987" s="47"/>
      <c r="F987" s="41" t="s">
        <v>1351</v>
      </c>
      <c r="G987" s="41"/>
      <c r="H987" s="38"/>
      <c r="I987" s="38">
        <v>1.4</v>
      </c>
      <c r="J987" s="38">
        <v>5.0199999999999996</v>
      </c>
      <c r="K987" s="38">
        <v>3.5400000000000001E-2</v>
      </c>
      <c r="L987" s="41"/>
    </row>
    <row r="988" spans="1:12" x14ac:dyDescent="0.25">
      <c r="A988" s="4"/>
      <c r="B988" s="28" t="str">
        <f>IF(ISNUMBER(MATCH(D988, Mgt_Unit!$C$5:$C$1018, 0)), INDEX(Mgt_Unit!$B$5:$B$1018, MATCH(D988, Mgt_Unit!$C$5:$C$1018, 0)), "")</f>
        <v>jennifer.moore</v>
      </c>
      <c r="C988" s="28"/>
      <c r="D988" s="9" t="s">
        <v>964</v>
      </c>
      <c r="E988" s="47"/>
      <c r="F988" s="41" t="s">
        <v>1351</v>
      </c>
      <c r="G988" s="41"/>
      <c r="H988" s="38"/>
      <c r="I988" s="38">
        <v>1.7</v>
      </c>
      <c r="J988" s="38">
        <v>6.59</v>
      </c>
      <c r="K988" s="38">
        <v>0.1341</v>
      </c>
      <c r="L988" s="41"/>
    </row>
    <row r="989" spans="1:12" x14ac:dyDescent="0.25">
      <c r="A989" s="4"/>
      <c r="B989" s="28" t="str">
        <f>IF(ISNUMBER(MATCH(D989, Mgt_Unit!$C$5:$C$1018, 0)), INDEX(Mgt_Unit!$B$5:$B$1018, MATCH(D989, Mgt_Unit!$C$5:$C$1018, 0)), "")</f>
        <v>jennifer.moore</v>
      </c>
      <c r="C989" s="28"/>
      <c r="D989" s="9" t="s">
        <v>963</v>
      </c>
      <c r="E989" s="47"/>
      <c r="F989" s="41" t="s">
        <v>1351</v>
      </c>
      <c r="G989" s="41"/>
      <c r="H989" s="38"/>
      <c r="I989" s="38">
        <v>2.2999999999999998</v>
      </c>
      <c r="J989" s="38">
        <v>5.95</v>
      </c>
      <c r="K989" s="38">
        <v>0.17330000000000001</v>
      </c>
      <c r="L989" s="41"/>
    </row>
    <row r="990" spans="1:12" x14ac:dyDescent="0.25">
      <c r="A990" s="4"/>
      <c r="B990" s="28" t="str">
        <f>IF(ISNUMBER(MATCH(D990, Mgt_Unit!$C$5:$C$1018, 0)), INDEX(Mgt_Unit!$B$5:$B$1018, MATCH(D990, Mgt_Unit!$C$5:$C$1018, 0)), "")</f>
        <v>jennifer.moore</v>
      </c>
      <c r="C990" s="28"/>
      <c r="D990" s="9" t="s">
        <v>966</v>
      </c>
      <c r="E990" s="47"/>
      <c r="F990" s="41" t="s">
        <v>1351</v>
      </c>
      <c r="G990" s="41"/>
      <c r="H990" s="38"/>
      <c r="I990" s="38">
        <v>3.2</v>
      </c>
      <c r="J990" s="38">
        <v>6.42</v>
      </c>
      <c r="K990" s="38">
        <v>0.14910000000000001</v>
      </c>
      <c r="L990" s="41"/>
    </row>
    <row r="991" spans="1:12" x14ac:dyDescent="0.25">
      <c r="A991" s="4"/>
      <c r="B991" s="28" t="str">
        <f>IF(ISNUMBER(MATCH(D991, Mgt_Unit!$C$5:$C$1018, 0)), INDEX(Mgt_Unit!$B$5:$B$1018, MATCH(D991, Mgt_Unit!$C$5:$C$1018, 0)), "")</f>
        <v>jennifer.moore</v>
      </c>
      <c r="C991" s="28"/>
      <c r="D991" s="9" t="s">
        <v>1326</v>
      </c>
      <c r="E991" s="47"/>
      <c r="F991" s="41" t="s">
        <v>1351</v>
      </c>
      <c r="G991" s="41"/>
      <c r="H991" s="38"/>
      <c r="I991" s="38">
        <v>1.2</v>
      </c>
      <c r="J991" s="38">
        <v>5.44</v>
      </c>
      <c r="K991" s="38">
        <v>3.3099999999999997E-2</v>
      </c>
      <c r="L991" s="41"/>
    </row>
    <row r="992" spans="1:12" x14ac:dyDescent="0.25">
      <c r="A992" s="4"/>
      <c r="B992" s="28" t="str">
        <f>IF(ISNUMBER(MATCH(D992, Mgt_Unit!$C$5:$C$1018, 0)), INDEX(Mgt_Unit!$B$5:$B$1018, MATCH(D992, Mgt_Unit!$C$5:$C$1018, 0)), "")</f>
        <v>jennifer.moore</v>
      </c>
      <c r="C992" s="28"/>
      <c r="D992" s="9" t="s">
        <v>1325</v>
      </c>
      <c r="E992" s="47"/>
      <c r="F992" s="41" t="s">
        <v>1351</v>
      </c>
      <c r="G992" s="41"/>
      <c r="H992" s="38"/>
      <c r="I992" s="38">
        <v>1.5</v>
      </c>
      <c r="J992" s="38">
        <v>5.16</v>
      </c>
      <c r="K992" s="38">
        <v>3.6299999999999999E-2</v>
      </c>
      <c r="L992" s="41"/>
    </row>
    <row r="993" spans="1:12" x14ac:dyDescent="0.25">
      <c r="A993" s="4"/>
      <c r="B993" s="28" t="str">
        <f>IF(ISNUMBER(MATCH(D993, Mgt_Unit!$C$5:$C$1018, 0)), INDEX(Mgt_Unit!$B$5:$B$1018, MATCH(D993, Mgt_Unit!$C$5:$C$1018, 0)), "")</f>
        <v>jennifer.moore</v>
      </c>
      <c r="C993" s="28"/>
      <c r="D993" s="9" t="s">
        <v>1327</v>
      </c>
      <c r="E993" s="47"/>
      <c r="F993" s="41" t="s">
        <v>1351</v>
      </c>
      <c r="G993" s="41"/>
      <c r="H993" s="38"/>
      <c r="I993" s="38">
        <v>1.6</v>
      </c>
      <c r="J993" s="38">
        <v>5.51</v>
      </c>
      <c r="K993" s="38">
        <v>3.9100000000000003E-2</v>
      </c>
      <c r="L993" s="41"/>
    </row>
    <row r="994" spans="1:12" x14ac:dyDescent="0.25">
      <c r="A994" s="4"/>
      <c r="B994" s="28" t="str">
        <f>IF(ISNUMBER(MATCH(D994, Mgt_Unit!$C$5:$C$1018, 0)), INDEX(Mgt_Unit!$B$5:$B$1018, MATCH(D994, Mgt_Unit!$C$5:$C$1018, 0)), "")</f>
        <v>jennifer.moore</v>
      </c>
      <c r="C994" s="28"/>
      <c r="D994" s="9" t="s">
        <v>1328</v>
      </c>
      <c r="E994" s="47"/>
      <c r="F994" s="41" t="s">
        <v>1351</v>
      </c>
      <c r="G994" s="41"/>
      <c r="H994" s="38"/>
      <c r="I994" s="38">
        <v>2</v>
      </c>
      <c r="J994" s="38">
        <v>5.41</v>
      </c>
      <c r="K994" s="38">
        <v>3.9300000000000002E-2</v>
      </c>
      <c r="L994" s="41"/>
    </row>
    <row r="995" spans="1:12" x14ac:dyDescent="0.25">
      <c r="A995" s="4"/>
      <c r="B995" s="28" t="str">
        <f>IF(ISNUMBER(MATCH(D995, Mgt_Unit!$C$5:$C$1018, 0)), INDEX(Mgt_Unit!$B$5:$B$1018, MATCH(D995, Mgt_Unit!$C$5:$C$1018, 0)), "")</f>
        <v>jennifer.moore</v>
      </c>
      <c r="C995" s="28"/>
      <c r="D995" s="9" t="s">
        <v>959</v>
      </c>
      <c r="E995" s="47"/>
      <c r="F995" s="41" t="s">
        <v>1351</v>
      </c>
      <c r="G995" s="41"/>
      <c r="H995" s="38"/>
      <c r="I995" s="38">
        <v>1.4</v>
      </c>
      <c r="J995" s="38">
        <v>5.5</v>
      </c>
      <c r="K995" s="38">
        <v>7.2599999999999998E-2</v>
      </c>
      <c r="L995" s="41"/>
    </row>
    <row r="996" spans="1:12" x14ac:dyDescent="0.25">
      <c r="A996" s="4"/>
      <c r="B996" s="28" t="str">
        <f>IF(ISNUMBER(MATCH(D996, Mgt_Unit!$C$5:$C$1018, 0)), INDEX(Mgt_Unit!$B$5:$B$1018, MATCH(D996, Mgt_Unit!$C$5:$C$1018, 0)), "")</f>
        <v>jennifer.moore</v>
      </c>
      <c r="C996" s="28"/>
      <c r="D996" s="9" t="s">
        <v>958</v>
      </c>
      <c r="E996" s="47"/>
      <c r="F996" s="41" t="s">
        <v>1351</v>
      </c>
      <c r="G996" s="41"/>
      <c r="H996" s="38"/>
      <c r="I996" s="38">
        <v>1.5</v>
      </c>
      <c r="J996" s="38">
        <v>6.37</v>
      </c>
      <c r="K996" s="38">
        <v>6.6000000000000003E-2</v>
      </c>
      <c r="L996" s="41"/>
    </row>
    <row r="997" spans="1:12" x14ac:dyDescent="0.25">
      <c r="A997" s="4"/>
      <c r="B997" s="28" t="str">
        <f>IF(ISNUMBER(MATCH(D997, Mgt_Unit!$C$5:$C$1018, 0)), INDEX(Mgt_Unit!$B$5:$B$1018, MATCH(D997, Mgt_Unit!$C$5:$C$1018, 0)), "")</f>
        <v>jennifer.moore</v>
      </c>
      <c r="C997" s="28"/>
      <c r="D997" s="9" t="s">
        <v>965</v>
      </c>
      <c r="E997" s="47"/>
      <c r="F997" s="41" t="s">
        <v>1351</v>
      </c>
      <c r="G997" s="41"/>
      <c r="H997" s="38"/>
      <c r="I997" s="38">
        <v>3</v>
      </c>
      <c r="J997" s="38">
        <v>6.36</v>
      </c>
      <c r="K997" s="38">
        <v>9.5399999999999999E-2</v>
      </c>
      <c r="L997" s="41"/>
    </row>
    <row r="998" spans="1:12" x14ac:dyDescent="0.25">
      <c r="A998" s="4"/>
      <c r="B998" s="28" t="str">
        <f>IF(ISNUMBER(MATCH(D998, Mgt_Unit!$C$5:$C$1018, 0)), INDEX(Mgt_Unit!$B$5:$B$1018, MATCH(D998, Mgt_Unit!$C$5:$C$1018, 0)), "")</f>
        <v>jennifer.moore</v>
      </c>
      <c r="C998" s="28"/>
      <c r="D998" s="9" t="s">
        <v>962</v>
      </c>
      <c r="E998" s="47"/>
      <c r="F998" s="41" t="s">
        <v>1351</v>
      </c>
      <c r="G998" s="41"/>
      <c r="H998" s="38"/>
      <c r="I998" s="38">
        <v>3.2</v>
      </c>
      <c r="J998" s="38">
        <v>5.8</v>
      </c>
      <c r="K998" s="38">
        <v>9.3700000000000006E-2</v>
      </c>
      <c r="L998" s="41"/>
    </row>
    <row r="999" spans="1:12" x14ac:dyDescent="0.25">
      <c r="A999" s="4"/>
      <c r="B999" s="28" t="str">
        <f>IF(ISNUMBER(MATCH(D999, Mgt_Unit!$C$5:$C$1018, 0)), INDEX(Mgt_Unit!$B$5:$B$1018, MATCH(D999, Mgt_Unit!$C$5:$C$1018, 0)), "")</f>
        <v>jennifer.moore</v>
      </c>
      <c r="C999" s="28"/>
      <c r="D999" s="9" t="s">
        <v>960</v>
      </c>
      <c r="E999" s="47"/>
      <c r="F999" s="41" t="s">
        <v>1351</v>
      </c>
      <c r="G999" s="41"/>
      <c r="H999" s="38"/>
      <c r="I999" s="38">
        <v>3.4</v>
      </c>
      <c r="J999" s="38">
        <v>6.38</v>
      </c>
      <c r="K999" s="38">
        <v>0.11169999999999999</v>
      </c>
      <c r="L999" s="41"/>
    </row>
    <row r="1000" spans="1:12" x14ac:dyDescent="0.25">
      <c r="A1000" s="4"/>
      <c r="B1000" s="28" t="str">
        <f>IF(ISNUMBER(MATCH(D1000, Mgt_Unit!$C$5:$C$1018, 0)), INDEX(Mgt_Unit!$B$5:$B$1018, MATCH(D1000, Mgt_Unit!$C$5:$C$1018, 0)), "")</f>
        <v>jennifer.moore</v>
      </c>
      <c r="C1000" s="28"/>
      <c r="D1000" s="9" t="s">
        <v>961</v>
      </c>
      <c r="E1000" s="47"/>
      <c r="F1000" s="41" t="s">
        <v>1351</v>
      </c>
      <c r="G1000" s="41"/>
      <c r="H1000" s="38"/>
      <c r="I1000" s="38">
        <v>3.2</v>
      </c>
      <c r="J1000" s="38">
        <v>5.98</v>
      </c>
      <c r="K1000" s="38">
        <v>0.1216</v>
      </c>
      <c r="L1000" s="41"/>
    </row>
    <row r="1001" spans="1:12" x14ac:dyDescent="0.25">
      <c r="A1001" s="4"/>
      <c r="B1001" s="28" t="str">
        <f>IF(ISNUMBER(MATCH(D1001, Mgt_Unit!$C$5:$C$1018, 0)), INDEX(Mgt_Unit!$B$5:$B$1018, MATCH(D1001, Mgt_Unit!$C$5:$C$1018, 0)), "")</f>
        <v>jennifer.moore</v>
      </c>
      <c r="C1001" s="28"/>
      <c r="D1001" s="9" t="s">
        <v>970</v>
      </c>
      <c r="E1001" s="47"/>
      <c r="F1001" s="41" t="s">
        <v>1351</v>
      </c>
      <c r="G1001" s="41"/>
      <c r="H1001" s="38"/>
      <c r="I1001" s="38">
        <v>3.9</v>
      </c>
      <c r="J1001" s="38">
        <v>5.28</v>
      </c>
      <c r="K1001" s="38">
        <v>7.7399999999999997E-2</v>
      </c>
      <c r="L1001" s="41"/>
    </row>
    <row r="1002" spans="1:12" x14ac:dyDescent="0.25">
      <c r="A1002" s="4"/>
      <c r="B1002" s="28" t="str">
        <f>IF(ISNUMBER(MATCH(D1002, Mgt_Unit!$C$5:$C$1018, 0)), INDEX(Mgt_Unit!$B$5:$B$1018, MATCH(D1002, Mgt_Unit!$C$5:$C$1018, 0)), "")</f>
        <v>jennifer.moore</v>
      </c>
      <c r="C1002" s="28"/>
      <c r="D1002" s="9" t="s">
        <v>969</v>
      </c>
      <c r="E1002" s="47"/>
      <c r="F1002" s="41" t="s">
        <v>1351</v>
      </c>
      <c r="G1002" s="41"/>
      <c r="H1002" s="38"/>
      <c r="I1002" s="38">
        <v>3.9</v>
      </c>
      <c r="J1002" s="38">
        <v>6.14</v>
      </c>
      <c r="K1002" s="38">
        <v>8.6499999999999994E-2</v>
      </c>
      <c r="L1002" s="41"/>
    </row>
    <row r="1003" spans="1:12" x14ac:dyDescent="0.25">
      <c r="A1003" s="4"/>
      <c r="B1003" s="28" t="str">
        <f>IF(ISNUMBER(MATCH(D1003, Mgt_Unit!$C$5:$C$1018, 0)), INDEX(Mgt_Unit!$B$5:$B$1018, MATCH(D1003, Mgt_Unit!$C$5:$C$1018, 0)), "")</f>
        <v>jennifer.moore</v>
      </c>
      <c r="C1003" s="28"/>
      <c r="D1003" s="9" t="s">
        <v>968</v>
      </c>
      <c r="E1003" s="47"/>
      <c r="F1003" s="41" t="s">
        <v>1351</v>
      </c>
      <c r="G1003" s="41"/>
      <c r="H1003" s="38"/>
      <c r="I1003" s="38">
        <v>3.8</v>
      </c>
      <c r="J1003" s="38">
        <v>4.99</v>
      </c>
      <c r="K1003" s="38">
        <v>9.2200000000000004E-2</v>
      </c>
      <c r="L1003" s="41"/>
    </row>
    <row r="1004" spans="1:12" x14ac:dyDescent="0.25">
      <c r="A1004" s="4"/>
      <c r="B1004" s="28" t="str">
        <f>IF(ISNUMBER(MATCH(D1004, Mgt_Unit!$C$5:$C$1018, 0)), INDEX(Mgt_Unit!$B$5:$B$1018, MATCH(D1004, Mgt_Unit!$C$5:$C$1018, 0)), "")</f>
        <v>jennifer.moore</v>
      </c>
      <c r="C1004" s="28"/>
      <c r="D1004" s="9" t="s">
        <v>967</v>
      </c>
      <c r="E1004" s="47"/>
      <c r="F1004" s="41" t="s">
        <v>1351</v>
      </c>
      <c r="G1004" s="41"/>
      <c r="H1004" s="38"/>
      <c r="I1004" s="38">
        <v>3.6</v>
      </c>
      <c r="J1004" s="38">
        <v>5.05</v>
      </c>
      <c r="K1004" s="38">
        <v>8.5199999999999998E-2</v>
      </c>
      <c r="L1004" s="41"/>
    </row>
    <row r="1005" spans="1:12" x14ac:dyDescent="0.25">
      <c r="B1005" s="28" t="str">
        <f>IF(ISNUMBER(MATCH(D1005, Mgt_Unit!$C$5:$C$1018, 0)), INDEX(Mgt_Unit!$B$5:$B$1018, MATCH(D1005, Mgt_Unit!$C$5:$C$1018, 0)), "")</f>
        <v>jennifer.moore</v>
      </c>
      <c r="C1005" s="28"/>
      <c r="D1005" s="17" t="s">
        <v>971</v>
      </c>
      <c r="F1005" s="41" t="s">
        <v>1351</v>
      </c>
      <c r="I1005" s="39">
        <v>3.7</v>
      </c>
      <c r="J1005" s="40">
        <v>5.27</v>
      </c>
      <c r="K1005" s="39">
        <v>7.5499999999999998E-2</v>
      </c>
    </row>
    <row r="1006" spans="1:12" x14ac:dyDescent="0.25">
      <c r="B1006" s="28" t="str">
        <f>IF(ISNUMBER(MATCH(D1006, Mgt_Unit!$C$5:$C$1018, 0)), INDEX(Mgt_Unit!$B$5:$B$1018, MATCH(D1006, Mgt_Unit!$C$5:$C$1018, 0)), "")</f>
        <v>jennifer.moore</v>
      </c>
      <c r="C1006" s="28"/>
      <c r="D1006" s="17" t="s">
        <v>972</v>
      </c>
      <c r="F1006" s="41" t="s">
        <v>1351</v>
      </c>
      <c r="I1006" s="39">
        <v>3.9</v>
      </c>
      <c r="J1006" s="40">
        <v>5.31</v>
      </c>
      <c r="K1006" s="39">
        <v>7.4899999999999994E-2</v>
      </c>
    </row>
    <row r="1007" spans="1:12" x14ac:dyDescent="0.25">
      <c r="B1007" s="28" t="str">
        <f>IF(ISNUMBER(MATCH(D1007, Mgt_Unit!$C$5:$C$1018, 0)), INDEX(Mgt_Unit!$B$5:$B$1018, MATCH(D1007, Mgt_Unit!$C$5:$C$1018, 0)), "")</f>
        <v>jennifer.moore</v>
      </c>
      <c r="C1007" s="28"/>
      <c r="D1007" s="17" t="s">
        <v>974</v>
      </c>
      <c r="F1007" s="41" t="s">
        <v>1351</v>
      </c>
      <c r="I1007" s="39">
        <v>3.3</v>
      </c>
      <c r="J1007" s="40">
        <v>5.5</v>
      </c>
      <c r="K1007" s="39">
        <v>6.1400000000000003E-2</v>
      </c>
    </row>
    <row r="1008" spans="1:12" x14ac:dyDescent="0.25">
      <c r="B1008" s="28" t="str">
        <f>IF(ISNUMBER(MATCH(D1008, Mgt_Unit!$C$5:$C$1018, 0)), INDEX(Mgt_Unit!$B$5:$B$1018, MATCH(D1008, Mgt_Unit!$C$5:$C$1018, 0)), "")</f>
        <v>jennifer.moore</v>
      </c>
      <c r="C1008" s="28"/>
      <c r="D1008" s="17" t="s">
        <v>973</v>
      </c>
      <c r="F1008" s="41" t="s">
        <v>1351</v>
      </c>
      <c r="I1008" s="39">
        <v>3.3</v>
      </c>
      <c r="J1008" s="40">
        <v>5.44</v>
      </c>
      <c r="K1008" s="39">
        <v>5.67E-2</v>
      </c>
    </row>
    <row r="1009" spans="2:11" x14ac:dyDescent="0.25">
      <c r="B1009" s="28" t="str">
        <f>IF(ISNUMBER(MATCH(D1009, Mgt_Unit!$C$5:$C$1018, 0)), INDEX(Mgt_Unit!$B$5:$B$1018, MATCH(D1009, Mgt_Unit!$C$5:$C$1018, 0)), "")</f>
        <v>jennifer.moore</v>
      </c>
      <c r="C1009" s="28"/>
      <c r="D1009" s="17" t="s">
        <v>974</v>
      </c>
      <c r="F1009" s="41" t="s">
        <v>1351</v>
      </c>
      <c r="I1009" s="39">
        <v>3.3</v>
      </c>
      <c r="J1009" s="40">
        <v>5.47</v>
      </c>
      <c r="K1009" s="39">
        <v>5.4600000000000003E-2</v>
      </c>
    </row>
    <row r="1010" spans="2:11" x14ac:dyDescent="0.25">
      <c r="B1010" s="28" t="str">
        <f>IF(ISNUMBER(MATCH(D1010, Mgt_Unit!$C$5:$C$1018, 0)), INDEX(Mgt_Unit!$B$5:$B$1018, MATCH(D1010, Mgt_Unit!$C$5:$C$1018, 0)), "")</f>
        <v>jennifer.moore</v>
      </c>
      <c r="C1010" s="28"/>
      <c r="D1010" s="17" t="s">
        <v>973</v>
      </c>
      <c r="F1010" s="41" t="s">
        <v>1351</v>
      </c>
      <c r="I1010" s="39">
        <v>3.3</v>
      </c>
      <c r="J1010" s="40">
        <v>5.5</v>
      </c>
      <c r="K1010" s="39">
        <v>5.2900000000000003E-2</v>
      </c>
    </row>
    <row r="1011" spans="2:11" x14ac:dyDescent="0.25">
      <c r="B1011" s="28" t="str">
        <f>IF(ISNUMBER(MATCH(D1011, Mgt_Unit!$C$5:$C$1018, 0)), INDEX(Mgt_Unit!$B$5:$B$1018, MATCH(D1011, Mgt_Unit!$C$5:$C$1018, 0)), "")</f>
        <v>jennifer.moore</v>
      </c>
      <c r="C1011" s="28"/>
      <c r="D1011" s="17" t="s">
        <v>970</v>
      </c>
      <c r="F1011" s="41" t="s">
        <v>1351</v>
      </c>
      <c r="I1011" s="39">
        <v>3.6</v>
      </c>
      <c r="J1011" s="40">
        <v>5.12</v>
      </c>
      <c r="K1011" s="39">
        <v>7.9500000000000001E-2</v>
      </c>
    </row>
    <row r="1012" spans="2:11" x14ac:dyDescent="0.25">
      <c r="B1012" s="28" t="str">
        <f>IF(ISNUMBER(MATCH(D1012, Mgt_Unit!$C$5:$C$1018, 0)), INDEX(Mgt_Unit!$B$5:$B$1018, MATCH(D1012, Mgt_Unit!$C$5:$C$1018, 0)), "")</f>
        <v>jennifer.moore</v>
      </c>
      <c r="C1012" s="28"/>
      <c r="D1012" s="17" t="s">
        <v>969</v>
      </c>
      <c r="F1012" s="41" t="s">
        <v>1351</v>
      </c>
      <c r="I1012" s="39">
        <v>3.2</v>
      </c>
      <c r="J1012" s="40">
        <v>4.92</v>
      </c>
      <c r="K1012" s="39">
        <v>7.8700000000000006E-2</v>
      </c>
    </row>
    <row r="1013" spans="2:11" x14ac:dyDescent="0.25">
      <c r="B1013" s="28" t="str">
        <f>IF(ISNUMBER(MATCH(D1013, Mgt_Unit!$C$5:$C$1018, 0)), INDEX(Mgt_Unit!$B$5:$B$1018, MATCH(D1013, Mgt_Unit!$C$5:$C$1018, 0)), "")</f>
        <v>jennifer.moore</v>
      </c>
      <c r="C1013" s="28"/>
      <c r="D1013" s="17" t="s">
        <v>972</v>
      </c>
      <c r="F1013" s="41" t="s">
        <v>1351</v>
      </c>
      <c r="I1013" s="39">
        <v>3.3</v>
      </c>
      <c r="J1013" s="40">
        <v>5.04</v>
      </c>
      <c r="K1013" s="39">
        <v>8.7599999999999997E-2</v>
      </c>
    </row>
    <row r="1014" spans="2:11" x14ac:dyDescent="0.25">
      <c r="B1014" s="28" t="str">
        <f>IF(ISNUMBER(MATCH(D1014, Mgt_Unit!$C$5:$C$1018, 0)), INDEX(Mgt_Unit!$B$5:$B$1018, MATCH(D1014, Mgt_Unit!$C$5:$C$1018, 0)), "")</f>
        <v>jennifer.moore</v>
      </c>
      <c r="C1014" s="28"/>
      <c r="D1014" s="17" t="s">
        <v>971</v>
      </c>
      <c r="F1014" s="41" t="s">
        <v>1351</v>
      </c>
      <c r="I1014" s="39">
        <v>3.2</v>
      </c>
      <c r="J1014" s="40">
        <v>4.87</v>
      </c>
      <c r="K1014" s="39">
        <v>7.5300000000000006E-2</v>
      </c>
    </row>
    <row r="1015" spans="2:11" x14ac:dyDescent="0.25">
      <c r="B1015" s="28" t="str">
        <f>IF(ISNUMBER(MATCH(D1015, Mgt_Unit!$C$5:$C$1018, 0)), INDEX(Mgt_Unit!$B$5:$B$1018, MATCH(D1015, Mgt_Unit!$C$5:$C$1018, 0)), "")</f>
        <v>jennifer.moore</v>
      </c>
      <c r="C1015" s="28"/>
      <c r="D1015" s="17" t="s">
        <v>967</v>
      </c>
      <c r="F1015" s="41" t="s">
        <v>1351</v>
      </c>
      <c r="I1015" s="39">
        <v>4.0999999999999996</v>
      </c>
      <c r="J1015" s="40">
        <v>4.8</v>
      </c>
      <c r="K1015" s="39">
        <v>8.5900000000000004E-2</v>
      </c>
    </row>
    <row r="1016" spans="2:11" x14ac:dyDescent="0.25">
      <c r="B1016" s="28" t="str">
        <f>IF(ISNUMBER(MATCH(D1016, Mgt_Unit!$C$5:$C$1018, 0)), INDEX(Mgt_Unit!$B$5:$B$1018, MATCH(D1016, Mgt_Unit!$C$5:$C$1018, 0)), "")</f>
        <v>jennifer.moore</v>
      </c>
      <c r="C1016" s="28"/>
      <c r="D1016" s="17" t="s">
        <v>968</v>
      </c>
      <c r="F1016" s="41" t="s">
        <v>1351</v>
      </c>
      <c r="I1016" s="39">
        <v>4</v>
      </c>
      <c r="J1016" s="40">
        <v>5</v>
      </c>
      <c r="K1016" s="39">
        <v>9.0999999999999998E-2</v>
      </c>
    </row>
    <row r="1017" spans="2:11" x14ac:dyDescent="0.25">
      <c r="B1017" s="28" t="str">
        <f>IF(ISNUMBER(MATCH(D1017, Mgt_Unit!$C$5:$C$1018, 0)), INDEX(Mgt_Unit!$B$5:$B$1018, MATCH(D1017, Mgt_Unit!$C$5:$C$1018, 0)), "")</f>
        <v>jennifer.moore</v>
      </c>
      <c r="C1017" s="28"/>
      <c r="D1017" s="17" t="s">
        <v>972</v>
      </c>
      <c r="F1017" s="41" t="s">
        <v>1351</v>
      </c>
      <c r="I1017" s="39">
        <v>3.9</v>
      </c>
      <c r="J1017" s="40">
        <v>4.96</v>
      </c>
      <c r="K1017" s="39">
        <v>9.2799999999999994E-2</v>
      </c>
    </row>
    <row r="1018" spans="2:11" x14ac:dyDescent="0.25">
      <c r="B1018" s="28" t="str">
        <f>IF(ISNUMBER(MATCH(D1018, Mgt_Unit!$C$5:$C$1018, 0)), INDEX(Mgt_Unit!$B$5:$B$1018, MATCH(D1018, Mgt_Unit!$C$5:$C$1018, 0)), "")</f>
        <v>jennifer.moore</v>
      </c>
      <c r="C1018" s="28"/>
      <c r="D1018" s="17" t="s">
        <v>971</v>
      </c>
      <c r="F1018" s="41" t="s">
        <v>1351</v>
      </c>
      <c r="I1018" s="39">
        <v>3.9</v>
      </c>
      <c r="J1018" s="40">
        <v>4.92</v>
      </c>
      <c r="K1018" s="39">
        <v>7.7700000000000005E-2</v>
      </c>
    </row>
    <row r="1019" spans="2:11" x14ac:dyDescent="0.25">
      <c r="B1019" s="28" t="str">
        <f>IF(ISNUMBER(MATCH(D1019, Mgt_Unit!$C$5:$C$1018, 0)), INDEX(Mgt_Unit!$B$5:$B$1018, MATCH(D1019, Mgt_Unit!$C$5:$C$1018, 0)), "")</f>
        <v>jennifer.moore</v>
      </c>
      <c r="C1019" s="28"/>
      <c r="D1019" s="17" t="s">
        <v>974</v>
      </c>
      <c r="F1019" s="41" t="s">
        <v>1351</v>
      </c>
      <c r="I1019" s="39">
        <v>3.7</v>
      </c>
      <c r="J1019" s="40">
        <v>5.03</v>
      </c>
      <c r="K1019" s="39">
        <v>6.6199999999999995E-2</v>
      </c>
    </row>
    <row r="1020" spans="2:11" x14ac:dyDescent="0.25">
      <c r="B1020" s="28" t="str">
        <f>IF(ISNUMBER(MATCH(D1020, Mgt_Unit!$C$5:$C$1018, 0)), INDEX(Mgt_Unit!$B$5:$B$1018, MATCH(D1020, Mgt_Unit!$C$5:$C$1018, 0)), "")</f>
        <v>jennifer.moore</v>
      </c>
      <c r="C1020" s="28"/>
      <c r="D1020" s="17" t="s">
        <v>973</v>
      </c>
      <c r="F1020" s="41" t="s">
        <v>1351</v>
      </c>
      <c r="I1020" s="39">
        <v>3.4</v>
      </c>
      <c r="J1020" s="40">
        <v>4.99</v>
      </c>
      <c r="K1020" s="39">
        <v>5.7700000000000001E-2</v>
      </c>
    </row>
    <row r="1021" spans="2:11" x14ac:dyDescent="0.25">
      <c r="B1021" s="28" t="str">
        <f>IF(ISNUMBER(MATCH(D1021, Mgt_Unit!$C$5:$C$1018, 0)), INDEX(Mgt_Unit!$B$5:$B$1018, MATCH(D1021, Mgt_Unit!$C$5:$C$1018, 0)), "")</f>
        <v>jennifer.moore</v>
      </c>
      <c r="C1021" s="28"/>
      <c r="D1021" s="17" t="s">
        <v>970</v>
      </c>
      <c r="F1021" s="41" t="s">
        <v>1351</v>
      </c>
      <c r="I1021" s="39">
        <v>3.8</v>
      </c>
      <c r="J1021" s="40">
        <v>4.9800000000000004</v>
      </c>
      <c r="K1021" s="39">
        <v>8.2299999999999998E-2</v>
      </c>
    </row>
    <row r="1022" spans="2:11" x14ac:dyDescent="0.25">
      <c r="B1022" s="28" t="str">
        <f>IF(ISNUMBER(MATCH(D1022, Mgt_Unit!$C$5:$C$1018, 0)), INDEX(Mgt_Unit!$B$5:$B$1018, MATCH(D1022, Mgt_Unit!$C$5:$C$1018, 0)), "")</f>
        <v>jennifer.moore</v>
      </c>
      <c r="C1022" s="28"/>
      <c r="D1022" s="17" t="s">
        <v>969</v>
      </c>
      <c r="F1022" s="41" t="s">
        <v>1351</v>
      </c>
      <c r="I1022" s="39">
        <v>3.8</v>
      </c>
      <c r="J1022" s="40">
        <v>4.93</v>
      </c>
      <c r="K1022" s="39">
        <v>7.2800000000000004E-2</v>
      </c>
    </row>
    <row r="1023" spans="2:11" x14ac:dyDescent="0.25">
      <c r="B1023" s="28" t="str">
        <f>IF(ISNUMBER(MATCH(D1023, Mgt_Unit!$C$5:$C$1018, 0)), INDEX(Mgt_Unit!$B$5:$B$1018, MATCH(D1023, Mgt_Unit!$C$5:$C$1018, 0)), "")</f>
        <v>jennifer.moore</v>
      </c>
      <c r="C1023" s="28"/>
      <c r="D1023" s="17" t="s">
        <v>968</v>
      </c>
      <c r="F1023" s="41" t="s">
        <v>1351</v>
      </c>
      <c r="I1023" s="39">
        <v>4.4000000000000004</v>
      </c>
      <c r="J1023" s="40">
        <v>4.91</v>
      </c>
      <c r="K1023" s="39">
        <v>8.6599999999999996E-2</v>
      </c>
    </row>
    <row r="1024" spans="2:11" x14ac:dyDescent="0.25">
      <c r="B1024" s="28" t="str">
        <f>IF(ISNUMBER(MATCH(D1024, Mgt_Unit!$C$5:$C$1018, 0)), INDEX(Mgt_Unit!$B$5:$B$1018, MATCH(D1024, Mgt_Unit!$C$5:$C$1018, 0)), "")</f>
        <v>jennifer.moore</v>
      </c>
      <c r="C1024" s="28"/>
      <c r="D1024" s="17" t="s">
        <v>967</v>
      </c>
      <c r="F1024" s="41" t="s">
        <v>1351</v>
      </c>
      <c r="I1024" s="39">
        <v>4.0999999999999996</v>
      </c>
      <c r="J1024" s="40">
        <v>4.8099999999999996</v>
      </c>
      <c r="K1024" s="39">
        <v>8.5699999999999998E-2</v>
      </c>
    </row>
    <row r="1025" spans="2:11" x14ac:dyDescent="0.25">
      <c r="B1025" s="28" t="str">
        <f>IF(ISNUMBER(MATCH(D1025, Mgt_Unit!$C$5:$C$1018, 0)), INDEX(Mgt_Unit!$B$5:$B$1018, MATCH(D1025, Mgt_Unit!$C$5:$C$1018, 0)), "")</f>
        <v>jennifer.moore</v>
      </c>
      <c r="C1025" s="28"/>
      <c r="D1025" s="17" t="s">
        <v>978</v>
      </c>
      <c r="F1025" s="41" t="s">
        <v>1351</v>
      </c>
      <c r="I1025" s="39">
        <v>3.1</v>
      </c>
      <c r="J1025" s="40">
        <v>6.45</v>
      </c>
      <c r="K1025" s="39">
        <v>9.7100000000000006E-2</v>
      </c>
    </row>
    <row r="1026" spans="2:11" x14ac:dyDescent="0.25">
      <c r="B1026" s="28" t="str">
        <f>IF(ISNUMBER(MATCH(D1026, Mgt_Unit!$C$5:$C$1018, 0)), INDEX(Mgt_Unit!$B$5:$B$1018, MATCH(D1026, Mgt_Unit!$C$5:$C$1018, 0)), "")</f>
        <v>jennifer.moore</v>
      </c>
      <c r="C1026" s="28"/>
      <c r="D1026" s="17" t="s">
        <v>980</v>
      </c>
      <c r="F1026" s="41" t="s">
        <v>1351</v>
      </c>
      <c r="I1026" s="39">
        <v>3.2</v>
      </c>
      <c r="J1026" s="40">
        <v>5.01</v>
      </c>
      <c r="K1026" s="39">
        <v>7.8E-2</v>
      </c>
    </row>
    <row r="1027" spans="2:11" x14ac:dyDescent="0.25">
      <c r="B1027" s="28" t="str">
        <f>IF(ISNUMBER(MATCH(D1027, Mgt_Unit!$C$5:$C$1018, 0)), INDEX(Mgt_Unit!$B$5:$B$1018, MATCH(D1027, Mgt_Unit!$C$5:$C$1018, 0)), "")</f>
        <v>jennifer.moore</v>
      </c>
      <c r="C1027" s="28"/>
      <c r="D1027" s="17" t="s">
        <v>979</v>
      </c>
      <c r="F1027" s="41" t="s">
        <v>1351</v>
      </c>
      <c r="I1027" s="39">
        <v>4</v>
      </c>
      <c r="J1027" s="40">
        <v>4.9000000000000004</v>
      </c>
      <c r="K1027" s="39">
        <v>8.3599999999999994E-2</v>
      </c>
    </row>
    <row r="1028" spans="2:11" x14ac:dyDescent="0.25">
      <c r="B1028" s="28" t="str">
        <f>IF(ISNUMBER(MATCH(D1028, Mgt_Unit!$C$5:$C$1018, 0)), INDEX(Mgt_Unit!$B$5:$B$1018, MATCH(D1028, Mgt_Unit!$C$5:$C$1018, 0)), "")</f>
        <v>jennifer.moore</v>
      </c>
      <c r="C1028" s="28"/>
      <c r="D1028" s="17" t="s">
        <v>975</v>
      </c>
      <c r="F1028" s="41" t="s">
        <v>1351</v>
      </c>
      <c r="I1028" s="39">
        <v>2.8</v>
      </c>
      <c r="J1028" s="40">
        <v>6.67</v>
      </c>
      <c r="K1028" s="39">
        <v>0.1147</v>
      </c>
    </row>
    <row r="1029" spans="2:11" x14ac:dyDescent="0.25">
      <c r="B1029" s="28" t="str">
        <f>IF(ISNUMBER(MATCH(D1029, Mgt_Unit!$C$5:$C$1018, 0)), INDEX(Mgt_Unit!$B$5:$B$1018, MATCH(D1029, Mgt_Unit!$C$5:$C$1018, 0)), "")</f>
        <v>jennifer.moore</v>
      </c>
      <c r="C1029" s="28"/>
      <c r="D1029" s="17" t="s">
        <v>977</v>
      </c>
      <c r="F1029" s="41" t="s">
        <v>1351</v>
      </c>
      <c r="I1029" s="39">
        <v>2.7</v>
      </c>
      <c r="J1029" s="40">
        <v>6.33</v>
      </c>
      <c r="K1029" s="39">
        <v>7.7100000000000002E-2</v>
      </c>
    </row>
    <row r="1030" spans="2:11" x14ac:dyDescent="0.25">
      <c r="B1030" s="28" t="str">
        <f>IF(ISNUMBER(MATCH(D1030, Mgt_Unit!$C$5:$C$1018, 0)), INDEX(Mgt_Unit!$B$5:$B$1018, MATCH(D1030, Mgt_Unit!$C$5:$C$1018, 0)), "")</f>
        <v>jennifer.moore</v>
      </c>
      <c r="C1030" s="28"/>
      <c r="D1030" s="17" t="s">
        <v>976</v>
      </c>
      <c r="F1030" s="41" t="s">
        <v>1351</v>
      </c>
      <c r="I1030" s="39">
        <v>3.6</v>
      </c>
      <c r="J1030" s="40">
        <v>6.55</v>
      </c>
      <c r="K1030" s="39">
        <v>0.1147</v>
      </c>
    </row>
    <row r="1031" spans="2:11" x14ac:dyDescent="0.25">
      <c r="B1031" s="28" t="str">
        <f>IF(ISNUMBER(MATCH(D1031, Mgt_Unit!$C$5:$C$1018, 0)), INDEX(Mgt_Unit!$B$5:$B$1018, MATCH(D1031, Mgt_Unit!$C$5:$C$1018, 0)), "")</f>
        <v>jennifer.moore</v>
      </c>
      <c r="C1031" s="28"/>
      <c r="D1031" s="17" t="s">
        <v>978</v>
      </c>
      <c r="F1031" s="41" t="s">
        <v>1351</v>
      </c>
      <c r="I1031" s="39">
        <v>3.7</v>
      </c>
      <c r="J1031" s="40">
        <v>5.9</v>
      </c>
      <c r="K1031" s="39">
        <v>8.43E-2</v>
      </c>
    </row>
    <row r="1032" spans="2:11" x14ac:dyDescent="0.25">
      <c r="B1032" s="28" t="str">
        <f>IF(ISNUMBER(MATCH(D1032, Mgt_Unit!$C$5:$C$1018, 0)), INDEX(Mgt_Unit!$B$5:$B$1018, MATCH(D1032, Mgt_Unit!$C$5:$C$1018, 0)), "")</f>
        <v>jennifer.moore</v>
      </c>
      <c r="C1032" s="28"/>
      <c r="D1032" s="17" t="s">
        <v>979</v>
      </c>
      <c r="F1032" s="41" t="s">
        <v>1351</v>
      </c>
      <c r="I1032" s="39">
        <v>2.9</v>
      </c>
      <c r="J1032" s="40">
        <v>8.2200000000000006</v>
      </c>
      <c r="K1032" s="39">
        <v>0.17799999999999999</v>
      </c>
    </row>
    <row r="1033" spans="2:11" x14ac:dyDescent="0.25">
      <c r="B1033" s="28" t="str">
        <f>IF(ISNUMBER(MATCH(D1033, Mgt_Unit!$C$5:$C$1018, 0)), INDEX(Mgt_Unit!$B$5:$B$1018, MATCH(D1033, Mgt_Unit!$C$5:$C$1018, 0)), "")</f>
        <v>jennifer.moore</v>
      </c>
      <c r="C1033" s="28"/>
      <c r="D1033" s="17" t="s">
        <v>980</v>
      </c>
      <c r="F1033" s="41" t="s">
        <v>1351</v>
      </c>
      <c r="I1033" s="39">
        <v>3.2</v>
      </c>
      <c r="J1033" s="40">
        <v>7.66</v>
      </c>
      <c r="K1033" s="39">
        <v>0.17780000000000001</v>
      </c>
    </row>
    <row r="1034" spans="2:11" x14ac:dyDescent="0.25">
      <c r="B1034" s="28" t="str">
        <f>IF(ISNUMBER(MATCH(D1034, Mgt_Unit!$C$5:$C$1018, 0)), INDEX(Mgt_Unit!$B$5:$B$1018, MATCH(D1034, Mgt_Unit!$C$5:$C$1018, 0)), "")</f>
        <v>jennifer.moore</v>
      </c>
      <c r="C1034" s="28"/>
      <c r="D1034" s="17" t="s">
        <v>975</v>
      </c>
      <c r="F1034" s="41" t="s">
        <v>1351</v>
      </c>
      <c r="I1034" s="39">
        <v>3.5</v>
      </c>
      <c r="J1034" s="40">
        <v>6.89</v>
      </c>
      <c r="K1034" s="39">
        <v>0.1047</v>
      </c>
    </row>
    <row r="1035" spans="2:11" x14ac:dyDescent="0.25">
      <c r="B1035" s="28" t="str">
        <f>IF(ISNUMBER(MATCH(D1035, Mgt_Unit!$C$5:$C$1018, 0)), INDEX(Mgt_Unit!$B$5:$B$1018, MATCH(D1035, Mgt_Unit!$C$5:$C$1018, 0)), "")</f>
        <v>jennifer.moore</v>
      </c>
      <c r="C1035" s="28"/>
      <c r="D1035" s="17" t="s">
        <v>976</v>
      </c>
      <c r="F1035" s="41" t="s">
        <v>1351</v>
      </c>
      <c r="I1035" s="39">
        <v>3.8</v>
      </c>
      <c r="J1035" s="40">
        <v>6.71</v>
      </c>
      <c r="K1035" s="39">
        <v>9.35E-2</v>
      </c>
    </row>
    <row r="1036" spans="2:11" x14ac:dyDescent="0.25">
      <c r="B1036" s="28" t="str">
        <f>IF(ISNUMBER(MATCH(D1036, Mgt_Unit!$C$5:$C$1018, 0)), INDEX(Mgt_Unit!$B$5:$B$1018, MATCH(D1036, Mgt_Unit!$C$5:$C$1018, 0)), "")</f>
        <v>jennifer.moore</v>
      </c>
      <c r="C1036" s="28"/>
      <c r="D1036" s="17" t="s">
        <v>977</v>
      </c>
      <c r="F1036" s="41" t="s">
        <v>1351</v>
      </c>
      <c r="I1036" s="39">
        <v>4</v>
      </c>
      <c r="J1036" s="40">
        <v>6.42</v>
      </c>
      <c r="K1036" s="39">
        <v>8.4500000000000006E-2</v>
      </c>
    </row>
    <row r="1037" spans="2:11" x14ac:dyDescent="0.25">
      <c r="B1037" s="28" t="str">
        <f>IF(ISNUMBER(MATCH(D1037, Mgt_Unit!$C$5:$C$1018, 0)), INDEX(Mgt_Unit!$B$5:$B$1018, MATCH(D1037, Mgt_Unit!$C$5:$C$1018, 0)), "")</f>
        <v>jennifer.moore</v>
      </c>
      <c r="C1037" s="28"/>
      <c r="D1037" s="17" t="s">
        <v>979</v>
      </c>
      <c r="F1037" s="41" t="s">
        <v>1351</v>
      </c>
      <c r="I1037" s="39">
        <v>3.9</v>
      </c>
      <c r="J1037" s="40">
        <v>5.54</v>
      </c>
      <c r="K1037" s="39">
        <v>8.8700000000000001E-2</v>
      </c>
    </row>
    <row r="1038" spans="2:11" x14ac:dyDescent="0.25">
      <c r="B1038" s="28" t="str">
        <f>IF(ISNUMBER(MATCH(D1038, Mgt_Unit!$C$5:$C$1018, 0)), INDEX(Mgt_Unit!$B$5:$B$1018, MATCH(D1038, Mgt_Unit!$C$5:$C$1018, 0)), "")</f>
        <v>jennifer.moore</v>
      </c>
      <c r="C1038" s="28"/>
      <c r="D1038" s="17" t="s">
        <v>978</v>
      </c>
      <c r="F1038" s="41" t="s">
        <v>1351</v>
      </c>
      <c r="I1038" s="39">
        <v>3.6</v>
      </c>
      <c r="J1038" s="40">
        <v>5.6</v>
      </c>
      <c r="K1038" s="39">
        <v>7.8399999999999997E-2</v>
      </c>
    </row>
    <row r="1039" spans="2:11" x14ac:dyDescent="0.25">
      <c r="B1039" s="28" t="str">
        <f>IF(ISNUMBER(MATCH(D1039, Mgt_Unit!$C$5:$C$1018, 0)), INDEX(Mgt_Unit!$B$5:$B$1018, MATCH(D1039, Mgt_Unit!$C$5:$C$1018, 0)), "")</f>
        <v>jennifer.moore</v>
      </c>
      <c r="C1039" s="28"/>
      <c r="D1039" s="17" t="s">
        <v>980</v>
      </c>
      <c r="F1039" s="41" t="s">
        <v>1351</v>
      </c>
      <c r="I1039" s="39">
        <v>4.7</v>
      </c>
      <c r="J1039" s="40">
        <v>5.3</v>
      </c>
      <c r="K1039" s="39">
        <v>8.4199999999999997E-2</v>
      </c>
    </row>
    <row r="1040" spans="2:11" x14ac:dyDescent="0.25">
      <c r="B1040" s="28" t="str">
        <f>IF(ISNUMBER(MATCH(D1040, Mgt_Unit!$C$5:$C$1018, 0)), INDEX(Mgt_Unit!$B$5:$B$1018, MATCH(D1040, Mgt_Unit!$C$5:$C$1018, 0)), "")</f>
        <v>jennifer.moore</v>
      </c>
      <c r="C1040" s="28"/>
      <c r="D1040" s="17" t="s">
        <v>976</v>
      </c>
      <c r="F1040" s="41" t="s">
        <v>1351</v>
      </c>
      <c r="I1040" s="39">
        <v>3.9</v>
      </c>
      <c r="J1040" s="40">
        <v>6.48</v>
      </c>
      <c r="K1040" s="39">
        <v>7.2999999999999995E-2</v>
      </c>
    </row>
    <row r="1041" spans="2:11" x14ac:dyDescent="0.25">
      <c r="B1041" s="28" t="str">
        <f>IF(ISNUMBER(MATCH(D1041, Mgt_Unit!$C$5:$C$1018, 0)), INDEX(Mgt_Unit!$B$5:$B$1018, MATCH(D1041, Mgt_Unit!$C$5:$C$1018, 0)), "")</f>
        <v>jennifer.moore</v>
      </c>
      <c r="C1041" s="28"/>
      <c r="D1041" s="17" t="s">
        <v>975</v>
      </c>
      <c r="F1041" s="41" t="s">
        <v>1351</v>
      </c>
      <c r="I1041" s="39">
        <v>3.8</v>
      </c>
      <c r="J1041" s="40">
        <v>6.22</v>
      </c>
      <c r="K1041" s="39">
        <v>6.6500000000000004E-2</v>
      </c>
    </row>
    <row r="1042" spans="2:11" x14ac:dyDescent="0.25">
      <c r="B1042" s="28" t="str">
        <f>IF(ISNUMBER(MATCH(D1042, Mgt_Unit!$C$5:$C$1018, 0)), INDEX(Mgt_Unit!$B$5:$B$1018, MATCH(D1042, Mgt_Unit!$C$5:$C$1018, 0)), "")</f>
        <v>jennifer.moore</v>
      </c>
      <c r="C1042" s="28"/>
      <c r="D1042" s="17" t="s">
        <v>977</v>
      </c>
      <c r="F1042" s="41" t="s">
        <v>1351</v>
      </c>
      <c r="I1042" s="39">
        <v>4</v>
      </c>
      <c r="J1042" s="40">
        <v>6.01</v>
      </c>
      <c r="K1042" s="39">
        <v>7.8100000000000003E-2</v>
      </c>
    </row>
    <row r="1043" spans="2:11" x14ac:dyDescent="0.25">
      <c r="B1043" s="28" t="str">
        <f>IF(ISNUMBER(MATCH(D1043, Mgt_Unit!$C$5:$C$1018, 0)), INDEX(Mgt_Unit!$B$5:$B$1018, MATCH(D1043, Mgt_Unit!$C$5:$C$1018, 0)), "")</f>
        <v>jennifer.moore</v>
      </c>
      <c r="C1043" s="28"/>
      <c r="D1043" s="17" t="s">
        <v>983</v>
      </c>
      <c r="F1043" s="41" t="s">
        <v>1351</v>
      </c>
      <c r="I1043" s="39">
        <v>2.2000000000000002</v>
      </c>
      <c r="J1043" s="40">
        <v>6.62</v>
      </c>
      <c r="K1043" s="39">
        <v>9.1499999999999998E-2</v>
      </c>
    </row>
    <row r="1044" spans="2:11" x14ac:dyDescent="0.25">
      <c r="B1044" s="28" t="str">
        <f>IF(ISNUMBER(MATCH(D1044, Mgt_Unit!$C$5:$C$1018, 0)), INDEX(Mgt_Unit!$B$5:$B$1018, MATCH(D1044, Mgt_Unit!$C$5:$C$1018, 0)), "")</f>
        <v>jennifer.moore</v>
      </c>
      <c r="C1044" s="28"/>
      <c r="D1044" s="17" t="s">
        <v>981</v>
      </c>
      <c r="F1044" s="41" t="s">
        <v>1351</v>
      </c>
      <c r="I1044" s="39">
        <v>2.4</v>
      </c>
      <c r="J1044" s="40">
        <v>6.59</v>
      </c>
      <c r="K1044" s="39">
        <v>6.6600000000000006E-2</v>
      </c>
    </row>
    <row r="1045" spans="2:11" x14ac:dyDescent="0.25">
      <c r="B1045" s="28" t="str">
        <f>IF(ISNUMBER(MATCH(D1045, Mgt_Unit!$C$5:$C$1018, 0)), INDEX(Mgt_Unit!$B$5:$B$1018, MATCH(D1045, Mgt_Unit!$C$5:$C$1018, 0)), "")</f>
        <v>jennifer.moore</v>
      </c>
      <c r="C1045" s="28"/>
      <c r="D1045" s="17" t="s">
        <v>1329</v>
      </c>
      <c r="F1045" s="41" t="s">
        <v>1351</v>
      </c>
      <c r="I1045" s="39">
        <v>4.4000000000000004</v>
      </c>
      <c r="J1045" s="40">
        <v>6.61</v>
      </c>
      <c r="K1045" s="39">
        <v>0.12870000000000001</v>
      </c>
    </row>
    <row r="1046" spans="2:11" x14ac:dyDescent="0.25">
      <c r="B1046" s="28" t="str">
        <f>IF(ISNUMBER(MATCH(D1046, Mgt_Unit!$C$5:$C$1018, 0)), INDEX(Mgt_Unit!$B$5:$B$1018, MATCH(D1046, Mgt_Unit!$C$5:$C$1018, 0)), "")</f>
        <v>jennifer.moore</v>
      </c>
      <c r="C1046" s="28"/>
      <c r="D1046" s="17" t="s">
        <v>1329</v>
      </c>
      <c r="F1046" s="41" t="s">
        <v>1351</v>
      </c>
      <c r="I1046" s="39">
        <v>4.5999999999999996</v>
      </c>
      <c r="J1046" s="40">
        <v>6.48</v>
      </c>
      <c r="K1046" s="39">
        <v>0.1065</v>
      </c>
    </row>
    <row r="1047" spans="2:11" x14ac:dyDescent="0.25">
      <c r="B1047" s="28" t="str">
        <f>IF(ISNUMBER(MATCH(D1047, Mgt_Unit!$C$5:$C$1018, 0)), INDEX(Mgt_Unit!$B$5:$B$1018, MATCH(D1047, Mgt_Unit!$C$5:$C$1018, 0)), "")</f>
        <v>jennifer.moore</v>
      </c>
      <c r="C1047" s="28"/>
      <c r="D1047" s="17" t="s">
        <v>983</v>
      </c>
      <c r="F1047" s="41" t="s">
        <v>1351</v>
      </c>
      <c r="I1047" s="39">
        <v>2.4</v>
      </c>
      <c r="J1047" s="40">
        <v>6.54</v>
      </c>
      <c r="K1047" s="39">
        <v>6.3E-2</v>
      </c>
    </row>
    <row r="1048" spans="2:11" x14ac:dyDescent="0.25">
      <c r="B1048" s="28" t="str">
        <f>IF(ISNUMBER(MATCH(D1048, Mgt_Unit!$C$5:$C$1018, 0)), INDEX(Mgt_Unit!$B$5:$B$1018, MATCH(D1048, Mgt_Unit!$C$5:$C$1018, 0)), "")</f>
        <v>jennifer.moore</v>
      </c>
      <c r="C1048" s="28"/>
      <c r="D1048" s="17" t="s">
        <v>981</v>
      </c>
      <c r="F1048" s="41" t="s">
        <v>1351</v>
      </c>
      <c r="I1048" s="39">
        <v>2.5</v>
      </c>
      <c r="J1048" s="40">
        <v>6.62</v>
      </c>
      <c r="K1048" s="39">
        <v>5.4300000000000001E-2</v>
      </c>
    </row>
    <row r="1049" spans="2:11" x14ac:dyDescent="0.25">
      <c r="B1049" s="28" t="str">
        <f>IF(ISNUMBER(MATCH(D1049, Mgt_Unit!$C$5:$C$1018, 0)), INDEX(Mgt_Unit!$B$5:$B$1018, MATCH(D1049, Mgt_Unit!$C$5:$C$1018, 0)), "")</f>
        <v>jennifer.moore</v>
      </c>
      <c r="C1049" s="28"/>
      <c r="D1049" s="17" t="s">
        <v>982</v>
      </c>
      <c r="F1049" s="41" t="s">
        <v>1351</v>
      </c>
      <c r="I1049" s="39">
        <v>2.2999999999999998</v>
      </c>
      <c r="J1049" s="40">
        <v>6.77</v>
      </c>
      <c r="K1049" s="39">
        <v>5.28E-2</v>
      </c>
    </row>
    <row r="1050" spans="2:11" x14ac:dyDescent="0.25">
      <c r="B1050" s="28" t="str">
        <f>IF(ISNUMBER(MATCH(D1050, Mgt_Unit!$C$5:$C$1018, 0)), INDEX(Mgt_Unit!$B$5:$B$1018, MATCH(D1050, Mgt_Unit!$C$5:$C$1018, 0)), "")</f>
        <v>jennifer.moore</v>
      </c>
      <c r="C1050" s="28"/>
      <c r="D1050" s="17" t="s">
        <v>983</v>
      </c>
      <c r="F1050" s="41" t="s">
        <v>1351</v>
      </c>
      <c r="I1050" s="39">
        <v>2.1</v>
      </c>
      <c r="J1050" s="40">
        <v>6.57</v>
      </c>
      <c r="K1050" s="39">
        <v>6.0900000000000003E-2</v>
      </c>
    </row>
    <row r="1051" spans="2:11" x14ac:dyDescent="0.25">
      <c r="B1051" s="28" t="str">
        <f>IF(ISNUMBER(MATCH(D1051, Mgt_Unit!$C$5:$C$1018, 0)), INDEX(Mgt_Unit!$B$5:$B$1018, MATCH(D1051, Mgt_Unit!$C$5:$C$1018, 0)), "")</f>
        <v>jennifer.moore</v>
      </c>
      <c r="C1051" s="28"/>
      <c r="D1051" s="17" t="s">
        <v>981</v>
      </c>
      <c r="F1051" s="41" t="s">
        <v>1351</v>
      </c>
      <c r="I1051" s="39">
        <v>2.2000000000000002</v>
      </c>
      <c r="J1051" s="40">
        <v>6.71</v>
      </c>
      <c r="K1051" s="39">
        <v>6.9400000000000003E-2</v>
      </c>
    </row>
    <row r="1052" spans="2:11" x14ac:dyDescent="0.25">
      <c r="B1052" s="28" t="str">
        <f>IF(ISNUMBER(MATCH(D1052, Mgt_Unit!$C$5:$C$1018, 0)), INDEX(Mgt_Unit!$B$5:$B$1018, MATCH(D1052, Mgt_Unit!$C$5:$C$1018, 0)), "")</f>
        <v>jennifer.moore</v>
      </c>
      <c r="C1052" s="28"/>
      <c r="D1052" s="17" t="s">
        <v>982</v>
      </c>
      <c r="F1052" s="41" t="s">
        <v>1351</v>
      </c>
      <c r="I1052" s="39">
        <v>2.1</v>
      </c>
      <c r="J1052" s="40">
        <v>6.67</v>
      </c>
      <c r="K1052" s="39">
        <v>7.4099999999999999E-2</v>
      </c>
    </row>
    <row r="1053" spans="2:11" x14ac:dyDescent="0.25">
      <c r="B1053" s="28" t="str">
        <f>IF(ISNUMBER(MATCH(D1053, Mgt_Unit!$C$5:$C$1018, 0)), INDEX(Mgt_Unit!$B$5:$B$1018, MATCH(D1053, Mgt_Unit!$C$5:$C$1018, 0)), "")</f>
        <v>jennifer.moore</v>
      </c>
      <c r="C1053" s="28"/>
      <c r="D1053" s="17" t="s">
        <v>1329</v>
      </c>
      <c r="F1053" s="41" t="s">
        <v>1351</v>
      </c>
      <c r="I1053" s="39">
        <v>5.0999999999999996</v>
      </c>
      <c r="J1053" s="40">
        <v>6.29</v>
      </c>
      <c r="K1053" s="39">
        <v>0.15659999999999999</v>
      </c>
    </row>
    <row r="1054" spans="2:11" x14ac:dyDescent="0.25">
      <c r="B1054" s="28" t="str">
        <f>IF(ISNUMBER(MATCH(D1054, Mgt_Unit!$C$5:$C$1018, 0)), INDEX(Mgt_Unit!$B$5:$B$1018, MATCH(D1054, Mgt_Unit!$C$5:$C$1018, 0)), "")</f>
        <v>jennifer.moore</v>
      </c>
      <c r="C1054" s="28"/>
      <c r="D1054" s="17" t="s">
        <v>982</v>
      </c>
      <c r="F1054" s="41" t="s">
        <v>1351</v>
      </c>
      <c r="I1054" s="39">
        <v>2</v>
      </c>
      <c r="J1054" s="40">
        <v>6.71</v>
      </c>
      <c r="K1054" s="39">
        <v>6.2799999999999995E-2</v>
      </c>
    </row>
    <row r="1055" spans="2:11" x14ac:dyDescent="0.25">
      <c r="B1055" s="28" t="str">
        <f>IF(ISNUMBER(MATCH(D1055, Mgt_Unit!$C$5:$C$1018, 0)), INDEX(Mgt_Unit!$B$5:$B$1018, MATCH(D1055, Mgt_Unit!$C$5:$C$1018, 0)), "")</f>
        <v>jennifer.moore</v>
      </c>
      <c r="C1055" s="28"/>
      <c r="D1055" s="17" t="s">
        <v>984</v>
      </c>
      <c r="F1055" s="41" t="s">
        <v>1351</v>
      </c>
      <c r="I1055" s="39">
        <v>3.8</v>
      </c>
      <c r="J1055" s="40">
        <v>4.5</v>
      </c>
      <c r="K1055" s="39">
        <v>0.33800000000000002</v>
      </c>
    </row>
    <row r="1056" spans="2:11" x14ac:dyDescent="0.25">
      <c r="B1056" s="28" t="str">
        <f>IF(ISNUMBER(MATCH(D1056, Mgt_Unit!$C$5:$C$1018, 0)), INDEX(Mgt_Unit!$B$5:$B$1018, MATCH(D1056, Mgt_Unit!$C$5:$C$1018, 0)), "")</f>
        <v>jennifer.moore</v>
      </c>
      <c r="C1056" s="28"/>
      <c r="D1056" s="17" t="s">
        <v>984</v>
      </c>
      <c r="F1056" s="41" t="s">
        <v>1351</v>
      </c>
      <c r="I1056" s="39">
        <v>3.5</v>
      </c>
      <c r="J1056" s="40">
        <v>5.34</v>
      </c>
      <c r="K1056" s="39">
        <v>0.109</v>
      </c>
    </row>
    <row r="1057" spans="2:11" x14ac:dyDescent="0.25">
      <c r="B1057" s="28" t="str">
        <f>IF(ISNUMBER(MATCH(D1057, Mgt_Unit!$C$5:$C$1018, 0)), INDEX(Mgt_Unit!$B$5:$B$1018, MATCH(D1057, Mgt_Unit!$C$5:$C$1018, 0)), "")</f>
        <v>jennifer.moore</v>
      </c>
      <c r="C1057" s="28"/>
      <c r="D1057" s="17" t="s">
        <v>984</v>
      </c>
      <c r="F1057" s="41" t="s">
        <v>1351</v>
      </c>
      <c r="I1057" s="39">
        <v>3.3</v>
      </c>
      <c r="J1057" s="40">
        <v>5.18</v>
      </c>
      <c r="K1057" s="39">
        <v>7.4300000000000005E-2</v>
      </c>
    </row>
    <row r="1058" spans="2:11" x14ac:dyDescent="0.25">
      <c r="B1058" s="28" t="str">
        <f>IF(ISNUMBER(MATCH(D1058, Mgt_Unit!$C$5:$C$1018, 0)), INDEX(Mgt_Unit!$B$5:$B$1018, MATCH(D1058, Mgt_Unit!$C$5:$C$1018, 0)), "")</f>
        <v>jennifer.moore</v>
      </c>
      <c r="C1058" s="28"/>
      <c r="D1058" s="17" t="s">
        <v>984</v>
      </c>
      <c r="F1058" s="41" t="s">
        <v>1351</v>
      </c>
      <c r="I1058" s="39">
        <v>3.9</v>
      </c>
      <c r="J1058" s="40">
        <v>4.6399999999999997</v>
      </c>
      <c r="K1058" s="39">
        <v>0.1014</v>
      </c>
    </row>
    <row r="1059" spans="2:11" x14ac:dyDescent="0.25">
      <c r="B1059" s="28" t="str">
        <f>IF(ISNUMBER(MATCH(D1059, Mgt_Unit!$C$5:$C$1018, 0)), INDEX(Mgt_Unit!$B$5:$B$1018, MATCH(D1059, Mgt_Unit!$C$5:$C$1018, 0)), "")</f>
        <v>jennifer.moore</v>
      </c>
      <c r="C1059" s="28"/>
      <c r="D1059" s="17" t="s">
        <v>984</v>
      </c>
      <c r="F1059" s="41" t="s">
        <v>1351</v>
      </c>
      <c r="I1059" s="39">
        <v>4</v>
      </c>
      <c r="J1059" s="40">
        <v>4.68</v>
      </c>
      <c r="K1059" s="39">
        <v>9.9699999999999997E-2</v>
      </c>
    </row>
    <row r="1060" spans="2:11" x14ac:dyDescent="0.25">
      <c r="B1060" s="28" t="str">
        <f>IF(ISNUMBER(MATCH(D1060, Mgt_Unit!$C$5:$C$1018, 0)), INDEX(Mgt_Unit!$B$5:$B$1018, MATCH(D1060, Mgt_Unit!$C$5:$C$1018, 0)), "")</f>
        <v>jennifer.moore</v>
      </c>
      <c r="C1060" s="28"/>
      <c r="D1060" s="17" t="s">
        <v>984</v>
      </c>
      <c r="F1060" s="41" t="s">
        <v>1351</v>
      </c>
      <c r="I1060" s="39">
        <v>3.9</v>
      </c>
      <c r="J1060" s="40">
        <v>5.41</v>
      </c>
      <c r="K1060" s="39">
        <v>0.1007</v>
      </c>
    </row>
    <row r="1061" spans="2:11" x14ac:dyDescent="0.25">
      <c r="B1061" s="28" t="str">
        <f>IF(ISNUMBER(MATCH(D1061, Mgt_Unit!$C$5:$C$1018, 0)), INDEX(Mgt_Unit!$B$5:$B$1018, MATCH(D1061, Mgt_Unit!$C$5:$C$1018, 0)), "")</f>
        <v>jennifer.moore</v>
      </c>
      <c r="C1061" s="28"/>
      <c r="D1061" s="17" t="s">
        <v>985</v>
      </c>
      <c r="F1061" s="41" t="s">
        <v>1351</v>
      </c>
      <c r="I1061" s="39">
        <v>3.3</v>
      </c>
      <c r="J1061" s="40">
        <v>5.78</v>
      </c>
      <c r="K1061" s="39">
        <v>0.12609999999999999</v>
      </c>
    </row>
    <row r="1062" spans="2:11" x14ac:dyDescent="0.25">
      <c r="B1062" s="28" t="str">
        <f>IF(ISNUMBER(MATCH(D1062, Mgt_Unit!$C$5:$C$1018, 0)), INDEX(Mgt_Unit!$B$5:$B$1018, MATCH(D1062, Mgt_Unit!$C$5:$C$1018, 0)), "")</f>
        <v>jennifer.moore</v>
      </c>
      <c r="C1062" s="28"/>
      <c r="D1062" s="17" t="s">
        <v>985</v>
      </c>
      <c r="F1062" s="41" t="s">
        <v>1351</v>
      </c>
      <c r="I1062" s="39">
        <v>3.6</v>
      </c>
      <c r="J1062" s="40">
        <v>5.98</v>
      </c>
      <c r="K1062" s="39">
        <v>0.1472</v>
      </c>
    </row>
    <row r="1063" spans="2:11" x14ac:dyDescent="0.25">
      <c r="B1063" s="28" t="str">
        <f>IF(ISNUMBER(MATCH(D1063, Mgt_Unit!$C$5:$C$1018, 0)), INDEX(Mgt_Unit!$B$5:$B$1018, MATCH(D1063, Mgt_Unit!$C$5:$C$1018, 0)), "")</f>
        <v>jennifer.moore</v>
      </c>
      <c r="C1063" s="28"/>
      <c r="D1063" s="17" t="s">
        <v>985</v>
      </c>
      <c r="F1063" s="41" t="s">
        <v>1351</v>
      </c>
      <c r="I1063" s="39">
        <v>3.6</v>
      </c>
      <c r="J1063" s="40">
        <v>5.84</v>
      </c>
      <c r="K1063" s="39">
        <v>0.1124</v>
      </c>
    </row>
    <row r="1064" spans="2:11" x14ac:dyDescent="0.25">
      <c r="B1064" s="28" t="str">
        <f>IF(ISNUMBER(MATCH(D1064, Mgt_Unit!$C$5:$C$1018, 0)), INDEX(Mgt_Unit!$B$5:$B$1018, MATCH(D1064, Mgt_Unit!$C$5:$C$1018, 0)), "")</f>
        <v>jennifer.moore</v>
      </c>
      <c r="C1064" s="28"/>
      <c r="D1064" s="17" t="s">
        <v>985</v>
      </c>
      <c r="F1064" s="41" t="s">
        <v>1351</v>
      </c>
      <c r="I1064" s="39">
        <v>4.4000000000000004</v>
      </c>
      <c r="J1064" s="40">
        <v>5.62</v>
      </c>
      <c r="K1064" s="39">
        <v>0.14119999999999999</v>
      </c>
    </row>
    <row r="1065" spans="2:11" x14ac:dyDescent="0.25">
      <c r="B1065" s="28" t="str">
        <f>IF(ISNUMBER(MATCH(D1065, Mgt_Unit!$C$5:$C$1018, 0)), INDEX(Mgt_Unit!$B$5:$B$1018, MATCH(D1065, Mgt_Unit!$C$5:$C$1018, 0)), "")</f>
        <v>jennifer.moore</v>
      </c>
      <c r="C1065" s="28"/>
      <c r="D1065" s="17" t="s">
        <v>985</v>
      </c>
      <c r="F1065" s="41" t="s">
        <v>1351</v>
      </c>
      <c r="I1065" s="39">
        <v>3.8</v>
      </c>
      <c r="J1065" s="40">
        <v>5.57</v>
      </c>
      <c r="K1065" s="39">
        <v>0.13400000000000001</v>
      </c>
    </row>
    <row r="1066" spans="2:11" x14ac:dyDescent="0.25">
      <c r="B1066" s="28" t="str">
        <f>IF(ISNUMBER(MATCH(D1066, Mgt_Unit!$C$5:$C$1018, 0)), INDEX(Mgt_Unit!$B$5:$B$1018, MATCH(D1066, Mgt_Unit!$C$5:$C$1018, 0)), "")</f>
        <v>jennifer.moore</v>
      </c>
      <c r="C1066" s="28"/>
      <c r="D1066" s="17" t="s">
        <v>985</v>
      </c>
      <c r="F1066" s="41" t="s">
        <v>1351</v>
      </c>
      <c r="I1066" s="39">
        <v>3.6</v>
      </c>
      <c r="J1066" s="40">
        <v>5.64</v>
      </c>
      <c r="K1066" s="39">
        <v>0.12609999999999999</v>
      </c>
    </row>
    <row r="1067" spans="2:11" x14ac:dyDescent="0.25">
      <c r="B1067" s="28" t="str">
        <f>IF(ISNUMBER(MATCH(D1067, Mgt_Unit!$C$5:$C$1018, 0)), INDEX(Mgt_Unit!$B$5:$B$1018, MATCH(D1067, Mgt_Unit!$C$5:$C$1018, 0)), "")</f>
        <v>jennifer.moore</v>
      </c>
      <c r="C1067" s="28"/>
      <c r="D1067" s="17" t="s">
        <v>986</v>
      </c>
      <c r="F1067" s="41" t="s">
        <v>1351</v>
      </c>
      <c r="I1067" s="39">
        <v>3.5</v>
      </c>
      <c r="J1067" s="40">
        <v>6.02</v>
      </c>
      <c r="K1067" s="39">
        <v>0.20499999999999999</v>
      </c>
    </row>
    <row r="1068" spans="2:11" x14ac:dyDescent="0.25">
      <c r="B1068" s="28" t="str">
        <f>IF(ISNUMBER(MATCH(D1068, Mgt_Unit!$C$5:$C$1018, 0)), INDEX(Mgt_Unit!$B$5:$B$1018, MATCH(D1068, Mgt_Unit!$C$5:$C$1018, 0)), "")</f>
        <v>jennifer.moore</v>
      </c>
      <c r="C1068" s="28"/>
      <c r="D1068" s="17" t="s">
        <v>986</v>
      </c>
      <c r="F1068" s="41" t="s">
        <v>1351</v>
      </c>
      <c r="I1068" s="39">
        <v>4.2</v>
      </c>
      <c r="J1068" s="40">
        <v>5.73</v>
      </c>
      <c r="K1068" s="39">
        <v>0.16700000000000001</v>
      </c>
    </row>
    <row r="1069" spans="2:11" x14ac:dyDescent="0.25">
      <c r="B1069" s="28" t="str">
        <f>IF(ISNUMBER(MATCH(D1069, Mgt_Unit!$C$5:$C$1018, 0)), INDEX(Mgt_Unit!$B$5:$B$1018, MATCH(D1069, Mgt_Unit!$C$5:$C$1018, 0)), "")</f>
        <v>jennifer.moore</v>
      </c>
      <c r="C1069" s="28"/>
      <c r="D1069" s="17" t="s">
        <v>986</v>
      </c>
      <c r="F1069" s="41" t="s">
        <v>1351</v>
      </c>
      <c r="I1069" s="39">
        <v>4.5</v>
      </c>
      <c r="J1069" s="40">
        <v>6.05</v>
      </c>
      <c r="K1069" s="39">
        <v>0.186</v>
      </c>
    </row>
    <row r="1070" spans="2:11" x14ac:dyDescent="0.25">
      <c r="B1070" s="28" t="str">
        <f>IF(ISNUMBER(MATCH(D1070, Mgt_Unit!$C$5:$C$1018, 0)), INDEX(Mgt_Unit!$B$5:$B$1018, MATCH(D1070, Mgt_Unit!$C$5:$C$1018, 0)), "")</f>
        <v>jennifer.moore</v>
      </c>
      <c r="C1070" s="28"/>
      <c r="D1070" s="17" t="s">
        <v>986</v>
      </c>
      <c r="F1070" s="41" t="s">
        <v>1351</v>
      </c>
      <c r="I1070" s="39">
        <v>3.7</v>
      </c>
      <c r="J1070" s="40">
        <v>6.09</v>
      </c>
      <c r="K1070" s="39">
        <v>0.188</v>
      </c>
    </row>
    <row r="1071" spans="2:11" x14ac:dyDescent="0.25">
      <c r="B1071" s="28" t="str">
        <f>IF(ISNUMBER(MATCH(D1071, Mgt_Unit!$C$5:$C$1018, 0)), INDEX(Mgt_Unit!$B$5:$B$1018, MATCH(D1071, Mgt_Unit!$C$5:$C$1018, 0)), "")</f>
        <v>jennifer.moore</v>
      </c>
      <c r="C1071" s="28"/>
      <c r="D1071" s="17" t="s">
        <v>986</v>
      </c>
      <c r="F1071" s="41" t="s">
        <v>1351</v>
      </c>
      <c r="I1071" s="39">
        <v>3.7</v>
      </c>
      <c r="J1071" s="40">
        <v>5.98</v>
      </c>
      <c r="K1071" s="39">
        <v>0.191</v>
      </c>
    </row>
    <row r="1072" spans="2:11" x14ac:dyDescent="0.25">
      <c r="B1072" s="28" t="str">
        <f>IF(ISNUMBER(MATCH(D1072, Mgt_Unit!$C$5:$C$1018, 0)), INDEX(Mgt_Unit!$B$5:$B$1018, MATCH(D1072, Mgt_Unit!$C$5:$C$1018, 0)), "")</f>
        <v>jennifer.moore</v>
      </c>
      <c r="C1072" s="28"/>
      <c r="D1072" s="17" t="s">
        <v>986</v>
      </c>
      <c r="F1072" s="41" t="s">
        <v>1351</v>
      </c>
      <c r="I1072" s="39">
        <v>3.9</v>
      </c>
      <c r="J1072" s="40">
        <v>5.99</v>
      </c>
      <c r="K1072" s="39">
        <v>0.19900000000000001</v>
      </c>
    </row>
    <row r="1073" spans="2:11" x14ac:dyDescent="0.25">
      <c r="B1073" s="28" t="str">
        <f>IF(ISNUMBER(MATCH(D1073, Mgt_Unit!$C$5:$C$1018, 0)), INDEX(Mgt_Unit!$B$5:$B$1018, MATCH(D1073, Mgt_Unit!$C$5:$C$1018, 0)), "")</f>
        <v>jennifer.moore</v>
      </c>
      <c r="C1073" s="28"/>
      <c r="D1073" s="17" t="s">
        <v>1330</v>
      </c>
      <c r="F1073" s="41" t="s">
        <v>1351</v>
      </c>
      <c r="I1073" s="39">
        <v>5.3</v>
      </c>
      <c r="J1073" s="40">
        <v>5.81</v>
      </c>
      <c r="K1073" s="39">
        <v>0.159</v>
      </c>
    </row>
    <row r="1074" spans="2:11" x14ac:dyDescent="0.25">
      <c r="B1074" s="28" t="str">
        <f>IF(ISNUMBER(MATCH(D1074, Mgt_Unit!$C$5:$C$1018, 0)), INDEX(Mgt_Unit!$B$5:$B$1018, MATCH(D1074, Mgt_Unit!$C$5:$C$1018, 0)), "")</f>
        <v>jennifer.moore</v>
      </c>
      <c r="C1074" s="28"/>
      <c r="D1074" s="17" t="s">
        <v>990</v>
      </c>
      <c r="F1074" s="41" t="s">
        <v>1351</v>
      </c>
      <c r="I1074" s="39">
        <v>3.5</v>
      </c>
      <c r="J1074" s="40">
        <v>7.25</v>
      </c>
      <c r="K1074" s="39">
        <v>9.8299999999999998E-2</v>
      </c>
    </row>
    <row r="1075" spans="2:11" x14ac:dyDescent="0.25">
      <c r="B1075" s="28" t="str">
        <f>IF(ISNUMBER(MATCH(D1075, Mgt_Unit!$C$5:$C$1018, 0)), INDEX(Mgt_Unit!$B$5:$B$1018, MATCH(D1075, Mgt_Unit!$C$5:$C$1018, 0)), "")</f>
        <v>jennifer.moore</v>
      </c>
      <c r="C1075" s="28"/>
      <c r="D1075" s="17" t="s">
        <v>990</v>
      </c>
      <c r="F1075" s="41" t="s">
        <v>1351</v>
      </c>
      <c r="I1075" s="39">
        <v>3.9</v>
      </c>
      <c r="J1075" s="40">
        <v>8.0299999999999994</v>
      </c>
      <c r="K1075" s="39">
        <v>0.16539999999999999</v>
      </c>
    </row>
    <row r="1076" spans="2:11" x14ac:dyDescent="0.25">
      <c r="B1076" s="28" t="str">
        <f>IF(ISNUMBER(MATCH(D1076, Mgt_Unit!$C$5:$C$1018, 0)), INDEX(Mgt_Unit!$B$5:$B$1018, MATCH(D1076, Mgt_Unit!$C$5:$C$1018, 0)), "")</f>
        <v>jennifer.moore</v>
      </c>
      <c r="C1076" s="28"/>
      <c r="D1076" s="17" t="s">
        <v>990</v>
      </c>
      <c r="F1076" s="41" t="s">
        <v>1351</v>
      </c>
      <c r="I1076" s="39">
        <v>5</v>
      </c>
      <c r="J1076" s="40">
        <v>6.53</v>
      </c>
      <c r="K1076" s="39">
        <v>9.8100000000000007E-2</v>
      </c>
    </row>
    <row r="1077" spans="2:11" x14ac:dyDescent="0.25">
      <c r="B1077" s="28" t="str">
        <f>IF(ISNUMBER(MATCH(D1077, Mgt_Unit!$C$5:$C$1018, 0)), INDEX(Mgt_Unit!$B$5:$B$1018, MATCH(D1077, Mgt_Unit!$C$5:$C$1018, 0)), "")</f>
        <v>jennifer.moore</v>
      </c>
      <c r="C1077" s="28"/>
      <c r="D1077" s="17" t="s">
        <v>990</v>
      </c>
      <c r="F1077" s="41" t="s">
        <v>1351</v>
      </c>
      <c r="I1077" s="39">
        <v>3.5</v>
      </c>
      <c r="J1077" s="40">
        <v>7.77</v>
      </c>
      <c r="K1077" s="39">
        <v>0.1492</v>
      </c>
    </row>
    <row r="1078" spans="2:11" x14ac:dyDescent="0.25">
      <c r="B1078" s="28" t="str">
        <f>IF(ISNUMBER(MATCH(D1078, Mgt_Unit!$C$5:$C$1018, 0)), INDEX(Mgt_Unit!$B$5:$B$1018, MATCH(D1078, Mgt_Unit!$C$5:$C$1018, 0)), "")</f>
        <v>jennifer.moore</v>
      </c>
      <c r="C1078" s="28"/>
      <c r="D1078" s="17" t="s">
        <v>989</v>
      </c>
      <c r="F1078" s="41" t="s">
        <v>1351</v>
      </c>
      <c r="I1078" s="39">
        <v>4.5999999999999996</v>
      </c>
      <c r="J1078" s="40">
        <v>7.61</v>
      </c>
      <c r="K1078" s="39">
        <v>0.14169999999999999</v>
      </c>
    </row>
    <row r="1079" spans="2:11" x14ac:dyDescent="0.25">
      <c r="B1079" s="28" t="str">
        <f>IF(ISNUMBER(MATCH(D1079, Mgt_Unit!$C$5:$C$1018, 0)), INDEX(Mgt_Unit!$B$5:$B$1018, MATCH(D1079, Mgt_Unit!$C$5:$C$1018, 0)), "")</f>
        <v>jennifer.moore</v>
      </c>
      <c r="C1079" s="28"/>
      <c r="D1079" s="17" t="s">
        <v>989</v>
      </c>
      <c r="F1079" s="41" t="s">
        <v>1351</v>
      </c>
      <c r="I1079" s="39">
        <v>4.0999999999999996</v>
      </c>
      <c r="J1079" s="40">
        <v>6.83</v>
      </c>
      <c r="K1079" s="39">
        <v>0.10199999999999999</v>
      </c>
    </row>
    <row r="1080" spans="2:11" x14ac:dyDescent="0.25">
      <c r="B1080" s="28" t="str">
        <f>IF(ISNUMBER(MATCH(D1080, Mgt_Unit!$C$5:$C$1018, 0)), INDEX(Mgt_Unit!$B$5:$B$1018, MATCH(D1080, Mgt_Unit!$C$5:$C$1018, 0)), "")</f>
        <v>jennifer.moore</v>
      </c>
      <c r="C1080" s="28"/>
      <c r="D1080" s="17" t="s">
        <v>989</v>
      </c>
      <c r="F1080" s="41" t="s">
        <v>1351</v>
      </c>
      <c r="I1080" s="39">
        <v>5.2</v>
      </c>
      <c r="J1080" s="40">
        <v>7.59</v>
      </c>
      <c r="K1080" s="39">
        <v>0.14580000000000001</v>
      </c>
    </row>
    <row r="1081" spans="2:11" x14ac:dyDescent="0.25">
      <c r="B1081" s="28" t="str">
        <f>IF(ISNUMBER(MATCH(D1081, Mgt_Unit!$C$5:$C$1018, 0)), INDEX(Mgt_Unit!$B$5:$B$1018, MATCH(D1081, Mgt_Unit!$C$5:$C$1018, 0)), "")</f>
        <v>jennifer.moore</v>
      </c>
      <c r="C1081" s="28"/>
      <c r="D1081" s="17" t="s">
        <v>989</v>
      </c>
      <c r="F1081" s="41" t="s">
        <v>1351</v>
      </c>
      <c r="I1081" s="39">
        <v>5.9</v>
      </c>
      <c r="J1081" s="40">
        <v>7.8</v>
      </c>
      <c r="K1081" s="39">
        <v>0.14199999999999999</v>
      </c>
    </row>
    <row r="1082" spans="2:11" x14ac:dyDescent="0.25">
      <c r="B1082" s="28" t="str">
        <f>IF(ISNUMBER(MATCH(D1082, Mgt_Unit!$C$5:$C$1018, 0)), INDEX(Mgt_Unit!$B$5:$B$1018, MATCH(D1082, Mgt_Unit!$C$5:$C$1018, 0)), "")</f>
        <v>jennifer.moore</v>
      </c>
      <c r="C1082" s="28"/>
      <c r="D1082" s="17" t="s">
        <v>988</v>
      </c>
      <c r="F1082" s="41" t="s">
        <v>1351</v>
      </c>
      <c r="I1082" s="39">
        <v>2.1</v>
      </c>
      <c r="J1082" s="40">
        <v>8.2200000000000006</v>
      </c>
      <c r="K1082" s="39">
        <v>0.13439999999999999</v>
      </c>
    </row>
    <row r="1083" spans="2:11" x14ac:dyDescent="0.25">
      <c r="B1083" s="28" t="str">
        <f>IF(ISNUMBER(MATCH(D1083, Mgt_Unit!$C$5:$C$1018, 0)), INDEX(Mgt_Unit!$B$5:$B$1018, MATCH(D1083, Mgt_Unit!$C$5:$C$1018, 0)), "")</f>
        <v>jennifer.moore</v>
      </c>
      <c r="C1083" s="28"/>
      <c r="D1083" s="17" t="s">
        <v>988</v>
      </c>
      <c r="F1083" s="41" t="s">
        <v>1351</v>
      </c>
      <c r="I1083" s="39">
        <v>2.2999999999999998</v>
      </c>
      <c r="J1083" s="40">
        <v>7.79</v>
      </c>
      <c r="K1083" s="39">
        <v>0.13450000000000001</v>
      </c>
    </row>
    <row r="1084" spans="2:11" x14ac:dyDescent="0.25">
      <c r="B1084" s="28" t="str">
        <f>IF(ISNUMBER(MATCH(D1084, Mgt_Unit!$C$5:$C$1018, 0)), INDEX(Mgt_Unit!$B$5:$B$1018, MATCH(D1084, Mgt_Unit!$C$5:$C$1018, 0)), "")</f>
        <v>jennifer.moore</v>
      </c>
      <c r="C1084" s="28"/>
      <c r="D1084" s="17" t="s">
        <v>988</v>
      </c>
      <c r="F1084" s="41" t="s">
        <v>1351</v>
      </c>
      <c r="I1084" s="39">
        <v>3.5</v>
      </c>
      <c r="J1084" s="40">
        <v>7.88</v>
      </c>
      <c r="K1084" s="39">
        <v>0.12559999999999999</v>
      </c>
    </row>
    <row r="1085" spans="2:11" x14ac:dyDescent="0.25">
      <c r="B1085" s="28" t="str">
        <f>IF(ISNUMBER(MATCH(D1085, Mgt_Unit!$C$5:$C$1018, 0)), INDEX(Mgt_Unit!$B$5:$B$1018, MATCH(D1085, Mgt_Unit!$C$5:$C$1018, 0)), "")</f>
        <v>jennifer.moore</v>
      </c>
      <c r="C1085" s="28"/>
      <c r="D1085" s="17" t="s">
        <v>988</v>
      </c>
      <c r="F1085" s="41" t="s">
        <v>1351</v>
      </c>
      <c r="I1085" s="39">
        <v>2.5</v>
      </c>
      <c r="J1085" s="40">
        <v>8.1</v>
      </c>
      <c r="K1085" s="39">
        <v>0.1545</v>
      </c>
    </row>
    <row r="1086" spans="2:11" x14ac:dyDescent="0.25">
      <c r="B1086" s="28" t="str">
        <f>IF(ISNUMBER(MATCH(D1086, Mgt_Unit!$C$5:$C$1018, 0)), INDEX(Mgt_Unit!$B$5:$B$1018, MATCH(D1086, Mgt_Unit!$C$5:$C$1018, 0)), "")</f>
        <v>jennifer.moore</v>
      </c>
      <c r="C1086" s="28"/>
      <c r="D1086" s="17" t="s">
        <v>987</v>
      </c>
      <c r="F1086" s="41" t="s">
        <v>1351</v>
      </c>
      <c r="I1086" s="39">
        <v>2.7</v>
      </c>
      <c r="J1086" s="40">
        <v>7.83</v>
      </c>
      <c r="K1086" s="39">
        <v>0.14779999999999999</v>
      </c>
    </row>
    <row r="1087" spans="2:11" x14ac:dyDescent="0.25">
      <c r="B1087" s="28" t="str">
        <f>IF(ISNUMBER(MATCH(D1087, Mgt_Unit!$C$5:$C$1018, 0)), INDEX(Mgt_Unit!$B$5:$B$1018, MATCH(D1087, Mgt_Unit!$C$5:$C$1018, 0)), "")</f>
        <v>jennifer.moore</v>
      </c>
      <c r="C1087" s="28"/>
      <c r="D1087" s="17" t="s">
        <v>987</v>
      </c>
      <c r="F1087" s="41" t="s">
        <v>1351</v>
      </c>
      <c r="I1087" s="39">
        <v>2.4</v>
      </c>
      <c r="J1087" s="40">
        <v>8.31</v>
      </c>
      <c r="K1087" s="39">
        <v>0.13980000000000001</v>
      </c>
    </row>
    <row r="1088" spans="2:11" x14ac:dyDescent="0.25">
      <c r="B1088" s="28" t="str">
        <f>IF(ISNUMBER(MATCH(D1088, Mgt_Unit!$C$5:$C$1018, 0)), INDEX(Mgt_Unit!$B$5:$B$1018, MATCH(D1088, Mgt_Unit!$C$5:$C$1018, 0)), "")</f>
        <v>jennifer.moore</v>
      </c>
      <c r="C1088" s="28"/>
      <c r="D1088" s="17" t="s">
        <v>987</v>
      </c>
      <c r="F1088" s="41" t="s">
        <v>1351</v>
      </c>
      <c r="I1088" s="39">
        <v>2.6</v>
      </c>
      <c r="J1088" s="40">
        <v>8.1199999999999992</v>
      </c>
      <c r="K1088" s="39">
        <v>0.1434</v>
      </c>
    </row>
    <row r="1089" spans="2:11" x14ac:dyDescent="0.25">
      <c r="B1089" s="28" t="str">
        <f>IF(ISNUMBER(MATCH(D1089, Mgt_Unit!$C$5:$C$1018, 0)), INDEX(Mgt_Unit!$B$5:$B$1018, MATCH(D1089, Mgt_Unit!$C$5:$C$1018, 0)), "")</f>
        <v>jennifer.moore</v>
      </c>
      <c r="C1089" s="28"/>
      <c r="D1089" s="17" t="s">
        <v>987</v>
      </c>
      <c r="F1089" s="41" t="s">
        <v>1351</v>
      </c>
      <c r="I1089" s="39">
        <v>2.8</v>
      </c>
      <c r="J1089" s="40">
        <v>8.07</v>
      </c>
    </row>
    <row r="1090" spans="2:11" x14ac:dyDescent="0.25">
      <c r="B1090" s="28" t="str">
        <f>IF(ISNUMBER(MATCH(D1090, Mgt_Unit!$C$5:$C$1018, 0)), INDEX(Mgt_Unit!$B$5:$B$1018, MATCH(D1090, Mgt_Unit!$C$5:$C$1018, 0)), "")</f>
        <v>jennifer.moore</v>
      </c>
      <c r="C1090" s="28"/>
      <c r="D1090" s="17" t="s">
        <v>1331</v>
      </c>
      <c r="F1090" s="41" t="s">
        <v>1351</v>
      </c>
      <c r="I1090" s="39">
        <v>3.6</v>
      </c>
      <c r="J1090" s="40">
        <v>7.73</v>
      </c>
      <c r="K1090" s="39">
        <v>0.1145</v>
      </c>
    </row>
    <row r="1091" spans="2:11" x14ac:dyDescent="0.25">
      <c r="B1091" s="28" t="str">
        <f>IF(ISNUMBER(MATCH(D1091, Mgt_Unit!$C$5:$C$1018, 0)), INDEX(Mgt_Unit!$B$5:$B$1018, MATCH(D1091, Mgt_Unit!$C$5:$C$1018, 0)), "")</f>
        <v>jennifer.moore</v>
      </c>
      <c r="C1091" s="28"/>
      <c r="D1091" s="17" t="s">
        <v>992</v>
      </c>
      <c r="F1091" s="41" t="s">
        <v>1351</v>
      </c>
      <c r="I1091" s="39">
        <v>2.2000000000000002</v>
      </c>
      <c r="J1091" s="40">
        <v>7.06</v>
      </c>
      <c r="K1091" s="39">
        <v>8.2799999999999999E-2</v>
      </c>
    </row>
    <row r="1092" spans="2:11" x14ac:dyDescent="0.25">
      <c r="B1092" s="28" t="str">
        <f>IF(ISNUMBER(MATCH(D1092, Mgt_Unit!$C$5:$C$1018, 0)), INDEX(Mgt_Unit!$B$5:$B$1018, MATCH(D1092, Mgt_Unit!$C$5:$C$1018, 0)), "")</f>
        <v>jennifer.moore</v>
      </c>
      <c r="C1092" s="28"/>
      <c r="D1092" s="17" t="s">
        <v>992</v>
      </c>
      <c r="F1092" s="41" t="s">
        <v>1351</v>
      </c>
      <c r="I1092" s="39">
        <v>1.5</v>
      </c>
      <c r="J1092" s="40">
        <v>6.96</v>
      </c>
      <c r="K1092" s="39">
        <v>7.3700000000000002E-2</v>
      </c>
    </row>
    <row r="1093" spans="2:11" x14ac:dyDescent="0.25">
      <c r="B1093" s="28" t="str">
        <f>IF(ISNUMBER(MATCH(D1093, Mgt_Unit!$C$5:$C$1018, 0)), INDEX(Mgt_Unit!$B$5:$B$1018, MATCH(D1093, Mgt_Unit!$C$5:$C$1018, 0)), "")</f>
        <v>jennifer.moore</v>
      </c>
      <c r="C1093" s="28"/>
      <c r="D1093" s="17" t="s">
        <v>992</v>
      </c>
      <c r="F1093" s="41" t="s">
        <v>1351</v>
      </c>
      <c r="I1093" s="39">
        <v>1.9</v>
      </c>
      <c r="J1093" s="40">
        <v>5.86</v>
      </c>
      <c r="K1093" s="39">
        <v>4.65E-2</v>
      </c>
    </row>
    <row r="1094" spans="2:11" x14ac:dyDescent="0.25">
      <c r="B1094" s="28" t="str">
        <f>IF(ISNUMBER(MATCH(D1094, Mgt_Unit!$C$5:$C$1018, 0)), INDEX(Mgt_Unit!$B$5:$B$1018, MATCH(D1094, Mgt_Unit!$C$5:$C$1018, 0)), "")</f>
        <v>jennifer.moore</v>
      </c>
      <c r="C1094" s="28"/>
      <c r="D1094" s="17" t="s">
        <v>992</v>
      </c>
      <c r="F1094" s="41" t="s">
        <v>1351</v>
      </c>
      <c r="I1094" s="39">
        <v>2.1</v>
      </c>
      <c r="J1094" s="40">
        <v>6.52</v>
      </c>
      <c r="K1094" s="39">
        <v>6.2600000000000003E-2</v>
      </c>
    </row>
    <row r="1095" spans="2:11" x14ac:dyDescent="0.25">
      <c r="B1095" s="28" t="str">
        <f>IF(ISNUMBER(MATCH(D1095, Mgt_Unit!$C$5:$C$1018, 0)), INDEX(Mgt_Unit!$B$5:$B$1018, MATCH(D1095, Mgt_Unit!$C$5:$C$1018, 0)), "")</f>
        <v>jennifer.moore</v>
      </c>
      <c r="C1095" s="28"/>
      <c r="D1095" s="17" t="s">
        <v>991</v>
      </c>
      <c r="F1095" s="41" t="s">
        <v>1351</v>
      </c>
      <c r="I1095" s="39">
        <v>1.5</v>
      </c>
      <c r="J1095" s="40">
        <v>5.45</v>
      </c>
      <c r="K1095" s="39">
        <v>3.9199999999999999E-2</v>
      </c>
    </row>
    <row r="1096" spans="2:11" x14ac:dyDescent="0.25">
      <c r="B1096" s="28" t="str">
        <f>IF(ISNUMBER(MATCH(D1096, Mgt_Unit!$C$5:$C$1018, 0)), INDEX(Mgt_Unit!$B$5:$B$1018, MATCH(D1096, Mgt_Unit!$C$5:$C$1018, 0)), "")</f>
        <v>jennifer.moore</v>
      </c>
      <c r="C1096" s="28"/>
      <c r="D1096" s="17" t="s">
        <v>991</v>
      </c>
      <c r="F1096" s="41" t="s">
        <v>1351</v>
      </c>
      <c r="I1096" s="39">
        <v>2.2999999999999998</v>
      </c>
      <c r="J1096" s="40">
        <v>5.42</v>
      </c>
      <c r="K1096" s="39">
        <v>4.6899999999999997E-2</v>
      </c>
    </row>
    <row r="1097" spans="2:11" x14ac:dyDescent="0.25">
      <c r="B1097" s="28" t="str">
        <f>IF(ISNUMBER(MATCH(D1097, Mgt_Unit!$C$5:$C$1018, 0)), INDEX(Mgt_Unit!$B$5:$B$1018, MATCH(D1097, Mgt_Unit!$C$5:$C$1018, 0)), "")</f>
        <v>jennifer.moore</v>
      </c>
      <c r="C1097" s="28"/>
      <c r="D1097" s="17" t="s">
        <v>991</v>
      </c>
      <c r="F1097" s="41" t="s">
        <v>1351</v>
      </c>
      <c r="I1097" s="39">
        <v>2.2999999999999998</v>
      </c>
      <c r="J1097" s="40">
        <v>6.91</v>
      </c>
      <c r="K1097" s="39">
        <v>9.2999999999999999E-2</v>
      </c>
    </row>
    <row r="1098" spans="2:11" x14ac:dyDescent="0.25">
      <c r="B1098" s="28" t="str">
        <f>IF(ISNUMBER(MATCH(D1098, Mgt_Unit!$C$5:$C$1018, 0)), INDEX(Mgt_Unit!$B$5:$B$1018, MATCH(D1098, Mgt_Unit!$C$5:$C$1018, 0)), "")</f>
        <v>jennifer.moore</v>
      </c>
      <c r="C1098" s="28"/>
      <c r="D1098" s="17" t="s">
        <v>991</v>
      </c>
      <c r="F1098" s="41" t="s">
        <v>1351</v>
      </c>
      <c r="I1098" s="39">
        <v>2.2999999999999998</v>
      </c>
      <c r="J1098" s="40">
        <v>5.72</v>
      </c>
      <c r="K1098" s="39">
        <v>5.0599999999999999E-2</v>
      </c>
    </row>
    <row r="1099" spans="2:11" x14ac:dyDescent="0.25">
      <c r="B1099" s="28" t="str">
        <f>IF(ISNUMBER(MATCH(D1099, Mgt_Unit!$C$5:$C$1018, 0)), INDEX(Mgt_Unit!$B$5:$B$1018, MATCH(D1099, Mgt_Unit!$C$5:$C$1018, 0)), "")</f>
        <v>jennifer.moore</v>
      </c>
      <c r="C1099" s="28"/>
      <c r="D1099" s="17" t="s">
        <v>1332</v>
      </c>
      <c r="F1099" s="41" t="s">
        <v>1351</v>
      </c>
      <c r="I1099" s="39">
        <v>3.7</v>
      </c>
      <c r="J1099" s="40">
        <v>7.35</v>
      </c>
      <c r="K1099" s="39">
        <v>0.27100000000000002</v>
      </c>
    </row>
    <row r="1100" spans="2:11" x14ac:dyDescent="0.25">
      <c r="B1100" s="28" t="str">
        <f>IF(ISNUMBER(MATCH(D1100, Mgt_Unit!$C$5:$C$1018, 0)), INDEX(Mgt_Unit!$B$5:$B$1018, MATCH(D1100, Mgt_Unit!$C$5:$C$1018, 0)), "")</f>
        <v>jennifer.moore</v>
      </c>
      <c r="C1100" s="28"/>
      <c r="D1100" s="17" t="s">
        <v>994</v>
      </c>
      <c r="F1100" s="41" t="s">
        <v>1351</v>
      </c>
      <c r="I1100" s="39">
        <v>2.2999999999999998</v>
      </c>
      <c r="J1100" s="40">
        <v>7.09</v>
      </c>
      <c r="K1100" s="39">
        <v>7.46E-2</v>
      </c>
    </row>
    <row r="1101" spans="2:11" x14ac:dyDescent="0.25">
      <c r="B1101" s="28" t="str">
        <f>IF(ISNUMBER(MATCH(D1101, Mgt_Unit!$C$5:$C$1018, 0)), INDEX(Mgt_Unit!$B$5:$B$1018, MATCH(D1101, Mgt_Unit!$C$5:$C$1018, 0)), "")</f>
        <v>jennifer.moore</v>
      </c>
      <c r="C1101" s="28"/>
      <c r="D1101" s="17" t="s">
        <v>994</v>
      </c>
      <c r="F1101" s="41" t="s">
        <v>1351</v>
      </c>
      <c r="I1101" s="39">
        <v>4.2</v>
      </c>
      <c r="J1101" s="40">
        <v>7.12</v>
      </c>
      <c r="K1101" s="39">
        <v>0.1038</v>
      </c>
    </row>
    <row r="1102" spans="2:11" x14ac:dyDescent="0.25">
      <c r="B1102" s="28" t="str">
        <f>IF(ISNUMBER(MATCH(D1102, Mgt_Unit!$C$5:$C$1018, 0)), INDEX(Mgt_Unit!$B$5:$B$1018, MATCH(D1102, Mgt_Unit!$C$5:$C$1018, 0)), "")</f>
        <v>jennifer.moore</v>
      </c>
      <c r="C1102" s="28"/>
      <c r="D1102" s="17" t="s">
        <v>994</v>
      </c>
      <c r="F1102" s="41" t="s">
        <v>1351</v>
      </c>
      <c r="I1102" s="39">
        <v>4.2</v>
      </c>
      <c r="J1102" s="40">
        <v>7.41</v>
      </c>
      <c r="K1102" s="39">
        <v>0.18859999999999999</v>
      </c>
    </row>
    <row r="1103" spans="2:11" x14ac:dyDescent="0.25">
      <c r="B1103" s="28" t="str">
        <f>IF(ISNUMBER(MATCH(D1103, Mgt_Unit!$C$5:$C$1018, 0)), INDEX(Mgt_Unit!$B$5:$B$1018, MATCH(D1103, Mgt_Unit!$C$5:$C$1018, 0)), "")</f>
        <v>jennifer.moore</v>
      </c>
      <c r="C1103" s="28"/>
      <c r="D1103" s="17" t="s">
        <v>994</v>
      </c>
      <c r="F1103" s="41" t="s">
        <v>1351</v>
      </c>
      <c r="I1103" s="39">
        <v>3.5</v>
      </c>
      <c r="J1103" s="40">
        <v>6.99</v>
      </c>
      <c r="K1103" s="39">
        <v>7.9600000000000004E-2</v>
      </c>
    </row>
    <row r="1104" spans="2:11" x14ac:dyDescent="0.25">
      <c r="B1104" s="28" t="str">
        <f>IF(ISNUMBER(MATCH(D1104, Mgt_Unit!$C$5:$C$1018, 0)), INDEX(Mgt_Unit!$B$5:$B$1018, MATCH(D1104, Mgt_Unit!$C$5:$C$1018, 0)), "")</f>
        <v>jennifer.moore</v>
      </c>
      <c r="C1104" s="28"/>
      <c r="D1104" s="17" t="s">
        <v>993</v>
      </c>
      <c r="F1104" s="41" t="s">
        <v>1351</v>
      </c>
      <c r="I1104" s="39">
        <v>4.5</v>
      </c>
      <c r="J1104" s="40">
        <v>6.51</v>
      </c>
      <c r="K1104" s="39">
        <v>8.48E-2</v>
      </c>
    </row>
    <row r="1105" spans="2:11" x14ac:dyDescent="0.25">
      <c r="B1105" s="28" t="str">
        <f>IF(ISNUMBER(MATCH(D1105, Mgt_Unit!$C$5:$C$1018, 0)), INDEX(Mgt_Unit!$B$5:$B$1018, MATCH(D1105, Mgt_Unit!$C$5:$C$1018, 0)), "")</f>
        <v>jennifer.moore</v>
      </c>
      <c r="C1105" s="28"/>
      <c r="D1105" s="17" t="s">
        <v>993</v>
      </c>
      <c r="F1105" s="41" t="s">
        <v>1351</v>
      </c>
      <c r="I1105" s="39">
        <v>4.5999999999999996</v>
      </c>
      <c r="J1105" s="40">
        <v>6.58</v>
      </c>
      <c r="K1105" s="39">
        <v>0.10009999999999999</v>
      </c>
    </row>
    <row r="1106" spans="2:11" x14ac:dyDescent="0.25">
      <c r="B1106" s="28" t="str">
        <f>IF(ISNUMBER(MATCH(D1106, Mgt_Unit!$C$5:$C$1018, 0)), INDEX(Mgt_Unit!$B$5:$B$1018, MATCH(D1106, Mgt_Unit!$C$5:$C$1018, 0)), "")</f>
        <v>jennifer.moore</v>
      </c>
      <c r="C1106" s="28"/>
      <c r="D1106" s="17" t="s">
        <v>993</v>
      </c>
      <c r="F1106" s="41" t="s">
        <v>1351</v>
      </c>
      <c r="I1106" s="39">
        <v>4.0999999999999996</v>
      </c>
      <c r="J1106" s="40">
        <v>6.71</v>
      </c>
      <c r="K1106" s="39">
        <v>9.64E-2</v>
      </c>
    </row>
    <row r="1107" spans="2:11" x14ac:dyDescent="0.25">
      <c r="B1107" s="28" t="str">
        <f>IF(ISNUMBER(MATCH(D1107, Mgt_Unit!$C$5:$C$1018, 0)), INDEX(Mgt_Unit!$B$5:$B$1018, MATCH(D1107, Mgt_Unit!$C$5:$C$1018, 0)), "")</f>
        <v>jennifer.moore</v>
      </c>
      <c r="C1107" s="28"/>
      <c r="D1107" s="17" t="s">
        <v>993</v>
      </c>
      <c r="F1107" s="41" t="s">
        <v>1351</v>
      </c>
      <c r="I1107" s="39">
        <v>3.3</v>
      </c>
      <c r="J1107" s="40">
        <v>6.2</v>
      </c>
      <c r="K1107" s="39">
        <v>7.46E-2</v>
      </c>
    </row>
    <row r="1108" spans="2:11" x14ac:dyDescent="0.25">
      <c r="B1108" s="28" t="str">
        <f>IF(ISNUMBER(MATCH(D1108, Mgt_Unit!$C$5:$C$1018, 0)), INDEX(Mgt_Unit!$B$5:$B$1018, MATCH(D1108, Mgt_Unit!$C$5:$C$1018, 0)), "")</f>
        <v>jennifer.moore</v>
      </c>
      <c r="C1108" s="28"/>
      <c r="D1108" s="17" t="s">
        <v>1333</v>
      </c>
      <c r="F1108" s="41" t="s">
        <v>1351</v>
      </c>
      <c r="I1108" s="39">
        <v>5.6</v>
      </c>
      <c r="J1108" s="40">
        <v>6.63</v>
      </c>
      <c r="K1108" s="39">
        <v>0.1273</v>
      </c>
    </row>
    <row r="1109" spans="2:11" x14ac:dyDescent="0.25">
      <c r="B1109" s="28" t="str">
        <f>IF(ISNUMBER(MATCH(D1109, Mgt_Unit!$C$5:$C$1018, 0)), INDEX(Mgt_Unit!$B$5:$B$1018, MATCH(D1109, Mgt_Unit!$C$5:$C$1018, 0)), "")</f>
        <v>jennifer.moore</v>
      </c>
      <c r="C1109" s="28"/>
      <c r="D1109" s="17" t="s">
        <v>997</v>
      </c>
      <c r="F1109" s="41" t="s">
        <v>1351</v>
      </c>
      <c r="I1109" s="39">
        <v>3.8</v>
      </c>
      <c r="J1109" s="40">
        <v>7.69</v>
      </c>
      <c r="K1109" s="39">
        <v>0.17799999999999999</v>
      </c>
    </row>
    <row r="1110" spans="2:11" x14ac:dyDescent="0.25">
      <c r="B1110" s="28" t="str">
        <f>IF(ISNUMBER(MATCH(D1110, Mgt_Unit!$C$5:$C$1018, 0)), INDEX(Mgt_Unit!$B$5:$B$1018, MATCH(D1110, Mgt_Unit!$C$5:$C$1018, 0)), "")</f>
        <v>jennifer.moore</v>
      </c>
      <c r="C1110" s="28"/>
      <c r="D1110" s="17" t="s">
        <v>997</v>
      </c>
      <c r="F1110" s="41" t="s">
        <v>1351</v>
      </c>
      <c r="I1110" s="39">
        <v>3.8</v>
      </c>
      <c r="J1110" s="40">
        <v>7.71</v>
      </c>
      <c r="K1110" s="39">
        <v>0.16400000000000001</v>
      </c>
    </row>
    <row r="1111" spans="2:11" x14ac:dyDescent="0.25">
      <c r="B1111" s="28" t="str">
        <f>IF(ISNUMBER(MATCH(D1111, Mgt_Unit!$C$5:$C$1018, 0)), INDEX(Mgt_Unit!$B$5:$B$1018, MATCH(D1111, Mgt_Unit!$C$5:$C$1018, 0)), "")</f>
        <v>jennifer.moore</v>
      </c>
      <c r="C1111" s="28"/>
      <c r="D1111" s="17" t="s">
        <v>997</v>
      </c>
      <c r="F1111" s="41" t="s">
        <v>1351</v>
      </c>
      <c r="I1111" s="39">
        <v>4</v>
      </c>
      <c r="J1111" s="40">
        <v>7.67</v>
      </c>
      <c r="K1111" s="39">
        <v>0.193</v>
      </c>
    </row>
    <row r="1112" spans="2:11" x14ac:dyDescent="0.25">
      <c r="B1112" s="28" t="str">
        <f>IF(ISNUMBER(MATCH(D1112, Mgt_Unit!$C$5:$C$1018, 0)), INDEX(Mgt_Unit!$B$5:$B$1018, MATCH(D1112, Mgt_Unit!$C$5:$C$1018, 0)), "")</f>
        <v>jennifer.moore</v>
      </c>
      <c r="C1112" s="28"/>
      <c r="D1112" s="17" t="s">
        <v>997</v>
      </c>
      <c r="F1112" s="41" t="s">
        <v>1351</v>
      </c>
      <c r="I1112" s="39">
        <v>4.0999999999999996</v>
      </c>
      <c r="J1112" s="40">
        <v>7.76</v>
      </c>
      <c r="K1112" s="39">
        <v>0.16900000000000001</v>
      </c>
    </row>
    <row r="1113" spans="2:11" x14ac:dyDescent="0.25">
      <c r="B1113" s="28" t="str">
        <f>IF(ISNUMBER(MATCH(D1113, Mgt_Unit!$C$5:$C$1018, 0)), INDEX(Mgt_Unit!$B$5:$B$1018, MATCH(D1113, Mgt_Unit!$C$5:$C$1018, 0)), "")</f>
        <v>jennifer.moore</v>
      </c>
      <c r="C1113" s="28"/>
      <c r="D1113" s="17" t="s">
        <v>997</v>
      </c>
      <c r="F1113" s="41" t="s">
        <v>1351</v>
      </c>
      <c r="I1113" s="39">
        <v>3.7</v>
      </c>
      <c r="J1113" s="40">
        <v>7.68</v>
      </c>
      <c r="K1113" s="39">
        <v>0.17100000000000001</v>
      </c>
    </row>
    <row r="1114" spans="2:11" x14ac:dyDescent="0.25">
      <c r="B1114" s="28" t="str">
        <f>IF(ISNUMBER(MATCH(D1114, Mgt_Unit!$C$5:$C$1018, 0)), INDEX(Mgt_Unit!$B$5:$B$1018, MATCH(D1114, Mgt_Unit!$C$5:$C$1018, 0)), "")</f>
        <v>jennifer.moore</v>
      </c>
      <c r="C1114" s="28"/>
      <c r="D1114" s="17" t="s">
        <v>997</v>
      </c>
      <c r="F1114" s="41" t="s">
        <v>1351</v>
      </c>
      <c r="I1114" s="39">
        <v>3.7</v>
      </c>
      <c r="J1114" s="40">
        <v>7.61</v>
      </c>
      <c r="K1114" s="39">
        <v>0.159</v>
      </c>
    </row>
    <row r="1115" spans="2:11" x14ac:dyDescent="0.25">
      <c r="B1115" s="28" t="str">
        <f>IF(ISNUMBER(MATCH(D1115, Mgt_Unit!$C$5:$C$1018, 0)), INDEX(Mgt_Unit!$B$5:$B$1018, MATCH(D1115, Mgt_Unit!$C$5:$C$1018, 0)), "")</f>
        <v>jennifer.moore</v>
      </c>
      <c r="C1115" s="28"/>
      <c r="D1115" s="17" t="s">
        <v>998</v>
      </c>
      <c r="F1115" s="41" t="s">
        <v>1351</v>
      </c>
      <c r="I1115" s="39">
        <v>3.8</v>
      </c>
      <c r="J1115" s="40">
        <v>7.73</v>
      </c>
      <c r="K1115" s="39">
        <v>0.16</v>
      </c>
    </row>
    <row r="1116" spans="2:11" x14ac:dyDescent="0.25">
      <c r="B1116" s="28" t="str">
        <f>IF(ISNUMBER(MATCH(D1116, Mgt_Unit!$C$5:$C$1018, 0)), INDEX(Mgt_Unit!$B$5:$B$1018, MATCH(D1116, Mgt_Unit!$C$5:$C$1018, 0)), "")</f>
        <v>jennifer.moore</v>
      </c>
      <c r="C1116" s="28"/>
      <c r="D1116" s="17" t="s">
        <v>998</v>
      </c>
      <c r="F1116" s="41" t="s">
        <v>1351</v>
      </c>
      <c r="I1116" s="39">
        <v>3.8</v>
      </c>
      <c r="J1116" s="40">
        <v>7.89</v>
      </c>
      <c r="K1116" s="39">
        <v>0.19400000000000001</v>
      </c>
    </row>
    <row r="1117" spans="2:11" x14ac:dyDescent="0.25">
      <c r="B1117" s="28" t="str">
        <f>IF(ISNUMBER(MATCH(D1117, Mgt_Unit!$C$5:$C$1018, 0)), INDEX(Mgt_Unit!$B$5:$B$1018, MATCH(D1117, Mgt_Unit!$C$5:$C$1018, 0)), "")</f>
        <v>jennifer.moore</v>
      </c>
      <c r="C1117" s="28"/>
      <c r="D1117" s="17" t="s">
        <v>998</v>
      </c>
      <c r="F1117" s="41" t="s">
        <v>1351</v>
      </c>
      <c r="I1117" s="39">
        <v>3.3</v>
      </c>
      <c r="J1117" s="40">
        <v>7.92</v>
      </c>
      <c r="K1117" s="39">
        <v>0.16300000000000001</v>
      </c>
    </row>
    <row r="1118" spans="2:11" x14ac:dyDescent="0.25">
      <c r="B1118" s="28" t="str">
        <f>IF(ISNUMBER(MATCH(D1118, Mgt_Unit!$C$5:$C$1018, 0)), INDEX(Mgt_Unit!$B$5:$B$1018, MATCH(D1118, Mgt_Unit!$C$5:$C$1018, 0)), "")</f>
        <v>jennifer.moore</v>
      </c>
      <c r="C1118" s="28"/>
      <c r="D1118" s="17" t="s">
        <v>998</v>
      </c>
      <c r="F1118" s="41" t="s">
        <v>1351</v>
      </c>
      <c r="I1118" s="39">
        <v>3.8</v>
      </c>
      <c r="J1118" s="40">
        <v>7.82</v>
      </c>
      <c r="K1118" s="39">
        <v>0.19800000000000001</v>
      </c>
    </row>
    <row r="1119" spans="2:11" x14ac:dyDescent="0.25">
      <c r="B1119" s="28" t="str">
        <f>IF(ISNUMBER(MATCH(D1119, Mgt_Unit!$C$5:$C$1018, 0)), INDEX(Mgt_Unit!$B$5:$B$1018, MATCH(D1119, Mgt_Unit!$C$5:$C$1018, 0)), "")</f>
        <v>jennifer.moore</v>
      </c>
      <c r="C1119" s="28"/>
      <c r="D1119" s="17" t="s">
        <v>998</v>
      </c>
      <c r="F1119" s="41" t="s">
        <v>1351</v>
      </c>
      <c r="I1119" s="39">
        <v>3.6</v>
      </c>
      <c r="J1119" s="40">
        <v>7.81</v>
      </c>
      <c r="K1119" s="39">
        <v>0.16300000000000001</v>
      </c>
    </row>
    <row r="1120" spans="2:11" x14ac:dyDescent="0.25">
      <c r="B1120" s="28" t="str">
        <f>IF(ISNUMBER(MATCH(D1120, Mgt_Unit!$C$5:$C$1018, 0)), INDEX(Mgt_Unit!$B$5:$B$1018, MATCH(D1120, Mgt_Unit!$C$5:$C$1018, 0)), "")</f>
        <v>jennifer.moore</v>
      </c>
      <c r="C1120" s="28"/>
      <c r="D1120" s="17" t="s">
        <v>998</v>
      </c>
      <c r="F1120" s="41" t="s">
        <v>1351</v>
      </c>
      <c r="I1120" s="39">
        <v>3.3</v>
      </c>
      <c r="J1120" s="40">
        <v>7.95</v>
      </c>
      <c r="K1120" s="39">
        <v>0.18099999999999999</v>
      </c>
    </row>
    <row r="1121" spans="2:11" x14ac:dyDescent="0.25">
      <c r="B1121" s="28" t="str">
        <f>IF(ISNUMBER(MATCH(D1121, Mgt_Unit!$C$5:$C$1018, 0)), INDEX(Mgt_Unit!$B$5:$B$1018, MATCH(D1121, Mgt_Unit!$C$5:$C$1018, 0)), "")</f>
        <v>jennifer.moore</v>
      </c>
      <c r="C1121" s="28"/>
      <c r="D1121" s="17" t="s">
        <v>995</v>
      </c>
      <c r="F1121" s="41" t="s">
        <v>1351</v>
      </c>
      <c r="I1121" s="39">
        <v>3.2</v>
      </c>
      <c r="J1121" s="40">
        <v>7.29</v>
      </c>
      <c r="K1121" s="39">
        <v>0.20499999999999999</v>
      </c>
    </row>
    <row r="1122" spans="2:11" x14ac:dyDescent="0.25">
      <c r="B1122" s="28" t="str">
        <f>IF(ISNUMBER(MATCH(D1122, Mgt_Unit!$C$5:$C$1018, 0)), INDEX(Mgt_Unit!$B$5:$B$1018, MATCH(D1122, Mgt_Unit!$C$5:$C$1018, 0)), "")</f>
        <v>jennifer.moore</v>
      </c>
      <c r="C1122" s="28"/>
      <c r="D1122" s="17" t="s">
        <v>995</v>
      </c>
      <c r="F1122" s="41" t="s">
        <v>1351</v>
      </c>
      <c r="I1122" s="39">
        <v>3.3</v>
      </c>
      <c r="J1122" s="40">
        <v>7.29</v>
      </c>
      <c r="K1122" s="39">
        <v>0.19800000000000001</v>
      </c>
    </row>
    <row r="1123" spans="2:11" x14ac:dyDescent="0.25">
      <c r="B1123" s="28" t="str">
        <f>IF(ISNUMBER(MATCH(D1123, Mgt_Unit!$C$5:$C$1018, 0)), INDEX(Mgt_Unit!$B$5:$B$1018, MATCH(D1123, Mgt_Unit!$C$5:$C$1018, 0)), "")</f>
        <v>jennifer.moore</v>
      </c>
      <c r="C1123" s="28"/>
      <c r="D1123" s="17" t="s">
        <v>995</v>
      </c>
      <c r="F1123" s="41" t="s">
        <v>1351</v>
      </c>
      <c r="I1123" s="39">
        <v>2.9</v>
      </c>
      <c r="J1123" s="40">
        <v>7.43</v>
      </c>
      <c r="K1123" s="39">
        <v>0.187</v>
      </c>
    </row>
    <row r="1124" spans="2:11" x14ac:dyDescent="0.25">
      <c r="B1124" s="28" t="str">
        <f>IF(ISNUMBER(MATCH(D1124, Mgt_Unit!$C$5:$C$1018, 0)), INDEX(Mgt_Unit!$B$5:$B$1018, MATCH(D1124, Mgt_Unit!$C$5:$C$1018, 0)), "")</f>
        <v>jennifer.moore</v>
      </c>
      <c r="C1124" s="28"/>
      <c r="D1124" s="17" t="s">
        <v>995</v>
      </c>
      <c r="F1124" s="41" t="s">
        <v>1351</v>
      </c>
      <c r="I1124" s="39">
        <v>3.5</v>
      </c>
      <c r="J1124" s="40">
        <v>7.32</v>
      </c>
      <c r="K1124" s="39">
        <v>0.16900000000000001</v>
      </c>
    </row>
    <row r="1125" spans="2:11" x14ac:dyDescent="0.25">
      <c r="B1125" s="28" t="str">
        <f>IF(ISNUMBER(MATCH(D1125, Mgt_Unit!$C$5:$C$1018, 0)), INDEX(Mgt_Unit!$B$5:$B$1018, MATCH(D1125, Mgt_Unit!$C$5:$C$1018, 0)), "")</f>
        <v>jennifer.moore</v>
      </c>
      <c r="C1125" s="28"/>
      <c r="D1125" s="17" t="s">
        <v>995</v>
      </c>
      <c r="F1125" s="41" t="s">
        <v>1351</v>
      </c>
      <c r="I1125" s="39">
        <v>3.1</v>
      </c>
      <c r="J1125" s="40">
        <v>7.31</v>
      </c>
      <c r="K1125" s="39">
        <v>0.151</v>
      </c>
    </row>
    <row r="1126" spans="2:11" x14ac:dyDescent="0.25">
      <c r="B1126" s="28" t="str">
        <f>IF(ISNUMBER(MATCH(D1126, Mgt_Unit!$C$5:$C$1018, 0)), INDEX(Mgt_Unit!$B$5:$B$1018, MATCH(D1126, Mgt_Unit!$C$5:$C$1018, 0)), "")</f>
        <v>jennifer.moore</v>
      </c>
      <c r="C1126" s="28"/>
      <c r="D1126" s="17" t="s">
        <v>995</v>
      </c>
      <c r="F1126" s="41" t="s">
        <v>1351</v>
      </c>
      <c r="I1126" s="39">
        <v>3.3</v>
      </c>
      <c r="J1126" s="40">
        <v>7.4</v>
      </c>
      <c r="K1126" s="39">
        <v>0.18099999999999999</v>
      </c>
    </row>
    <row r="1127" spans="2:11" x14ac:dyDescent="0.25">
      <c r="B1127" s="28" t="str">
        <f>IF(ISNUMBER(MATCH(D1127, Mgt_Unit!$C$5:$C$1018, 0)), INDEX(Mgt_Unit!$B$5:$B$1018, MATCH(D1127, Mgt_Unit!$C$5:$C$1018, 0)), "")</f>
        <v>jennifer.moore</v>
      </c>
      <c r="C1127" s="28"/>
      <c r="D1127" s="17" t="s">
        <v>996</v>
      </c>
      <c r="F1127" s="41" t="s">
        <v>1351</v>
      </c>
      <c r="I1127" s="39">
        <v>3.1</v>
      </c>
      <c r="J1127" s="40">
        <v>7.55</v>
      </c>
      <c r="K1127" s="39">
        <v>0.17599999999999999</v>
      </c>
    </row>
    <row r="1128" spans="2:11" x14ac:dyDescent="0.25">
      <c r="B1128" s="28" t="str">
        <f>IF(ISNUMBER(MATCH(D1128, Mgt_Unit!$C$5:$C$1018, 0)), INDEX(Mgt_Unit!$B$5:$B$1018, MATCH(D1128, Mgt_Unit!$C$5:$C$1018, 0)), "")</f>
        <v>jennifer.moore</v>
      </c>
      <c r="C1128" s="28"/>
      <c r="D1128" s="17" t="s">
        <v>996</v>
      </c>
      <c r="F1128" s="41" t="s">
        <v>1351</v>
      </c>
      <c r="I1128" s="39">
        <v>3.2</v>
      </c>
      <c r="J1128" s="40">
        <v>7.63</v>
      </c>
      <c r="K1128" s="39">
        <v>0.183</v>
      </c>
    </row>
    <row r="1129" spans="2:11" x14ac:dyDescent="0.25">
      <c r="B1129" s="28" t="str">
        <f>IF(ISNUMBER(MATCH(D1129, Mgt_Unit!$C$5:$C$1018, 0)), INDEX(Mgt_Unit!$B$5:$B$1018, MATCH(D1129, Mgt_Unit!$C$5:$C$1018, 0)), "")</f>
        <v>jennifer.moore</v>
      </c>
      <c r="C1129" s="28"/>
      <c r="D1129" s="17" t="s">
        <v>996</v>
      </c>
      <c r="F1129" s="41" t="s">
        <v>1351</v>
      </c>
      <c r="I1129" s="39">
        <v>3</v>
      </c>
      <c r="J1129" s="40">
        <v>7.71</v>
      </c>
      <c r="K1129" s="39">
        <v>0.16700000000000001</v>
      </c>
    </row>
    <row r="1130" spans="2:11" x14ac:dyDescent="0.25">
      <c r="B1130" s="28" t="str">
        <f>IF(ISNUMBER(MATCH(D1130, Mgt_Unit!$C$5:$C$1018, 0)), INDEX(Mgt_Unit!$B$5:$B$1018, MATCH(D1130, Mgt_Unit!$C$5:$C$1018, 0)), "")</f>
        <v>jennifer.moore</v>
      </c>
      <c r="C1130" s="28"/>
      <c r="D1130" s="17" t="s">
        <v>996</v>
      </c>
      <c r="F1130" s="41" t="s">
        <v>1351</v>
      </c>
      <c r="I1130" s="39">
        <v>3.5</v>
      </c>
      <c r="J1130" s="40">
        <v>7.57</v>
      </c>
      <c r="K1130" s="39">
        <v>0.161</v>
      </c>
    </row>
    <row r="1131" spans="2:11" x14ac:dyDescent="0.25">
      <c r="B1131" s="28" t="str">
        <f>IF(ISNUMBER(MATCH(D1131, Mgt_Unit!$C$5:$C$1018, 0)), INDEX(Mgt_Unit!$B$5:$B$1018, MATCH(D1131, Mgt_Unit!$C$5:$C$1018, 0)), "")</f>
        <v>jennifer.moore</v>
      </c>
      <c r="C1131" s="28"/>
      <c r="D1131" s="17" t="s">
        <v>996</v>
      </c>
      <c r="F1131" s="41" t="s">
        <v>1351</v>
      </c>
      <c r="I1131" s="39">
        <v>2.8</v>
      </c>
      <c r="J1131" s="40">
        <v>7.62</v>
      </c>
      <c r="K1131" s="39">
        <v>0.17</v>
      </c>
    </row>
    <row r="1132" spans="2:11" x14ac:dyDescent="0.25">
      <c r="B1132" s="28" t="str">
        <f>IF(ISNUMBER(MATCH(D1132, Mgt_Unit!$C$5:$C$1018, 0)), INDEX(Mgt_Unit!$B$5:$B$1018, MATCH(D1132, Mgt_Unit!$C$5:$C$1018, 0)), "")</f>
        <v>jennifer.moore</v>
      </c>
      <c r="C1132" s="28"/>
      <c r="D1132" s="17" t="s">
        <v>996</v>
      </c>
      <c r="F1132" s="41" t="s">
        <v>1351</v>
      </c>
      <c r="I1132" s="39">
        <v>3</v>
      </c>
      <c r="J1132" s="40">
        <v>7.62</v>
      </c>
      <c r="K1132" s="39">
        <v>0.153</v>
      </c>
    </row>
    <row r="1133" spans="2:11" x14ac:dyDescent="0.25">
      <c r="B1133" s="28" t="str">
        <f>IF(ISNUMBER(MATCH(D1133, Mgt_Unit!$C$5:$C$1018, 0)), INDEX(Mgt_Unit!$B$5:$B$1018, MATCH(D1133, Mgt_Unit!$C$5:$C$1018, 0)), "")</f>
        <v>jennifer.moore</v>
      </c>
      <c r="C1133" s="28"/>
      <c r="D1133" s="17" t="s">
        <v>1334</v>
      </c>
      <c r="F1133" s="41" t="s">
        <v>1351</v>
      </c>
      <c r="I1133" s="39">
        <v>5.3</v>
      </c>
      <c r="J1133" s="40">
        <v>7.58</v>
      </c>
      <c r="K1133" s="39">
        <v>0.20899999999999999</v>
      </c>
    </row>
    <row r="1134" spans="2:11" x14ac:dyDescent="0.25">
      <c r="B1134" s="28" t="str">
        <f>IF(ISNUMBER(MATCH(D1134, Mgt_Unit!$C$5:$C$1018, 0)), INDEX(Mgt_Unit!$B$5:$B$1018, MATCH(D1134, Mgt_Unit!$C$5:$C$1018, 0)), "")</f>
        <v>jennifer.moore</v>
      </c>
      <c r="C1134" s="28"/>
      <c r="D1134" s="17" t="s">
        <v>1000</v>
      </c>
      <c r="F1134" s="41" t="s">
        <v>1351</v>
      </c>
      <c r="I1134" s="39">
        <v>4.5</v>
      </c>
      <c r="J1134" s="40">
        <v>6.18</v>
      </c>
      <c r="K1134" s="39">
        <v>0.1255</v>
      </c>
    </row>
    <row r="1135" spans="2:11" x14ac:dyDescent="0.25">
      <c r="B1135" s="28" t="str">
        <f>IF(ISNUMBER(MATCH(D1135, Mgt_Unit!$C$5:$C$1018, 0)), INDEX(Mgt_Unit!$B$5:$B$1018, MATCH(D1135, Mgt_Unit!$C$5:$C$1018, 0)), "")</f>
        <v>jennifer.moore</v>
      </c>
      <c r="C1135" s="28"/>
      <c r="D1135" s="17" t="s">
        <v>1000</v>
      </c>
      <c r="F1135" s="41" t="s">
        <v>1351</v>
      </c>
      <c r="I1135" s="39">
        <v>4.7</v>
      </c>
      <c r="J1135" s="40">
        <v>6.05</v>
      </c>
      <c r="K1135" s="39">
        <v>0.13139999999999999</v>
      </c>
    </row>
    <row r="1136" spans="2:11" x14ac:dyDescent="0.25">
      <c r="B1136" s="28" t="str">
        <f>IF(ISNUMBER(MATCH(D1136, Mgt_Unit!$C$5:$C$1018, 0)), INDEX(Mgt_Unit!$B$5:$B$1018, MATCH(D1136, Mgt_Unit!$C$5:$C$1018, 0)), "")</f>
        <v>jennifer.moore</v>
      </c>
      <c r="C1136" s="28"/>
      <c r="D1136" s="17" t="s">
        <v>1000</v>
      </c>
      <c r="F1136" s="41" t="s">
        <v>1351</v>
      </c>
      <c r="I1136" s="39">
        <v>4.5999999999999996</v>
      </c>
      <c r="J1136" s="40">
        <v>6.12</v>
      </c>
      <c r="K1136" s="39">
        <v>0.11509999999999999</v>
      </c>
    </row>
    <row r="1137" spans="2:11" x14ac:dyDescent="0.25">
      <c r="B1137" s="28" t="str">
        <f>IF(ISNUMBER(MATCH(D1137, Mgt_Unit!$C$5:$C$1018, 0)), INDEX(Mgt_Unit!$B$5:$B$1018, MATCH(D1137, Mgt_Unit!$C$5:$C$1018, 0)), "")</f>
        <v>jennifer.moore</v>
      </c>
      <c r="C1137" s="28"/>
      <c r="D1137" s="17" t="s">
        <v>1001</v>
      </c>
      <c r="F1137" s="41" t="s">
        <v>1351</v>
      </c>
      <c r="I1137" s="39">
        <v>3.9</v>
      </c>
      <c r="J1137" s="40">
        <v>6.98</v>
      </c>
      <c r="K1137" s="39">
        <v>0.1021</v>
      </c>
    </row>
    <row r="1138" spans="2:11" x14ac:dyDescent="0.25">
      <c r="B1138" s="28" t="str">
        <f>IF(ISNUMBER(MATCH(D1138, Mgt_Unit!$C$5:$C$1018, 0)), INDEX(Mgt_Unit!$B$5:$B$1018, MATCH(D1138, Mgt_Unit!$C$5:$C$1018, 0)), "")</f>
        <v>jennifer.moore</v>
      </c>
      <c r="C1138" s="28"/>
      <c r="D1138" s="17" t="s">
        <v>1001</v>
      </c>
      <c r="F1138" s="41" t="s">
        <v>1351</v>
      </c>
      <c r="I1138" s="39">
        <v>4.5</v>
      </c>
      <c r="J1138" s="40">
        <v>6.84</v>
      </c>
      <c r="K1138" s="39">
        <v>0.1108</v>
      </c>
    </row>
    <row r="1139" spans="2:11" x14ac:dyDescent="0.25">
      <c r="B1139" s="28" t="str">
        <f>IF(ISNUMBER(MATCH(D1139, Mgt_Unit!$C$5:$C$1018, 0)), INDEX(Mgt_Unit!$B$5:$B$1018, MATCH(D1139, Mgt_Unit!$C$5:$C$1018, 0)), "")</f>
        <v>jennifer.moore</v>
      </c>
      <c r="C1139" s="28"/>
      <c r="D1139" s="17" t="s">
        <v>1001</v>
      </c>
      <c r="F1139" s="41" t="s">
        <v>1351</v>
      </c>
      <c r="I1139" s="39">
        <v>4</v>
      </c>
      <c r="J1139" s="40">
        <v>6.89</v>
      </c>
      <c r="K1139" s="39">
        <v>9.9000000000000005E-2</v>
      </c>
    </row>
    <row r="1140" spans="2:11" x14ac:dyDescent="0.25">
      <c r="B1140" s="28" t="str">
        <f>IF(ISNUMBER(MATCH(D1140, Mgt_Unit!$C$5:$C$1018, 0)), INDEX(Mgt_Unit!$B$5:$B$1018, MATCH(D1140, Mgt_Unit!$C$5:$C$1018, 0)), "")</f>
        <v>jennifer.moore</v>
      </c>
      <c r="C1140" s="28"/>
      <c r="D1140" s="17" t="s">
        <v>999</v>
      </c>
      <c r="F1140" s="41" t="s">
        <v>1351</v>
      </c>
      <c r="I1140" s="39">
        <v>4.4000000000000004</v>
      </c>
      <c r="J1140" s="40">
        <v>6.76</v>
      </c>
      <c r="K1140" s="39">
        <v>0.11070000000000001</v>
      </c>
    </row>
    <row r="1141" spans="2:11" x14ac:dyDescent="0.25">
      <c r="B1141" s="28" t="str">
        <f>IF(ISNUMBER(MATCH(D1141, Mgt_Unit!$C$5:$C$1018, 0)), INDEX(Mgt_Unit!$B$5:$B$1018, MATCH(D1141, Mgt_Unit!$C$5:$C$1018, 0)), "")</f>
        <v>jennifer.moore</v>
      </c>
      <c r="C1141" s="28"/>
      <c r="D1141" s="17" t="s">
        <v>999</v>
      </c>
      <c r="F1141" s="41" t="s">
        <v>1351</v>
      </c>
      <c r="I1141" s="39">
        <v>4</v>
      </c>
      <c r="J1141" s="40">
        <v>6.49</v>
      </c>
      <c r="K1141" s="39">
        <v>9.6600000000000005E-2</v>
      </c>
    </row>
    <row r="1142" spans="2:11" x14ac:dyDescent="0.25">
      <c r="B1142" s="28" t="str">
        <f>IF(ISNUMBER(MATCH(D1142, Mgt_Unit!$C$5:$C$1018, 0)), INDEX(Mgt_Unit!$B$5:$B$1018, MATCH(D1142, Mgt_Unit!$C$5:$C$1018, 0)), "")</f>
        <v>jennifer.moore</v>
      </c>
      <c r="C1142" s="28"/>
      <c r="D1142" s="17" t="s">
        <v>999</v>
      </c>
      <c r="F1142" s="41" t="s">
        <v>1351</v>
      </c>
      <c r="I1142" s="39">
        <v>3.9</v>
      </c>
      <c r="J1142" s="40">
        <v>6.46</v>
      </c>
      <c r="K1142" s="39">
        <v>9.0700000000000003E-2</v>
      </c>
    </row>
    <row r="1143" spans="2:11" x14ac:dyDescent="0.25">
      <c r="B1143" s="28" t="str">
        <f>IF(ISNUMBER(MATCH(D1143, Mgt_Unit!$C$5:$C$1018, 0)), INDEX(Mgt_Unit!$B$5:$B$1018, MATCH(D1143, Mgt_Unit!$C$5:$C$1018, 0)), "")</f>
        <v>jennifer.moore</v>
      </c>
      <c r="C1143" s="28"/>
      <c r="D1143" s="17" t="s">
        <v>1003</v>
      </c>
      <c r="F1143" s="41" t="s">
        <v>1351</v>
      </c>
      <c r="I1143" s="39">
        <v>5.6</v>
      </c>
      <c r="J1143" s="40">
        <v>6.57</v>
      </c>
      <c r="K1143" s="39">
        <v>0.224</v>
      </c>
    </row>
    <row r="1144" spans="2:11" x14ac:dyDescent="0.25">
      <c r="B1144" s="28" t="str">
        <f>IF(ISNUMBER(MATCH(D1144, Mgt_Unit!$C$5:$C$1018, 0)), INDEX(Mgt_Unit!$B$5:$B$1018, MATCH(D1144, Mgt_Unit!$C$5:$C$1018, 0)), "")</f>
        <v>jennifer.moore</v>
      </c>
      <c r="C1144" s="28"/>
      <c r="D1144" s="17" t="s">
        <v>1003</v>
      </c>
      <c r="F1144" s="41" t="s">
        <v>1351</v>
      </c>
      <c r="I1144" s="39">
        <v>6</v>
      </c>
      <c r="J1144" s="40">
        <v>6.2</v>
      </c>
      <c r="K1144" s="39">
        <v>0.14899999999999999</v>
      </c>
    </row>
    <row r="1145" spans="2:11" x14ac:dyDescent="0.25">
      <c r="B1145" s="28" t="str">
        <f>IF(ISNUMBER(MATCH(D1145, Mgt_Unit!$C$5:$C$1018, 0)), INDEX(Mgt_Unit!$B$5:$B$1018, MATCH(D1145, Mgt_Unit!$C$5:$C$1018, 0)), "")</f>
        <v>jennifer.moore</v>
      </c>
      <c r="C1145" s="28"/>
      <c r="D1145" s="17" t="s">
        <v>1003</v>
      </c>
      <c r="F1145" s="41" t="s">
        <v>1351</v>
      </c>
      <c r="I1145" s="39">
        <v>6.2</v>
      </c>
      <c r="J1145" s="40">
        <v>6.37</v>
      </c>
      <c r="K1145" s="39">
        <v>0.16300000000000001</v>
      </c>
    </row>
    <row r="1146" spans="2:11" x14ac:dyDescent="0.25">
      <c r="B1146" s="28" t="str">
        <f>IF(ISNUMBER(MATCH(D1146, Mgt_Unit!$C$5:$C$1018, 0)), INDEX(Mgt_Unit!$B$5:$B$1018, MATCH(D1146, Mgt_Unit!$C$5:$C$1018, 0)), "")</f>
        <v>jennifer.moore</v>
      </c>
      <c r="C1146" s="28"/>
      <c r="D1146" s="17" t="s">
        <v>1004</v>
      </c>
      <c r="F1146" s="41" t="s">
        <v>1351</v>
      </c>
      <c r="I1146" s="39">
        <v>4.5999999999999996</v>
      </c>
      <c r="J1146" s="40">
        <v>6.47</v>
      </c>
      <c r="K1146" s="39">
        <v>0.13700000000000001</v>
      </c>
    </row>
    <row r="1147" spans="2:11" x14ac:dyDescent="0.25">
      <c r="B1147" s="28" t="str">
        <f>IF(ISNUMBER(MATCH(D1147, Mgt_Unit!$C$5:$C$1018, 0)), INDEX(Mgt_Unit!$B$5:$B$1018, MATCH(D1147, Mgt_Unit!$C$5:$C$1018, 0)), "")</f>
        <v>jennifer.moore</v>
      </c>
      <c r="C1147" s="28"/>
      <c r="D1147" s="17" t="s">
        <v>1004</v>
      </c>
      <c r="F1147" s="41" t="s">
        <v>1351</v>
      </c>
      <c r="I1147" s="39">
        <v>5.2</v>
      </c>
      <c r="J1147" s="40">
        <v>6.69</v>
      </c>
      <c r="K1147" s="39">
        <v>0.18099999999999999</v>
      </c>
    </row>
    <row r="1148" spans="2:11" x14ac:dyDescent="0.25">
      <c r="B1148" s="28" t="str">
        <f>IF(ISNUMBER(MATCH(D1148, Mgt_Unit!$C$5:$C$1018, 0)), INDEX(Mgt_Unit!$B$5:$B$1018, MATCH(D1148, Mgt_Unit!$C$5:$C$1018, 0)), "")</f>
        <v>jennifer.moore</v>
      </c>
      <c r="C1148" s="28"/>
      <c r="D1148" s="17" t="s">
        <v>1004</v>
      </c>
      <c r="F1148" s="41" t="s">
        <v>1351</v>
      </c>
      <c r="I1148" s="39">
        <v>5</v>
      </c>
      <c r="J1148" s="40">
        <v>6.3</v>
      </c>
      <c r="K1148" s="39">
        <v>0.105</v>
      </c>
    </row>
    <row r="1149" spans="2:11" x14ac:dyDescent="0.25">
      <c r="B1149" s="28" t="str">
        <f>IF(ISNUMBER(MATCH(D1149, Mgt_Unit!$C$5:$C$1018, 0)), INDEX(Mgt_Unit!$B$5:$B$1018, MATCH(D1149, Mgt_Unit!$C$5:$C$1018, 0)), "")</f>
        <v>jennifer.moore</v>
      </c>
      <c r="C1149" s="28"/>
      <c r="D1149" s="17" t="s">
        <v>1002</v>
      </c>
      <c r="F1149" s="41" t="s">
        <v>1351</v>
      </c>
      <c r="I1149" s="39">
        <v>6.1</v>
      </c>
      <c r="J1149" s="40">
        <v>5.43</v>
      </c>
      <c r="K1149" s="39">
        <v>0.11</v>
      </c>
    </row>
    <row r="1150" spans="2:11" x14ac:dyDescent="0.25">
      <c r="B1150" s="28" t="str">
        <f>IF(ISNUMBER(MATCH(D1150, Mgt_Unit!$C$5:$C$1018, 0)), INDEX(Mgt_Unit!$B$5:$B$1018, MATCH(D1150, Mgt_Unit!$C$5:$C$1018, 0)), "")</f>
        <v>jennifer.moore</v>
      </c>
      <c r="C1150" s="28"/>
      <c r="D1150" s="17" t="s">
        <v>1002</v>
      </c>
      <c r="F1150" s="41" t="s">
        <v>1351</v>
      </c>
      <c r="I1150" s="39">
        <v>6</v>
      </c>
      <c r="J1150" s="40">
        <v>6.26</v>
      </c>
      <c r="K1150" s="39">
        <v>0.13900000000000001</v>
      </c>
    </row>
    <row r="1151" spans="2:11" x14ac:dyDescent="0.25">
      <c r="B1151" s="28" t="str">
        <f>IF(ISNUMBER(MATCH(D1151, Mgt_Unit!$C$5:$C$1018, 0)), INDEX(Mgt_Unit!$B$5:$B$1018, MATCH(D1151, Mgt_Unit!$C$5:$C$1018, 0)), "")</f>
        <v>jennifer.moore</v>
      </c>
      <c r="C1151" s="28"/>
      <c r="D1151" s="17" t="s">
        <v>1002</v>
      </c>
      <c r="F1151" s="41" t="s">
        <v>1351</v>
      </c>
      <c r="I1151" s="39">
        <v>5.9</v>
      </c>
      <c r="J1151" s="40">
        <v>5.53</v>
      </c>
      <c r="K1151" s="39">
        <v>9.7799999999999998E-2</v>
      </c>
    </row>
    <row r="1152" spans="2:11" x14ac:dyDescent="0.25">
      <c r="B1152" s="28" t="str">
        <f>IF(ISNUMBER(MATCH(D1152, Mgt_Unit!$C$5:$C$1018, 0)), INDEX(Mgt_Unit!$B$5:$B$1018, MATCH(D1152, Mgt_Unit!$C$5:$C$1018, 0)), "")</f>
        <v>jennifer.moore</v>
      </c>
      <c r="C1152" s="28"/>
      <c r="D1152" s="17" t="s">
        <v>1006</v>
      </c>
      <c r="F1152" s="41" t="s">
        <v>1351</v>
      </c>
      <c r="I1152" s="39">
        <v>4</v>
      </c>
      <c r="J1152" s="40">
        <v>7.09</v>
      </c>
      <c r="K1152" s="39">
        <v>0.11119999999999999</v>
      </c>
    </row>
    <row r="1153" spans="2:11" x14ac:dyDescent="0.25">
      <c r="B1153" s="28" t="str">
        <f>IF(ISNUMBER(MATCH(D1153, Mgt_Unit!$C$5:$C$1018, 0)), INDEX(Mgt_Unit!$B$5:$B$1018, MATCH(D1153, Mgt_Unit!$C$5:$C$1018, 0)), "")</f>
        <v>jennifer.moore</v>
      </c>
      <c r="C1153" s="28"/>
      <c r="D1153" s="17" t="s">
        <v>1006</v>
      </c>
      <c r="F1153" s="41" t="s">
        <v>1351</v>
      </c>
      <c r="I1153" s="39">
        <v>3.7</v>
      </c>
      <c r="J1153" s="40">
        <v>6.94</v>
      </c>
      <c r="K1153" s="39">
        <v>9.8900000000000002E-2</v>
      </c>
    </row>
    <row r="1154" spans="2:11" x14ac:dyDescent="0.25">
      <c r="B1154" s="28" t="str">
        <f>IF(ISNUMBER(MATCH(D1154, Mgt_Unit!$C$5:$C$1018, 0)), INDEX(Mgt_Unit!$B$5:$B$1018, MATCH(D1154, Mgt_Unit!$C$5:$C$1018, 0)), "")</f>
        <v>jennifer.moore</v>
      </c>
      <c r="C1154" s="28"/>
      <c r="D1154" s="17" t="s">
        <v>1006</v>
      </c>
      <c r="F1154" s="41" t="s">
        <v>1351</v>
      </c>
      <c r="I1154" s="39">
        <v>3.6</v>
      </c>
      <c r="J1154" s="40">
        <v>6.95</v>
      </c>
      <c r="K1154" s="39">
        <v>0.1119</v>
      </c>
    </row>
    <row r="1155" spans="2:11" x14ac:dyDescent="0.25">
      <c r="B1155" s="28" t="str">
        <f>IF(ISNUMBER(MATCH(D1155, Mgt_Unit!$C$5:$C$1018, 0)), INDEX(Mgt_Unit!$B$5:$B$1018, MATCH(D1155, Mgt_Unit!$C$5:$C$1018, 0)), "")</f>
        <v>jennifer.moore</v>
      </c>
      <c r="C1155" s="28"/>
      <c r="D1155" s="17" t="s">
        <v>1007</v>
      </c>
      <c r="F1155" s="41" t="s">
        <v>1351</v>
      </c>
      <c r="I1155" s="39">
        <v>3.2</v>
      </c>
      <c r="J1155" s="40">
        <v>7.52</v>
      </c>
      <c r="K1155" s="39">
        <v>0.13489999999999999</v>
      </c>
    </row>
    <row r="1156" spans="2:11" x14ac:dyDescent="0.25">
      <c r="B1156" s="28" t="str">
        <f>IF(ISNUMBER(MATCH(D1156, Mgt_Unit!$C$5:$C$1018, 0)), INDEX(Mgt_Unit!$B$5:$B$1018, MATCH(D1156, Mgt_Unit!$C$5:$C$1018, 0)), "")</f>
        <v>jennifer.moore</v>
      </c>
      <c r="C1156" s="28"/>
      <c r="D1156" s="17" t="s">
        <v>1007</v>
      </c>
      <c r="F1156" s="41" t="s">
        <v>1351</v>
      </c>
      <c r="I1156" s="39">
        <v>3.5</v>
      </c>
      <c r="J1156" s="40">
        <v>7.13</v>
      </c>
      <c r="K1156" s="39">
        <v>8.8599999999999998E-2</v>
      </c>
    </row>
    <row r="1157" spans="2:11" x14ac:dyDescent="0.25">
      <c r="B1157" s="28" t="str">
        <f>IF(ISNUMBER(MATCH(D1157, Mgt_Unit!$C$5:$C$1018, 0)), INDEX(Mgt_Unit!$B$5:$B$1018, MATCH(D1157, Mgt_Unit!$C$5:$C$1018, 0)), "")</f>
        <v>jennifer.moore</v>
      </c>
      <c r="C1157" s="28"/>
      <c r="D1157" s="17" t="s">
        <v>1007</v>
      </c>
      <c r="F1157" s="41" t="s">
        <v>1351</v>
      </c>
      <c r="I1157" s="39">
        <v>3.2</v>
      </c>
      <c r="J1157" s="40">
        <v>7.45</v>
      </c>
      <c r="K1157" s="39">
        <v>9.8900000000000002E-2</v>
      </c>
    </row>
    <row r="1158" spans="2:11" x14ac:dyDescent="0.25">
      <c r="B1158" s="28" t="str">
        <f>IF(ISNUMBER(MATCH(D1158, Mgt_Unit!$C$5:$C$1018, 0)), INDEX(Mgt_Unit!$B$5:$B$1018, MATCH(D1158, Mgt_Unit!$C$5:$C$1018, 0)), "")</f>
        <v>jennifer.moore</v>
      </c>
      <c r="C1158" s="28"/>
      <c r="D1158" s="17" t="s">
        <v>1005</v>
      </c>
      <c r="F1158" s="41" t="s">
        <v>1351</v>
      </c>
      <c r="I1158" s="39">
        <v>3.6</v>
      </c>
      <c r="J1158" s="40">
        <v>7.08</v>
      </c>
      <c r="K1158" s="39">
        <v>0.10630000000000001</v>
      </c>
    </row>
    <row r="1159" spans="2:11" x14ac:dyDescent="0.25">
      <c r="B1159" s="28" t="str">
        <f>IF(ISNUMBER(MATCH(D1159, Mgt_Unit!$C$5:$C$1018, 0)), INDEX(Mgt_Unit!$B$5:$B$1018, MATCH(D1159, Mgt_Unit!$C$5:$C$1018, 0)), "")</f>
        <v>jennifer.moore</v>
      </c>
      <c r="C1159" s="28"/>
      <c r="D1159" s="17" t="s">
        <v>1005</v>
      </c>
      <c r="F1159" s="41" t="s">
        <v>1351</v>
      </c>
      <c r="I1159" s="39">
        <v>3.8</v>
      </c>
      <c r="J1159" s="40">
        <v>6.97</v>
      </c>
      <c r="K1159" s="39">
        <v>0.1091</v>
      </c>
    </row>
    <row r="1160" spans="2:11" x14ac:dyDescent="0.25">
      <c r="B1160" s="28" t="str">
        <f>IF(ISNUMBER(MATCH(D1160, Mgt_Unit!$C$5:$C$1018, 0)), INDEX(Mgt_Unit!$B$5:$B$1018, MATCH(D1160, Mgt_Unit!$C$5:$C$1018, 0)), "")</f>
        <v>jennifer.moore</v>
      </c>
      <c r="C1160" s="28"/>
      <c r="D1160" s="17" t="s">
        <v>1005</v>
      </c>
      <c r="F1160" s="41" t="s">
        <v>1351</v>
      </c>
      <c r="I1160" s="39">
        <v>3.7</v>
      </c>
      <c r="J1160" s="40">
        <v>6.72</v>
      </c>
      <c r="K1160" s="39">
        <v>9.2899999999999996E-2</v>
      </c>
    </row>
    <row r="1161" spans="2:11" x14ac:dyDescent="0.25">
      <c r="B1161" s="28" t="str">
        <f>IF(ISNUMBER(MATCH(D1161, Mgt_Unit!$C$5:$C$1018, 0)), INDEX(Mgt_Unit!$B$5:$B$1018, MATCH(D1161, Mgt_Unit!$C$5:$C$1018, 0)), "")</f>
        <v>jennifer.moore</v>
      </c>
      <c r="C1161" s="28"/>
      <c r="D1161" s="17" t="s">
        <v>1009</v>
      </c>
      <c r="F1161" s="41" t="s">
        <v>1351</v>
      </c>
      <c r="I1161" s="39">
        <v>3.9</v>
      </c>
      <c r="J1161" s="40">
        <v>6.17</v>
      </c>
      <c r="K1161" s="39">
        <v>0.1249</v>
      </c>
    </row>
    <row r="1162" spans="2:11" x14ac:dyDescent="0.25">
      <c r="B1162" s="28" t="str">
        <f>IF(ISNUMBER(MATCH(D1162, Mgt_Unit!$C$5:$C$1018, 0)), INDEX(Mgt_Unit!$B$5:$B$1018, MATCH(D1162, Mgt_Unit!$C$5:$C$1018, 0)), "")</f>
        <v>jennifer.moore</v>
      </c>
      <c r="C1162" s="28"/>
      <c r="D1162" s="17" t="s">
        <v>1009</v>
      </c>
      <c r="F1162" s="41" t="s">
        <v>1351</v>
      </c>
      <c r="I1162" s="39">
        <v>3.8</v>
      </c>
      <c r="J1162" s="40">
        <v>6.38</v>
      </c>
      <c r="K1162" s="39">
        <v>0.11459999999999999</v>
      </c>
    </row>
    <row r="1163" spans="2:11" x14ac:dyDescent="0.25">
      <c r="B1163" s="28" t="str">
        <f>IF(ISNUMBER(MATCH(D1163, Mgt_Unit!$C$5:$C$1018, 0)), INDEX(Mgt_Unit!$B$5:$B$1018, MATCH(D1163, Mgt_Unit!$C$5:$C$1018, 0)), "")</f>
        <v>jennifer.moore</v>
      </c>
      <c r="C1163" s="28"/>
      <c r="D1163" s="17" t="s">
        <v>1009</v>
      </c>
      <c r="F1163" s="41" t="s">
        <v>1351</v>
      </c>
      <c r="I1163" s="39">
        <v>3.3</v>
      </c>
      <c r="J1163" s="40">
        <v>6.16</v>
      </c>
      <c r="K1163" s="39">
        <v>0.1153</v>
      </c>
    </row>
    <row r="1164" spans="2:11" x14ac:dyDescent="0.25">
      <c r="B1164" s="28" t="str">
        <f>IF(ISNUMBER(MATCH(D1164, Mgt_Unit!$C$5:$C$1018, 0)), INDEX(Mgt_Unit!$B$5:$B$1018, MATCH(D1164, Mgt_Unit!$C$5:$C$1018, 0)), "")</f>
        <v>jennifer.moore</v>
      </c>
      <c r="C1164" s="28"/>
      <c r="D1164" s="17" t="s">
        <v>1010</v>
      </c>
      <c r="F1164" s="41" t="s">
        <v>1351</v>
      </c>
      <c r="I1164" s="39">
        <v>3.2</v>
      </c>
      <c r="J1164" s="40">
        <v>6.27</v>
      </c>
      <c r="K1164" s="39">
        <v>8.72E-2</v>
      </c>
    </row>
    <row r="1165" spans="2:11" x14ac:dyDescent="0.25">
      <c r="B1165" s="28" t="str">
        <f>IF(ISNUMBER(MATCH(D1165, Mgt_Unit!$C$5:$C$1018, 0)), INDEX(Mgt_Unit!$B$5:$B$1018, MATCH(D1165, Mgt_Unit!$C$5:$C$1018, 0)), "")</f>
        <v>jennifer.moore</v>
      </c>
      <c r="C1165" s="28"/>
      <c r="D1165" s="17" t="s">
        <v>1010</v>
      </c>
      <c r="F1165" s="41" t="s">
        <v>1351</v>
      </c>
      <c r="I1165" s="39">
        <v>3.2</v>
      </c>
      <c r="J1165" s="40">
        <v>6.49</v>
      </c>
      <c r="K1165" s="39">
        <v>0.1055</v>
      </c>
    </row>
    <row r="1166" spans="2:11" x14ac:dyDescent="0.25">
      <c r="B1166" s="28" t="str">
        <f>IF(ISNUMBER(MATCH(D1166, Mgt_Unit!$C$5:$C$1018, 0)), INDEX(Mgt_Unit!$B$5:$B$1018, MATCH(D1166, Mgt_Unit!$C$5:$C$1018, 0)), "")</f>
        <v>jennifer.moore</v>
      </c>
      <c r="C1166" s="28"/>
      <c r="D1166" s="17" t="s">
        <v>1010</v>
      </c>
      <c r="F1166" s="41" t="s">
        <v>1351</v>
      </c>
      <c r="I1166" s="39">
        <v>2.8</v>
      </c>
      <c r="J1166" s="40">
        <v>6</v>
      </c>
      <c r="K1166" s="39">
        <v>0.10249999999999999</v>
      </c>
    </row>
    <row r="1167" spans="2:11" x14ac:dyDescent="0.25">
      <c r="B1167" s="28" t="str">
        <f>IF(ISNUMBER(MATCH(D1167, Mgt_Unit!$C$5:$C$1018, 0)), INDEX(Mgt_Unit!$B$5:$B$1018, MATCH(D1167, Mgt_Unit!$C$5:$C$1018, 0)), "")</f>
        <v>jennifer.moore</v>
      </c>
      <c r="C1167" s="28"/>
      <c r="D1167" s="17" t="s">
        <v>1008</v>
      </c>
      <c r="F1167" s="41" t="s">
        <v>1351</v>
      </c>
      <c r="I1167" s="39">
        <v>3.8</v>
      </c>
      <c r="J1167" s="40">
        <v>5.98</v>
      </c>
      <c r="K1167" s="39">
        <v>8.1199999999999994E-2</v>
      </c>
    </row>
    <row r="1168" spans="2:11" x14ac:dyDescent="0.25">
      <c r="B1168" s="28" t="str">
        <f>IF(ISNUMBER(MATCH(D1168, Mgt_Unit!$C$5:$C$1018, 0)), INDEX(Mgt_Unit!$B$5:$B$1018, MATCH(D1168, Mgt_Unit!$C$5:$C$1018, 0)), "")</f>
        <v>jennifer.moore</v>
      </c>
      <c r="C1168" s="28"/>
      <c r="D1168" s="17" t="s">
        <v>1008</v>
      </c>
      <c r="F1168" s="41" t="s">
        <v>1351</v>
      </c>
      <c r="I1168" s="39">
        <v>3.3</v>
      </c>
      <c r="J1168" s="40">
        <v>6.02</v>
      </c>
      <c r="K1168" s="39">
        <v>8.6800000000000002E-2</v>
      </c>
    </row>
    <row r="1169" spans="2:11" x14ac:dyDescent="0.25">
      <c r="B1169" s="28" t="str">
        <f>IF(ISNUMBER(MATCH(D1169, Mgt_Unit!$C$5:$C$1018, 0)), INDEX(Mgt_Unit!$B$5:$B$1018, MATCH(D1169, Mgt_Unit!$C$5:$C$1018, 0)), "")</f>
        <v>jennifer.moore</v>
      </c>
      <c r="C1169" s="28"/>
      <c r="D1169" s="17" t="s">
        <v>1008</v>
      </c>
      <c r="F1169" s="41" t="s">
        <v>1351</v>
      </c>
      <c r="I1169" s="39">
        <v>3</v>
      </c>
      <c r="J1169" s="40">
        <v>5.31</v>
      </c>
      <c r="K1169" s="39">
        <v>6.83E-2</v>
      </c>
    </row>
    <row r="1170" spans="2:11" x14ac:dyDescent="0.25">
      <c r="B1170" s="28" t="str">
        <f>IF(ISNUMBER(MATCH(D1170, Mgt_Unit!$C$5:$C$1018, 0)), INDEX(Mgt_Unit!$B$5:$B$1018, MATCH(D1170, Mgt_Unit!$C$5:$C$1018, 0)), "")</f>
        <v>jennifer.moore</v>
      </c>
      <c r="C1170" s="28"/>
      <c r="D1170" s="17" t="s">
        <v>1012</v>
      </c>
      <c r="F1170" s="41" t="s">
        <v>1351</v>
      </c>
      <c r="I1170" s="39">
        <v>3.8</v>
      </c>
      <c r="J1170" s="40">
        <v>6.07</v>
      </c>
      <c r="K1170" s="39">
        <v>9.74E-2</v>
      </c>
    </row>
    <row r="1171" spans="2:11" x14ac:dyDescent="0.25">
      <c r="B1171" s="28" t="str">
        <f>IF(ISNUMBER(MATCH(D1171, Mgt_Unit!$C$5:$C$1018, 0)), INDEX(Mgt_Unit!$B$5:$B$1018, MATCH(D1171, Mgt_Unit!$C$5:$C$1018, 0)), "")</f>
        <v>jennifer.moore</v>
      </c>
      <c r="C1171" s="28"/>
      <c r="D1171" s="17" t="s">
        <v>1012</v>
      </c>
      <c r="F1171" s="41" t="s">
        <v>1351</v>
      </c>
      <c r="I1171" s="39">
        <v>4.0999999999999996</v>
      </c>
      <c r="J1171" s="40">
        <v>6.13</v>
      </c>
      <c r="K1171" s="39">
        <v>0.1085</v>
      </c>
    </row>
    <row r="1172" spans="2:11" x14ac:dyDescent="0.25">
      <c r="B1172" s="28" t="str">
        <f>IF(ISNUMBER(MATCH(D1172, Mgt_Unit!$C$5:$C$1018, 0)), INDEX(Mgt_Unit!$B$5:$B$1018, MATCH(D1172, Mgt_Unit!$C$5:$C$1018, 0)), "")</f>
        <v>jennifer.moore</v>
      </c>
      <c r="C1172" s="28"/>
      <c r="D1172" s="17" t="s">
        <v>1012</v>
      </c>
      <c r="F1172" s="41" t="s">
        <v>1351</v>
      </c>
      <c r="I1172" s="39">
        <v>3.7</v>
      </c>
      <c r="J1172" s="40">
        <v>5.37</v>
      </c>
      <c r="K1172" s="39">
        <v>0.1033</v>
      </c>
    </row>
    <row r="1173" spans="2:11" x14ac:dyDescent="0.25">
      <c r="B1173" s="28" t="str">
        <f>IF(ISNUMBER(MATCH(D1173, Mgt_Unit!$C$5:$C$1018, 0)), INDEX(Mgt_Unit!$B$5:$B$1018, MATCH(D1173, Mgt_Unit!$C$5:$C$1018, 0)), "")</f>
        <v>jennifer.moore</v>
      </c>
      <c r="C1173" s="28"/>
      <c r="D1173" s="17" t="s">
        <v>1013</v>
      </c>
      <c r="F1173" s="41" t="s">
        <v>1351</v>
      </c>
      <c r="I1173" s="39">
        <v>3</v>
      </c>
      <c r="J1173" s="40">
        <v>6.28</v>
      </c>
      <c r="K1173" s="39">
        <v>8.0699999999999994E-2</v>
      </c>
    </row>
    <row r="1174" spans="2:11" x14ac:dyDescent="0.25">
      <c r="B1174" s="28" t="str">
        <f>IF(ISNUMBER(MATCH(D1174, Mgt_Unit!$C$5:$C$1018, 0)), INDEX(Mgt_Unit!$B$5:$B$1018, MATCH(D1174, Mgt_Unit!$C$5:$C$1018, 0)), "")</f>
        <v>jennifer.moore</v>
      </c>
      <c r="C1174" s="28"/>
      <c r="D1174" s="17" t="s">
        <v>1013</v>
      </c>
      <c r="F1174" s="41" t="s">
        <v>1351</v>
      </c>
      <c r="I1174" s="39">
        <v>3.6</v>
      </c>
      <c r="J1174" s="40">
        <v>6.13</v>
      </c>
      <c r="K1174" s="39">
        <v>7.2700000000000001E-2</v>
      </c>
    </row>
    <row r="1175" spans="2:11" x14ac:dyDescent="0.25">
      <c r="B1175" s="28" t="str">
        <f>IF(ISNUMBER(MATCH(D1175, Mgt_Unit!$C$5:$C$1018, 0)), INDEX(Mgt_Unit!$B$5:$B$1018, MATCH(D1175, Mgt_Unit!$C$5:$C$1018, 0)), "")</f>
        <v>jennifer.moore</v>
      </c>
      <c r="C1175" s="28"/>
      <c r="D1175" s="17" t="s">
        <v>1013</v>
      </c>
      <c r="F1175" s="41" t="s">
        <v>1351</v>
      </c>
      <c r="I1175" s="39">
        <v>3.3</v>
      </c>
      <c r="J1175" s="40">
        <v>5.91</v>
      </c>
      <c r="K1175" s="39">
        <v>9.1399999999999995E-2</v>
      </c>
    </row>
    <row r="1176" spans="2:11" x14ac:dyDescent="0.25">
      <c r="B1176" s="28" t="str">
        <f>IF(ISNUMBER(MATCH(D1176, Mgt_Unit!$C$5:$C$1018, 0)), INDEX(Mgt_Unit!$B$5:$B$1018, MATCH(D1176, Mgt_Unit!$C$5:$C$1018, 0)), "")</f>
        <v>jennifer.moore</v>
      </c>
      <c r="C1176" s="28"/>
      <c r="D1176" s="17" t="s">
        <v>1011</v>
      </c>
      <c r="F1176" s="41" t="s">
        <v>1351</v>
      </c>
      <c r="I1176" s="39">
        <v>3.6</v>
      </c>
      <c r="J1176" s="40">
        <v>5.32</v>
      </c>
      <c r="K1176" s="39">
        <v>6.1400000000000003E-2</v>
      </c>
    </row>
    <row r="1177" spans="2:11" x14ac:dyDescent="0.25">
      <c r="B1177" s="28" t="str">
        <f>IF(ISNUMBER(MATCH(D1177, Mgt_Unit!$C$5:$C$1018, 0)), INDEX(Mgt_Unit!$B$5:$B$1018, MATCH(D1177, Mgt_Unit!$C$5:$C$1018, 0)), "")</f>
        <v>jennifer.moore</v>
      </c>
      <c r="C1177" s="28"/>
      <c r="D1177" s="17" t="s">
        <v>1011</v>
      </c>
      <c r="F1177" s="41" t="s">
        <v>1351</v>
      </c>
      <c r="I1177" s="39">
        <v>4.4000000000000004</v>
      </c>
      <c r="J1177" s="40">
        <v>6.12</v>
      </c>
      <c r="K1177" s="39">
        <v>8.0100000000000005E-2</v>
      </c>
    </row>
    <row r="1178" spans="2:11" x14ac:dyDescent="0.25">
      <c r="B1178" s="28" t="str">
        <f>IF(ISNUMBER(MATCH(D1178, Mgt_Unit!$C$5:$C$1018, 0)), INDEX(Mgt_Unit!$B$5:$B$1018, MATCH(D1178, Mgt_Unit!$C$5:$C$1018, 0)), "")</f>
        <v>jennifer.moore</v>
      </c>
      <c r="C1178" s="28"/>
      <c r="D1178" s="17" t="s">
        <v>1011</v>
      </c>
      <c r="F1178" s="41" t="s">
        <v>1351</v>
      </c>
      <c r="I1178" s="39">
        <v>3.4</v>
      </c>
      <c r="J1178" s="40">
        <v>5.05</v>
      </c>
      <c r="K1178" s="39">
        <v>5.1299999999999998E-2</v>
      </c>
    </row>
    <row r="1179" spans="2:11" x14ac:dyDescent="0.25">
      <c r="B1179" s="28" t="str">
        <f>IF(ISNUMBER(MATCH(D1179, Mgt_Unit!$C$5:$C$1018, 0)), INDEX(Mgt_Unit!$B$5:$B$1018, MATCH(D1179, Mgt_Unit!$C$5:$C$1018, 0)), "")</f>
        <v>jennifer.moore</v>
      </c>
      <c r="C1179" s="28"/>
      <c r="D1179" s="17" t="s">
        <v>1015</v>
      </c>
      <c r="F1179" s="41" t="s">
        <v>1351</v>
      </c>
      <c r="I1179" s="39">
        <v>3.3</v>
      </c>
      <c r="J1179" s="40">
        <v>5.98</v>
      </c>
      <c r="K1179" s="39">
        <v>9.1200000000000003E-2</v>
      </c>
    </row>
    <row r="1180" spans="2:11" x14ac:dyDescent="0.25">
      <c r="B1180" s="28" t="str">
        <f>IF(ISNUMBER(MATCH(D1180, Mgt_Unit!$C$5:$C$1018, 0)), INDEX(Mgt_Unit!$B$5:$B$1018, MATCH(D1180, Mgt_Unit!$C$5:$C$1018, 0)), "")</f>
        <v>jennifer.moore</v>
      </c>
      <c r="C1180" s="28"/>
      <c r="D1180" s="17" t="s">
        <v>1015</v>
      </c>
      <c r="F1180" s="41" t="s">
        <v>1351</v>
      </c>
      <c r="I1180" s="39">
        <v>3.6</v>
      </c>
      <c r="J1180" s="40">
        <v>6.12</v>
      </c>
      <c r="K1180" s="39">
        <v>9.0300000000000005E-2</v>
      </c>
    </row>
    <row r="1181" spans="2:11" x14ac:dyDescent="0.25">
      <c r="B1181" s="28" t="str">
        <f>IF(ISNUMBER(MATCH(D1181, Mgt_Unit!$C$5:$C$1018, 0)), INDEX(Mgt_Unit!$B$5:$B$1018, MATCH(D1181, Mgt_Unit!$C$5:$C$1018, 0)), "")</f>
        <v>jennifer.moore</v>
      </c>
      <c r="C1181" s="28"/>
      <c r="D1181" s="17" t="s">
        <v>1015</v>
      </c>
      <c r="F1181" s="41" t="s">
        <v>1351</v>
      </c>
      <c r="I1181" s="39">
        <v>2.9</v>
      </c>
      <c r="J1181" s="40">
        <v>6.34</v>
      </c>
      <c r="K1181" s="39">
        <v>9.1399999999999995E-2</v>
      </c>
    </row>
    <row r="1182" spans="2:11" x14ac:dyDescent="0.25">
      <c r="B1182" s="28" t="str">
        <f>IF(ISNUMBER(MATCH(D1182, Mgt_Unit!$C$5:$C$1018, 0)), INDEX(Mgt_Unit!$B$5:$B$1018, MATCH(D1182, Mgt_Unit!$C$5:$C$1018, 0)), "")</f>
        <v>jennifer.moore</v>
      </c>
      <c r="C1182" s="28"/>
      <c r="D1182" s="17" t="s">
        <v>1016</v>
      </c>
      <c r="F1182" s="41" t="s">
        <v>1351</v>
      </c>
      <c r="I1182" s="39">
        <v>2.9</v>
      </c>
      <c r="J1182" s="40">
        <v>6.96</v>
      </c>
      <c r="K1182" s="39">
        <v>8.1299999999999997E-2</v>
      </c>
    </row>
    <row r="1183" spans="2:11" x14ac:dyDescent="0.25">
      <c r="B1183" s="28" t="str">
        <f>IF(ISNUMBER(MATCH(D1183, Mgt_Unit!$C$5:$C$1018, 0)), INDEX(Mgt_Unit!$B$5:$B$1018, MATCH(D1183, Mgt_Unit!$C$5:$C$1018, 0)), "")</f>
        <v>jennifer.moore</v>
      </c>
      <c r="C1183" s="28"/>
      <c r="D1183" s="17" t="s">
        <v>1016</v>
      </c>
      <c r="F1183" s="41" t="s">
        <v>1351</v>
      </c>
      <c r="I1183" s="39">
        <v>3.1</v>
      </c>
      <c r="J1183" s="40">
        <v>6.49</v>
      </c>
      <c r="K1183" s="39">
        <v>8.0799999999999997E-2</v>
      </c>
    </row>
    <row r="1184" spans="2:11" x14ac:dyDescent="0.25">
      <c r="B1184" s="28" t="str">
        <f>IF(ISNUMBER(MATCH(D1184, Mgt_Unit!$C$5:$C$1018, 0)), INDEX(Mgt_Unit!$B$5:$B$1018, MATCH(D1184, Mgt_Unit!$C$5:$C$1018, 0)), "")</f>
        <v>jennifer.moore</v>
      </c>
      <c r="C1184" s="28"/>
      <c r="D1184" s="17" t="s">
        <v>1016</v>
      </c>
      <c r="F1184" s="41" t="s">
        <v>1351</v>
      </c>
      <c r="I1184" s="39">
        <v>2.7</v>
      </c>
      <c r="J1184" s="40">
        <v>6.19</v>
      </c>
      <c r="K1184" s="39">
        <v>6.2799999999999995E-2</v>
      </c>
    </row>
    <row r="1185" spans="2:11" x14ac:dyDescent="0.25">
      <c r="B1185" s="28" t="str">
        <f>IF(ISNUMBER(MATCH(D1185, Mgt_Unit!$C$5:$C$1018, 0)), INDEX(Mgt_Unit!$B$5:$B$1018, MATCH(D1185, Mgt_Unit!$C$5:$C$1018, 0)), "")</f>
        <v>jennifer.moore</v>
      </c>
      <c r="C1185" s="28"/>
      <c r="D1185" s="17" t="s">
        <v>1014</v>
      </c>
      <c r="F1185" s="41" t="s">
        <v>1351</v>
      </c>
      <c r="I1185" s="39">
        <v>3.5</v>
      </c>
      <c r="J1185" s="40">
        <v>6.22</v>
      </c>
      <c r="K1185" s="39">
        <v>8.5900000000000004E-2</v>
      </c>
    </row>
    <row r="1186" spans="2:11" x14ac:dyDescent="0.25">
      <c r="B1186" s="28" t="str">
        <f>IF(ISNUMBER(MATCH(D1186, Mgt_Unit!$C$5:$C$1018, 0)), INDEX(Mgt_Unit!$B$5:$B$1018, MATCH(D1186, Mgt_Unit!$C$5:$C$1018, 0)), "")</f>
        <v>jennifer.moore</v>
      </c>
      <c r="C1186" s="28"/>
      <c r="D1186" s="17" t="s">
        <v>1014</v>
      </c>
      <c r="F1186" s="41" t="s">
        <v>1351</v>
      </c>
      <c r="I1186" s="39">
        <v>3.2</v>
      </c>
      <c r="J1186" s="40">
        <v>6.17</v>
      </c>
      <c r="K1186" s="39">
        <v>8.7300000000000003E-2</v>
      </c>
    </row>
    <row r="1187" spans="2:11" x14ac:dyDescent="0.25">
      <c r="B1187" s="28" t="str">
        <f>IF(ISNUMBER(MATCH(D1187, Mgt_Unit!$C$5:$C$1018, 0)), INDEX(Mgt_Unit!$B$5:$B$1018, MATCH(D1187, Mgt_Unit!$C$5:$C$1018, 0)), "")</f>
        <v>jennifer.moore</v>
      </c>
      <c r="C1187" s="28"/>
      <c r="D1187" s="17" t="s">
        <v>1014</v>
      </c>
      <c r="F1187" s="41" t="s">
        <v>1351</v>
      </c>
      <c r="I1187" s="39">
        <v>2.6</v>
      </c>
      <c r="J1187" s="40">
        <v>5.79</v>
      </c>
      <c r="K1187" s="39">
        <v>7.4999999999999997E-2</v>
      </c>
    </row>
    <row r="1188" spans="2:11" x14ac:dyDescent="0.25">
      <c r="B1188" s="28" t="str">
        <f>IF(ISNUMBER(MATCH(D1188, Mgt_Unit!$C$5:$C$1018, 0)), INDEX(Mgt_Unit!$B$5:$B$1018, MATCH(D1188, Mgt_Unit!$C$5:$C$1018, 0)), "")</f>
        <v>jennifer.moore</v>
      </c>
      <c r="C1188" s="28"/>
      <c r="D1188" s="17" t="s">
        <v>1335</v>
      </c>
      <c r="F1188" s="41" t="s">
        <v>1351</v>
      </c>
      <c r="I1188" s="39">
        <v>3.5</v>
      </c>
      <c r="J1188" s="40">
        <v>6.3</v>
      </c>
      <c r="K1188" s="39">
        <v>8.8900000000000007E-2</v>
      </c>
    </row>
    <row r="1189" spans="2:11" x14ac:dyDescent="0.25">
      <c r="B1189" s="28" t="str">
        <f>IF(ISNUMBER(MATCH(D1189, Mgt_Unit!$C$5:$C$1018, 0)), INDEX(Mgt_Unit!$B$5:$B$1018, MATCH(D1189, Mgt_Unit!$C$5:$C$1018, 0)), "")</f>
        <v>jennifer.moore</v>
      </c>
      <c r="C1189" s="28"/>
      <c r="D1189" s="17" t="s">
        <v>1019</v>
      </c>
      <c r="F1189" s="41" t="s">
        <v>1351</v>
      </c>
      <c r="I1189" s="39">
        <v>4.2</v>
      </c>
      <c r="J1189" s="40">
        <v>6.21</v>
      </c>
      <c r="K1189" s="39">
        <v>9.8900000000000002E-2</v>
      </c>
    </row>
    <row r="1190" spans="2:11" x14ac:dyDescent="0.25">
      <c r="B1190" s="28" t="str">
        <f>IF(ISNUMBER(MATCH(D1190, Mgt_Unit!$C$5:$C$1018, 0)), INDEX(Mgt_Unit!$B$5:$B$1018, MATCH(D1190, Mgt_Unit!$C$5:$C$1018, 0)), "")</f>
        <v>jennifer.moore</v>
      </c>
      <c r="C1190" s="28"/>
      <c r="D1190" s="17" t="s">
        <v>1335</v>
      </c>
      <c r="F1190" s="41" t="s">
        <v>1351</v>
      </c>
      <c r="I1190" s="39">
        <v>4.0999999999999996</v>
      </c>
      <c r="J1190" s="40">
        <v>6.3</v>
      </c>
      <c r="K1190" s="39">
        <v>9.7100000000000006E-2</v>
      </c>
    </row>
    <row r="1191" spans="2:11" x14ac:dyDescent="0.25">
      <c r="B1191" s="28" t="str">
        <f>IF(ISNUMBER(MATCH(D1191, Mgt_Unit!$C$5:$C$1018, 0)), INDEX(Mgt_Unit!$B$5:$B$1018, MATCH(D1191, Mgt_Unit!$C$5:$C$1018, 0)), "")</f>
        <v>jennifer.moore</v>
      </c>
      <c r="C1191" s="28"/>
      <c r="D1191" s="17" t="s">
        <v>1019</v>
      </c>
      <c r="F1191" s="41" t="s">
        <v>1351</v>
      </c>
      <c r="I1191" s="39">
        <v>4.0999999999999996</v>
      </c>
      <c r="J1191" s="40">
        <v>6.07</v>
      </c>
      <c r="K1191" s="39">
        <v>0.1022</v>
      </c>
    </row>
    <row r="1192" spans="2:11" x14ac:dyDescent="0.25">
      <c r="B1192" s="28" t="str">
        <f>IF(ISNUMBER(MATCH(D1192, Mgt_Unit!$C$5:$C$1018, 0)), INDEX(Mgt_Unit!$B$5:$B$1018, MATCH(D1192, Mgt_Unit!$C$5:$C$1018, 0)), "")</f>
        <v>jennifer.moore</v>
      </c>
      <c r="C1192" s="28"/>
      <c r="D1192" s="17" t="s">
        <v>1018</v>
      </c>
      <c r="F1192" s="41" t="s">
        <v>1351</v>
      </c>
      <c r="I1192" s="39">
        <v>3</v>
      </c>
      <c r="J1192" s="40">
        <v>5.63</v>
      </c>
      <c r="K1192" s="39">
        <v>5.28E-2</v>
      </c>
    </row>
    <row r="1193" spans="2:11" x14ac:dyDescent="0.25">
      <c r="B1193" s="28" t="str">
        <f>IF(ISNUMBER(MATCH(D1193, Mgt_Unit!$C$5:$C$1018, 0)), INDEX(Mgt_Unit!$B$5:$B$1018, MATCH(D1193, Mgt_Unit!$C$5:$C$1018, 0)), "")</f>
        <v>jennifer.moore</v>
      </c>
      <c r="C1193" s="28"/>
      <c r="D1193" s="17" t="s">
        <v>1017</v>
      </c>
      <c r="F1193" s="41" t="s">
        <v>1351</v>
      </c>
      <c r="I1193" s="39">
        <v>3.6</v>
      </c>
      <c r="J1193" s="40">
        <v>5.64</v>
      </c>
      <c r="K1193" s="39">
        <v>5.7799999999999997E-2</v>
      </c>
    </row>
    <row r="1194" spans="2:11" x14ac:dyDescent="0.25">
      <c r="B1194" s="28" t="str">
        <f>IF(ISNUMBER(MATCH(D1194, Mgt_Unit!$C$5:$C$1018, 0)), INDEX(Mgt_Unit!$B$5:$B$1018, MATCH(D1194, Mgt_Unit!$C$5:$C$1018, 0)), "")</f>
        <v>jennifer.moore</v>
      </c>
      <c r="C1194" s="28"/>
      <c r="D1194" s="17" t="s">
        <v>1018</v>
      </c>
      <c r="F1194" s="41" t="s">
        <v>1351</v>
      </c>
      <c r="I1194" s="39">
        <v>3.9</v>
      </c>
      <c r="J1194" s="40">
        <v>5.56</v>
      </c>
      <c r="K1194" s="39">
        <v>6.08E-2</v>
      </c>
    </row>
    <row r="1195" spans="2:11" x14ac:dyDescent="0.25">
      <c r="B1195" s="28" t="str">
        <f>IF(ISNUMBER(MATCH(D1195, Mgt_Unit!$C$5:$C$1018, 0)), INDEX(Mgt_Unit!$B$5:$B$1018, MATCH(D1195, Mgt_Unit!$C$5:$C$1018, 0)), "")</f>
        <v>jennifer.moore</v>
      </c>
      <c r="C1195" s="28"/>
      <c r="D1195" s="17" t="s">
        <v>1017</v>
      </c>
      <c r="F1195" s="41" t="s">
        <v>1351</v>
      </c>
      <c r="I1195" s="39">
        <v>3.7</v>
      </c>
      <c r="J1195" s="40">
        <v>5.29</v>
      </c>
    </row>
    <row r="1196" spans="2:11" x14ac:dyDescent="0.25">
      <c r="B1196" s="28" t="str">
        <f>IF(ISNUMBER(MATCH(D1196, Mgt_Unit!$C$5:$C$1018, 0)), INDEX(Mgt_Unit!$B$5:$B$1018, MATCH(D1196, Mgt_Unit!$C$5:$C$1018, 0)), "")</f>
        <v>jennifer.moore</v>
      </c>
      <c r="C1196" s="28"/>
      <c r="D1196" s="17" t="s">
        <v>1336</v>
      </c>
      <c r="F1196" s="41" t="s">
        <v>1351</v>
      </c>
      <c r="I1196" s="39">
        <v>4.5</v>
      </c>
      <c r="J1196" s="40">
        <v>5.7</v>
      </c>
    </row>
    <row r="1197" spans="2:11" x14ac:dyDescent="0.25">
      <c r="B1197" s="28" t="str">
        <f>IF(ISNUMBER(MATCH(D1197, Mgt_Unit!$C$5:$C$1018, 0)), INDEX(Mgt_Unit!$B$5:$B$1018, MATCH(D1197, Mgt_Unit!$C$5:$C$1018, 0)), "")</f>
        <v>jennifer.moore</v>
      </c>
      <c r="C1197" s="28"/>
      <c r="D1197" s="17" t="s">
        <v>1022</v>
      </c>
      <c r="F1197" s="41" t="s">
        <v>1351</v>
      </c>
      <c r="I1197" s="39">
        <v>2.1</v>
      </c>
      <c r="J1197" s="40">
        <v>4.92</v>
      </c>
      <c r="K1197" s="39">
        <v>0.15</v>
      </c>
    </row>
    <row r="1198" spans="2:11" x14ac:dyDescent="0.25">
      <c r="B1198" s="28" t="str">
        <f>IF(ISNUMBER(MATCH(D1198, Mgt_Unit!$C$5:$C$1018, 0)), INDEX(Mgt_Unit!$B$5:$B$1018, MATCH(D1198, Mgt_Unit!$C$5:$C$1018, 0)), "")</f>
        <v>jennifer.moore</v>
      </c>
      <c r="C1198" s="28"/>
      <c r="D1198" s="17" t="s">
        <v>1022</v>
      </c>
      <c r="F1198" s="41" t="s">
        <v>1351</v>
      </c>
      <c r="I1198" s="39">
        <v>1.7</v>
      </c>
      <c r="J1198" s="40">
        <v>4.96</v>
      </c>
      <c r="K1198" s="39">
        <v>0.13900000000000001</v>
      </c>
    </row>
    <row r="1199" spans="2:11" x14ac:dyDescent="0.25">
      <c r="B1199" s="28" t="str">
        <f>IF(ISNUMBER(MATCH(D1199, Mgt_Unit!$C$5:$C$1018, 0)), INDEX(Mgt_Unit!$B$5:$B$1018, MATCH(D1199, Mgt_Unit!$C$5:$C$1018, 0)), "")</f>
        <v>jennifer.moore</v>
      </c>
      <c r="C1199" s="28"/>
      <c r="D1199" s="17" t="s">
        <v>1021</v>
      </c>
      <c r="F1199" s="41" t="s">
        <v>1351</v>
      </c>
      <c r="I1199" s="39">
        <v>1.6</v>
      </c>
      <c r="J1199" s="40">
        <v>5.03</v>
      </c>
      <c r="K1199" s="39">
        <v>8.7599999999999997E-2</v>
      </c>
    </row>
    <row r="1200" spans="2:11" x14ac:dyDescent="0.25">
      <c r="B1200" s="28" t="str">
        <f>IF(ISNUMBER(MATCH(D1200, Mgt_Unit!$C$5:$C$1018, 0)), INDEX(Mgt_Unit!$B$5:$B$1018, MATCH(D1200, Mgt_Unit!$C$5:$C$1018, 0)), "")</f>
        <v>jennifer.moore</v>
      </c>
      <c r="C1200" s="28"/>
      <c r="D1200" s="17" t="s">
        <v>1022</v>
      </c>
      <c r="F1200" s="41" t="s">
        <v>1351</v>
      </c>
      <c r="I1200" s="39">
        <v>1.7</v>
      </c>
      <c r="J1200" s="40">
        <v>4.91</v>
      </c>
      <c r="K1200" s="39">
        <v>0.13039999999999999</v>
      </c>
    </row>
    <row r="1201" spans="2:11" x14ac:dyDescent="0.25">
      <c r="B1201" s="28" t="str">
        <f>IF(ISNUMBER(MATCH(D1201, Mgt_Unit!$C$5:$C$1018, 0)), INDEX(Mgt_Unit!$B$5:$B$1018, MATCH(D1201, Mgt_Unit!$C$5:$C$1018, 0)), "")</f>
        <v>jennifer.moore</v>
      </c>
      <c r="C1201" s="28"/>
      <c r="D1201" s="17" t="s">
        <v>1021</v>
      </c>
      <c r="F1201" s="41" t="s">
        <v>1351</v>
      </c>
      <c r="I1201" s="39">
        <v>1.7</v>
      </c>
      <c r="J1201" s="40">
        <v>4.6900000000000004</v>
      </c>
      <c r="K1201" s="39">
        <v>0.19719999999999999</v>
      </c>
    </row>
    <row r="1202" spans="2:11" x14ac:dyDescent="0.25">
      <c r="B1202" s="28" t="str">
        <f>IF(ISNUMBER(MATCH(D1202, Mgt_Unit!$C$5:$C$1018, 0)), INDEX(Mgt_Unit!$B$5:$B$1018, MATCH(D1202, Mgt_Unit!$C$5:$C$1018, 0)), "")</f>
        <v>jennifer.moore</v>
      </c>
      <c r="C1202" s="28"/>
      <c r="D1202" s="17" t="s">
        <v>1021</v>
      </c>
      <c r="F1202" s="41" t="s">
        <v>1351</v>
      </c>
      <c r="I1202" s="39">
        <v>1.3</v>
      </c>
      <c r="J1202" s="40">
        <v>4.59</v>
      </c>
      <c r="K1202" s="39">
        <v>0.18179999999999999</v>
      </c>
    </row>
    <row r="1203" spans="2:11" x14ac:dyDescent="0.25">
      <c r="B1203" s="28" t="str">
        <f>IF(ISNUMBER(MATCH(D1203, Mgt_Unit!$C$5:$C$1018, 0)), INDEX(Mgt_Unit!$B$5:$B$1018, MATCH(D1203, Mgt_Unit!$C$5:$C$1018, 0)), "")</f>
        <v>jennifer.moore</v>
      </c>
      <c r="C1203" s="28"/>
      <c r="D1203" s="17" t="s">
        <v>1020</v>
      </c>
      <c r="F1203" s="41" t="s">
        <v>1351</v>
      </c>
      <c r="I1203" s="39">
        <v>1.8</v>
      </c>
      <c r="J1203" s="40">
        <v>5.13</v>
      </c>
      <c r="K1203" s="39">
        <v>8.7800000000000003E-2</v>
      </c>
    </row>
    <row r="1204" spans="2:11" x14ac:dyDescent="0.25">
      <c r="B1204" s="28" t="str">
        <f>IF(ISNUMBER(MATCH(D1204, Mgt_Unit!$C$5:$C$1018, 0)), INDEX(Mgt_Unit!$B$5:$B$1018, MATCH(D1204, Mgt_Unit!$C$5:$C$1018, 0)), "")</f>
        <v>jennifer.moore</v>
      </c>
      <c r="C1204" s="28"/>
      <c r="D1204" s="17" t="s">
        <v>1020</v>
      </c>
      <c r="F1204" s="41" t="s">
        <v>1351</v>
      </c>
      <c r="I1204" s="39">
        <v>1.7</v>
      </c>
      <c r="J1204" s="40">
        <v>4.92</v>
      </c>
      <c r="K1204" s="39">
        <v>0.1017</v>
      </c>
    </row>
    <row r="1205" spans="2:11" x14ac:dyDescent="0.25">
      <c r="B1205" s="28" t="str">
        <f>IF(ISNUMBER(MATCH(D1205, Mgt_Unit!$C$5:$C$1018, 0)), INDEX(Mgt_Unit!$B$5:$B$1018, MATCH(D1205, Mgt_Unit!$C$5:$C$1018, 0)), "")</f>
        <v>jennifer.moore</v>
      </c>
      <c r="C1205" s="28"/>
      <c r="D1205" s="17" t="s">
        <v>1020</v>
      </c>
      <c r="F1205" s="41" t="s">
        <v>1351</v>
      </c>
      <c r="I1205" s="39">
        <v>1.9</v>
      </c>
      <c r="J1205" s="40">
        <v>5.08</v>
      </c>
      <c r="K1205" s="39">
        <v>0.1216</v>
      </c>
    </row>
    <row r="1206" spans="2:11" x14ac:dyDescent="0.25">
      <c r="B1206" s="28" t="str">
        <f>IF(ISNUMBER(MATCH(D1206, Mgt_Unit!$C$5:$C$1018, 0)), INDEX(Mgt_Unit!$B$5:$B$1018, MATCH(D1206, Mgt_Unit!$C$5:$C$1018, 0)), "")</f>
        <v>jennifer.moore</v>
      </c>
      <c r="C1206" s="28"/>
      <c r="D1206" s="17" t="s">
        <v>1337</v>
      </c>
      <c r="F1206" s="41" t="s">
        <v>1351</v>
      </c>
      <c r="I1206" s="39">
        <v>3.9</v>
      </c>
      <c r="J1206" s="40">
        <v>6.04</v>
      </c>
      <c r="K1206" s="39">
        <v>0.14360000000000001</v>
      </c>
    </row>
    <row r="1207" spans="2:11" x14ac:dyDescent="0.25">
      <c r="B1207" s="28" t="str">
        <f>IF(ISNUMBER(MATCH(D1207, Mgt_Unit!$C$5:$C$1018, 0)), INDEX(Mgt_Unit!$B$5:$B$1018, MATCH(D1207, Mgt_Unit!$C$5:$C$1018, 0)), "")</f>
        <v>jennifer.moore</v>
      </c>
      <c r="C1207" s="28"/>
      <c r="D1207" s="17" t="s">
        <v>1337</v>
      </c>
      <c r="F1207" s="41" t="s">
        <v>1351</v>
      </c>
      <c r="I1207" s="39">
        <v>4.3</v>
      </c>
      <c r="J1207" s="40">
        <v>6</v>
      </c>
      <c r="K1207" s="39">
        <v>0.1714</v>
      </c>
    </row>
    <row r="1208" spans="2:11" x14ac:dyDescent="0.25">
      <c r="B1208" s="28" t="str">
        <f>IF(ISNUMBER(MATCH(D1208, Mgt_Unit!$C$5:$C$1018, 0)), INDEX(Mgt_Unit!$B$5:$B$1018, MATCH(D1208, Mgt_Unit!$C$5:$C$1018, 0)), "")</f>
        <v>jennifer.moore</v>
      </c>
      <c r="C1208" s="28"/>
      <c r="D1208" s="17" t="s">
        <v>1337</v>
      </c>
      <c r="F1208" s="41" t="s">
        <v>1351</v>
      </c>
      <c r="I1208" s="39">
        <v>4.0999999999999996</v>
      </c>
      <c r="J1208" s="40">
        <v>6.31</v>
      </c>
      <c r="K1208" s="39">
        <v>0.15679999999999999</v>
      </c>
    </row>
    <row r="1209" spans="2:11" x14ac:dyDescent="0.25">
      <c r="B1209" s="28" t="str">
        <f>IF(ISNUMBER(MATCH(D1209, Mgt_Unit!$C$5:$C$1018, 0)), INDEX(Mgt_Unit!$B$5:$B$1018, MATCH(D1209, Mgt_Unit!$C$5:$C$1018, 0)), "")</f>
        <v>jennifer.moore</v>
      </c>
      <c r="C1209" s="28"/>
      <c r="D1209" s="17" t="s">
        <v>1025</v>
      </c>
      <c r="F1209" s="41" t="s">
        <v>1351</v>
      </c>
      <c r="I1209" s="39">
        <v>2.4</v>
      </c>
      <c r="J1209" s="40">
        <v>5</v>
      </c>
      <c r="K1209" s="39">
        <v>0.1162</v>
      </c>
    </row>
    <row r="1210" spans="2:11" x14ac:dyDescent="0.25">
      <c r="B1210" s="28" t="str">
        <f>IF(ISNUMBER(MATCH(D1210, Mgt_Unit!$C$5:$C$1018, 0)), INDEX(Mgt_Unit!$B$5:$B$1018, MATCH(D1210, Mgt_Unit!$C$5:$C$1018, 0)), "")</f>
        <v>jennifer.moore</v>
      </c>
      <c r="C1210" s="28"/>
      <c r="D1210" s="17" t="s">
        <v>1023</v>
      </c>
      <c r="F1210" s="41" t="s">
        <v>1351</v>
      </c>
      <c r="I1210" s="39">
        <v>2.9</v>
      </c>
      <c r="J1210" s="40">
        <v>4.9400000000000004</v>
      </c>
      <c r="K1210" s="39">
        <v>0.1152</v>
      </c>
    </row>
    <row r="1211" spans="2:11" x14ac:dyDescent="0.25">
      <c r="B1211" s="28" t="str">
        <f>IF(ISNUMBER(MATCH(D1211, Mgt_Unit!$C$5:$C$1018, 0)), INDEX(Mgt_Unit!$B$5:$B$1018, MATCH(D1211, Mgt_Unit!$C$5:$C$1018, 0)), "")</f>
        <v>jennifer.moore</v>
      </c>
      <c r="C1211" s="28"/>
      <c r="D1211" s="17" t="s">
        <v>1024</v>
      </c>
      <c r="F1211" s="41" t="s">
        <v>1351</v>
      </c>
      <c r="I1211" s="39">
        <v>3.2</v>
      </c>
      <c r="J1211" s="40">
        <v>4.7</v>
      </c>
      <c r="K1211" s="39">
        <v>0.18720000000000001</v>
      </c>
    </row>
    <row r="1212" spans="2:11" x14ac:dyDescent="0.25">
      <c r="B1212" s="28" t="str">
        <f>IF(ISNUMBER(MATCH(D1212, Mgt_Unit!$C$5:$C$1018, 0)), INDEX(Mgt_Unit!$B$5:$B$1018, MATCH(D1212, Mgt_Unit!$C$5:$C$1018, 0)), "")</f>
        <v>jennifer.moore</v>
      </c>
      <c r="C1212" s="28"/>
      <c r="D1212" s="17" t="s">
        <v>1025</v>
      </c>
      <c r="F1212" s="41" t="s">
        <v>1351</v>
      </c>
      <c r="I1212" s="39">
        <v>3</v>
      </c>
      <c r="J1212" s="40">
        <v>5.21</v>
      </c>
      <c r="K1212" s="39">
        <v>0.1053</v>
      </c>
    </row>
    <row r="1213" spans="2:11" x14ac:dyDescent="0.25">
      <c r="B1213" s="28" t="str">
        <f>IF(ISNUMBER(MATCH(D1213, Mgt_Unit!$C$5:$C$1018, 0)), INDEX(Mgt_Unit!$B$5:$B$1018, MATCH(D1213, Mgt_Unit!$C$5:$C$1018, 0)), "")</f>
        <v>jennifer.moore</v>
      </c>
      <c r="C1213" s="28"/>
      <c r="D1213" s="17" t="s">
        <v>1023</v>
      </c>
      <c r="F1213" s="41" t="s">
        <v>1351</v>
      </c>
      <c r="I1213" s="39">
        <v>3.3</v>
      </c>
      <c r="J1213" s="40">
        <v>4.92</v>
      </c>
      <c r="K1213" s="39">
        <v>0.105</v>
      </c>
    </row>
    <row r="1214" spans="2:11" x14ac:dyDescent="0.25">
      <c r="B1214" s="28" t="str">
        <f>IF(ISNUMBER(MATCH(D1214, Mgt_Unit!$C$5:$C$1018, 0)), INDEX(Mgt_Unit!$B$5:$B$1018, MATCH(D1214, Mgt_Unit!$C$5:$C$1018, 0)), "")</f>
        <v>jennifer.moore</v>
      </c>
      <c r="C1214" s="28"/>
      <c r="D1214" s="17" t="s">
        <v>1024</v>
      </c>
      <c r="F1214" s="41" t="s">
        <v>1351</v>
      </c>
      <c r="I1214" s="39">
        <v>3.4</v>
      </c>
      <c r="J1214" s="40">
        <v>4.96</v>
      </c>
      <c r="K1214" s="39">
        <v>0.17100000000000001</v>
      </c>
    </row>
    <row r="1215" spans="2:11" x14ac:dyDescent="0.25">
      <c r="B1215" s="28" t="str">
        <f>IF(ISNUMBER(MATCH(D1215, Mgt_Unit!$C$5:$C$1018, 0)), INDEX(Mgt_Unit!$B$5:$B$1018, MATCH(D1215, Mgt_Unit!$C$5:$C$1018, 0)), "")</f>
        <v>jennifer.moore</v>
      </c>
      <c r="C1215" s="28"/>
      <c r="D1215" s="17" t="s">
        <v>1023</v>
      </c>
      <c r="F1215" s="41" t="s">
        <v>1351</v>
      </c>
      <c r="I1215" s="39">
        <v>3.4</v>
      </c>
      <c r="J1215" s="40">
        <v>5.0199999999999996</v>
      </c>
      <c r="K1215" s="39">
        <v>0.10299999999999999</v>
      </c>
    </row>
    <row r="1216" spans="2:11" x14ac:dyDescent="0.25">
      <c r="B1216" s="28" t="str">
        <f>IF(ISNUMBER(MATCH(D1216, Mgt_Unit!$C$5:$C$1018, 0)), INDEX(Mgt_Unit!$B$5:$B$1018, MATCH(D1216, Mgt_Unit!$C$5:$C$1018, 0)), "")</f>
        <v>jennifer.moore</v>
      </c>
      <c r="C1216" s="28"/>
      <c r="D1216" s="17" t="s">
        <v>1025</v>
      </c>
      <c r="F1216" s="41" t="s">
        <v>1351</v>
      </c>
      <c r="I1216" s="39">
        <v>3</v>
      </c>
      <c r="J1216" s="40">
        <v>5.23</v>
      </c>
      <c r="K1216" s="39">
        <v>0.10299999999999999</v>
      </c>
    </row>
    <row r="1217" spans="2:11" x14ac:dyDescent="0.25">
      <c r="B1217" s="28" t="str">
        <f>IF(ISNUMBER(MATCH(D1217, Mgt_Unit!$C$5:$C$1018, 0)), INDEX(Mgt_Unit!$B$5:$B$1018, MATCH(D1217, Mgt_Unit!$C$5:$C$1018, 0)), "")</f>
        <v>jennifer.moore</v>
      </c>
      <c r="C1217" s="28"/>
      <c r="D1217" s="17" t="s">
        <v>1024</v>
      </c>
      <c r="F1217" s="41" t="s">
        <v>1351</v>
      </c>
      <c r="I1217" s="39">
        <v>3.3</v>
      </c>
      <c r="J1217" s="40">
        <v>4.33</v>
      </c>
      <c r="K1217" s="39">
        <v>0.26</v>
      </c>
    </row>
    <row r="1218" spans="2:11" x14ac:dyDescent="0.25">
      <c r="B1218" s="28" t="str">
        <f>IF(ISNUMBER(MATCH(D1218, Mgt_Unit!$C$5:$C$1018, 0)), INDEX(Mgt_Unit!$B$5:$B$1018, MATCH(D1218, Mgt_Unit!$C$5:$C$1018, 0)), "")</f>
        <v>jennifer.moore</v>
      </c>
      <c r="C1218" s="28"/>
      <c r="D1218" s="17" t="s">
        <v>1023</v>
      </c>
      <c r="F1218" s="41" t="s">
        <v>1351</v>
      </c>
      <c r="I1218" s="39">
        <v>3.1</v>
      </c>
      <c r="J1218" s="40">
        <v>4.7300000000000004</v>
      </c>
      <c r="K1218" s="39">
        <v>0.111</v>
      </c>
    </row>
    <row r="1219" spans="2:11" x14ac:dyDescent="0.25">
      <c r="B1219" s="28" t="str">
        <f>IF(ISNUMBER(MATCH(D1219, Mgt_Unit!$C$5:$C$1018, 0)), INDEX(Mgt_Unit!$B$5:$B$1018, MATCH(D1219, Mgt_Unit!$C$5:$C$1018, 0)), "")</f>
        <v>jennifer.moore</v>
      </c>
      <c r="C1219" s="28"/>
      <c r="D1219" s="17" t="s">
        <v>1025</v>
      </c>
      <c r="F1219" s="41" t="s">
        <v>1351</v>
      </c>
      <c r="I1219" s="39">
        <v>2.5</v>
      </c>
      <c r="J1219" s="40">
        <v>4.7300000000000004</v>
      </c>
      <c r="K1219" s="39">
        <v>7.1400000000000005E-2</v>
      </c>
    </row>
    <row r="1220" spans="2:11" x14ac:dyDescent="0.25">
      <c r="B1220" s="28" t="str">
        <f>IF(ISNUMBER(MATCH(D1220, Mgt_Unit!$C$5:$C$1018, 0)), INDEX(Mgt_Unit!$B$5:$B$1018, MATCH(D1220, Mgt_Unit!$C$5:$C$1018, 0)), "")</f>
        <v>jennifer.moore</v>
      </c>
      <c r="C1220" s="28"/>
      <c r="D1220" s="17" t="s">
        <v>1024</v>
      </c>
      <c r="F1220" s="41" t="s">
        <v>1351</v>
      </c>
      <c r="I1220" s="39">
        <v>3.3</v>
      </c>
      <c r="J1220" s="40">
        <v>4.63</v>
      </c>
      <c r="K1220" s="39">
        <v>0.1434</v>
      </c>
    </row>
    <row r="1221" spans="2:11" x14ac:dyDescent="0.25">
      <c r="B1221" s="28" t="str">
        <f>IF(ISNUMBER(MATCH(D1221, Mgt_Unit!$C$5:$C$1018, 0)), INDEX(Mgt_Unit!$B$5:$B$1018, MATCH(D1221, Mgt_Unit!$C$5:$C$1018, 0)), "")</f>
        <v>jennifer.moore</v>
      </c>
      <c r="C1221" s="28"/>
      <c r="D1221" s="17" t="s">
        <v>1029</v>
      </c>
      <c r="F1221" s="41" t="s">
        <v>1351</v>
      </c>
      <c r="I1221" s="39">
        <v>2.1</v>
      </c>
      <c r="J1221" s="40">
        <v>5.6</v>
      </c>
      <c r="K1221" s="39">
        <v>4.0899999999999999E-2</v>
      </c>
    </row>
    <row r="1222" spans="2:11" x14ac:dyDescent="0.25">
      <c r="B1222" s="28" t="str">
        <f>IF(ISNUMBER(MATCH(D1222, Mgt_Unit!$C$5:$C$1018, 0)), INDEX(Mgt_Unit!$B$5:$B$1018, MATCH(D1222, Mgt_Unit!$C$5:$C$1018, 0)), "")</f>
        <v>jennifer.moore</v>
      </c>
      <c r="C1222" s="28"/>
      <c r="D1222" s="17" t="s">
        <v>1029</v>
      </c>
      <c r="F1222" s="41" t="s">
        <v>1351</v>
      </c>
      <c r="I1222" s="39">
        <v>2.2000000000000002</v>
      </c>
      <c r="J1222" s="40">
        <v>5.69</v>
      </c>
      <c r="K1222" s="39">
        <v>3.8399999999999997E-2</v>
      </c>
    </row>
    <row r="1223" spans="2:11" x14ac:dyDescent="0.25">
      <c r="B1223" s="28" t="str">
        <f>IF(ISNUMBER(MATCH(D1223, Mgt_Unit!$C$5:$C$1018, 0)), INDEX(Mgt_Unit!$B$5:$B$1018, MATCH(D1223, Mgt_Unit!$C$5:$C$1018, 0)), "")</f>
        <v>jennifer.moore</v>
      </c>
      <c r="C1223" s="28"/>
      <c r="D1223" s="17" t="s">
        <v>1028</v>
      </c>
      <c r="F1223" s="41" t="s">
        <v>1351</v>
      </c>
      <c r="I1223" s="39">
        <v>2.2999999999999998</v>
      </c>
      <c r="J1223" s="40">
        <v>5.62</v>
      </c>
      <c r="K1223" s="39">
        <v>0.10340000000000001</v>
      </c>
    </row>
    <row r="1224" spans="2:11" x14ac:dyDescent="0.25">
      <c r="B1224" s="28" t="str">
        <f>IF(ISNUMBER(MATCH(D1224, Mgt_Unit!$C$5:$C$1018, 0)), INDEX(Mgt_Unit!$B$5:$B$1018, MATCH(D1224, Mgt_Unit!$C$5:$C$1018, 0)), "")</f>
        <v>jennifer.moore</v>
      </c>
      <c r="C1224" s="28"/>
      <c r="D1224" s="17" t="s">
        <v>1028</v>
      </c>
      <c r="F1224" s="41" t="s">
        <v>1351</v>
      </c>
      <c r="I1224" s="39">
        <v>2.2000000000000002</v>
      </c>
      <c r="J1224" s="40">
        <v>5.56</v>
      </c>
      <c r="K1224" s="39">
        <v>5.45E-2</v>
      </c>
    </row>
    <row r="1225" spans="2:11" x14ac:dyDescent="0.25">
      <c r="B1225" s="28" t="str">
        <f>IF(ISNUMBER(MATCH(D1225, Mgt_Unit!$C$5:$C$1018, 0)), INDEX(Mgt_Unit!$B$5:$B$1018, MATCH(D1225, Mgt_Unit!$C$5:$C$1018, 0)), "")</f>
        <v>jennifer.moore</v>
      </c>
      <c r="C1225" s="28"/>
      <c r="D1225" s="17" t="s">
        <v>1026</v>
      </c>
      <c r="F1225" s="41" t="s">
        <v>1351</v>
      </c>
      <c r="I1225" s="39">
        <v>2.2000000000000002</v>
      </c>
      <c r="J1225" s="40">
        <v>5.95</v>
      </c>
      <c r="K1225" s="39">
        <v>3.73E-2</v>
      </c>
    </row>
    <row r="1226" spans="2:11" x14ac:dyDescent="0.25">
      <c r="B1226" s="28" t="str">
        <f>IF(ISNUMBER(MATCH(D1226, Mgt_Unit!$C$5:$C$1018, 0)), INDEX(Mgt_Unit!$B$5:$B$1018, MATCH(D1226, Mgt_Unit!$C$5:$C$1018, 0)), "")</f>
        <v>jennifer.moore</v>
      </c>
      <c r="C1226" s="28"/>
      <c r="D1226" s="17" t="s">
        <v>1026</v>
      </c>
      <c r="F1226" s="41" t="s">
        <v>1351</v>
      </c>
      <c r="I1226" s="39">
        <v>2.1</v>
      </c>
      <c r="J1226" s="40">
        <v>5.94</v>
      </c>
      <c r="K1226" s="39">
        <v>3.2399999999999998E-2</v>
      </c>
    </row>
    <row r="1227" spans="2:11" x14ac:dyDescent="0.25">
      <c r="B1227" s="28" t="str">
        <f>IF(ISNUMBER(MATCH(D1227, Mgt_Unit!$C$5:$C$1018, 0)), INDEX(Mgt_Unit!$B$5:$B$1018, MATCH(D1227, Mgt_Unit!$C$5:$C$1018, 0)), "")</f>
        <v>jennifer.moore</v>
      </c>
      <c r="C1227" s="28"/>
      <c r="D1227" s="17" t="s">
        <v>1027</v>
      </c>
      <c r="F1227" s="41" t="s">
        <v>1351</v>
      </c>
      <c r="I1227" s="39">
        <v>2.9</v>
      </c>
      <c r="J1227" s="40">
        <v>6.6</v>
      </c>
      <c r="K1227" s="39">
        <v>0.14099999999999999</v>
      </c>
    </row>
    <row r="1228" spans="2:11" x14ac:dyDescent="0.25">
      <c r="B1228" s="28" t="str">
        <f>IF(ISNUMBER(MATCH(D1228, Mgt_Unit!$C$5:$C$1018, 0)), INDEX(Mgt_Unit!$B$5:$B$1018, MATCH(D1228, Mgt_Unit!$C$5:$C$1018, 0)), "")</f>
        <v>jennifer.moore</v>
      </c>
      <c r="C1228" s="28"/>
      <c r="D1228" s="17" t="s">
        <v>1027</v>
      </c>
      <c r="F1228" s="41" t="s">
        <v>1351</v>
      </c>
      <c r="I1228" s="39">
        <v>2.9</v>
      </c>
      <c r="J1228" s="40">
        <v>6.65</v>
      </c>
      <c r="K1228" s="39">
        <v>0.1419</v>
      </c>
    </row>
    <row r="1229" spans="2:11" x14ac:dyDescent="0.25">
      <c r="B1229" s="28" t="str">
        <f>IF(ISNUMBER(MATCH(D1229, Mgt_Unit!$C$5:$C$1018, 0)), INDEX(Mgt_Unit!$B$5:$B$1018, MATCH(D1229, Mgt_Unit!$C$5:$C$1018, 0)), "")</f>
        <v>jennifer.moore</v>
      </c>
      <c r="C1229" s="28"/>
      <c r="D1229" s="17" t="s">
        <v>1029</v>
      </c>
      <c r="F1229" s="41" t="s">
        <v>1351</v>
      </c>
      <c r="I1229" s="39">
        <v>2</v>
      </c>
      <c r="J1229" s="40">
        <v>5.46</v>
      </c>
      <c r="K1229" s="39">
        <v>3.7900000000000003E-2</v>
      </c>
    </row>
    <row r="1230" spans="2:11" x14ac:dyDescent="0.25">
      <c r="B1230" s="28" t="str">
        <f>IF(ISNUMBER(MATCH(D1230, Mgt_Unit!$C$5:$C$1018, 0)), INDEX(Mgt_Unit!$B$5:$B$1018, MATCH(D1230, Mgt_Unit!$C$5:$C$1018, 0)), "")</f>
        <v>jennifer.moore</v>
      </c>
      <c r="C1230" s="28"/>
      <c r="D1230" s="17" t="s">
        <v>1029</v>
      </c>
      <c r="F1230" s="41" t="s">
        <v>1351</v>
      </c>
      <c r="I1230" s="39">
        <v>2.1</v>
      </c>
      <c r="J1230" s="40">
        <v>5.33</v>
      </c>
      <c r="K1230" s="39">
        <v>4.6199999999999998E-2</v>
      </c>
    </row>
    <row r="1231" spans="2:11" x14ac:dyDescent="0.25">
      <c r="B1231" s="28" t="str">
        <f>IF(ISNUMBER(MATCH(D1231, Mgt_Unit!$C$5:$C$1018, 0)), INDEX(Mgt_Unit!$B$5:$B$1018, MATCH(D1231, Mgt_Unit!$C$5:$C$1018, 0)), "")</f>
        <v>jennifer.moore</v>
      </c>
      <c r="C1231" s="28"/>
      <c r="D1231" s="17" t="s">
        <v>1028</v>
      </c>
      <c r="F1231" s="41" t="s">
        <v>1351</v>
      </c>
      <c r="I1231" s="39">
        <v>2.2000000000000002</v>
      </c>
      <c r="J1231" s="40">
        <v>5.01</v>
      </c>
      <c r="K1231" s="39">
        <v>8.7800000000000003E-2</v>
      </c>
    </row>
    <row r="1232" spans="2:11" x14ac:dyDescent="0.25">
      <c r="B1232" s="28" t="str">
        <f>IF(ISNUMBER(MATCH(D1232, Mgt_Unit!$C$5:$C$1018, 0)), INDEX(Mgt_Unit!$B$5:$B$1018, MATCH(D1232, Mgt_Unit!$C$5:$C$1018, 0)), "")</f>
        <v>jennifer.moore</v>
      </c>
      <c r="C1232" s="28"/>
      <c r="D1232" s="17" t="s">
        <v>1028</v>
      </c>
      <c r="F1232" s="41" t="s">
        <v>1351</v>
      </c>
      <c r="I1232" s="39">
        <v>2.2000000000000002</v>
      </c>
      <c r="J1232" s="40">
        <v>5.09</v>
      </c>
      <c r="K1232" s="39">
        <v>6.08E-2</v>
      </c>
    </row>
    <row r="1233" spans="2:11" x14ac:dyDescent="0.25">
      <c r="B1233" s="28" t="str">
        <f>IF(ISNUMBER(MATCH(D1233, Mgt_Unit!$C$5:$C$1018, 0)), INDEX(Mgt_Unit!$B$5:$B$1018, MATCH(D1233, Mgt_Unit!$C$5:$C$1018, 0)), "")</f>
        <v>jennifer.moore</v>
      </c>
      <c r="C1233" s="28"/>
      <c r="D1233" s="17" t="s">
        <v>1026</v>
      </c>
      <c r="F1233" s="41" t="s">
        <v>1351</v>
      </c>
      <c r="I1233" s="39">
        <v>2</v>
      </c>
      <c r="J1233" s="40">
        <v>5.71</v>
      </c>
      <c r="K1233" s="39">
        <v>3.0599999999999999E-2</v>
      </c>
    </row>
    <row r="1234" spans="2:11" x14ac:dyDescent="0.25">
      <c r="B1234" s="28" t="str">
        <f>IF(ISNUMBER(MATCH(D1234, Mgt_Unit!$C$5:$C$1018, 0)), INDEX(Mgt_Unit!$B$5:$B$1018, MATCH(D1234, Mgt_Unit!$C$5:$C$1018, 0)), "")</f>
        <v>jennifer.moore</v>
      </c>
      <c r="C1234" s="28"/>
      <c r="D1234" s="17" t="s">
        <v>1026</v>
      </c>
      <c r="F1234" s="41" t="s">
        <v>1351</v>
      </c>
      <c r="I1234" s="39">
        <v>2</v>
      </c>
      <c r="J1234" s="40">
        <v>5.61</v>
      </c>
      <c r="K1234" s="39">
        <v>3.6900000000000002E-2</v>
      </c>
    </row>
    <row r="1235" spans="2:11" x14ac:dyDescent="0.25">
      <c r="B1235" s="28" t="str">
        <f>IF(ISNUMBER(MATCH(D1235, Mgt_Unit!$C$5:$C$1018, 0)), INDEX(Mgt_Unit!$B$5:$B$1018, MATCH(D1235, Mgt_Unit!$C$5:$C$1018, 0)), "")</f>
        <v>jennifer.moore</v>
      </c>
      <c r="C1235" s="28"/>
      <c r="D1235" s="17" t="s">
        <v>1027</v>
      </c>
      <c r="F1235" s="41" t="s">
        <v>1351</v>
      </c>
      <c r="I1235" s="39">
        <v>2.6</v>
      </c>
      <c r="J1235" s="40">
        <v>6.49</v>
      </c>
      <c r="K1235" s="39">
        <v>0.1082</v>
      </c>
    </row>
    <row r="1236" spans="2:11" x14ac:dyDescent="0.25">
      <c r="B1236" s="28" t="str">
        <f>IF(ISNUMBER(MATCH(D1236, Mgt_Unit!$C$5:$C$1018, 0)), INDEX(Mgt_Unit!$B$5:$B$1018, MATCH(D1236, Mgt_Unit!$C$5:$C$1018, 0)), "")</f>
        <v>jennifer.moore</v>
      </c>
      <c r="C1236" s="28"/>
      <c r="D1236" s="17" t="s">
        <v>1027</v>
      </c>
      <c r="F1236" s="41" t="s">
        <v>1351</v>
      </c>
      <c r="I1236" s="39">
        <v>2.9</v>
      </c>
      <c r="J1236" s="40">
        <v>6.69</v>
      </c>
      <c r="K1236" s="39">
        <v>0.1356</v>
      </c>
    </row>
    <row r="1237" spans="2:11" x14ac:dyDescent="0.25">
      <c r="B1237" s="28" t="str">
        <f>IF(ISNUMBER(MATCH(D1237, Mgt_Unit!$C$5:$C$1018, 0)), INDEX(Mgt_Unit!$B$5:$B$1018, MATCH(D1237, Mgt_Unit!$C$5:$C$1018, 0)), "")</f>
        <v>jennifer.moore</v>
      </c>
      <c r="C1237" s="28"/>
      <c r="D1237" s="17" t="s">
        <v>1032</v>
      </c>
      <c r="F1237" s="41" t="s">
        <v>1351</v>
      </c>
      <c r="I1237" s="39">
        <v>3.8</v>
      </c>
      <c r="J1237" s="40">
        <v>5.15</v>
      </c>
      <c r="K1237" s="39">
        <v>0.14099999999999999</v>
      </c>
    </row>
    <row r="1238" spans="2:11" x14ac:dyDescent="0.25">
      <c r="B1238" s="28" t="str">
        <f>IF(ISNUMBER(MATCH(D1238, Mgt_Unit!$C$5:$C$1018, 0)), INDEX(Mgt_Unit!$B$5:$B$1018, MATCH(D1238, Mgt_Unit!$C$5:$C$1018, 0)), "")</f>
        <v>jennifer.moore</v>
      </c>
      <c r="C1238" s="28"/>
      <c r="D1238" s="17" t="s">
        <v>1032</v>
      </c>
      <c r="F1238" s="41" t="s">
        <v>1351</v>
      </c>
      <c r="I1238" s="39">
        <v>5.5</v>
      </c>
      <c r="J1238" s="40">
        <v>5.15</v>
      </c>
      <c r="K1238" s="39">
        <v>0.1008</v>
      </c>
    </row>
    <row r="1239" spans="2:11" x14ac:dyDescent="0.25">
      <c r="B1239" s="28" t="str">
        <f>IF(ISNUMBER(MATCH(D1239, Mgt_Unit!$C$5:$C$1018, 0)), INDEX(Mgt_Unit!$B$5:$B$1018, MATCH(D1239, Mgt_Unit!$C$5:$C$1018, 0)), "")</f>
        <v>jennifer.moore</v>
      </c>
      <c r="C1239" s="28"/>
      <c r="D1239" s="17" t="s">
        <v>1032</v>
      </c>
      <c r="F1239" s="41" t="s">
        <v>1351</v>
      </c>
      <c r="I1239" s="39">
        <v>4.8</v>
      </c>
      <c r="J1239" s="40">
        <v>5.04</v>
      </c>
      <c r="K1239" s="39">
        <v>7.1599999999999997E-2</v>
      </c>
    </row>
    <row r="1240" spans="2:11" x14ac:dyDescent="0.25">
      <c r="B1240" s="28" t="str">
        <f>IF(ISNUMBER(MATCH(D1240, Mgt_Unit!$C$5:$C$1018, 0)), INDEX(Mgt_Unit!$B$5:$B$1018, MATCH(D1240, Mgt_Unit!$C$5:$C$1018, 0)), "")</f>
        <v>jennifer.moore</v>
      </c>
      <c r="C1240" s="28"/>
      <c r="D1240" s="17" t="s">
        <v>1034</v>
      </c>
      <c r="F1240" s="41" t="s">
        <v>1351</v>
      </c>
      <c r="I1240" s="39">
        <v>4.3</v>
      </c>
      <c r="J1240" s="40">
        <v>5.31</v>
      </c>
      <c r="K1240" s="39">
        <v>7.6799999999999993E-2</v>
      </c>
    </row>
    <row r="1241" spans="2:11" x14ac:dyDescent="0.25">
      <c r="B1241" s="28" t="str">
        <f>IF(ISNUMBER(MATCH(D1241, Mgt_Unit!$C$5:$C$1018, 0)), INDEX(Mgt_Unit!$B$5:$B$1018, MATCH(D1241, Mgt_Unit!$C$5:$C$1018, 0)), "")</f>
        <v>jennifer.moore</v>
      </c>
      <c r="C1241" s="28"/>
      <c r="D1241" s="17" t="s">
        <v>1034</v>
      </c>
      <c r="F1241" s="41" t="s">
        <v>1351</v>
      </c>
      <c r="I1241" s="39">
        <v>5.6</v>
      </c>
      <c r="J1241" s="40">
        <v>5.03</v>
      </c>
      <c r="K1241" s="39">
        <v>8.5599999999999996E-2</v>
      </c>
    </row>
    <row r="1242" spans="2:11" x14ac:dyDescent="0.25">
      <c r="B1242" s="28" t="str">
        <f>IF(ISNUMBER(MATCH(D1242, Mgt_Unit!$C$5:$C$1018, 0)), INDEX(Mgt_Unit!$B$5:$B$1018, MATCH(D1242, Mgt_Unit!$C$5:$C$1018, 0)), "")</f>
        <v>jennifer.moore</v>
      </c>
      <c r="C1242" s="28"/>
      <c r="D1242" s="17" t="s">
        <v>1034</v>
      </c>
      <c r="F1242" s="41" t="s">
        <v>1351</v>
      </c>
      <c r="I1242" s="39">
        <v>4.4000000000000004</v>
      </c>
      <c r="J1242" s="40">
        <v>5.23</v>
      </c>
      <c r="K1242" s="39">
        <v>7.2999999999999995E-2</v>
      </c>
    </row>
    <row r="1243" spans="2:11" x14ac:dyDescent="0.25">
      <c r="B1243" s="28" t="str">
        <f>IF(ISNUMBER(MATCH(D1243, Mgt_Unit!$C$5:$C$1018, 0)), INDEX(Mgt_Unit!$B$5:$B$1018, MATCH(D1243, Mgt_Unit!$C$5:$C$1018, 0)), "")</f>
        <v>jennifer.moore</v>
      </c>
      <c r="C1243" s="28"/>
      <c r="D1243" s="17" t="s">
        <v>1033</v>
      </c>
      <c r="F1243" s="41" t="s">
        <v>1351</v>
      </c>
      <c r="I1243" s="39">
        <v>4.5</v>
      </c>
      <c r="J1243" s="40">
        <v>5.36</v>
      </c>
      <c r="K1243" s="39">
        <v>7.6399999999999996E-2</v>
      </c>
    </row>
    <row r="1244" spans="2:11" x14ac:dyDescent="0.25">
      <c r="B1244" s="28" t="str">
        <f>IF(ISNUMBER(MATCH(D1244, Mgt_Unit!$C$5:$C$1018, 0)), INDEX(Mgt_Unit!$B$5:$B$1018, MATCH(D1244, Mgt_Unit!$C$5:$C$1018, 0)), "")</f>
        <v>jennifer.moore</v>
      </c>
      <c r="C1244" s="28"/>
      <c r="D1244" s="17" t="s">
        <v>1033</v>
      </c>
      <c r="F1244" s="41" t="s">
        <v>1351</v>
      </c>
      <c r="I1244" s="39">
        <v>4.5999999999999996</v>
      </c>
      <c r="J1244" s="40">
        <v>5.43</v>
      </c>
      <c r="K1244" s="39">
        <v>8.1500000000000003E-2</v>
      </c>
    </row>
    <row r="1245" spans="2:11" x14ac:dyDescent="0.25">
      <c r="B1245" s="28" t="str">
        <f>IF(ISNUMBER(MATCH(D1245, Mgt_Unit!$C$5:$C$1018, 0)), INDEX(Mgt_Unit!$B$5:$B$1018, MATCH(D1245, Mgt_Unit!$C$5:$C$1018, 0)), "")</f>
        <v>jennifer.moore</v>
      </c>
      <c r="C1245" s="28"/>
      <c r="D1245" s="17" t="s">
        <v>1033</v>
      </c>
      <c r="F1245" s="41" t="s">
        <v>1351</v>
      </c>
      <c r="I1245" s="39">
        <v>5.8</v>
      </c>
      <c r="J1245" s="40">
        <v>5.35</v>
      </c>
      <c r="K1245" s="39">
        <v>7.8200000000000006E-2</v>
      </c>
    </row>
    <row r="1246" spans="2:11" x14ac:dyDescent="0.25">
      <c r="B1246" s="28" t="str">
        <f>IF(ISNUMBER(MATCH(D1246, Mgt_Unit!$C$5:$C$1018, 0)), INDEX(Mgt_Unit!$B$5:$B$1018, MATCH(D1246, Mgt_Unit!$C$5:$C$1018, 0)), "")</f>
        <v>jennifer.moore</v>
      </c>
      <c r="C1246" s="28"/>
      <c r="D1246" s="17" t="s">
        <v>1035</v>
      </c>
      <c r="F1246" s="41" t="s">
        <v>1351</v>
      </c>
      <c r="I1246" s="39">
        <v>5.2</v>
      </c>
      <c r="J1246" s="40">
        <v>5.44</v>
      </c>
      <c r="K1246" s="39">
        <v>8.43E-2</v>
      </c>
    </row>
    <row r="1247" spans="2:11" x14ac:dyDescent="0.25">
      <c r="B1247" s="28" t="str">
        <f>IF(ISNUMBER(MATCH(D1247, Mgt_Unit!$C$5:$C$1018, 0)), INDEX(Mgt_Unit!$B$5:$B$1018, MATCH(D1247, Mgt_Unit!$C$5:$C$1018, 0)), "")</f>
        <v>jennifer.moore</v>
      </c>
      <c r="C1247" s="28"/>
      <c r="D1247" s="17" t="s">
        <v>1035</v>
      </c>
      <c r="F1247" s="41" t="s">
        <v>1351</v>
      </c>
      <c r="I1247" s="39">
        <v>5</v>
      </c>
      <c r="J1247" s="40">
        <v>5.5</v>
      </c>
      <c r="K1247" s="39">
        <v>0.1007</v>
      </c>
    </row>
    <row r="1248" spans="2:11" x14ac:dyDescent="0.25">
      <c r="B1248" s="28" t="str">
        <f>IF(ISNUMBER(MATCH(D1248, Mgt_Unit!$C$5:$C$1018, 0)), INDEX(Mgt_Unit!$B$5:$B$1018, MATCH(D1248, Mgt_Unit!$C$5:$C$1018, 0)), "")</f>
        <v>jennifer.moore</v>
      </c>
      <c r="C1248" s="28"/>
      <c r="D1248" s="17" t="s">
        <v>1035</v>
      </c>
      <c r="F1248" s="41" t="s">
        <v>1351</v>
      </c>
      <c r="I1248" s="39">
        <v>6.5</v>
      </c>
      <c r="J1248" s="40">
        <v>5.48</v>
      </c>
      <c r="K1248" s="39">
        <v>8.7900000000000006E-2</v>
      </c>
    </row>
    <row r="1249" spans="2:11" x14ac:dyDescent="0.25">
      <c r="B1249" s="28" t="str">
        <f>IF(ISNUMBER(MATCH(D1249, Mgt_Unit!$C$5:$C$1018, 0)), INDEX(Mgt_Unit!$B$5:$B$1018, MATCH(D1249, Mgt_Unit!$C$5:$C$1018, 0)), "")</f>
        <v>jennifer.moore</v>
      </c>
      <c r="C1249" s="28"/>
      <c r="D1249" s="17" t="s">
        <v>1036</v>
      </c>
      <c r="F1249" s="41" t="s">
        <v>1351</v>
      </c>
      <c r="I1249" s="39">
        <v>5.7</v>
      </c>
      <c r="J1249" s="40">
        <v>5.33</v>
      </c>
      <c r="K1249" s="39">
        <v>7.5999999999999998E-2</v>
      </c>
    </row>
    <row r="1250" spans="2:11" x14ac:dyDescent="0.25">
      <c r="B1250" s="28" t="str">
        <f>IF(ISNUMBER(MATCH(D1250, Mgt_Unit!$C$5:$C$1018, 0)), INDEX(Mgt_Unit!$B$5:$B$1018, MATCH(D1250, Mgt_Unit!$C$5:$C$1018, 0)), "")</f>
        <v>jennifer.moore</v>
      </c>
      <c r="C1250" s="28"/>
      <c r="D1250" s="17" t="s">
        <v>1036</v>
      </c>
      <c r="F1250" s="41" t="s">
        <v>1351</v>
      </c>
      <c r="I1250" s="39">
        <v>5.0999999999999996</v>
      </c>
      <c r="J1250" s="40">
        <v>5.37</v>
      </c>
      <c r="K1250" s="39">
        <v>9.1600000000000001E-2</v>
      </c>
    </row>
    <row r="1251" spans="2:11" x14ac:dyDescent="0.25">
      <c r="B1251" s="28" t="str">
        <f>IF(ISNUMBER(MATCH(D1251, Mgt_Unit!$C$5:$C$1018, 0)), INDEX(Mgt_Unit!$B$5:$B$1018, MATCH(D1251, Mgt_Unit!$C$5:$C$1018, 0)), "")</f>
        <v>jennifer.moore</v>
      </c>
      <c r="C1251" s="28"/>
      <c r="D1251" s="17" t="s">
        <v>1036</v>
      </c>
      <c r="F1251" s="41" t="s">
        <v>1351</v>
      </c>
      <c r="I1251" s="39">
        <v>4.8</v>
      </c>
      <c r="J1251" s="40">
        <v>5.27</v>
      </c>
      <c r="K1251" s="39">
        <v>7.6399999999999996E-2</v>
      </c>
    </row>
    <row r="1252" spans="2:11" x14ac:dyDescent="0.25">
      <c r="B1252" s="28" t="str">
        <f>IF(ISNUMBER(MATCH(D1252, Mgt_Unit!$C$5:$C$1018, 0)), INDEX(Mgt_Unit!$B$5:$B$1018, MATCH(D1252, Mgt_Unit!$C$5:$C$1018, 0)), "")</f>
        <v>jennifer.moore</v>
      </c>
      <c r="C1252" s="28"/>
      <c r="D1252" s="17" t="s">
        <v>1030</v>
      </c>
      <c r="F1252" s="41" t="s">
        <v>1351</v>
      </c>
      <c r="I1252" s="39">
        <v>4.7</v>
      </c>
      <c r="J1252" s="40">
        <v>5.4</v>
      </c>
      <c r="K1252" s="39">
        <v>7.6100000000000001E-2</v>
      </c>
    </row>
    <row r="1253" spans="2:11" x14ac:dyDescent="0.25">
      <c r="B1253" s="28" t="str">
        <f>IF(ISNUMBER(MATCH(D1253, Mgt_Unit!$C$5:$C$1018, 0)), INDEX(Mgt_Unit!$B$5:$B$1018, MATCH(D1253, Mgt_Unit!$C$5:$C$1018, 0)), "")</f>
        <v>jennifer.moore</v>
      </c>
      <c r="C1253" s="28"/>
      <c r="D1253" s="17" t="s">
        <v>1030</v>
      </c>
      <c r="F1253" s="41" t="s">
        <v>1351</v>
      </c>
      <c r="I1253" s="39">
        <v>5.7</v>
      </c>
      <c r="J1253" s="40">
        <v>5.01</v>
      </c>
      <c r="K1253" s="39">
        <v>7.6200000000000004E-2</v>
      </c>
    </row>
    <row r="1254" spans="2:11" x14ac:dyDescent="0.25">
      <c r="B1254" s="28" t="str">
        <f>IF(ISNUMBER(MATCH(D1254, Mgt_Unit!$C$5:$C$1018, 0)), INDEX(Mgt_Unit!$B$5:$B$1018, MATCH(D1254, Mgt_Unit!$C$5:$C$1018, 0)), "")</f>
        <v>jennifer.moore</v>
      </c>
      <c r="C1254" s="28"/>
      <c r="D1254" s="17" t="s">
        <v>1030</v>
      </c>
      <c r="F1254" s="41" t="s">
        <v>1351</v>
      </c>
      <c r="I1254" s="39">
        <v>5.6</v>
      </c>
      <c r="J1254" s="40">
        <v>5.34</v>
      </c>
      <c r="K1254" s="39">
        <v>7.4899999999999994E-2</v>
      </c>
    </row>
    <row r="1255" spans="2:11" x14ac:dyDescent="0.25">
      <c r="B1255" s="28" t="str">
        <f>IF(ISNUMBER(MATCH(D1255, Mgt_Unit!$C$5:$C$1018, 0)), INDEX(Mgt_Unit!$B$5:$B$1018, MATCH(D1255, Mgt_Unit!$C$5:$C$1018, 0)), "")</f>
        <v>jennifer.moore</v>
      </c>
      <c r="C1255" s="28"/>
      <c r="D1255" s="17" t="s">
        <v>1037</v>
      </c>
      <c r="F1255" s="41" t="s">
        <v>1351</v>
      </c>
      <c r="I1255" s="39">
        <v>5.2</v>
      </c>
      <c r="J1255" s="40">
        <v>5.48</v>
      </c>
      <c r="K1255" s="39">
        <v>9.2200000000000004E-2</v>
      </c>
    </row>
    <row r="1256" spans="2:11" x14ac:dyDescent="0.25">
      <c r="B1256" s="28" t="str">
        <f>IF(ISNUMBER(MATCH(D1256, Mgt_Unit!$C$5:$C$1018, 0)), INDEX(Mgt_Unit!$B$5:$B$1018, MATCH(D1256, Mgt_Unit!$C$5:$C$1018, 0)), "")</f>
        <v>jennifer.moore</v>
      </c>
      <c r="C1256" s="28"/>
      <c r="D1256" s="17" t="s">
        <v>1037</v>
      </c>
      <c r="F1256" s="41" t="s">
        <v>1351</v>
      </c>
      <c r="I1256" s="39">
        <v>5.2</v>
      </c>
      <c r="J1256" s="40">
        <v>5.56</v>
      </c>
      <c r="K1256" s="39">
        <v>8.5300000000000001E-2</v>
      </c>
    </row>
    <row r="1257" spans="2:11" x14ac:dyDescent="0.25">
      <c r="B1257" s="28" t="str">
        <f>IF(ISNUMBER(MATCH(D1257, Mgt_Unit!$C$5:$C$1018, 0)), INDEX(Mgt_Unit!$B$5:$B$1018, MATCH(D1257, Mgt_Unit!$C$5:$C$1018, 0)), "")</f>
        <v>jennifer.moore</v>
      </c>
      <c r="C1257" s="28"/>
      <c r="D1257" s="17" t="s">
        <v>1037</v>
      </c>
      <c r="F1257" s="41" t="s">
        <v>1351</v>
      </c>
      <c r="I1257" s="39">
        <v>5.4</v>
      </c>
      <c r="J1257" s="40">
        <v>5.88</v>
      </c>
      <c r="K1257" s="39">
        <v>8.9700000000000002E-2</v>
      </c>
    </row>
    <row r="1258" spans="2:11" x14ac:dyDescent="0.25">
      <c r="B1258" s="28" t="str">
        <f>IF(ISNUMBER(MATCH(D1258, Mgt_Unit!$C$5:$C$1018, 0)), INDEX(Mgt_Unit!$B$5:$B$1018, MATCH(D1258, Mgt_Unit!$C$5:$C$1018, 0)), "")</f>
        <v>jennifer.moore</v>
      </c>
      <c r="C1258" s="28"/>
      <c r="D1258" s="17" t="s">
        <v>1031</v>
      </c>
      <c r="F1258" s="41" t="s">
        <v>1351</v>
      </c>
      <c r="I1258" s="39">
        <v>6.1</v>
      </c>
      <c r="J1258" s="40">
        <v>5.74</v>
      </c>
      <c r="K1258" s="39">
        <v>8.2100000000000006E-2</v>
      </c>
    </row>
    <row r="1259" spans="2:11" x14ac:dyDescent="0.25">
      <c r="B1259" s="28" t="str">
        <f>IF(ISNUMBER(MATCH(D1259, Mgt_Unit!$C$5:$C$1018, 0)), INDEX(Mgt_Unit!$B$5:$B$1018, MATCH(D1259, Mgt_Unit!$C$5:$C$1018, 0)), "")</f>
        <v>jennifer.moore</v>
      </c>
      <c r="C1259" s="28"/>
      <c r="D1259" s="17" t="s">
        <v>1031</v>
      </c>
      <c r="F1259" s="41" t="s">
        <v>1351</v>
      </c>
      <c r="I1259" s="39">
        <v>6.2</v>
      </c>
      <c r="J1259" s="40">
        <v>5.73</v>
      </c>
      <c r="K1259" s="39">
        <v>9.5600000000000004E-2</v>
      </c>
    </row>
    <row r="1260" spans="2:11" x14ac:dyDescent="0.25">
      <c r="B1260" s="28" t="str">
        <f>IF(ISNUMBER(MATCH(D1260, Mgt_Unit!$C$5:$C$1018, 0)), INDEX(Mgt_Unit!$B$5:$B$1018, MATCH(D1260, Mgt_Unit!$C$5:$C$1018, 0)), "")</f>
        <v>jennifer.moore</v>
      </c>
      <c r="C1260" s="28"/>
      <c r="D1260" s="17" t="s">
        <v>1031</v>
      </c>
      <c r="F1260" s="41" t="s">
        <v>1351</v>
      </c>
      <c r="I1260" s="39">
        <v>5.0999999999999996</v>
      </c>
      <c r="J1260" s="40">
        <v>5.73</v>
      </c>
      <c r="K1260" s="39">
        <v>9.4E-2</v>
      </c>
    </row>
    <row r="1261" spans="2:11" x14ac:dyDescent="0.25">
      <c r="B1261" s="28" t="str">
        <f>IF(ISNUMBER(MATCH(D1261, Mgt_Unit!$C$5:$C$1018, 0)), INDEX(Mgt_Unit!$B$5:$B$1018, MATCH(D1261, Mgt_Unit!$C$5:$C$1018, 0)), "")</f>
        <v>jennifer.moore</v>
      </c>
      <c r="C1261" s="28"/>
      <c r="D1261" s="17" t="s">
        <v>1041</v>
      </c>
      <c r="F1261" s="41" t="s">
        <v>1351</v>
      </c>
      <c r="I1261" s="39">
        <v>2.9</v>
      </c>
      <c r="J1261" s="40">
        <v>6.05</v>
      </c>
      <c r="K1261" s="39">
        <v>0.1118</v>
      </c>
    </row>
    <row r="1262" spans="2:11" x14ac:dyDescent="0.25">
      <c r="B1262" s="28" t="str">
        <f>IF(ISNUMBER(MATCH(D1262, Mgt_Unit!$C$5:$C$1018, 0)), INDEX(Mgt_Unit!$B$5:$B$1018, MATCH(D1262, Mgt_Unit!$C$5:$C$1018, 0)), "")</f>
        <v>jennifer.moore</v>
      </c>
      <c r="C1262" s="28"/>
      <c r="D1262" s="17" t="s">
        <v>1041</v>
      </c>
      <c r="F1262" s="41" t="s">
        <v>1351</v>
      </c>
      <c r="I1262" s="39">
        <v>3.1</v>
      </c>
      <c r="J1262" s="40">
        <v>5.92</v>
      </c>
      <c r="K1262" s="39">
        <v>0.104</v>
      </c>
    </row>
    <row r="1263" spans="2:11" x14ac:dyDescent="0.25">
      <c r="B1263" s="28" t="str">
        <f>IF(ISNUMBER(MATCH(D1263, Mgt_Unit!$C$5:$C$1018, 0)), INDEX(Mgt_Unit!$B$5:$B$1018, MATCH(D1263, Mgt_Unit!$C$5:$C$1018, 0)), "")</f>
        <v>jennifer.moore</v>
      </c>
      <c r="C1263" s="28"/>
      <c r="D1263" s="17" t="s">
        <v>1041</v>
      </c>
      <c r="F1263" s="41" t="s">
        <v>1351</v>
      </c>
      <c r="I1263" s="39">
        <v>2.8</v>
      </c>
      <c r="J1263" s="40">
        <v>5.93</v>
      </c>
      <c r="K1263" s="39">
        <v>0.1118</v>
      </c>
    </row>
    <row r="1264" spans="2:11" x14ac:dyDescent="0.25">
      <c r="B1264" s="28" t="str">
        <f>IF(ISNUMBER(MATCH(D1264, Mgt_Unit!$C$5:$C$1018, 0)), INDEX(Mgt_Unit!$B$5:$B$1018, MATCH(D1264, Mgt_Unit!$C$5:$C$1018, 0)), "")</f>
        <v>jennifer.moore</v>
      </c>
      <c r="C1264" s="28"/>
      <c r="D1264" s="17" t="s">
        <v>1043</v>
      </c>
      <c r="F1264" s="41" t="s">
        <v>1351</v>
      </c>
      <c r="I1264" s="39">
        <v>2.7</v>
      </c>
      <c r="J1264" s="40">
        <v>6.22</v>
      </c>
      <c r="K1264" s="39">
        <v>0.1009</v>
      </c>
    </row>
    <row r="1265" spans="2:11" x14ac:dyDescent="0.25">
      <c r="B1265" s="28" t="str">
        <f>IF(ISNUMBER(MATCH(D1265, Mgt_Unit!$C$5:$C$1018, 0)), INDEX(Mgt_Unit!$B$5:$B$1018, MATCH(D1265, Mgt_Unit!$C$5:$C$1018, 0)), "")</f>
        <v>jennifer.moore</v>
      </c>
      <c r="C1265" s="28"/>
      <c r="D1265" s="17" t="s">
        <v>1043</v>
      </c>
      <c r="F1265" s="41" t="s">
        <v>1351</v>
      </c>
      <c r="I1265" s="39">
        <v>2.6</v>
      </c>
      <c r="J1265" s="40">
        <v>5.99</v>
      </c>
      <c r="K1265" s="39">
        <v>8.0799999999999997E-2</v>
      </c>
    </row>
    <row r="1266" spans="2:11" x14ac:dyDescent="0.25">
      <c r="B1266" s="28" t="str">
        <f>IF(ISNUMBER(MATCH(D1266, Mgt_Unit!$C$5:$C$1018, 0)), INDEX(Mgt_Unit!$B$5:$B$1018, MATCH(D1266, Mgt_Unit!$C$5:$C$1018, 0)), "")</f>
        <v>jennifer.moore</v>
      </c>
      <c r="C1266" s="28"/>
      <c r="D1266" s="17" t="s">
        <v>1043</v>
      </c>
      <c r="F1266" s="41" t="s">
        <v>1351</v>
      </c>
      <c r="I1266" s="39">
        <v>2.9</v>
      </c>
      <c r="J1266" s="40">
        <v>6.06</v>
      </c>
      <c r="K1266" s="39">
        <v>9.5500000000000002E-2</v>
      </c>
    </row>
    <row r="1267" spans="2:11" x14ac:dyDescent="0.25">
      <c r="B1267" s="28" t="str">
        <f>IF(ISNUMBER(MATCH(D1267, Mgt_Unit!$C$5:$C$1018, 0)), INDEX(Mgt_Unit!$B$5:$B$1018, MATCH(D1267, Mgt_Unit!$C$5:$C$1018, 0)), "")</f>
        <v>jennifer.moore</v>
      </c>
      <c r="C1267" s="28"/>
      <c r="D1267" s="17" t="s">
        <v>1043</v>
      </c>
      <c r="F1267" s="41" t="s">
        <v>1351</v>
      </c>
      <c r="I1267" s="39">
        <v>2.5</v>
      </c>
      <c r="J1267" s="40">
        <v>6.1</v>
      </c>
      <c r="K1267" s="39">
        <v>8.4099999999999994E-2</v>
      </c>
    </row>
    <row r="1268" spans="2:11" x14ac:dyDescent="0.25">
      <c r="B1268" s="28" t="str">
        <f>IF(ISNUMBER(MATCH(D1268, Mgt_Unit!$C$5:$C$1018, 0)), INDEX(Mgt_Unit!$B$5:$B$1018, MATCH(D1268, Mgt_Unit!$C$5:$C$1018, 0)), "")</f>
        <v>jennifer.moore</v>
      </c>
      <c r="C1268" s="28"/>
      <c r="D1268" s="17" t="s">
        <v>1041</v>
      </c>
      <c r="F1268" s="41" t="s">
        <v>1351</v>
      </c>
      <c r="I1268" s="39">
        <v>3.2</v>
      </c>
      <c r="J1268" s="40">
        <v>6.22</v>
      </c>
      <c r="K1268" s="39">
        <v>0.12889999999999999</v>
      </c>
    </row>
    <row r="1269" spans="2:11" x14ac:dyDescent="0.25">
      <c r="B1269" s="28" t="str">
        <f>IF(ISNUMBER(MATCH(D1269, Mgt_Unit!$C$5:$C$1018, 0)), INDEX(Mgt_Unit!$B$5:$B$1018, MATCH(D1269, Mgt_Unit!$C$5:$C$1018, 0)), "")</f>
        <v>jennifer.moore</v>
      </c>
      <c r="C1269" s="28"/>
      <c r="D1269" s="17" t="s">
        <v>1039</v>
      </c>
      <c r="F1269" s="41" t="s">
        <v>1351</v>
      </c>
      <c r="I1269" s="39">
        <v>2.9</v>
      </c>
      <c r="J1269" s="40">
        <v>6.3</v>
      </c>
      <c r="K1269" s="39">
        <v>0.14979999999999999</v>
      </c>
    </row>
    <row r="1270" spans="2:11" x14ac:dyDescent="0.25">
      <c r="B1270" s="28" t="str">
        <f>IF(ISNUMBER(MATCH(D1270, Mgt_Unit!$C$5:$C$1018, 0)), INDEX(Mgt_Unit!$B$5:$B$1018, MATCH(D1270, Mgt_Unit!$C$5:$C$1018, 0)), "")</f>
        <v>jennifer.moore</v>
      </c>
      <c r="C1270" s="28"/>
      <c r="D1270" s="17" t="s">
        <v>1039</v>
      </c>
      <c r="F1270" s="41" t="s">
        <v>1351</v>
      </c>
      <c r="I1270" s="39">
        <v>3.2</v>
      </c>
      <c r="J1270" s="40">
        <v>6.3</v>
      </c>
      <c r="K1270" s="39">
        <v>0.13059999999999999</v>
      </c>
    </row>
    <row r="1271" spans="2:11" x14ac:dyDescent="0.25">
      <c r="B1271" s="28" t="str">
        <f>IF(ISNUMBER(MATCH(D1271, Mgt_Unit!$C$5:$C$1018, 0)), INDEX(Mgt_Unit!$B$5:$B$1018, MATCH(D1271, Mgt_Unit!$C$5:$C$1018, 0)), "")</f>
        <v>jennifer.moore</v>
      </c>
      <c r="C1271" s="28"/>
      <c r="D1271" s="17" t="s">
        <v>1039</v>
      </c>
      <c r="F1271" s="41" t="s">
        <v>1351</v>
      </c>
      <c r="I1271" s="39">
        <v>3.1</v>
      </c>
      <c r="J1271" s="40">
        <v>6.14</v>
      </c>
      <c r="K1271" s="39">
        <v>0.1739</v>
      </c>
    </row>
    <row r="1272" spans="2:11" x14ac:dyDescent="0.25">
      <c r="B1272" s="28" t="str">
        <f>IF(ISNUMBER(MATCH(D1272, Mgt_Unit!$C$5:$C$1018, 0)), INDEX(Mgt_Unit!$B$5:$B$1018, MATCH(D1272, Mgt_Unit!$C$5:$C$1018, 0)), "")</f>
        <v>jennifer.moore</v>
      </c>
      <c r="C1272" s="28"/>
      <c r="D1272" s="17" t="s">
        <v>1039</v>
      </c>
      <c r="F1272" s="41" t="s">
        <v>1351</v>
      </c>
      <c r="I1272" s="39">
        <v>3.1</v>
      </c>
      <c r="J1272" s="40">
        <v>6.51</v>
      </c>
      <c r="K1272" s="39">
        <v>0.1696</v>
      </c>
    </row>
    <row r="1273" spans="2:11" x14ac:dyDescent="0.25">
      <c r="B1273" s="28" t="str">
        <f>IF(ISNUMBER(MATCH(D1273, Mgt_Unit!$C$5:$C$1018, 0)), INDEX(Mgt_Unit!$B$5:$B$1018, MATCH(D1273, Mgt_Unit!$C$5:$C$1018, 0)), "")</f>
        <v>jennifer.moore</v>
      </c>
      <c r="C1273" s="28"/>
      <c r="D1273" s="17" t="s">
        <v>1040</v>
      </c>
      <c r="F1273" s="41" t="s">
        <v>1351</v>
      </c>
      <c r="I1273" s="39">
        <v>3</v>
      </c>
      <c r="J1273" s="40">
        <v>5.8</v>
      </c>
      <c r="K1273" s="39">
        <v>7.8100000000000003E-2</v>
      </c>
    </row>
    <row r="1274" spans="2:11" x14ac:dyDescent="0.25">
      <c r="B1274" s="28" t="str">
        <f>IF(ISNUMBER(MATCH(D1274, Mgt_Unit!$C$5:$C$1018, 0)), INDEX(Mgt_Unit!$B$5:$B$1018, MATCH(D1274, Mgt_Unit!$C$5:$C$1018, 0)), "")</f>
        <v>jennifer.moore</v>
      </c>
      <c r="C1274" s="28"/>
      <c r="D1274" s="17" t="s">
        <v>1040</v>
      </c>
      <c r="F1274" s="41" t="s">
        <v>1351</v>
      </c>
      <c r="I1274" s="39">
        <v>3.7</v>
      </c>
      <c r="J1274" s="40">
        <v>5.77</v>
      </c>
      <c r="K1274" s="39">
        <v>0.1205</v>
      </c>
    </row>
    <row r="1275" spans="2:11" x14ac:dyDescent="0.25">
      <c r="B1275" s="28" t="str">
        <f>IF(ISNUMBER(MATCH(D1275, Mgt_Unit!$C$5:$C$1018, 0)), INDEX(Mgt_Unit!$B$5:$B$1018, MATCH(D1275, Mgt_Unit!$C$5:$C$1018, 0)), "")</f>
        <v>jennifer.moore</v>
      </c>
      <c r="C1275" s="28"/>
      <c r="D1275" s="17" t="s">
        <v>1040</v>
      </c>
      <c r="F1275" s="41" t="s">
        <v>1351</v>
      </c>
      <c r="I1275" s="39">
        <v>3</v>
      </c>
      <c r="J1275" s="40">
        <v>5.91</v>
      </c>
      <c r="K1275" s="39">
        <v>0.13389999999999999</v>
      </c>
    </row>
    <row r="1276" spans="2:11" x14ac:dyDescent="0.25">
      <c r="B1276" s="28" t="str">
        <f>IF(ISNUMBER(MATCH(D1276, Mgt_Unit!$C$5:$C$1018, 0)), INDEX(Mgt_Unit!$B$5:$B$1018, MATCH(D1276, Mgt_Unit!$C$5:$C$1018, 0)), "")</f>
        <v>jennifer.moore</v>
      </c>
      <c r="C1276" s="28"/>
      <c r="D1276" s="17" t="s">
        <v>1040</v>
      </c>
      <c r="F1276" s="41" t="s">
        <v>1351</v>
      </c>
      <c r="I1276" s="39">
        <v>2.8</v>
      </c>
      <c r="J1276" s="40">
        <v>6</v>
      </c>
      <c r="K1276" s="39">
        <v>0.1062</v>
      </c>
    </row>
    <row r="1277" spans="2:11" x14ac:dyDescent="0.25">
      <c r="B1277" s="28" t="str">
        <f>IF(ISNUMBER(MATCH(D1277, Mgt_Unit!$C$5:$C$1018, 0)), INDEX(Mgt_Unit!$B$5:$B$1018, MATCH(D1277, Mgt_Unit!$C$5:$C$1018, 0)), "")</f>
        <v>jennifer.moore</v>
      </c>
      <c r="C1277" s="28"/>
      <c r="D1277" s="17" t="s">
        <v>1042</v>
      </c>
      <c r="F1277" s="41" t="s">
        <v>1351</v>
      </c>
      <c r="I1277" s="39">
        <v>2.6</v>
      </c>
      <c r="J1277" s="40">
        <v>6.11</v>
      </c>
      <c r="K1277" s="39">
        <v>8.4099999999999994E-2</v>
      </c>
    </row>
    <row r="1278" spans="2:11" x14ac:dyDescent="0.25">
      <c r="B1278" s="28" t="str">
        <f>IF(ISNUMBER(MATCH(D1278, Mgt_Unit!$C$5:$C$1018, 0)), INDEX(Mgt_Unit!$B$5:$B$1018, MATCH(D1278, Mgt_Unit!$C$5:$C$1018, 0)), "")</f>
        <v>jennifer.moore</v>
      </c>
      <c r="C1278" s="28"/>
      <c r="D1278" s="17" t="s">
        <v>1042</v>
      </c>
      <c r="F1278" s="41" t="s">
        <v>1351</v>
      </c>
      <c r="I1278" s="39">
        <v>3.8</v>
      </c>
      <c r="J1278" s="40">
        <v>5.77</v>
      </c>
      <c r="K1278" s="39">
        <v>8.2299999999999998E-2</v>
      </c>
    </row>
    <row r="1279" spans="2:11" x14ac:dyDescent="0.25">
      <c r="B1279" s="28" t="str">
        <f>IF(ISNUMBER(MATCH(D1279, Mgt_Unit!$C$5:$C$1018, 0)), INDEX(Mgt_Unit!$B$5:$B$1018, MATCH(D1279, Mgt_Unit!$C$5:$C$1018, 0)), "")</f>
        <v>jennifer.moore</v>
      </c>
      <c r="C1279" s="28"/>
      <c r="D1279" s="17" t="s">
        <v>1042</v>
      </c>
      <c r="F1279" s="41" t="s">
        <v>1351</v>
      </c>
      <c r="I1279" s="39">
        <v>2.7</v>
      </c>
      <c r="J1279" s="40">
        <v>5.4</v>
      </c>
      <c r="K1279" s="39">
        <v>8.6300000000000002E-2</v>
      </c>
    </row>
    <row r="1280" spans="2:11" x14ac:dyDescent="0.25">
      <c r="B1280" s="28" t="str">
        <f>IF(ISNUMBER(MATCH(D1280, Mgt_Unit!$C$5:$C$1018, 0)), INDEX(Mgt_Unit!$B$5:$B$1018, MATCH(D1280, Mgt_Unit!$C$5:$C$1018, 0)), "")</f>
        <v>jennifer.moore</v>
      </c>
      <c r="C1280" s="28"/>
      <c r="D1280" s="17" t="s">
        <v>1042</v>
      </c>
      <c r="F1280" s="41" t="s">
        <v>1351</v>
      </c>
      <c r="I1280" s="39">
        <v>3</v>
      </c>
      <c r="J1280" s="40">
        <v>6.38</v>
      </c>
      <c r="K1280" s="39">
        <v>0.12039999999999999</v>
      </c>
    </row>
    <row r="1281" spans="2:11" x14ac:dyDescent="0.25">
      <c r="B1281" s="28" t="str">
        <f>IF(ISNUMBER(MATCH(D1281, Mgt_Unit!$C$5:$C$1018, 0)), INDEX(Mgt_Unit!$B$5:$B$1018, MATCH(D1281, Mgt_Unit!$C$5:$C$1018, 0)), "")</f>
        <v>jennifer.moore</v>
      </c>
      <c r="C1281" s="28"/>
      <c r="D1281" s="17" t="s">
        <v>1038</v>
      </c>
      <c r="F1281" s="41" t="s">
        <v>1351</v>
      </c>
      <c r="I1281" s="39">
        <v>3</v>
      </c>
      <c r="J1281" s="40">
        <v>6.11</v>
      </c>
      <c r="K1281" s="39">
        <v>0.1118</v>
      </c>
    </row>
    <row r="1282" spans="2:11" x14ac:dyDescent="0.25">
      <c r="B1282" s="28" t="str">
        <f>IF(ISNUMBER(MATCH(D1282, Mgt_Unit!$C$5:$C$1018, 0)), INDEX(Mgt_Unit!$B$5:$B$1018, MATCH(D1282, Mgt_Unit!$C$5:$C$1018, 0)), "")</f>
        <v>jennifer.moore</v>
      </c>
      <c r="C1282" s="28"/>
      <c r="D1282" s="17" t="s">
        <v>1038</v>
      </c>
      <c r="F1282" s="41" t="s">
        <v>1351</v>
      </c>
      <c r="I1282" s="39">
        <v>2.7</v>
      </c>
      <c r="J1282" s="40">
        <v>6.11</v>
      </c>
      <c r="K1282" s="39">
        <v>0.10879999999999999</v>
      </c>
    </row>
    <row r="1283" spans="2:11" x14ac:dyDescent="0.25">
      <c r="B1283" s="28" t="str">
        <f>IF(ISNUMBER(MATCH(D1283, Mgt_Unit!$C$5:$C$1018, 0)), INDEX(Mgt_Unit!$B$5:$B$1018, MATCH(D1283, Mgt_Unit!$C$5:$C$1018, 0)), "")</f>
        <v>jennifer.moore</v>
      </c>
      <c r="C1283" s="28"/>
      <c r="D1283" s="17" t="s">
        <v>1038</v>
      </c>
      <c r="F1283" s="41" t="s">
        <v>1351</v>
      </c>
      <c r="I1283" s="39">
        <v>3.3</v>
      </c>
      <c r="J1283" s="40">
        <v>5.99</v>
      </c>
      <c r="K1283" s="39">
        <v>0.16120000000000001</v>
      </c>
    </row>
    <row r="1284" spans="2:11" x14ac:dyDescent="0.25">
      <c r="B1284" s="28" t="str">
        <f>IF(ISNUMBER(MATCH(D1284, Mgt_Unit!$C$5:$C$1018, 0)), INDEX(Mgt_Unit!$B$5:$B$1018, MATCH(D1284, Mgt_Unit!$C$5:$C$1018, 0)), "")</f>
        <v>jennifer.moore</v>
      </c>
      <c r="C1284" s="28"/>
      <c r="D1284" s="17" t="s">
        <v>1038</v>
      </c>
      <c r="F1284" s="41" t="s">
        <v>1351</v>
      </c>
      <c r="I1284" s="39">
        <v>3.3</v>
      </c>
      <c r="J1284" s="40">
        <v>5.97</v>
      </c>
      <c r="K1284" s="39">
        <v>0.1799</v>
      </c>
    </row>
    <row r="1285" spans="2:11" x14ac:dyDescent="0.25">
      <c r="B1285" s="28" t="str">
        <f>IF(ISNUMBER(MATCH(D1285, Mgt_Unit!$C$5:$C$1018, 0)), INDEX(Mgt_Unit!$B$5:$B$1018, MATCH(D1285, Mgt_Unit!$C$5:$C$1018, 0)), "")</f>
        <v>jennifer.moore</v>
      </c>
      <c r="C1285" s="28"/>
      <c r="D1285" s="17" t="s">
        <v>1044</v>
      </c>
      <c r="F1285" s="41" t="s">
        <v>1351</v>
      </c>
      <c r="I1285" s="39">
        <v>1.5</v>
      </c>
      <c r="J1285" s="40">
        <v>5.17</v>
      </c>
      <c r="K1285" s="39">
        <v>6.8099999999999994E-2</v>
      </c>
    </row>
    <row r="1286" spans="2:11" x14ac:dyDescent="0.25">
      <c r="B1286" s="28" t="str">
        <f>IF(ISNUMBER(MATCH(D1286, Mgt_Unit!$C$5:$C$1018, 0)), INDEX(Mgt_Unit!$B$5:$B$1018, MATCH(D1286, Mgt_Unit!$C$5:$C$1018, 0)), "")</f>
        <v>jennifer.moore</v>
      </c>
      <c r="C1286" s="28"/>
      <c r="D1286" s="17" t="s">
        <v>1045</v>
      </c>
      <c r="F1286" s="41" t="s">
        <v>1351</v>
      </c>
      <c r="I1286" s="39">
        <v>1.4</v>
      </c>
      <c r="J1286" s="40">
        <v>5.35</v>
      </c>
      <c r="K1286" s="39">
        <v>8.8599999999999998E-2</v>
      </c>
    </row>
    <row r="1287" spans="2:11" x14ac:dyDescent="0.25">
      <c r="B1287" s="28" t="str">
        <f>IF(ISNUMBER(MATCH(D1287, Mgt_Unit!$C$5:$C$1018, 0)), INDEX(Mgt_Unit!$B$5:$B$1018, MATCH(D1287, Mgt_Unit!$C$5:$C$1018, 0)), "")</f>
        <v>jennifer.moore</v>
      </c>
      <c r="C1287" s="28"/>
      <c r="D1287" s="17" t="s">
        <v>1045</v>
      </c>
      <c r="F1287" s="41" t="s">
        <v>1351</v>
      </c>
      <c r="I1287" s="39">
        <v>1.5</v>
      </c>
      <c r="J1287" s="40">
        <v>5.42</v>
      </c>
      <c r="K1287" s="39">
        <v>8.0500000000000002E-2</v>
      </c>
    </row>
    <row r="1288" spans="2:11" x14ac:dyDescent="0.25">
      <c r="B1288" s="28" t="str">
        <f>IF(ISNUMBER(MATCH(D1288, Mgt_Unit!$C$5:$C$1018, 0)), INDEX(Mgt_Unit!$B$5:$B$1018, MATCH(D1288, Mgt_Unit!$C$5:$C$1018, 0)), "")</f>
        <v>jennifer.moore</v>
      </c>
      <c r="C1288" s="28"/>
      <c r="D1288" s="17" t="s">
        <v>1044</v>
      </c>
      <c r="F1288" s="41" t="s">
        <v>1351</v>
      </c>
      <c r="I1288" s="39">
        <v>2.6</v>
      </c>
      <c r="J1288" s="40">
        <v>6.19</v>
      </c>
      <c r="K1288" s="39">
        <v>9.6799999999999997E-2</v>
      </c>
    </row>
    <row r="1289" spans="2:11" x14ac:dyDescent="0.25">
      <c r="B1289" s="28" t="str">
        <f>IF(ISNUMBER(MATCH(D1289, Mgt_Unit!$C$5:$C$1018, 0)), INDEX(Mgt_Unit!$B$5:$B$1018, MATCH(D1289, Mgt_Unit!$C$5:$C$1018, 0)), "")</f>
        <v>jennifer.moore</v>
      </c>
      <c r="C1289" s="28"/>
      <c r="D1289" s="17" t="s">
        <v>1045</v>
      </c>
      <c r="F1289" s="41" t="s">
        <v>1351</v>
      </c>
      <c r="I1289" s="39">
        <v>1.5</v>
      </c>
      <c r="J1289" s="40">
        <v>5.48</v>
      </c>
      <c r="K1289" s="39">
        <v>8.43E-2</v>
      </c>
    </row>
    <row r="1290" spans="2:11" x14ac:dyDescent="0.25">
      <c r="B1290" s="28" t="str">
        <f>IF(ISNUMBER(MATCH(D1290, Mgt_Unit!$C$5:$C$1018, 0)), INDEX(Mgt_Unit!$B$5:$B$1018, MATCH(D1290, Mgt_Unit!$C$5:$C$1018, 0)), "")</f>
        <v>jennifer.moore</v>
      </c>
      <c r="C1290" s="28"/>
      <c r="D1290" s="17" t="s">
        <v>1044</v>
      </c>
      <c r="F1290" s="41" t="s">
        <v>1351</v>
      </c>
      <c r="I1290" s="39">
        <v>2.1</v>
      </c>
      <c r="J1290" s="40">
        <v>6.05</v>
      </c>
      <c r="K1290" s="39">
        <v>0.1</v>
      </c>
    </row>
    <row r="1291" spans="2:11" x14ac:dyDescent="0.25">
      <c r="B1291" s="28" t="str">
        <f>IF(ISNUMBER(MATCH(D1291, Mgt_Unit!$C$5:$C$1018, 0)), INDEX(Mgt_Unit!$B$5:$B$1018, MATCH(D1291, Mgt_Unit!$C$5:$C$1018, 0)), "")</f>
        <v>jennifer.moore</v>
      </c>
      <c r="C1291" s="28"/>
      <c r="D1291" s="17" t="s">
        <v>1044</v>
      </c>
      <c r="F1291" s="41" t="s">
        <v>1351</v>
      </c>
      <c r="I1291" s="39">
        <v>2.2999999999999998</v>
      </c>
      <c r="J1291" s="40">
        <v>5.68</v>
      </c>
      <c r="K1291" s="39">
        <v>0.10299999999999999</v>
      </c>
    </row>
    <row r="1292" spans="2:11" x14ac:dyDescent="0.25">
      <c r="B1292" s="28" t="str">
        <f>IF(ISNUMBER(MATCH(D1292, Mgt_Unit!$C$5:$C$1018, 0)), INDEX(Mgt_Unit!$B$5:$B$1018, MATCH(D1292, Mgt_Unit!$C$5:$C$1018, 0)), "")</f>
        <v>jennifer.moore</v>
      </c>
      <c r="C1292" s="28"/>
      <c r="D1292" s="17" t="s">
        <v>1045</v>
      </c>
      <c r="F1292" s="41" t="s">
        <v>1351</v>
      </c>
      <c r="I1292" s="39">
        <v>1.8</v>
      </c>
      <c r="J1292" s="40">
        <v>5.27</v>
      </c>
      <c r="K1292" s="39">
        <v>0.121</v>
      </c>
    </row>
    <row r="1293" spans="2:11" x14ac:dyDescent="0.25">
      <c r="B1293" s="28" t="str">
        <f>IF(ISNUMBER(MATCH(D1293, Mgt_Unit!$C$5:$C$1018, 0)), INDEX(Mgt_Unit!$B$5:$B$1018, MATCH(D1293, Mgt_Unit!$C$5:$C$1018, 0)), "")</f>
        <v>jennifer.moore</v>
      </c>
      <c r="C1293" s="28"/>
      <c r="D1293" s="17" t="s">
        <v>1048</v>
      </c>
      <c r="F1293" s="41" t="s">
        <v>1351</v>
      </c>
      <c r="I1293" s="39">
        <v>3.5</v>
      </c>
      <c r="J1293" s="40">
        <v>6.18</v>
      </c>
      <c r="K1293" s="39">
        <v>7.7700000000000005E-2</v>
      </c>
    </row>
    <row r="1294" spans="2:11" x14ac:dyDescent="0.25">
      <c r="B1294" s="28" t="str">
        <f>IF(ISNUMBER(MATCH(D1294, Mgt_Unit!$C$5:$C$1018, 0)), INDEX(Mgt_Unit!$B$5:$B$1018, MATCH(D1294, Mgt_Unit!$C$5:$C$1018, 0)), "")</f>
        <v>jennifer.moore</v>
      </c>
      <c r="C1294" s="28"/>
      <c r="D1294" s="17" t="s">
        <v>1048</v>
      </c>
      <c r="F1294" s="41" t="s">
        <v>1351</v>
      </c>
      <c r="I1294" s="39">
        <v>3.2</v>
      </c>
      <c r="J1294" s="40">
        <v>6.23</v>
      </c>
      <c r="K1294" s="39">
        <v>6.5799999999999997E-2</v>
      </c>
    </row>
    <row r="1295" spans="2:11" x14ac:dyDescent="0.25">
      <c r="B1295" s="28" t="str">
        <f>IF(ISNUMBER(MATCH(D1295, Mgt_Unit!$C$5:$C$1018, 0)), INDEX(Mgt_Unit!$B$5:$B$1018, MATCH(D1295, Mgt_Unit!$C$5:$C$1018, 0)), "")</f>
        <v>jennifer.moore</v>
      </c>
      <c r="C1295" s="28"/>
      <c r="D1295" s="17" t="s">
        <v>1048</v>
      </c>
      <c r="F1295" s="41" t="s">
        <v>1351</v>
      </c>
      <c r="I1295" s="39">
        <v>2.8</v>
      </c>
      <c r="J1295" s="40">
        <v>5.95</v>
      </c>
      <c r="K1295" s="39">
        <v>7.7499999999999999E-2</v>
      </c>
    </row>
    <row r="1296" spans="2:11" x14ac:dyDescent="0.25">
      <c r="B1296" s="28" t="str">
        <f>IF(ISNUMBER(MATCH(D1296, Mgt_Unit!$C$5:$C$1018, 0)), INDEX(Mgt_Unit!$B$5:$B$1018, MATCH(D1296, Mgt_Unit!$C$5:$C$1018, 0)), "")</f>
        <v>jennifer.moore</v>
      </c>
      <c r="C1296" s="28"/>
      <c r="D1296" s="17" t="s">
        <v>1048</v>
      </c>
      <c r="F1296" s="41" t="s">
        <v>1351</v>
      </c>
      <c r="I1296" s="39">
        <v>3.6</v>
      </c>
      <c r="J1296" s="40">
        <v>6.31</v>
      </c>
      <c r="K1296" s="39">
        <v>8.1100000000000005E-2</v>
      </c>
    </row>
    <row r="1297" spans="2:11" x14ac:dyDescent="0.25">
      <c r="B1297" s="28" t="str">
        <f>IF(ISNUMBER(MATCH(D1297, Mgt_Unit!$C$5:$C$1018, 0)), INDEX(Mgt_Unit!$B$5:$B$1018, MATCH(D1297, Mgt_Unit!$C$5:$C$1018, 0)), "")</f>
        <v>jennifer.moore</v>
      </c>
      <c r="C1297" s="28"/>
      <c r="D1297" s="17" t="s">
        <v>1046</v>
      </c>
      <c r="F1297" s="41" t="s">
        <v>1351</v>
      </c>
      <c r="I1297" s="39">
        <v>4</v>
      </c>
      <c r="J1297" s="40">
        <v>6.36</v>
      </c>
      <c r="K1297" s="39">
        <v>6.6600000000000006E-2</v>
      </c>
    </row>
    <row r="1298" spans="2:11" x14ac:dyDescent="0.25">
      <c r="B1298" s="28" t="str">
        <f>IF(ISNUMBER(MATCH(D1298, Mgt_Unit!$C$5:$C$1018, 0)), INDEX(Mgt_Unit!$B$5:$B$1018, MATCH(D1298, Mgt_Unit!$C$5:$C$1018, 0)), "")</f>
        <v>jennifer.moore</v>
      </c>
      <c r="C1298" s="28"/>
      <c r="D1298" s="17" t="s">
        <v>1046</v>
      </c>
      <c r="F1298" s="41" t="s">
        <v>1351</v>
      </c>
      <c r="I1298" s="39">
        <v>3.8</v>
      </c>
      <c r="J1298" s="40">
        <v>6.18</v>
      </c>
      <c r="K1298" s="39">
        <v>6.5100000000000005E-2</v>
      </c>
    </row>
    <row r="1299" spans="2:11" x14ac:dyDescent="0.25">
      <c r="B1299" s="28" t="str">
        <f>IF(ISNUMBER(MATCH(D1299, Mgt_Unit!$C$5:$C$1018, 0)), INDEX(Mgt_Unit!$B$5:$B$1018, MATCH(D1299, Mgt_Unit!$C$5:$C$1018, 0)), "")</f>
        <v>jennifer.moore</v>
      </c>
      <c r="C1299" s="28"/>
      <c r="D1299" s="17" t="s">
        <v>1046</v>
      </c>
      <c r="F1299" s="41" t="s">
        <v>1351</v>
      </c>
      <c r="I1299" s="39">
        <v>2.7</v>
      </c>
      <c r="J1299" s="40">
        <v>6.21</v>
      </c>
      <c r="K1299" s="39">
        <v>5.5899999999999998E-2</v>
      </c>
    </row>
    <row r="1300" spans="2:11" x14ac:dyDescent="0.25">
      <c r="B1300" s="28" t="str">
        <f>IF(ISNUMBER(MATCH(D1300, Mgt_Unit!$C$5:$C$1018, 0)), INDEX(Mgt_Unit!$B$5:$B$1018, MATCH(D1300, Mgt_Unit!$C$5:$C$1018, 0)), "")</f>
        <v>jennifer.moore</v>
      </c>
      <c r="C1300" s="28"/>
      <c r="D1300" s="17" t="s">
        <v>1046</v>
      </c>
      <c r="F1300" s="41" t="s">
        <v>1351</v>
      </c>
      <c r="I1300" s="39">
        <v>3</v>
      </c>
      <c r="J1300" s="40">
        <v>6.19</v>
      </c>
      <c r="K1300" s="39">
        <v>6.3600000000000004E-2</v>
      </c>
    </row>
    <row r="1301" spans="2:11" x14ac:dyDescent="0.25">
      <c r="B1301" s="28" t="str">
        <f>IF(ISNUMBER(MATCH(D1301, Mgt_Unit!$C$5:$C$1018, 0)), INDEX(Mgt_Unit!$B$5:$B$1018, MATCH(D1301, Mgt_Unit!$C$5:$C$1018, 0)), "")</f>
        <v>jennifer.moore</v>
      </c>
      <c r="C1301" s="28"/>
      <c r="D1301" s="17" t="s">
        <v>1049</v>
      </c>
      <c r="F1301" s="41" t="s">
        <v>1351</v>
      </c>
      <c r="I1301" s="39">
        <v>4.5999999999999996</v>
      </c>
      <c r="J1301" s="40">
        <v>5.67</v>
      </c>
      <c r="K1301" s="39">
        <v>7.0499999999999993E-2</v>
      </c>
    </row>
    <row r="1302" spans="2:11" x14ac:dyDescent="0.25">
      <c r="B1302" s="28" t="str">
        <f>IF(ISNUMBER(MATCH(D1302, Mgt_Unit!$C$5:$C$1018, 0)), INDEX(Mgt_Unit!$B$5:$B$1018, MATCH(D1302, Mgt_Unit!$C$5:$C$1018, 0)), "")</f>
        <v>jennifer.moore</v>
      </c>
      <c r="C1302" s="28"/>
      <c r="D1302" s="17" t="s">
        <v>1049</v>
      </c>
      <c r="F1302" s="41" t="s">
        <v>1351</v>
      </c>
      <c r="I1302" s="39">
        <v>3.8</v>
      </c>
      <c r="J1302" s="40">
        <v>5.58</v>
      </c>
      <c r="K1302" s="39">
        <v>6.7900000000000002E-2</v>
      </c>
    </row>
    <row r="1303" spans="2:11" x14ac:dyDescent="0.25">
      <c r="B1303" s="28" t="str">
        <f>IF(ISNUMBER(MATCH(D1303, Mgt_Unit!$C$5:$C$1018, 0)), INDEX(Mgt_Unit!$B$5:$B$1018, MATCH(D1303, Mgt_Unit!$C$5:$C$1018, 0)), "")</f>
        <v>jennifer.moore</v>
      </c>
      <c r="C1303" s="28"/>
      <c r="D1303" s="17" t="s">
        <v>1049</v>
      </c>
      <c r="F1303" s="41" t="s">
        <v>1351</v>
      </c>
      <c r="I1303" s="39">
        <v>4</v>
      </c>
      <c r="J1303" s="40">
        <v>5.39</v>
      </c>
      <c r="K1303" s="39">
        <v>5.8430000000000003E-2</v>
      </c>
    </row>
    <row r="1304" spans="2:11" x14ac:dyDescent="0.25">
      <c r="B1304" s="28" t="str">
        <f>IF(ISNUMBER(MATCH(D1304, Mgt_Unit!$C$5:$C$1018, 0)), INDEX(Mgt_Unit!$B$5:$B$1018, MATCH(D1304, Mgt_Unit!$C$5:$C$1018, 0)), "")</f>
        <v>jennifer.moore</v>
      </c>
      <c r="C1304" s="28"/>
      <c r="D1304" s="17" t="s">
        <v>1049</v>
      </c>
      <c r="F1304" s="41" t="s">
        <v>1351</v>
      </c>
      <c r="I1304" s="39">
        <v>2.9</v>
      </c>
      <c r="J1304" s="40">
        <v>5.53</v>
      </c>
      <c r="K1304" s="39">
        <v>6.7400000000000002E-2</v>
      </c>
    </row>
    <row r="1305" spans="2:11" x14ac:dyDescent="0.25">
      <c r="B1305" s="28" t="str">
        <f>IF(ISNUMBER(MATCH(D1305, Mgt_Unit!$C$5:$C$1018, 0)), INDEX(Mgt_Unit!$B$5:$B$1018, MATCH(D1305, Mgt_Unit!$C$5:$C$1018, 0)), "")</f>
        <v>jennifer.moore</v>
      </c>
      <c r="C1305" s="28"/>
      <c r="D1305" s="17" t="s">
        <v>1047</v>
      </c>
      <c r="F1305" s="41" t="s">
        <v>1351</v>
      </c>
      <c r="I1305" s="39">
        <v>3.7</v>
      </c>
      <c r="J1305" s="40">
        <v>5.92</v>
      </c>
      <c r="K1305" s="39">
        <v>6.4000000000000001E-2</v>
      </c>
    </row>
    <row r="1306" spans="2:11" x14ac:dyDescent="0.25">
      <c r="B1306" s="28" t="str">
        <f>IF(ISNUMBER(MATCH(D1306, Mgt_Unit!$C$5:$C$1018, 0)), INDEX(Mgt_Unit!$B$5:$B$1018, MATCH(D1306, Mgt_Unit!$C$5:$C$1018, 0)), "")</f>
        <v>jennifer.moore</v>
      </c>
      <c r="C1306" s="28"/>
      <c r="D1306" s="17" t="s">
        <v>1047</v>
      </c>
      <c r="F1306" s="41" t="s">
        <v>1351</v>
      </c>
      <c r="I1306" s="39">
        <v>3.4</v>
      </c>
      <c r="J1306" s="40">
        <v>5.99</v>
      </c>
      <c r="K1306" s="39">
        <v>6.2300000000000001E-2</v>
      </c>
    </row>
    <row r="1307" spans="2:11" x14ac:dyDescent="0.25">
      <c r="B1307" s="28" t="str">
        <f>IF(ISNUMBER(MATCH(D1307, Mgt_Unit!$C$5:$C$1018, 0)), INDEX(Mgt_Unit!$B$5:$B$1018, MATCH(D1307, Mgt_Unit!$C$5:$C$1018, 0)), "")</f>
        <v>jennifer.moore</v>
      </c>
      <c r="C1307" s="28"/>
      <c r="D1307" s="17" t="s">
        <v>1047</v>
      </c>
      <c r="F1307" s="41" t="s">
        <v>1351</v>
      </c>
      <c r="I1307" s="39">
        <v>3.5</v>
      </c>
      <c r="J1307" s="40">
        <v>6.5</v>
      </c>
      <c r="K1307" s="39">
        <v>8.7599999999999997E-2</v>
      </c>
    </row>
    <row r="1308" spans="2:11" x14ac:dyDescent="0.25">
      <c r="B1308" s="28" t="str">
        <f>IF(ISNUMBER(MATCH(D1308, Mgt_Unit!$C$5:$C$1018, 0)), INDEX(Mgt_Unit!$B$5:$B$1018, MATCH(D1308, Mgt_Unit!$C$5:$C$1018, 0)), "")</f>
        <v>jennifer.moore</v>
      </c>
      <c r="C1308" s="28"/>
      <c r="D1308" s="17" t="s">
        <v>1047</v>
      </c>
      <c r="F1308" s="41" t="s">
        <v>1351</v>
      </c>
      <c r="I1308" s="39">
        <v>3.4</v>
      </c>
      <c r="J1308" s="40">
        <v>6.25</v>
      </c>
      <c r="K1308" s="39">
        <v>9.9099999999999994E-2</v>
      </c>
    </row>
    <row r="1309" spans="2:11" x14ac:dyDescent="0.25">
      <c r="B1309" s="28" t="str">
        <f>IF(ISNUMBER(MATCH(D1309, Mgt_Unit!$C$5:$C$1018, 0)), INDEX(Mgt_Unit!$B$5:$B$1018, MATCH(D1309, Mgt_Unit!$C$5:$C$1018, 0)), "")</f>
        <v>jennifer.moore</v>
      </c>
      <c r="C1309" s="28"/>
      <c r="D1309" s="17" t="s">
        <v>1338</v>
      </c>
      <c r="F1309" s="41" t="s">
        <v>1351</v>
      </c>
      <c r="I1309" s="39">
        <v>4.0999999999999996</v>
      </c>
      <c r="J1309" s="40">
        <v>6.34</v>
      </c>
      <c r="K1309" s="39">
        <v>9.9099999999999994E-2</v>
      </c>
    </row>
    <row r="1310" spans="2:11" x14ac:dyDescent="0.25">
      <c r="B1310" s="28" t="str">
        <f>IF(ISNUMBER(MATCH(D1310, Mgt_Unit!$C$5:$C$1018, 0)), INDEX(Mgt_Unit!$B$5:$B$1018, MATCH(D1310, Mgt_Unit!$C$5:$C$1018, 0)), "")</f>
        <v>jennifer.moore</v>
      </c>
      <c r="C1310" s="28"/>
      <c r="D1310" s="17" t="s">
        <v>1339</v>
      </c>
      <c r="F1310" s="41" t="s">
        <v>1351</v>
      </c>
      <c r="I1310" s="39">
        <v>3.8</v>
      </c>
      <c r="J1310" s="40">
        <v>6.43</v>
      </c>
      <c r="K1310" s="39">
        <v>8.1799999999999998E-2</v>
      </c>
    </row>
    <row r="1311" spans="2:11" x14ac:dyDescent="0.25">
      <c r="B1311" s="28" t="str">
        <f>IF(ISNUMBER(MATCH(D1311, Mgt_Unit!$C$5:$C$1018, 0)), INDEX(Mgt_Unit!$B$5:$B$1018, MATCH(D1311, Mgt_Unit!$C$5:$C$1018, 0)), "")</f>
        <v>jennifer.moore</v>
      </c>
      <c r="C1311" s="28"/>
      <c r="D1311" s="17" t="s">
        <v>1340</v>
      </c>
      <c r="F1311" s="41" t="s">
        <v>1351</v>
      </c>
      <c r="I1311" s="39">
        <v>5</v>
      </c>
      <c r="J1311" s="40">
        <v>7.01</v>
      </c>
      <c r="K1311" s="39">
        <v>0.17599999999999999</v>
      </c>
    </row>
    <row r="1312" spans="2:11" x14ac:dyDescent="0.25">
      <c r="B1312" s="28" t="str">
        <f>IF(ISNUMBER(MATCH(D1312, Mgt_Unit!$C$5:$C$1018, 0)), INDEX(Mgt_Unit!$B$5:$B$1018, MATCH(D1312, Mgt_Unit!$C$5:$C$1018, 0)), "")</f>
        <v>jennifer.moore</v>
      </c>
      <c r="C1312" s="28"/>
      <c r="D1312" s="17" t="s">
        <v>1338</v>
      </c>
      <c r="F1312" s="41" t="s">
        <v>1351</v>
      </c>
      <c r="I1312" s="39">
        <v>5</v>
      </c>
      <c r="J1312" s="40">
        <v>7.44</v>
      </c>
      <c r="K1312" s="39">
        <v>0.35699999999999998</v>
      </c>
    </row>
    <row r="1313" spans="2:11" x14ac:dyDescent="0.25">
      <c r="B1313" s="28" t="str">
        <f>IF(ISNUMBER(MATCH(D1313, Mgt_Unit!$C$5:$C$1018, 0)), INDEX(Mgt_Unit!$B$5:$B$1018, MATCH(D1313, Mgt_Unit!$C$5:$C$1018, 0)), "")</f>
        <v>jennifer.moore</v>
      </c>
      <c r="C1313" s="28"/>
      <c r="D1313" s="17" t="s">
        <v>1339</v>
      </c>
      <c r="F1313" s="41" t="s">
        <v>1351</v>
      </c>
      <c r="I1313" s="39">
        <v>4.9000000000000004</v>
      </c>
      <c r="J1313" s="40">
        <v>7.78</v>
      </c>
      <c r="K1313" s="39">
        <v>0.17899999999999999</v>
      </c>
    </row>
    <row r="1314" spans="2:11" x14ac:dyDescent="0.25">
      <c r="B1314" s="28" t="str">
        <f>IF(ISNUMBER(MATCH(D1314, Mgt_Unit!$C$5:$C$1018, 0)), INDEX(Mgt_Unit!$B$5:$B$1018, MATCH(D1314, Mgt_Unit!$C$5:$C$1018, 0)), "")</f>
        <v>jennifer.moore</v>
      </c>
      <c r="C1314" s="28"/>
      <c r="D1314" s="17" t="s">
        <v>1340</v>
      </c>
      <c r="F1314" s="41" t="s">
        <v>1351</v>
      </c>
      <c r="I1314" s="39">
        <v>4.7</v>
      </c>
      <c r="J1314" s="40">
        <v>7.64</v>
      </c>
      <c r="K1314" s="39">
        <v>0.318</v>
      </c>
    </row>
    <row r="1315" spans="2:11" x14ac:dyDescent="0.25">
      <c r="B1315" s="28" t="str">
        <f>IF(ISNUMBER(MATCH(D1315, Mgt_Unit!$C$5:$C$1018, 0)), INDEX(Mgt_Unit!$B$5:$B$1018, MATCH(D1315, Mgt_Unit!$C$5:$C$1018, 0)), "")</f>
        <v>jennifer.moore</v>
      </c>
      <c r="C1315" s="28"/>
      <c r="D1315" s="17" t="s">
        <v>1050</v>
      </c>
      <c r="F1315" s="41" t="s">
        <v>1351</v>
      </c>
      <c r="I1315" s="39">
        <v>0.4</v>
      </c>
      <c r="J1315" s="40">
        <v>7.35</v>
      </c>
      <c r="K1315" s="39">
        <v>0.224</v>
      </c>
    </row>
    <row r="1316" spans="2:11" x14ac:dyDescent="0.25">
      <c r="B1316" s="28" t="str">
        <f>IF(ISNUMBER(MATCH(D1316, Mgt_Unit!$C$5:$C$1018, 0)), INDEX(Mgt_Unit!$B$5:$B$1018, MATCH(D1316, Mgt_Unit!$C$5:$C$1018, 0)), "")</f>
        <v>jennifer.moore</v>
      </c>
      <c r="C1316" s="28"/>
      <c r="D1316" s="17" t="s">
        <v>1052</v>
      </c>
      <c r="F1316" s="41" t="s">
        <v>1351</v>
      </c>
      <c r="I1316" s="39">
        <v>0.9</v>
      </c>
      <c r="J1316" s="40">
        <v>7.29</v>
      </c>
      <c r="K1316" s="39">
        <v>0.193</v>
      </c>
    </row>
    <row r="1317" spans="2:11" x14ac:dyDescent="0.25">
      <c r="B1317" s="28" t="str">
        <f>IF(ISNUMBER(MATCH(D1317, Mgt_Unit!$C$5:$C$1018, 0)), INDEX(Mgt_Unit!$B$5:$B$1018, MATCH(D1317, Mgt_Unit!$C$5:$C$1018, 0)), "")</f>
        <v>jennifer.moore</v>
      </c>
      <c r="C1317" s="28"/>
      <c r="D1317" s="17" t="s">
        <v>1051</v>
      </c>
      <c r="F1317" s="41" t="s">
        <v>1351</v>
      </c>
      <c r="I1317" s="39">
        <v>0.6</v>
      </c>
      <c r="J1317" s="40">
        <v>7.26</v>
      </c>
      <c r="K1317" s="39">
        <v>0.17199999999999999</v>
      </c>
    </row>
    <row r="1318" spans="2:11" x14ac:dyDescent="0.25">
      <c r="B1318" s="28" t="str">
        <f>IF(ISNUMBER(MATCH(D1318, Mgt_Unit!$C$5:$C$1018, 0)), INDEX(Mgt_Unit!$B$5:$B$1018, MATCH(D1318, Mgt_Unit!$C$5:$C$1018, 0)), "")</f>
        <v>jennifer.moore</v>
      </c>
      <c r="C1318" s="28"/>
      <c r="D1318" s="17" t="s">
        <v>1052</v>
      </c>
      <c r="F1318" s="41" t="s">
        <v>1351</v>
      </c>
      <c r="I1318" s="39">
        <v>0.6</v>
      </c>
      <c r="J1318" s="40">
        <v>7.26</v>
      </c>
      <c r="K1318" s="39">
        <v>0.188</v>
      </c>
    </row>
    <row r="1319" spans="2:11" x14ac:dyDescent="0.25">
      <c r="B1319" s="28" t="str">
        <f>IF(ISNUMBER(MATCH(D1319, Mgt_Unit!$C$5:$C$1018, 0)), INDEX(Mgt_Unit!$B$5:$B$1018, MATCH(D1319, Mgt_Unit!$C$5:$C$1018, 0)), "")</f>
        <v>jennifer.moore</v>
      </c>
      <c r="C1319" s="28"/>
      <c r="D1319" s="17" t="s">
        <v>1051</v>
      </c>
      <c r="F1319" s="41" t="s">
        <v>1351</v>
      </c>
      <c r="I1319" s="39">
        <v>0.6</v>
      </c>
      <c r="J1319" s="40">
        <v>7.27</v>
      </c>
      <c r="K1319" s="39">
        <v>0.17</v>
      </c>
    </row>
    <row r="1320" spans="2:11" x14ac:dyDescent="0.25">
      <c r="B1320" s="28" t="str">
        <f>IF(ISNUMBER(MATCH(D1320, Mgt_Unit!$C$5:$C$1018, 0)), INDEX(Mgt_Unit!$B$5:$B$1018, MATCH(D1320, Mgt_Unit!$C$5:$C$1018, 0)), "")</f>
        <v>jennifer.moore</v>
      </c>
      <c r="C1320" s="28"/>
      <c r="D1320" s="17" t="s">
        <v>1050</v>
      </c>
      <c r="F1320" s="41" t="s">
        <v>1351</v>
      </c>
      <c r="I1320" s="39">
        <v>0.5</v>
      </c>
      <c r="J1320" s="40">
        <v>7.34</v>
      </c>
      <c r="K1320" s="39">
        <v>0.26700000000000002</v>
      </c>
    </row>
    <row r="1321" spans="2:11" x14ac:dyDescent="0.25">
      <c r="B1321" s="28" t="str">
        <f>IF(ISNUMBER(MATCH(D1321, Mgt_Unit!$C$5:$C$1018, 0)), INDEX(Mgt_Unit!$B$5:$B$1018, MATCH(D1321, Mgt_Unit!$C$5:$C$1018, 0)), "")</f>
        <v>jennifer.moore</v>
      </c>
      <c r="C1321" s="28"/>
      <c r="D1321" s="17" t="s">
        <v>1051</v>
      </c>
      <c r="F1321" s="41" t="s">
        <v>1351</v>
      </c>
      <c r="I1321" s="39">
        <v>0.6</v>
      </c>
      <c r="J1321" s="40">
        <v>7.11</v>
      </c>
      <c r="K1321" s="39">
        <v>0.16500000000000001</v>
      </c>
    </row>
    <row r="1322" spans="2:11" x14ac:dyDescent="0.25">
      <c r="B1322" s="28" t="str">
        <f>IF(ISNUMBER(MATCH(D1322, Mgt_Unit!$C$5:$C$1018, 0)), INDEX(Mgt_Unit!$B$5:$B$1018, MATCH(D1322, Mgt_Unit!$C$5:$C$1018, 0)), "")</f>
        <v>jennifer.moore</v>
      </c>
      <c r="C1322" s="28"/>
      <c r="D1322" s="17" t="s">
        <v>1050</v>
      </c>
      <c r="F1322" s="41" t="s">
        <v>1351</v>
      </c>
      <c r="I1322" s="39">
        <v>0.5</v>
      </c>
      <c r="J1322" s="40">
        <v>7.2</v>
      </c>
      <c r="K1322" s="39">
        <v>0.28000000000000003</v>
      </c>
    </row>
    <row r="1323" spans="2:11" x14ac:dyDescent="0.25">
      <c r="B1323" s="28" t="str">
        <f>IF(ISNUMBER(MATCH(D1323, Mgt_Unit!$C$5:$C$1018, 0)), INDEX(Mgt_Unit!$B$5:$B$1018, MATCH(D1323, Mgt_Unit!$C$5:$C$1018, 0)), "")</f>
        <v>jennifer.moore</v>
      </c>
      <c r="C1323" s="28"/>
      <c r="D1323" s="17" t="s">
        <v>1052</v>
      </c>
      <c r="F1323" s="41" t="s">
        <v>1351</v>
      </c>
      <c r="I1323" s="39">
        <v>0.8</v>
      </c>
      <c r="J1323" s="40">
        <v>7.08</v>
      </c>
      <c r="K1323" s="39">
        <v>0.17199999999999999</v>
      </c>
    </row>
    <row r="1324" spans="2:11" x14ac:dyDescent="0.25">
      <c r="B1324" s="28" t="str">
        <f>IF(ISNUMBER(MATCH(D1324, Mgt_Unit!$C$5:$C$1018, 0)), INDEX(Mgt_Unit!$B$5:$B$1018, MATCH(D1324, Mgt_Unit!$C$5:$C$1018, 0)), "")</f>
        <v>jennifer.moore</v>
      </c>
      <c r="C1324" s="28"/>
      <c r="D1324" s="17" t="s">
        <v>1054</v>
      </c>
      <c r="F1324" s="41" t="s">
        <v>1351</v>
      </c>
      <c r="I1324" s="39">
        <v>1.5</v>
      </c>
      <c r="J1324" s="40">
        <v>7.48</v>
      </c>
      <c r="K1324" s="39">
        <v>0.41599999999999998</v>
      </c>
    </row>
    <row r="1325" spans="2:11" x14ac:dyDescent="0.25">
      <c r="B1325" s="28" t="str">
        <f>IF(ISNUMBER(MATCH(D1325, Mgt_Unit!$C$5:$C$1018, 0)), INDEX(Mgt_Unit!$B$5:$B$1018, MATCH(D1325, Mgt_Unit!$C$5:$C$1018, 0)), "")</f>
        <v>jennifer.moore</v>
      </c>
      <c r="C1325" s="28"/>
      <c r="D1325" s="17" t="s">
        <v>1053</v>
      </c>
      <c r="F1325" s="41" t="s">
        <v>1351</v>
      </c>
      <c r="I1325" s="39">
        <v>1.5</v>
      </c>
      <c r="J1325" s="40">
        <v>7.48</v>
      </c>
      <c r="K1325" s="39">
        <v>0.41299999999999998</v>
      </c>
    </row>
    <row r="1326" spans="2:11" x14ac:dyDescent="0.25">
      <c r="B1326" s="28" t="str">
        <f>IF(ISNUMBER(MATCH(D1326, Mgt_Unit!$C$5:$C$1018, 0)), INDEX(Mgt_Unit!$B$5:$B$1018, MATCH(D1326, Mgt_Unit!$C$5:$C$1018, 0)), "")</f>
        <v>jennifer.moore</v>
      </c>
      <c r="C1326" s="28"/>
      <c r="D1326" s="17" t="s">
        <v>1054</v>
      </c>
      <c r="F1326" s="41" t="s">
        <v>1351</v>
      </c>
      <c r="I1326" s="39">
        <v>1.4</v>
      </c>
      <c r="J1326" s="40">
        <v>7.58</v>
      </c>
      <c r="K1326" s="39">
        <v>0.33900000000000002</v>
      </c>
    </row>
    <row r="1327" spans="2:11" x14ac:dyDescent="0.25">
      <c r="B1327" s="28" t="str">
        <f>IF(ISNUMBER(MATCH(D1327, Mgt_Unit!$C$5:$C$1018, 0)), INDEX(Mgt_Unit!$B$5:$B$1018, MATCH(D1327, Mgt_Unit!$C$5:$C$1018, 0)), "")</f>
        <v>jennifer.moore</v>
      </c>
      <c r="C1327" s="28"/>
      <c r="D1327" s="17" t="s">
        <v>1053</v>
      </c>
      <c r="F1327" s="41" t="s">
        <v>1351</v>
      </c>
      <c r="I1327" s="39">
        <v>1.4</v>
      </c>
      <c r="J1327" s="40">
        <v>7.51</v>
      </c>
      <c r="K1327" s="39">
        <v>0.57499999999999996</v>
      </c>
    </row>
    <row r="1328" spans="2:11" x14ac:dyDescent="0.25">
      <c r="B1328" s="28" t="str">
        <f>IF(ISNUMBER(MATCH(D1328, Mgt_Unit!$C$5:$C$1018, 0)), INDEX(Mgt_Unit!$B$5:$B$1018, MATCH(D1328, Mgt_Unit!$C$5:$C$1018, 0)), "")</f>
        <v>jennifer.moore</v>
      </c>
      <c r="C1328" s="28"/>
      <c r="D1328" s="17" t="s">
        <v>1054</v>
      </c>
      <c r="F1328" s="41" t="s">
        <v>1351</v>
      </c>
      <c r="I1328" s="39">
        <v>1.3</v>
      </c>
      <c r="J1328" s="40">
        <v>7.55</v>
      </c>
      <c r="K1328" s="39">
        <v>0.29099999999999998</v>
      </c>
    </row>
    <row r="1329" spans="2:11" x14ac:dyDescent="0.25">
      <c r="B1329" s="28" t="str">
        <f>IF(ISNUMBER(MATCH(D1329, Mgt_Unit!$C$5:$C$1018, 0)), INDEX(Mgt_Unit!$B$5:$B$1018, MATCH(D1329, Mgt_Unit!$C$5:$C$1018, 0)), "")</f>
        <v>jennifer.moore</v>
      </c>
      <c r="C1329" s="28"/>
      <c r="D1329" s="17" t="s">
        <v>1053</v>
      </c>
      <c r="F1329" s="41" t="s">
        <v>1351</v>
      </c>
      <c r="I1329" s="39">
        <v>1.5</v>
      </c>
      <c r="J1329" s="40">
        <v>7.36</v>
      </c>
      <c r="K1329" s="39">
        <v>0.45700000000000002</v>
      </c>
    </row>
    <row r="1330" spans="2:11" x14ac:dyDescent="0.25">
      <c r="B1330" s="28" t="str">
        <f>IF(ISNUMBER(MATCH(D1330, Mgt_Unit!$C$5:$C$1018, 0)), INDEX(Mgt_Unit!$B$5:$B$1018, MATCH(D1330, Mgt_Unit!$C$5:$C$1018, 0)), "")</f>
        <v>jennifer.moore</v>
      </c>
      <c r="C1330" s="28"/>
      <c r="D1330" s="17" t="s">
        <v>1054</v>
      </c>
      <c r="F1330" s="41" t="s">
        <v>1351</v>
      </c>
      <c r="I1330" s="39">
        <v>1.4</v>
      </c>
      <c r="J1330" s="40">
        <v>7.53</v>
      </c>
      <c r="K1330" s="39">
        <v>0.35099999999999998</v>
      </c>
    </row>
    <row r="1331" spans="2:11" x14ac:dyDescent="0.25">
      <c r="B1331" s="28" t="str">
        <f>IF(ISNUMBER(MATCH(D1331, Mgt_Unit!$C$5:$C$1018, 0)), INDEX(Mgt_Unit!$B$5:$B$1018, MATCH(D1331, Mgt_Unit!$C$5:$C$1018, 0)), "")</f>
        <v>jennifer.moore</v>
      </c>
      <c r="C1331" s="28"/>
      <c r="D1331" s="17" t="s">
        <v>1053</v>
      </c>
      <c r="F1331" s="41" t="s">
        <v>1351</v>
      </c>
      <c r="I1331" s="39">
        <v>1.2</v>
      </c>
      <c r="J1331" s="40">
        <v>7.56</v>
      </c>
      <c r="K1331" s="39">
        <v>0.41099999999999998</v>
      </c>
    </row>
    <row r="1332" spans="2:11" x14ac:dyDescent="0.25">
      <c r="B1332" s="28" t="str">
        <f>IF(ISNUMBER(MATCH(D1332, Mgt_Unit!$C$5:$C$1018, 0)), INDEX(Mgt_Unit!$B$5:$B$1018, MATCH(D1332, Mgt_Unit!$C$5:$C$1018, 0)), "")</f>
        <v>jennifer.moore</v>
      </c>
      <c r="C1332" s="28"/>
      <c r="D1332" s="17" t="s">
        <v>1057</v>
      </c>
      <c r="F1332" s="41" t="s">
        <v>1351</v>
      </c>
      <c r="I1332" s="39">
        <v>2.1</v>
      </c>
      <c r="J1332" s="40">
        <v>8.23</v>
      </c>
      <c r="K1332" s="39">
        <v>0.17760000000000001</v>
      </c>
    </row>
    <row r="1333" spans="2:11" x14ac:dyDescent="0.25">
      <c r="B1333" s="28" t="str">
        <f>IF(ISNUMBER(MATCH(D1333, Mgt_Unit!$C$5:$C$1018, 0)), INDEX(Mgt_Unit!$B$5:$B$1018, MATCH(D1333, Mgt_Unit!$C$5:$C$1018, 0)), "")</f>
        <v>jennifer.moore</v>
      </c>
      <c r="C1333" s="28"/>
      <c r="D1333" s="17" t="s">
        <v>1058</v>
      </c>
      <c r="F1333" s="41" t="s">
        <v>1351</v>
      </c>
      <c r="I1333" s="39">
        <v>1.9</v>
      </c>
      <c r="J1333" s="40">
        <v>8.33</v>
      </c>
      <c r="K1333" s="39">
        <v>0.1789</v>
      </c>
    </row>
    <row r="1334" spans="2:11" x14ac:dyDescent="0.25">
      <c r="B1334" s="28" t="str">
        <f>IF(ISNUMBER(MATCH(D1334, Mgt_Unit!$C$5:$C$1018, 0)), INDEX(Mgt_Unit!$B$5:$B$1018, MATCH(D1334, Mgt_Unit!$C$5:$C$1018, 0)), "")</f>
        <v>jennifer.moore</v>
      </c>
      <c r="C1334" s="28"/>
      <c r="D1334" s="17" t="s">
        <v>1057</v>
      </c>
      <c r="F1334" s="41" t="s">
        <v>1351</v>
      </c>
      <c r="I1334" s="39">
        <v>2.4</v>
      </c>
      <c r="J1334" s="40">
        <v>8.25</v>
      </c>
      <c r="K1334" s="39">
        <v>0.23400000000000001</v>
      </c>
    </row>
    <row r="1335" spans="2:11" x14ac:dyDescent="0.25">
      <c r="B1335" s="28" t="str">
        <f>IF(ISNUMBER(MATCH(D1335, Mgt_Unit!$C$5:$C$1018, 0)), INDEX(Mgt_Unit!$B$5:$B$1018, MATCH(D1335, Mgt_Unit!$C$5:$C$1018, 0)), "")</f>
        <v>jennifer.moore</v>
      </c>
      <c r="C1335" s="28"/>
      <c r="D1335" s="17" t="s">
        <v>1058</v>
      </c>
      <c r="F1335" s="41" t="s">
        <v>1351</v>
      </c>
      <c r="I1335" s="39">
        <v>2.5</v>
      </c>
      <c r="J1335" s="40">
        <v>8.23</v>
      </c>
      <c r="K1335" s="39">
        <v>0.17599999999999999</v>
      </c>
    </row>
    <row r="1336" spans="2:11" x14ac:dyDescent="0.25">
      <c r="B1336" s="28" t="str">
        <f>IF(ISNUMBER(MATCH(D1336, Mgt_Unit!$C$5:$C$1018, 0)), INDEX(Mgt_Unit!$B$5:$B$1018, MATCH(D1336, Mgt_Unit!$C$5:$C$1018, 0)), "")</f>
        <v>jennifer.moore</v>
      </c>
      <c r="C1336" s="28"/>
      <c r="D1336" s="17" t="s">
        <v>1058</v>
      </c>
      <c r="F1336" s="41" t="s">
        <v>1351</v>
      </c>
      <c r="I1336" s="39">
        <v>3.1</v>
      </c>
      <c r="J1336" s="40">
        <v>8.36</v>
      </c>
      <c r="K1336" s="39">
        <v>0.17499999999999999</v>
      </c>
    </row>
    <row r="1337" spans="2:11" x14ac:dyDescent="0.25">
      <c r="B1337" s="28" t="str">
        <f>IF(ISNUMBER(MATCH(D1337, Mgt_Unit!$C$5:$C$1018, 0)), INDEX(Mgt_Unit!$B$5:$B$1018, MATCH(D1337, Mgt_Unit!$C$5:$C$1018, 0)), "")</f>
        <v>jennifer.moore</v>
      </c>
      <c r="C1337" s="28"/>
      <c r="D1337" s="17" t="s">
        <v>1057</v>
      </c>
      <c r="F1337" s="41" t="s">
        <v>1351</v>
      </c>
      <c r="I1337" s="39">
        <v>2.1</v>
      </c>
      <c r="J1337" s="40">
        <v>8.35</v>
      </c>
      <c r="K1337" s="39">
        <v>0.156</v>
      </c>
    </row>
    <row r="1338" spans="2:11" x14ac:dyDescent="0.25">
      <c r="B1338" s="28" t="str">
        <f>IF(ISNUMBER(MATCH(D1338, Mgt_Unit!$C$5:$C$1018, 0)), INDEX(Mgt_Unit!$B$5:$B$1018, MATCH(D1338, Mgt_Unit!$C$5:$C$1018, 0)), "")</f>
        <v>jennifer.moore</v>
      </c>
      <c r="C1338" s="28"/>
      <c r="D1338" s="17" t="s">
        <v>1057</v>
      </c>
      <c r="F1338" s="41" t="s">
        <v>1351</v>
      </c>
      <c r="I1338" s="39">
        <v>2.6</v>
      </c>
      <c r="J1338" s="40">
        <v>8.33</v>
      </c>
      <c r="K1338" s="39">
        <v>0.23200000000000001</v>
      </c>
    </row>
    <row r="1339" spans="2:11" x14ac:dyDescent="0.25">
      <c r="B1339" s="28" t="str">
        <f>IF(ISNUMBER(MATCH(D1339, Mgt_Unit!$C$5:$C$1018, 0)), INDEX(Mgt_Unit!$B$5:$B$1018, MATCH(D1339, Mgt_Unit!$C$5:$C$1018, 0)), "")</f>
        <v>jennifer.moore</v>
      </c>
      <c r="C1339" s="28"/>
      <c r="D1339" s="17" t="s">
        <v>1058</v>
      </c>
      <c r="F1339" s="41" t="s">
        <v>1351</v>
      </c>
      <c r="I1339" s="39">
        <v>2.1</v>
      </c>
      <c r="J1339" s="40">
        <v>8.26</v>
      </c>
      <c r="K1339" s="39">
        <v>0.16900000000000001</v>
      </c>
    </row>
    <row r="1340" spans="2:11" x14ac:dyDescent="0.25">
      <c r="B1340" s="28" t="str">
        <f>IF(ISNUMBER(MATCH(D1340, Mgt_Unit!$C$5:$C$1018, 0)), INDEX(Mgt_Unit!$B$5:$B$1018, MATCH(D1340, Mgt_Unit!$C$5:$C$1018, 0)), "")</f>
        <v>jennifer.moore</v>
      </c>
      <c r="C1340" s="28"/>
      <c r="D1340" s="17" t="s">
        <v>1056</v>
      </c>
      <c r="F1340" s="41" t="s">
        <v>1351</v>
      </c>
      <c r="I1340" s="39">
        <v>2.6</v>
      </c>
      <c r="J1340" s="40">
        <v>8.06</v>
      </c>
      <c r="K1340" s="39">
        <v>0.17799999999999999</v>
      </c>
    </row>
    <row r="1341" spans="2:11" x14ac:dyDescent="0.25">
      <c r="B1341" s="28" t="str">
        <f>IF(ISNUMBER(MATCH(D1341, Mgt_Unit!$C$5:$C$1018, 0)), INDEX(Mgt_Unit!$B$5:$B$1018, MATCH(D1341, Mgt_Unit!$C$5:$C$1018, 0)), "")</f>
        <v>jennifer.moore</v>
      </c>
      <c r="C1341" s="28"/>
      <c r="D1341" s="17" t="s">
        <v>1055</v>
      </c>
      <c r="F1341" s="41" t="s">
        <v>1351</v>
      </c>
      <c r="I1341" s="39">
        <v>3.4</v>
      </c>
      <c r="J1341" s="40">
        <v>7.97</v>
      </c>
      <c r="K1341" s="39">
        <v>0.23899999999999999</v>
      </c>
    </row>
    <row r="1342" spans="2:11" x14ac:dyDescent="0.25">
      <c r="B1342" s="28" t="str">
        <f>IF(ISNUMBER(MATCH(D1342, Mgt_Unit!$C$5:$C$1018, 0)), INDEX(Mgt_Unit!$B$5:$B$1018, MATCH(D1342, Mgt_Unit!$C$5:$C$1018, 0)), "")</f>
        <v>jennifer.moore</v>
      </c>
      <c r="C1342" s="28"/>
      <c r="D1342" s="17" t="s">
        <v>1055</v>
      </c>
      <c r="F1342" s="41" t="s">
        <v>1351</v>
      </c>
      <c r="I1342" s="39">
        <v>2.2999999999999998</v>
      </c>
      <c r="J1342" s="40">
        <v>8.07</v>
      </c>
      <c r="K1342" s="39">
        <v>0.18099999999999999</v>
      </c>
    </row>
    <row r="1343" spans="2:11" x14ac:dyDescent="0.25">
      <c r="B1343" s="28" t="str">
        <f>IF(ISNUMBER(MATCH(D1343, Mgt_Unit!$C$5:$C$1018, 0)), INDEX(Mgt_Unit!$B$5:$B$1018, MATCH(D1343, Mgt_Unit!$C$5:$C$1018, 0)), "")</f>
        <v>jennifer.moore</v>
      </c>
      <c r="C1343" s="28"/>
      <c r="D1343" s="17" t="s">
        <v>1056</v>
      </c>
      <c r="F1343" s="41" t="s">
        <v>1351</v>
      </c>
      <c r="I1343" s="39">
        <v>2.9</v>
      </c>
      <c r="J1343" s="40">
        <v>8.09</v>
      </c>
      <c r="K1343" s="39">
        <v>0.217</v>
      </c>
    </row>
    <row r="1344" spans="2:11" x14ac:dyDescent="0.25">
      <c r="B1344" s="28" t="str">
        <f>IF(ISNUMBER(MATCH(D1344, Mgt_Unit!$C$5:$C$1018, 0)), INDEX(Mgt_Unit!$B$5:$B$1018, MATCH(D1344, Mgt_Unit!$C$5:$C$1018, 0)), "")</f>
        <v>jennifer.moore</v>
      </c>
      <c r="C1344" s="28"/>
      <c r="D1344" s="17" t="s">
        <v>1056</v>
      </c>
      <c r="F1344" s="41" t="s">
        <v>1351</v>
      </c>
      <c r="I1344" s="39">
        <v>3.4</v>
      </c>
      <c r="J1344" s="40">
        <v>8.07</v>
      </c>
      <c r="K1344" s="39">
        <v>0.249</v>
      </c>
    </row>
    <row r="1345" spans="2:11" x14ac:dyDescent="0.25">
      <c r="B1345" s="28" t="str">
        <f>IF(ISNUMBER(MATCH(D1345, Mgt_Unit!$C$5:$C$1018, 0)), INDEX(Mgt_Unit!$B$5:$B$1018, MATCH(D1345, Mgt_Unit!$C$5:$C$1018, 0)), "")</f>
        <v>jennifer.moore</v>
      </c>
      <c r="C1345" s="28"/>
      <c r="D1345" s="17" t="s">
        <v>1055</v>
      </c>
      <c r="F1345" s="41" t="s">
        <v>1351</v>
      </c>
      <c r="I1345" s="39">
        <v>2.4</v>
      </c>
      <c r="J1345" s="40">
        <v>8.2200000000000006</v>
      </c>
      <c r="K1345" s="39">
        <v>0.17499999999999999</v>
      </c>
    </row>
    <row r="1346" spans="2:11" x14ac:dyDescent="0.25">
      <c r="B1346" s="28" t="str">
        <f>IF(ISNUMBER(MATCH(D1346, Mgt_Unit!$C$5:$C$1018, 0)), INDEX(Mgt_Unit!$B$5:$B$1018, MATCH(D1346, Mgt_Unit!$C$5:$C$1018, 0)), "")</f>
        <v>jennifer.moore</v>
      </c>
      <c r="C1346" s="28"/>
      <c r="D1346" s="17" t="s">
        <v>1056</v>
      </c>
      <c r="F1346" s="41" t="s">
        <v>1351</v>
      </c>
      <c r="I1346" s="39">
        <v>2.6</v>
      </c>
      <c r="J1346" s="40">
        <v>8.1300000000000008</v>
      </c>
      <c r="K1346" s="39">
        <v>0.16700000000000001</v>
      </c>
    </row>
    <row r="1347" spans="2:11" x14ac:dyDescent="0.25">
      <c r="B1347" s="28" t="str">
        <f>IF(ISNUMBER(MATCH(D1347, Mgt_Unit!$C$5:$C$1018, 0)), INDEX(Mgt_Unit!$B$5:$B$1018, MATCH(D1347, Mgt_Unit!$C$5:$C$1018, 0)), "")</f>
        <v>jennifer.moore</v>
      </c>
      <c r="C1347" s="28"/>
      <c r="D1347" s="17" t="s">
        <v>1055</v>
      </c>
      <c r="F1347" s="41" t="s">
        <v>1351</v>
      </c>
      <c r="I1347" s="39">
        <v>2.4</v>
      </c>
      <c r="J1347" s="40">
        <v>8.27</v>
      </c>
      <c r="K1347" s="39">
        <v>0.16400000000000001</v>
      </c>
    </row>
    <row r="1348" spans="2:11" x14ac:dyDescent="0.25">
      <c r="B1348" s="28" t="str">
        <f>IF(ISNUMBER(MATCH(D1348, Mgt_Unit!$C$5:$C$1018, 0)), INDEX(Mgt_Unit!$B$5:$B$1018, MATCH(D1348, Mgt_Unit!$C$5:$C$1018, 0)), "")</f>
        <v>jennifer.moore</v>
      </c>
      <c r="C1348" s="28"/>
      <c r="D1348" s="17" t="s">
        <v>1059</v>
      </c>
      <c r="F1348" s="41" t="s">
        <v>1351</v>
      </c>
      <c r="I1348" s="39">
        <v>1.8</v>
      </c>
      <c r="J1348" s="40">
        <v>8.34</v>
      </c>
      <c r="K1348" s="39">
        <v>0.151</v>
      </c>
    </row>
    <row r="1349" spans="2:11" x14ac:dyDescent="0.25">
      <c r="B1349" s="28" t="str">
        <f>IF(ISNUMBER(MATCH(D1349, Mgt_Unit!$C$5:$C$1018, 0)), INDEX(Mgt_Unit!$B$5:$B$1018, MATCH(D1349, Mgt_Unit!$C$5:$C$1018, 0)), "")</f>
        <v>jennifer.moore</v>
      </c>
      <c r="C1349" s="28"/>
      <c r="D1349" s="17" t="s">
        <v>1059</v>
      </c>
      <c r="F1349" s="41" t="s">
        <v>1351</v>
      </c>
      <c r="I1349" s="39">
        <v>2</v>
      </c>
      <c r="J1349" s="40">
        <v>8.27</v>
      </c>
      <c r="K1349" s="39">
        <v>0.14499999999999999</v>
      </c>
    </row>
    <row r="1350" spans="2:11" x14ac:dyDescent="0.25">
      <c r="B1350" s="28" t="str">
        <f>IF(ISNUMBER(MATCH(D1350, Mgt_Unit!$C$5:$C$1018, 0)), INDEX(Mgt_Unit!$B$5:$B$1018, MATCH(D1350, Mgt_Unit!$C$5:$C$1018, 0)), "")</f>
        <v>jennifer.moore</v>
      </c>
      <c r="C1350" s="28"/>
      <c r="D1350" s="17" t="s">
        <v>1060</v>
      </c>
      <c r="F1350" s="41" t="s">
        <v>1351</v>
      </c>
      <c r="I1350" s="39">
        <v>2.1</v>
      </c>
      <c r="J1350" s="40">
        <v>8.32</v>
      </c>
      <c r="K1350" s="39">
        <v>0.14499999999999999</v>
      </c>
    </row>
    <row r="1351" spans="2:11" x14ac:dyDescent="0.25">
      <c r="B1351" s="28" t="str">
        <f>IF(ISNUMBER(MATCH(D1351, Mgt_Unit!$C$5:$C$1018, 0)), INDEX(Mgt_Unit!$B$5:$B$1018, MATCH(D1351, Mgt_Unit!$C$5:$C$1018, 0)), "")</f>
        <v>jennifer.moore</v>
      </c>
      <c r="C1351" s="28"/>
      <c r="D1351" s="17" t="s">
        <v>1060</v>
      </c>
      <c r="F1351" s="41" t="s">
        <v>1351</v>
      </c>
      <c r="I1351" s="39">
        <v>1.8</v>
      </c>
      <c r="J1351" s="40">
        <v>8.32</v>
      </c>
      <c r="K1351" s="39">
        <v>0.14599999999999999</v>
      </c>
    </row>
    <row r="1352" spans="2:11" x14ac:dyDescent="0.25">
      <c r="B1352" s="28" t="str">
        <f>IF(ISNUMBER(MATCH(D1352, Mgt_Unit!$C$5:$C$1018, 0)), INDEX(Mgt_Unit!$B$5:$B$1018, MATCH(D1352, Mgt_Unit!$C$5:$C$1018, 0)), "")</f>
        <v>jennifer.moore</v>
      </c>
      <c r="C1352" s="28"/>
      <c r="D1352" s="17" t="s">
        <v>1059</v>
      </c>
      <c r="F1352" s="41" t="s">
        <v>1351</v>
      </c>
      <c r="I1352" s="39">
        <v>2.2000000000000002</v>
      </c>
      <c r="J1352" s="40">
        <v>8.2899999999999991</v>
      </c>
      <c r="K1352" s="39">
        <v>0.16800000000000001</v>
      </c>
    </row>
    <row r="1353" spans="2:11" x14ac:dyDescent="0.25">
      <c r="B1353" s="28" t="str">
        <f>IF(ISNUMBER(MATCH(D1353, Mgt_Unit!$C$5:$C$1018, 0)), INDEX(Mgt_Unit!$B$5:$B$1018, MATCH(D1353, Mgt_Unit!$C$5:$C$1018, 0)), "")</f>
        <v>jennifer.moore</v>
      </c>
      <c r="C1353" s="28"/>
      <c r="D1353" s="17" t="s">
        <v>1059</v>
      </c>
      <c r="F1353" s="41" t="s">
        <v>1351</v>
      </c>
      <c r="I1353" s="39">
        <v>2.2000000000000002</v>
      </c>
      <c r="J1353" s="40">
        <v>8.25</v>
      </c>
      <c r="K1353" s="39">
        <v>0.14499999999999999</v>
      </c>
    </row>
    <row r="1354" spans="2:11" x14ac:dyDescent="0.25">
      <c r="B1354" s="28" t="str">
        <f>IF(ISNUMBER(MATCH(D1354, Mgt_Unit!$C$5:$C$1018, 0)), INDEX(Mgt_Unit!$B$5:$B$1018, MATCH(D1354, Mgt_Unit!$C$5:$C$1018, 0)), "")</f>
        <v>jennifer.moore</v>
      </c>
      <c r="C1354" s="28"/>
      <c r="D1354" s="17" t="s">
        <v>1060</v>
      </c>
      <c r="F1354" s="41" t="s">
        <v>1351</v>
      </c>
      <c r="I1354" s="39">
        <v>2.5</v>
      </c>
      <c r="J1354" s="40">
        <v>8.23</v>
      </c>
      <c r="K1354" s="39">
        <v>0.19400000000000001</v>
      </c>
    </row>
    <row r="1355" spans="2:11" x14ac:dyDescent="0.25">
      <c r="B1355" s="28" t="str">
        <f>IF(ISNUMBER(MATCH(D1355, Mgt_Unit!$C$5:$C$1018, 0)), INDEX(Mgt_Unit!$B$5:$B$1018, MATCH(D1355, Mgt_Unit!$C$5:$C$1018, 0)), "")</f>
        <v>jennifer.moore</v>
      </c>
      <c r="C1355" s="28"/>
      <c r="D1355" s="17" t="s">
        <v>1060</v>
      </c>
      <c r="F1355" s="41" t="s">
        <v>1351</v>
      </c>
      <c r="I1355" s="39">
        <v>2.4</v>
      </c>
      <c r="J1355" s="40">
        <v>8.34</v>
      </c>
      <c r="K1355" s="39">
        <v>0.16</v>
      </c>
    </row>
    <row r="1356" spans="2:11" x14ac:dyDescent="0.25">
      <c r="B1356" s="28" t="str">
        <f>IF(ISNUMBER(MATCH(D1356, Mgt_Unit!$C$5:$C$1018, 0)), INDEX(Mgt_Unit!$B$5:$B$1018, MATCH(D1356, Mgt_Unit!$C$5:$C$1018, 0)), "")</f>
        <v>jennifer.moore</v>
      </c>
      <c r="C1356" s="28"/>
      <c r="D1356" s="17" t="s">
        <v>1062</v>
      </c>
      <c r="F1356" s="41" t="s">
        <v>1351</v>
      </c>
      <c r="I1356" s="39">
        <v>2.2999999999999998</v>
      </c>
      <c r="J1356" s="40">
        <v>8.3699999999999992</v>
      </c>
      <c r="K1356" s="39">
        <v>0.13500000000000001</v>
      </c>
    </row>
    <row r="1357" spans="2:11" x14ac:dyDescent="0.25">
      <c r="B1357" s="28" t="str">
        <f>IF(ISNUMBER(MATCH(D1357, Mgt_Unit!$C$5:$C$1018, 0)), INDEX(Mgt_Unit!$B$5:$B$1018, MATCH(D1357, Mgt_Unit!$C$5:$C$1018, 0)), "")</f>
        <v>jennifer.moore</v>
      </c>
      <c r="C1357" s="28"/>
      <c r="D1357" s="17" t="s">
        <v>1061</v>
      </c>
      <c r="F1357" s="41" t="s">
        <v>1351</v>
      </c>
      <c r="I1357" s="39">
        <v>2.2999999999999998</v>
      </c>
      <c r="J1357" s="40">
        <v>8.32</v>
      </c>
      <c r="K1357" s="39">
        <v>0.13800000000000001</v>
      </c>
    </row>
    <row r="1358" spans="2:11" x14ac:dyDescent="0.25">
      <c r="B1358" s="28" t="str">
        <f>IF(ISNUMBER(MATCH(D1358, Mgt_Unit!$C$5:$C$1018, 0)), INDEX(Mgt_Unit!$B$5:$B$1018, MATCH(D1358, Mgt_Unit!$C$5:$C$1018, 0)), "")</f>
        <v>jennifer.moore</v>
      </c>
      <c r="C1358" s="28"/>
      <c r="D1358" s="17" t="s">
        <v>1061</v>
      </c>
      <c r="F1358" s="41" t="s">
        <v>1351</v>
      </c>
      <c r="I1358" s="39">
        <v>1.6</v>
      </c>
      <c r="J1358" s="40">
        <v>8.34</v>
      </c>
      <c r="K1358" s="39">
        <v>0.13400000000000001</v>
      </c>
    </row>
    <row r="1359" spans="2:11" x14ac:dyDescent="0.25">
      <c r="B1359" s="28" t="str">
        <f>IF(ISNUMBER(MATCH(D1359, Mgt_Unit!$C$5:$C$1018, 0)), INDEX(Mgt_Unit!$B$5:$B$1018, MATCH(D1359, Mgt_Unit!$C$5:$C$1018, 0)), "")</f>
        <v>jennifer.moore</v>
      </c>
      <c r="C1359" s="28"/>
      <c r="D1359" s="17" t="s">
        <v>1062</v>
      </c>
      <c r="F1359" s="41" t="s">
        <v>1351</v>
      </c>
      <c r="I1359" s="39">
        <v>1.8</v>
      </c>
      <c r="J1359" s="40">
        <v>8.35</v>
      </c>
      <c r="K1359" s="39">
        <v>0.14399999999999999</v>
      </c>
    </row>
    <row r="1360" spans="2:11" x14ac:dyDescent="0.25">
      <c r="B1360" s="28" t="str">
        <f>IF(ISNUMBER(MATCH(D1360, Mgt_Unit!$C$5:$C$1018, 0)), INDEX(Mgt_Unit!$B$5:$B$1018, MATCH(D1360, Mgt_Unit!$C$5:$C$1018, 0)), "")</f>
        <v>jennifer.moore</v>
      </c>
      <c r="C1360" s="28"/>
      <c r="D1360" s="17" t="s">
        <v>1062</v>
      </c>
      <c r="F1360" s="41" t="s">
        <v>1351</v>
      </c>
      <c r="I1360" s="39">
        <v>1.7</v>
      </c>
      <c r="J1360" s="40">
        <v>8.3800000000000008</v>
      </c>
      <c r="K1360" s="39">
        <v>0.13200000000000001</v>
      </c>
    </row>
    <row r="1361" spans="2:11" x14ac:dyDescent="0.25">
      <c r="B1361" s="28" t="str">
        <f>IF(ISNUMBER(MATCH(D1361, Mgt_Unit!$C$5:$C$1018, 0)), INDEX(Mgt_Unit!$B$5:$B$1018, MATCH(D1361, Mgt_Unit!$C$5:$C$1018, 0)), "")</f>
        <v>jennifer.moore</v>
      </c>
      <c r="C1361" s="28"/>
      <c r="D1361" s="17" t="s">
        <v>1061</v>
      </c>
      <c r="F1361" s="41" t="s">
        <v>1351</v>
      </c>
      <c r="I1361" s="39">
        <v>1.6</v>
      </c>
      <c r="J1361" s="40">
        <v>8.32</v>
      </c>
      <c r="K1361" s="39">
        <v>0.13700000000000001</v>
      </c>
    </row>
    <row r="1362" spans="2:11" x14ac:dyDescent="0.25">
      <c r="B1362" s="28" t="str">
        <f>IF(ISNUMBER(MATCH(D1362, Mgt_Unit!$C$5:$C$1018, 0)), INDEX(Mgt_Unit!$B$5:$B$1018, MATCH(D1362, Mgt_Unit!$C$5:$C$1018, 0)), "")</f>
        <v>jennifer.moore</v>
      </c>
      <c r="C1362" s="28"/>
      <c r="D1362" s="17" t="s">
        <v>1062</v>
      </c>
      <c r="F1362" s="41" t="s">
        <v>1351</v>
      </c>
      <c r="I1362" s="39">
        <v>1.8</v>
      </c>
      <c r="J1362" s="40">
        <v>8.34</v>
      </c>
      <c r="K1362" s="39">
        <v>0.13200000000000001</v>
      </c>
    </row>
    <row r="1363" spans="2:11" x14ac:dyDescent="0.25">
      <c r="B1363" s="28" t="str">
        <f>IF(ISNUMBER(MATCH(D1363, Mgt_Unit!$C$5:$C$1018, 0)), INDEX(Mgt_Unit!$B$5:$B$1018, MATCH(D1363, Mgt_Unit!$C$5:$C$1018, 0)), "")</f>
        <v>jennifer.moore</v>
      </c>
      <c r="C1363" s="28"/>
      <c r="D1363" s="17" t="s">
        <v>1061</v>
      </c>
      <c r="F1363" s="41" t="s">
        <v>1351</v>
      </c>
      <c r="I1363" s="39">
        <v>2.8</v>
      </c>
      <c r="J1363" s="40">
        <v>8.31</v>
      </c>
      <c r="K1363" s="39">
        <v>0.14599999999999999</v>
      </c>
    </row>
    <row r="1364" spans="2:11" x14ac:dyDescent="0.25">
      <c r="B1364" s="28" t="str">
        <f>IF(ISNUMBER(MATCH(D1364, Mgt_Unit!$C$5:$C$1018, 0)), INDEX(Mgt_Unit!$B$5:$B$1018, MATCH(D1364, Mgt_Unit!$C$5:$C$1018, 0)), "")</f>
        <v>jennifer.moore</v>
      </c>
      <c r="C1364" s="28"/>
      <c r="D1364" s="17" t="s">
        <v>1063</v>
      </c>
      <c r="F1364" s="41" t="s">
        <v>1351</v>
      </c>
      <c r="I1364" s="39">
        <v>1.8</v>
      </c>
      <c r="J1364" s="40">
        <v>5.83</v>
      </c>
      <c r="K1364" s="39">
        <v>7.4200000000000002E-2</v>
      </c>
    </row>
    <row r="1365" spans="2:11" x14ac:dyDescent="0.25">
      <c r="B1365" s="28" t="str">
        <f>IF(ISNUMBER(MATCH(D1365, Mgt_Unit!$C$5:$C$1018, 0)), INDEX(Mgt_Unit!$B$5:$B$1018, MATCH(D1365, Mgt_Unit!$C$5:$C$1018, 0)), "")</f>
        <v>jennifer.moore</v>
      </c>
      <c r="C1365" s="28"/>
      <c r="D1365" s="17" t="s">
        <v>1063</v>
      </c>
      <c r="F1365" s="41" t="s">
        <v>1351</v>
      </c>
      <c r="I1365" s="39">
        <v>1.8</v>
      </c>
      <c r="J1365" s="40">
        <v>5.76</v>
      </c>
      <c r="K1365" s="39">
        <v>7.1900000000000006E-2</v>
      </c>
    </row>
    <row r="1366" spans="2:11" x14ac:dyDescent="0.25">
      <c r="B1366" s="28" t="str">
        <f>IF(ISNUMBER(MATCH(D1366, Mgt_Unit!$C$5:$C$1018, 0)), INDEX(Mgt_Unit!$B$5:$B$1018, MATCH(D1366, Mgt_Unit!$C$5:$C$1018, 0)), "")</f>
        <v>jennifer.moore</v>
      </c>
      <c r="C1366" s="28"/>
      <c r="D1366" s="17" t="s">
        <v>1063</v>
      </c>
      <c r="F1366" s="41" t="s">
        <v>1351</v>
      </c>
      <c r="I1366" s="39">
        <v>1.9</v>
      </c>
      <c r="J1366" s="40">
        <v>5.67</v>
      </c>
      <c r="K1366" s="39">
        <v>7.3599999999999999E-2</v>
      </c>
    </row>
    <row r="1367" spans="2:11" x14ac:dyDescent="0.25">
      <c r="B1367" s="28" t="str">
        <f>IF(ISNUMBER(MATCH(D1367, Mgt_Unit!$C$5:$C$1018, 0)), INDEX(Mgt_Unit!$B$5:$B$1018, MATCH(D1367, Mgt_Unit!$C$5:$C$1018, 0)), "")</f>
        <v>jennifer.moore</v>
      </c>
      <c r="C1367" s="28"/>
      <c r="D1367" s="17" t="s">
        <v>1063</v>
      </c>
      <c r="F1367" s="41" t="s">
        <v>1351</v>
      </c>
      <c r="I1367" s="39">
        <v>1.7</v>
      </c>
      <c r="J1367" s="40">
        <v>5.61</v>
      </c>
      <c r="K1367" s="39">
        <v>5.9799999999999999E-2</v>
      </c>
    </row>
    <row r="1368" spans="2:11" x14ac:dyDescent="0.25">
      <c r="B1368" s="28" t="str">
        <f>IF(ISNUMBER(MATCH(D1368, Mgt_Unit!$C$5:$C$1018, 0)), INDEX(Mgt_Unit!$B$5:$B$1018, MATCH(D1368, Mgt_Unit!$C$5:$C$1018, 0)), "")</f>
        <v>jennifer.moore</v>
      </c>
      <c r="C1368" s="28"/>
      <c r="D1368" s="17" t="s">
        <v>1065</v>
      </c>
      <c r="F1368" s="41" t="s">
        <v>1351</v>
      </c>
      <c r="I1368" s="39">
        <v>1.6</v>
      </c>
      <c r="J1368" s="40">
        <v>5.26</v>
      </c>
      <c r="K1368" s="39">
        <v>6.2E-2</v>
      </c>
    </row>
    <row r="1369" spans="2:11" x14ac:dyDescent="0.25">
      <c r="B1369" s="28" t="str">
        <f>IF(ISNUMBER(MATCH(D1369, Mgt_Unit!$C$5:$C$1018, 0)), INDEX(Mgt_Unit!$B$5:$B$1018, MATCH(D1369, Mgt_Unit!$C$5:$C$1018, 0)), "")</f>
        <v>jennifer.moore</v>
      </c>
      <c r="C1369" s="28"/>
      <c r="D1369" s="17" t="s">
        <v>1065</v>
      </c>
      <c r="F1369" s="41" t="s">
        <v>1351</v>
      </c>
      <c r="I1369" s="39">
        <v>1.7</v>
      </c>
      <c r="J1369" s="40">
        <v>5.83</v>
      </c>
      <c r="K1369" s="39">
        <v>6.8099999999999994E-2</v>
      </c>
    </row>
    <row r="1370" spans="2:11" x14ac:dyDescent="0.25">
      <c r="B1370" s="28" t="str">
        <f>IF(ISNUMBER(MATCH(D1370, Mgt_Unit!$C$5:$C$1018, 0)), INDEX(Mgt_Unit!$B$5:$B$1018, MATCH(D1370, Mgt_Unit!$C$5:$C$1018, 0)), "")</f>
        <v>jennifer.moore</v>
      </c>
      <c r="C1370" s="28"/>
      <c r="D1370" s="17" t="s">
        <v>1065</v>
      </c>
      <c r="F1370" s="41" t="s">
        <v>1351</v>
      </c>
      <c r="I1370" s="39">
        <v>2.1</v>
      </c>
      <c r="J1370" s="40">
        <v>5.53</v>
      </c>
      <c r="K1370" s="39">
        <v>6.2E-2</v>
      </c>
    </row>
    <row r="1371" spans="2:11" x14ac:dyDescent="0.25">
      <c r="B1371" s="28" t="str">
        <f>IF(ISNUMBER(MATCH(D1371, Mgt_Unit!$C$5:$C$1018, 0)), INDEX(Mgt_Unit!$B$5:$B$1018, MATCH(D1371, Mgt_Unit!$C$5:$C$1018, 0)), "")</f>
        <v>jennifer.moore</v>
      </c>
      <c r="C1371" s="28"/>
      <c r="D1371" s="17" t="s">
        <v>1065</v>
      </c>
      <c r="F1371" s="41" t="s">
        <v>1351</v>
      </c>
      <c r="I1371" s="39">
        <v>2.5</v>
      </c>
      <c r="J1371" s="40">
        <v>5.43</v>
      </c>
      <c r="K1371" s="39">
        <v>6.7299999999999999E-2</v>
      </c>
    </row>
    <row r="1372" spans="2:11" x14ac:dyDescent="0.25">
      <c r="B1372" s="28" t="str">
        <f>IF(ISNUMBER(MATCH(D1372, Mgt_Unit!$C$5:$C$1018, 0)), INDEX(Mgt_Unit!$B$5:$B$1018, MATCH(D1372, Mgt_Unit!$C$5:$C$1018, 0)), "")</f>
        <v>jennifer.moore</v>
      </c>
      <c r="C1372" s="28"/>
      <c r="D1372" s="17" t="s">
        <v>1064</v>
      </c>
      <c r="F1372" s="41" t="s">
        <v>1351</v>
      </c>
      <c r="I1372" s="39">
        <v>1.9</v>
      </c>
      <c r="J1372" s="40">
        <v>5.46</v>
      </c>
      <c r="K1372" s="39">
        <v>8.2199999999999995E-2</v>
      </c>
    </row>
    <row r="1373" spans="2:11" x14ac:dyDescent="0.25">
      <c r="B1373" s="28" t="str">
        <f>IF(ISNUMBER(MATCH(D1373, Mgt_Unit!$C$5:$C$1018, 0)), INDEX(Mgt_Unit!$B$5:$B$1018, MATCH(D1373, Mgt_Unit!$C$5:$C$1018, 0)), "")</f>
        <v>jennifer.moore</v>
      </c>
      <c r="C1373" s="28"/>
      <c r="D1373" s="17" t="s">
        <v>1064</v>
      </c>
      <c r="F1373" s="41" t="s">
        <v>1351</v>
      </c>
      <c r="I1373" s="39">
        <v>2.2000000000000002</v>
      </c>
      <c r="J1373" s="40">
        <v>5.65</v>
      </c>
      <c r="K1373" s="39">
        <v>7.6700000000000004E-2</v>
      </c>
    </row>
    <row r="1374" spans="2:11" x14ac:dyDescent="0.25">
      <c r="B1374" s="28" t="str">
        <f>IF(ISNUMBER(MATCH(D1374, Mgt_Unit!$C$5:$C$1018, 0)), INDEX(Mgt_Unit!$B$5:$B$1018, MATCH(D1374, Mgt_Unit!$C$5:$C$1018, 0)), "")</f>
        <v>jennifer.moore</v>
      </c>
      <c r="C1374" s="28"/>
      <c r="D1374" s="17" t="s">
        <v>1064</v>
      </c>
      <c r="F1374" s="41" t="s">
        <v>1351</v>
      </c>
      <c r="I1374" s="39">
        <v>2</v>
      </c>
      <c r="J1374" s="40">
        <v>5.34</v>
      </c>
      <c r="K1374" s="39">
        <v>8.2100000000000006E-2</v>
      </c>
    </row>
    <row r="1375" spans="2:11" x14ac:dyDescent="0.25">
      <c r="B1375" s="28" t="str">
        <f>IF(ISNUMBER(MATCH(D1375, Mgt_Unit!$C$5:$C$1018, 0)), INDEX(Mgt_Unit!$B$5:$B$1018, MATCH(D1375, Mgt_Unit!$C$5:$C$1018, 0)), "")</f>
        <v>jennifer.moore</v>
      </c>
      <c r="C1375" s="28"/>
      <c r="D1375" s="17" t="s">
        <v>1064</v>
      </c>
      <c r="F1375" s="41" t="s">
        <v>1351</v>
      </c>
      <c r="I1375" s="39">
        <v>2</v>
      </c>
      <c r="J1375" s="40">
        <v>5.4</v>
      </c>
      <c r="K1375" s="39">
        <v>6.8599999999999994E-2</v>
      </c>
    </row>
    <row r="1376" spans="2:11" x14ac:dyDescent="0.25">
      <c r="B1376" s="28" t="str">
        <f>IF(ISNUMBER(MATCH(D1376, Mgt_Unit!$C$5:$C$1018, 0)), INDEX(Mgt_Unit!$B$5:$B$1018, MATCH(D1376, Mgt_Unit!$C$5:$C$1018, 0)), "")</f>
        <v>jennifer.moore</v>
      </c>
      <c r="C1376" s="28"/>
      <c r="D1376" s="17" t="s">
        <v>1070</v>
      </c>
      <c r="F1376" s="41" t="s">
        <v>1351</v>
      </c>
      <c r="I1376" s="39">
        <v>1.6</v>
      </c>
      <c r="J1376" s="40">
        <v>5.53</v>
      </c>
      <c r="K1376" s="39">
        <v>5.8500000000000003E-2</v>
      </c>
    </row>
    <row r="1377" spans="2:11" x14ac:dyDescent="0.25">
      <c r="B1377" s="28" t="str">
        <f>IF(ISNUMBER(MATCH(D1377, Mgt_Unit!$C$5:$C$1018, 0)), INDEX(Mgt_Unit!$B$5:$B$1018, MATCH(D1377, Mgt_Unit!$C$5:$C$1018, 0)), "")</f>
        <v>jennifer.moore</v>
      </c>
      <c r="C1377" s="28"/>
      <c r="D1377" s="17" t="s">
        <v>1067</v>
      </c>
      <c r="F1377" s="41" t="s">
        <v>1351</v>
      </c>
      <c r="I1377" s="39">
        <v>2.2999999999999998</v>
      </c>
      <c r="J1377" s="40">
        <v>5.27</v>
      </c>
      <c r="K1377" s="39">
        <v>0.1026</v>
      </c>
    </row>
    <row r="1378" spans="2:11" x14ac:dyDescent="0.25">
      <c r="B1378" s="28" t="str">
        <f>IF(ISNUMBER(MATCH(D1378, Mgt_Unit!$C$5:$C$1018, 0)), INDEX(Mgt_Unit!$B$5:$B$1018, MATCH(D1378, Mgt_Unit!$C$5:$C$1018, 0)), "")</f>
        <v>jennifer.moore</v>
      </c>
      <c r="C1378" s="28"/>
      <c r="D1378" s="17" t="s">
        <v>1068</v>
      </c>
      <c r="F1378" s="41" t="s">
        <v>1351</v>
      </c>
      <c r="I1378" s="39">
        <v>2.2999999999999998</v>
      </c>
      <c r="J1378" s="40">
        <v>4.68</v>
      </c>
      <c r="K1378" s="39">
        <v>0.1002</v>
      </c>
    </row>
    <row r="1379" spans="2:11" x14ac:dyDescent="0.25">
      <c r="B1379" s="28" t="str">
        <f>IF(ISNUMBER(MATCH(D1379, Mgt_Unit!$C$5:$C$1018, 0)), INDEX(Mgt_Unit!$B$5:$B$1018, MATCH(D1379, Mgt_Unit!$C$5:$C$1018, 0)), "")</f>
        <v>jennifer.moore</v>
      </c>
      <c r="C1379" s="28"/>
      <c r="D1379" s="17" t="s">
        <v>1069</v>
      </c>
      <c r="F1379" s="41" t="s">
        <v>1351</v>
      </c>
      <c r="I1379" s="39">
        <v>1.6</v>
      </c>
      <c r="J1379" s="40">
        <v>5.4</v>
      </c>
      <c r="K1379" s="39">
        <v>4.5100000000000001E-2</v>
      </c>
    </row>
    <row r="1380" spans="2:11" x14ac:dyDescent="0.25">
      <c r="B1380" s="28" t="str">
        <f>IF(ISNUMBER(MATCH(D1380, Mgt_Unit!$C$5:$C$1018, 0)), INDEX(Mgt_Unit!$B$5:$B$1018, MATCH(D1380, Mgt_Unit!$C$5:$C$1018, 0)), "")</f>
        <v>jennifer.moore</v>
      </c>
      <c r="C1380" s="28"/>
      <c r="D1380" s="17" t="s">
        <v>1066</v>
      </c>
      <c r="F1380" s="41" t="s">
        <v>1351</v>
      </c>
      <c r="I1380" s="39">
        <v>2</v>
      </c>
      <c r="J1380" s="40">
        <v>5.14</v>
      </c>
      <c r="K1380" s="39">
        <v>7.4999999999999997E-2</v>
      </c>
    </row>
    <row r="1381" spans="2:11" x14ac:dyDescent="0.25">
      <c r="B1381" s="28" t="str">
        <f>IF(ISNUMBER(MATCH(D1381, Mgt_Unit!$C$5:$C$1018, 0)), INDEX(Mgt_Unit!$B$5:$B$1018, MATCH(D1381, Mgt_Unit!$C$5:$C$1018, 0)), "")</f>
        <v>jennifer.moore</v>
      </c>
      <c r="C1381" s="28"/>
      <c r="D1381" s="17" t="s">
        <v>1068</v>
      </c>
      <c r="F1381" s="41" t="s">
        <v>1351</v>
      </c>
      <c r="I1381" s="39">
        <v>2.9</v>
      </c>
      <c r="J1381" s="40">
        <v>4.63</v>
      </c>
      <c r="K1381" s="39">
        <v>0.15329999999999999</v>
      </c>
    </row>
    <row r="1382" spans="2:11" x14ac:dyDescent="0.25">
      <c r="B1382" s="28" t="str">
        <f>IF(ISNUMBER(MATCH(D1382, Mgt_Unit!$C$5:$C$1018, 0)), INDEX(Mgt_Unit!$B$5:$B$1018, MATCH(D1382, Mgt_Unit!$C$5:$C$1018, 0)), "")</f>
        <v>jennifer.moore</v>
      </c>
      <c r="C1382" s="28"/>
      <c r="D1382" s="17" t="s">
        <v>1069</v>
      </c>
      <c r="F1382" s="41" t="s">
        <v>1351</v>
      </c>
      <c r="I1382" s="39">
        <v>1.7</v>
      </c>
      <c r="J1382" s="40">
        <v>5.28</v>
      </c>
      <c r="K1382" s="39">
        <v>7.0300000000000001E-2</v>
      </c>
    </row>
    <row r="1383" spans="2:11" x14ac:dyDescent="0.25">
      <c r="B1383" s="28" t="str">
        <f>IF(ISNUMBER(MATCH(D1383, Mgt_Unit!$C$5:$C$1018, 0)), INDEX(Mgt_Unit!$B$5:$B$1018, MATCH(D1383, Mgt_Unit!$C$5:$C$1018, 0)), "")</f>
        <v>jennifer.moore</v>
      </c>
      <c r="C1383" s="28"/>
      <c r="D1383" s="17" t="s">
        <v>1067</v>
      </c>
      <c r="F1383" s="41" t="s">
        <v>1351</v>
      </c>
      <c r="I1383" s="39">
        <v>2.2000000000000002</v>
      </c>
      <c r="J1383" s="40">
        <v>4.88</v>
      </c>
      <c r="K1383" s="39">
        <v>0.1077</v>
      </c>
    </row>
    <row r="1384" spans="2:11" x14ac:dyDescent="0.25">
      <c r="B1384" s="28" t="str">
        <f>IF(ISNUMBER(MATCH(D1384, Mgt_Unit!$C$5:$C$1018, 0)), INDEX(Mgt_Unit!$B$5:$B$1018, MATCH(D1384, Mgt_Unit!$C$5:$C$1018, 0)), "")</f>
        <v>jennifer.moore</v>
      </c>
      <c r="C1384" s="28"/>
      <c r="D1384" s="17" t="s">
        <v>1070</v>
      </c>
      <c r="F1384" s="41" t="s">
        <v>1351</v>
      </c>
      <c r="I1384" s="39">
        <v>1.9</v>
      </c>
      <c r="J1384" s="40">
        <v>5.52</v>
      </c>
      <c r="K1384" s="39">
        <v>6.3500000000000001E-2</v>
      </c>
    </row>
    <row r="1385" spans="2:11" x14ac:dyDescent="0.25">
      <c r="B1385" s="28" t="str">
        <f>IF(ISNUMBER(MATCH(D1385, Mgt_Unit!$C$5:$C$1018, 0)), INDEX(Mgt_Unit!$B$5:$B$1018, MATCH(D1385, Mgt_Unit!$C$5:$C$1018, 0)), "")</f>
        <v>jennifer.moore</v>
      </c>
      <c r="C1385" s="28"/>
      <c r="D1385" s="17" t="s">
        <v>1066</v>
      </c>
      <c r="F1385" s="41" t="s">
        <v>1351</v>
      </c>
      <c r="I1385" s="39">
        <v>1.9</v>
      </c>
      <c r="J1385" s="40">
        <v>5.59</v>
      </c>
      <c r="K1385" s="39">
        <v>7.46E-2</v>
      </c>
    </row>
    <row r="1386" spans="2:11" x14ac:dyDescent="0.25">
      <c r="B1386" s="28" t="str">
        <f>IF(ISNUMBER(MATCH(D1386, Mgt_Unit!$C$5:$C$1018, 0)), INDEX(Mgt_Unit!$B$5:$B$1018, MATCH(D1386, Mgt_Unit!$C$5:$C$1018, 0)), "")</f>
        <v>jennifer.moore</v>
      </c>
      <c r="C1386" s="28"/>
      <c r="D1386" s="17" t="s">
        <v>1068</v>
      </c>
      <c r="F1386" s="41" t="s">
        <v>1351</v>
      </c>
      <c r="I1386" s="39">
        <v>2.8</v>
      </c>
      <c r="J1386" s="40">
        <v>4.9400000000000004</v>
      </c>
      <c r="K1386" s="39">
        <v>0.14269999999999999</v>
      </c>
    </row>
    <row r="1387" spans="2:11" x14ac:dyDescent="0.25">
      <c r="B1387" s="28" t="str">
        <f>IF(ISNUMBER(MATCH(D1387, Mgt_Unit!$C$5:$C$1018, 0)), INDEX(Mgt_Unit!$B$5:$B$1018, MATCH(D1387, Mgt_Unit!$C$5:$C$1018, 0)), "")</f>
        <v>jennifer.moore</v>
      </c>
      <c r="C1387" s="28"/>
      <c r="D1387" s="17" t="s">
        <v>1069</v>
      </c>
      <c r="F1387" s="41" t="s">
        <v>1351</v>
      </c>
      <c r="I1387" s="39">
        <v>1.8</v>
      </c>
      <c r="J1387" s="40">
        <v>5.74</v>
      </c>
      <c r="K1387" s="39">
        <v>6.4299999999999996E-2</v>
      </c>
    </row>
    <row r="1388" spans="2:11" x14ac:dyDescent="0.25">
      <c r="B1388" s="28" t="str">
        <f>IF(ISNUMBER(MATCH(D1388, Mgt_Unit!$C$5:$C$1018, 0)), INDEX(Mgt_Unit!$B$5:$B$1018, MATCH(D1388, Mgt_Unit!$C$5:$C$1018, 0)), "")</f>
        <v>jennifer.moore</v>
      </c>
      <c r="C1388" s="28"/>
      <c r="D1388" s="17" t="s">
        <v>1067</v>
      </c>
      <c r="F1388" s="41" t="s">
        <v>1351</v>
      </c>
      <c r="I1388" s="39">
        <v>2.6</v>
      </c>
      <c r="J1388" s="40">
        <v>5.01</v>
      </c>
      <c r="K1388" s="39">
        <v>9.6199999999999994E-2</v>
      </c>
    </row>
    <row r="1389" spans="2:11" x14ac:dyDescent="0.25">
      <c r="B1389" s="28" t="str">
        <f>IF(ISNUMBER(MATCH(D1389, Mgt_Unit!$C$5:$C$1018, 0)), INDEX(Mgt_Unit!$B$5:$B$1018, MATCH(D1389, Mgt_Unit!$C$5:$C$1018, 0)), "")</f>
        <v>jennifer.moore</v>
      </c>
      <c r="C1389" s="28"/>
      <c r="D1389" s="17" t="s">
        <v>1070</v>
      </c>
      <c r="F1389" s="41" t="s">
        <v>1351</v>
      </c>
      <c r="I1389" s="39">
        <v>1.8</v>
      </c>
      <c r="J1389" s="40">
        <v>5.46</v>
      </c>
      <c r="K1389" s="39">
        <v>6.4899999999999999E-2</v>
      </c>
    </row>
    <row r="1390" spans="2:11" x14ac:dyDescent="0.25">
      <c r="B1390" s="28" t="str">
        <f>IF(ISNUMBER(MATCH(D1390, Mgt_Unit!$C$5:$C$1018, 0)), INDEX(Mgt_Unit!$B$5:$B$1018, MATCH(D1390, Mgt_Unit!$C$5:$C$1018, 0)), "")</f>
        <v>jennifer.moore</v>
      </c>
      <c r="C1390" s="28"/>
      <c r="D1390" s="17" t="s">
        <v>1066</v>
      </c>
      <c r="F1390" s="41" t="s">
        <v>1351</v>
      </c>
      <c r="I1390" s="39">
        <v>2</v>
      </c>
      <c r="J1390" s="40">
        <v>5.43</v>
      </c>
      <c r="K1390" s="39">
        <v>7.0300000000000001E-2</v>
      </c>
    </row>
    <row r="1391" spans="2:11" x14ac:dyDescent="0.25">
      <c r="B1391" s="28" t="str">
        <f>IF(ISNUMBER(MATCH(D1391, Mgt_Unit!$C$5:$C$1018, 0)), INDEX(Mgt_Unit!$B$5:$B$1018, MATCH(D1391, Mgt_Unit!$C$5:$C$1018, 0)), "")</f>
        <v>jennifer.moore</v>
      </c>
      <c r="C1391" s="28"/>
      <c r="D1391" s="17" t="s">
        <v>1072</v>
      </c>
      <c r="F1391" s="41" t="s">
        <v>1351</v>
      </c>
      <c r="I1391" s="39">
        <v>1.8</v>
      </c>
      <c r="J1391" s="40">
        <v>5.13</v>
      </c>
      <c r="K1391" s="39">
        <v>9.7799999999999998E-2</v>
      </c>
    </row>
    <row r="1392" spans="2:11" x14ac:dyDescent="0.25">
      <c r="B1392" s="28" t="str">
        <f>IF(ISNUMBER(MATCH(D1392, Mgt_Unit!$C$5:$C$1018, 0)), INDEX(Mgt_Unit!$B$5:$B$1018, MATCH(D1392, Mgt_Unit!$C$5:$C$1018, 0)), "")</f>
        <v>jennifer.moore</v>
      </c>
      <c r="C1392" s="28"/>
      <c r="D1392" s="17" t="s">
        <v>1071</v>
      </c>
      <c r="F1392" s="41" t="s">
        <v>1351</v>
      </c>
      <c r="I1392" s="39">
        <v>1.9</v>
      </c>
      <c r="J1392" s="40">
        <v>5.18</v>
      </c>
      <c r="K1392" s="39">
        <v>0.14560000000000001</v>
      </c>
    </row>
    <row r="1393" spans="2:11" x14ac:dyDescent="0.25">
      <c r="B1393" s="28" t="str">
        <f>IF(ISNUMBER(MATCH(D1393, Mgt_Unit!$C$5:$C$1018, 0)), INDEX(Mgt_Unit!$B$5:$B$1018, MATCH(D1393, Mgt_Unit!$C$5:$C$1018, 0)), "")</f>
        <v>jennifer.moore</v>
      </c>
      <c r="C1393" s="28"/>
      <c r="D1393" s="17" t="s">
        <v>1073</v>
      </c>
      <c r="F1393" s="41" t="s">
        <v>1351</v>
      </c>
      <c r="I1393" s="39">
        <v>1.8</v>
      </c>
      <c r="J1393" s="40">
        <v>5.19</v>
      </c>
      <c r="K1393" s="39">
        <v>8.7800000000000003E-2</v>
      </c>
    </row>
    <row r="1394" spans="2:11" x14ac:dyDescent="0.25">
      <c r="B1394" s="28" t="str">
        <f>IF(ISNUMBER(MATCH(D1394, Mgt_Unit!$C$5:$C$1018, 0)), INDEX(Mgt_Unit!$B$5:$B$1018, MATCH(D1394, Mgt_Unit!$C$5:$C$1018, 0)), "")</f>
        <v>jennifer.moore</v>
      </c>
      <c r="C1394" s="28"/>
      <c r="D1394" s="17" t="s">
        <v>1074</v>
      </c>
      <c r="F1394" s="41" t="s">
        <v>1351</v>
      </c>
      <c r="I1394" s="39">
        <v>1.7</v>
      </c>
      <c r="J1394" s="40">
        <v>5.15</v>
      </c>
      <c r="K1394" s="39">
        <v>6.1499999999999999E-2</v>
      </c>
    </row>
    <row r="1395" spans="2:11" x14ac:dyDescent="0.25">
      <c r="B1395" s="28" t="str">
        <f>IF(ISNUMBER(MATCH(D1395, Mgt_Unit!$C$5:$C$1018, 0)), INDEX(Mgt_Unit!$B$5:$B$1018, MATCH(D1395, Mgt_Unit!$C$5:$C$1018, 0)), "")</f>
        <v>jennifer.moore</v>
      </c>
      <c r="C1395" s="28"/>
      <c r="D1395" s="17" t="s">
        <v>1071</v>
      </c>
      <c r="F1395" s="41" t="s">
        <v>1351</v>
      </c>
      <c r="I1395" s="39">
        <v>1.7</v>
      </c>
      <c r="J1395" s="40">
        <v>5.16</v>
      </c>
      <c r="K1395" s="39">
        <v>0.1384</v>
      </c>
    </row>
    <row r="1396" spans="2:11" x14ac:dyDescent="0.25">
      <c r="B1396" s="28" t="str">
        <f>IF(ISNUMBER(MATCH(D1396, Mgt_Unit!$C$5:$C$1018, 0)), INDEX(Mgt_Unit!$B$5:$B$1018, MATCH(D1396, Mgt_Unit!$C$5:$C$1018, 0)), "")</f>
        <v>jennifer.moore</v>
      </c>
      <c r="C1396" s="28"/>
      <c r="D1396" s="17" t="s">
        <v>1074</v>
      </c>
      <c r="F1396" s="41" t="s">
        <v>1351</v>
      </c>
      <c r="I1396" s="39">
        <v>1.7</v>
      </c>
      <c r="J1396" s="40">
        <v>4.99</v>
      </c>
      <c r="K1396" s="39">
        <v>6.6699999999999995E-2</v>
      </c>
    </row>
    <row r="1397" spans="2:11" x14ac:dyDescent="0.25">
      <c r="B1397" s="28" t="str">
        <f>IF(ISNUMBER(MATCH(D1397, Mgt_Unit!$C$5:$C$1018, 0)), INDEX(Mgt_Unit!$B$5:$B$1018, MATCH(D1397, Mgt_Unit!$C$5:$C$1018, 0)), "")</f>
        <v>jennifer.moore</v>
      </c>
      <c r="C1397" s="28"/>
      <c r="D1397" s="17" t="s">
        <v>1072</v>
      </c>
      <c r="F1397" s="41" t="s">
        <v>1351</v>
      </c>
      <c r="I1397" s="39">
        <v>1.5</v>
      </c>
      <c r="J1397" s="40">
        <v>5.38</v>
      </c>
      <c r="K1397" s="39">
        <v>6.6900000000000001E-2</v>
      </c>
    </row>
    <row r="1398" spans="2:11" x14ac:dyDescent="0.25">
      <c r="B1398" s="28" t="str">
        <f>IF(ISNUMBER(MATCH(D1398, Mgt_Unit!$C$5:$C$1018, 0)), INDEX(Mgt_Unit!$B$5:$B$1018, MATCH(D1398, Mgt_Unit!$C$5:$C$1018, 0)), "")</f>
        <v>jennifer.moore</v>
      </c>
      <c r="C1398" s="28"/>
      <c r="D1398" s="17" t="s">
        <v>1073</v>
      </c>
      <c r="F1398" s="41" t="s">
        <v>1351</v>
      </c>
      <c r="I1398" s="39">
        <v>1.5</v>
      </c>
      <c r="J1398" s="40">
        <v>5.57</v>
      </c>
      <c r="K1398" s="39">
        <v>5.8799999999999998E-2</v>
      </c>
    </row>
    <row r="1399" spans="2:11" x14ac:dyDescent="0.25">
      <c r="B1399" s="28" t="str">
        <f>IF(ISNUMBER(MATCH(D1399, Mgt_Unit!$C$5:$C$1018, 0)), INDEX(Mgt_Unit!$B$5:$B$1018, MATCH(D1399, Mgt_Unit!$C$5:$C$1018, 0)), "")</f>
        <v>jennifer.moore</v>
      </c>
      <c r="C1399" s="28"/>
      <c r="D1399" s="17" t="s">
        <v>1072</v>
      </c>
      <c r="F1399" s="41" t="s">
        <v>1351</v>
      </c>
      <c r="I1399" s="39">
        <v>1.6</v>
      </c>
      <c r="J1399" s="40">
        <v>5.37</v>
      </c>
      <c r="K1399" s="39">
        <v>8.2199999999999995E-2</v>
      </c>
    </row>
    <row r="1400" spans="2:11" x14ac:dyDescent="0.25">
      <c r="B1400" s="28" t="str">
        <f>IF(ISNUMBER(MATCH(D1400, Mgt_Unit!$C$5:$C$1018, 0)), INDEX(Mgt_Unit!$B$5:$B$1018, MATCH(D1400, Mgt_Unit!$C$5:$C$1018, 0)), "")</f>
        <v>jennifer.moore</v>
      </c>
      <c r="C1400" s="28"/>
      <c r="D1400" s="17" t="s">
        <v>1074</v>
      </c>
      <c r="F1400" s="41" t="s">
        <v>1351</v>
      </c>
      <c r="I1400" s="39">
        <v>1.8</v>
      </c>
      <c r="J1400" s="40">
        <v>5.34</v>
      </c>
      <c r="K1400" s="39">
        <v>7.0400000000000004E-2</v>
      </c>
    </row>
    <row r="1401" spans="2:11" x14ac:dyDescent="0.25">
      <c r="B1401" s="28" t="str">
        <f>IF(ISNUMBER(MATCH(D1401, Mgt_Unit!$C$5:$C$1018, 0)), INDEX(Mgt_Unit!$B$5:$B$1018, MATCH(D1401, Mgt_Unit!$C$5:$C$1018, 0)), "")</f>
        <v>jennifer.moore</v>
      </c>
      <c r="C1401" s="28"/>
      <c r="D1401" s="17" t="s">
        <v>1071</v>
      </c>
      <c r="F1401" s="41" t="s">
        <v>1351</v>
      </c>
      <c r="I1401" s="39">
        <v>1.6</v>
      </c>
      <c r="J1401" s="40">
        <v>5.2</v>
      </c>
      <c r="K1401" s="39">
        <v>0.14729999999999999</v>
      </c>
    </row>
    <row r="1402" spans="2:11" x14ac:dyDescent="0.25">
      <c r="B1402" s="28" t="str">
        <f>IF(ISNUMBER(MATCH(D1402, Mgt_Unit!$C$5:$C$1018, 0)), INDEX(Mgt_Unit!$B$5:$B$1018, MATCH(D1402, Mgt_Unit!$C$5:$C$1018, 0)), "")</f>
        <v>jennifer.moore</v>
      </c>
      <c r="C1402" s="28"/>
      <c r="D1402" s="17" t="s">
        <v>1073</v>
      </c>
      <c r="F1402" s="41" t="s">
        <v>1351</v>
      </c>
      <c r="I1402" s="39">
        <v>1.5</v>
      </c>
      <c r="J1402" s="40">
        <v>5.26</v>
      </c>
      <c r="K1402" s="39">
        <v>6.0400000000000002E-2</v>
      </c>
    </row>
    <row r="1403" spans="2:11" x14ac:dyDescent="0.25">
      <c r="B1403" s="28" t="str">
        <f>IF(ISNUMBER(MATCH(D1403, Mgt_Unit!$C$5:$C$1018, 0)), INDEX(Mgt_Unit!$B$5:$B$1018, MATCH(D1403, Mgt_Unit!$C$5:$C$1018, 0)), "")</f>
        <v>jennifer.moore</v>
      </c>
      <c r="C1403" s="28"/>
      <c r="D1403" s="17" t="s">
        <v>1072</v>
      </c>
      <c r="F1403" s="41" t="s">
        <v>1351</v>
      </c>
      <c r="I1403" s="39">
        <v>1.8</v>
      </c>
      <c r="J1403" s="40">
        <v>5.0999999999999996</v>
      </c>
      <c r="K1403" s="39">
        <v>8.7800000000000003E-2</v>
      </c>
    </row>
    <row r="1404" spans="2:11" x14ac:dyDescent="0.25">
      <c r="B1404" s="28" t="str">
        <f>IF(ISNUMBER(MATCH(D1404, Mgt_Unit!$C$5:$C$1018, 0)), INDEX(Mgt_Unit!$B$5:$B$1018, MATCH(D1404, Mgt_Unit!$C$5:$C$1018, 0)), "")</f>
        <v>jennifer.moore</v>
      </c>
      <c r="C1404" s="28"/>
      <c r="D1404" s="17" t="s">
        <v>1071</v>
      </c>
      <c r="F1404" s="41" t="s">
        <v>1351</v>
      </c>
      <c r="I1404" s="39">
        <v>1.7</v>
      </c>
      <c r="J1404" s="40">
        <v>5.0999999999999996</v>
      </c>
      <c r="K1404" s="39">
        <v>0.16189999999999999</v>
      </c>
    </row>
    <row r="1405" spans="2:11" x14ac:dyDescent="0.25">
      <c r="B1405" s="28" t="str">
        <f>IF(ISNUMBER(MATCH(D1405, Mgt_Unit!$C$5:$C$1018, 0)), INDEX(Mgt_Unit!$B$5:$B$1018, MATCH(D1405, Mgt_Unit!$C$5:$C$1018, 0)), "")</f>
        <v>jennifer.moore</v>
      </c>
      <c r="C1405" s="28"/>
      <c r="D1405" s="17" t="s">
        <v>1074</v>
      </c>
      <c r="F1405" s="41" t="s">
        <v>1351</v>
      </c>
      <c r="I1405" s="39">
        <v>1.9</v>
      </c>
      <c r="J1405" s="40">
        <v>5</v>
      </c>
      <c r="K1405" s="39">
        <v>7.4499999999999997E-2</v>
      </c>
    </row>
    <row r="1406" spans="2:11" x14ac:dyDescent="0.25">
      <c r="B1406" s="28" t="str">
        <f>IF(ISNUMBER(MATCH(D1406, Mgt_Unit!$C$5:$C$1018, 0)), INDEX(Mgt_Unit!$B$5:$B$1018, MATCH(D1406, Mgt_Unit!$C$5:$C$1018, 0)), "")</f>
        <v>jennifer.moore</v>
      </c>
      <c r="C1406" s="28"/>
      <c r="D1406" s="17" t="s">
        <v>1073</v>
      </c>
      <c r="F1406" s="41" t="s">
        <v>1351</v>
      </c>
      <c r="I1406" s="39">
        <v>1.7</v>
      </c>
      <c r="J1406" s="40">
        <v>5.13</v>
      </c>
      <c r="K1406" s="39">
        <v>7.5700000000000003E-2</v>
      </c>
    </row>
    <row r="1407" spans="2:11" x14ac:dyDescent="0.25">
      <c r="B1407" s="28" t="str">
        <f>IF(ISNUMBER(MATCH(D1407, Mgt_Unit!$C$5:$C$1018, 0)), INDEX(Mgt_Unit!$B$5:$B$1018, MATCH(D1407, Mgt_Unit!$C$5:$C$1018, 0)), "")</f>
        <v>jennifer.moore</v>
      </c>
      <c r="C1407" s="28"/>
      <c r="D1407" s="17" t="s">
        <v>1075</v>
      </c>
      <c r="F1407" s="41" t="s">
        <v>1351</v>
      </c>
      <c r="I1407" s="39">
        <v>4.8</v>
      </c>
      <c r="J1407" s="40">
        <v>6.11</v>
      </c>
      <c r="K1407" s="39">
        <v>0.112</v>
      </c>
    </row>
    <row r="1408" spans="2:11" x14ac:dyDescent="0.25">
      <c r="B1408" s="28" t="str">
        <f>IF(ISNUMBER(MATCH(D1408, Mgt_Unit!$C$5:$C$1018, 0)), INDEX(Mgt_Unit!$B$5:$B$1018, MATCH(D1408, Mgt_Unit!$C$5:$C$1018, 0)), "")</f>
        <v>jennifer.moore</v>
      </c>
      <c r="C1408" s="28"/>
      <c r="D1408" s="17" t="s">
        <v>1075</v>
      </c>
      <c r="F1408" s="41" t="s">
        <v>1351</v>
      </c>
      <c r="I1408" s="39">
        <v>6</v>
      </c>
      <c r="J1408" s="40">
        <v>5.75</v>
      </c>
      <c r="K1408" s="39">
        <v>0.14499999999999999</v>
      </c>
    </row>
    <row r="1409" spans="2:11" x14ac:dyDescent="0.25">
      <c r="B1409" s="28" t="str">
        <f>IF(ISNUMBER(MATCH(D1409, Mgt_Unit!$C$5:$C$1018, 0)), INDEX(Mgt_Unit!$B$5:$B$1018, MATCH(D1409, Mgt_Unit!$C$5:$C$1018, 0)), "")</f>
        <v>jennifer.moore</v>
      </c>
      <c r="C1409" s="28"/>
      <c r="D1409" s="17" t="s">
        <v>1075</v>
      </c>
      <c r="F1409" s="41" t="s">
        <v>1351</v>
      </c>
      <c r="I1409" s="39">
        <v>4.5</v>
      </c>
      <c r="J1409" s="40">
        <v>5.74</v>
      </c>
      <c r="K1409" s="39">
        <v>0.106</v>
      </c>
    </row>
    <row r="1410" spans="2:11" x14ac:dyDescent="0.25">
      <c r="B1410" s="28" t="str">
        <f>IF(ISNUMBER(MATCH(D1410, Mgt_Unit!$C$5:$C$1018, 0)), INDEX(Mgt_Unit!$B$5:$B$1018, MATCH(D1410, Mgt_Unit!$C$5:$C$1018, 0)), "")</f>
        <v>jennifer.moore</v>
      </c>
      <c r="C1410" s="28"/>
      <c r="D1410" s="17" t="s">
        <v>1075</v>
      </c>
      <c r="F1410" s="41" t="s">
        <v>1351</v>
      </c>
      <c r="I1410" s="39">
        <v>5.5</v>
      </c>
      <c r="J1410" s="40">
        <v>5.89</v>
      </c>
      <c r="K1410" s="39">
        <v>0.107</v>
      </c>
    </row>
    <row r="1411" spans="2:11" x14ac:dyDescent="0.25">
      <c r="B1411" s="28" t="str">
        <f>IF(ISNUMBER(MATCH(D1411, Mgt_Unit!$C$5:$C$1018, 0)), INDEX(Mgt_Unit!$B$5:$B$1018, MATCH(D1411, Mgt_Unit!$C$5:$C$1018, 0)), "")</f>
        <v>jennifer.moore</v>
      </c>
      <c r="C1411" s="28"/>
      <c r="D1411" s="17" t="s">
        <v>1078</v>
      </c>
      <c r="F1411" s="41" t="s">
        <v>1351</v>
      </c>
      <c r="I1411" s="39">
        <v>4.5</v>
      </c>
      <c r="J1411" s="40">
        <v>5.91</v>
      </c>
      <c r="K1411" s="39">
        <v>0.105</v>
      </c>
    </row>
    <row r="1412" spans="2:11" x14ac:dyDescent="0.25">
      <c r="B1412" s="28" t="str">
        <f>IF(ISNUMBER(MATCH(D1412, Mgt_Unit!$C$5:$C$1018, 0)), INDEX(Mgt_Unit!$B$5:$B$1018, MATCH(D1412, Mgt_Unit!$C$5:$C$1018, 0)), "")</f>
        <v>jennifer.moore</v>
      </c>
      <c r="C1412" s="28"/>
      <c r="D1412" s="17" t="s">
        <v>1078</v>
      </c>
      <c r="F1412" s="41" t="s">
        <v>1351</v>
      </c>
      <c r="I1412" s="39">
        <v>4.5999999999999996</v>
      </c>
      <c r="J1412" s="40">
        <v>6.2</v>
      </c>
      <c r="K1412" s="39">
        <v>0.13300000000000001</v>
      </c>
    </row>
    <row r="1413" spans="2:11" x14ac:dyDescent="0.25">
      <c r="B1413" s="28" t="str">
        <f>IF(ISNUMBER(MATCH(D1413, Mgt_Unit!$C$5:$C$1018, 0)), INDEX(Mgt_Unit!$B$5:$B$1018, MATCH(D1413, Mgt_Unit!$C$5:$C$1018, 0)), "")</f>
        <v>jennifer.moore</v>
      </c>
      <c r="C1413" s="28"/>
      <c r="D1413" s="17" t="s">
        <v>1078</v>
      </c>
      <c r="F1413" s="41" t="s">
        <v>1351</v>
      </c>
      <c r="I1413" s="39">
        <v>4.4000000000000004</v>
      </c>
      <c r="J1413" s="40">
        <v>5.8</v>
      </c>
      <c r="K1413" s="39">
        <v>0.109</v>
      </c>
    </row>
    <row r="1414" spans="2:11" x14ac:dyDescent="0.25">
      <c r="B1414" s="28" t="str">
        <f>IF(ISNUMBER(MATCH(D1414, Mgt_Unit!$C$5:$C$1018, 0)), INDEX(Mgt_Unit!$B$5:$B$1018, MATCH(D1414, Mgt_Unit!$C$5:$C$1018, 0)), "")</f>
        <v>jennifer.moore</v>
      </c>
      <c r="C1414" s="28"/>
      <c r="D1414" s="17" t="s">
        <v>1078</v>
      </c>
      <c r="F1414" s="41" t="s">
        <v>1351</v>
      </c>
      <c r="I1414" s="39">
        <v>4.8</v>
      </c>
      <c r="J1414" s="40">
        <v>6.1</v>
      </c>
      <c r="K1414" s="39">
        <v>0.122</v>
      </c>
    </row>
    <row r="1415" spans="2:11" x14ac:dyDescent="0.25">
      <c r="B1415" s="28" t="str">
        <f>IF(ISNUMBER(MATCH(D1415, Mgt_Unit!$C$5:$C$1018, 0)), INDEX(Mgt_Unit!$B$5:$B$1018, MATCH(D1415, Mgt_Unit!$C$5:$C$1018, 0)), "")</f>
        <v>jennifer.moore</v>
      </c>
      <c r="C1415" s="28"/>
      <c r="D1415" s="17" t="s">
        <v>1079</v>
      </c>
      <c r="F1415" s="41" t="s">
        <v>1351</v>
      </c>
      <c r="I1415" s="39">
        <v>4.5999999999999996</v>
      </c>
      <c r="J1415" s="40">
        <v>6.42</v>
      </c>
      <c r="K1415" s="39">
        <v>0.151</v>
      </c>
    </row>
    <row r="1416" spans="2:11" x14ac:dyDescent="0.25">
      <c r="B1416" s="28" t="str">
        <f>IF(ISNUMBER(MATCH(D1416, Mgt_Unit!$C$5:$C$1018, 0)), INDEX(Mgt_Unit!$B$5:$B$1018, MATCH(D1416, Mgt_Unit!$C$5:$C$1018, 0)), "")</f>
        <v>jennifer.moore</v>
      </c>
      <c r="C1416" s="28"/>
      <c r="D1416" s="17" t="s">
        <v>1079</v>
      </c>
      <c r="F1416" s="41" t="s">
        <v>1351</v>
      </c>
      <c r="I1416" s="39">
        <v>4.9000000000000004</v>
      </c>
      <c r="J1416" s="40">
        <v>6.25</v>
      </c>
      <c r="K1416" s="39">
        <v>0.152</v>
      </c>
    </row>
    <row r="1417" spans="2:11" x14ac:dyDescent="0.25">
      <c r="B1417" s="28" t="str">
        <f>IF(ISNUMBER(MATCH(D1417, Mgt_Unit!$C$5:$C$1018, 0)), INDEX(Mgt_Unit!$B$5:$B$1018, MATCH(D1417, Mgt_Unit!$C$5:$C$1018, 0)), "")</f>
        <v>jennifer.moore</v>
      </c>
      <c r="C1417" s="28"/>
      <c r="D1417" s="17" t="s">
        <v>1079</v>
      </c>
      <c r="F1417" s="41" t="s">
        <v>1351</v>
      </c>
      <c r="I1417" s="39">
        <v>5.3</v>
      </c>
      <c r="J1417" s="40">
        <v>6.12</v>
      </c>
      <c r="K1417" s="39">
        <v>0.20300000000000001</v>
      </c>
    </row>
    <row r="1418" spans="2:11" x14ac:dyDescent="0.25">
      <c r="B1418" s="28" t="str">
        <f>IF(ISNUMBER(MATCH(D1418, Mgt_Unit!$C$5:$C$1018, 0)), INDEX(Mgt_Unit!$B$5:$B$1018, MATCH(D1418, Mgt_Unit!$C$5:$C$1018, 0)), "")</f>
        <v>jennifer.moore</v>
      </c>
      <c r="C1418" s="28"/>
      <c r="D1418" s="17" t="s">
        <v>1079</v>
      </c>
      <c r="F1418" s="41" t="s">
        <v>1351</v>
      </c>
      <c r="I1418" s="39">
        <v>4.9000000000000004</v>
      </c>
      <c r="J1418" s="40">
        <v>6.63</v>
      </c>
      <c r="K1418" s="39">
        <v>0.19819999999999999</v>
      </c>
    </row>
    <row r="1419" spans="2:11" x14ac:dyDescent="0.25">
      <c r="B1419" s="28" t="str">
        <f>IF(ISNUMBER(MATCH(D1419, Mgt_Unit!$C$5:$C$1018, 0)), INDEX(Mgt_Unit!$B$5:$B$1018, MATCH(D1419, Mgt_Unit!$C$5:$C$1018, 0)), "")</f>
        <v>jennifer.moore</v>
      </c>
      <c r="C1419" s="28"/>
      <c r="D1419" s="17" t="s">
        <v>1076</v>
      </c>
      <c r="F1419" s="41" t="s">
        <v>1351</v>
      </c>
      <c r="I1419" s="39">
        <v>4.7</v>
      </c>
      <c r="J1419" s="40">
        <v>6.65</v>
      </c>
      <c r="K1419" s="39">
        <v>0.27300000000000002</v>
      </c>
    </row>
    <row r="1420" spans="2:11" x14ac:dyDescent="0.25">
      <c r="B1420" s="28" t="str">
        <f>IF(ISNUMBER(MATCH(D1420, Mgt_Unit!$C$5:$C$1018, 0)), INDEX(Mgt_Unit!$B$5:$B$1018, MATCH(D1420, Mgt_Unit!$C$5:$C$1018, 0)), "")</f>
        <v>jennifer.moore</v>
      </c>
      <c r="C1420" s="28"/>
      <c r="D1420" s="17" t="s">
        <v>1076</v>
      </c>
      <c r="F1420" s="41" t="s">
        <v>1351</v>
      </c>
      <c r="I1420" s="39">
        <v>5.4</v>
      </c>
      <c r="J1420" s="40">
        <v>6.57</v>
      </c>
      <c r="K1420" s="39">
        <v>0.23400000000000001</v>
      </c>
    </row>
    <row r="1421" spans="2:11" x14ac:dyDescent="0.25">
      <c r="B1421" s="28" t="str">
        <f>IF(ISNUMBER(MATCH(D1421, Mgt_Unit!$C$5:$C$1018, 0)), INDEX(Mgt_Unit!$B$5:$B$1018, MATCH(D1421, Mgt_Unit!$C$5:$C$1018, 0)), "")</f>
        <v>jennifer.moore</v>
      </c>
      <c r="C1421" s="28"/>
      <c r="D1421" s="17" t="s">
        <v>1076</v>
      </c>
      <c r="F1421" s="41" t="s">
        <v>1351</v>
      </c>
      <c r="I1421" s="39">
        <v>5.6</v>
      </c>
      <c r="J1421" s="40">
        <v>6.88</v>
      </c>
      <c r="K1421" s="39">
        <v>0.28499999999999998</v>
      </c>
    </row>
    <row r="1422" spans="2:11" x14ac:dyDescent="0.25">
      <c r="B1422" s="28" t="str">
        <f>IF(ISNUMBER(MATCH(D1422, Mgt_Unit!$C$5:$C$1018, 0)), INDEX(Mgt_Unit!$B$5:$B$1018, MATCH(D1422, Mgt_Unit!$C$5:$C$1018, 0)), "")</f>
        <v>jennifer.moore</v>
      </c>
      <c r="C1422" s="28"/>
      <c r="D1422" s="17" t="s">
        <v>1076</v>
      </c>
      <c r="F1422" s="41" t="s">
        <v>1351</v>
      </c>
      <c r="I1422" s="39">
        <v>5.8</v>
      </c>
      <c r="J1422" s="40">
        <v>6.73</v>
      </c>
      <c r="K1422" s="39">
        <v>0.36399999999999999</v>
      </c>
    </row>
    <row r="1423" spans="2:11" x14ac:dyDescent="0.25">
      <c r="B1423" s="28" t="str">
        <f>IF(ISNUMBER(MATCH(D1423, Mgt_Unit!$C$5:$C$1018, 0)), INDEX(Mgt_Unit!$B$5:$B$1018, MATCH(D1423, Mgt_Unit!$C$5:$C$1018, 0)), "")</f>
        <v>jennifer.moore</v>
      </c>
      <c r="C1423" s="28"/>
      <c r="D1423" s="17" t="s">
        <v>1077</v>
      </c>
      <c r="F1423" s="41" t="s">
        <v>1351</v>
      </c>
      <c r="I1423" s="39">
        <v>4.9000000000000004</v>
      </c>
      <c r="J1423" s="40">
        <v>6.64</v>
      </c>
      <c r="K1423" s="39">
        <v>0.24099999999999999</v>
      </c>
    </row>
    <row r="1424" spans="2:11" x14ac:dyDescent="0.25">
      <c r="B1424" s="28" t="str">
        <f>IF(ISNUMBER(MATCH(D1424, Mgt_Unit!$C$5:$C$1018, 0)), INDEX(Mgt_Unit!$B$5:$B$1018, MATCH(D1424, Mgt_Unit!$C$5:$C$1018, 0)), "")</f>
        <v>jennifer.moore</v>
      </c>
      <c r="C1424" s="28"/>
      <c r="D1424" s="17" t="s">
        <v>1077</v>
      </c>
      <c r="F1424" s="41" t="s">
        <v>1351</v>
      </c>
      <c r="I1424" s="39">
        <v>6.7</v>
      </c>
      <c r="J1424" s="40">
        <v>6.72</v>
      </c>
      <c r="K1424" s="39">
        <v>0.39100000000000001</v>
      </c>
    </row>
    <row r="1425" spans="2:11" x14ac:dyDescent="0.25">
      <c r="B1425" s="28" t="str">
        <f>IF(ISNUMBER(MATCH(D1425, Mgt_Unit!$C$5:$C$1018, 0)), INDEX(Mgt_Unit!$B$5:$B$1018, MATCH(D1425, Mgt_Unit!$C$5:$C$1018, 0)), "")</f>
        <v>jennifer.moore</v>
      </c>
      <c r="C1425" s="28"/>
      <c r="D1425" s="17" t="s">
        <v>1077</v>
      </c>
      <c r="F1425" s="41" t="s">
        <v>1351</v>
      </c>
      <c r="I1425" s="39">
        <v>5.0999999999999996</v>
      </c>
      <c r="J1425" s="40">
        <v>6.7</v>
      </c>
      <c r="K1425" s="39">
        <v>0.26900000000000002</v>
      </c>
    </row>
    <row r="1426" spans="2:11" x14ac:dyDescent="0.25">
      <c r="B1426" s="28" t="str">
        <f>IF(ISNUMBER(MATCH(D1426, Mgt_Unit!$C$5:$C$1018, 0)), INDEX(Mgt_Unit!$B$5:$B$1018, MATCH(D1426, Mgt_Unit!$C$5:$C$1018, 0)), "")</f>
        <v>jennifer.moore</v>
      </c>
      <c r="C1426" s="28"/>
      <c r="D1426" s="17" t="s">
        <v>1341</v>
      </c>
      <c r="F1426" s="41" t="s">
        <v>1351</v>
      </c>
      <c r="I1426" s="39">
        <v>5.7</v>
      </c>
      <c r="J1426" s="40">
        <v>5.87</v>
      </c>
      <c r="K1426" s="39">
        <v>0.28699999999999998</v>
      </c>
    </row>
    <row r="1427" spans="2:11" x14ac:dyDescent="0.25">
      <c r="B1427" s="28" t="str">
        <f>IF(ISNUMBER(MATCH(D1427, Mgt_Unit!$C$5:$C$1018, 0)), INDEX(Mgt_Unit!$B$5:$B$1018, MATCH(D1427, Mgt_Unit!$C$5:$C$1018, 0)), "")</f>
        <v>jennifer.moore</v>
      </c>
      <c r="C1427" s="28"/>
      <c r="D1427" s="17" t="s">
        <v>1341</v>
      </c>
      <c r="F1427" s="41" t="s">
        <v>1351</v>
      </c>
      <c r="I1427" s="39">
        <v>8</v>
      </c>
      <c r="J1427" s="40">
        <v>5.96</v>
      </c>
      <c r="K1427" s="39">
        <v>0.314</v>
      </c>
    </row>
    <row r="1428" spans="2:11" x14ac:dyDescent="0.25">
      <c r="B1428" s="28" t="str">
        <f>IF(ISNUMBER(MATCH(D1428, Mgt_Unit!$C$5:$C$1018, 0)), INDEX(Mgt_Unit!$B$5:$B$1018, MATCH(D1428, Mgt_Unit!$C$5:$C$1018, 0)), "")</f>
        <v>jennifer.moore</v>
      </c>
      <c r="C1428" s="28"/>
      <c r="D1428" s="17" t="s">
        <v>1341</v>
      </c>
      <c r="F1428" s="41" t="s">
        <v>1351</v>
      </c>
      <c r="I1428" s="39">
        <v>5.8</v>
      </c>
      <c r="J1428" s="40">
        <v>5.72</v>
      </c>
      <c r="K1428" s="39">
        <v>0.312</v>
      </c>
    </row>
    <row r="1429" spans="2:11" x14ac:dyDescent="0.25">
      <c r="B1429" s="28" t="str">
        <f>IF(ISNUMBER(MATCH(D1429, Mgt_Unit!$C$5:$C$1018, 0)), INDEX(Mgt_Unit!$B$5:$B$1018, MATCH(D1429, Mgt_Unit!$C$5:$C$1018, 0)), "")</f>
        <v>jennifer.moore</v>
      </c>
      <c r="C1429" s="28"/>
      <c r="D1429" s="17" t="s">
        <v>1341</v>
      </c>
      <c r="F1429" s="41" t="s">
        <v>1351</v>
      </c>
      <c r="I1429" s="39">
        <v>6.8</v>
      </c>
      <c r="J1429" s="40">
        <v>6.21</v>
      </c>
      <c r="K1429" s="39">
        <v>0.33900000000000002</v>
      </c>
    </row>
    <row r="1430" spans="2:11" x14ac:dyDescent="0.25">
      <c r="B1430" s="28" t="str">
        <f>IF(ISNUMBER(MATCH(D1430, Mgt_Unit!$C$5:$C$1018, 0)), INDEX(Mgt_Unit!$B$5:$B$1018, MATCH(D1430, Mgt_Unit!$C$5:$C$1018, 0)), "")</f>
        <v>jennifer.moore</v>
      </c>
      <c r="C1430" s="28"/>
      <c r="D1430" s="17" t="s">
        <v>1342</v>
      </c>
      <c r="F1430" s="41" t="s">
        <v>1351</v>
      </c>
      <c r="I1430" s="39">
        <v>4.9000000000000004</v>
      </c>
      <c r="J1430" s="40">
        <v>6.91</v>
      </c>
      <c r="K1430" s="39">
        <v>0.16200000000000001</v>
      </c>
    </row>
    <row r="1431" spans="2:11" x14ac:dyDescent="0.25">
      <c r="B1431" s="28" t="str">
        <f>IF(ISNUMBER(MATCH(D1431, Mgt_Unit!$C$5:$C$1018, 0)), INDEX(Mgt_Unit!$B$5:$B$1018, MATCH(D1431, Mgt_Unit!$C$5:$C$1018, 0)), "")</f>
        <v>jennifer.moore</v>
      </c>
      <c r="C1431" s="28"/>
      <c r="D1431" s="17" t="s">
        <v>1342</v>
      </c>
      <c r="F1431" s="41" t="s">
        <v>1351</v>
      </c>
      <c r="I1431" s="39">
        <v>5.3</v>
      </c>
      <c r="J1431" s="40">
        <v>6.36</v>
      </c>
      <c r="K1431" s="39">
        <v>0.191</v>
      </c>
    </row>
    <row r="1432" spans="2:11" x14ac:dyDescent="0.25">
      <c r="B1432" s="28" t="str">
        <f>IF(ISNUMBER(MATCH(D1432, Mgt_Unit!$C$5:$C$1018, 0)), INDEX(Mgt_Unit!$B$5:$B$1018, MATCH(D1432, Mgt_Unit!$C$5:$C$1018, 0)), "")</f>
        <v>jennifer.moore</v>
      </c>
      <c r="C1432" s="28"/>
      <c r="D1432" s="17" t="s">
        <v>1342</v>
      </c>
      <c r="F1432" s="41" t="s">
        <v>1351</v>
      </c>
      <c r="I1432" s="39">
        <v>5.6</v>
      </c>
      <c r="J1432" s="40">
        <v>6.36</v>
      </c>
      <c r="K1432" s="39">
        <v>0.14299999999999999</v>
      </c>
    </row>
    <row r="1433" spans="2:11" x14ac:dyDescent="0.25">
      <c r="B1433" s="28" t="str">
        <f>IF(ISNUMBER(MATCH(D1433, Mgt_Unit!$C$5:$C$1018, 0)), INDEX(Mgt_Unit!$B$5:$B$1018, MATCH(D1433, Mgt_Unit!$C$5:$C$1018, 0)), "")</f>
        <v>jennifer.moore</v>
      </c>
      <c r="C1433" s="28"/>
      <c r="D1433" s="17" t="s">
        <v>1343</v>
      </c>
      <c r="F1433" s="41" t="s">
        <v>1351</v>
      </c>
      <c r="I1433" s="39">
        <v>5.5</v>
      </c>
      <c r="J1433" s="40">
        <v>6.33</v>
      </c>
      <c r="K1433" s="39">
        <v>0.151</v>
      </c>
    </row>
    <row r="1434" spans="2:11" x14ac:dyDescent="0.25">
      <c r="B1434" s="28" t="str">
        <f>IF(ISNUMBER(MATCH(D1434, Mgt_Unit!$C$5:$C$1018, 0)), INDEX(Mgt_Unit!$B$5:$B$1018, MATCH(D1434, Mgt_Unit!$C$5:$C$1018, 0)), "")</f>
        <v>jennifer.moore</v>
      </c>
      <c r="C1434" s="28"/>
      <c r="D1434" s="17" t="s">
        <v>1343</v>
      </c>
      <c r="F1434" s="41" t="s">
        <v>1351</v>
      </c>
      <c r="I1434" s="39">
        <v>6.1</v>
      </c>
      <c r="J1434" s="40">
        <v>6.57</v>
      </c>
      <c r="K1434" s="39">
        <v>0.14399999999999999</v>
      </c>
    </row>
    <row r="1435" spans="2:11" x14ac:dyDescent="0.25">
      <c r="B1435" s="28" t="str">
        <f>IF(ISNUMBER(MATCH(D1435, Mgt_Unit!$C$5:$C$1018, 0)), INDEX(Mgt_Unit!$B$5:$B$1018, MATCH(D1435, Mgt_Unit!$C$5:$C$1018, 0)), "")</f>
        <v>jennifer.moore</v>
      </c>
      <c r="C1435" s="28"/>
      <c r="D1435" s="17" t="s">
        <v>1343</v>
      </c>
      <c r="F1435" s="41" t="s">
        <v>1351</v>
      </c>
      <c r="I1435" s="39">
        <v>5.7</v>
      </c>
      <c r="J1435" s="40">
        <v>6.63</v>
      </c>
      <c r="K1435" s="39">
        <v>0.16400000000000001</v>
      </c>
    </row>
    <row r="1436" spans="2:11" x14ac:dyDescent="0.25">
      <c r="B1436" s="28" t="str">
        <f>IF(ISNUMBER(MATCH(D1436, Mgt_Unit!$C$5:$C$1018, 0)), INDEX(Mgt_Unit!$B$5:$B$1018, MATCH(D1436, Mgt_Unit!$C$5:$C$1018, 0)), "")</f>
        <v>jennifer.moore</v>
      </c>
      <c r="C1436" s="28"/>
      <c r="D1436" s="17" t="s">
        <v>1344</v>
      </c>
      <c r="F1436" s="41" t="s">
        <v>1351</v>
      </c>
      <c r="I1436" s="39">
        <v>4.5</v>
      </c>
      <c r="J1436" s="40">
        <v>6.67</v>
      </c>
      <c r="K1436" s="39">
        <v>0.126</v>
      </c>
    </row>
    <row r="1437" spans="2:11" x14ac:dyDescent="0.25">
      <c r="B1437" s="28" t="str">
        <f>IF(ISNUMBER(MATCH(D1437, Mgt_Unit!$C$5:$C$1018, 0)), INDEX(Mgt_Unit!$B$5:$B$1018, MATCH(D1437, Mgt_Unit!$C$5:$C$1018, 0)), "")</f>
        <v>jennifer.moore</v>
      </c>
      <c r="C1437" s="28"/>
      <c r="D1437" s="17" t="s">
        <v>1344</v>
      </c>
      <c r="F1437" s="41" t="s">
        <v>1351</v>
      </c>
      <c r="I1437" s="39">
        <v>4.5</v>
      </c>
      <c r="J1437" s="40">
        <v>6.65</v>
      </c>
      <c r="K1437" s="39">
        <v>0.14599999999999999</v>
      </c>
    </row>
    <row r="1438" spans="2:11" x14ac:dyDescent="0.25">
      <c r="B1438" s="28" t="str">
        <f>IF(ISNUMBER(MATCH(D1438, Mgt_Unit!$C$5:$C$1018, 0)), INDEX(Mgt_Unit!$B$5:$B$1018, MATCH(D1438, Mgt_Unit!$C$5:$C$1018, 0)), "")</f>
        <v>jennifer.moore</v>
      </c>
      <c r="C1438" s="28"/>
      <c r="D1438" s="17" t="s">
        <v>1344</v>
      </c>
      <c r="F1438" s="41" t="s">
        <v>1351</v>
      </c>
      <c r="I1438" s="39">
        <v>5.6</v>
      </c>
      <c r="J1438" s="40">
        <v>6.67</v>
      </c>
      <c r="K1438" s="39">
        <v>0.155</v>
      </c>
    </row>
    <row r="1439" spans="2:11" x14ac:dyDescent="0.25">
      <c r="B1439" s="28" t="str">
        <f>IF(ISNUMBER(MATCH(D1439, Mgt_Unit!$C$5:$C$1018, 0)), INDEX(Mgt_Unit!$B$5:$B$1018, MATCH(D1439, Mgt_Unit!$C$5:$C$1018, 0)), "")</f>
        <v>jennifer.moore</v>
      </c>
      <c r="C1439" s="28"/>
      <c r="D1439" s="17" t="s">
        <v>1077</v>
      </c>
      <c r="F1439" s="41" t="s">
        <v>1351</v>
      </c>
      <c r="I1439" s="39">
        <v>5.4</v>
      </c>
      <c r="J1439" s="40">
        <v>6.61</v>
      </c>
      <c r="K1439" s="39">
        <v>0.28999999999999998</v>
      </c>
    </row>
    <row r="1440" spans="2:11" x14ac:dyDescent="0.25">
      <c r="B1440" s="28" t="str">
        <f>IF(ISNUMBER(MATCH(D1440, Mgt_Unit!$C$5:$C$1018, 0)), INDEX(Mgt_Unit!$B$5:$B$1018, MATCH(D1440, Mgt_Unit!$C$5:$C$1018, 0)), "")</f>
        <v>jennifer.moore</v>
      </c>
      <c r="C1440" s="28"/>
      <c r="D1440" s="17" t="s">
        <v>1345</v>
      </c>
      <c r="F1440" s="41" t="s">
        <v>1351</v>
      </c>
      <c r="I1440" s="39">
        <v>4.4000000000000004</v>
      </c>
      <c r="J1440" s="40">
        <v>5.48</v>
      </c>
      <c r="K1440" s="39">
        <v>0.1071</v>
      </c>
    </row>
    <row r="1441" spans="2:11" x14ac:dyDescent="0.25">
      <c r="B1441" s="28" t="str">
        <f>IF(ISNUMBER(MATCH(D1441, Mgt_Unit!$C$5:$C$1018, 0)), INDEX(Mgt_Unit!$B$5:$B$1018, MATCH(D1441, Mgt_Unit!$C$5:$C$1018, 0)), "")</f>
        <v>jennifer.moore</v>
      </c>
      <c r="C1441" s="28"/>
      <c r="D1441" s="17" t="s">
        <v>1346</v>
      </c>
      <c r="F1441" s="41" t="s">
        <v>1351</v>
      </c>
      <c r="I1441" s="39">
        <v>4.0999999999999996</v>
      </c>
      <c r="J1441" s="40">
        <v>6.24</v>
      </c>
      <c r="K1441" s="39">
        <v>0.1971</v>
      </c>
    </row>
    <row r="1442" spans="2:11" x14ac:dyDescent="0.25">
      <c r="B1442" s="28" t="str">
        <f>IF(ISNUMBER(MATCH(D1442, Mgt_Unit!$C$5:$C$1018, 0)), INDEX(Mgt_Unit!$B$5:$B$1018, MATCH(D1442, Mgt_Unit!$C$5:$C$1018, 0)), "")</f>
        <v>jennifer.moore</v>
      </c>
      <c r="C1442" s="28"/>
      <c r="D1442" s="17" t="s">
        <v>1347</v>
      </c>
      <c r="F1442" s="41" t="s">
        <v>1351</v>
      </c>
      <c r="I1442" s="39">
        <v>4.4000000000000004</v>
      </c>
      <c r="J1442" s="40">
        <v>5.5</v>
      </c>
      <c r="K1442" s="39">
        <v>0.11070000000000001</v>
      </c>
    </row>
    <row r="1443" spans="2:11" x14ac:dyDescent="0.25">
      <c r="B1443" s="28" t="str">
        <f>IF(ISNUMBER(MATCH(D1443, Mgt_Unit!$C$5:$C$1018, 0)), INDEX(Mgt_Unit!$B$5:$B$1018, MATCH(D1443, Mgt_Unit!$C$5:$C$1018, 0)), "")</f>
        <v>jennifer.moore</v>
      </c>
      <c r="C1443" s="28"/>
      <c r="D1443" s="17" t="s">
        <v>1348</v>
      </c>
      <c r="F1443" s="41" t="s">
        <v>1351</v>
      </c>
      <c r="I1443" s="39">
        <v>4</v>
      </c>
      <c r="J1443" s="40">
        <v>5.55</v>
      </c>
      <c r="K1443" s="39">
        <v>9.8100000000000007E-2</v>
      </c>
    </row>
    <row r="1444" spans="2:11" x14ac:dyDescent="0.25">
      <c r="B1444" s="28" t="str">
        <f>IF(ISNUMBER(MATCH(D1444, Mgt_Unit!$C$5:$C$1018, 0)), INDEX(Mgt_Unit!$B$5:$B$1018, MATCH(D1444, Mgt_Unit!$C$5:$C$1018, 0)), "")</f>
        <v>jennifer.moore</v>
      </c>
      <c r="C1444" s="28"/>
      <c r="D1444" s="17" t="s">
        <v>1347</v>
      </c>
      <c r="F1444" s="41" t="s">
        <v>1351</v>
      </c>
      <c r="I1444" s="39">
        <v>4.9000000000000004</v>
      </c>
      <c r="J1444" s="40">
        <v>5.38</v>
      </c>
      <c r="K1444" s="39">
        <v>0.1173</v>
      </c>
    </row>
    <row r="1445" spans="2:11" x14ac:dyDescent="0.25">
      <c r="B1445" s="28" t="str">
        <f>IF(ISNUMBER(MATCH(D1445, Mgt_Unit!$C$5:$C$1018, 0)), INDEX(Mgt_Unit!$B$5:$B$1018, MATCH(D1445, Mgt_Unit!$C$5:$C$1018, 0)), "")</f>
        <v>jennifer.moore</v>
      </c>
      <c r="C1445" s="28"/>
      <c r="D1445" s="17" t="s">
        <v>1347</v>
      </c>
      <c r="F1445" s="41" t="s">
        <v>1351</v>
      </c>
      <c r="I1445" s="39">
        <v>5</v>
      </c>
      <c r="J1445" s="40">
        <v>4.96</v>
      </c>
      <c r="K1445" s="39">
        <v>9.2999999999999999E-2</v>
      </c>
    </row>
    <row r="1446" spans="2:11" x14ac:dyDescent="0.25">
      <c r="B1446" s="28" t="str">
        <f>IF(ISNUMBER(MATCH(D1446, Mgt_Unit!$C$5:$C$1018, 0)), INDEX(Mgt_Unit!$B$5:$B$1018, MATCH(D1446, Mgt_Unit!$C$5:$C$1018, 0)), "")</f>
        <v>jennifer.moore</v>
      </c>
      <c r="C1446" s="28"/>
      <c r="D1446" s="17" t="s">
        <v>1347</v>
      </c>
      <c r="F1446" s="41" t="s">
        <v>1351</v>
      </c>
      <c r="I1446" s="39">
        <v>4.9000000000000004</v>
      </c>
      <c r="J1446" s="40">
        <v>5.39</v>
      </c>
      <c r="K1446" s="39">
        <v>0.13139999999999999</v>
      </c>
    </row>
    <row r="1447" spans="2:11" x14ac:dyDescent="0.25">
      <c r="B1447" s="28" t="str">
        <f>IF(ISNUMBER(MATCH(D1447, Mgt_Unit!$C$5:$C$1018, 0)), INDEX(Mgt_Unit!$B$5:$B$1018, MATCH(D1447, Mgt_Unit!$C$5:$C$1018, 0)), "")</f>
        <v>jennifer.moore</v>
      </c>
      <c r="C1447" s="28"/>
      <c r="D1447" s="17" t="s">
        <v>1346</v>
      </c>
      <c r="F1447" s="41" t="s">
        <v>1351</v>
      </c>
      <c r="I1447" s="39">
        <v>6</v>
      </c>
      <c r="J1447" s="40">
        <v>5.72</v>
      </c>
      <c r="K1447" s="39">
        <v>0.15040000000000001</v>
      </c>
    </row>
    <row r="1448" spans="2:11" x14ac:dyDescent="0.25">
      <c r="B1448" s="28" t="str">
        <f>IF(ISNUMBER(MATCH(D1448, Mgt_Unit!$C$5:$C$1018, 0)), INDEX(Mgt_Unit!$B$5:$B$1018, MATCH(D1448, Mgt_Unit!$C$5:$C$1018, 0)), "")</f>
        <v>jennifer.moore</v>
      </c>
      <c r="C1448" s="28"/>
      <c r="D1448" s="17" t="s">
        <v>1346</v>
      </c>
      <c r="F1448" s="41" t="s">
        <v>1351</v>
      </c>
      <c r="I1448" s="39">
        <v>5</v>
      </c>
      <c r="J1448" s="40">
        <v>5.55</v>
      </c>
      <c r="K1448" s="39">
        <v>0.1159</v>
      </c>
    </row>
    <row r="1449" spans="2:11" x14ac:dyDescent="0.25">
      <c r="B1449" s="28" t="str">
        <f>IF(ISNUMBER(MATCH(D1449, Mgt_Unit!$C$5:$C$1018, 0)), INDEX(Mgt_Unit!$B$5:$B$1018, MATCH(D1449, Mgt_Unit!$C$5:$C$1018, 0)), "")</f>
        <v>jennifer.moore</v>
      </c>
      <c r="C1449" s="28"/>
      <c r="D1449" s="17" t="s">
        <v>1345</v>
      </c>
      <c r="F1449" s="41" t="s">
        <v>1351</v>
      </c>
      <c r="I1449" s="39">
        <v>4.8</v>
      </c>
      <c r="J1449" s="40">
        <v>5.33</v>
      </c>
      <c r="K1449" s="39">
        <v>9.6100000000000005E-2</v>
      </c>
    </row>
    <row r="1450" spans="2:11" x14ac:dyDescent="0.25">
      <c r="B1450" s="28" t="str">
        <f>IF(ISNUMBER(MATCH(D1450, Mgt_Unit!$C$5:$C$1018, 0)), INDEX(Mgt_Unit!$B$5:$B$1018, MATCH(D1450, Mgt_Unit!$C$5:$C$1018, 0)), "")</f>
        <v>jennifer.moore</v>
      </c>
      <c r="C1450" s="28"/>
      <c r="D1450" s="17" t="s">
        <v>1348</v>
      </c>
      <c r="F1450" s="41" t="s">
        <v>1351</v>
      </c>
      <c r="I1450" s="39">
        <v>4.8</v>
      </c>
      <c r="J1450" s="40">
        <v>5.43</v>
      </c>
      <c r="K1450" s="39">
        <v>0.10829999999999999</v>
      </c>
    </row>
    <row r="1451" spans="2:11" x14ac:dyDescent="0.25">
      <c r="B1451" s="28" t="str">
        <f>IF(ISNUMBER(MATCH(D1451, Mgt_Unit!$C$5:$C$1018, 0)), INDEX(Mgt_Unit!$B$5:$B$1018, MATCH(D1451, Mgt_Unit!$C$5:$C$1018, 0)), "")</f>
        <v>jennifer.moore</v>
      </c>
      <c r="C1451" s="28"/>
      <c r="D1451" s="17" t="s">
        <v>1348</v>
      </c>
      <c r="F1451" s="41" t="s">
        <v>1351</v>
      </c>
      <c r="I1451" s="39">
        <v>4.5999999999999996</v>
      </c>
      <c r="J1451" s="40">
        <v>5.51</v>
      </c>
      <c r="K1451" s="39">
        <v>0.10780000000000001</v>
      </c>
    </row>
    <row r="1452" spans="2:11" x14ac:dyDescent="0.25">
      <c r="B1452" s="28" t="str">
        <f>IF(ISNUMBER(MATCH(D1452, Mgt_Unit!$C$5:$C$1018, 0)), INDEX(Mgt_Unit!$B$5:$B$1018, MATCH(D1452, Mgt_Unit!$C$5:$C$1018, 0)), "")</f>
        <v>jennifer.moore</v>
      </c>
      <c r="C1452" s="28"/>
      <c r="D1452" s="17" t="s">
        <v>1349</v>
      </c>
      <c r="F1452" s="41" t="s">
        <v>1351</v>
      </c>
      <c r="I1452" s="39">
        <v>3.3</v>
      </c>
      <c r="J1452" s="40">
        <v>6.2</v>
      </c>
      <c r="K1452" s="39">
        <v>9.3600000000000003E-2</v>
      </c>
    </row>
    <row r="1453" spans="2:11" x14ac:dyDescent="0.25">
      <c r="B1453" s="28"/>
      <c r="C1453" s="28"/>
      <c r="F1453" s="41"/>
    </row>
    <row r="1454" spans="2:11" x14ac:dyDescent="0.25">
      <c r="B1454" s="28"/>
      <c r="C1454" s="28"/>
      <c r="F1454" s="41"/>
    </row>
    <row r="1455" spans="2:11" x14ac:dyDescent="0.25">
      <c r="B1455" s="28"/>
      <c r="C1455" s="28"/>
      <c r="F1455" s="41"/>
    </row>
    <row r="1456" spans="2:11" x14ac:dyDescent="0.25">
      <c r="B1456" s="28"/>
      <c r="C1456" s="28"/>
      <c r="F1456" s="41"/>
    </row>
    <row r="1457" spans="2:6" x14ac:dyDescent="0.25">
      <c r="B1457" s="28"/>
      <c r="C1457" s="28"/>
      <c r="F1457" s="41"/>
    </row>
  </sheetData>
  <sheetProtection formatColumns="0"/>
  <autoFilter ref="B4:L4" xr:uid="{4D033082-3A97-4E0D-AFAF-8242D6994D82}"/>
  <phoneticPr fontId="5" type="noConversion"/>
  <dataValidations count="1">
    <dataValidation type="list" allowBlank="1" showInputMessage="1" showErrorMessage="1" sqref="D5:D1004" xr:uid="{9FD6B502-623A-401F-AC32-A8ED4DC76951}">
      <formula1>MgtUnit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7"/>
  <sheetViews>
    <sheetView topLeftCell="I1" zoomScale="82" zoomScaleNormal="70" workbookViewId="0">
      <selection activeCell="R4" sqref="R4"/>
    </sheetView>
  </sheetViews>
  <sheetFormatPr defaultRowHeight="15" x14ac:dyDescent="0.25"/>
  <cols>
    <col min="1" max="1" width="12.5703125" bestFit="1" customWidth="1"/>
    <col min="2" max="2" width="15.140625" bestFit="1" customWidth="1"/>
    <col min="3" max="3" width="15.140625" customWidth="1"/>
    <col min="4" max="4" width="19.140625" customWidth="1"/>
    <col min="5" max="5" width="23" bestFit="1" customWidth="1"/>
    <col min="6" max="6" width="23" customWidth="1"/>
    <col min="7" max="7" width="19.42578125" bestFit="1" customWidth="1"/>
    <col min="8" max="8" width="17.140625" bestFit="1" customWidth="1"/>
    <col min="9" max="9" width="17.140625" customWidth="1"/>
    <col min="10" max="10" width="15.140625" bestFit="1" customWidth="1"/>
    <col min="11" max="11" width="20.85546875" bestFit="1" customWidth="1"/>
    <col min="12" max="12" width="19.7109375" bestFit="1" customWidth="1"/>
    <col min="13" max="13" width="18.85546875" bestFit="1" customWidth="1"/>
    <col min="14" max="14" width="17.85546875" bestFit="1" customWidth="1"/>
    <col min="15" max="15" width="21.85546875" bestFit="1" customWidth="1"/>
    <col min="16" max="16" width="20" bestFit="1" customWidth="1"/>
    <col min="17" max="17" width="18" bestFit="1" customWidth="1"/>
    <col min="18" max="18" width="22" bestFit="1" customWidth="1"/>
    <col min="19" max="19" width="22" customWidth="1"/>
    <col min="20" max="20" width="21.140625" bestFit="1" customWidth="1"/>
    <col min="21" max="21" width="21.140625" customWidth="1"/>
    <col min="22" max="22" width="18.42578125" bestFit="1" customWidth="1"/>
    <col min="23" max="23" width="18.42578125" customWidth="1"/>
    <col min="24" max="24" width="16" bestFit="1" customWidth="1"/>
    <col min="25" max="25" width="22.140625" customWidth="1"/>
    <col min="26" max="26" width="16.140625" bestFit="1" customWidth="1"/>
    <col min="27" max="27" width="19.42578125" bestFit="1" customWidth="1"/>
    <col min="28" max="28" width="22.5703125" bestFit="1" customWidth="1"/>
    <col min="29" max="29" width="20.85546875" bestFit="1" customWidth="1"/>
    <col min="30" max="30" width="23.85546875" bestFit="1" customWidth="1"/>
    <col min="31" max="31" width="21.140625" bestFit="1" customWidth="1"/>
    <col min="32" max="32" width="20.28515625" bestFit="1" customWidth="1"/>
    <col min="33" max="33" width="21.85546875" bestFit="1" customWidth="1"/>
    <col min="34" max="34" width="21.85546875" customWidth="1"/>
    <col min="35" max="36" width="17.28515625" customWidth="1"/>
    <col min="37" max="37" width="23.5703125" bestFit="1" customWidth="1"/>
    <col min="38" max="38" width="17.42578125" bestFit="1" customWidth="1"/>
    <col min="39" max="39" width="26.85546875" bestFit="1" customWidth="1"/>
    <col min="40" max="40" width="18.42578125" bestFit="1" customWidth="1"/>
    <col min="41" max="41" width="21.5703125" bestFit="1" customWidth="1"/>
    <col min="42" max="42" width="30" bestFit="1" customWidth="1"/>
    <col min="43" max="43" width="22.140625" bestFit="1" customWidth="1"/>
    <col min="44" max="44" width="22.42578125" bestFit="1" customWidth="1"/>
  </cols>
  <sheetData>
    <row r="1" spans="1:44" x14ac:dyDescent="0.25">
      <c r="A1" s="1" t="s">
        <v>422</v>
      </c>
      <c r="B1" s="1" t="s">
        <v>423</v>
      </c>
      <c r="C1" s="1" t="s">
        <v>424</v>
      </c>
      <c r="D1" s="1" t="s">
        <v>467</v>
      </c>
      <c r="E1" s="1" t="s">
        <v>469</v>
      </c>
      <c r="F1" s="1" t="s">
        <v>457</v>
      </c>
      <c r="G1" s="1" t="s">
        <v>451</v>
      </c>
      <c r="H1" s="1" t="s">
        <v>425</v>
      </c>
      <c r="I1" s="1" t="s">
        <v>624</v>
      </c>
      <c r="J1" s="1" t="s">
        <v>458</v>
      </c>
      <c r="K1" s="1" t="s">
        <v>459</v>
      </c>
      <c r="L1" s="1" t="s">
        <v>460</v>
      </c>
      <c r="M1" s="1" t="s">
        <v>461</v>
      </c>
      <c r="N1" s="1" t="s">
        <v>462</v>
      </c>
      <c r="O1" s="1" t="s">
        <v>463</v>
      </c>
      <c r="P1" s="1" t="s">
        <v>464</v>
      </c>
      <c r="Q1" s="1" t="s">
        <v>465</v>
      </c>
      <c r="R1" s="1" t="s">
        <v>466</v>
      </c>
      <c r="S1" s="1" t="s">
        <v>443</v>
      </c>
      <c r="T1" s="1" t="s">
        <v>367</v>
      </c>
      <c r="U1" s="1" t="s">
        <v>493</v>
      </c>
      <c r="V1" s="1" t="s">
        <v>426</v>
      </c>
      <c r="W1" s="1" t="s">
        <v>538</v>
      </c>
      <c r="X1" s="1" t="s">
        <v>427</v>
      </c>
      <c r="Y1" s="1" t="s">
        <v>365</v>
      </c>
      <c r="Z1" s="1" t="s">
        <v>444</v>
      </c>
      <c r="AA1" s="1" t="s">
        <v>445</v>
      </c>
      <c r="AB1" s="1" t="s">
        <v>428</v>
      </c>
      <c r="AC1" s="1" t="s">
        <v>429</v>
      </c>
      <c r="AD1" s="1" t="s">
        <v>430</v>
      </c>
      <c r="AE1" s="1" t="s">
        <v>431</v>
      </c>
      <c r="AF1" s="1" t="s">
        <v>432</v>
      </c>
      <c r="AG1" s="1" t="s">
        <v>433</v>
      </c>
      <c r="AH1" s="1" t="s">
        <v>434</v>
      </c>
      <c r="AI1" s="1" t="s">
        <v>435</v>
      </c>
      <c r="AJ1" s="1" t="s">
        <v>436</v>
      </c>
      <c r="AK1" s="1" t="s">
        <v>437</v>
      </c>
      <c r="AL1" s="1" t="s">
        <v>450</v>
      </c>
      <c r="AM1" s="1" t="s">
        <v>446</v>
      </c>
      <c r="AN1" s="1" t="s">
        <v>447</v>
      </c>
      <c r="AO1" s="1" t="s">
        <v>448</v>
      </c>
      <c r="AP1" s="1" t="s">
        <v>449</v>
      </c>
      <c r="AQ1" s="1" t="s">
        <v>438</v>
      </c>
      <c r="AR1" s="1" t="s">
        <v>439</v>
      </c>
    </row>
    <row r="2" spans="1:44" x14ac:dyDescent="0.25">
      <c r="A2" t="s">
        <v>390</v>
      </c>
      <c r="B2" t="s">
        <v>58</v>
      </c>
      <c r="C2" t="s">
        <v>379</v>
      </c>
      <c r="D2" t="s">
        <v>358</v>
      </c>
      <c r="E2" s="2" t="s">
        <v>357</v>
      </c>
      <c r="F2" s="2" t="s">
        <v>358</v>
      </c>
      <c r="G2" t="s">
        <v>402</v>
      </c>
      <c r="H2" t="s">
        <v>494</v>
      </c>
      <c r="I2" t="s">
        <v>623</v>
      </c>
      <c r="J2" t="s">
        <v>1280</v>
      </c>
      <c r="K2" t="s">
        <v>60</v>
      </c>
      <c r="L2" t="s">
        <v>61</v>
      </c>
      <c r="M2" t="s">
        <v>1279</v>
      </c>
      <c r="N2" t="s">
        <v>63</v>
      </c>
      <c r="O2" t="s">
        <v>64</v>
      </c>
      <c r="P2" t="s">
        <v>65</v>
      </c>
      <c r="Q2" t="s">
        <v>66</v>
      </c>
      <c r="R2" t="s">
        <v>67</v>
      </c>
      <c r="S2" t="s">
        <v>623</v>
      </c>
      <c r="T2" t="s">
        <v>368</v>
      </c>
      <c r="U2" t="s">
        <v>383</v>
      </c>
      <c r="V2" t="s">
        <v>453</v>
      </c>
      <c r="W2" s="17" t="s">
        <v>539</v>
      </c>
      <c r="X2" t="s">
        <v>79</v>
      </c>
      <c r="Y2" t="s">
        <v>353</v>
      </c>
      <c r="Z2" t="s">
        <v>34</v>
      </c>
      <c r="AA2" t="s">
        <v>525</v>
      </c>
      <c r="AB2" t="s">
        <v>293</v>
      </c>
      <c r="AC2" t="s">
        <v>318</v>
      </c>
      <c r="AD2" t="s">
        <v>292</v>
      </c>
      <c r="AE2" t="s">
        <v>318</v>
      </c>
      <c r="AF2" t="s">
        <v>282</v>
      </c>
      <c r="AG2" t="s">
        <v>286</v>
      </c>
      <c r="AH2" t="s">
        <v>282</v>
      </c>
      <c r="AI2" t="s">
        <v>312</v>
      </c>
      <c r="AJ2" t="s">
        <v>273</v>
      </c>
      <c r="AK2" t="s">
        <v>282</v>
      </c>
      <c r="AL2" t="s">
        <v>506</v>
      </c>
      <c r="AM2" t="s">
        <v>389</v>
      </c>
      <c r="AN2" t="s">
        <v>349</v>
      </c>
      <c r="AO2" t="s">
        <v>69</v>
      </c>
      <c r="AP2" t="s">
        <v>349</v>
      </c>
      <c r="AQ2" t="s">
        <v>199</v>
      </c>
      <c r="AR2" t="s">
        <v>357</v>
      </c>
    </row>
    <row r="3" spans="1:44" x14ac:dyDescent="0.25">
      <c r="A3" t="s">
        <v>391</v>
      </c>
      <c r="B3" t="s">
        <v>71</v>
      </c>
      <c r="C3" t="s">
        <v>376</v>
      </c>
      <c r="D3" t="s">
        <v>359</v>
      </c>
      <c r="E3" s="2" t="s">
        <v>470</v>
      </c>
      <c r="F3" s="2" t="s">
        <v>359</v>
      </c>
      <c r="G3" t="s">
        <v>403</v>
      </c>
      <c r="H3" t="s">
        <v>48</v>
      </c>
      <c r="J3" t="s">
        <v>73</v>
      </c>
      <c r="K3" t="s">
        <v>344</v>
      </c>
      <c r="L3" t="s">
        <v>73</v>
      </c>
      <c r="M3" t="s">
        <v>62</v>
      </c>
      <c r="N3" t="s">
        <v>360</v>
      </c>
      <c r="O3" t="s">
        <v>75</v>
      </c>
      <c r="P3" t="s">
        <v>76</v>
      </c>
      <c r="Q3" t="s">
        <v>77</v>
      </c>
      <c r="R3" t="s">
        <v>78</v>
      </c>
      <c r="S3" t="s">
        <v>65</v>
      </c>
      <c r="T3" t="s">
        <v>369</v>
      </c>
      <c r="U3" t="s">
        <v>384</v>
      </c>
      <c r="V3" t="s">
        <v>454</v>
      </c>
      <c r="W3" s="17" t="s">
        <v>540</v>
      </c>
      <c r="X3" t="s">
        <v>495</v>
      </c>
      <c r="Y3" t="s">
        <v>499</v>
      </c>
      <c r="Z3" t="s">
        <v>37</v>
      </c>
      <c r="AA3" t="s">
        <v>105</v>
      </c>
      <c r="AB3" t="s">
        <v>278</v>
      </c>
      <c r="AC3" t="s">
        <v>327</v>
      </c>
      <c r="AD3" t="s">
        <v>274</v>
      </c>
      <c r="AE3" t="s">
        <v>319</v>
      </c>
      <c r="AF3" t="s">
        <v>278</v>
      </c>
      <c r="AG3" t="s">
        <v>337</v>
      </c>
      <c r="AH3" t="s">
        <v>318</v>
      </c>
      <c r="AI3" t="s">
        <v>273</v>
      </c>
      <c r="AJ3" t="s">
        <v>299</v>
      </c>
      <c r="AK3" t="s">
        <v>318</v>
      </c>
      <c r="AL3" t="s">
        <v>41</v>
      </c>
      <c r="AM3" t="s">
        <v>42</v>
      </c>
      <c r="AN3" t="s">
        <v>350</v>
      </c>
      <c r="AO3" t="s">
        <v>345</v>
      </c>
      <c r="AP3" t="s">
        <v>350</v>
      </c>
      <c r="AQ3" t="s">
        <v>205</v>
      </c>
      <c r="AR3" t="s">
        <v>356</v>
      </c>
    </row>
    <row r="4" spans="1:44" x14ac:dyDescent="0.25">
      <c r="B4" t="s">
        <v>83</v>
      </c>
      <c r="C4" t="s">
        <v>378</v>
      </c>
      <c r="D4" t="s">
        <v>468</v>
      </c>
      <c r="E4" s="2" t="s">
        <v>471</v>
      </c>
      <c r="F4" s="2"/>
      <c r="G4" t="s">
        <v>404</v>
      </c>
      <c r="H4" t="s">
        <v>49</v>
      </c>
      <c r="J4" t="s">
        <v>59</v>
      </c>
      <c r="K4" t="s">
        <v>85</v>
      </c>
      <c r="L4" t="s">
        <v>86</v>
      </c>
      <c r="M4" t="s">
        <v>74</v>
      </c>
      <c r="N4" t="s">
        <v>28</v>
      </c>
      <c r="O4" t="s">
        <v>177</v>
      </c>
      <c r="P4" t="s">
        <v>90</v>
      </c>
      <c r="Q4" t="s">
        <v>91</v>
      </c>
      <c r="R4" t="s">
        <v>92</v>
      </c>
      <c r="S4" t="s">
        <v>67</v>
      </c>
      <c r="T4" t="s">
        <v>370</v>
      </c>
      <c r="U4" t="s">
        <v>385</v>
      </c>
      <c r="V4" t="s">
        <v>455</v>
      </c>
      <c r="W4" t="s">
        <v>632</v>
      </c>
      <c r="X4" t="s">
        <v>93</v>
      </c>
      <c r="Y4" t="s">
        <v>500</v>
      </c>
      <c r="Z4" t="s">
        <v>36</v>
      </c>
      <c r="AA4" t="s">
        <v>392</v>
      </c>
      <c r="AB4" t="s">
        <v>299</v>
      </c>
      <c r="AC4" t="s">
        <v>421</v>
      </c>
      <c r="AD4" t="s">
        <v>277</v>
      </c>
      <c r="AE4" t="s">
        <v>298</v>
      </c>
      <c r="AF4" t="s">
        <v>305</v>
      </c>
      <c r="AG4" t="s">
        <v>338</v>
      </c>
      <c r="AH4" t="s">
        <v>327</v>
      </c>
      <c r="AI4" t="s">
        <v>305</v>
      </c>
      <c r="AJ4" t="s">
        <v>401</v>
      </c>
      <c r="AK4" t="s">
        <v>327</v>
      </c>
      <c r="AL4" t="s">
        <v>57</v>
      </c>
      <c r="AM4" t="s">
        <v>80</v>
      </c>
      <c r="AN4" t="s">
        <v>81</v>
      </c>
      <c r="AO4" t="s">
        <v>95</v>
      </c>
      <c r="AP4" t="s">
        <v>81</v>
      </c>
      <c r="AQ4" t="s">
        <v>96</v>
      </c>
      <c r="AR4" t="s">
        <v>355</v>
      </c>
    </row>
    <row r="5" spans="1:44" x14ac:dyDescent="0.25">
      <c r="B5" t="s">
        <v>97</v>
      </c>
      <c r="C5" t="s">
        <v>377</v>
      </c>
      <c r="E5" s="2" t="s">
        <v>472</v>
      </c>
      <c r="G5" t="s">
        <v>623</v>
      </c>
      <c r="H5" t="s">
        <v>440</v>
      </c>
      <c r="J5" t="s">
        <v>109</v>
      </c>
      <c r="K5" t="s">
        <v>346</v>
      </c>
      <c r="L5" t="s">
        <v>99</v>
      </c>
      <c r="M5" t="s">
        <v>87</v>
      </c>
      <c r="N5" t="s">
        <v>347</v>
      </c>
      <c r="O5" t="s">
        <v>89</v>
      </c>
      <c r="P5" t="s">
        <v>102</v>
      </c>
      <c r="Q5" t="s">
        <v>103</v>
      </c>
      <c r="R5" t="s">
        <v>104</v>
      </c>
      <c r="S5" t="s">
        <v>66</v>
      </c>
      <c r="T5" t="s">
        <v>371</v>
      </c>
      <c r="U5" t="s">
        <v>386</v>
      </c>
      <c r="V5" t="s">
        <v>456</v>
      </c>
      <c r="W5" s="17"/>
      <c r="X5" t="s">
        <v>496</v>
      </c>
      <c r="Z5" t="s">
        <v>38</v>
      </c>
      <c r="AA5" t="s">
        <v>55</v>
      </c>
      <c r="AB5" t="s">
        <v>322</v>
      </c>
      <c r="AC5" t="s">
        <v>320</v>
      </c>
      <c r="AD5" t="s">
        <v>288</v>
      </c>
      <c r="AE5" t="s">
        <v>287</v>
      </c>
      <c r="AF5" t="s">
        <v>306</v>
      </c>
      <c r="AG5" t="s">
        <v>338</v>
      </c>
      <c r="AH5" t="s">
        <v>340</v>
      </c>
      <c r="AI5" t="s">
        <v>276</v>
      </c>
      <c r="AJ5" t="s">
        <v>279</v>
      </c>
      <c r="AK5" t="s">
        <v>340</v>
      </c>
      <c r="AL5" t="s">
        <v>43</v>
      </c>
      <c r="AM5" t="s">
        <v>94</v>
      </c>
      <c r="AN5" t="s">
        <v>68</v>
      </c>
      <c r="AO5" t="s">
        <v>410</v>
      </c>
      <c r="AP5" t="s">
        <v>68</v>
      </c>
      <c r="AQ5" t="s">
        <v>107</v>
      </c>
      <c r="AR5" t="s">
        <v>354</v>
      </c>
    </row>
    <row r="6" spans="1:44" x14ac:dyDescent="0.25">
      <c r="B6" t="s">
        <v>108</v>
      </c>
      <c r="C6" t="s">
        <v>20</v>
      </c>
      <c r="E6" t="s">
        <v>473</v>
      </c>
      <c r="G6" t="s">
        <v>1172</v>
      </c>
      <c r="H6" t="s">
        <v>623</v>
      </c>
      <c r="J6" t="s">
        <v>72</v>
      </c>
      <c r="K6" t="s">
        <v>110</v>
      </c>
      <c r="L6" t="s">
        <v>111</v>
      </c>
      <c r="M6" t="s">
        <v>228</v>
      </c>
      <c r="N6" t="s">
        <v>348</v>
      </c>
      <c r="O6" t="s">
        <v>114</v>
      </c>
      <c r="P6" t="s">
        <v>115</v>
      </c>
      <c r="Q6" t="s">
        <v>116</v>
      </c>
      <c r="R6" t="s">
        <v>117</v>
      </c>
      <c r="S6" t="s">
        <v>77</v>
      </c>
      <c r="T6" t="s">
        <v>372</v>
      </c>
      <c r="U6" t="s">
        <v>387</v>
      </c>
      <c r="X6" t="s">
        <v>497</v>
      </c>
      <c r="AA6" t="s">
        <v>54</v>
      </c>
      <c r="AB6" t="s">
        <v>300</v>
      </c>
      <c r="AC6" t="s">
        <v>321</v>
      </c>
      <c r="AD6" t="s">
        <v>272</v>
      </c>
      <c r="AE6" t="s">
        <v>328</v>
      </c>
      <c r="AF6" t="s">
        <v>395</v>
      </c>
      <c r="AG6" t="s">
        <v>339</v>
      </c>
      <c r="AH6" t="s">
        <v>319</v>
      </c>
      <c r="AI6" t="s">
        <v>279</v>
      </c>
      <c r="AJ6" t="s">
        <v>315</v>
      </c>
      <c r="AK6" t="s">
        <v>319</v>
      </c>
      <c r="AM6" t="s">
        <v>106</v>
      </c>
      <c r="AN6" t="s">
        <v>351</v>
      </c>
      <c r="AO6" t="s">
        <v>409</v>
      </c>
      <c r="AP6" t="s">
        <v>351</v>
      </c>
      <c r="AQ6" t="s">
        <v>119</v>
      </c>
    </row>
    <row r="7" spans="1:44" x14ac:dyDescent="0.25">
      <c r="B7" t="s">
        <v>19</v>
      </c>
      <c r="C7" t="s">
        <v>380</v>
      </c>
      <c r="E7" t="s">
        <v>468</v>
      </c>
      <c r="H7" t="s">
        <v>50</v>
      </c>
      <c r="J7" t="s">
        <v>120</v>
      </c>
      <c r="K7" t="s">
        <v>121</v>
      </c>
      <c r="L7" t="s">
        <v>122</v>
      </c>
      <c r="M7" t="s">
        <v>100</v>
      </c>
      <c r="N7" t="s">
        <v>88</v>
      </c>
      <c r="O7" t="s">
        <v>125</v>
      </c>
      <c r="P7" t="s">
        <v>126</v>
      </c>
      <c r="Q7" t="s">
        <v>127</v>
      </c>
      <c r="R7" t="s">
        <v>128</v>
      </c>
      <c r="S7" t="s">
        <v>91</v>
      </c>
      <c r="T7" t="s">
        <v>373</v>
      </c>
      <c r="U7" t="s">
        <v>388</v>
      </c>
      <c r="X7" t="s">
        <v>498</v>
      </c>
      <c r="AA7" t="s">
        <v>399</v>
      </c>
      <c r="AB7" t="s">
        <v>336</v>
      </c>
      <c r="AC7" t="s">
        <v>283</v>
      </c>
      <c r="AD7" t="s">
        <v>281</v>
      </c>
      <c r="AE7" t="s">
        <v>336</v>
      </c>
      <c r="AF7" t="s">
        <v>275</v>
      </c>
      <c r="AH7" t="s">
        <v>285</v>
      </c>
      <c r="AI7" t="s">
        <v>313</v>
      </c>
      <c r="AJ7" t="s">
        <v>280</v>
      </c>
      <c r="AK7" t="s">
        <v>293</v>
      </c>
      <c r="AM7" t="s">
        <v>118</v>
      </c>
      <c r="AN7" t="s">
        <v>26</v>
      </c>
      <c r="AO7" t="s">
        <v>408</v>
      </c>
      <c r="AP7" t="s">
        <v>26</v>
      </c>
      <c r="AQ7" t="s">
        <v>70</v>
      </c>
    </row>
    <row r="8" spans="1:44" x14ac:dyDescent="0.25">
      <c r="B8" t="s">
        <v>131</v>
      </c>
      <c r="H8" t="s">
        <v>441</v>
      </c>
      <c r="J8" t="s">
        <v>142</v>
      </c>
      <c r="K8" t="s">
        <v>133</v>
      </c>
      <c r="L8" t="s">
        <v>381</v>
      </c>
      <c r="M8" t="s">
        <v>112</v>
      </c>
      <c r="N8" t="s">
        <v>101</v>
      </c>
      <c r="O8" t="s">
        <v>137</v>
      </c>
      <c r="P8" t="s">
        <v>1281</v>
      </c>
      <c r="Q8" t="s">
        <v>139</v>
      </c>
      <c r="S8" t="s">
        <v>63</v>
      </c>
      <c r="T8" t="s">
        <v>374</v>
      </c>
      <c r="X8" t="s">
        <v>357</v>
      </c>
      <c r="AA8" t="s">
        <v>398</v>
      </c>
      <c r="AB8" t="s">
        <v>309</v>
      </c>
      <c r="AC8" t="s">
        <v>330</v>
      </c>
      <c r="AD8" t="s">
        <v>284</v>
      </c>
      <c r="AE8" t="s">
        <v>290</v>
      </c>
      <c r="AF8" t="s">
        <v>285</v>
      </c>
      <c r="AH8" t="s">
        <v>334</v>
      </c>
      <c r="AI8" t="s">
        <v>314</v>
      </c>
      <c r="AJ8" t="s">
        <v>332</v>
      </c>
      <c r="AK8" t="s">
        <v>413</v>
      </c>
      <c r="AM8" t="s">
        <v>129</v>
      </c>
      <c r="AN8" t="s">
        <v>362</v>
      </c>
      <c r="AO8" t="s">
        <v>407</v>
      </c>
      <c r="AP8" t="s">
        <v>362</v>
      </c>
      <c r="AQ8" t="s">
        <v>82</v>
      </c>
    </row>
    <row r="9" spans="1:44" x14ac:dyDescent="0.25">
      <c r="B9" t="s">
        <v>141</v>
      </c>
      <c r="H9" t="s">
        <v>51</v>
      </c>
      <c r="J9" t="s">
        <v>132</v>
      </c>
      <c r="K9" t="s">
        <v>143</v>
      </c>
      <c r="L9" t="s">
        <v>134</v>
      </c>
      <c r="M9" t="s">
        <v>123</v>
      </c>
      <c r="N9" t="s">
        <v>1284</v>
      </c>
      <c r="O9" t="s">
        <v>147</v>
      </c>
      <c r="P9" t="s">
        <v>148</v>
      </c>
      <c r="Q9" t="s">
        <v>149</v>
      </c>
      <c r="S9" t="s">
        <v>76</v>
      </c>
      <c r="AA9" t="s">
        <v>397</v>
      </c>
      <c r="AB9" t="s">
        <v>303</v>
      </c>
      <c r="AC9" t="s">
        <v>323</v>
      </c>
      <c r="AE9" t="s">
        <v>329</v>
      </c>
      <c r="AF9" t="s">
        <v>272</v>
      </c>
      <c r="AI9" t="s">
        <v>400</v>
      </c>
      <c r="AJ9" t="s">
        <v>333</v>
      </c>
      <c r="AK9" t="s">
        <v>298</v>
      </c>
      <c r="AM9" t="s">
        <v>140</v>
      </c>
      <c r="AN9" t="s">
        <v>352</v>
      </c>
      <c r="AO9" t="s">
        <v>406</v>
      </c>
      <c r="AP9" t="s">
        <v>352</v>
      </c>
      <c r="AQ9" t="s">
        <v>411</v>
      </c>
    </row>
    <row r="10" spans="1:44" x14ac:dyDescent="0.25">
      <c r="B10" t="s">
        <v>152</v>
      </c>
      <c r="H10" t="s">
        <v>442</v>
      </c>
      <c r="J10" t="s">
        <v>154</v>
      </c>
      <c r="K10" t="s">
        <v>153</v>
      </c>
      <c r="L10" t="s">
        <v>144</v>
      </c>
      <c r="M10" t="s">
        <v>135</v>
      </c>
      <c r="N10" t="s">
        <v>113</v>
      </c>
      <c r="O10" t="s">
        <v>157</v>
      </c>
      <c r="P10" t="s">
        <v>158</v>
      </c>
      <c r="Q10" t="s">
        <v>159</v>
      </c>
      <c r="S10" t="s">
        <v>64</v>
      </c>
      <c r="AA10" t="s">
        <v>396</v>
      </c>
      <c r="AB10" t="s">
        <v>304</v>
      </c>
      <c r="AC10" t="s">
        <v>325</v>
      </c>
      <c r="AE10" t="s">
        <v>291</v>
      </c>
      <c r="AF10" t="s">
        <v>334</v>
      </c>
      <c r="AI10" t="s">
        <v>302</v>
      </c>
      <c r="AJ10" t="s">
        <v>308</v>
      </c>
      <c r="AK10" t="s">
        <v>312</v>
      </c>
      <c r="AM10" t="s">
        <v>150</v>
      </c>
      <c r="AO10" t="s">
        <v>161</v>
      </c>
      <c r="AP10" t="s">
        <v>389</v>
      </c>
      <c r="AQ10" t="s">
        <v>412</v>
      </c>
    </row>
    <row r="11" spans="1:44" x14ac:dyDescent="0.25">
      <c r="B11" t="s">
        <v>163</v>
      </c>
      <c r="H11" t="s">
        <v>53</v>
      </c>
      <c r="J11" t="s">
        <v>84</v>
      </c>
      <c r="K11" t="s">
        <v>164</v>
      </c>
      <c r="L11" t="s">
        <v>165</v>
      </c>
      <c r="M11" t="s">
        <v>145</v>
      </c>
      <c r="N11" t="s">
        <v>124</v>
      </c>
      <c r="O11" t="s">
        <v>168</v>
      </c>
      <c r="P11" t="s">
        <v>169</v>
      </c>
      <c r="S11" t="s">
        <v>90</v>
      </c>
      <c r="AA11" t="s">
        <v>393</v>
      </c>
      <c r="AB11" t="s">
        <v>316</v>
      </c>
      <c r="AC11" t="s">
        <v>310</v>
      </c>
      <c r="AE11" t="s">
        <v>325</v>
      </c>
      <c r="AI11" t="s">
        <v>315</v>
      </c>
      <c r="AK11" t="s">
        <v>273</v>
      </c>
      <c r="AM11" t="s">
        <v>160</v>
      </c>
      <c r="AO11" t="s">
        <v>171</v>
      </c>
      <c r="AP11" t="s">
        <v>42</v>
      </c>
      <c r="AQ11" t="s">
        <v>193</v>
      </c>
    </row>
    <row r="12" spans="1:44" x14ac:dyDescent="0.25">
      <c r="B12" t="s">
        <v>173</v>
      </c>
      <c r="H12" t="s">
        <v>52</v>
      </c>
      <c r="J12" t="s">
        <v>98</v>
      </c>
      <c r="L12" t="s">
        <v>1278</v>
      </c>
      <c r="M12" t="s">
        <v>155</v>
      </c>
      <c r="N12" t="s">
        <v>136</v>
      </c>
      <c r="P12" t="s">
        <v>178</v>
      </c>
      <c r="S12" t="s">
        <v>102</v>
      </c>
      <c r="AB12" t="s">
        <v>317</v>
      </c>
      <c r="AC12" t="s">
        <v>35</v>
      </c>
      <c r="AE12" t="s">
        <v>280</v>
      </c>
      <c r="AI12" t="s">
        <v>306</v>
      </c>
      <c r="AK12" t="s">
        <v>278</v>
      </c>
      <c r="AM12" t="s">
        <v>170</v>
      </c>
      <c r="AO12" t="s">
        <v>180</v>
      </c>
      <c r="AP12" t="s">
        <v>80</v>
      </c>
      <c r="AQ12" t="s">
        <v>162</v>
      </c>
    </row>
    <row r="13" spans="1:44" x14ac:dyDescent="0.25">
      <c r="B13" t="s">
        <v>181</v>
      </c>
      <c r="H13" t="s">
        <v>367</v>
      </c>
      <c r="L13" t="s">
        <v>174</v>
      </c>
      <c r="M13" t="s">
        <v>166</v>
      </c>
      <c r="N13" t="s">
        <v>146</v>
      </c>
      <c r="P13" t="s">
        <v>185</v>
      </c>
      <c r="S13" t="s">
        <v>75</v>
      </c>
      <c r="AB13" t="s">
        <v>296</v>
      </c>
      <c r="AC13" t="s">
        <v>326</v>
      </c>
      <c r="AE13" t="s">
        <v>271</v>
      </c>
      <c r="AI13" t="s">
        <v>395</v>
      </c>
      <c r="AK13" t="s">
        <v>305</v>
      </c>
      <c r="AM13" t="s">
        <v>179</v>
      </c>
      <c r="AO13" t="s">
        <v>187</v>
      </c>
      <c r="AP13" t="s">
        <v>94</v>
      </c>
      <c r="AQ13" t="s">
        <v>130</v>
      </c>
    </row>
    <row r="14" spans="1:44" x14ac:dyDescent="0.25">
      <c r="B14" t="s">
        <v>188</v>
      </c>
      <c r="L14" t="s">
        <v>1287</v>
      </c>
      <c r="M14" t="s">
        <v>175</v>
      </c>
      <c r="N14" t="s">
        <v>156</v>
      </c>
      <c r="P14" t="s">
        <v>605</v>
      </c>
      <c r="S14" t="s">
        <v>115</v>
      </c>
      <c r="AB14" t="s">
        <v>307</v>
      </c>
      <c r="AC14" t="s">
        <v>394</v>
      </c>
      <c r="AE14" t="s">
        <v>311</v>
      </c>
      <c r="AI14" t="s">
        <v>331</v>
      </c>
      <c r="AK14" t="s">
        <v>414</v>
      </c>
      <c r="AM14" t="s">
        <v>186</v>
      </c>
      <c r="AO14" t="s">
        <v>192</v>
      </c>
      <c r="AP14" t="s">
        <v>106</v>
      </c>
      <c r="AQ14" t="s">
        <v>172</v>
      </c>
    </row>
    <row r="15" spans="1:44" x14ac:dyDescent="0.25">
      <c r="B15" t="s">
        <v>194</v>
      </c>
      <c r="L15" t="s">
        <v>182</v>
      </c>
      <c r="M15" t="s">
        <v>183</v>
      </c>
      <c r="N15" t="s">
        <v>167</v>
      </c>
      <c r="P15" t="s">
        <v>190</v>
      </c>
      <c r="S15" t="s">
        <v>126</v>
      </c>
      <c r="AB15" t="s">
        <v>308</v>
      </c>
      <c r="AE15" t="s">
        <v>335</v>
      </c>
      <c r="AI15" t="s">
        <v>285</v>
      </c>
      <c r="AK15" t="s">
        <v>294</v>
      </c>
      <c r="AM15" t="s">
        <v>342</v>
      </c>
      <c r="AO15" t="s">
        <v>198</v>
      </c>
      <c r="AP15" t="s">
        <v>118</v>
      </c>
      <c r="AQ15" t="s">
        <v>151</v>
      </c>
    </row>
    <row r="16" spans="1:44" x14ac:dyDescent="0.25">
      <c r="B16" t="s">
        <v>200</v>
      </c>
      <c r="L16" t="s">
        <v>1286</v>
      </c>
      <c r="M16" t="s">
        <v>189</v>
      </c>
      <c r="N16" t="s">
        <v>176</v>
      </c>
      <c r="P16" t="s">
        <v>196</v>
      </c>
      <c r="S16" t="s">
        <v>61</v>
      </c>
      <c r="AE16" t="s">
        <v>35</v>
      </c>
      <c r="AI16" t="s">
        <v>316</v>
      </c>
      <c r="AK16" t="s">
        <v>421</v>
      </c>
      <c r="AM16" t="s">
        <v>341</v>
      </c>
      <c r="AO16" t="s">
        <v>44</v>
      </c>
      <c r="AP16" t="s">
        <v>129</v>
      </c>
      <c r="AQ16" t="s">
        <v>452</v>
      </c>
    </row>
    <row r="17" spans="2:43" x14ac:dyDescent="0.25">
      <c r="B17" t="s">
        <v>206</v>
      </c>
      <c r="M17" t="s">
        <v>224</v>
      </c>
      <c r="N17" t="s">
        <v>184</v>
      </c>
      <c r="P17" t="s">
        <v>203</v>
      </c>
      <c r="S17" t="s">
        <v>62</v>
      </c>
      <c r="AE17" t="s">
        <v>326</v>
      </c>
      <c r="AI17" t="s">
        <v>324</v>
      </c>
      <c r="AK17" t="s">
        <v>320</v>
      </c>
      <c r="AM17" t="s">
        <v>361</v>
      </c>
      <c r="AO17" t="s">
        <v>210</v>
      </c>
      <c r="AP17" t="s">
        <v>140</v>
      </c>
      <c r="AQ17" t="s">
        <v>47</v>
      </c>
    </row>
    <row r="18" spans="2:43" x14ac:dyDescent="0.25">
      <c r="B18" t="s">
        <v>211</v>
      </c>
      <c r="M18" t="s">
        <v>405</v>
      </c>
      <c r="N18" t="s">
        <v>29</v>
      </c>
      <c r="P18" t="s">
        <v>208</v>
      </c>
      <c r="S18" t="s">
        <v>74</v>
      </c>
      <c r="AE18" t="s">
        <v>297</v>
      </c>
      <c r="AK18" t="s">
        <v>321</v>
      </c>
      <c r="AM18" t="s">
        <v>191</v>
      </c>
      <c r="AO18" t="s">
        <v>214</v>
      </c>
      <c r="AP18" t="s">
        <v>150</v>
      </c>
    </row>
    <row r="19" spans="2:43" x14ac:dyDescent="0.25">
      <c r="B19" t="s">
        <v>215</v>
      </c>
      <c r="M19" t="s">
        <v>201</v>
      </c>
      <c r="N19" t="s">
        <v>195</v>
      </c>
      <c r="P19" t="s">
        <v>213</v>
      </c>
      <c r="S19" t="s">
        <v>60</v>
      </c>
      <c r="AK19" t="s">
        <v>287</v>
      </c>
      <c r="AM19" t="s">
        <v>197</v>
      </c>
      <c r="AO19" t="s">
        <v>218</v>
      </c>
      <c r="AP19" t="s">
        <v>160</v>
      </c>
    </row>
    <row r="20" spans="2:43" x14ac:dyDescent="0.25">
      <c r="B20" t="s">
        <v>219</v>
      </c>
      <c r="M20" t="s">
        <v>207</v>
      </c>
      <c r="N20" t="s">
        <v>202</v>
      </c>
      <c r="P20" t="s">
        <v>217</v>
      </c>
      <c r="S20" t="s">
        <v>73</v>
      </c>
      <c r="AK20" t="s">
        <v>415</v>
      </c>
      <c r="AM20" t="s">
        <v>204</v>
      </c>
      <c r="AO20" t="s">
        <v>222</v>
      </c>
      <c r="AP20" t="s">
        <v>170</v>
      </c>
    </row>
    <row r="21" spans="2:43" x14ac:dyDescent="0.25">
      <c r="B21" t="s">
        <v>223</v>
      </c>
      <c r="M21" t="s">
        <v>212</v>
      </c>
      <c r="N21" t="s">
        <v>27</v>
      </c>
      <c r="P21" t="s">
        <v>221</v>
      </c>
      <c r="S21" t="s">
        <v>59</v>
      </c>
      <c r="AK21" t="s">
        <v>322</v>
      </c>
      <c r="AM21" t="s">
        <v>209</v>
      </c>
      <c r="AO21" t="s">
        <v>226</v>
      </c>
      <c r="AP21" t="s">
        <v>179</v>
      </c>
    </row>
    <row r="22" spans="2:43" x14ac:dyDescent="0.25">
      <c r="B22" t="s">
        <v>227</v>
      </c>
      <c r="M22" t="s">
        <v>216</v>
      </c>
      <c r="P22" t="s">
        <v>225</v>
      </c>
      <c r="S22" t="s">
        <v>86</v>
      </c>
      <c r="AK22" t="s">
        <v>276</v>
      </c>
      <c r="AO22" t="s">
        <v>230</v>
      </c>
      <c r="AP22" t="s">
        <v>186</v>
      </c>
    </row>
    <row r="23" spans="2:43" x14ac:dyDescent="0.25">
      <c r="B23" t="s">
        <v>231</v>
      </c>
      <c r="M23" t="s">
        <v>220</v>
      </c>
      <c r="P23" t="s">
        <v>229</v>
      </c>
      <c r="S23" t="s">
        <v>99</v>
      </c>
      <c r="AK23" t="s">
        <v>300</v>
      </c>
      <c r="AO23" t="s">
        <v>233</v>
      </c>
      <c r="AP23" t="s">
        <v>342</v>
      </c>
    </row>
    <row r="24" spans="2:43" x14ac:dyDescent="0.25">
      <c r="B24" t="s">
        <v>234</v>
      </c>
      <c r="P24" t="s">
        <v>232</v>
      </c>
      <c r="S24" t="s">
        <v>138</v>
      </c>
      <c r="AK24" t="s">
        <v>292</v>
      </c>
      <c r="AO24" t="s">
        <v>235</v>
      </c>
      <c r="AP24" t="s">
        <v>341</v>
      </c>
    </row>
    <row r="25" spans="2:43" x14ac:dyDescent="0.25">
      <c r="B25" t="s">
        <v>236</v>
      </c>
      <c r="P25" t="s">
        <v>30</v>
      </c>
      <c r="S25" t="s">
        <v>344</v>
      </c>
      <c r="AK25" t="s">
        <v>274</v>
      </c>
      <c r="AO25" t="s">
        <v>343</v>
      </c>
      <c r="AP25" t="s">
        <v>361</v>
      </c>
    </row>
    <row r="26" spans="2:43" x14ac:dyDescent="0.25">
      <c r="B26" t="s">
        <v>238</v>
      </c>
      <c r="P26" t="s">
        <v>1285</v>
      </c>
      <c r="S26" t="s">
        <v>148</v>
      </c>
      <c r="AK26" t="s">
        <v>279</v>
      </c>
      <c r="AO26" t="s">
        <v>240</v>
      </c>
      <c r="AP26" t="s">
        <v>191</v>
      </c>
    </row>
    <row r="27" spans="2:43" x14ac:dyDescent="0.25">
      <c r="B27" t="s">
        <v>241</v>
      </c>
      <c r="P27" t="s">
        <v>237</v>
      </c>
      <c r="S27" t="s">
        <v>158</v>
      </c>
      <c r="AK27" t="s">
        <v>328</v>
      </c>
      <c r="AO27" t="s">
        <v>243</v>
      </c>
      <c r="AP27" t="s">
        <v>197</v>
      </c>
    </row>
    <row r="28" spans="2:43" x14ac:dyDescent="0.25">
      <c r="B28" t="s">
        <v>244</v>
      </c>
      <c r="P28" t="s">
        <v>1288</v>
      </c>
      <c r="S28" t="s">
        <v>169</v>
      </c>
      <c r="AK28" t="s">
        <v>336</v>
      </c>
      <c r="AO28" t="s">
        <v>246</v>
      </c>
      <c r="AP28" t="s">
        <v>204</v>
      </c>
    </row>
    <row r="29" spans="2:43" x14ac:dyDescent="0.25">
      <c r="B29" t="s">
        <v>247</v>
      </c>
      <c r="P29" t="s">
        <v>239</v>
      </c>
      <c r="S29" t="s">
        <v>178</v>
      </c>
      <c r="AK29" t="s">
        <v>277</v>
      </c>
      <c r="AP29" t="s">
        <v>209</v>
      </c>
    </row>
    <row r="30" spans="2:43" x14ac:dyDescent="0.25">
      <c r="B30" t="s">
        <v>249</v>
      </c>
      <c r="P30" t="s">
        <v>242</v>
      </c>
      <c r="S30" t="s">
        <v>185</v>
      </c>
      <c r="AK30" t="s">
        <v>313</v>
      </c>
      <c r="AP30" t="s">
        <v>69</v>
      </c>
    </row>
    <row r="31" spans="2:43" x14ac:dyDescent="0.25">
      <c r="B31" t="s">
        <v>250</v>
      </c>
      <c r="P31" t="s">
        <v>245</v>
      </c>
      <c r="S31" t="s">
        <v>605</v>
      </c>
      <c r="AK31" t="s">
        <v>314</v>
      </c>
      <c r="AP31" t="s">
        <v>345</v>
      </c>
    </row>
    <row r="32" spans="2:43" x14ac:dyDescent="0.25">
      <c r="B32" t="s">
        <v>251</v>
      </c>
      <c r="P32" t="s">
        <v>1282</v>
      </c>
      <c r="S32" t="s">
        <v>190</v>
      </c>
      <c r="AK32" t="s">
        <v>301</v>
      </c>
      <c r="AP32" t="s">
        <v>95</v>
      </c>
    </row>
    <row r="33" spans="2:42" x14ac:dyDescent="0.25">
      <c r="B33" t="s">
        <v>252</v>
      </c>
      <c r="P33" t="s">
        <v>248</v>
      </c>
      <c r="S33" t="s">
        <v>196</v>
      </c>
      <c r="AK33" t="s">
        <v>302</v>
      </c>
      <c r="AP33" t="s">
        <v>410</v>
      </c>
    </row>
    <row r="34" spans="2:42" x14ac:dyDescent="0.25">
      <c r="B34" t="s">
        <v>253</v>
      </c>
      <c r="P34" t="s">
        <v>1283</v>
      </c>
      <c r="S34" t="s">
        <v>203</v>
      </c>
      <c r="AK34" t="s">
        <v>416</v>
      </c>
      <c r="AP34" t="s">
        <v>409</v>
      </c>
    </row>
    <row r="35" spans="2:42" x14ac:dyDescent="0.25">
      <c r="B35" t="s">
        <v>254</v>
      </c>
      <c r="S35" t="s">
        <v>208</v>
      </c>
      <c r="AK35" t="s">
        <v>315</v>
      </c>
      <c r="AP35" t="s">
        <v>408</v>
      </c>
    </row>
    <row r="36" spans="2:42" x14ac:dyDescent="0.25">
      <c r="B36" t="s">
        <v>255</v>
      </c>
      <c r="S36" t="s">
        <v>109</v>
      </c>
      <c r="AK36" t="s">
        <v>290</v>
      </c>
      <c r="AP36" t="s">
        <v>407</v>
      </c>
    </row>
    <row r="37" spans="2:42" x14ac:dyDescent="0.25">
      <c r="B37" t="s">
        <v>256</v>
      </c>
      <c r="S37" t="s">
        <v>87</v>
      </c>
      <c r="AK37" t="s">
        <v>309</v>
      </c>
      <c r="AP37" t="s">
        <v>406</v>
      </c>
    </row>
    <row r="38" spans="2:42" x14ac:dyDescent="0.25">
      <c r="B38" t="s">
        <v>21</v>
      </c>
      <c r="S38" t="s">
        <v>85</v>
      </c>
      <c r="AK38" t="s">
        <v>329</v>
      </c>
      <c r="AP38" t="s">
        <v>161</v>
      </c>
    </row>
    <row r="39" spans="2:42" x14ac:dyDescent="0.25">
      <c r="B39" t="s">
        <v>257</v>
      </c>
      <c r="S39" t="s">
        <v>103</v>
      </c>
      <c r="AK39" t="s">
        <v>291</v>
      </c>
      <c r="AP39" t="s">
        <v>171</v>
      </c>
    </row>
    <row r="40" spans="2:42" x14ac:dyDescent="0.25">
      <c r="B40" t="s">
        <v>258</v>
      </c>
      <c r="S40" t="s">
        <v>177</v>
      </c>
      <c r="AK40" t="s">
        <v>303</v>
      </c>
      <c r="AP40" t="s">
        <v>180</v>
      </c>
    </row>
    <row r="41" spans="2:42" x14ac:dyDescent="0.25">
      <c r="B41" t="s">
        <v>259</v>
      </c>
      <c r="S41" t="s">
        <v>346</v>
      </c>
      <c r="AK41" t="s">
        <v>417</v>
      </c>
      <c r="AP41" t="s">
        <v>187</v>
      </c>
    </row>
    <row r="42" spans="2:42" x14ac:dyDescent="0.25">
      <c r="B42" t="s">
        <v>260</v>
      </c>
      <c r="S42" t="s">
        <v>89</v>
      </c>
      <c r="AK42" t="s">
        <v>330</v>
      </c>
      <c r="AP42" t="s">
        <v>192</v>
      </c>
    </row>
    <row r="43" spans="2:42" x14ac:dyDescent="0.25">
      <c r="B43" t="s">
        <v>261</v>
      </c>
      <c r="S43" t="s">
        <v>360</v>
      </c>
      <c r="AK43" t="s">
        <v>323</v>
      </c>
      <c r="AP43" t="s">
        <v>198</v>
      </c>
    </row>
    <row r="44" spans="2:42" x14ac:dyDescent="0.25">
      <c r="B44" t="s">
        <v>262</v>
      </c>
      <c r="S44" t="s">
        <v>28</v>
      </c>
      <c r="AK44" t="s">
        <v>325</v>
      </c>
      <c r="AP44" t="s">
        <v>44</v>
      </c>
    </row>
    <row r="45" spans="2:42" x14ac:dyDescent="0.25">
      <c r="B45" t="s">
        <v>263</v>
      </c>
      <c r="S45" t="s">
        <v>347</v>
      </c>
      <c r="AK45" t="s">
        <v>306</v>
      </c>
      <c r="AP45" t="s">
        <v>210</v>
      </c>
    </row>
    <row r="46" spans="2:42" x14ac:dyDescent="0.25">
      <c r="B46" t="s">
        <v>264</v>
      </c>
      <c r="S46" t="s">
        <v>348</v>
      </c>
      <c r="AK46" t="s">
        <v>280</v>
      </c>
      <c r="AP46" t="s">
        <v>214</v>
      </c>
    </row>
    <row r="47" spans="2:42" x14ac:dyDescent="0.25">
      <c r="B47" t="s">
        <v>265</v>
      </c>
      <c r="S47" t="s">
        <v>111</v>
      </c>
      <c r="AK47" t="s">
        <v>331</v>
      </c>
      <c r="AP47" t="s">
        <v>218</v>
      </c>
    </row>
    <row r="48" spans="2:42" x14ac:dyDescent="0.25">
      <c r="B48" t="s">
        <v>266</v>
      </c>
      <c r="S48" t="s">
        <v>116</v>
      </c>
      <c r="AK48" t="s">
        <v>288</v>
      </c>
      <c r="AP48" t="s">
        <v>222</v>
      </c>
    </row>
    <row r="49" spans="2:42" x14ac:dyDescent="0.25">
      <c r="B49" t="s">
        <v>267</v>
      </c>
      <c r="S49" t="s">
        <v>228</v>
      </c>
      <c r="AK49" t="s">
        <v>275</v>
      </c>
      <c r="AP49" t="s">
        <v>226</v>
      </c>
    </row>
    <row r="50" spans="2:42" x14ac:dyDescent="0.25">
      <c r="B50" t="s">
        <v>268</v>
      </c>
      <c r="S50" t="s">
        <v>100</v>
      </c>
      <c r="AK50" t="s">
        <v>295</v>
      </c>
      <c r="AP50" t="s">
        <v>230</v>
      </c>
    </row>
    <row r="51" spans="2:42" x14ac:dyDescent="0.25">
      <c r="B51" t="s">
        <v>269</v>
      </c>
      <c r="S51" t="s">
        <v>122</v>
      </c>
      <c r="AK51" t="s">
        <v>304</v>
      </c>
      <c r="AP51" t="s">
        <v>233</v>
      </c>
    </row>
    <row r="52" spans="2:42" x14ac:dyDescent="0.25">
      <c r="S52" t="s">
        <v>213</v>
      </c>
      <c r="AK52" t="s">
        <v>56</v>
      </c>
      <c r="AP52" t="s">
        <v>235</v>
      </c>
    </row>
    <row r="53" spans="2:42" x14ac:dyDescent="0.25">
      <c r="S53" t="s">
        <v>217</v>
      </c>
      <c r="AK53" t="s">
        <v>285</v>
      </c>
      <c r="AP53" t="s">
        <v>343</v>
      </c>
    </row>
    <row r="54" spans="2:42" x14ac:dyDescent="0.25">
      <c r="S54" t="s">
        <v>221</v>
      </c>
      <c r="AK54" t="s">
        <v>272</v>
      </c>
      <c r="AP54" t="s">
        <v>240</v>
      </c>
    </row>
    <row r="55" spans="2:42" x14ac:dyDescent="0.25">
      <c r="S55" t="s">
        <v>225</v>
      </c>
      <c r="AK55" t="s">
        <v>270</v>
      </c>
      <c r="AP55" t="s">
        <v>243</v>
      </c>
    </row>
    <row r="56" spans="2:42" x14ac:dyDescent="0.25">
      <c r="S56" t="s">
        <v>381</v>
      </c>
      <c r="AK56" t="s">
        <v>289</v>
      </c>
      <c r="AP56" t="s">
        <v>246</v>
      </c>
    </row>
    <row r="57" spans="2:42" x14ac:dyDescent="0.25">
      <c r="S57" t="s">
        <v>229</v>
      </c>
      <c r="AK57" t="s">
        <v>316</v>
      </c>
    </row>
    <row r="58" spans="2:42" x14ac:dyDescent="0.25">
      <c r="S58" t="s">
        <v>112</v>
      </c>
      <c r="AK58" t="s">
        <v>286</v>
      </c>
    </row>
    <row r="59" spans="2:42" x14ac:dyDescent="0.25">
      <c r="S59" t="s">
        <v>123</v>
      </c>
      <c r="AK59" t="s">
        <v>337</v>
      </c>
    </row>
    <row r="60" spans="2:42" x14ac:dyDescent="0.25">
      <c r="S60" t="s">
        <v>135</v>
      </c>
      <c r="AK60" t="s">
        <v>338</v>
      </c>
    </row>
    <row r="61" spans="2:42" x14ac:dyDescent="0.25">
      <c r="S61" t="s">
        <v>145</v>
      </c>
      <c r="AK61" t="s">
        <v>339</v>
      </c>
    </row>
    <row r="62" spans="2:42" x14ac:dyDescent="0.25">
      <c r="S62" t="s">
        <v>155</v>
      </c>
      <c r="AK62" t="s">
        <v>317</v>
      </c>
    </row>
    <row r="63" spans="2:42" x14ac:dyDescent="0.25">
      <c r="S63" t="s">
        <v>166</v>
      </c>
      <c r="AK63" t="s">
        <v>296</v>
      </c>
    </row>
    <row r="64" spans="2:42" x14ac:dyDescent="0.25">
      <c r="S64" t="s">
        <v>72</v>
      </c>
      <c r="AK64" t="s">
        <v>332</v>
      </c>
    </row>
    <row r="65" spans="19:37" x14ac:dyDescent="0.25">
      <c r="S65" t="s">
        <v>120</v>
      </c>
      <c r="AK65" t="s">
        <v>307</v>
      </c>
    </row>
    <row r="66" spans="19:37" x14ac:dyDescent="0.25">
      <c r="S66" t="s">
        <v>142</v>
      </c>
      <c r="AK66" t="s">
        <v>333</v>
      </c>
    </row>
    <row r="67" spans="19:37" x14ac:dyDescent="0.25">
      <c r="S67" t="s">
        <v>132</v>
      </c>
      <c r="AK67" t="s">
        <v>334</v>
      </c>
    </row>
    <row r="68" spans="19:37" x14ac:dyDescent="0.25">
      <c r="S68" t="s">
        <v>88</v>
      </c>
      <c r="AK68" t="s">
        <v>418</v>
      </c>
    </row>
    <row r="69" spans="19:37" x14ac:dyDescent="0.25">
      <c r="S69" t="s">
        <v>101</v>
      </c>
      <c r="AK69" t="s">
        <v>310</v>
      </c>
    </row>
    <row r="70" spans="19:37" x14ac:dyDescent="0.25">
      <c r="S70" t="s">
        <v>164</v>
      </c>
      <c r="AK70" t="s">
        <v>324</v>
      </c>
    </row>
    <row r="71" spans="19:37" x14ac:dyDescent="0.25">
      <c r="S71" t="s">
        <v>127</v>
      </c>
      <c r="AK71" t="s">
        <v>419</v>
      </c>
    </row>
    <row r="72" spans="19:37" x14ac:dyDescent="0.25">
      <c r="S72" t="s">
        <v>232</v>
      </c>
      <c r="AK72" t="s">
        <v>281</v>
      </c>
    </row>
    <row r="73" spans="19:37" x14ac:dyDescent="0.25">
      <c r="S73" t="s">
        <v>30</v>
      </c>
      <c r="AK73" t="s">
        <v>420</v>
      </c>
    </row>
    <row r="74" spans="19:37" x14ac:dyDescent="0.25">
      <c r="S74" t="s">
        <v>237</v>
      </c>
      <c r="AK74" t="s">
        <v>284</v>
      </c>
    </row>
    <row r="75" spans="19:37" x14ac:dyDescent="0.25">
      <c r="S75" t="s">
        <v>114</v>
      </c>
      <c r="AK75" t="s">
        <v>271</v>
      </c>
    </row>
    <row r="76" spans="19:37" x14ac:dyDescent="0.25">
      <c r="S76" t="s">
        <v>139</v>
      </c>
      <c r="AK76" t="s">
        <v>311</v>
      </c>
    </row>
    <row r="77" spans="19:37" x14ac:dyDescent="0.25">
      <c r="S77" t="s">
        <v>125</v>
      </c>
      <c r="AK77" t="s">
        <v>335</v>
      </c>
    </row>
    <row r="78" spans="19:37" x14ac:dyDescent="0.25">
      <c r="S78" t="s">
        <v>149</v>
      </c>
      <c r="AK78" t="s">
        <v>35</v>
      </c>
    </row>
    <row r="79" spans="19:37" x14ac:dyDescent="0.25">
      <c r="S79" t="s">
        <v>134</v>
      </c>
      <c r="AK79" t="s">
        <v>326</v>
      </c>
    </row>
    <row r="80" spans="19:37" x14ac:dyDescent="0.25">
      <c r="S80" t="s">
        <v>144</v>
      </c>
      <c r="AK80" t="s">
        <v>308</v>
      </c>
    </row>
    <row r="81" spans="19:37" x14ac:dyDescent="0.25">
      <c r="S81" t="s">
        <v>110</v>
      </c>
      <c r="AK81" t="s">
        <v>297</v>
      </c>
    </row>
    <row r="82" spans="19:37" x14ac:dyDescent="0.25">
      <c r="S82" t="s">
        <v>154</v>
      </c>
      <c r="AK82" t="s">
        <v>394</v>
      </c>
    </row>
    <row r="83" spans="19:37" x14ac:dyDescent="0.25">
      <c r="S83" t="s">
        <v>84</v>
      </c>
    </row>
    <row r="84" spans="19:37" x14ac:dyDescent="0.25">
      <c r="S84" t="s">
        <v>113</v>
      </c>
    </row>
    <row r="85" spans="19:37" x14ac:dyDescent="0.25">
      <c r="S85" t="s">
        <v>124</v>
      </c>
    </row>
    <row r="86" spans="19:37" x14ac:dyDescent="0.25">
      <c r="S86" t="s">
        <v>136</v>
      </c>
    </row>
    <row r="87" spans="19:37" x14ac:dyDescent="0.25">
      <c r="S87" t="s">
        <v>146</v>
      </c>
    </row>
    <row r="88" spans="19:37" x14ac:dyDescent="0.25">
      <c r="S88" t="s">
        <v>156</v>
      </c>
    </row>
    <row r="89" spans="19:37" x14ac:dyDescent="0.25">
      <c r="S89" t="s">
        <v>167</v>
      </c>
    </row>
    <row r="90" spans="19:37" x14ac:dyDescent="0.25">
      <c r="S90" t="s">
        <v>176</v>
      </c>
    </row>
    <row r="91" spans="19:37" x14ac:dyDescent="0.25">
      <c r="S91" t="s">
        <v>121</v>
      </c>
    </row>
    <row r="92" spans="19:37" x14ac:dyDescent="0.25">
      <c r="S92" t="s">
        <v>239</v>
      </c>
    </row>
    <row r="93" spans="19:37" x14ac:dyDescent="0.25">
      <c r="S93" t="s">
        <v>175</v>
      </c>
    </row>
    <row r="94" spans="19:37" x14ac:dyDescent="0.25">
      <c r="S94" t="s">
        <v>183</v>
      </c>
    </row>
    <row r="95" spans="19:37" x14ac:dyDescent="0.25">
      <c r="S95" t="s">
        <v>189</v>
      </c>
    </row>
    <row r="96" spans="19:37" x14ac:dyDescent="0.25">
      <c r="S96" t="s">
        <v>224</v>
      </c>
    </row>
    <row r="97" spans="19:19" x14ac:dyDescent="0.25">
      <c r="S97" t="s">
        <v>405</v>
      </c>
    </row>
    <row r="98" spans="19:19" x14ac:dyDescent="0.25">
      <c r="S98" t="s">
        <v>137</v>
      </c>
    </row>
    <row r="99" spans="19:19" x14ac:dyDescent="0.25">
      <c r="S99" t="s">
        <v>147</v>
      </c>
    </row>
    <row r="100" spans="19:19" x14ac:dyDescent="0.25">
      <c r="S100" t="s">
        <v>157</v>
      </c>
    </row>
    <row r="101" spans="19:19" x14ac:dyDescent="0.25">
      <c r="S101" t="s">
        <v>165</v>
      </c>
    </row>
    <row r="102" spans="19:19" x14ac:dyDescent="0.25">
      <c r="S102" t="s">
        <v>174</v>
      </c>
    </row>
    <row r="103" spans="19:19" x14ac:dyDescent="0.25">
      <c r="S103" t="s">
        <v>182</v>
      </c>
    </row>
    <row r="104" spans="19:19" x14ac:dyDescent="0.25">
      <c r="S104" t="s">
        <v>201</v>
      </c>
    </row>
    <row r="105" spans="19:19" x14ac:dyDescent="0.25">
      <c r="S105" t="s">
        <v>133</v>
      </c>
    </row>
    <row r="106" spans="19:19" x14ac:dyDescent="0.25">
      <c r="S106" t="s">
        <v>143</v>
      </c>
    </row>
    <row r="107" spans="19:19" x14ac:dyDescent="0.25">
      <c r="S107" t="s">
        <v>168</v>
      </c>
    </row>
    <row r="108" spans="19:19" x14ac:dyDescent="0.25">
      <c r="S108" t="s">
        <v>207</v>
      </c>
    </row>
    <row r="109" spans="19:19" x14ac:dyDescent="0.25">
      <c r="S109" t="s">
        <v>212</v>
      </c>
    </row>
    <row r="110" spans="19:19" x14ac:dyDescent="0.25">
      <c r="S110" t="s">
        <v>216</v>
      </c>
    </row>
    <row r="111" spans="19:19" x14ac:dyDescent="0.25">
      <c r="S111" t="s">
        <v>220</v>
      </c>
    </row>
    <row r="112" spans="19:19" x14ac:dyDescent="0.25">
      <c r="S112" t="s">
        <v>184</v>
      </c>
    </row>
    <row r="113" spans="19:19" x14ac:dyDescent="0.25">
      <c r="S113" t="s">
        <v>153</v>
      </c>
    </row>
    <row r="114" spans="19:19" x14ac:dyDescent="0.25">
      <c r="S114" t="s">
        <v>242</v>
      </c>
    </row>
    <row r="115" spans="19:19" x14ac:dyDescent="0.25">
      <c r="S115" t="s">
        <v>29</v>
      </c>
    </row>
    <row r="116" spans="19:19" x14ac:dyDescent="0.25">
      <c r="S116" t="s">
        <v>98</v>
      </c>
    </row>
    <row r="117" spans="19:19" x14ac:dyDescent="0.25">
      <c r="S117" t="s">
        <v>245</v>
      </c>
    </row>
    <row r="118" spans="19:19" x14ac:dyDescent="0.25">
      <c r="S118" t="s">
        <v>248</v>
      </c>
    </row>
    <row r="119" spans="19:19" x14ac:dyDescent="0.25">
      <c r="S119" t="s">
        <v>159</v>
      </c>
    </row>
    <row r="120" spans="19:19" x14ac:dyDescent="0.25">
      <c r="S120" t="s">
        <v>195</v>
      </c>
    </row>
    <row r="121" spans="19:19" x14ac:dyDescent="0.25">
      <c r="S121" t="s">
        <v>202</v>
      </c>
    </row>
    <row r="122" spans="19:19" x14ac:dyDescent="0.25">
      <c r="S122" t="s">
        <v>27</v>
      </c>
    </row>
    <row r="123" spans="19:19" x14ac:dyDescent="0.25">
      <c r="S123" t="s">
        <v>78</v>
      </c>
    </row>
    <row r="124" spans="19:19" x14ac:dyDescent="0.25">
      <c r="S124" t="s">
        <v>92</v>
      </c>
    </row>
    <row r="125" spans="19:19" x14ac:dyDescent="0.25">
      <c r="S125" t="s">
        <v>104</v>
      </c>
    </row>
    <row r="126" spans="19:19" x14ac:dyDescent="0.25">
      <c r="S126" t="s">
        <v>117</v>
      </c>
    </row>
    <row r="127" spans="19:19" x14ac:dyDescent="0.25">
      <c r="S127" t="s">
        <v>128</v>
      </c>
    </row>
  </sheetData>
  <sortState xmlns:xlrd2="http://schemas.microsoft.com/office/spreadsheetml/2017/richdata2" ref="J2:J10">
    <sortCondition ref="J2:J1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E114"/>
  <sheetViews>
    <sheetView topLeftCell="A25" workbookViewId="0">
      <selection activeCell="C36" sqref="C36:C114"/>
    </sheetView>
  </sheetViews>
  <sheetFormatPr defaultRowHeight="15" x14ac:dyDescent="0.25"/>
  <cols>
    <col min="1" max="1" width="14.140625" bestFit="1" customWidth="1"/>
    <col min="2" max="2" width="31" bestFit="1" customWidth="1"/>
    <col min="3" max="3" width="31" customWidth="1"/>
    <col min="4" max="4" width="19.7109375" customWidth="1"/>
    <col min="8" max="8" width="26.7109375" bestFit="1" customWidth="1"/>
  </cols>
  <sheetData>
    <row r="1" spans="1:5" x14ac:dyDescent="0.25">
      <c r="A1" s="1" t="s">
        <v>489</v>
      </c>
      <c r="B1" s="1" t="s">
        <v>504</v>
      </c>
      <c r="C1" s="1" t="s">
        <v>614</v>
      </c>
      <c r="D1" s="1" t="s">
        <v>33</v>
      </c>
      <c r="E1" s="3" t="s">
        <v>490</v>
      </c>
    </row>
    <row r="2" spans="1:5" x14ac:dyDescent="0.25">
      <c r="A2" t="str">
        <f>IF(ISBLANK(User_Info!B5),"",User_Info!B5)</f>
        <v>jennifer.moore</v>
      </c>
      <c r="B2" t="str">
        <f>IF(ISBLANK(Mgt_Unit!$C5),"",Mgt_Unit!$C5)</f>
        <v>NAPESHM_MXAG01_1</v>
      </c>
      <c r="C2" t="str">
        <f>IF(ISBLANK(Crop_Diversity!$C5),"",Crop_Diversity!$C5)</f>
        <v>NAPESHM_MXAG01_1</v>
      </c>
      <c r="D2" t="s">
        <v>282</v>
      </c>
      <c r="E2">
        <v>0.25</v>
      </c>
    </row>
    <row r="3" spans="1:5" x14ac:dyDescent="0.25">
      <c r="A3" t="str">
        <f>IF(ISBLANK(User_Info!B6),"",User_Info!B6)</f>
        <v/>
      </c>
      <c r="B3" t="str">
        <f>IF(ISBLANK(Mgt_Unit!$C6),"",Mgt_Unit!$C6)</f>
        <v>NAPESHM_MXAG01_2</v>
      </c>
      <c r="C3" t="str">
        <f>IF(ISBLANK(Crop_Diversity!$C6),"",Crop_Diversity!$C6)</f>
        <v>NAPESHM_MXAG01_1</v>
      </c>
      <c r="D3" t="s">
        <v>318</v>
      </c>
      <c r="E3">
        <v>0.55000000000000004</v>
      </c>
    </row>
    <row r="4" spans="1:5" x14ac:dyDescent="0.25">
      <c r="A4" t="str">
        <f>IF(ISBLANK(User_Info!B7),"",User_Info!B7)</f>
        <v/>
      </c>
      <c r="B4" t="str">
        <f>IF(ISBLANK(Mgt_Unit!$C7),"",Mgt_Unit!$C7)</f>
        <v>NAPESHM_MXAG01_3</v>
      </c>
      <c r="C4" t="str">
        <f>IF(ISBLANK(Crop_Diversity!$C7),"",Crop_Diversity!$C7)</f>
        <v>NAPESHM_MXAG01_1</v>
      </c>
      <c r="D4" t="s">
        <v>327</v>
      </c>
      <c r="E4">
        <v>0.65</v>
      </c>
    </row>
    <row r="5" spans="1:5" x14ac:dyDescent="0.25">
      <c r="A5" t="str">
        <f>IF(ISBLANK(User_Info!B8),"",User_Info!B8)</f>
        <v/>
      </c>
      <c r="B5" t="str">
        <f>IF(ISBLANK(Mgt_Unit!$C8),"",Mgt_Unit!$C8)</f>
        <v>NAPESHM_MXAG01_4</v>
      </c>
      <c r="C5" t="str">
        <f>IF(ISBLANK(Crop_Diversity!$C8),"",Crop_Diversity!$C8)</f>
        <v>NAPESHM_MXAG01_1</v>
      </c>
      <c r="D5" t="s">
        <v>340</v>
      </c>
      <c r="E5">
        <v>0.85</v>
      </c>
    </row>
    <row r="6" spans="1:5" x14ac:dyDescent="0.25">
      <c r="A6" t="str">
        <f>IF(ISBLANK(User_Info!B9),"",User_Info!B9)</f>
        <v/>
      </c>
      <c r="B6" t="str">
        <f>IF(ISBLANK(Mgt_Unit!$C9),"",Mgt_Unit!$C9)</f>
        <v>NAPESHM_MXAG01_5</v>
      </c>
      <c r="C6" t="str">
        <f>IF(ISBLANK(Crop_Diversity!$C9),"",Crop_Diversity!$C9)</f>
        <v>NAPESHM_MXAG01_1</v>
      </c>
      <c r="D6" t="s">
        <v>319</v>
      </c>
      <c r="E6">
        <v>0.55000000000000004</v>
      </c>
    </row>
    <row r="7" spans="1:5" x14ac:dyDescent="0.25">
      <c r="A7" t="str">
        <f>IF(ISBLANK(User_Info!B10),"",User_Info!B10)</f>
        <v/>
      </c>
      <c r="B7" t="str">
        <f>IF(ISBLANK(Mgt_Unit!$C10),"",Mgt_Unit!$C10)</f>
        <v>NAPESHM_MXEM01_6</v>
      </c>
      <c r="C7" t="str">
        <f>IF(ISBLANK(Crop_Diversity!$C10),"",Crop_Diversity!$C10)</f>
        <v>NAPESHM_MXAG01_2</v>
      </c>
      <c r="D7" t="s">
        <v>293</v>
      </c>
      <c r="E7">
        <v>0.25</v>
      </c>
    </row>
    <row r="8" spans="1:5" x14ac:dyDescent="0.25">
      <c r="A8" t="str">
        <f>IF(ISBLANK(User_Info!B11),"",User_Info!B11)</f>
        <v/>
      </c>
      <c r="B8" t="str">
        <f>IF(ISBLANK(Mgt_Unit!$C11),"",Mgt_Unit!$C11)</f>
        <v>NAPESHM_MXEM01_7</v>
      </c>
      <c r="C8" t="str">
        <f>IF(ISBLANK(Crop_Diversity!$C11),"",Crop_Diversity!$C11)</f>
        <v>NAPESHM_MXAG01_2</v>
      </c>
      <c r="D8" t="s">
        <v>413</v>
      </c>
      <c r="E8">
        <v>0.25</v>
      </c>
    </row>
    <row r="9" spans="1:5" x14ac:dyDescent="0.25">
      <c r="A9" t="str">
        <f>IF(ISBLANK(User_Info!B12),"",User_Info!B12)</f>
        <v/>
      </c>
      <c r="B9" t="str">
        <f>IF(ISBLANK(Mgt_Unit!$C12),"",Mgt_Unit!$C12)</f>
        <v>NAPESHM_MXEM01_8</v>
      </c>
      <c r="C9" t="str">
        <f>IF(ISBLANK(Crop_Diversity!$C12),"",Crop_Diversity!$C12)</f>
        <v>NAPESHM_MXAG01_2</v>
      </c>
      <c r="D9" t="s">
        <v>298</v>
      </c>
      <c r="E9">
        <v>0.3</v>
      </c>
    </row>
    <row r="10" spans="1:5" x14ac:dyDescent="0.25">
      <c r="A10" t="str">
        <f>IF(ISBLANK(User_Info!B13),"",User_Info!B13)</f>
        <v/>
      </c>
      <c r="B10" t="str">
        <f>IF(ISBLANK(Mgt_Unit!$C13),"",Mgt_Unit!$C13)</f>
        <v>NAPESHM_MXEM01_9</v>
      </c>
      <c r="C10" t="str">
        <f>IF(ISBLANK(Crop_Diversity!$C13),"",Crop_Diversity!$C13)</f>
        <v>NAPESHM_MXAG01_2</v>
      </c>
      <c r="D10" t="s">
        <v>312</v>
      </c>
      <c r="E10">
        <v>0.5</v>
      </c>
    </row>
    <row r="11" spans="1:5" x14ac:dyDescent="0.25">
      <c r="A11" t="str">
        <f>IF(ISBLANK(User_Info!B14),"",User_Info!B14)</f>
        <v/>
      </c>
      <c r="B11" t="str">
        <f>IF(ISBLANK(Mgt_Unit!$C14),"",Mgt_Unit!$C14)</f>
        <v>NAPESHM_MXEM01_10</v>
      </c>
      <c r="C11" t="str">
        <f>IF(ISBLANK(Crop_Diversity!$C14),"",Crop_Diversity!$C14)</f>
        <v>NAPESHM_MXAG01_2</v>
      </c>
      <c r="D11" t="s">
        <v>273</v>
      </c>
      <c r="E11">
        <v>0.1</v>
      </c>
    </row>
    <row r="12" spans="1:5" x14ac:dyDescent="0.25">
      <c r="A12" t="str">
        <f>IF(ISBLANK(User_Info!B15),"",User_Info!B15)</f>
        <v/>
      </c>
      <c r="B12" t="str">
        <f>IF(ISBLANK(Mgt_Unit!$C15),"",Mgt_Unit!$C15)</f>
        <v>NAPESHM_MXEM01_11</v>
      </c>
      <c r="C12" t="str">
        <f>IF(ISBLANK(Crop_Diversity!$C15),"",Crop_Diversity!$C15)</f>
        <v>NAPESHM_MXAG01_3</v>
      </c>
      <c r="D12" t="s">
        <v>278</v>
      </c>
      <c r="E12">
        <v>0.25</v>
      </c>
    </row>
    <row r="13" spans="1:5" x14ac:dyDescent="0.25">
      <c r="A13" t="str">
        <f>IF(ISBLANK(User_Info!B16),"",User_Info!B16)</f>
        <v/>
      </c>
      <c r="B13" t="str">
        <f>IF(ISBLANK(Mgt_Unit!$C16),"",Mgt_Unit!$C16)</f>
        <v>NAPESHM_MXEM01_12</v>
      </c>
      <c r="C13" t="str">
        <f>IF(ISBLANK(Crop_Diversity!$C16),"",Crop_Diversity!$C16)</f>
        <v>NAPESHM_MXAG01_3</v>
      </c>
      <c r="D13" t="s">
        <v>305</v>
      </c>
      <c r="E13">
        <v>0.35</v>
      </c>
    </row>
    <row r="14" spans="1:5" x14ac:dyDescent="0.25">
      <c r="A14" t="str">
        <f>IF(ISBLANK(User_Info!B17),"",User_Info!B17)</f>
        <v/>
      </c>
      <c r="B14" t="str">
        <f>IF(ISBLANK(Mgt_Unit!$C17),"",Mgt_Unit!$C17)</f>
        <v>NAPESHM_MXEM01_13</v>
      </c>
      <c r="C14" t="str">
        <f>IF(ISBLANK(Crop_Diversity!$C17),"",Crop_Diversity!$C17)</f>
        <v>NAPESHM_MXAG01_3</v>
      </c>
      <c r="D14" t="s">
        <v>414</v>
      </c>
      <c r="E14">
        <v>0.3</v>
      </c>
    </row>
    <row r="15" spans="1:5" x14ac:dyDescent="0.25">
      <c r="A15" t="str">
        <f>IF(ISBLANK(User_Info!B18),"",User_Info!B18)</f>
        <v/>
      </c>
      <c r="B15" t="str">
        <f>IF(ISBLANK(Mgt_Unit!$C18),"",Mgt_Unit!$C18)</f>
        <v>NAPESHM_MXEM01_14</v>
      </c>
      <c r="C15" t="str">
        <f>IF(ISBLANK(Crop_Diversity!$C18),"",Crop_Diversity!$C18)</f>
        <v>NAPESHM_MXAG01_3</v>
      </c>
      <c r="D15" t="s">
        <v>294</v>
      </c>
      <c r="E15">
        <v>0.25</v>
      </c>
    </row>
    <row r="16" spans="1:5" x14ac:dyDescent="0.25">
      <c r="A16" t="str">
        <f>IF(ISBLANK(User_Info!B19),"",User_Info!B19)</f>
        <v/>
      </c>
      <c r="B16" t="str">
        <f>IF(ISBLANK(Mgt_Unit!$C19),"",Mgt_Unit!$C19)</f>
        <v>NAPESHM_MXEM01_15</v>
      </c>
      <c r="C16" t="str">
        <f>IF(ISBLANK(Crop_Diversity!$C19),"",Crop_Diversity!$C19)</f>
        <v>NAPESHM_MXAG01_3</v>
      </c>
      <c r="D16" t="s">
        <v>421</v>
      </c>
      <c r="E16">
        <v>0.5</v>
      </c>
    </row>
    <row r="17" spans="1:5" x14ac:dyDescent="0.25">
      <c r="A17" t="str">
        <f>IF(ISBLANK(User_Info!B20),"",User_Info!B20)</f>
        <v/>
      </c>
      <c r="B17" t="str">
        <f>IF(ISBLANK(Mgt_Unit!$C20),"",Mgt_Unit!$C20)</f>
        <v>NAPESHM_MXEM01_16</v>
      </c>
      <c r="C17" t="str">
        <f>IF(ISBLANK(Crop_Diversity!$C20),"",Crop_Diversity!$C20)</f>
        <v>NAPESHM_MXAG01_4</v>
      </c>
      <c r="D17" t="s">
        <v>320</v>
      </c>
      <c r="E17">
        <v>0.55000000000000004</v>
      </c>
    </row>
    <row r="18" spans="1:5" x14ac:dyDescent="0.25">
      <c r="A18" t="str">
        <f>IF(ISBLANK(User_Info!B21),"",User_Info!B21)</f>
        <v/>
      </c>
      <c r="B18" t="str">
        <f>IF(ISBLANK(Mgt_Unit!$C21),"",Mgt_Unit!$C21)</f>
        <v>NAPESHM_MXEM01_17</v>
      </c>
      <c r="C18" t="str">
        <f>IF(ISBLANK(Crop_Diversity!$C21),"",Crop_Diversity!$C21)</f>
        <v>NAPESHM_MXAG01_4</v>
      </c>
      <c r="D18" t="s">
        <v>321</v>
      </c>
      <c r="E18">
        <v>0.55000000000000004</v>
      </c>
    </row>
    <row r="19" spans="1:5" x14ac:dyDescent="0.25">
      <c r="A19" t="str">
        <f>IF(ISBLANK(User_Info!B22),"",User_Info!B22)</f>
        <v/>
      </c>
      <c r="B19" t="str">
        <f>IF(ISBLANK(Mgt_Unit!$C22),"",Mgt_Unit!$C22)</f>
        <v>NAPESHM_MXEM01_18</v>
      </c>
      <c r="C19" t="str">
        <f>IF(ISBLANK(Crop_Diversity!$C22),"",Crop_Diversity!$C22)</f>
        <v>NAPESHM_MXAG01_4</v>
      </c>
      <c r="D19" t="s">
        <v>287</v>
      </c>
      <c r="E19">
        <v>0.85</v>
      </c>
    </row>
    <row r="20" spans="1:5" x14ac:dyDescent="0.25">
      <c r="A20" t="str">
        <f>IF(ISBLANK(User_Info!B23),"",User_Info!B23)</f>
        <v/>
      </c>
      <c r="B20" t="str">
        <f>IF(ISBLANK(Mgt_Unit!$C23),"",Mgt_Unit!$C23)</f>
        <v>NAPESHM_MXEM01_19</v>
      </c>
      <c r="C20" t="str">
        <f>IF(ISBLANK(Crop_Diversity!$C23),"",Crop_Diversity!$C23)</f>
        <v>NAPESHM_MXAG01_4</v>
      </c>
      <c r="D20" t="s">
        <v>322</v>
      </c>
      <c r="E20">
        <v>0.55000000000000004</v>
      </c>
    </row>
    <row r="21" spans="1:5" x14ac:dyDescent="0.25">
      <c r="A21" t="str">
        <f>IF(ISBLANK(User_Info!B24),"",User_Info!B24)</f>
        <v/>
      </c>
      <c r="B21" t="str">
        <f>IF(ISBLANK(Mgt_Unit!$C24),"",Mgt_Unit!$C24)</f>
        <v>NAPESHM_MXEM01_20</v>
      </c>
      <c r="C21" t="str">
        <f>IF(ISBLANK(Crop_Diversity!$C24),"",Crop_Diversity!$C24)</f>
        <v>NAPESHM_MXAG01_4</v>
      </c>
      <c r="D21" t="s">
        <v>276</v>
      </c>
      <c r="E21">
        <v>0.1</v>
      </c>
    </row>
    <row r="22" spans="1:5" x14ac:dyDescent="0.25">
      <c r="A22" t="str">
        <f>IF(ISBLANK(User_Info!B25),"",User_Info!B25)</f>
        <v/>
      </c>
      <c r="B22" t="str">
        <f>IF(ISBLANK(Mgt_Unit!$C25),"",Mgt_Unit!$C25)</f>
        <v>NAPESHM_MXEM01_21</v>
      </c>
      <c r="C22" t="str">
        <f>IF(ISBLANK(Crop_Diversity!$C25),"",Crop_Diversity!$C25)</f>
        <v>NAPESHM_MXAG01_5</v>
      </c>
      <c r="D22" t="s">
        <v>300</v>
      </c>
      <c r="E22">
        <v>0.3</v>
      </c>
    </row>
    <row r="23" spans="1:5" x14ac:dyDescent="0.25">
      <c r="A23" t="str">
        <f>IF(ISBLANK(User_Info!B26),"",User_Info!B26)</f>
        <v/>
      </c>
      <c r="B23" t="str">
        <f>IF(ISBLANK(Mgt_Unit!$C26),"",Mgt_Unit!$C26)</f>
        <v>NAPESHM_MXEM01_22</v>
      </c>
      <c r="C23" t="str">
        <f>IF(ISBLANK(Crop_Diversity!$C26),"",Crop_Diversity!$C26)</f>
        <v>NAPESHM_MXAG01_5</v>
      </c>
      <c r="D23" t="s">
        <v>292</v>
      </c>
      <c r="E23">
        <v>0.55000000000000004</v>
      </c>
    </row>
    <row r="24" spans="1:5" x14ac:dyDescent="0.25">
      <c r="A24" t="str">
        <f>IF(ISBLANK(User_Info!B27),"",User_Info!B27)</f>
        <v/>
      </c>
      <c r="B24" t="str">
        <f>IF(ISBLANK(Mgt_Unit!$C27),"",Mgt_Unit!$C27)</f>
        <v>NAPESHM_MXEM01_23</v>
      </c>
      <c r="C24" t="str">
        <f>IF(ISBLANK(Crop_Diversity!$C27),"",Crop_Diversity!$C27)</f>
        <v>NAPESHM_MXAG01_5</v>
      </c>
      <c r="D24" t="s">
        <v>274</v>
      </c>
      <c r="E24">
        <v>0.2</v>
      </c>
    </row>
    <row r="25" spans="1:5" x14ac:dyDescent="0.25">
      <c r="A25" t="str">
        <f>IF(ISBLANK(User_Info!B28),"",User_Info!B28)</f>
        <v/>
      </c>
      <c r="B25" t="str">
        <f>IF(ISBLANK(Mgt_Unit!$C28),"",Mgt_Unit!$C28)</f>
        <v>NAPESHM_MXEM02_24</v>
      </c>
      <c r="C25" t="str">
        <f>IF(ISBLANK(Crop_Diversity!$C28),"",Crop_Diversity!$C28)</f>
        <v>NAPESHM_MXAG01_5</v>
      </c>
      <c r="D25" t="s">
        <v>279</v>
      </c>
      <c r="E25">
        <v>0.1</v>
      </c>
    </row>
    <row r="26" spans="1:5" x14ac:dyDescent="0.25">
      <c r="A26" t="str">
        <f>IF(ISBLANK(User_Info!B29),"",User_Info!B29)</f>
        <v/>
      </c>
      <c r="B26" t="str">
        <f>IF(ISBLANK(Mgt_Unit!$C29),"",Mgt_Unit!$C29)</f>
        <v>NAPESHM_MXEM02_25</v>
      </c>
      <c r="C26" t="str">
        <f>IF(ISBLANK(Crop_Diversity!$C29),"",Crop_Diversity!$C29)</f>
        <v>NAPESHM_MXAG01_5</v>
      </c>
      <c r="D26" t="s">
        <v>328</v>
      </c>
      <c r="E26">
        <v>0.7</v>
      </c>
    </row>
    <row r="27" spans="1:5" x14ac:dyDescent="0.25">
      <c r="A27" t="str">
        <f>IF(ISBLANK(User_Info!B30),"",User_Info!B30)</f>
        <v/>
      </c>
      <c r="B27" t="str">
        <f>IF(ISBLANK(Mgt_Unit!$C30),"",Mgt_Unit!$C30)</f>
        <v>NAPESHM_MXEM02_26</v>
      </c>
      <c r="C27" t="str">
        <f>IF(ISBLANK(Crop_Diversity!$C30),"",Crop_Diversity!$C30)</f>
        <v>NAPESHM_MXEM01_10</v>
      </c>
      <c r="D27" t="s">
        <v>336</v>
      </c>
      <c r="E27">
        <v>0.75</v>
      </c>
    </row>
    <row r="28" spans="1:5" x14ac:dyDescent="0.25">
      <c r="A28" t="str">
        <f>IF(ISBLANK(User_Info!B31),"",User_Info!B31)</f>
        <v/>
      </c>
      <c r="B28" t="str">
        <f>IF(ISBLANK(Mgt_Unit!$C31),"",Mgt_Unit!$C31)</f>
        <v>NAPESHM_MXEM02_27</v>
      </c>
      <c r="C28" t="str">
        <f>IF(ISBLANK(Crop_Diversity!$C31),"",Crop_Diversity!$C31)</f>
        <v>NAPESHM_MXEM01_10</v>
      </c>
      <c r="D28" t="s">
        <v>277</v>
      </c>
      <c r="E28">
        <v>0.2</v>
      </c>
    </row>
    <row r="29" spans="1:5" x14ac:dyDescent="0.25">
      <c r="A29" t="str">
        <f>IF(ISBLANK(User_Info!B32),"",User_Info!B32)</f>
        <v/>
      </c>
      <c r="B29" t="str">
        <f>IF(ISBLANK(Mgt_Unit!$C32),"",Mgt_Unit!$C32)</f>
        <v>NAPESHM_MXEM02_28</v>
      </c>
      <c r="C29" t="str">
        <f>IF(ISBLANK(Crop_Diversity!$C32),"",Crop_Diversity!$C32)</f>
        <v>NAPESHM_MXEM01_11</v>
      </c>
      <c r="D29" t="s">
        <v>313</v>
      </c>
      <c r="E29">
        <v>0.5</v>
      </c>
    </row>
    <row r="30" spans="1:5" x14ac:dyDescent="0.25">
      <c r="A30" t="str">
        <f>IF(ISBLANK(User_Info!B33),"",User_Info!B33)</f>
        <v/>
      </c>
      <c r="B30" t="str">
        <f>IF(ISBLANK(Mgt_Unit!$C33),"",Mgt_Unit!$C33)</f>
        <v>NAPESHM_MXEM02_29</v>
      </c>
      <c r="C30" t="str">
        <f>IF(ISBLANK(Crop_Diversity!$C33),"",Crop_Diversity!$C33)</f>
        <v>NAPESHM_MXEM01_11</v>
      </c>
      <c r="D30" t="s">
        <v>314</v>
      </c>
      <c r="E30">
        <v>0.5</v>
      </c>
    </row>
    <row r="31" spans="1:5" x14ac:dyDescent="0.25">
      <c r="A31" t="str">
        <f>IF(ISBLANK(User_Info!B34),"",User_Info!B34)</f>
        <v/>
      </c>
      <c r="B31" t="str">
        <f>IF(ISBLANK(Mgt_Unit!$C34),"",Mgt_Unit!$C34)</f>
        <v>NAPESHM_MXEM03_30</v>
      </c>
      <c r="C31" t="str">
        <f>IF(ISBLANK(Crop_Diversity!$C34),"",Crop_Diversity!$C34)</f>
        <v>NAPESHM_MXEM01_12</v>
      </c>
      <c r="D31" t="s">
        <v>301</v>
      </c>
      <c r="E31">
        <v>0.3</v>
      </c>
    </row>
    <row r="32" spans="1:5" x14ac:dyDescent="0.25">
      <c r="A32" t="str">
        <f>IF(ISBLANK(User_Info!B35),"",User_Info!B35)</f>
        <v/>
      </c>
      <c r="B32" t="str">
        <f>IF(ISBLANK(Mgt_Unit!$C35),"",Mgt_Unit!$C35)</f>
        <v>NAPESHM_MXEM03_31</v>
      </c>
      <c r="C32" t="str">
        <f>IF(ISBLANK(Crop_Diversity!$C35),"",Crop_Diversity!$C35)</f>
        <v>NAPESHM_MXEM01_12</v>
      </c>
      <c r="D32" t="s">
        <v>302</v>
      </c>
      <c r="E32">
        <v>0.3</v>
      </c>
    </row>
    <row r="33" spans="1:5" x14ac:dyDescent="0.25">
      <c r="A33" t="str">
        <f>IF(ISBLANK(User_Info!B36),"",User_Info!B36)</f>
        <v/>
      </c>
      <c r="B33" t="str">
        <f>IF(ISBLANK(Mgt_Unit!$C36),"",Mgt_Unit!$C36)</f>
        <v>NAPESHM_MXEM03_32</v>
      </c>
      <c r="C33" t="str">
        <f>IF(ISBLANK(Crop_Diversity!$C36),"",Crop_Diversity!$C36)</f>
        <v>NAPESHM_MXEM01_13</v>
      </c>
      <c r="D33" t="s">
        <v>315</v>
      </c>
      <c r="E33">
        <v>0.5</v>
      </c>
    </row>
    <row r="34" spans="1:5" x14ac:dyDescent="0.25">
      <c r="A34" t="str">
        <f>IF(ISBLANK(User_Info!B37),"",User_Info!B37)</f>
        <v/>
      </c>
      <c r="B34" t="str">
        <f>IF(ISBLANK(Mgt_Unit!$C37),"",Mgt_Unit!$C37)</f>
        <v>NAPESHM_MXEM03_33</v>
      </c>
      <c r="C34" t="str">
        <f>IF(ISBLANK(Crop_Diversity!$C37),"",Crop_Diversity!$C37)</f>
        <v>NAPESHM_MXEM01_13</v>
      </c>
      <c r="D34" t="s">
        <v>290</v>
      </c>
      <c r="E34">
        <v>0.15</v>
      </c>
    </row>
    <row r="35" spans="1:5" x14ac:dyDescent="0.25">
      <c r="A35" t="str">
        <f>IF(ISBLANK(User_Info!B38),"",User_Info!B38)</f>
        <v/>
      </c>
      <c r="B35" t="str">
        <f>IF(ISBLANK(Mgt_Unit!$C38),"",Mgt_Unit!$C38)</f>
        <v>NAPESHM_MXEM03_34</v>
      </c>
      <c r="C35" t="str">
        <f>IF(ISBLANK(Crop_Diversity!$C38),"",Crop_Diversity!$C38)</f>
        <v>NAPESHM_MXEM01_14</v>
      </c>
      <c r="D35" t="s">
        <v>309</v>
      </c>
      <c r="E35">
        <v>0.45</v>
      </c>
    </row>
    <row r="36" spans="1:5" x14ac:dyDescent="0.25">
      <c r="A36" t="str">
        <f>IF(ISBLANK(User_Info!B39),"",User_Info!B39)</f>
        <v/>
      </c>
      <c r="B36" t="str">
        <f>IF(ISBLANK(Mgt_Unit!$C39),"",Mgt_Unit!$C39)</f>
        <v>NAPESHM_MXGT01_35</v>
      </c>
      <c r="C36" t="str">
        <f>IF(ISBLANK(Crop_Diversity!$C39),"",Crop_Diversity!$C39)</f>
        <v>NAPESHM_MXEM01_14</v>
      </c>
      <c r="D36" t="s">
        <v>329</v>
      </c>
      <c r="E36">
        <v>0.7</v>
      </c>
    </row>
    <row r="37" spans="1:5" x14ac:dyDescent="0.25">
      <c r="A37" t="str">
        <f>IF(ISBLANK(User_Info!B40),"",User_Info!B40)</f>
        <v/>
      </c>
      <c r="B37" t="str">
        <f>IF(ISBLANK(Mgt_Unit!$C40),"",Mgt_Unit!$C40)</f>
        <v>NAPESHM_MXGT01_36</v>
      </c>
      <c r="C37" t="str">
        <f>IF(ISBLANK(Crop_Diversity!$C40),"",Crop_Diversity!$C40)</f>
        <v>NAPESHM_MXEM01_15</v>
      </c>
      <c r="D37" t="s">
        <v>291</v>
      </c>
      <c r="E37">
        <v>0.95</v>
      </c>
    </row>
    <row r="38" spans="1:5" x14ac:dyDescent="0.25">
      <c r="A38" t="str">
        <f>IF(ISBLANK(User_Info!B41),"",User_Info!B41)</f>
        <v/>
      </c>
      <c r="B38" t="str">
        <f>IF(ISBLANK(Mgt_Unit!$C41),"",Mgt_Unit!$C41)</f>
        <v>NAPESHM_MXGT01_37</v>
      </c>
      <c r="C38" t="str">
        <f>IF(ISBLANK(Crop_Diversity!$C41),"",Crop_Diversity!$C41)</f>
        <v>NAPESHM_MXEM01_16</v>
      </c>
      <c r="D38" t="s">
        <v>303</v>
      </c>
      <c r="E38">
        <v>0.3</v>
      </c>
    </row>
    <row r="39" spans="1:5" x14ac:dyDescent="0.25">
      <c r="A39" t="str">
        <f>IF(ISBLANK(User_Info!B42),"",User_Info!B42)</f>
        <v/>
      </c>
      <c r="B39" t="str">
        <f>IF(ISBLANK(Mgt_Unit!$C42),"",Mgt_Unit!$C42)</f>
        <v>NAPESHM_MXGT01_38</v>
      </c>
      <c r="C39" t="str">
        <f>IF(ISBLANK(Crop_Diversity!$C42),"",Crop_Diversity!$C42)</f>
        <v>NAPESHM_MXEM01_16</v>
      </c>
      <c r="D39" t="s">
        <v>330</v>
      </c>
      <c r="E39">
        <v>0.7</v>
      </c>
    </row>
    <row r="40" spans="1:5" x14ac:dyDescent="0.25">
      <c r="A40" t="str">
        <f>IF(ISBLANK(User_Info!B43),"",User_Info!B43)</f>
        <v/>
      </c>
      <c r="B40" t="str">
        <f>IF(ISBLANK(Mgt_Unit!$C43),"",Mgt_Unit!$C43)</f>
        <v>NAPESHM_MXGT01_39</v>
      </c>
      <c r="C40" t="str">
        <f>IF(ISBLANK(Crop_Diversity!$C43),"",Crop_Diversity!$C43)</f>
        <v>NAPESHM_MXEM01_16</v>
      </c>
      <c r="D40" t="s">
        <v>323</v>
      </c>
      <c r="E40">
        <v>0.55000000000000004</v>
      </c>
    </row>
    <row r="41" spans="1:5" x14ac:dyDescent="0.25">
      <c r="A41" t="str">
        <f>IF(ISBLANK(User_Info!B44),"",User_Info!B44)</f>
        <v/>
      </c>
      <c r="B41" t="str">
        <f>IF(ISBLANK(Mgt_Unit!$C44),"",Mgt_Unit!$C44)</f>
        <v>NAPESHM_MXGT01_40</v>
      </c>
      <c r="C41" t="str">
        <f>IF(ISBLANK(Crop_Diversity!$C44),"",Crop_Diversity!$C44)</f>
        <v>NAPESHM_MXEM01_17</v>
      </c>
      <c r="D41" t="s">
        <v>325</v>
      </c>
      <c r="E41">
        <v>0.6</v>
      </c>
    </row>
    <row r="42" spans="1:5" x14ac:dyDescent="0.25">
      <c r="A42" t="str">
        <f>IF(ISBLANK(User_Info!B45),"",User_Info!B45)</f>
        <v/>
      </c>
      <c r="B42" t="str">
        <f>IF(ISBLANK(Mgt_Unit!$C45),"",Mgt_Unit!$C45)</f>
        <v>NAPESHM_MXGT01_41</v>
      </c>
      <c r="C42" t="str">
        <f>IF(ISBLANK(Crop_Diversity!$C45),"",Crop_Diversity!$C45)</f>
        <v>NAPESHM_MXEM01_18</v>
      </c>
      <c r="D42" t="s">
        <v>306</v>
      </c>
      <c r="E42">
        <v>0.35</v>
      </c>
    </row>
    <row r="43" spans="1:5" x14ac:dyDescent="0.25">
      <c r="A43" t="str">
        <f>IF(ISBLANK(User_Info!B46),"",User_Info!B46)</f>
        <v/>
      </c>
      <c r="B43" t="str">
        <f>IF(ISBLANK(Mgt_Unit!$C46),"",Mgt_Unit!$C46)</f>
        <v>NAPESHM_MXGT01_42</v>
      </c>
      <c r="C43" t="str">
        <f>IF(ISBLANK(Crop_Diversity!$C46),"",Crop_Diversity!$C46)</f>
        <v>NAPESHM_MXEM01_19</v>
      </c>
      <c r="D43" t="s">
        <v>280</v>
      </c>
      <c r="E43">
        <v>0.15</v>
      </c>
    </row>
    <row r="44" spans="1:5" x14ac:dyDescent="0.25">
      <c r="C44" t="str">
        <f>IF(ISBLANK(Crop_Diversity!$C47),"",Crop_Diversity!$C47)</f>
        <v>NAPESHM_MXEM01_19</v>
      </c>
      <c r="D44" t="s">
        <v>331</v>
      </c>
      <c r="E44">
        <v>0.7</v>
      </c>
    </row>
    <row r="45" spans="1:5" x14ac:dyDescent="0.25">
      <c r="C45" t="str">
        <f>IF(ISBLANK(Crop_Diversity!$C48),"",Crop_Diversity!$C48)</f>
        <v>NAPESHM_MXEM01_20</v>
      </c>
      <c r="D45" t="s">
        <v>288</v>
      </c>
      <c r="E45">
        <v>0.4</v>
      </c>
    </row>
    <row r="46" spans="1:5" x14ac:dyDescent="0.25">
      <c r="C46" t="str">
        <f>IF(ISBLANK(Crop_Diversity!$C49),"",Crop_Diversity!$C49)</f>
        <v>NAPESHM_MXEM01_20</v>
      </c>
      <c r="D46" t="s">
        <v>275</v>
      </c>
      <c r="E46">
        <v>0.1</v>
      </c>
    </row>
    <row r="47" spans="1:5" x14ac:dyDescent="0.25">
      <c r="C47" t="str">
        <f>IF(ISBLANK(Crop_Diversity!$C50),"",Crop_Diversity!$C50)</f>
        <v>NAPESHM_MXEM01_21</v>
      </c>
      <c r="D47" t="s">
        <v>295</v>
      </c>
      <c r="E47">
        <v>0.25</v>
      </c>
    </row>
    <row r="48" spans="1:5" x14ac:dyDescent="0.25">
      <c r="C48" t="str">
        <f>IF(ISBLANK(Crop_Diversity!$C51),"",Crop_Diversity!$C51)</f>
        <v>NAPESHM_MXEM01_21</v>
      </c>
      <c r="D48" t="s">
        <v>304</v>
      </c>
      <c r="E48">
        <v>0.3</v>
      </c>
    </row>
    <row r="49" spans="3:5" x14ac:dyDescent="0.25">
      <c r="C49" t="str">
        <f>IF(ISBLANK(Crop_Diversity!$C52),"",Crop_Diversity!$C52)</f>
        <v>NAPESHM_MXEM01_22</v>
      </c>
      <c r="D49" t="s">
        <v>285</v>
      </c>
      <c r="E49">
        <v>0.25</v>
      </c>
    </row>
    <row r="50" spans="3:5" x14ac:dyDescent="0.25">
      <c r="C50" t="str">
        <f>IF(ISBLANK(Crop_Diversity!$C53),"",Crop_Diversity!$C53)</f>
        <v>NAPESHM_MXEM01_22</v>
      </c>
      <c r="D50" t="s">
        <v>272</v>
      </c>
      <c r="E50">
        <v>0.4</v>
      </c>
    </row>
    <row r="51" spans="3:5" x14ac:dyDescent="0.25">
      <c r="C51" t="str">
        <f>IF(ISBLANK(Crop_Diversity!$C54),"",Crop_Diversity!$C54)</f>
        <v>NAPESHM_MXEM01_23</v>
      </c>
      <c r="D51" t="s">
        <v>270</v>
      </c>
      <c r="E51">
        <v>0.05</v>
      </c>
    </row>
    <row r="52" spans="3:5" x14ac:dyDescent="0.25">
      <c r="C52" t="str">
        <f>IF(ISBLANK(Crop_Diversity!$C55),"",Crop_Diversity!$C55)</f>
        <v>NAPESHM_MXEM01_6</v>
      </c>
      <c r="D52" t="s">
        <v>289</v>
      </c>
      <c r="E52">
        <v>0.35</v>
      </c>
    </row>
    <row r="53" spans="3:5" x14ac:dyDescent="0.25">
      <c r="C53" t="str">
        <f>IF(ISBLANK(Crop_Diversity!$C56),"",Crop_Diversity!$C56)</f>
        <v>NAPESHM_MXEM01_7</v>
      </c>
      <c r="D53" t="s">
        <v>316</v>
      </c>
      <c r="E53">
        <v>0.5</v>
      </c>
    </row>
    <row r="54" spans="3:5" x14ac:dyDescent="0.25">
      <c r="C54" t="str">
        <f>IF(ISBLANK(Crop_Diversity!$C57),"",Crop_Diversity!$C57)</f>
        <v>NAPESHM_MXEM01_8</v>
      </c>
      <c r="D54" t="s">
        <v>286</v>
      </c>
      <c r="E54">
        <v>0.1</v>
      </c>
    </row>
    <row r="55" spans="3:5" x14ac:dyDescent="0.25">
      <c r="C55" t="str">
        <f>IF(ISBLANK(Crop_Diversity!$C58),"",Crop_Diversity!$C58)</f>
        <v>NAPESHM_MXEM01_9</v>
      </c>
      <c r="D55" t="s">
        <v>337</v>
      </c>
      <c r="E55">
        <v>0.8</v>
      </c>
    </row>
    <row r="56" spans="3:5" x14ac:dyDescent="0.25">
      <c r="C56" t="str">
        <f>IF(ISBLANK(Crop_Diversity!$C59),"",Crop_Diversity!$C59)</f>
        <v>NAPESHM_MXEM02_24</v>
      </c>
      <c r="D56" t="s">
        <v>338</v>
      </c>
      <c r="E56">
        <v>0.8</v>
      </c>
    </row>
    <row r="57" spans="3:5" x14ac:dyDescent="0.25">
      <c r="C57" t="str">
        <f>IF(ISBLANK(Crop_Diversity!$C60),"",Crop_Diversity!$C60)</f>
        <v>NAPESHM_MXEM02_24</v>
      </c>
      <c r="D57" t="s">
        <v>339</v>
      </c>
      <c r="E57">
        <v>0.8</v>
      </c>
    </row>
    <row r="58" spans="3:5" x14ac:dyDescent="0.25">
      <c r="C58" t="str">
        <f>IF(ISBLANK(Crop_Diversity!$C61),"",Crop_Diversity!$C61)</f>
        <v>NAPESHM_MXEM02_25</v>
      </c>
      <c r="D58" t="s">
        <v>317</v>
      </c>
      <c r="E58">
        <v>0.5</v>
      </c>
    </row>
    <row r="59" spans="3:5" x14ac:dyDescent="0.25">
      <c r="C59" t="str">
        <f>IF(ISBLANK(Crop_Diversity!$C62),"",Crop_Diversity!$C62)</f>
        <v>NAPESHM_MXEM02_25</v>
      </c>
      <c r="D59" t="s">
        <v>296</v>
      </c>
      <c r="E59">
        <v>0.25</v>
      </c>
    </row>
    <row r="60" spans="3:5" x14ac:dyDescent="0.25">
      <c r="C60" t="str">
        <f>IF(ISBLANK(Crop_Diversity!$C63),"",Crop_Diversity!$C63)</f>
        <v>NAPESHM_MXEM02_26</v>
      </c>
      <c r="D60" t="s">
        <v>332</v>
      </c>
      <c r="E60">
        <v>0.7</v>
      </c>
    </row>
    <row r="61" spans="3:5" x14ac:dyDescent="0.25">
      <c r="C61" t="str">
        <f>IF(ISBLANK(Crop_Diversity!$C64),"",Crop_Diversity!$C64)</f>
        <v>NAPESHM_MXEM02_26</v>
      </c>
      <c r="D61" t="s">
        <v>307</v>
      </c>
      <c r="E61">
        <v>0.35</v>
      </c>
    </row>
    <row r="62" spans="3:5" x14ac:dyDescent="0.25">
      <c r="C62" t="str">
        <f>IF(ISBLANK(Crop_Diversity!$C65),"",Crop_Diversity!$C65)</f>
        <v>NAPESHM_MXEM02_27</v>
      </c>
      <c r="D62" t="s">
        <v>333</v>
      </c>
      <c r="E62">
        <v>0.7</v>
      </c>
    </row>
    <row r="63" spans="3:5" x14ac:dyDescent="0.25">
      <c r="C63" t="str">
        <f>IF(ISBLANK(Crop_Diversity!$C66),"",Crop_Diversity!$C66)</f>
        <v>NAPESHM_MXEM02_27</v>
      </c>
      <c r="D63" t="s">
        <v>334</v>
      </c>
      <c r="E63">
        <v>0.7</v>
      </c>
    </row>
    <row r="64" spans="3:5" x14ac:dyDescent="0.25">
      <c r="C64" t="str">
        <f>IF(ISBLANK(Crop_Diversity!$C67),"",Crop_Diversity!$C67)</f>
        <v>NAPESHM_MXEM02_28</v>
      </c>
      <c r="D64" t="s">
        <v>310</v>
      </c>
      <c r="E64">
        <v>0.45</v>
      </c>
    </row>
    <row r="65" spans="3:5" x14ac:dyDescent="0.25">
      <c r="C65" t="str">
        <f>IF(ISBLANK(Crop_Diversity!$C68),"",Crop_Diversity!$C68)</f>
        <v>NAPESHM_MXEM02_28</v>
      </c>
      <c r="D65" t="s">
        <v>324</v>
      </c>
      <c r="E65">
        <v>0.55000000000000004</v>
      </c>
    </row>
    <row r="66" spans="3:5" x14ac:dyDescent="0.25">
      <c r="C66" t="str">
        <f>IF(ISBLANK(Crop_Diversity!$C69),"",Crop_Diversity!$C69)</f>
        <v>NAPESHM_MXEM02_29</v>
      </c>
      <c r="D66" t="s">
        <v>281</v>
      </c>
      <c r="E66">
        <v>0.25</v>
      </c>
    </row>
    <row r="67" spans="3:5" x14ac:dyDescent="0.25">
      <c r="C67" t="str">
        <f>IF(ISBLANK(Crop_Diversity!$C70),"",Crop_Diversity!$C70)</f>
        <v>NAPESHM_MXEM02_29</v>
      </c>
      <c r="D67" t="s">
        <v>284</v>
      </c>
      <c r="E67">
        <v>0.35</v>
      </c>
    </row>
    <row r="68" spans="3:5" x14ac:dyDescent="0.25">
      <c r="C68" t="str">
        <f>IF(ISBLANK(Crop_Diversity!$C71),"",Crop_Diversity!$C71)</f>
        <v>NAPESHM_MXEM03_30</v>
      </c>
      <c r="D68" t="s">
        <v>271</v>
      </c>
      <c r="E68">
        <v>0.15</v>
      </c>
    </row>
    <row r="69" spans="3:5" x14ac:dyDescent="0.25">
      <c r="C69" t="str">
        <f>IF(ISBLANK(Crop_Diversity!$C72),"",Crop_Diversity!$C72)</f>
        <v>NAPESHM_MXEM03_31</v>
      </c>
      <c r="D69" t="s">
        <v>311</v>
      </c>
      <c r="E69">
        <v>0.45</v>
      </c>
    </row>
    <row r="70" spans="3:5" x14ac:dyDescent="0.25">
      <c r="C70" t="str">
        <f>IF(ISBLANK(Crop_Diversity!$C73),"",Crop_Diversity!$C73)</f>
        <v>NAPESHM_MXEM03_32</v>
      </c>
      <c r="D70" t="s">
        <v>335</v>
      </c>
      <c r="E70">
        <v>0.7</v>
      </c>
    </row>
    <row r="71" spans="3:5" x14ac:dyDescent="0.25">
      <c r="C71" t="str">
        <f>IF(ISBLANK(Crop_Diversity!$C74),"",Crop_Diversity!$C74)</f>
        <v>NAPESHM_MXEM03_33</v>
      </c>
      <c r="D71" t="s">
        <v>35</v>
      </c>
      <c r="E71">
        <v>0.55000000000000004</v>
      </c>
    </row>
    <row r="72" spans="3:5" x14ac:dyDescent="0.25">
      <c r="C72" t="str">
        <f>IF(ISBLANK(Crop_Diversity!$C75),"",Crop_Diversity!$C75)</f>
        <v>NAPESHM_MXEM03_33</v>
      </c>
      <c r="D72" t="s">
        <v>326</v>
      </c>
      <c r="E72">
        <v>0.6</v>
      </c>
    </row>
    <row r="73" spans="3:5" x14ac:dyDescent="0.25">
      <c r="C73" t="str">
        <f>IF(ISBLANK(Crop_Diversity!$C76),"",Crop_Diversity!$C76)</f>
        <v>NAPESHM_MXEM03_34</v>
      </c>
      <c r="D73" t="s">
        <v>308</v>
      </c>
      <c r="E73">
        <v>0.4</v>
      </c>
    </row>
    <row r="74" spans="3:5" x14ac:dyDescent="0.25">
      <c r="C74" t="str">
        <f>IF(ISBLANK(Crop_Diversity!$C77),"",Crop_Diversity!$C77)</f>
        <v>NAPESHM_MXEM03_34</v>
      </c>
      <c r="D74" t="s">
        <v>297</v>
      </c>
      <c r="E74">
        <v>0.25</v>
      </c>
    </row>
    <row r="75" spans="3:5" x14ac:dyDescent="0.25">
      <c r="C75" t="str">
        <f>IF(ISBLANK(Crop_Diversity!$C78),"",Crop_Diversity!$C78)</f>
        <v>NAPESHM_MXGT01_35</v>
      </c>
      <c r="D75" t="s">
        <v>415</v>
      </c>
      <c r="E75" s="18">
        <v>0.25</v>
      </c>
    </row>
    <row r="76" spans="3:5" x14ac:dyDescent="0.25">
      <c r="C76" t="str">
        <f>IF(ISBLANK(Crop_Diversity!$C79),"",Crop_Diversity!$C79)</f>
        <v>NAPESHM_MXGT01_35</v>
      </c>
      <c r="D76" t="s">
        <v>491</v>
      </c>
      <c r="E76" s="18">
        <v>0.05</v>
      </c>
    </row>
    <row r="77" spans="3:5" x14ac:dyDescent="0.25">
      <c r="C77" t="str">
        <f>IF(ISBLANK(Crop_Diversity!$C80),"",Crop_Diversity!$C80)</f>
        <v>NAPESHM_MXGT01_36</v>
      </c>
      <c r="D77" t="s">
        <v>416</v>
      </c>
      <c r="E77" s="18">
        <v>0.25</v>
      </c>
    </row>
    <row r="78" spans="3:5" x14ac:dyDescent="0.25">
      <c r="C78" t="str">
        <f>IF(ISBLANK(Crop_Diversity!$C81),"",Crop_Diversity!$C81)</f>
        <v>NAPESHM_MXGT01_36</v>
      </c>
      <c r="D78" t="s">
        <v>417</v>
      </c>
      <c r="E78" s="18">
        <v>0.05</v>
      </c>
    </row>
    <row r="79" spans="3:5" x14ac:dyDescent="0.25">
      <c r="C79" t="str">
        <f>IF(ISBLANK(Crop_Diversity!$C82),"",Crop_Diversity!$C82)</f>
        <v>NAPESHM_MXGT01_37</v>
      </c>
      <c r="D79" t="s">
        <v>418</v>
      </c>
      <c r="E79" s="18">
        <v>0.55000000000000004</v>
      </c>
    </row>
    <row r="80" spans="3:5" x14ac:dyDescent="0.25">
      <c r="C80" t="str">
        <f>IF(ISBLANK(Crop_Diversity!$C83),"",Crop_Diversity!$C83)</f>
        <v>NAPESHM_MXGT01_37</v>
      </c>
      <c r="D80" t="s">
        <v>419</v>
      </c>
      <c r="E80" s="18">
        <v>0.25</v>
      </c>
    </row>
    <row r="81" spans="3:5" x14ac:dyDescent="0.25">
      <c r="C81" t="str">
        <f>IF(ISBLANK(Crop_Diversity!$C84),"",Crop_Diversity!$C84)</f>
        <v>NAPESHM_MXGT01_38</v>
      </c>
      <c r="D81" t="s">
        <v>420</v>
      </c>
      <c r="E81" s="18">
        <v>0.05</v>
      </c>
    </row>
    <row r="82" spans="3:5" x14ac:dyDescent="0.25">
      <c r="C82" t="str">
        <f>IF(ISBLANK(Crop_Diversity!$C85),"",Crop_Diversity!$C85)</f>
        <v>NAPESHM_MXGT01_38</v>
      </c>
      <c r="D82" t="s">
        <v>394</v>
      </c>
      <c r="E82" s="18">
        <v>0.25</v>
      </c>
    </row>
    <row r="83" spans="3:5" x14ac:dyDescent="0.25">
      <c r="C83" t="str">
        <f>IF(ISBLANK(Crop_Diversity!$C86),"",Crop_Diversity!$C86)</f>
        <v>NAPESHM_MXGT01_39</v>
      </c>
    </row>
    <row r="84" spans="3:5" x14ac:dyDescent="0.25">
      <c r="C84" t="str">
        <f>IF(ISBLANK(Crop_Diversity!$C87),"",Crop_Diversity!$C87)</f>
        <v>NAPESHM_MXGT01_39</v>
      </c>
    </row>
    <row r="85" spans="3:5" x14ac:dyDescent="0.25">
      <c r="C85" t="str">
        <f>IF(ISBLANK(Crop_Diversity!$C88),"",Crop_Diversity!$C88)</f>
        <v>NAPESHM_MXGT01_40</v>
      </c>
    </row>
    <row r="86" spans="3:5" x14ac:dyDescent="0.25">
      <c r="C86" t="str">
        <f>IF(ISBLANK(Crop_Diversity!$C89),"",Crop_Diversity!$C89)</f>
        <v>NAPESHM_MXGT01_40</v>
      </c>
    </row>
    <row r="87" spans="3:5" x14ac:dyDescent="0.25">
      <c r="C87" t="str">
        <f>IF(ISBLANK(Crop_Diversity!$C90),"",Crop_Diversity!$C90)</f>
        <v>NAPESHM_MXGT01_41</v>
      </c>
    </row>
    <row r="88" spans="3:5" x14ac:dyDescent="0.25">
      <c r="C88" t="str">
        <f>IF(ISBLANK(Crop_Diversity!$C91),"",Crop_Diversity!$C91)</f>
        <v>NAPESHM_MXGT01_41</v>
      </c>
    </row>
    <row r="89" spans="3:5" x14ac:dyDescent="0.25">
      <c r="C89" t="str">
        <f>IF(ISBLANK(Crop_Diversity!$C92),"",Crop_Diversity!$C92)</f>
        <v>NAPESHM_MXGT01_42</v>
      </c>
    </row>
    <row r="90" spans="3:5" x14ac:dyDescent="0.25">
      <c r="C90" t="str">
        <f>IF(ISBLANK(Crop_Diversity!$C93),"",Crop_Diversity!$C93)</f>
        <v>NAPESHM_MXGT01_42</v>
      </c>
    </row>
    <row r="91" spans="3:5" x14ac:dyDescent="0.25">
      <c r="C91" t="str">
        <f>IF(ISBLANK(Crop_Diversity!$C94),"",Crop_Diversity!$C94)</f>
        <v>NAPESHM_MXGT01_43</v>
      </c>
    </row>
    <row r="92" spans="3:5" x14ac:dyDescent="0.25">
      <c r="C92" t="str">
        <f>IF(ISBLANK(Crop_Diversity!$C95),"",Crop_Diversity!$C95)</f>
        <v>NAPESHM_MXGT01_43</v>
      </c>
    </row>
    <row r="93" spans="3:5" x14ac:dyDescent="0.25">
      <c r="C93" t="str">
        <f>IF(ISBLANK(Crop_Diversity!$C96),"",Crop_Diversity!$C96)</f>
        <v>NAPESHM_MXHG01_44</v>
      </c>
    </row>
    <row r="94" spans="3:5" x14ac:dyDescent="0.25">
      <c r="C94" t="str">
        <f>IF(ISBLANK(Crop_Diversity!$C97),"",Crop_Diversity!$C97)</f>
        <v>NAPESHM_MXHG01_44</v>
      </c>
    </row>
    <row r="95" spans="3:5" x14ac:dyDescent="0.25">
      <c r="C95" t="str">
        <f>IF(ISBLANK(Crop_Diversity!$C98),"",Crop_Diversity!$C98)</f>
        <v>NAPESHM_MXHG01_44</v>
      </c>
    </row>
    <row r="96" spans="3:5" x14ac:dyDescent="0.25">
      <c r="C96" t="str">
        <f>IF(ISBLANK(Crop_Diversity!$C99),"",Crop_Diversity!$C99)</f>
        <v>NAPESHM_MXHG01_45</v>
      </c>
    </row>
    <row r="97" spans="3:3" x14ac:dyDescent="0.25">
      <c r="C97" t="str">
        <f>IF(ISBLANK(Crop_Diversity!$C100),"",Crop_Diversity!$C100)</f>
        <v>NAPESHM_MXHG01_45</v>
      </c>
    </row>
    <row r="98" spans="3:3" x14ac:dyDescent="0.25">
      <c r="C98" t="str">
        <f>IF(ISBLANK(Crop_Diversity!$C101),"",Crop_Diversity!$C101)</f>
        <v>NAPESHM_MXHG01_45</v>
      </c>
    </row>
    <row r="99" spans="3:3" x14ac:dyDescent="0.25">
      <c r="C99" t="str">
        <f>IF(ISBLANK(Crop_Diversity!$C102),"",Crop_Diversity!$C102)</f>
        <v>NAPESHM_MXHG01_46</v>
      </c>
    </row>
    <row r="100" spans="3:3" x14ac:dyDescent="0.25">
      <c r="C100" t="str">
        <f>IF(ISBLANK(Crop_Diversity!$C103),"",Crop_Diversity!$C103)</f>
        <v>NAPESHM_MXHG01_46</v>
      </c>
    </row>
    <row r="101" spans="3:3" x14ac:dyDescent="0.25">
      <c r="C101" t="str">
        <f>IF(ISBLANK(Crop_Diversity!$C104),"",Crop_Diversity!$C104)</f>
        <v>NAPESHM_MXHG01_46</v>
      </c>
    </row>
    <row r="102" spans="3:3" x14ac:dyDescent="0.25">
      <c r="C102" t="str">
        <f>IF(ISBLANK(Crop_Diversity!$C105),"",Crop_Diversity!$C105)</f>
        <v>NAPESHM_MXHG01_47</v>
      </c>
    </row>
    <row r="103" spans="3:3" x14ac:dyDescent="0.25">
      <c r="C103" t="str">
        <f>IF(ISBLANK(Crop_Diversity!$C106),"",Crop_Diversity!$C106)</f>
        <v>NAPESHM_MXHG01_47</v>
      </c>
    </row>
    <row r="104" spans="3:3" x14ac:dyDescent="0.25">
      <c r="C104" t="str">
        <f>IF(ISBLANK(Crop_Diversity!$C107),"",Crop_Diversity!$C107)</f>
        <v>NAPESHM_MXHG01_47</v>
      </c>
    </row>
    <row r="105" spans="3:3" x14ac:dyDescent="0.25">
      <c r="C105" t="str">
        <f>IF(ISBLANK(Crop_Diversity!$C108),"",Crop_Diversity!$C108)</f>
        <v>NAPESHM_MXHG01_48</v>
      </c>
    </row>
    <row r="106" spans="3:3" x14ac:dyDescent="0.25">
      <c r="C106" t="str">
        <f>IF(ISBLANK(Crop_Diversity!$C109),"",Crop_Diversity!$C109)</f>
        <v>NAPESHM_MXHG01_48</v>
      </c>
    </row>
    <row r="107" spans="3:3" x14ac:dyDescent="0.25">
      <c r="C107" t="str">
        <f>IF(ISBLANK(Crop_Diversity!$C110),"",Crop_Diversity!$C110)</f>
        <v>NAPESHM_MXHG01_48</v>
      </c>
    </row>
    <row r="108" spans="3:3" x14ac:dyDescent="0.25">
      <c r="C108" t="str">
        <f>IF(ISBLANK(Crop_Diversity!$C111),"",Crop_Diversity!$C111)</f>
        <v>NAPESHM_MXHG01_49</v>
      </c>
    </row>
    <row r="109" spans="3:3" x14ac:dyDescent="0.25">
      <c r="C109" t="str">
        <f>IF(ISBLANK(Crop_Diversity!$C112),"",Crop_Diversity!$C112)</f>
        <v>NAPESHM_MXHG01_49</v>
      </c>
    </row>
    <row r="110" spans="3:3" x14ac:dyDescent="0.25">
      <c r="C110" t="str">
        <f>IF(ISBLANK(Crop_Diversity!$C113),"",Crop_Diversity!$C113)</f>
        <v>NAPESHM_MXHG01_49</v>
      </c>
    </row>
    <row r="111" spans="3:3" x14ac:dyDescent="0.25">
      <c r="C111" t="str">
        <f>IF(ISBLANK(Crop_Diversity!$C114),"",Crop_Diversity!$C114)</f>
        <v>NAPESHM_MXMO01_50</v>
      </c>
    </row>
    <row r="112" spans="3:3" x14ac:dyDescent="0.25">
      <c r="C112" t="str">
        <f>IF(ISBLANK(Crop_Diversity!$C115),"",Crop_Diversity!$C115)</f>
        <v>NAPESHM_MXMO01_51</v>
      </c>
    </row>
    <row r="113" spans="3:3" x14ac:dyDescent="0.25">
      <c r="C113" t="str">
        <f>IF(ISBLANK(Crop_Diversity!$C116),"",Crop_Diversity!$C116)</f>
        <v>NAPESHM_MXMO01_52</v>
      </c>
    </row>
    <row r="114" spans="3:3" x14ac:dyDescent="0.25">
      <c r="C114" t="str">
        <f>IF(ISBLANK(Crop_Diversity!$C117),"",Crop_Diversity!$C117)</f>
        <v>NAPESHM_MXMO01_53</v>
      </c>
    </row>
  </sheetData>
  <sheetProtection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49</vt:i4>
      </vt:variant>
    </vt:vector>
  </HeadingPairs>
  <TitlesOfParts>
    <vt:vector size="58" baseType="lpstr">
      <vt:lpstr>User_Info</vt:lpstr>
      <vt:lpstr>Mgt_Unit</vt:lpstr>
      <vt:lpstr>Crop_Diversity</vt:lpstr>
      <vt:lpstr>Soil_Disturbance</vt:lpstr>
      <vt:lpstr>Soil_Amendments</vt:lpstr>
      <vt:lpstr>Animal_Diversity</vt:lpstr>
      <vt:lpstr>Soil_Test</vt:lpstr>
      <vt:lpstr>Dropdowns_Manual</vt:lpstr>
      <vt:lpstr>Dropdowns_Formulas</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CropUnit</vt:lpstr>
      <vt:lpstr>Cultivator</vt:lpstr>
      <vt:lpstr>Disk</vt:lpstr>
      <vt:lpstr>Fallow</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User_Perm</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2026-09-28T08:09:27Z</dcterms:modified>
  <cp:category/>
  <cp:contentStatus/>
</cp:coreProperties>
</file>